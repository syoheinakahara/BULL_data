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100" yWindow="4720" windowWidth="25600" windowHeight="13940" tabRatio="740" activeTab="1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enemy_habitat_S!$B$1:$Y$3</definedName>
    <definedName name="_xlnm._FilterDatabase" localSheetId="2" hidden="1">enemy_habitats!$B$1:$AH$2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21" l="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W2" i="7"/>
  <c r="R2" i="7"/>
  <c r="Q2" i="7"/>
  <c r="P2" i="7"/>
  <c r="O2" i="7"/>
  <c r="N2" i="7"/>
  <c r="H2" i="7"/>
  <c r="G2" i="2"/>
  <c r="A2" i="2"/>
  <c r="G3" i="2"/>
  <c r="A3" i="2"/>
  <c r="G4" i="2"/>
  <c r="A4" i="2"/>
  <c r="G5" i="2"/>
  <c r="A5" i="2"/>
  <c r="J2" i="7"/>
  <c r="I2" i="7"/>
  <c r="D2" i="7"/>
  <c r="F2" i="7"/>
  <c r="E2" i="7"/>
  <c r="A2" i="7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J65" i="11"/>
  <c r="J64" i="11"/>
  <c r="J63" i="11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J62" i="11"/>
  <c r="J61" i="11"/>
  <c r="O27" i="9"/>
  <c r="N27" i="9"/>
  <c r="M27" i="9"/>
  <c r="L27" i="9"/>
  <c r="K27" i="9"/>
  <c r="J27" i="9"/>
  <c r="I27" i="9"/>
  <c r="H27" i="9"/>
  <c r="G27" i="9"/>
  <c r="E27" i="9"/>
  <c r="D27" i="9"/>
  <c r="A27" i="9"/>
  <c r="J60" i="11"/>
  <c r="O26" i="9"/>
  <c r="N26" i="9"/>
  <c r="M26" i="9"/>
  <c r="L26" i="9"/>
  <c r="K26" i="9"/>
  <c r="J26" i="9"/>
  <c r="I26" i="9"/>
  <c r="H26" i="9"/>
  <c r="G26" i="9"/>
  <c r="E26" i="9"/>
  <c r="D26" i="9"/>
  <c r="A26" i="9"/>
  <c r="J59" i="11"/>
  <c r="O25" i="9"/>
  <c r="N25" i="9"/>
  <c r="M25" i="9"/>
  <c r="L25" i="9"/>
  <c r="K25" i="9"/>
  <c r="J25" i="9"/>
  <c r="I25" i="9"/>
  <c r="H25" i="9"/>
  <c r="G25" i="9"/>
  <c r="E25" i="9"/>
  <c r="D25" i="9"/>
  <c r="A25" i="9"/>
  <c r="J58" i="11"/>
  <c r="O24" i="9"/>
  <c r="N24" i="9"/>
  <c r="M24" i="9"/>
  <c r="L24" i="9"/>
  <c r="K24" i="9"/>
  <c r="J24" i="9"/>
  <c r="I24" i="9"/>
  <c r="H24" i="9"/>
  <c r="G24" i="9"/>
  <c r="E24" i="9"/>
  <c r="D24" i="9"/>
  <c r="A24" i="9"/>
  <c r="J57" i="11"/>
  <c r="O23" i="9"/>
  <c r="N23" i="9"/>
  <c r="M23" i="9"/>
  <c r="L23" i="9"/>
  <c r="K23" i="9"/>
  <c r="J23" i="9"/>
  <c r="I23" i="9"/>
  <c r="H23" i="9"/>
  <c r="G23" i="9"/>
  <c r="E23" i="9"/>
  <c r="D23" i="9"/>
  <c r="A23" i="9"/>
  <c r="J56" i="11"/>
  <c r="J55" i="11"/>
  <c r="J54" i="11"/>
  <c r="J53" i="11"/>
  <c r="J52" i="11"/>
  <c r="J51" i="11"/>
  <c r="O22" i="9"/>
  <c r="N22" i="9"/>
  <c r="M22" i="9"/>
  <c r="L22" i="9"/>
  <c r="K22" i="9"/>
  <c r="J22" i="9"/>
  <c r="I22" i="9"/>
  <c r="H22" i="9"/>
  <c r="G22" i="9"/>
  <c r="E22" i="9"/>
  <c r="D22" i="9"/>
  <c r="A22" i="9"/>
  <c r="J50" i="11"/>
  <c r="O21" i="9"/>
  <c r="N21" i="9"/>
  <c r="M21" i="9"/>
  <c r="L21" i="9"/>
  <c r="K21" i="9"/>
  <c r="J21" i="9"/>
  <c r="I21" i="9"/>
  <c r="H21" i="9"/>
  <c r="G21" i="9"/>
  <c r="E21" i="9"/>
  <c r="D21" i="9"/>
  <c r="A21" i="9"/>
  <c r="J49" i="11"/>
  <c r="O20" i="9"/>
  <c r="N20" i="9"/>
  <c r="M20" i="9"/>
  <c r="L20" i="9"/>
  <c r="K20" i="9"/>
  <c r="J20" i="9"/>
  <c r="I20" i="9"/>
  <c r="H20" i="9"/>
  <c r="G20" i="9"/>
  <c r="E20" i="9"/>
  <c r="D20" i="9"/>
  <c r="A20" i="9"/>
  <c r="J48" i="11"/>
  <c r="O19" i="9"/>
  <c r="N19" i="9"/>
  <c r="M19" i="9"/>
  <c r="L19" i="9"/>
  <c r="K19" i="9"/>
  <c r="J19" i="9"/>
  <c r="I19" i="9"/>
  <c r="H19" i="9"/>
  <c r="G19" i="9"/>
  <c r="E19" i="9"/>
  <c r="D19" i="9"/>
  <c r="A19" i="9"/>
  <c r="J47" i="11"/>
  <c r="O18" i="9"/>
  <c r="N18" i="9"/>
  <c r="M18" i="9"/>
  <c r="L18" i="9"/>
  <c r="K18" i="9"/>
  <c r="J18" i="9"/>
  <c r="I18" i="9"/>
  <c r="H18" i="9"/>
  <c r="G18" i="9"/>
  <c r="E18" i="9"/>
  <c r="D18" i="9"/>
  <c r="A18" i="9"/>
  <c r="J46" i="11"/>
  <c r="J45" i="11"/>
  <c r="J44" i="11"/>
  <c r="J43" i="11"/>
  <c r="J42" i="11"/>
  <c r="J41" i="11"/>
  <c r="O17" i="9"/>
  <c r="N17" i="9"/>
  <c r="M17" i="9"/>
  <c r="L17" i="9"/>
  <c r="K17" i="9"/>
  <c r="J17" i="9"/>
  <c r="I17" i="9"/>
  <c r="H17" i="9"/>
  <c r="G17" i="9"/>
  <c r="E17" i="9"/>
  <c r="D17" i="9"/>
  <c r="A17" i="9"/>
  <c r="J40" i="11"/>
  <c r="O16" i="9"/>
  <c r="N16" i="9"/>
  <c r="M16" i="9"/>
  <c r="L16" i="9"/>
  <c r="K16" i="9"/>
  <c r="J16" i="9"/>
  <c r="I16" i="9"/>
  <c r="H16" i="9"/>
  <c r="G16" i="9"/>
  <c r="E16" i="9"/>
  <c r="D16" i="9"/>
  <c r="A16" i="9"/>
  <c r="J39" i="11"/>
  <c r="O15" i="9"/>
  <c r="N15" i="9"/>
  <c r="M15" i="9"/>
  <c r="L15" i="9"/>
  <c r="K15" i="9"/>
  <c r="J15" i="9"/>
  <c r="I15" i="9"/>
  <c r="H15" i="9"/>
  <c r="G15" i="9"/>
  <c r="E15" i="9"/>
  <c r="D15" i="9"/>
  <c r="A15" i="9"/>
  <c r="J38" i="11"/>
  <c r="O14" i="9"/>
  <c r="N14" i="9"/>
  <c r="M14" i="9"/>
  <c r="L14" i="9"/>
  <c r="K14" i="9"/>
  <c r="J14" i="9"/>
  <c r="I14" i="9"/>
  <c r="H14" i="9"/>
  <c r="G14" i="9"/>
  <c r="E14" i="9"/>
  <c r="D14" i="9"/>
  <c r="A14" i="9"/>
  <c r="J37" i="11"/>
  <c r="O13" i="9"/>
  <c r="N13" i="9"/>
  <c r="M13" i="9"/>
  <c r="L13" i="9"/>
  <c r="K13" i="9"/>
  <c r="J13" i="9"/>
  <c r="I13" i="9"/>
  <c r="H13" i="9"/>
  <c r="G13" i="9"/>
  <c r="E13" i="9"/>
  <c r="D13" i="9"/>
  <c r="A13" i="9"/>
  <c r="J36" i="11"/>
  <c r="J35" i="11"/>
  <c r="J34" i="11"/>
  <c r="J33" i="11"/>
  <c r="J32" i="11"/>
  <c r="O12" i="9"/>
  <c r="N12" i="9"/>
  <c r="M12" i="9"/>
  <c r="L12" i="9"/>
  <c r="K12" i="9"/>
  <c r="J12" i="9"/>
  <c r="I12" i="9"/>
  <c r="H12" i="9"/>
  <c r="G12" i="9"/>
  <c r="E12" i="9"/>
  <c r="D12" i="9"/>
  <c r="A12" i="9"/>
  <c r="J31" i="11"/>
  <c r="J30" i="11"/>
  <c r="J29" i="11"/>
  <c r="J28" i="11"/>
  <c r="J27" i="11"/>
  <c r="J26" i="11"/>
  <c r="J25" i="11"/>
  <c r="J24" i="11"/>
  <c r="J23" i="11"/>
  <c r="J22" i="11"/>
  <c r="O11" i="9"/>
  <c r="N11" i="9"/>
  <c r="M11" i="9"/>
  <c r="L11" i="9"/>
  <c r="K11" i="9"/>
  <c r="J11" i="9"/>
  <c r="I11" i="9"/>
  <c r="H11" i="9"/>
  <c r="G11" i="9"/>
  <c r="E11" i="9"/>
  <c r="D11" i="9"/>
  <c r="A11" i="9"/>
  <c r="J21" i="11"/>
  <c r="J20" i="11"/>
  <c r="O10" i="9"/>
  <c r="N10" i="9"/>
  <c r="M10" i="9"/>
  <c r="L10" i="9"/>
  <c r="K10" i="9"/>
  <c r="J10" i="9"/>
  <c r="I10" i="9"/>
  <c r="H10" i="9"/>
  <c r="G10" i="9"/>
  <c r="E10" i="9"/>
  <c r="D10" i="9"/>
  <c r="A10" i="9"/>
  <c r="J19" i="11"/>
  <c r="O9" i="9"/>
  <c r="N9" i="9"/>
  <c r="M9" i="9"/>
  <c r="L9" i="9"/>
  <c r="K9" i="9"/>
  <c r="J9" i="9"/>
  <c r="I9" i="9"/>
  <c r="H9" i="9"/>
  <c r="G9" i="9"/>
  <c r="E9" i="9"/>
  <c r="D9" i="9"/>
  <c r="A9" i="9"/>
  <c r="J18" i="11"/>
  <c r="J17" i="11"/>
  <c r="O8" i="9"/>
  <c r="N8" i="9"/>
  <c r="M8" i="9"/>
  <c r="L8" i="9"/>
  <c r="K8" i="9"/>
  <c r="J8" i="9"/>
  <c r="I8" i="9"/>
  <c r="H8" i="9"/>
  <c r="G8" i="9"/>
  <c r="E8" i="9"/>
  <c r="D8" i="9"/>
  <c r="A8" i="9"/>
  <c r="J16" i="11"/>
  <c r="J15" i="11"/>
  <c r="O7" i="9"/>
  <c r="N7" i="9"/>
  <c r="M7" i="9"/>
  <c r="L7" i="9"/>
  <c r="K7" i="9"/>
  <c r="J7" i="9"/>
  <c r="I7" i="9"/>
  <c r="H7" i="9"/>
  <c r="G7" i="9"/>
  <c r="E7" i="9"/>
  <c r="D7" i="9"/>
  <c r="A7" i="9"/>
  <c r="J14" i="11"/>
  <c r="O6" i="9"/>
  <c r="N6" i="9"/>
  <c r="M6" i="9"/>
  <c r="L6" i="9"/>
  <c r="K6" i="9"/>
  <c r="J6" i="9"/>
  <c r="I6" i="9"/>
  <c r="H6" i="9"/>
  <c r="G6" i="9"/>
  <c r="E6" i="9"/>
  <c r="D6" i="9"/>
  <c r="A6" i="9"/>
  <c r="J13" i="11"/>
  <c r="J12" i="11"/>
  <c r="O5" i="9"/>
  <c r="N5" i="9"/>
  <c r="M5" i="9"/>
  <c r="L5" i="9"/>
  <c r="K5" i="9"/>
  <c r="J5" i="9"/>
  <c r="I5" i="9"/>
  <c r="H5" i="9"/>
  <c r="G5" i="9"/>
  <c r="E5" i="9"/>
  <c r="D5" i="9"/>
  <c r="A5" i="9"/>
  <c r="J11" i="11"/>
  <c r="J10" i="11"/>
  <c r="J9" i="11"/>
  <c r="J8" i="11"/>
  <c r="O4" i="9"/>
  <c r="N4" i="9"/>
  <c r="M4" i="9"/>
  <c r="L4" i="9"/>
  <c r="K4" i="9"/>
  <c r="J4" i="9"/>
  <c r="I4" i="9"/>
  <c r="H4" i="9"/>
  <c r="G4" i="9"/>
  <c r="E4" i="9"/>
  <c r="D4" i="9"/>
  <c r="A4" i="9"/>
  <c r="J7" i="11"/>
  <c r="O3" i="9"/>
  <c r="N3" i="9"/>
  <c r="M3" i="9"/>
  <c r="L3" i="9"/>
  <c r="K3" i="9"/>
  <c r="J3" i="9"/>
  <c r="I3" i="9"/>
  <c r="H3" i="9"/>
  <c r="G3" i="9"/>
  <c r="E3" i="9"/>
  <c r="D3" i="9"/>
  <c r="A3" i="9"/>
  <c r="J6" i="11"/>
  <c r="J5" i="11"/>
  <c r="J4" i="11"/>
  <c r="J3" i="11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M57" i="10"/>
  <c r="T57" i="10"/>
  <c r="W57" i="10"/>
  <c r="V57" i="10"/>
  <c r="X57" i="10"/>
  <c r="U57" i="10"/>
  <c r="Y57" i="10"/>
  <c r="N57" i="10"/>
  <c r="Q57" i="10"/>
  <c r="P57" i="10"/>
  <c r="R57" i="10"/>
  <c r="O57" i="10"/>
  <c r="S57" i="10"/>
  <c r="G57" i="10"/>
  <c r="J57" i="10"/>
  <c r="I57" i="10"/>
  <c r="K57" i="10"/>
  <c r="H57" i="10"/>
  <c r="L57" i="10"/>
  <c r="M56" i="10"/>
  <c r="T56" i="10"/>
  <c r="W56" i="10"/>
  <c r="V56" i="10"/>
  <c r="X56" i="10"/>
  <c r="U56" i="10"/>
  <c r="Y56" i="10"/>
  <c r="N56" i="10"/>
  <c r="Q56" i="10"/>
  <c r="P56" i="10"/>
  <c r="R56" i="10"/>
  <c r="O56" i="10"/>
  <c r="S56" i="10"/>
  <c r="G56" i="10"/>
  <c r="J56" i="10"/>
  <c r="I56" i="10"/>
  <c r="K56" i="10"/>
  <c r="H56" i="10"/>
  <c r="L56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W4" i="7"/>
  <c r="R4" i="7"/>
  <c r="Q4" i="7"/>
  <c r="P4" i="7"/>
  <c r="O4" i="7"/>
  <c r="N4" i="7"/>
  <c r="H4" i="7"/>
  <c r="J4" i="7"/>
  <c r="I4" i="7"/>
  <c r="D4" i="7"/>
  <c r="F4" i="7"/>
  <c r="E4" i="7"/>
  <c r="A4" i="7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AB5" i="1"/>
  <c r="AD5" i="1"/>
  <c r="AG5" i="1"/>
  <c r="AE5" i="1"/>
  <c r="AC5" i="1"/>
  <c r="AA5" i="1"/>
  <c r="V5" i="1"/>
  <c r="Q5" i="1"/>
  <c r="P5" i="1"/>
  <c r="O5" i="1"/>
  <c r="N5" i="1"/>
  <c r="M5" i="1"/>
  <c r="H5" i="1"/>
  <c r="J5" i="1"/>
  <c r="I5" i="1"/>
  <c r="D5" i="1"/>
  <c r="F5" i="1"/>
  <c r="E5" i="1"/>
  <c r="A5" i="1"/>
  <c r="AB3" i="1"/>
  <c r="AD3" i="1"/>
  <c r="AG3" i="1"/>
  <c r="AE3" i="1"/>
  <c r="AC3" i="1"/>
  <c r="V3" i="1"/>
  <c r="Q3" i="1"/>
  <c r="P3" i="1"/>
  <c r="O3" i="1"/>
  <c r="N3" i="1"/>
  <c r="M3" i="1"/>
  <c r="H3" i="1"/>
  <c r="J3" i="1"/>
  <c r="I3" i="1"/>
  <c r="D3" i="1"/>
  <c r="F3" i="1"/>
  <c r="E3" i="1"/>
  <c r="A3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4" i="1"/>
  <c r="AD4" i="1"/>
  <c r="AG4" i="1"/>
  <c r="AE4" i="1"/>
  <c r="AC4" i="1"/>
  <c r="AA4" i="1"/>
  <c r="V4" i="1"/>
  <c r="Q4" i="1"/>
  <c r="P4" i="1"/>
  <c r="O4" i="1"/>
  <c r="N4" i="1"/>
  <c r="M4" i="1"/>
  <c r="H4" i="1"/>
  <c r="J4" i="1"/>
  <c r="I4" i="1"/>
  <c r="D4" i="1"/>
  <c r="F4" i="1"/>
  <c r="E4" i="1"/>
  <c r="A4" i="1"/>
  <c r="H5" i="2"/>
  <c r="E5" i="2"/>
  <c r="D5" i="2"/>
  <c r="H2" i="1"/>
  <c r="B5" i="2"/>
  <c r="H4" i="2"/>
  <c r="E4" i="2"/>
  <c r="D4" i="2"/>
  <c r="B4" i="2"/>
  <c r="H3" i="2"/>
  <c r="E3" i="2"/>
  <c r="D3" i="2"/>
  <c r="B3" i="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E9" i="16"/>
  <c r="W3" i="7"/>
  <c r="V2" i="1"/>
  <c r="R3" i="7"/>
  <c r="Q3" i="7"/>
  <c r="P3" i="7"/>
  <c r="O3" i="7"/>
  <c r="N3" i="7"/>
  <c r="AB2" i="1"/>
  <c r="AE2" i="1"/>
  <c r="AD2" i="1"/>
  <c r="AC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3" i="7"/>
  <c r="J3" i="7"/>
  <c r="E8" i="16"/>
  <c r="E7" i="16"/>
  <c r="E6" i="16"/>
  <c r="E5" i="16"/>
  <c r="E4" i="16"/>
  <c r="E3" i="16"/>
  <c r="E2" i="16"/>
  <c r="A2" i="1"/>
  <c r="A2" i="9"/>
  <c r="A3" i="7"/>
  <c r="I3" i="7"/>
  <c r="D3" i="7"/>
  <c r="F3" i="7"/>
  <c r="E3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<sst xmlns="http://schemas.openxmlformats.org/spreadsheetml/2006/main" count="1045" uniqueCount="293">
  <si>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</si>
  <si>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</si>
  <si>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</si>
  <si>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</si>
  <si>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</si>
  <si>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</si>
  <si>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</si>
  <si>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</si>
  <si>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</si>
  <si>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</si>
  <si>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</si>
  <si>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</si>
  <si>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</si>
  <si>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</si>
  <si>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</si>
  <si>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</si>
  <si>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</si>
  <si>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</si>
  <si>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</si>
  <si>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</si>
  <si>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</si>
  <si>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</si>
  <si>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</si>
  <si>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</si>
  <si>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</si>
  <si>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</si>
  <si>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</si>
  <si>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</si>
  <si>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</si>
  <si>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</si>
  <si>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</si>
  <si>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</si>
  <si>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</si>
  <si>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</si>
  <si>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</si>
  <si>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</si>
  <si>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</si>
  <si>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</si>
  <si>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</si>
  <si>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</si>
  <si>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</si>
  <si>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</si>
  <si>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</si>
  <si>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</si>
  <si>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</si>
  <si>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</si>
  <si>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</si>
  <si>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</si>
  <si>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</si>
  <si>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</si>
  <si>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</si>
  <si>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</si>
  <si>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</si>
  <si>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</si>
  <si>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</si>
  <si>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</si>
  <si>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</si>
  <si>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</si>
  <si>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</si>
  <si>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</si>
  <si>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</si>
  <si>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</si>
  <si>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</si>
  <si>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</si>
  <si>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</si>
  <si>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</si>
  <si>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</si>
  <si>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</si>
  <si>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</si>
  <si>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</si>
  <si>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</si>
  <si>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</si>
  <si>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</si>
  <si>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</si>
  <si>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</si>
  <si>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</si>
  <si>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</si>
  <si>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</si>
  <si>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</si>
  <si>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</si>
  <si>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</si>
  <si>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</si>
  <si>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</si>
  <si>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</si>
  <si>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</si>
  <si>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</si>
  <si>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</si>
  <si>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</si>
  <si>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</si>
  <si>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</si>
  <si>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</si>
  <si>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</si>
  <si>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</si>
  <si>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</si>
  <si>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</si>
  <si>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</si>
  <si>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</si>
  <si>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</si>
  <si>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</si>
  <si>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</si>
  <si>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</si>
  <si>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</si>
  <si>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</si>
  <si>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</si>
  <si>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</si>
  <si>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</si>
  <si>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</si>
  <si>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</si>
  <si>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</si>
  <si>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</si>
  <si>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</si>
  <si>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</si>
  <si>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</si>
  <si>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</si>
  <si>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</si>
  <si>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</si>
  <si>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</si>
  <si>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</si>
  <si>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</si>
  <si>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</si>
  <si>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</si>
  <si>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</si>
  <si>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</si>
  <si>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</si>
  <si>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</si>
  <si>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</si>
  <si>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</si>
  <si>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</si>
  <si>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</si>
  <si>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</si>
  <si>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</si>
  <si>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</si>
  <si>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</si>
  <si>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</si>
  <si>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</si>
  <si>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</si>
  <si>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</si>
  <si>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</si>
  <si>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</si>
  <si>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</si>
  <si>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</si>
  <si>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</si>
  <si>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</si>
  <si>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</si>
  <si>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</si>
  <si>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</si>
  <si>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</si>
  <si>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</si>
  <si>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</si>
  <si>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</si>
  <si>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</si>
  <si>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</si>
  <si>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</si>
  <si>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</si>
  <si>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</si>
  <si>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</si>
  <si>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</si>
  <si>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</si>
  <si>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</si>
  <si>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</si>
  <si>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</si>
  <si>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</si>
  <si>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</si>
  <si>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</si>
  <si>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</si>
  <si>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</si>
  <si>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</si>
  <si>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</si>
  <si>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</si>
  <si>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</si>
  <si>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</si>
  <si>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</si>
  <si>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</si>
  <si>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</si>
  <si>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</si>
  <si>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</si>
  <si>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</si>
  <si>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</si>
  <si>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</si>
  <si>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</si>
  <si>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</si>
  <si>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</si>
  <si>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</si>
  <si>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</si>
  <si>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</si>
  <si>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</si>
  <si>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</si>
  <si>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</si>
  <si>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</si>
  <si>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</si>
  <si>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</si>
  <si>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</si>
  <si>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</si>
  <si>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</si>
  <si>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</si>
  <si>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</si>
  <si>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</si>
  <si>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</si>
  <si>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</si>
  <si>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</si>
  <si>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</si>
  <si>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</si>
  <si>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</si>
  <si>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</si>
  <si>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</si>
  <si>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</si>
  <si>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</si>
  <si>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</si>
  <si>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</si>
  <si>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</si>
  <si>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</si>
  <si>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</si>
  <si>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</si>
  <si>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</si>
  <si>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old</t>
  </si>
  <si>
    <t>[effect:nothing]</t>
    <phoneticPr fontId="5"/>
  </si>
  <si>
    <t>パトライン</t>
    <phoneticPr fontId="5"/>
  </si>
  <si>
    <t>予約枠</t>
    <rPh sb="0" eb="3">
      <t>ヨヤk</t>
    </rPh>
    <phoneticPr fontId="5"/>
  </si>
  <si>
    <t>F2</t>
    <phoneticPr fontId="5"/>
  </si>
  <si>
    <t>ハヌマーン1</t>
    <phoneticPr fontId="5"/>
  </si>
  <si>
    <t>ハヌマーン2</t>
    <phoneticPr fontId="5"/>
  </si>
  <si>
    <t>ゴクウ</t>
    <phoneticPr fontId="5"/>
  </si>
  <si>
    <t>ショウイン</t>
    <phoneticPr fontId="5"/>
  </si>
  <si>
    <t>クロウ</t>
    <phoneticPr fontId="5"/>
  </si>
  <si>
    <t>シヴァ1</t>
    <phoneticPr fontId="5"/>
  </si>
  <si>
    <t>シヴァ2</t>
    <phoneticPr fontId="5"/>
  </si>
  <si>
    <t>シヴァ3</t>
    <phoneticPr fontId="5"/>
  </si>
  <si>
    <t>自爆</t>
    <rPh sb="0" eb="2">
      <t>ジb</t>
    </rPh>
    <phoneticPr fontId="5"/>
  </si>
  <si>
    <t>カウンター</t>
    <phoneticPr fontId="5"/>
  </si>
  <si>
    <t>[effect:heal, target:enemy_all, val:0.3, animation:enemy_heal]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</si>
  <si>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</t>
    <phoneticPr fontId="5"/>
  </si>
  <si>
    <t>[effect:critical, val:1.5]</t>
    <phoneticPr fontId="5"/>
  </si>
  <si>
    <t>[effect:enemy_counter, target:myself, invoke_condition:unit_all, counter_target:unit_one, turn:3, val:1, animation:enemy_counter]</t>
    <phoneticPr fontId="5"/>
  </si>
  <si>
    <t>[effect:panel_freeze, target:block_all, color:block_yellow, count:-1, break_count:1]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</si>
  <si>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animation:enemy_tolerance],[effect:change_attribute, target:myself, color:red, turn:-1, animation:change_attribute_red]</t>
    <phoneticPr fontId="5"/>
  </si>
  <si>
    <t>null</t>
    <phoneticPr fontId="5"/>
  </si>
  <si>
    <t>[effect:critical, val:1.5]</t>
    <phoneticPr fontId="5"/>
  </si>
  <si>
    <t>[effect:hungup, target:unit_one, turn:3, rate:1, animation:hungup01],[effect:hungup, target:unit_one, turn:3, rate:1, animation:hungup01]</t>
    <phoneticPr fontId="5"/>
  </si>
  <si>
    <t>[effect:damage_anti_color, target:unit_all, color:blue, val1:0.4, val2:0.1]</t>
    <phoneticPr fontId="5"/>
  </si>
  <si>
    <t>[effect:tolerance, target:myself, turn:-1, tolerance_effect:sleep, count:-1],[effect:tolerance, target:myself, turn:-1, tolerance_effect:virus, count:-1],[effect:tolerance, target:myself, turn:-1, tolerance_effect:hungup, count:-1, animation:enemy_tolerance]</t>
    <phoneticPr fontId="5"/>
  </si>
  <si>
    <t>[effect:damage_anti_color, target:unit_all, color:red, val1:0.5, val2:0.2]</t>
    <phoneticPr fontId="5"/>
  </si>
  <si>
    <t>[effect:kamikaze, val:1]</t>
    <phoneticPr fontId="5"/>
  </si>
  <si>
    <t>[effect:spread, val:0.3]</t>
    <phoneticPr fontId="5"/>
  </si>
  <si>
    <t>[effect:enemy_counter, target:myself, invoke_condition:unit_all, counter_target:unit_one, turn:1, val:1, animation:enemy_counter]</t>
    <phoneticPr fontId="5"/>
  </si>
  <si>
    <t>[effect:hungup, target:unit_one, turn:3, rate:1, animation:hungup01],[effect:enemy_counter, target:myself, invoke_condition:unit_all, counter_target:unit_one, turn:1, val:1, animation:enemy_counter]</t>
    <phoneticPr fontId="5"/>
  </si>
  <si>
    <t>カウンター</t>
    <phoneticPr fontId="5"/>
  </si>
  <si>
    <t>[effect:critical, val:1.2]</t>
    <phoneticPr fontId="5"/>
  </si>
  <si>
    <t>[effect:critical, val:1.2]</t>
    <phoneticPr fontId="5"/>
  </si>
  <si>
    <t>[effect:critical, val:1.5]</t>
    <phoneticPr fontId="5"/>
  </si>
  <si>
    <t>[effect:rush, count:3, val:0.4]</t>
    <phoneticPr fontId="5"/>
  </si>
  <si>
    <t>null</t>
    <phoneticPr fontId="5"/>
  </si>
  <si>
    <t>link</t>
    <phoneticPr fontId="5"/>
  </si>
  <si>
    <t>unit</t>
    <phoneticPr fontId="5"/>
  </si>
  <si>
    <t>unit</t>
    <phoneticPr fontId="5"/>
  </si>
  <si>
    <t>グリーンプロテクト</t>
    <phoneticPr fontId="5"/>
  </si>
  <si>
    <t>3ターン防御力アップ</t>
    <rPh sb="4" eb="10">
      <t>ボウgy</t>
    </rPh>
    <phoneticPr fontId="5"/>
  </si>
  <si>
    <t>ピッ…ガガガッ</t>
    <phoneticPr fontId="5"/>
  </si>
  <si>
    <t>様子がおかしい！</t>
    <rPh sb="0" eb="3">
      <t>ヨウs</t>
    </rPh>
    <phoneticPr fontId="5"/>
  </si>
  <si>
    <t>全体に強力な攻撃</t>
    <rPh sb="0" eb="2">
      <t>ゼン</t>
    </rPh>
    <rPh sb="3" eb="8">
      <t>キョウリョ</t>
    </rPh>
    <phoneticPr fontId="5"/>
  </si>
  <si>
    <t>最大ユニット2体に3ターンスキルバインド</t>
    <rPh sb="0" eb="2">
      <t>サイダ</t>
    </rPh>
    <phoneticPr fontId="5"/>
  </si>
  <si>
    <t>全体攻撃</t>
    <rPh sb="0" eb="4">
      <t>ゼン</t>
    </rPh>
    <phoneticPr fontId="5"/>
  </si>
  <si>
    <t>激昂の連撃</t>
    <rPh sb="0" eb="2">
      <t>ゲッコウ</t>
    </rPh>
    <rPh sb="3" eb="5">
      <t>reンンgeki</t>
    </rPh>
    <phoneticPr fontId="5"/>
  </si>
  <si>
    <t>五行封印</t>
    <rPh sb="0" eb="4">
      <t>ゴギョ</t>
    </rPh>
    <phoneticPr fontId="5"/>
  </si>
  <si>
    <t>分身一斉撃</t>
    <rPh sb="0" eb="2">
      <t>ブン</t>
    </rPh>
    <rPh sb="2" eb="5">
      <t>イッセ</t>
    </rPh>
    <phoneticPr fontId="5"/>
  </si>
  <si>
    <t>クリティカル攻撃</t>
    <rPh sb="6" eb="8">
      <t>コウゲk</t>
    </rPh>
    <phoneticPr fontId="5"/>
  </si>
  <si>
    <t>如意棒</t>
    <phoneticPr fontId="5"/>
  </si>
  <si>
    <t>ヒール</t>
    <phoneticPr fontId="5"/>
  </si>
  <si>
    <t>HPを回復</t>
    <rPh sb="3" eb="5">
      <t>カ</t>
    </rPh>
    <phoneticPr fontId="5"/>
  </si>
  <si>
    <t>状態異常耐性</t>
    <rPh sb="0" eb="6">
      <t>エイゾk</t>
    </rPh>
    <phoneticPr fontId="5"/>
  </si>
  <si>
    <t>青属性に対して大ダメージの全体攻撃</t>
    <rPh sb="0" eb="4">
      <t>ア</t>
    </rPh>
    <rPh sb="4" eb="7">
      <t>タイs</t>
    </rPh>
    <rPh sb="7" eb="12">
      <t>ダ</t>
    </rPh>
    <rPh sb="13" eb="17">
      <t>ゼン</t>
    </rPh>
    <phoneticPr fontId="5"/>
  </si>
  <si>
    <t>赤属性に対して大ダメージの全体攻撃</t>
    <rPh sb="0" eb="1">
      <t>アk</t>
    </rPh>
    <rPh sb="1" eb="4">
      <t>ア</t>
    </rPh>
    <rPh sb="4" eb="7">
      <t>タイs</t>
    </rPh>
    <rPh sb="7" eb="12">
      <t>ダ</t>
    </rPh>
    <rPh sb="13" eb="17">
      <t>ゼン</t>
    </rPh>
    <phoneticPr fontId="5"/>
  </si>
  <si>
    <t>トリシューラ</t>
    <phoneticPr fontId="5"/>
  </si>
  <si>
    <t>連続攻撃</t>
    <rPh sb="0" eb="4">
      <t>レン</t>
    </rPh>
    <phoneticPr fontId="5"/>
  </si>
  <si>
    <t>ピナーカ</t>
    <phoneticPr fontId="5"/>
  </si>
  <si>
    <t>第三の目</t>
    <rPh sb="0" eb="4">
      <t>ダ</t>
    </rPh>
    <phoneticPr fontId="5"/>
  </si>
  <si>
    <t>シヴァの属性が赤に変わる！</t>
    <rPh sb="4" eb="7">
      <t>ゾクセ</t>
    </rPh>
    <rPh sb="7" eb="9">
      <t>アk</t>
    </rPh>
    <rPh sb="9" eb="13">
      <t>カw</t>
    </rPh>
    <phoneticPr fontId="5"/>
  </si>
  <si>
    <t>激怒の炎</t>
    <rPh sb="0" eb="3">
      <t>ゲk</t>
    </rPh>
    <rPh sb="3" eb="4">
      <t>ホノ</t>
    </rPh>
    <phoneticPr fontId="5"/>
  </si>
  <si>
    <t>炎神覚醒</t>
    <rPh sb="0" eb="2">
      <t>エンジン</t>
    </rPh>
    <rPh sb="2" eb="4">
      <t>カk</t>
    </rPh>
    <phoneticPr fontId="5"/>
  </si>
  <si>
    <t>黒い稲妻</t>
    <rPh sb="0" eb="2">
      <t>クr</t>
    </rPh>
    <rPh sb="2" eb="4">
      <t>イナズm</t>
    </rPh>
    <phoneticPr fontId="5"/>
  </si>
  <si>
    <t>…あまり私を怒らせない方がいい</t>
    <rPh sb="4" eb="5">
      <t>ワタs</t>
    </rPh>
    <rPh sb="5" eb="6">
      <t>オr</t>
    </rPh>
    <rPh sb="6" eb="11">
      <t>オコr</t>
    </rPh>
    <rPh sb="11" eb="15">
      <t>ホ</t>
    </rPh>
    <phoneticPr fontId="5"/>
  </si>
  <si>
    <t>…悪いがここは通せない</t>
    <rPh sb="1" eb="4">
      <t>ワr</t>
    </rPh>
    <rPh sb="7" eb="11">
      <t>10s</t>
    </rPh>
    <phoneticPr fontId="5"/>
  </si>
  <si>
    <t>マハーカーラ</t>
    <phoneticPr fontId="5"/>
  </si>
  <si>
    <t>1ターンカウンター＋ユニット1体に3ターンスキルバインド</t>
    <rPh sb="15" eb="17">
      <t>イtt</t>
    </rPh>
    <rPh sb="21" eb="28">
      <t>カ</t>
    </rPh>
    <phoneticPr fontId="5"/>
  </si>
  <si>
    <t>黄パネルをプロテクト状態にする</t>
    <rPh sb="0" eb="1">
      <t>キ</t>
    </rPh>
    <rPh sb="10" eb="15">
      <t>ジョウタ</t>
    </rPh>
    <phoneticPr fontId="5"/>
  </si>
  <si>
    <t>激昂の連撃</t>
    <rPh sb="0" eb="2">
      <t>ゲッコウ</t>
    </rPh>
    <rPh sb="3" eb="5">
      <t>レンゲキ</t>
    </rPh>
    <phoneticPr fontId="5"/>
  </si>
  <si>
    <t>F2は一定ターンが経過すると
自爆して大ダメージを与えてきます
優先して倒すようにしましょう</t>
    <phoneticPr fontId="5"/>
  </si>
  <si>
    <t>ハヌマーンはお供のゴクウが倒されると
反撃で全体攻撃を行ってきます
ゴクウを先に倒す時は
残りHPに注意しましょう</t>
    <rPh sb="7" eb="8">
      <t>トモ</t>
    </rPh>
    <phoneticPr fontId="5"/>
  </si>
  <si>
    <t>シヴァは黄パネルを
プロテクト状態にしてきます
パネルが消しづらくなるので気をつけましょう</t>
    <phoneticPr fontId="5"/>
  </si>
  <si>
    <t>シヴァはHPが減少すると属性が変化します
黄属性の攻撃が通じづらくなるので
気をつけましょう</t>
    <phoneticPr fontId="5"/>
  </si>
  <si>
    <t>シヴァはHPが減少すると黄パネルを破壊して
大ダメージの攻撃を行ってきます
黄パネルが残らないように処理しましょう</t>
    <phoneticPr fontId="5"/>
  </si>
  <si>
    <t>黄パネルを破壊して大ダメージ攻撃</t>
    <rPh sb="0" eb="4">
      <t>キパネr</t>
    </rPh>
    <rPh sb="5" eb="7">
      <t>ハカ</t>
    </rPh>
    <rPh sb="9" eb="14">
      <t>ダ</t>
    </rPh>
    <rPh sb="14" eb="16">
      <t>コウゲk</t>
    </rPh>
    <phoneticPr fontId="5"/>
  </si>
  <si>
    <t>[effect:enhance_enemy, target:enemy_all, turn:3, status:defense, val:3000, animation:enemy_enhance_defense]</t>
    <phoneticPr fontId="5"/>
  </si>
  <si>
    <t>[effect:break_attack, val:0.05, lowest_val:5190, count:0, block:block_yellow, target:unit_one]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</si>
</sst>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92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6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2" fillId="6" borderId="0" xfId="615" applyFill="1"/>
    <xf numFmtId="0" fontId="27" fillId="31" borderId="7" xfId="0" applyFont="1" applyFill="1" applyBorder="1"/>
    <xf numFmtId="0" fontId="27" fillId="14" borderId="7" xfId="0" applyFont="1" applyFill="1" applyBorder="1"/>
    <xf numFmtId="38" fontId="16" fillId="0" borderId="7" xfId="628" applyFont="1" applyFill="1" applyBorder="1" applyAlignment="1">
      <alignment wrapText="1"/>
    </xf>
    <xf numFmtId="0" fontId="16" fillId="0" borderId="0" xfId="0" applyFont="1" applyAlignment="1">
      <alignment wrapText="1"/>
    </xf>
  </cellXfs>
  <cellStyles count="92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externalLink" Target="externalLinks/externalLink1.xml"/><Relationship Id="rId12" Type="http://schemas.openxmlformats.org/officeDocument/2006/relationships/externalLink" Target="externalLinks/externalLink2.xml"/><Relationship Id="rId13" Type="http://schemas.openxmlformats.org/officeDocument/2006/relationships/externalLink" Target="externalLinks/externalLink3.xml"/><Relationship Id="rId14" Type="http://schemas.openxmlformats.org/officeDocument/2006/relationships/externalLink" Target="externalLinks/externalLink4.xml"/><Relationship Id="rId15" Type="http://schemas.openxmlformats.org/officeDocument/2006/relationships/externalLink" Target="externalLinks/externalLink5.xml"/><Relationship Id="rId16" Type="http://schemas.openxmlformats.org/officeDocument/2006/relationships/externalLink" Target="externalLinks/externalLink6.xml"/><Relationship Id="rId17" Type="http://schemas.openxmlformats.org/officeDocument/2006/relationships/externalLink" Target="externalLinks/externalLink7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11207</v>
          </cell>
        </row>
        <row r="67">
          <cell r="A67">
            <v>11208</v>
          </cell>
        </row>
        <row r="68">
          <cell r="A68">
            <v>11209</v>
          </cell>
        </row>
        <row r="69">
          <cell r="A69">
            <v>11210</v>
          </cell>
        </row>
        <row r="70">
          <cell r="A70">
            <v>11211</v>
          </cell>
        </row>
        <row r="71">
          <cell r="A71">
            <v>11212</v>
          </cell>
        </row>
        <row r="72">
          <cell r="A72">
            <v>11213</v>
          </cell>
        </row>
        <row r="73">
          <cell r="A73">
            <v>11214</v>
          </cell>
        </row>
        <row r="74">
          <cell r="A74">
            <v>11215</v>
          </cell>
        </row>
        <row r="75">
          <cell r="A75">
            <v>11216</v>
          </cell>
        </row>
        <row r="76">
          <cell r="A76">
            <v>11217</v>
          </cell>
        </row>
        <row r="77">
          <cell r="A77">
            <v>11218</v>
          </cell>
        </row>
        <row r="78">
          <cell r="A78">
            <v>11219</v>
          </cell>
        </row>
        <row r="79">
          <cell r="A79">
            <v>11220</v>
          </cell>
        </row>
        <row r="80">
          <cell r="A80">
            <v>11221</v>
          </cell>
        </row>
        <row r="81">
          <cell r="A81">
            <v>11224</v>
          </cell>
        </row>
        <row r="82">
          <cell r="A82">
            <v>11225</v>
          </cell>
        </row>
        <row r="83">
          <cell r="A83">
            <v>11226</v>
          </cell>
        </row>
        <row r="84">
          <cell r="A84">
            <v>12001</v>
          </cell>
        </row>
        <row r="85">
          <cell r="A85">
            <v>12002</v>
          </cell>
        </row>
        <row r="86">
          <cell r="A86">
            <v>12003</v>
          </cell>
        </row>
        <row r="87">
          <cell r="A87">
            <v>12004</v>
          </cell>
        </row>
        <row r="88">
          <cell r="A88">
            <v>13001</v>
          </cell>
        </row>
        <row r="89">
          <cell r="A89">
            <v>14001</v>
          </cell>
        </row>
        <row r="90">
          <cell r="A90">
            <v>14002</v>
          </cell>
        </row>
        <row r="91">
          <cell r="A91">
            <v>14003</v>
          </cell>
        </row>
        <row r="92">
          <cell r="A92">
            <v>14004</v>
          </cell>
        </row>
        <row r="93">
          <cell r="A93">
            <v>14005</v>
          </cell>
        </row>
        <row r="94">
          <cell r="A94">
            <v>14006</v>
          </cell>
        </row>
        <row r="95">
          <cell r="A95">
            <v>15027</v>
          </cell>
        </row>
        <row r="96">
          <cell r="A96">
            <v>15028</v>
          </cell>
        </row>
        <row r="97">
          <cell r="A97">
            <v>15029</v>
          </cell>
        </row>
        <row r="98">
          <cell r="A98">
            <v>15030</v>
          </cell>
        </row>
        <row r="99">
          <cell r="A99">
            <v>15031</v>
          </cell>
        </row>
        <row r="100">
          <cell r="A100">
            <v>20001</v>
          </cell>
        </row>
        <row r="101">
          <cell r="A101">
            <v>20002</v>
          </cell>
        </row>
        <row r="102">
          <cell r="A102">
            <v>20003</v>
          </cell>
        </row>
        <row r="103">
          <cell r="A103">
            <v>20004</v>
          </cell>
        </row>
        <row r="104">
          <cell r="A104">
            <v>20005</v>
          </cell>
        </row>
        <row r="105">
          <cell r="A105">
            <v>20006</v>
          </cell>
        </row>
        <row r="106">
          <cell r="A106">
            <v>20007</v>
          </cell>
        </row>
        <row r="107">
          <cell r="A107">
            <v>20008</v>
          </cell>
        </row>
        <row r="108">
          <cell r="A108">
            <v>20009</v>
          </cell>
        </row>
        <row r="109">
          <cell r="A109">
            <v>20010</v>
          </cell>
        </row>
        <row r="110">
          <cell r="A110">
            <v>20011</v>
          </cell>
        </row>
        <row r="111">
          <cell r="A111">
            <v>20012</v>
          </cell>
        </row>
        <row r="112">
          <cell r="A112">
            <v>20013</v>
          </cell>
        </row>
        <row r="113">
          <cell r="A113">
            <v>20014</v>
          </cell>
        </row>
        <row r="114">
          <cell r="A114">
            <v>20015</v>
          </cell>
        </row>
        <row r="115">
          <cell r="A115">
            <v>20016</v>
          </cell>
        </row>
        <row r="116">
          <cell r="A116">
            <v>20017</v>
          </cell>
        </row>
        <row r="117">
          <cell r="A117">
            <v>20018</v>
          </cell>
        </row>
        <row r="118">
          <cell r="A118">
            <v>30001</v>
          </cell>
        </row>
        <row r="119">
          <cell r="A119">
            <v>30002</v>
          </cell>
        </row>
        <row r="120">
          <cell r="A120">
            <v>30003</v>
          </cell>
        </row>
        <row r="121">
          <cell r="A121">
            <v>30004</v>
          </cell>
        </row>
        <row r="122">
          <cell r="A122">
            <v>30005</v>
          </cell>
        </row>
        <row r="123">
          <cell r="A123">
            <v>30006</v>
          </cell>
        </row>
        <row r="124">
          <cell r="A124">
            <v>30007</v>
          </cell>
        </row>
        <row r="125">
          <cell r="A125">
            <v>30008</v>
          </cell>
        </row>
        <row r="126">
          <cell r="A126">
            <v>30009</v>
          </cell>
        </row>
        <row r="127">
          <cell r="A127">
            <v>30010</v>
          </cell>
        </row>
        <row r="128">
          <cell r="A128">
            <v>30011</v>
          </cell>
        </row>
        <row r="129">
          <cell r="A129">
            <v>30012</v>
          </cell>
        </row>
        <row r="130">
          <cell r="A130">
            <v>30013</v>
          </cell>
        </row>
        <row r="131">
          <cell r="A131">
            <v>30014</v>
          </cell>
        </row>
        <row r="132">
          <cell r="A132">
            <v>30015</v>
          </cell>
        </row>
        <row r="133">
          <cell r="A133">
            <v>30016</v>
          </cell>
        </row>
        <row r="134">
          <cell r="A134">
            <v>30017</v>
          </cell>
        </row>
        <row r="135">
          <cell r="A135">
            <v>30018</v>
          </cell>
        </row>
        <row r="136">
          <cell r="A136">
            <v>30019</v>
          </cell>
        </row>
        <row r="137">
          <cell r="A137">
            <v>30020</v>
          </cell>
        </row>
        <row r="138">
          <cell r="A138">
            <v>30021</v>
          </cell>
        </row>
        <row r="139">
          <cell r="A139">
            <v>30022</v>
          </cell>
        </row>
        <row r="140">
          <cell r="A140">
            <v>30023</v>
          </cell>
        </row>
        <row r="141">
          <cell r="A141">
            <v>30024</v>
          </cell>
        </row>
        <row r="142">
          <cell r="A142">
            <v>30025</v>
          </cell>
        </row>
        <row r="143">
          <cell r="A143">
            <v>30026</v>
          </cell>
        </row>
        <row r="144">
          <cell r="A144">
            <v>30027</v>
          </cell>
        </row>
        <row r="145">
          <cell r="A145">
            <v>30028</v>
          </cell>
        </row>
        <row r="146">
          <cell r="A146">
            <v>30029</v>
          </cell>
        </row>
        <row r="147">
          <cell r="A147">
            <v>30030</v>
          </cell>
        </row>
        <row r="148">
          <cell r="A148">
            <v>30031</v>
          </cell>
        </row>
        <row r="149">
          <cell r="A149">
            <v>30032</v>
          </cell>
        </row>
        <row r="150">
          <cell r="A150">
            <v>30033</v>
          </cell>
        </row>
        <row r="151">
          <cell r="A151">
            <v>30034</v>
          </cell>
        </row>
        <row r="152">
          <cell r="A152">
            <v>30035</v>
          </cell>
        </row>
        <row r="153">
          <cell r="A153">
            <v>30036</v>
          </cell>
        </row>
        <row r="154">
          <cell r="A154">
            <v>30037</v>
          </cell>
        </row>
        <row r="155">
          <cell r="A155">
            <v>30038</v>
          </cell>
        </row>
        <row r="156">
          <cell r="A156">
            <v>39001</v>
          </cell>
        </row>
        <row r="157">
          <cell r="A157">
            <v>39002</v>
          </cell>
        </row>
        <row r="158">
          <cell r="A158">
            <v>39003</v>
          </cell>
        </row>
        <row r="159">
          <cell r="A159">
            <v>39004</v>
          </cell>
        </row>
        <row r="160">
          <cell r="A160">
            <v>39005</v>
          </cell>
        </row>
        <row r="161">
          <cell r="A161">
            <v>39006</v>
          </cell>
        </row>
        <row r="162">
          <cell r="A162">
            <v>40001</v>
          </cell>
        </row>
        <row r="163">
          <cell r="A163">
            <v>40002</v>
          </cell>
        </row>
        <row r="164">
          <cell r="A164">
            <v>40003</v>
          </cell>
        </row>
        <row r="165">
          <cell r="A165">
            <v>40004</v>
          </cell>
        </row>
        <row r="166">
          <cell r="A166">
            <v>40005</v>
          </cell>
        </row>
        <row r="167">
          <cell r="A167">
            <v>40006</v>
          </cell>
        </row>
        <row r="168">
          <cell r="A168">
            <v>40007</v>
          </cell>
        </row>
        <row r="169">
          <cell r="A169">
            <v>40008</v>
          </cell>
        </row>
        <row r="170">
          <cell r="A170">
            <v>40009</v>
          </cell>
        </row>
        <row r="171">
          <cell r="A171">
            <v>40010</v>
          </cell>
        </row>
        <row r="172">
          <cell r="A172">
            <v>40011</v>
          </cell>
        </row>
        <row r="173">
          <cell r="A173">
            <v>40012</v>
          </cell>
        </row>
        <row r="174">
          <cell r="A174">
            <v>40013</v>
          </cell>
        </row>
        <row r="175">
          <cell r="A175">
            <v>40014</v>
          </cell>
        </row>
        <row r="176">
          <cell r="A176">
            <v>40015</v>
          </cell>
        </row>
        <row r="177">
          <cell r="A177">
            <v>40016</v>
          </cell>
        </row>
        <row r="178">
          <cell r="A178">
            <v>40017</v>
          </cell>
        </row>
        <row r="179">
          <cell r="A179">
            <v>40018</v>
          </cell>
        </row>
        <row r="180">
          <cell r="A180">
            <v>40019</v>
          </cell>
        </row>
        <row r="181">
          <cell r="A181">
            <v>40021</v>
          </cell>
        </row>
        <row r="182">
          <cell r="A182">
            <v>40022</v>
          </cell>
        </row>
        <row r="183">
          <cell r="A183">
            <v>48001</v>
          </cell>
        </row>
        <row r="184">
          <cell r="A184">
            <v>48002</v>
          </cell>
        </row>
        <row r="185">
          <cell r="A185">
            <v>48003</v>
          </cell>
        </row>
        <row r="186">
          <cell r="A186">
            <v>48004</v>
          </cell>
        </row>
        <row r="187">
          <cell r="A187">
            <v>41001</v>
          </cell>
        </row>
        <row r="188">
          <cell r="A188">
            <v>41002</v>
          </cell>
        </row>
        <row r="189">
          <cell r="A189">
            <v>41003</v>
          </cell>
        </row>
        <row r="190">
          <cell r="A190">
            <v>41004</v>
          </cell>
        </row>
        <row r="191">
          <cell r="A191">
            <v>41005</v>
          </cell>
        </row>
        <row r="192">
          <cell r="A192">
            <v>41006</v>
          </cell>
        </row>
        <row r="193">
          <cell r="A193">
            <v>41007</v>
          </cell>
        </row>
        <row r="194">
          <cell r="A194">
            <v>41008</v>
          </cell>
        </row>
        <row r="195">
          <cell r="A195">
            <v>41009</v>
          </cell>
        </row>
        <row r="196">
          <cell r="A196">
            <v>41010</v>
          </cell>
        </row>
        <row r="197">
          <cell r="A197">
            <v>41011</v>
          </cell>
        </row>
        <row r="198">
          <cell r="A198">
            <v>41012</v>
          </cell>
        </row>
        <row r="199">
          <cell r="A199">
            <v>41013</v>
          </cell>
        </row>
        <row r="200">
          <cell r="A200">
            <v>41014</v>
          </cell>
        </row>
        <row r="201">
          <cell r="A201">
            <v>41015</v>
          </cell>
        </row>
        <row r="202">
          <cell r="A202">
            <v>47001</v>
          </cell>
        </row>
        <row r="203">
          <cell r="A203">
            <v>47002</v>
          </cell>
        </row>
        <row r="204">
          <cell r="A204">
            <v>49001</v>
          </cell>
        </row>
        <row r="205">
          <cell r="A205">
            <v>49002</v>
          </cell>
        </row>
        <row r="206">
          <cell r="A206">
            <v>49003</v>
          </cell>
        </row>
        <row r="207">
          <cell r="A207">
            <v>49004</v>
          </cell>
        </row>
        <row r="208">
          <cell r="A208">
            <v>49005</v>
          </cell>
        </row>
        <row r="209">
          <cell r="A209">
            <v>49006</v>
          </cell>
        </row>
        <row r="210">
          <cell r="A210">
            <v>50001</v>
          </cell>
        </row>
        <row r="211">
          <cell r="A211">
            <v>50002</v>
          </cell>
        </row>
        <row r="212">
          <cell r="A212">
            <v>50003</v>
          </cell>
        </row>
        <row r="213">
          <cell r="A213">
            <v>50004</v>
          </cell>
        </row>
        <row r="214">
          <cell r="A214">
            <v>50005</v>
          </cell>
        </row>
        <row r="215">
          <cell r="A215">
            <v>50006</v>
          </cell>
        </row>
        <row r="216">
          <cell r="A216">
            <v>51001</v>
          </cell>
        </row>
        <row r="217">
          <cell r="A217">
            <v>51002</v>
          </cell>
        </row>
        <row r="218">
          <cell r="A218">
            <v>60001</v>
          </cell>
        </row>
        <row r="219">
          <cell r="A219">
            <v>60002</v>
          </cell>
        </row>
        <row r="220">
          <cell r="A220">
            <v>60003</v>
          </cell>
        </row>
        <row r="221">
          <cell r="A221">
            <v>60004</v>
          </cell>
        </row>
        <row r="222">
          <cell r="A222">
            <v>60005</v>
          </cell>
        </row>
        <row r="223">
          <cell r="A223">
            <v>60006</v>
          </cell>
        </row>
        <row r="224">
          <cell r="A224">
            <v>60007</v>
          </cell>
        </row>
        <row r="225">
          <cell r="A225">
            <v>60010</v>
          </cell>
        </row>
        <row r="226">
          <cell r="A226">
            <v>60011</v>
          </cell>
        </row>
        <row r="227">
          <cell r="A227">
            <v>61011</v>
          </cell>
        </row>
        <row r="228">
          <cell r="A228">
            <v>60012</v>
          </cell>
        </row>
        <row r="229">
          <cell r="A229">
            <v>60013</v>
          </cell>
        </row>
        <row r="230">
          <cell r="A230">
            <v>60014</v>
          </cell>
        </row>
        <row r="231">
          <cell r="A231">
            <v>65534</v>
          </cell>
        </row>
        <row r="232">
          <cell r="A232">
            <v>65535</v>
          </cell>
        </row>
        <row r="233">
          <cell r="A233">
            <v>60021</v>
          </cell>
        </row>
        <row r="234">
          <cell r="A234">
            <v>60022</v>
          </cell>
        </row>
        <row r="235">
          <cell r="A235">
            <v>60023</v>
          </cell>
        </row>
        <row r="236">
          <cell r="A236">
            <v>60024</v>
          </cell>
        </row>
      </sheetData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2280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2460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2670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2980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3750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2310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2490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2700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3010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3780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2410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2590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2800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3120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3880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2610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2790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3000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3310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4080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2850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3030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3240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3550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5250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11007_1</v>
          </cell>
          <cell r="B223">
            <v>3</v>
          </cell>
          <cell r="C223">
            <v>11007</v>
          </cell>
          <cell r="D223" t="str">
            <v>【土曜限定】 赤と緑の素材</v>
          </cell>
          <cell r="E223" t="str">
            <v>土曜クエスト</v>
          </cell>
          <cell r="F223">
            <v>1</v>
          </cell>
          <cell r="G223" t="str">
            <v>ja</v>
          </cell>
          <cell r="H223" t="str">
            <v xml:space="preserve">【初級】火と樹のチェシャ猫 </v>
          </cell>
          <cell r="I223" t="str">
            <v>初級</v>
          </cell>
          <cell r="J223">
            <v>101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104</v>
          </cell>
          <cell r="AD223">
            <v>6</v>
          </cell>
          <cell r="AE223" t="str">
            <v>everyone</v>
          </cell>
        </row>
        <row r="224">
          <cell r="A224" t="str">
            <v>11007_2</v>
          </cell>
          <cell r="B224">
            <v>3</v>
          </cell>
          <cell r="C224">
            <v>11007</v>
          </cell>
          <cell r="D224" t="str">
            <v>【土曜限定】 赤と緑の素材</v>
          </cell>
          <cell r="E224" t="str">
            <v>土曜クエスト</v>
          </cell>
          <cell r="F224">
            <v>2</v>
          </cell>
          <cell r="G224" t="str">
            <v>ja</v>
          </cell>
          <cell r="H224" t="str">
            <v xml:space="preserve">【中級】火と樹のウサギ </v>
          </cell>
          <cell r="I224" t="str">
            <v>中級</v>
          </cell>
          <cell r="J224">
            <v>106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102</v>
          </cell>
          <cell r="AD224">
            <v>6</v>
          </cell>
          <cell r="AE224" t="str">
            <v>everyone</v>
          </cell>
        </row>
        <row r="225">
          <cell r="A225" t="str">
            <v>11007_3</v>
          </cell>
          <cell r="B225">
            <v>3</v>
          </cell>
          <cell r="C225">
            <v>11007</v>
          </cell>
          <cell r="D225" t="str">
            <v>【土曜限定】 赤と緑の素材</v>
          </cell>
          <cell r="E225" t="str">
            <v>土曜クエスト</v>
          </cell>
          <cell r="F225">
            <v>3</v>
          </cell>
          <cell r="G225" t="str">
            <v>ja</v>
          </cell>
          <cell r="H225" t="str">
            <v xml:space="preserve">【上級】火と樹のイモムシ </v>
          </cell>
          <cell r="I225" t="str">
            <v>上級</v>
          </cell>
          <cell r="J225">
            <v>103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104</v>
          </cell>
          <cell r="AD225">
            <v>6</v>
          </cell>
          <cell r="AE225" t="str">
            <v>everyone</v>
          </cell>
        </row>
        <row r="226">
          <cell r="A226" t="str">
            <v>11007_4</v>
          </cell>
          <cell r="B226">
            <v>3</v>
          </cell>
          <cell r="C226">
            <v>11007</v>
          </cell>
          <cell r="D226" t="str">
            <v>【土曜限定】 赤と緑の素材</v>
          </cell>
          <cell r="E226" t="str">
            <v>土曜クエスト</v>
          </cell>
          <cell r="F226">
            <v>4</v>
          </cell>
          <cell r="G226" t="str">
            <v>ja</v>
          </cell>
          <cell r="H226" t="str">
            <v xml:space="preserve">【超級】火と樹の帽子屋 </v>
          </cell>
          <cell r="I226" t="str">
            <v>超級（★5覚醒素材）</v>
          </cell>
          <cell r="J226">
            <v>108</v>
          </cell>
          <cell r="K226">
            <v>30</v>
          </cell>
          <cell r="L226">
            <v>1400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102</v>
          </cell>
          <cell r="AD226">
            <v>6</v>
          </cell>
          <cell r="AE226" t="str">
            <v>everyone</v>
          </cell>
        </row>
        <row r="227">
          <cell r="A227" t="str">
            <v>11007_5</v>
          </cell>
          <cell r="B227">
            <v>3</v>
          </cell>
          <cell r="C227">
            <v>11007</v>
          </cell>
          <cell r="D227" t="str">
            <v>【土曜限定】 赤と緑の素材</v>
          </cell>
          <cell r="E227" t="str">
            <v>土曜クエスト</v>
          </cell>
          <cell r="F227">
            <v>5</v>
          </cell>
          <cell r="G227" t="str">
            <v>ja</v>
          </cell>
          <cell r="H227" t="str">
            <v>【超絶級】ドードーとグリフォン</v>
          </cell>
          <cell r="I227" t="str">
            <v>超絶級（★6覚醒素材）</v>
          </cell>
          <cell r="J227">
            <v>356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104</v>
          </cell>
          <cell r="AD227">
            <v>6</v>
          </cell>
          <cell r="AE227" t="str">
            <v>everyone</v>
          </cell>
        </row>
        <row r="228">
          <cell r="A228" t="str">
            <v>11008_1</v>
          </cell>
          <cell r="B228">
            <v>3</v>
          </cell>
          <cell r="C228">
            <v>11008</v>
          </cell>
          <cell r="D228" t="str">
            <v>【日曜限定】 青と黄の素材</v>
          </cell>
          <cell r="E228" t="str">
            <v>日曜クエスト</v>
          </cell>
          <cell r="F228">
            <v>1</v>
          </cell>
          <cell r="G228" t="str">
            <v>ja</v>
          </cell>
          <cell r="H228" t="str">
            <v xml:space="preserve">【初級】水と雷のチェシャ猫 </v>
          </cell>
          <cell r="I228" t="str">
            <v>初級</v>
          </cell>
          <cell r="J228">
            <v>109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103</v>
          </cell>
          <cell r="AD228">
            <v>6</v>
          </cell>
          <cell r="AE228" t="str">
            <v>everyone</v>
          </cell>
        </row>
        <row r="229">
          <cell r="A229" t="str">
            <v>11008_2</v>
          </cell>
          <cell r="B229">
            <v>3</v>
          </cell>
          <cell r="C229">
            <v>11008</v>
          </cell>
          <cell r="D229" t="str">
            <v>【日曜限定】 青と黄の素材</v>
          </cell>
          <cell r="E229" t="str">
            <v>日曜クエスト</v>
          </cell>
          <cell r="F229">
            <v>2</v>
          </cell>
          <cell r="G229" t="str">
            <v>ja</v>
          </cell>
          <cell r="H229" t="str">
            <v xml:space="preserve">【中級】水と雷のウサギ </v>
          </cell>
          <cell r="I229" t="str">
            <v>中級</v>
          </cell>
          <cell r="J229">
            <v>114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101</v>
          </cell>
          <cell r="AD229">
            <v>6</v>
          </cell>
          <cell r="AE229" t="str">
            <v>everyone</v>
          </cell>
        </row>
        <row r="230">
          <cell r="A230" t="str">
            <v>11008_3</v>
          </cell>
          <cell r="B230">
            <v>3</v>
          </cell>
          <cell r="C230">
            <v>11008</v>
          </cell>
          <cell r="D230" t="str">
            <v>【日曜限定】 青と黄の素材</v>
          </cell>
          <cell r="E230" t="str">
            <v>日曜クエスト</v>
          </cell>
          <cell r="F230">
            <v>3</v>
          </cell>
          <cell r="G230" t="str">
            <v>ja</v>
          </cell>
          <cell r="H230" t="str">
            <v xml:space="preserve">【上級】水と雷のイモムシ </v>
          </cell>
          <cell r="I230" t="str">
            <v>上級</v>
          </cell>
          <cell r="J230">
            <v>111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103</v>
          </cell>
          <cell r="AD230">
            <v>6</v>
          </cell>
          <cell r="AE230" t="str">
            <v>everyone</v>
          </cell>
        </row>
        <row r="231">
          <cell r="A231" t="str">
            <v>11008_4</v>
          </cell>
          <cell r="B231">
            <v>3</v>
          </cell>
          <cell r="C231">
            <v>11008</v>
          </cell>
          <cell r="D231" t="str">
            <v>【日曜限定】 青と黄の素材</v>
          </cell>
          <cell r="E231" t="str">
            <v>日曜クエスト</v>
          </cell>
          <cell r="F231">
            <v>4</v>
          </cell>
          <cell r="G231" t="str">
            <v>ja</v>
          </cell>
          <cell r="H231" t="str">
            <v xml:space="preserve">【超級】水と雷の帽子屋 </v>
          </cell>
          <cell r="I231" t="str">
            <v>超級（★5覚醒素材）</v>
          </cell>
          <cell r="J231">
            <v>116</v>
          </cell>
          <cell r="K231">
            <v>30</v>
          </cell>
          <cell r="L231">
            <v>1400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101</v>
          </cell>
          <cell r="AD231">
            <v>6</v>
          </cell>
          <cell r="AE231" t="str">
            <v>everyone</v>
          </cell>
        </row>
        <row r="232">
          <cell r="A232" t="str">
            <v>11008_5</v>
          </cell>
          <cell r="B232">
            <v>3</v>
          </cell>
          <cell r="C232">
            <v>11008</v>
          </cell>
          <cell r="D232" t="str">
            <v>【日曜限定】 青と黄の素材</v>
          </cell>
          <cell r="E232" t="str">
            <v>日曜クエスト</v>
          </cell>
          <cell r="F232">
            <v>5</v>
          </cell>
          <cell r="G232" t="str">
            <v>ja</v>
          </cell>
          <cell r="H232" t="str">
            <v>【超絶級】ウミガメとネズミ</v>
          </cell>
          <cell r="I232" t="str">
            <v>超絶級（★6覚醒素材）</v>
          </cell>
          <cell r="J232">
            <v>358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103</v>
          </cell>
          <cell r="AD232">
            <v>6</v>
          </cell>
          <cell r="AE232" t="str">
            <v>everyone</v>
          </cell>
        </row>
        <row r="233">
          <cell r="A233" t="str">
            <v>11101_1</v>
          </cell>
          <cell r="B233">
            <v>3</v>
          </cell>
          <cell r="C233">
            <v>11101</v>
          </cell>
          <cell r="D233" t="str">
            <v>【期間限定】 黄の素材</v>
          </cell>
          <cell r="E233" t="str">
            <v>月曜クエスト</v>
          </cell>
          <cell r="F233">
            <v>1</v>
          </cell>
          <cell r="G233" t="str">
            <v>ja</v>
          </cell>
          <cell r="H233" t="str">
            <v>【初級】雷のチェシャ猫</v>
          </cell>
          <cell r="I233" t="str">
            <v>初級</v>
          </cell>
          <cell r="J233">
            <v>113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101</v>
          </cell>
          <cell r="AD233">
            <v>6</v>
          </cell>
          <cell r="AE233" t="str">
            <v>everyone</v>
          </cell>
        </row>
        <row r="234">
          <cell r="A234" t="str">
            <v>11101_2</v>
          </cell>
          <cell r="B234">
            <v>3</v>
          </cell>
          <cell r="C234">
            <v>11101</v>
          </cell>
          <cell r="D234" t="str">
            <v>【期間限定】 黄の素材</v>
          </cell>
          <cell r="E234" t="str">
            <v>月曜クエスト</v>
          </cell>
          <cell r="F234">
            <v>2</v>
          </cell>
          <cell r="G234" t="str">
            <v>ja</v>
          </cell>
          <cell r="H234" t="str">
            <v xml:space="preserve">【中級】雷のウサギ </v>
          </cell>
          <cell r="I234" t="str">
            <v>中級</v>
          </cell>
          <cell r="J234">
            <v>114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101</v>
          </cell>
          <cell r="AD234">
            <v>6</v>
          </cell>
          <cell r="AE234" t="str">
            <v>everyone</v>
          </cell>
        </row>
        <row r="235">
          <cell r="A235" t="str">
            <v>11101_3</v>
          </cell>
          <cell r="B235">
            <v>0</v>
          </cell>
          <cell r="C235">
            <v>11101</v>
          </cell>
          <cell r="D235" t="str">
            <v>【期間限定】 黄の素材</v>
          </cell>
          <cell r="E235" t="str">
            <v>月曜クエスト</v>
          </cell>
          <cell r="F235">
            <v>3</v>
          </cell>
          <cell r="G235" t="str">
            <v>ja</v>
          </cell>
          <cell r="H235" t="str">
            <v>【上級】雷のイモムシ</v>
          </cell>
          <cell r="I235" t="str">
            <v>上級</v>
          </cell>
          <cell r="J235">
            <v>115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101</v>
          </cell>
          <cell r="AD235">
            <v>6</v>
          </cell>
          <cell r="AE235" t="str">
            <v>everyone</v>
          </cell>
        </row>
        <row r="236">
          <cell r="A236" t="str">
            <v>11101_4</v>
          </cell>
          <cell r="B236">
            <v>3</v>
          </cell>
          <cell r="C236">
            <v>11101</v>
          </cell>
          <cell r="D236" t="str">
            <v>【期間限定】 黄の素材</v>
          </cell>
          <cell r="E236" t="str">
            <v>月曜クエスト</v>
          </cell>
          <cell r="F236">
            <v>4</v>
          </cell>
          <cell r="G236" t="str">
            <v>ja</v>
          </cell>
          <cell r="H236" t="str">
            <v>【上級】雷のイモムシ</v>
          </cell>
          <cell r="I236" t="str">
            <v>上級</v>
          </cell>
          <cell r="J236">
            <v>115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101</v>
          </cell>
          <cell r="AD236">
            <v>6</v>
          </cell>
          <cell r="AE236" t="str">
            <v>everyone</v>
          </cell>
        </row>
        <row r="237">
          <cell r="A237" t="str">
            <v>11101_10</v>
          </cell>
          <cell r="B237">
            <v>3</v>
          </cell>
          <cell r="C237">
            <v>11101</v>
          </cell>
          <cell r="D237" t="str">
            <v>【期間限定】 黄の素材</v>
          </cell>
          <cell r="E237" t="str">
            <v>月曜クエスト</v>
          </cell>
          <cell r="F237">
            <v>10</v>
          </cell>
          <cell r="G237" t="str">
            <v>ja</v>
          </cell>
          <cell r="H237" t="str">
            <v>【超絶級】醒電の眠りネズミ</v>
          </cell>
          <cell r="I237" t="str">
            <v>超絶級（★6覚醒素材）</v>
          </cell>
          <cell r="J237">
            <v>359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101</v>
          </cell>
          <cell r="AD237">
            <v>6</v>
          </cell>
          <cell r="AE237" t="str">
            <v>everyone</v>
          </cell>
        </row>
        <row r="238">
          <cell r="A238" t="str">
            <v>11102_1</v>
          </cell>
          <cell r="B238">
            <v>3</v>
          </cell>
          <cell r="C238">
            <v>11102</v>
          </cell>
          <cell r="D238" t="str">
            <v>【期間限定】 赤の素材</v>
          </cell>
          <cell r="E238" t="str">
            <v>火曜クエスト</v>
          </cell>
          <cell r="F238">
            <v>1</v>
          </cell>
          <cell r="G238" t="str">
            <v>ja</v>
          </cell>
          <cell r="H238" t="str">
            <v xml:space="preserve">【初級】火のチェシャ猫 </v>
          </cell>
          <cell r="I238" t="str">
            <v>初級</v>
          </cell>
          <cell r="J238">
            <v>101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102</v>
          </cell>
          <cell r="AD238">
            <v>6</v>
          </cell>
          <cell r="AE238" t="str">
            <v>everyone</v>
          </cell>
        </row>
        <row r="239">
          <cell r="A239" t="str">
            <v>11102_2</v>
          </cell>
          <cell r="B239">
            <v>3</v>
          </cell>
          <cell r="C239">
            <v>11102</v>
          </cell>
          <cell r="D239" t="str">
            <v>【期間限定】 赤の素材</v>
          </cell>
          <cell r="E239" t="str">
            <v>火曜クエスト</v>
          </cell>
          <cell r="F239">
            <v>2</v>
          </cell>
          <cell r="G239" t="str">
            <v>ja</v>
          </cell>
          <cell r="H239" t="str">
            <v xml:space="preserve">【中級】火のウサギ </v>
          </cell>
          <cell r="I239" t="str">
            <v>中級</v>
          </cell>
          <cell r="J239">
            <v>102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102</v>
          </cell>
          <cell r="AD239">
            <v>6</v>
          </cell>
          <cell r="AE239" t="str">
            <v>everyone</v>
          </cell>
        </row>
        <row r="240">
          <cell r="A240" t="str">
            <v>11102_3</v>
          </cell>
          <cell r="B240">
            <v>0</v>
          </cell>
          <cell r="C240">
            <v>11102</v>
          </cell>
          <cell r="D240" t="str">
            <v>【期間限定】 赤の素材</v>
          </cell>
          <cell r="E240" t="str">
            <v>火曜クエスト</v>
          </cell>
          <cell r="F240">
            <v>3</v>
          </cell>
          <cell r="G240" t="str">
            <v>ja</v>
          </cell>
          <cell r="H240" t="str">
            <v xml:space="preserve">【上級】火のイモムシ </v>
          </cell>
          <cell r="I240" t="str">
            <v>上級</v>
          </cell>
          <cell r="J240">
            <v>103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102</v>
          </cell>
          <cell r="AD240">
            <v>6</v>
          </cell>
          <cell r="AE240" t="str">
            <v>everyone</v>
          </cell>
        </row>
        <row r="241">
          <cell r="A241" t="str">
            <v>11102_4</v>
          </cell>
          <cell r="B241">
            <v>3</v>
          </cell>
          <cell r="C241">
            <v>11102</v>
          </cell>
          <cell r="D241" t="str">
            <v>【期間限定】 赤の素材</v>
          </cell>
          <cell r="E241" t="str">
            <v>火曜クエスト</v>
          </cell>
          <cell r="F241">
            <v>4</v>
          </cell>
          <cell r="G241" t="str">
            <v>ja</v>
          </cell>
          <cell r="H241" t="str">
            <v xml:space="preserve">【上級】火のイモムシ </v>
          </cell>
          <cell r="I241" t="str">
            <v>上級</v>
          </cell>
          <cell r="J241">
            <v>103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102</v>
          </cell>
          <cell r="AD241">
            <v>6</v>
          </cell>
          <cell r="AE241" t="str">
            <v>everyone</v>
          </cell>
        </row>
        <row r="242">
          <cell r="A242" t="str">
            <v>11102_10</v>
          </cell>
          <cell r="B242">
            <v>3</v>
          </cell>
          <cell r="C242">
            <v>11102</v>
          </cell>
          <cell r="D242" t="str">
            <v>【期間限定】 赤の素材</v>
          </cell>
          <cell r="E242" t="str">
            <v>火曜クエスト</v>
          </cell>
          <cell r="F242">
            <v>10</v>
          </cell>
          <cell r="G242" t="str">
            <v>ja</v>
          </cell>
          <cell r="H242" t="str">
            <v>【超絶級】炎上のドードー</v>
          </cell>
          <cell r="I242" t="str">
            <v>超絶級（★6覚醒素材）</v>
          </cell>
          <cell r="J242">
            <v>356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102</v>
          </cell>
          <cell r="AD242">
            <v>6</v>
          </cell>
          <cell r="AE242" t="str">
            <v>everyone</v>
          </cell>
        </row>
        <row r="243">
          <cell r="A243" t="str">
            <v>11103_1</v>
          </cell>
          <cell r="B243">
            <v>3</v>
          </cell>
          <cell r="C243">
            <v>11103</v>
          </cell>
          <cell r="D243" t="str">
            <v>【期間限定】 青の素材</v>
          </cell>
          <cell r="E243" t="str">
            <v>水曜クエスト</v>
          </cell>
          <cell r="F243">
            <v>1</v>
          </cell>
          <cell r="G243" t="str">
            <v>ja</v>
          </cell>
          <cell r="H243" t="str">
            <v>【初級】水のチェシャ猫</v>
          </cell>
          <cell r="I243" t="str">
            <v>初級</v>
          </cell>
          <cell r="J243">
            <v>109</v>
          </cell>
          <cell r="K243">
            <v>8</v>
          </cell>
          <cell r="L243">
            <v>240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103</v>
          </cell>
          <cell r="AD243">
            <v>6</v>
          </cell>
          <cell r="AE243" t="str">
            <v>everyone</v>
          </cell>
        </row>
        <row r="244">
          <cell r="A244" t="str">
            <v>11103_2</v>
          </cell>
          <cell r="B244">
            <v>3</v>
          </cell>
          <cell r="C244">
            <v>11103</v>
          </cell>
          <cell r="D244" t="str">
            <v>【期間限定】 青の素材</v>
          </cell>
          <cell r="E244" t="str">
            <v>水曜クエスト</v>
          </cell>
          <cell r="F244">
            <v>2</v>
          </cell>
          <cell r="G244" t="str">
            <v>ja</v>
          </cell>
          <cell r="H244" t="str">
            <v xml:space="preserve">【中級】水のウサギ </v>
          </cell>
          <cell r="I244" t="str">
            <v>中級</v>
          </cell>
          <cell r="J244">
            <v>110</v>
          </cell>
          <cell r="K244">
            <v>15</v>
          </cell>
          <cell r="L244">
            <v>525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103</v>
          </cell>
          <cell r="AD244">
            <v>6</v>
          </cell>
          <cell r="AE244" t="str">
            <v>everyone</v>
          </cell>
        </row>
        <row r="245">
          <cell r="A245" t="str">
            <v>11103_3</v>
          </cell>
          <cell r="B245">
            <v>0</v>
          </cell>
          <cell r="C245">
            <v>11103</v>
          </cell>
          <cell r="D245" t="str">
            <v>【期間限定】 青の素材</v>
          </cell>
          <cell r="E245" t="str">
            <v>水曜クエスト</v>
          </cell>
          <cell r="F245">
            <v>3</v>
          </cell>
          <cell r="G245" t="str">
            <v>ja</v>
          </cell>
          <cell r="H245" t="str">
            <v xml:space="preserve">【上級】水のイモムシ </v>
          </cell>
          <cell r="I245" t="str">
            <v>上級</v>
          </cell>
          <cell r="J245">
            <v>111</v>
          </cell>
          <cell r="K245">
            <v>20</v>
          </cell>
          <cell r="L245">
            <v>860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everyone</v>
          </cell>
        </row>
        <row r="246">
          <cell r="A246" t="str">
            <v>11103_4</v>
          </cell>
          <cell r="B246">
            <v>3</v>
          </cell>
          <cell r="C246">
            <v>11103</v>
          </cell>
          <cell r="D246" t="str">
            <v>【期間限定】 青の素材</v>
          </cell>
          <cell r="E246" t="str">
            <v>水曜クエスト</v>
          </cell>
          <cell r="F246">
            <v>4</v>
          </cell>
          <cell r="G246" t="str">
            <v>ja</v>
          </cell>
          <cell r="H246" t="str">
            <v xml:space="preserve">【上級】水のイモムシ </v>
          </cell>
          <cell r="I246" t="str">
            <v>上級</v>
          </cell>
          <cell r="J246">
            <v>111</v>
          </cell>
          <cell r="K246">
            <v>20</v>
          </cell>
          <cell r="L246">
            <v>860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103</v>
          </cell>
          <cell r="AD246">
            <v>6</v>
          </cell>
          <cell r="AE246" t="str">
            <v>everyone</v>
          </cell>
        </row>
        <row r="247">
          <cell r="A247" t="str">
            <v>11103_10</v>
          </cell>
          <cell r="B247">
            <v>3</v>
          </cell>
          <cell r="C247">
            <v>11103</v>
          </cell>
          <cell r="D247" t="str">
            <v>【期間限定】 青の素材</v>
          </cell>
          <cell r="E247" t="str">
            <v>水曜クエスト</v>
          </cell>
          <cell r="F247">
            <v>10</v>
          </cell>
          <cell r="G247" t="str">
            <v>ja</v>
          </cell>
          <cell r="H247" t="str">
            <v>【超絶級】深淵の代用ウミガメ</v>
          </cell>
          <cell r="I247" t="str">
            <v>超絶級（★6覚醒素材）</v>
          </cell>
          <cell r="J247">
            <v>358</v>
          </cell>
          <cell r="K247">
            <v>35</v>
          </cell>
          <cell r="L247">
            <v>2240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103</v>
          </cell>
          <cell r="AD247">
            <v>6</v>
          </cell>
          <cell r="AE247" t="str">
            <v>everyone</v>
          </cell>
        </row>
        <row r="248">
          <cell r="A248" t="str">
            <v>11104_1</v>
          </cell>
          <cell r="B248">
            <v>3</v>
          </cell>
          <cell r="C248">
            <v>11104</v>
          </cell>
          <cell r="D248" t="str">
            <v>【期間限定】 緑の素材</v>
          </cell>
          <cell r="E248" t="str">
            <v>木曜クエスト</v>
          </cell>
          <cell r="F248">
            <v>1</v>
          </cell>
          <cell r="G248" t="str">
            <v>ja</v>
          </cell>
          <cell r="H248" t="str">
            <v xml:space="preserve">【初級】樹のチェシャ猫 </v>
          </cell>
          <cell r="I248" t="str">
            <v>初級</v>
          </cell>
          <cell r="J248">
            <v>105</v>
          </cell>
          <cell r="K248">
            <v>8</v>
          </cell>
          <cell r="L248">
            <v>240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104</v>
          </cell>
          <cell r="AD248">
            <v>6</v>
          </cell>
          <cell r="AE248" t="str">
            <v>everyone</v>
          </cell>
        </row>
        <row r="249">
          <cell r="A249" t="str">
            <v>11104_2</v>
          </cell>
          <cell r="B249">
            <v>3</v>
          </cell>
          <cell r="C249">
            <v>11104</v>
          </cell>
          <cell r="D249" t="str">
            <v>【期間限定】 緑の素材</v>
          </cell>
          <cell r="E249" t="str">
            <v>木曜クエスト</v>
          </cell>
          <cell r="F249">
            <v>2</v>
          </cell>
          <cell r="G249" t="str">
            <v>ja</v>
          </cell>
          <cell r="H249" t="str">
            <v xml:space="preserve">【中級】樹のウサギ </v>
          </cell>
          <cell r="I249" t="str">
            <v>中級</v>
          </cell>
          <cell r="J249">
            <v>106</v>
          </cell>
          <cell r="K249">
            <v>15</v>
          </cell>
          <cell r="L249">
            <v>525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104</v>
          </cell>
          <cell r="AD249">
            <v>6</v>
          </cell>
          <cell r="AE249" t="str">
            <v>everyone</v>
          </cell>
        </row>
        <row r="250">
          <cell r="A250" t="str">
            <v>11104_3</v>
          </cell>
          <cell r="B250">
            <v>0</v>
          </cell>
          <cell r="C250">
            <v>11104</v>
          </cell>
          <cell r="D250" t="str">
            <v>【期間限定】 緑の素材</v>
          </cell>
          <cell r="E250" t="str">
            <v>木曜クエスト</v>
          </cell>
          <cell r="F250">
            <v>3</v>
          </cell>
          <cell r="G250" t="str">
            <v>ja</v>
          </cell>
          <cell r="H250" t="str">
            <v>【上級】樹のイモムシ</v>
          </cell>
          <cell r="I250" t="str">
            <v>上級</v>
          </cell>
          <cell r="J250">
            <v>107</v>
          </cell>
          <cell r="K250">
            <v>20</v>
          </cell>
          <cell r="L250">
            <v>860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104</v>
          </cell>
          <cell r="AD250">
            <v>6</v>
          </cell>
          <cell r="AE250" t="str">
            <v>everyone</v>
          </cell>
        </row>
        <row r="251">
          <cell r="A251" t="str">
            <v>11104_4</v>
          </cell>
          <cell r="B251">
            <v>3</v>
          </cell>
          <cell r="C251">
            <v>11104</v>
          </cell>
          <cell r="D251" t="str">
            <v>【期間限定】 緑の素材</v>
          </cell>
          <cell r="E251" t="str">
            <v>木曜クエスト</v>
          </cell>
          <cell r="F251">
            <v>4</v>
          </cell>
          <cell r="G251" t="str">
            <v>ja</v>
          </cell>
          <cell r="H251" t="str">
            <v>【上級】樹のイモムシ</v>
          </cell>
          <cell r="I251" t="str">
            <v>上級</v>
          </cell>
          <cell r="J251">
            <v>107</v>
          </cell>
          <cell r="K251">
            <v>20</v>
          </cell>
          <cell r="L251">
            <v>860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104</v>
          </cell>
          <cell r="AD251">
            <v>6</v>
          </cell>
          <cell r="AE251" t="str">
            <v>everyone</v>
          </cell>
        </row>
        <row r="252">
          <cell r="A252" t="str">
            <v>11104_10</v>
          </cell>
          <cell r="B252">
            <v>3</v>
          </cell>
          <cell r="C252">
            <v>11104</v>
          </cell>
          <cell r="D252" t="str">
            <v>【期間限定】 緑の素材</v>
          </cell>
          <cell r="E252" t="str">
            <v>木曜クエスト</v>
          </cell>
          <cell r="F252">
            <v>10</v>
          </cell>
          <cell r="G252" t="str">
            <v>ja</v>
          </cell>
          <cell r="H252" t="str">
            <v>【超絶級】千風のグリフォン</v>
          </cell>
          <cell r="I252" t="str">
            <v>超絶級（★6覚醒素材）</v>
          </cell>
          <cell r="J252">
            <v>357</v>
          </cell>
          <cell r="K252">
            <v>35</v>
          </cell>
          <cell r="L252">
            <v>2240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104</v>
          </cell>
          <cell r="AD252">
            <v>6</v>
          </cell>
          <cell r="AE252" t="str">
            <v>everyone</v>
          </cell>
        </row>
        <row r="253">
          <cell r="A253" t="str">
            <v>11105_1</v>
          </cell>
          <cell r="B253">
            <v>3</v>
          </cell>
          <cell r="C253">
            <v>11105</v>
          </cell>
          <cell r="D253" t="str">
            <v>【期間限定】 帽子屋を追え！</v>
          </cell>
          <cell r="E253" t="str">
            <v>金曜クエスト</v>
          </cell>
          <cell r="F253">
            <v>1</v>
          </cell>
          <cell r="G253" t="str">
            <v>ja</v>
          </cell>
          <cell r="H253" t="str">
            <v xml:space="preserve">【超級】火の帽子屋 </v>
          </cell>
          <cell r="I253" t="str">
            <v>赤R5</v>
          </cell>
          <cell r="J253">
            <v>104</v>
          </cell>
          <cell r="K253">
            <v>30</v>
          </cell>
          <cell r="L253">
            <v>1400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1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102</v>
          </cell>
          <cell r="AD253">
            <v>6</v>
          </cell>
          <cell r="AE253" t="str">
            <v>everyone</v>
          </cell>
        </row>
        <row r="254">
          <cell r="A254" t="str">
            <v>11105_2</v>
          </cell>
          <cell r="B254">
            <v>3</v>
          </cell>
          <cell r="C254">
            <v>11105</v>
          </cell>
          <cell r="D254" t="str">
            <v>【期間限定】 帽子屋を追え！</v>
          </cell>
          <cell r="E254" t="str">
            <v>金曜クエスト</v>
          </cell>
          <cell r="F254">
            <v>2</v>
          </cell>
          <cell r="G254" t="str">
            <v>ja</v>
          </cell>
          <cell r="H254" t="str">
            <v>【超級】樹の帽子屋</v>
          </cell>
          <cell r="I254" t="str">
            <v>緑R5</v>
          </cell>
          <cell r="J254">
            <v>108</v>
          </cell>
          <cell r="K254">
            <v>30</v>
          </cell>
          <cell r="L254">
            <v>1400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1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104</v>
          </cell>
          <cell r="AD254">
            <v>6</v>
          </cell>
          <cell r="AE254" t="str">
            <v>everyone</v>
          </cell>
        </row>
        <row r="255">
          <cell r="A255" t="str">
            <v>11105_3</v>
          </cell>
          <cell r="B255">
            <v>3</v>
          </cell>
          <cell r="C255">
            <v>11105</v>
          </cell>
          <cell r="D255" t="str">
            <v>【期間限定】 帽子屋を追え！</v>
          </cell>
          <cell r="E255" t="str">
            <v>金曜クエスト</v>
          </cell>
          <cell r="F255">
            <v>3</v>
          </cell>
          <cell r="G255" t="str">
            <v>ja</v>
          </cell>
          <cell r="H255" t="str">
            <v xml:space="preserve">【超級】水の帽子屋 </v>
          </cell>
          <cell r="I255" t="str">
            <v>青R5</v>
          </cell>
          <cell r="J255">
            <v>112</v>
          </cell>
          <cell r="K255">
            <v>30</v>
          </cell>
          <cell r="L255">
            <v>1400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1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103</v>
          </cell>
          <cell r="AD255">
            <v>6</v>
          </cell>
          <cell r="AE255" t="str">
            <v>everyone</v>
          </cell>
        </row>
        <row r="256">
          <cell r="A256" t="str">
            <v>11105_4</v>
          </cell>
          <cell r="B256">
            <v>3</v>
          </cell>
          <cell r="C256">
            <v>11105</v>
          </cell>
          <cell r="D256" t="str">
            <v>【期間限定】 帽子屋を追え！</v>
          </cell>
          <cell r="E256" t="str">
            <v>金曜クエスト</v>
          </cell>
          <cell r="F256">
            <v>4</v>
          </cell>
          <cell r="G256" t="str">
            <v>ja</v>
          </cell>
          <cell r="H256" t="str">
            <v xml:space="preserve">【超級】雷の帽子屋 </v>
          </cell>
          <cell r="I256" t="str">
            <v>黄R5</v>
          </cell>
          <cell r="J256">
            <v>116</v>
          </cell>
          <cell r="K256">
            <v>30</v>
          </cell>
          <cell r="L256">
            <v>1400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101</v>
          </cell>
          <cell r="AD256">
            <v>6</v>
          </cell>
          <cell r="AE256" t="str">
            <v>everyone</v>
          </cell>
        </row>
        <row r="257">
          <cell r="A257" t="str">
            <v>11106_1</v>
          </cell>
          <cell r="B257">
            <v>0</v>
          </cell>
          <cell r="C257">
            <v>11106</v>
          </cell>
          <cell r="D257" t="str">
            <v>【キャンペーン限定】 ゴールドカジノ</v>
          </cell>
          <cell r="E257" t="str">
            <v>土日クエスト1</v>
          </cell>
          <cell r="F257">
            <v>1</v>
          </cell>
          <cell r="G257" t="str">
            <v>ja</v>
          </cell>
          <cell r="H257" t="str">
            <v xml:space="preserve">【初級】ゴールドカジノ </v>
          </cell>
          <cell r="I257" t="str">
            <v>初級</v>
          </cell>
          <cell r="J257">
            <v>117</v>
          </cell>
          <cell r="K257">
            <v>8</v>
          </cell>
          <cell r="L257">
            <v>140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105</v>
          </cell>
          <cell r="AD257">
            <v>6</v>
          </cell>
          <cell r="AE257" t="str">
            <v>everyone</v>
          </cell>
        </row>
        <row r="258">
          <cell r="A258" t="str">
            <v>11106_2</v>
          </cell>
          <cell r="B258">
            <v>0</v>
          </cell>
          <cell r="C258">
            <v>11106</v>
          </cell>
          <cell r="D258" t="str">
            <v>【キャンペーン限定】 ゴールドカジノ</v>
          </cell>
          <cell r="E258" t="str">
            <v>土日クエスト1</v>
          </cell>
          <cell r="F258">
            <v>2</v>
          </cell>
          <cell r="G258" t="str">
            <v>ja</v>
          </cell>
          <cell r="H258" t="str">
            <v xml:space="preserve">【中級】ゴールドカジノ </v>
          </cell>
          <cell r="I258" t="str">
            <v>中級</v>
          </cell>
          <cell r="J258">
            <v>118</v>
          </cell>
          <cell r="K258">
            <v>15</v>
          </cell>
          <cell r="L258">
            <v>350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1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105</v>
          </cell>
          <cell r="AD258">
            <v>6</v>
          </cell>
          <cell r="AE258" t="str">
            <v>everyone</v>
          </cell>
        </row>
        <row r="259">
          <cell r="A259" t="str">
            <v>11106_3</v>
          </cell>
          <cell r="B259">
            <v>0</v>
          </cell>
          <cell r="C259">
            <v>11106</v>
          </cell>
          <cell r="D259" t="str">
            <v>【キャンペーン限定】 ゴールドカジノ</v>
          </cell>
          <cell r="E259" t="str">
            <v>土日クエスト1</v>
          </cell>
          <cell r="F259">
            <v>3</v>
          </cell>
          <cell r="G259" t="str">
            <v>ja</v>
          </cell>
          <cell r="H259" t="str">
            <v xml:space="preserve">【上級】ゴールドカジノ </v>
          </cell>
          <cell r="I259" t="str">
            <v>上級</v>
          </cell>
          <cell r="J259">
            <v>119</v>
          </cell>
          <cell r="K259">
            <v>20</v>
          </cell>
          <cell r="L259">
            <v>860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1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11206_1</v>
          </cell>
          <cell r="B260">
            <v>0</v>
          </cell>
          <cell r="C260">
            <v>11206</v>
          </cell>
          <cell r="D260" t="str">
            <v>【キャンペーン限定】 ゴールドカジノ</v>
          </cell>
          <cell r="E260" t="str">
            <v>土日クエスト2</v>
          </cell>
          <cell r="F260">
            <v>1</v>
          </cell>
          <cell r="G260" t="str">
            <v>ja</v>
          </cell>
          <cell r="H260" t="str">
            <v>【初級】ゴールドカジノ</v>
          </cell>
          <cell r="I260" t="str">
            <v>初級</v>
          </cell>
          <cell r="J260">
            <v>117</v>
          </cell>
          <cell r="K260">
            <v>8</v>
          </cell>
          <cell r="L260">
            <v>140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anytime</v>
          </cell>
          <cell r="AC260">
            <v>105</v>
          </cell>
          <cell r="AD260">
            <v>6</v>
          </cell>
          <cell r="AE260" t="str">
            <v>everyone</v>
          </cell>
        </row>
        <row r="261">
          <cell r="A261" t="str">
            <v>11206_2</v>
          </cell>
          <cell r="B261">
            <v>0</v>
          </cell>
          <cell r="C261">
            <v>11206</v>
          </cell>
          <cell r="D261" t="str">
            <v>【キャンペーン限定】 ゴールドカジノ</v>
          </cell>
          <cell r="E261" t="str">
            <v>土日クエスト2</v>
          </cell>
          <cell r="F261">
            <v>2</v>
          </cell>
          <cell r="G261" t="str">
            <v>ja</v>
          </cell>
          <cell r="H261" t="str">
            <v xml:space="preserve">【中級】ゴールドカジノ </v>
          </cell>
          <cell r="I261" t="str">
            <v>中級</v>
          </cell>
          <cell r="J261">
            <v>118</v>
          </cell>
          <cell r="K261">
            <v>15</v>
          </cell>
          <cell r="L261">
            <v>350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11206_3</v>
          </cell>
          <cell r="B262">
            <v>0</v>
          </cell>
          <cell r="C262">
            <v>11206</v>
          </cell>
          <cell r="D262" t="str">
            <v>【キャンペーン限定】 ゴールドカジノ</v>
          </cell>
          <cell r="E262" t="str">
            <v>土日クエスト2</v>
          </cell>
          <cell r="F262">
            <v>3</v>
          </cell>
          <cell r="G262" t="str">
            <v>ja</v>
          </cell>
          <cell r="H262" t="str">
            <v xml:space="preserve">【上級】ゴールドカジノ </v>
          </cell>
          <cell r="I262" t="str">
            <v>上級</v>
          </cell>
          <cell r="J262">
            <v>119</v>
          </cell>
          <cell r="K262">
            <v>20</v>
          </cell>
          <cell r="L262">
            <v>860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none</v>
          </cell>
          <cell r="T262">
            <v>0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105</v>
          </cell>
          <cell r="AD262">
            <v>6</v>
          </cell>
          <cell r="AE262" t="str">
            <v>everyone</v>
          </cell>
        </row>
        <row r="263">
          <cell r="A263" t="str">
            <v>11016_1</v>
          </cell>
          <cell r="B263">
            <v>3</v>
          </cell>
          <cell r="C263">
            <v>11016</v>
          </cell>
          <cell r="D263" t="str">
            <v>【マルチ専用1/2】 ゴールドカジノ</v>
          </cell>
          <cell r="E263" t="str">
            <v>土日クエスト1</v>
          </cell>
          <cell r="F263">
            <v>1</v>
          </cell>
          <cell r="G263" t="str">
            <v>ja</v>
          </cell>
          <cell r="H263" t="str">
            <v xml:space="preserve">【上級】ゴールドカジノ </v>
          </cell>
          <cell r="I263" t="str">
            <v>上級</v>
          </cell>
          <cell r="J263">
            <v>119</v>
          </cell>
          <cell r="K263">
            <v>10</v>
          </cell>
          <cell r="L263">
            <v>860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0</v>
          </cell>
          <cell r="R263">
            <v>3</v>
          </cell>
          <cell r="S263" t="str">
            <v>none</v>
          </cell>
          <cell r="T263">
            <v>0</v>
          </cell>
          <cell r="U263" t="str">
            <v>NULL</v>
          </cell>
          <cell r="V263" t="str">
            <v>NULL</v>
          </cell>
          <cell r="W263" t="str">
            <v/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multionly</v>
          </cell>
        </row>
        <row r="264">
          <cell r="A264" t="str">
            <v>11017_1</v>
          </cell>
          <cell r="B264">
            <v>1</v>
          </cell>
          <cell r="C264">
            <v>11017</v>
          </cell>
          <cell r="D264" t="str">
            <v>ハンプティ5倍イモムシ（仮）</v>
          </cell>
          <cell r="E264" t="str">
            <v>素材クエスト（仮）</v>
          </cell>
          <cell r="F264">
            <v>1</v>
          </cell>
          <cell r="G264" t="str">
            <v>ja</v>
          </cell>
          <cell r="H264" t="str">
            <v>【上級】ハンプティ5倍イモムシ（仮）</v>
          </cell>
          <cell r="I264" t="str">
            <v>上級</v>
          </cell>
          <cell r="J264">
            <v>1</v>
          </cell>
          <cell r="K264">
            <v>1</v>
          </cell>
          <cell r="L264">
            <v>1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0</v>
          </cell>
          <cell r="R264">
            <v>3</v>
          </cell>
          <cell r="S264" t="str">
            <v>none</v>
          </cell>
          <cell r="T264">
            <v>0</v>
          </cell>
          <cell r="U264" t="str">
            <v>NULL</v>
          </cell>
          <cell r="V264" t="str">
            <v>NULL</v>
          </cell>
          <cell r="W264" t="str">
            <v/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</v>
          </cell>
          <cell r="AD264">
            <v>6</v>
          </cell>
          <cell r="AE264" t="str">
            <v>everyone</v>
          </cell>
        </row>
        <row r="265">
          <cell r="A265" t="str">
            <v>11207_1</v>
          </cell>
          <cell r="B265">
            <v>3</v>
          </cell>
          <cell r="C265">
            <v>11207</v>
          </cell>
          <cell r="D265" t="str">
            <v>果実達の大宴会</v>
          </cell>
          <cell r="E265">
            <v>0</v>
          </cell>
          <cell r="F265">
            <v>1</v>
          </cell>
          <cell r="G265" t="str">
            <v>ja</v>
          </cell>
          <cell r="H265" t="str">
            <v>【上級】果実達の大宴会</v>
          </cell>
          <cell r="I265" t="str">
            <v>ボーナス</v>
          </cell>
          <cell r="J265" t="str">
            <v>NULL</v>
          </cell>
          <cell r="K265">
            <v>20</v>
          </cell>
          <cell r="L265">
            <v>525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0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21</v>
          </cell>
          <cell r="AD265">
            <v>6</v>
          </cell>
          <cell r="AE265" t="str">
            <v>singleonly</v>
          </cell>
        </row>
        <row r="266">
          <cell r="A266" t="str">
            <v>11207_2</v>
          </cell>
          <cell r="B266">
            <v>3</v>
          </cell>
          <cell r="C266">
            <v>11207</v>
          </cell>
          <cell r="D266" t="str">
            <v>果実達の大宴会</v>
          </cell>
          <cell r="E266">
            <v>0</v>
          </cell>
          <cell r="F266">
            <v>2</v>
          </cell>
          <cell r="G266" t="str">
            <v>ja</v>
          </cell>
          <cell r="H266" t="str">
            <v>【超級】果実達の大宴会</v>
          </cell>
          <cell r="I266" t="str">
            <v>ボーナス</v>
          </cell>
          <cell r="J266">
            <v>125</v>
          </cell>
          <cell r="K266">
            <v>40</v>
          </cell>
          <cell r="L266">
            <v>860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21</v>
          </cell>
          <cell r="AD266">
            <v>6</v>
          </cell>
          <cell r="AE266" t="str">
            <v>singleonly</v>
          </cell>
        </row>
        <row r="267">
          <cell r="A267" t="str">
            <v>11208_1</v>
          </cell>
          <cell r="B267">
            <v>0</v>
          </cell>
          <cell r="C267">
            <v>11208</v>
          </cell>
          <cell r="D267" t="str">
            <v>果実達の大宴会</v>
          </cell>
          <cell r="E267">
            <v>0</v>
          </cell>
          <cell r="F267">
            <v>1</v>
          </cell>
          <cell r="G267" t="str">
            <v>ja</v>
          </cell>
          <cell r="H267" t="str">
            <v>【上級】果実達の大宴会</v>
          </cell>
          <cell r="I267" t="str">
            <v>ボーナス</v>
          </cell>
          <cell r="J267" t="str">
            <v>NULL</v>
          </cell>
          <cell r="K267">
            <v>20</v>
          </cell>
          <cell r="L267">
            <v>525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1</v>
          </cell>
          <cell r="R267">
            <v>3</v>
          </cell>
          <cell r="S267" t="str">
            <v>none</v>
          </cell>
          <cell r="T267">
            <v>0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anytime</v>
          </cell>
          <cell r="AC267">
            <v>21</v>
          </cell>
          <cell r="AD267">
            <v>6</v>
          </cell>
          <cell r="AE267" t="str">
            <v>singleonly</v>
          </cell>
        </row>
        <row r="268">
          <cell r="A268" t="str">
            <v>11208_2</v>
          </cell>
          <cell r="B268">
            <v>0</v>
          </cell>
          <cell r="C268">
            <v>11208</v>
          </cell>
          <cell r="D268" t="str">
            <v>果実達の大宴会</v>
          </cell>
          <cell r="E268">
            <v>0</v>
          </cell>
          <cell r="F268">
            <v>2</v>
          </cell>
          <cell r="G268" t="str">
            <v>ja</v>
          </cell>
          <cell r="H268" t="str">
            <v>【超級】果実達の大宴会</v>
          </cell>
          <cell r="I268" t="str">
            <v>ボーナス</v>
          </cell>
          <cell r="J268">
            <v>125</v>
          </cell>
          <cell r="K268">
            <v>40</v>
          </cell>
          <cell r="L268">
            <v>860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none</v>
          </cell>
          <cell r="T268">
            <v>0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anytime</v>
          </cell>
          <cell r="AC268">
            <v>21</v>
          </cell>
          <cell r="AD268">
            <v>6</v>
          </cell>
          <cell r="AE268" t="str">
            <v>singleonly</v>
          </cell>
        </row>
        <row r="269">
          <cell r="A269" t="str">
            <v>11209_1</v>
          </cell>
          <cell r="B269">
            <v>3</v>
          </cell>
          <cell r="C269">
            <v>11209</v>
          </cell>
          <cell r="D269" t="str">
            <v>スタートダッシュキャンペーンクエスト</v>
          </cell>
          <cell r="E269" t="str">
            <v>スタートダッシュキャンペーンクエスト</v>
          </cell>
          <cell r="F269">
            <v>1</v>
          </cell>
          <cell r="G269" t="str">
            <v>ja</v>
          </cell>
          <cell r="H269" t="str">
            <v>【初級】メタルダックを捕獲せよ！</v>
          </cell>
          <cell r="I269" t="str">
            <v>経験値ゲリラ</v>
          </cell>
          <cell r="J269">
            <v>334</v>
          </cell>
          <cell r="K269">
            <v>8</v>
          </cell>
          <cell r="L269">
            <v>140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0</v>
          </cell>
          <cell r="R269">
            <v>3</v>
          </cell>
          <cell r="S269" t="str">
            <v>none</v>
          </cell>
          <cell r="T269">
            <v>0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201</v>
          </cell>
          <cell r="AD269">
            <v>6</v>
          </cell>
          <cell r="AE269" t="str">
            <v>everyone</v>
          </cell>
        </row>
        <row r="270">
          <cell r="A270" t="str">
            <v>11209_2</v>
          </cell>
          <cell r="B270">
            <v>3</v>
          </cell>
          <cell r="C270">
            <v>11209</v>
          </cell>
          <cell r="D270" t="str">
            <v>スタートダッシュキャンペーンクエスト</v>
          </cell>
          <cell r="E270" t="str">
            <v>スタートダッシュキャンペーンクエスト</v>
          </cell>
          <cell r="F270">
            <v>2</v>
          </cell>
          <cell r="G270" t="str">
            <v>ja</v>
          </cell>
          <cell r="H270" t="str">
            <v>【初級】ゴールドカジノ</v>
          </cell>
          <cell r="I270" t="str">
            <v>初級</v>
          </cell>
          <cell r="J270">
            <v>117</v>
          </cell>
          <cell r="K270">
            <v>8</v>
          </cell>
          <cell r="L270">
            <v>140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0</v>
          </cell>
          <cell r="R270">
            <v>3</v>
          </cell>
          <cell r="S270" t="str">
            <v>none</v>
          </cell>
          <cell r="T270">
            <v>0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anytime</v>
          </cell>
          <cell r="AC270">
            <v>105</v>
          </cell>
          <cell r="AD270">
            <v>6</v>
          </cell>
          <cell r="AE270" t="str">
            <v>everyone</v>
          </cell>
        </row>
        <row r="271">
          <cell r="A271" t="str">
            <v>11212_1</v>
          </cell>
          <cell r="B271">
            <v>1</v>
          </cell>
          <cell r="C271">
            <v>11212</v>
          </cell>
          <cell r="D271" t="str">
            <v>100万DL記念★特別クエスト</v>
          </cell>
          <cell r="E271" t="str">
            <v>100万DL記念★特別クエスト</v>
          </cell>
          <cell r="F271">
            <v>1</v>
          </cell>
          <cell r="G271" t="str">
            <v>ja</v>
          </cell>
          <cell r="H271" t="str">
            <v>ミリオンダックより愛をこめて</v>
          </cell>
          <cell r="I271" t="str">
            <v>100万DL記念限定クエスト</v>
          </cell>
          <cell r="J271">
            <v>97</v>
          </cell>
          <cell r="K271">
            <v>1</v>
          </cell>
          <cell r="L271">
            <v>100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none</v>
          </cell>
          <cell r="T271">
            <v>0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once</v>
          </cell>
          <cell r="AC271">
            <v>1</v>
          </cell>
          <cell r="AD271">
            <v>6</v>
          </cell>
          <cell r="AE271" t="str">
            <v>singleonly</v>
          </cell>
        </row>
        <row r="272">
          <cell r="A272" t="str">
            <v>11213_1</v>
          </cell>
          <cell r="B272">
            <v>0</v>
          </cell>
          <cell r="C272">
            <v>11213</v>
          </cell>
          <cell r="D272" t="str">
            <v>クエスト名</v>
          </cell>
          <cell r="E272" t="str">
            <v>【超級】カジノ</v>
          </cell>
          <cell r="F272">
            <v>1</v>
          </cell>
          <cell r="G272" t="str">
            <v>ja</v>
          </cell>
          <cell r="H272" t="str">
            <v xml:space="preserve">【超級】ゴールドカジノ </v>
          </cell>
          <cell r="I272" t="str">
            <v>超級カジノ</v>
          </cell>
          <cell r="J272">
            <v>119</v>
          </cell>
          <cell r="K272">
            <v>30</v>
          </cell>
          <cell r="L272">
            <v>777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1</v>
          </cell>
          <cell r="R272">
            <v>3</v>
          </cell>
          <cell r="S272" t="str">
            <v>none</v>
          </cell>
          <cell r="T272">
            <v>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105</v>
          </cell>
          <cell r="AD272">
            <v>6</v>
          </cell>
          <cell r="AE272" t="str">
            <v>everyone</v>
          </cell>
        </row>
        <row r="273">
          <cell r="A273" t="str">
            <v>11214_1</v>
          </cell>
          <cell r="B273">
            <v>0</v>
          </cell>
          <cell r="C273">
            <v>11214</v>
          </cell>
          <cell r="D273" t="str">
            <v>プロメテウスの恋</v>
          </cell>
          <cell r="E273" t="str">
            <v>2015年クリスマスクエスト</v>
          </cell>
          <cell r="F273">
            <v>1</v>
          </cell>
          <cell r="G273" t="str">
            <v>ja</v>
          </cell>
          <cell r="H273" t="str">
            <v>【ストーリー前編】勢いまかせ</v>
          </cell>
          <cell r="I273" t="str">
            <v>2015年クリスマスクエスト</v>
          </cell>
          <cell r="J273">
            <v>202</v>
          </cell>
          <cell r="K273">
            <v>1</v>
          </cell>
          <cell r="L273">
            <v>1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character</v>
          </cell>
          <cell r="T273" t="str">
            <v>520,521,522,523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anytime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11214_2</v>
          </cell>
          <cell r="B274">
            <v>0</v>
          </cell>
          <cell r="C274">
            <v>11214</v>
          </cell>
          <cell r="D274" t="str">
            <v>プロメテウスの恋</v>
          </cell>
          <cell r="E274" t="str">
            <v>2015年クリスマスクエスト</v>
          </cell>
          <cell r="F274">
            <v>2</v>
          </cell>
          <cell r="G274" t="str">
            <v>ja</v>
          </cell>
          <cell r="H274" t="str">
            <v>【ストーリー中編】恋の奥義</v>
          </cell>
          <cell r="I274" t="str">
            <v>2015年クリスマスクエスト</v>
          </cell>
          <cell r="J274">
            <v>202</v>
          </cell>
          <cell r="K274">
            <v>1</v>
          </cell>
          <cell r="L274">
            <v>1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1</v>
          </cell>
          <cell r="R274">
            <v>3</v>
          </cell>
          <cell r="S274" t="str">
            <v>none</v>
          </cell>
          <cell r="T274">
            <v>0</v>
          </cell>
          <cell r="U274">
            <v>11214</v>
          </cell>
          <cell r="V274">
            <v>1</v>
          </cell>
          <cell r="W274" t="str">
            <v>【ストーリー前編】勢いまかせ</v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105</v>
          </cell>
          <cell r="AD274">
            <v>6</v>
          </cell>
          <cell r="AE274" t="str">
            <v>singleonly</v>
          </cell>
        </row>
        <row r="275">
          <cell r="A275" t="str">
            <v>11214_3</v>
          </cell>
          <cell r="B275">
            <v>0</v>
          </cell>
          <cell r="C275">
            <v>11214</v>
          </cell>
          <cell r="D275" t="str">
            <v>プロメテウスの恋</v>
          </cell>
          <cell r="E275" t="str">
            <v>2015年クリスマスクエスト</v>
          </cell>
          <cell r="F275">
            <v>3</v>
          </cell>
          <cell r="G275" t="str">
            <v>ja</v>
          </cell>
          <cell r="H275" t="str">
            <v>【ストーリー後編】フィーバーの力</v>
          </cell>
          <cell r="I275" t="str">
            <v>2015年クリスマスクエスト</v>
          </cell>
          <cell r="J275">
            <v>202</v>
          </cell>
          <cell r="K275">
            <v>1</v>
          </cell>
          <cell r="L275">
            <v>2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1</v>
          </cell>
          <cell r="R275">
            <v>3</v>
          </cell>
          <cell r="S275" t="str">
            <v>character</v>
          </cell>
          <cell r="T275" t="str">
            <v>520,521,522,523</v>
          </cell>
          <cell r="U275">
            <v>11214</v>
          </cell>
          <cell r="V275">
            <v>1</v>
          </cell>
          <cell r="W275" t="str">
            <v>【ストーリー前編】勢いまかせ</v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105</v>
          </cell>
          <cell r="AD275">
            <v>6</v>
          </cell>
          <cell r="AE275" t="str">
            <v>singleonly</v>
          </cell>
        </row>
        <row r="276">
          <cell r="A276" t="str">
            <v>11215_1</v>
          </cell>
          <cell r="B276">
            <v>0</v>
          </cell>
          <cell r="C276">
            <v>11215</v>
          </cell>
          <cell r="D276" t="str">
            <v>【マルチ】サンタダックを捕獲せよ！</v>
          </cell>
          <cell r="E276" t="str">
            <v>2015年クリスマスゲリラクエスト</v>
          </cell>
          <cell r="F276">
            <v>1</v>
          </cell>
          <cell r="G276" t="str">
            <v>ja</v>
          </cell>
          <cell r="H276" t="str">
            <v>【上級】サンタダックを捕獲せよ！</v>
          </cell>
          <cell r="I276" t="str">
            <v>2015年クリスマスゲリラクエスト</v>
          </cell>
          <cell r="J276">
            <v>520</v>
          </cell>
          <cell r="K276">
            <v>10</v>
          </cell>
          <cell r="L276">
            <v>350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1</v>
          </cell>
          <cell r="R276">
            <v>3</v>
          </cell>
          <cell r="S276" t="str">
            <v>none</v>
          </cell>
          <cell r="T276">
            <v>0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105</v>
          </cell>
          <cell r="AD276">
            <v>6</v>
          </cell>
          <cell r="AE276" t="str">
            <v>multionly</v>
          </cell>
        </row>
        <row r="277">
          <cell r="A277" t="str">
            <v>11216_1</v>
          </cell>
          <cell r="B277">
            <v>0</v>
          </cell>
          <cell r="C277">
            <v>11216</v>
          </cell>
          <cell r="D277" t="str">
            <v>年越し★特別クエスト</v>
          </cell>
          <cell r="E277" t="str">
            <v>2015年年越しクエスト</v>
          </cell>
          <cell r="F277">
            <v>1</v>
          </cell>
          <cell r="G277" t="str">
            <v>ja</v>
          </cell>
          <cell r="H277" t="str">
            <v>【上級】年を越える宴（ハートなし）</v>
          </cell>
          <cell r="I277" t="str">
            <v>2015年年忘れクエスト</v>
          </cell>
          <cell r="J277">
            <v>377</v>
          </cell>
          <cell r="K277">
            <v>10</v>
          </cell>
          <cell r="L277">
            <v>350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0</v>
          </cell>
          <cell r="R277">
            <v>3</v>
          </cell>
          <cell r="S277" t="str">
            <v>none</v>
          </cell>
          <cell r="T277">
            <v>0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901</v>
          </cell>
          <cell r="AD277">
            <v>6</v>
          </cell>
          <cell r="AE277" t="str">
            <v>multionly</v>
          </cell>
        </row>
        <row r="278">
          <cell r="A278" t="str">
            <v>11217_1</v>
          </cell>
          <cell r="B278">
            <v>0</v>
          </cell>
          <cell r="C278">
            <v>11217</v>
          </cell>
          <cell r="D278" t="str">
            <v>年明け★特別クエスト</v>
          </cell>
          <cell r="E278" t="str">
            <v>2016年あけおめクエスト</v>
          </cell>
          <cell r="F278">
            <v>1</v>
          </cell>
          <cell r="G278" t="str">
            <v>ja</v>
          </cell>
          <cell r="H278" t="str">
            <v>あけおめダックのお年玉</v>
          </cell>
          <cell r="I278" t="str">
            <v>2016年あけおめクエスト</v>
          </cell>
          <cell r="J278">
            <v>524</v>
          </cell>
          <cell r="K278">
            <v>1</v>
          </cell>
          <cell r="L278">
            <v>2016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0</v>
          </cell>
          <cell r="R278">
            <v>3</v>
          </cell>
          <cell r="S278" t="str">
            <v>polygon</v>
          </cell>
          <cell r="T278">
            <v>1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once</v>
          </cell>
          <cell r="AC278">
            <v>2</v>
          </cell>
          <cell r="AD278">
            <v>6</v>
          </cell>
          <cell r="AE278" t="str">
            <v>singleonly</v>
          </cell>
        </row>
        <row r="279">
          <cell r="A279" t="str">
            <v>11218_1</v>
          </cell>
          <cell r="B279">
            <v>3</v>
          </cell>
          <cell r="C279">
            <v>11218</v>
          </cell>
          <cell r="D279" t="str">
            <v>バレンタイン★特別クエスト</v>
          </cell>
          <cell r="E279" t="str">
            <v>2016年バレンタインクエスト</v>
          </cell>
          <cell r="F279">
            <v>1</v>
          </cell>
          <cell r="G279" t="str">
            <v>ja</v>
          </cell>
          <cell r="H279" t="str">
            <v>【ストーリー】バレンタイン狂想曲</v>
          </cell>
          <cell r="I279" t="str">
            <v>ストーリー</v>
          </cell>
          <cell r="J279">
            <v>572</v>
          </cell>
          <cell r="K279">
            <v>1</v>
          </cell>
          <cell r="L279">
            <v>214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polygon</v>
          </cell>
          <cell r="T279">
            <v>1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once</v>
          </cell>
          <cell r="AC279">
            <v>1</v>
          </cell>
          <cell r="AD279">
            <v>6</v>
          </cell>
          <cell r="AE279" t="str">
            <v>singleonly</v>
          </cell>
        </row>
        <row r="280">
          <cell r="A280" t="str">
            <v>11219_1</v>
          </cell>
          <cell r="B280">
            <v>3</v>
          </cell>
          <cell r="C280">
            <v>11219</v>
          </cell>
          <cell r="D280" t="str">
            <v>200万DL記念★特別クエスト</v>
          </cell>
          <cell r="E280" t="str">
            <v>200万DL記念★特別クエスト</v>
          </cell>
          <cell r="F280">
            <v>1</v>
          </cell>
          <cell r="G280" t="str">
            <v>ja</v>
          </cell>
          <cell r="H280" t="str">
            <v>ミリオンダックより愛を込めて 2</v>
          </cell>
          <cell r="I280" t="str">
            <v>200万DL記念限定クエスト</v>
          </cell>
          <cell r="J280">
            <v>97</v>
          </cell>
          <cell r="K280">
            <v>1</v>
          </cell>
          <cell r="L280">
            <v>200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polygon</v>
          </cell>
          <cell r="T280">
            <v>1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1</v>
          </cell>
          <cell r="AD280">
            <v>6</v>
          </cell>
          <cell r="AE280" t="str">
            <v>singleonly</v>
          </cell>
        </row>
        <row r="281">
          <cell r="A281" t="str">
            <v>11220_1</v>
          </cell>
          <cell r="B281">
            <v>3</v>
          </cell>
          <cell r="C281">
            <v>11220</v>
          </cell>
          <cell r="D281" t="str">
            <v>ホワイトデー★特別クエスト</v>
          </cell>
          <cell r="E281" t="str">
            <v>2016年ホワイトデークエスト</v>
          </cell>
          <cell r="F281">
            <v>1</v>
          </cell>
          <cell r="G281" t="str">
            <v>ja</v>
          </cell>
          <cell r="H281" t="str">
            <v>【ストーリー】ホワイトデー独騒曲</v>
          </cell>
          <cell r="I281" t="str">
            <v>2016年ホワイトデークエスト</v>
          </cell>
          <cell r="J281">
            <v>350</v>
          </cell>
          <cell r="K281">
            <v>1</v>
          </cell>
          <cell r="L281">
            <v>314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polygon</v>
          </cell>
          <cell r="T281">
            <v>1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once</v>
          </cell>
          <cell r="AC281">
            <v>1</v>
          </cell>
          <cell r="AD281">
            <v>6</v>
          </cell>
          <cell r="AE281" t="str">
            <v>singleonly</v>
          </cell>
        </row>
        <row r="282">
          <cell r="A282" t="str">
            <v>11221_1</v>
          </cell>
          <cell r="B282">
            <v>3</v>
          </cell>
          <cell r="C282">
            <v>11221</v>
          </cell>
          <cell r="D282" t="str">
            <v>新生活★応援クエスト</v>
          </cell>
          <cell r="E282" t="str">
            <v>2016年卒業クエスト</v>
          </cell>
          <cell r="F282">
            <v>1</v>
          </cell>
          <cell r="G282" t="str">
            <v>ja</v>
          </cell>
          <cell r="H282" t="str">
            <v>【ストーリー】桜舞い散る樹の下で</v>
          </cell>
          <cell r="I282" t="str">
            <v>2016年卒業クエスト</v>
          </cell>
          <cell r="J282">
            <v>794</v>
          </cell>
          <cell r="K282">
            <v>1</v>
          </cell>
          <cell r="L282">
            <v>331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polygon</v>
          </cell>
          <cell r="T282">
            <v>1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once</v>
          </cell>
          <cell r="AC282">
            <v>926</v>
          </cell>
          <cell r="AD282">
            <v>6</v>
          </cell>
          <cell r="AE282" t="str">
            <v>singleonly</v>
          </cell>
        </row>
        <row r="283">
          <cell r="A283" t="str">
            <v>11224_1</v>
          </cell>
          <cell r="B283">
            <v>3</v>
          </cell>
          <cell r="C283">
            <v>11224</v>
          </cell>
          <cell r="D283" t="str">
            <v>TVCM放送記念★特別クエスト</v>
          </cell>
          <cell r="E283" t="str">
            <v>TVCM放送記念★特別クエスト</v>
          </cell>
          <cell r="F283">
            <v>1</v>
          </cell>
          <cell r="G283" t="str">
            <v>ja</v>
          </cell>
          <cell r="H283" t="str">
            <v>【超ウザード級】ウザリーマン襲来！</v>
          </cell>
          <cell r="I283" t="str">
            <v>記念クエスト</v>
          </cell>
          <cell r="J283">
            <v>976</v>
          </cell>
          <cell r="K283">
            <v>1</v>
          </cell>
          <cell r="L283">
            <v>1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0</v>
          </cell>
          <cell r="R283">
            <v>3</v>
          </cell>
          <cell r="S283" t="str">
            <v>polygon</v>
          </cell>
          <cell r="T283">
            <v>10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907</v>
          </cell>
          <cell r="AD283">
            <v>6</v>
          </cell>
          <cell r="AE283" t="str">
            <v>singleonly</v>
          </cell>
        </row>
        <row r="284">
          <cell r="A284" t="str">
            <v>11225_1</v>
          </cell>
          <cell r="B284">
            <v>3</v>
          </cell>
          <cell r="C284">
            <v>11225</v>
          </cell>
          <cell r="D284" t="str">
            <v>400万DL記念★特別クエスト</v>
          </cell>
          <cell r="E284" t="str">
            <v>400万DL記念★特別クエスト</v>
          </cell>
          <cell r="F284">
            <v>1</v>
          </cell>
          <cell r="G284" t="str">
            <v>ja</v>
          </cell>
          <cell r="H284" t="str">
            <v>ミリオンダックより愛をこめて 4</v>
          </cell>
          <cell r="I284" t="str">
            <v>400万DL記念限定クエスト</v>
          </cell>
          <cell r="J284">
            <v>444</v>
          </cell>
          <cell r="K284">
            <v>1</v>
          </cell>
          <cell r="L284">
            <v>200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polygon</v>
          </cell>
          <cell r="T284">
            <v>1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once</v>
          </cell>
          <cell r="AC284">
            <v>1</v>
          </cell>
          <cell r="AD284">
            <v>6</v>
          </cell>
          <cell r="AE284" t="str">
            <v>singleonly</v>
          </cell>
        </row>
        <row r="285">
          <cell r="A285" t="str">
            <v>11226_1</v>
          </cell>
          <cell r="B285">
            <v>3</v>
          </cell>
          <cell r="C285">
            <v>11226</v>
          </cell>
          <cell r="F285">
            <v>1</v>
          </cell>
          <cell r="G285" t="str">
            <v>ja</v>
          </cell>
          <cell r="H285" t="str">
            <v>1周年のキセキ</v>
          </cell>
          <cell r="I285" t="str">
            <v>1周年記念限定クエスト</v>
          </cell>
          <cell r="J285">
            <v>1079</v>
          </cell>
          <cell r="K285">
            <v>1</v>
          </cell>
          <cell r="L285">
            <v>200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polygon</v>
          </cell>
          <cell r="T285">
            <v>1</v>
          </cell>
          <cell r="U285" t="str">
            <v>NULL</v>
          </cell>
          <cell r="V285" t="str">
            <v>NULL</v>
          </cell>
          <cell r="W285" t="str">
            <v/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once</v>
          </cell>
          <cell r="AC285">
            <v>1</v>
          </cell>
          <cell r="AD285">
            <v>6</v>
          </cell>
          <cell r="AE285" t="str">
            <v>singleonly</v>
          </cell>
        </row>
        <row r="286">
          <cell r="A286" t="str">
            <v>11226_2</v>
          </cell>
          <cell r="B286">
            <v>3</v>
          </cell>
          <cell r="C286">
            <v>11226</v>
          </cell>
          <cell r="D286" t="str">
            <v>1周年記念★特別クエスト</v>
          </cell>
          <cell r="E286" t="str">
            <v>1周年記念★特別クエスト</v>
          </cell>
          <cell r="F286">
            <v>2</v>
          </cell>
          <cell r="G286" t="str">
            <v>ja</v>
          </cell>
          <cell r="H286" t="str">
            <v>【クリスマス前編】勢いまかせ</v>
          </cell>
          <cell r="I286" t="str">
            <v>2015年クリスマスクエスト</v>
          </cell>
          <cell r="J286">
            <v>202</v>
          </cell>
          <cell r="K286">
            <v>1</v>
          </cell>
          <cell r="L286">
            <v>1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520,521,522,523</v>
          </cell>
          <cell r="U286">
            <v>11226</v>
          </cell>
          <cell r="V286">
            <v>1</v>
          </cell>
          <cell r="W286" t="str">
            <v>1周年のキセキ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once</v>
          </cell>
          <cell r="AC286">
            <v>1</v>
          </cell>
          <cell r="AD286">
            <v>100</v>
          </cell>
          <cell r="AE286" t="str">
            <v>singleonly</v>
          </cell>
        </row>
        <row r="287">
          <cell r="A287" t="str">
            <v>11226_3</v>
          </cell>
          <cell r="B287">
            <v>3</v>
          </cell>
          <cell r="C287">
            <v>11226</v>
          </cell>
          <cell r="D287" t="str">
            <v>1周年記念★特別クエスト</v>
          </cell>
          <cell r="E287" t="str">
            <v>1周年記念★特別クエスト</v>
          </cell>
          <cell r="F287">
            <v>3</v>
          </cell>
          <cell r="G287" t="str">
            <v>ja</v>
          </cell>
          <cell r="H287" t="str">
            <v>【クリスマス後編】フィーバーの力</v>
          </cell>
          <cell r="I287" t="str">
            <v>2015年クリスマスクエスト</v>
          </cell>
          <cell r="J287">
            <v>202</v>
          </cell>
          <cell r="K287">
            <v>1</v>
          </cell>
          <cell r="L287">
            <v>2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520,521,522,523</v>
          </cell>
          <cell r="U287">
            <v>11226</v>
          </cell>
          <cell r="V287">
            <v>1</v>
          </cell>
          <cell r="W287" t="str">
            <v>1周年のキセキ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once</v>
          </cell>
          <cell r="AC287">
            <v>105</v>
          </cell>
          <cell r="AD287">
            <v>100</v>
          </cell>
          <cell r="AE287" t="str">
            <v>singleonly</v>
          </cell>
        </row>
        <row r="288">
          <cell r="A288" t="str">
            <v>11226_4</v>
          </cell>
          <cell r="B288">
            <v>3</v>
          </cell>
          <cell r="C288">
            <v>11226</v>
          </cell>
          <cell r="D288" t="str">
            <v>1周年記念★特別クエスト</v>
          </cell>
          <cell r="E288" t="str">
            <v>1周年記念★特別クエスト</v>
          </cell>
          <cell r="F288">
            <v>4</v>
          </cell>
          <cell r="G288" t="str">
            <v>ja</v>
          </cell>
          <cell r="H288" t="str">
            <v>【上級】年を越える宴（ハートなし）</v>
          </cell>
          <cell r="I288" t="str">
            <v>2015年年忘れクエスト</v>
          </cell>
          <cell r="J288">
            <v>377</v>
          </cell>
          <cell r="K288">
            <v>10</v>
          </cell>
          <cell r="L288">
            <v>350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0</v>
          </cell>
          <cell r="R288">
            <v>3</v>
          </cell>
          <cell r="S288" t="str">
            <v>none</v>
          </cell>
          <cell r="T288">
            <v>0</v>
          </cell>
          <cell r="U288">
            <v>11226</v>
          </cell>
          <cell r="V288">
            <v>1</v>
          </cell>
          <cell r="W288" t="str">
            <v>1周年のキセキ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901</v>
          </cell>
          <cell r="AD288">
            <v>6</v>
          </cell>
          <cell r="AE288" t="str">
            <v>multionly</v>
          </cell>
        </row>
        <row r="289">
          <cell r="A289" t="str">
            <v>11226_5</v>
          </cell>
          <cell r="B289">
            <v>3</v>
          </cell>
          <cell r="C289">
            <v>11226</v>
          </cell>
          <cell r="D289" t="str">
            <v>1周年記念★特別クエスト</v>
          </cell>
          <cell r="E289" t="str">
            <v>1周年記念★特別クエスト</v>
          </cell>
          <cell r="F289">
            <v>5</v>
          </cell>
          <cell r="G289" t="str">
            <v>ja</v>
          </cell>
          <cell r="H289" t="str">
            <v>あけおめダックのお年玉</v>
          </cell>
          <cell r="I289" t="str">
            <v>2016年あけおめクエスト</v>
          </cell>
          <cell r="J289">
            <v>524</v>
          </cell>
          <cell r="K289">
            <v>1</v>
          </cell>
          <cell r="L289">
            <v>2016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0</v>
          </cell>
          <cell r="R289">
            <v>3</v>
          </cell>
          <cell r="S289" t="str">
            <v>polygon</v>
          </cell>
          <cell r="T289">
            <v>1</v>
          </cell>
          <cell r="U289">
            <v>11226</v>
          </cell>
          <cell r="V289">
            <v>1</v>
          </cell>
          <cell r="W289" t="str">
            <v>1周年のキセキ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once</v>
          </cell>
          <cell r="AC289">
            <v>2</v>
          </cell>
          <cell r="AD289">
            <v>100</v>
          </cell>
          <cell r="AE289" t="str">
            <v>singleonly</v>
          </cell>
        </row>
        <row r="290">
          <cell r="A290" t="str">
            <v>11226_6</v>
          </cell>
          <cell r="B290">
            <v>3</v>
          </cell>
          <cell r="C290">
            <v>11226</v>
          </cell>
          <cell r="D290" t="str">
            <v>1周年記念★特別クエスト</v>
          </cell>
          <cell r="E290" t="str">
            <v>1周年記念★特別クエスト</v>
          </cell>
          <cell r="F290">
            <v>6</v>
          </cell>
          <cell r="G290" t="str">
            <v>ja</v>
          </cell>
          <cell r="H290" t="str">
            <v>【ストーリー】バレンタイン狂想曲</v>
          </cell>
          <cell r="I290" t="str">
            <v>ストーリー</v>
          </cell>
          <cell r="J290">
            <v>572</v>
          </cell>
          <cell r="K290">
            <v>1</v>
          </cell>
          <cell r="L290">
            <v>214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polygon</v>
          </cell>
          <cell r="T290">
            <v>1</v>
          </cell>
          <cell r="U290">
            <v>11226</v>
          </cell>
          <cell r="V290">
            <v>1</v>
          </cell>
          <cell r="W290" t="str">
            <v>1周年のキセキ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once</v>
          </cell>
          <cell r="AC290">
            <v>1</v>
          </cell>
          <cell r="AD290">
            <v>100</v>
          </cell>
          <cell r="AE290" t="str">
            <v>singleonly</v>
          </cell>
        </row>
        <row r="291">
          <cell r="A291" t="str">
            <v>11226_7</v>
          </cell>
          <cell r="B291">
            <v>3</v>
          </cell>
          <cell r="C291">
            <v>11226</v>
          </cell>
          <cell r="D291" t="str">
            <v>1周年記念★特別クエスト</v>
          </cell>
          <cell r="E291" t="str">
            <v>1周年記念★特別クエスト</v>
          </cell>
          <cell r="F291">
            <v>7</v>
          </cell>
          <cell r="G291" t="str">
            <v>ja</v>
          </cell>
          <cell r="H291" t="str">
            <v>【ストーリー】ホワイトデー独騒曲</v>
          </cell>
          <cell r="I291" t="str">
            <v>2016年ホワイトデークエスト</v>
          </cell>
          <cell r="J291">
            <v>350</v>
          </cell>
          <cell r="K291">
            <v>1</v>
          </cell>
          <cell r="L291">
            <v>314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polygon</v>
          </cell>
          <cell r="T291">
            <v>1</v>
          </cell>
          <cell r="U291">
            <v>11226</v>
          </cell>
          <cell r="V291">
            <v>1</v>
          </cell>
          <cell r="W291" t="str">
            <v>1周年のキセキ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once</v>
          </cell>
          <cell r="AC291">
            <v>1</v>
          </cell>
          <cell r="AD291">
            <v>100</v>
          </cell>
          <cell r="AE291" t="str">
            <v>singleonly</v>
          </cell>
        </row>
        <row r="292">
          <cell r="A292" t="str">
            <v>11226_8</v>
          </cell>
          <cell r="B292">
            <v>3</v>
          </cell>
          <cell r="C292">
            <v>11226</v>
          </cell>
          <cell r="D292" t="str">
            <v>1周年記念★特別クエスト</v>
          </cell>
          <cell r="E292" t="str">
            <v>1周年記念★特別クエスト</v>
          </cell>
          <cell r="F292">
            <v>8</v>
          </cell>
          <cell r="G292" t="str">
            <v>ja</v>
          </cell>
          <cell r="H292" t="str">
            <v>【ストーリー】桜舞い散る樹の下で</v>
          </cell>
          <cell r="I292" t="str">
            <v>2016年卒業クエスト</v>
          </cell>
          <cell r="J292">
            <v>794</v>
          </cell>
          <cell r="K292">
            <v>1</v>
          </cell>
          <cell r="L292">
            <v>331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polygon</v>
          </cell>
          <cell r="T292">
            <v>1</v>
          </cell>
          <cell r="U292">
            <v>11226</v>
          </cell>
          <cell r="V292">
            <v>1</v>
          </cell>
          <cell r="W292" t="str">
            <v>1周年のキセキ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once</v>
          </cell>
          <cell r="AC292">
            <v>926</v>
          </cell>
          <cell r="AD292">
            <v>100</v>
          </cell>
          <cell r="AE292" t="str">
            <v>singleonly</v>
          </cell>
        </row>
        <row r="293">
          <cell r="A293" t="str">
            <v>12001_1</v>
          </cell>
          <cell r="B293">
            <v>3</v>
          </cell>
          <cell r="C293">
            <v>12001</v>
          </cell>
          <cell r="D293" t="str">
            <v>【緊急！！】 アヒル捕獲作戦</v>
          </cell>
          <cell r="E293" t="str">
            <v>ゲリラクエスト</v>
          </cell>
          <cell r="F293">
            <v>1</v>
          </cell>
          <cell r="G293" t="str">
            <v>ja</v>
          </cell>
          <cell r="H293" t="str">
            <v xml:space="preserve">【初級】メタルダックを捕獲せよ！ </v>
          </cell>
          <cell r="I293" t="str">
            <v>経験値ゲリラ</v>
          </cell>
          <cell r="J293">
            <v>334</v>
          </cell>
          <cell r="K293">
            <v>8</v>
          </cell>
          <cell r="L293">
            <v>140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0</v>
          </cell>
          <cell r="R293">
            <v>3</v>
          </cell>
          <cell r="S293" t="str">
            <v>none</v>
          </cell>
          <cell r="T293">
            <v>0</v>
          </cell>
          <cell r="U293" t="str">
            <v>NULL</v>
          </cell>
          <cell r="V293" t="str">
            <v>NULL</v>
          </cell>
          <cell r="W293" t="str">
            <v/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201</v>
          </cell>
          <cell r="AD293">
            <v>6</v>
          </cell>
          <cell r="AE293" t="str">
            <v>everyone</v>
          </cell>
        </row>
        <row r="294">
          <cell r="A294" t="str">
            <v>12001_2</v>
          </cell>
          <cell r="B294">
            <v>3</v>
          </cell>
          <cell r="C294">
            <v>12001</v>
          </cell>
          <cell r="D294" t="str">
            <v>【緊急！！】 アヒル捕獲作戦</v>
          </cell>
          <cell r="E294" t="str">
            <v>ゲリラクエスト</v>
          </cell>
          <cell r="F294">
            <v>2</v>
          </cell>
          <cell r="G294" t="str">
            <v>ja</v>
          </cell>
          <cell r="H294" t="str">
            <v xml:space="preserve">【上級】メタルダックを捕獲せよ！ </v>
          </cell>
          <cell r="I294" t="str">
            <v>経験値ゲリラ</v>
          </cell>
          <cell r="J294">
            <v>334</v>
          </cell>
          <cell r="K294">
            <v>20</v>
          </cell>
          <cell r="L294">
            <v>350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0</v>
          </cell>
          <cell r="R294">
            <v>3</v>
          </cell>
          <cell r="S294" t="str">
            <v>none</v>
          </cell>
          <cell r="T294">
            <v>0</v>
          </cell>
          <cell r="U294" t="str">
            <v>NULL</v>
          </cell>
          <cell r="V294" t="str">
            <v>NULL</v>
          </cell>
          <cell r="W294" t="str">
            <v/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201</v>
          </cell>
          <cell r="AD294">
            <v>6</v>
          </cell>
          <cell r="AE294" t="str">
            <v>everyone</v>
          </cell>
        </row>
        <row r="295">
          <cell r="A295" t="str">
            <v>12001_3</v>
          </cell>
          <cell r="B295">
            <v>3</v>
          </cell>
          <cell r="C295">
            <v>12001</v>
          </cell>
          <cell r="D295" t="str">
            <v>【緊急！！】 アヒル捕獲作戦</v>
          </cell>
          <cell r="E295" t="str">
            <v>ゲリラクエスト</v>
          </cell>
          <cell r="F295">
            <v>3</v>
          </cell>
          <cell r="G295" t="str">
            <v>ja</v>
          </cell>
          <cell r="H295" t="str">
            <v xml:space="preserve">【超級】メタルダックを捕獲せよ！ </v>
          </cell>
          <cell r="I295" t="str">
            <v>経験値ゲリラ</v>
          </cell>
          <cell r="J295">
            <v>334</v>
          </cell>
          <cell r="K295">
            <v>30</v>
          </cell>
          <cell r="L295">
            <v>444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0</v>
          </cell>
          <cell r="R295">
            <v>3</v>
          </cell>
          <cell r="S295" t="str">
            <v>none</v>
          </cell>
          <cell r="T295">
            <v>0</v>
          </cell>
          <cell r="U295" t="str">
            <v>NULL</v>
          </cell>
          <cell r="V295" t="str">
            <v>NULL</v>
          </cell>
          <cell r="W295" t="str">
            <v/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7</v>
          </cell>
          <cell r="AD295">
            <v>6</v>
          </cell>
          <cell r="AE295" t="str">
            <v>everyone</v>
          </cell>
        </row>
        <row r="296">
          <cell r="A296" t="str">
            <v>12002_1</v>
          </cell>
          <cell r="B296">
            <v>3</v>
          </cell>
          <cell r="C296">
            <v>12002</v>
          </cell>
          <cell r="D296" t="str">
            <v>【マルチ専用1/2】 アヒル捕獲作戦</v>
          </cell>
          <cell r="E296" t="str">
            <v>ゲリラクエスト</v>
          </cell>
          <cell r="F296">
            <v>1</v>
          </cell>
          <cell r="G296" t="str">
            <v>ja</v>
          </cell>
          <cell r="H296" t="str">
            <v>【上級】メタルダックを捕獲せよ！</v>
          </cell>
          <cell r="I296" t="str">
            <v>経験値ゲリラ</v>
          </cell>
          <cell r="J296">
            <v>334</v>
          </cell>
          <cell r="K296">
            <v>10</v>
          </cell>
          <cell r="L296">
            <v>350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0</v>
          </cell>
          <cell r="R296">
            <v>3</v>
          </cell>
          <cell r="S296" t="str">
            <v>none</v>
          </cell>
          <cell r="T296">
            <v>0</v>
          </cell>
          <cell r="U296" t="str">
            <v>NULL</v>
          </cell>
          <cell r="V296" t="str">
            <v>NULL</v>
          </cell>
          <cell r="W296" t="str">
            <v/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201</v>
          </cell>
          <cell r="AD296">
            <v>6</v>
          </cell>
          <cell r="AE296" t="str">
            <v>multionly</v>
          </cell>
        </row>
        <row r="297">
          <cell r="A297" t="str">
            <v>12002_2</v>
          </cell>
          <cell r="B297">
            <v>1</v>
          </cell>
          <cell r="C297">
            <v>12002</v>
          </cell>
          <cell r="D297" t="str">
            <v>【マルチ専用1/2】 アヒル捕獲作戦</v>
          </cell>
          <cell r="E297" t="str">
            <v>ゲリラクエスト</v>
          </cell>
          <cell r="F297">
            <v>2</v>
          </cell>
          <cell r="G297" t="str">
            <v>ja</v>
          </cell>
          <cell r="H297" t="str">
            <v xml:space="preserve">【超級】メタルダックを捕獲せよ！ </v>
          </cell>
          <cell r="I297" t="str">
            <v>経験値ゲリラ</v>
          </cell>
          <cell r="J297">
            <v>334</v>
          </cell>
          <cell r="K297">
            <v>15</v>
          </cell>
          <cell r="L297">
            <v>444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0</v>
          </cell>
          <cell r="R297">
            <v>3</v>
          </cell>
          <cell r="S297" t="str">
            <v>none</v>
          </cell>
          <cell r="T297">
            <v>0</v>
          </cell>
          <cell r="U297" t="str">
            <v>NULL</v>
          </cell>
          <cell r="V297" t="str">
            <v>NULL</v>
          </cell>
          <cell r="W297" t="str">
            <v/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7</v>
          </cell>
          <cell r="AD297">
            <v>6</v>
          </cell>
          <cell r="AE297" t="str">
            <v>multionly</v>
          </cell>
        </row>
        <row r="298">
          <cell r="A298" t="str">
            <v>12003_1</v>
          </cell>
          <cell r="B298">
            <v>3</v>
          </cell>
          <cell r="C298">
            <v>12003</v>
          </cell>
          <cell r="D298" t="str">
            <v>【超緊急！！】メタルジェントルを追え</v>
          </cell>
          <cell r="E298" t="str">
            <v>ゲリラ【超級】</v>
          </cell>
          <cell r="F298">
            <v>1</v>
          </cell>
          <cell r="G298" t="str">
            <v>ja</v>
          </cell>
          <cell r="H298" t="str">
            <v>【超級】雷のジェントルを追え！</v>
          </cell>
          <cell r="I298" t="str">
            <v>超級ゲリラ</v>
          </cell>
          <cell r="J298">
            <v>347</v>
          </cell>
          <cell r="K298">
            <v>40</v>
          </cell>
          <cell r="L298">
            <v>500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none</v>
          </cell>
          <cell r="T298">
            <v>0</v>
          </cell>
          <cell r="U298" t="str">
            <v>NULL</v>
          </cell>
          <cell r="V298" t="str">
            <v>NULL</v>
          </cell>
          <cell r="W298" t="str">
            <v/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12</v>
          </cell>
          <cell r="AD298">
            <v>6</v>
          </cell>
          <cell r="AE298" t="str">
            <v>singleonly</v>
          </cell>
        </row>
        <row r="299">
          <cell r="A299" t="str">
            <v>12003_2</v>
          </cell>
          <cell r="B299">
            <v>3</v>
          </cell>
          <cell r="C299">
            <v>12003</v>
          </cell>
          <cell r="D299" t="str">
            <v>【超緊急！！】メタルジェントルを追え</v>
          </cell>
          <cell r="E299" t="str">
            <v>ゲリラ【超級】</v>
          </cell>
          <cell r="F299">
            <v>2</v>
          </cell>
          <cell r="G299" t="str">
            <v>ja</v>
          </cell>
          <cell r="H299" t="str">
            <v>【超級】水のジェントルを追え！</v>
          </cell>
          <cell r="I299" t="str">
            <v>超級ゲリラ</v>
          </cell>
          <cell r="J299">
            <v>343</v>
          </cell>
          <cell r="K299">
            <v>40</v>
          </cell>
          <cell r="L299">
            <v>500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none</v>
          </cell>
          <cell r="T299">
            <v>0</v>
          </cell>
          <cell r="U299" t="str">
            <v>NULL</v>
          </cell>
          <cell r="V299" t="str">
            <v>NULL</v>
          </cell>
          <cell r="W299" t="str">
            <v/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5</v>
          </cell>
          <cell r="AD299">
            <v>6</v>
          </cell>
          <cell r="AE299" t="str">
            <v>singleonly</v>
          </cell>
        </row>
        <row r="300">
          <cell r="A300" t="str">
            <v>12003_3</v>
          </cell>
          <cell r="B300">
            <v>3</v>
          </cell>
          <cell r="C300">
            <v>12003</v>
          </cell>
          <cell r="D300" t="str">
            <v>【超緊急！！】メタルジェントルを追え</v>
          </cell>
          <cell r="E300" t="str">
            <v>ゲリラ【超級】</v>
          </cell>
          <cell r="F300">
            <v>3</v>
          </cell>
          <cell r="G300" t="str">
            <v>ja</v>
          </cell>
          <cell r="H300" t="str">
            <v>【超級】森のジェントルを追え！</v>
          </cell>
          <cell r="I300" t="str">
            <v>超級ゲリラ</v>
          </cell>
          <cell r="J300">
            <v>339</v>
          </cell>
          <cell r="K300">
            <v>40</v>
          </cell>
          <cell r="L300">
            <v>500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none</v>
          </cell>
          <cell r="T300">
            <v>0</v>
          </cell>
          <cell r="U300" t="str">
            <v>NULL</v>
          </cell>
          <cell r="V300" t="str">
            <v>NULL</v>
          </cell>
          <cell r="W300" t="str">
            <v/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7</v>
          </cell>
          <cell r="AD300">
            <v>6</v>
          </cell>
          <cell r="AE300" t="str">
            <v>singleonly</v>
          </cell>
        </row>
        <row r="301">
          <cell r="A301" t="str">
            <v>12003_4</v>
          </cell>
          <cell r="B301">
            <v>3</v>
          </cell>
          <cell r="C301">
            <v>12003</v>
          </cell>
          <cell r="D301" t="str">
            <v>【超緊急！！】メタルジェントルを追え</v>
          </cell>
          <cell r="E301" t="str">
            <v>ゲリラ【超級】</v>
          </cell>
          <cell r="F301">
            <v>4</v>
          </cell>
          <cell r="G301" t="str">
            <v>ja</v>
          </cell>
          <cell r="H301" t="str">
            <v>【超級】炎のジェントルを追え！</v>
          </cell>
          <cell r="I301" t="str">
            <v>超級ゲリラ</v>
          </cell>
          <cell r="J301">
            <v>335</v>
          </cell>
          <cell r="K301">
            <v>40</v>
          </cell>
          <cell r="L301">
            <v>500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none</v>
          </cell>
          <cell r="T301">
            <v>0</v>
          </cell>
          <cell r="U301" t="str">
            <v>NULL</v>
          </cell>
          <cell r="V301" t="str">
            <v>NULL</v>
          </cell>
          <cell r="W301" t="str">
            <v/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10</v>
          </cell>
          <cell r="AD301">
            <v>6</v>
          </cell>
          <cell r="AE301" t="str">
            <v>singleonly</v>
          </cell>
        </row>
        <row r="302">
          <cell r="A302" t="str">
            <v>12004_1</v>
          </cell>
          <cell r="B302">
            <v>3</v>
          </cell>
          <cell r="C302">
            <v>12004</v>
          </cell>
          <cell r="D302" t="str">
            <v>メタルフロッグをもとめて</v>
          </cell>
          <cell r="E302" t="str">
            <v>イベントクエスト</v>
          </cell>
          <cell r="F302">
            <v>1</v>
          </cell>
          <cell r="G302" t="str">
            <v>ja</v>
          </cell>
          <cell r="H302" t="str">
            <v>【上級】メタルフロッグをもとめて</v>
          </cell>
          <cell r="I302" t="str">
            <v>経験値イベント</v>
          </cell>
          <cell r="J302">
            <v>351</v>
          </cell>
          <cell r="K302">
            <v>20</v>
          </cell>
          <cell r="L302">
            <v>100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none</v>
          </cell>
          <cell r="T302">
            <v>0</v>
          </cell>
          <cell r="U302" t="str">
            <v>NULL</v>
          </cell>
          <cell r="V302" t="str">
            <v>NULL</v>
          </cell>
          <cell r="W302" t="str">
            <v/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23</v>
          </cell>
          <cell r="AD302">
            <v>6</v>
          </cell>
          <cell r="AE302" t="str">
            <v>everyone</v>
          </cell>
        </row>
        <row r="303">
          <cell r="A303" t="str">
            <v>13001_1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1</v>
          </cell>
          <cell r="G303" t="str">
            <v>ja</v>
          </cell>
          <cell r="H303" t="str">
            <v>チャレンジタワー 1F</v>
          </cell>
          <cell r="I303" t="str">
            <v>試練の塔</v>
          </cell>
          <cell r="J303">
            <v>345</v>
          </cell>
          <cell r="K303">
            <v>3</v>
          </cell>
          <cell r="L303">
            <v>120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345,345</v>
          </cell>
          <cell r="U303" t="str">
            <v>NULL</v>
          </cell>
          <cell r="V303" t="str">
            <v>NULL</v>
          </cell>
          <cell r="W303" t="str">
            <v/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13001_2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2</v>
          </cell>
          <cell r="G304" t="str">
            <v>ja</v>
          </cell>
          <cell r="H304" t="str">
            <v>チャレンジタワー 2F</v>
          </cell>
          <cell r="I304" t="str">
            <v>試練の塔</v>
          </cell>
          <cell r="J304">
            <v>333</v>
          </cell>
          <cell r="K304">
            <v>4</v>
          </cell>
          <cell r="L304">
            <v>176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333,333</v>
          </cell>
          <cell r="U304">
            <v>13001</v>
          </cell>
          <cell r="V304">
            <v>1</v>
          </cell>
          <cell r="W304" t="str">
            <v>チャレンジタワー 1F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13001_3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3</v>
          </cell>
          <cell r="G305" t="str">
            <v>ja</v>
          </cell>
          <cell r="H305" t="str">
            <v>チャレンジタワー 3F</v>
          </cell>
          <cell r="I305" t="str">
            <v>試練の塔</v>
          </cell>
          <cell r="J305">
            <v>337</v>
          </cell>
          <cell r="K305">
            <v>5</v>
          </cell>
          <cell r="L305">
            <v>242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337,337</v>
          </cell>
          <cell r="U305">
            <v>13001</v>
          </cell>
          <cell r="V305">
            <v>2</v>
          </cell>
          <cell r="W305" t="str">
            <v>チャレンジタワー 2F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13001_4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4</v>
          </cell>
          <cell r="G306" t="str">
            <v>ja</v>
          </cell>
          <cell r="H306" t="str">
            <v>チャレンジタワー 4F</v>
          </cell>
          <cell r="I306" t="str">
            <v>試練の塔</v>
          </cell>
          <cell r="J306">
            <v>341</v>
          </cell>
          <cell r="K306">
            <v>7</v>
          </cell>
          <cell r="L306">
            <v>508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341,341</v>
          </cell>
          <cell r="U306">
            <v>13001</v>
          </cell>
          <cell r="V306">
            <v>3</v>
          </cell>
          <cell r="W306" t="str">
            <v>チャレンジタワー 3F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13001_5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5</v>
          </cell>
          <cell r="G307" t="str">
            <v>ja</v>
          </cell>
          <cell r="H307" t="str">
            <v>チャレンジタワー 5F</v>
          </cell>
          <cell r="I307" t="str">
            <v>試練の塔</v>
          </cell>
          <cell r="J307">
            <v>333</v>
          </cell>
          <cell r="K307">
            <v>7</v>
          </cell>
          <cell r="L307">
            <v>280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333,337,341,345</v>
          </cell>
          <cell r="U307">
            <v>13001</v>
          </cell>
          <cell r="V307">
            <v>4</v>
          </cell>
          <cell r="W307" t="str">
            <v>チャレンジタワー 4F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13001_6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6</v>
          </cell>
          <cell r="G308" t="str">
            <v>ja</v>
          </cell>
          <cell r="H308" t="str">
            <v>チャレンジタワー 6F</v>
          </cell>
          <cell r="I308" t="str">
            <v>試練の塔</v>
          </cell>
          <cell r="J308">
            <v>346</v>
          </cell>
          <cell r="K308">
            <v>8</v>
          </cell>
          <cell r="L308">
            <v>474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346,345</v>
          </cell>
          <cell r="U308">
            <v>13001</v>
          </cell>
          <cell r="V308">
            <v>5</v>
          </cell>
          <cell r="W308" t="str">
            <v>チャレンジタワー 5F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13001_7</v>
          </cell>
          <cell r="B309">
            <v>3</v>
          </cell>
          <cell r="C309">
            <v>13001</v>
          </cell>
          <cell r="D309" t="str">
            <v>チャレンジタワー(ソロ専用)</v>
          </cell>
          <cell r="E309" t="str">
            <v>試練の塔</v>
          </cell>
          <cell r="F309">
            <v>7</v>
          </cell>
          <cell r="G309" t="str">
            <v>ja</v>
          </cell>
          <cell r="H309" t="str">
            <v>チャレンジタワー 7F</v>
          </cell>
          <cell r="I309" t="str">
            <v>試練の塔</v>
          </cell>
          <cell r="J309">
            <v>342</v>
          </cell>
          <cell r="K309">
            <v>8</v>
          </cell>
          <cell r="L309">
            <v>486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1</v>
          </cell>
          <cell r="R309">
            <v>3</v>
          </cell>
          <cell r="S309" t="str">
            <v>character</v>
          </cell>
          <cell r="T309" t="str">
            <v>342,341</v>
          </cell>
          <cell r="U309">
            <v>13001</v>
          </cell>
          <cell r="V309">
            <v>6</v>
          </cell>
          <cell r="W309" t="str">
            <v>チャレンジタワー 6F</v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26</v>
          </cell>
          <cell r="AD309">
            <v>6</v>
          </cell>
          <cell r="AE309" t="str">
            <v>singleonly</v>
          </cell>
        </row>
        <row r="310">
          <cell r="A310" t="str">
            <v>13001_8</v>
          </cell>
          <cell r="B310">
            <v>3</v>
          </cell>
          <cell r="C310">
            <v>13001</v>
          </cell>
          <cell r="D310" t="str">
            <v>チャレンジタワー(ソロ専用)</v>
          </cell>
          <cell r="E310" t="str">
            <v>試練の塔</v>
          </cell>
          <cell r="F310">
            <v>8</v>
          </cell>
          <cell r="G310" t="str">
            <v>ja</v>
          </cell>
          <cell r="H310" t="str">
            <v>チャレンジタワー 8F</v>
          </cell>
          <cell r="I310" t="str">
            <v>試練の塔</v>
          </cell>
          <cell r="J310">
            <v>334</v>
          </cell>
          <cell r="K310">
            <v>10</v>
          </cell>
          <cell r="L310">
            <v>1006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1</v>
          </cell>
          <cell r="R310">
            <v>3</v>
          </cell>
          <cell r="S310" t="str">
            <v>character</v>
          </cell>
          <cell r="T310" t="str">
            <v>334,333</v>
          </cell>
          <cell r="U310">
            <v>13001</v>
          </cell>
          <cell r="V310">
            <v>7</v>
          </cell>
          <cell r="W310" t="str">
            <v>チャレンジタワー 7F</v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26</v>
          </cell>
          <cell r="AD310">
            <v>6</v>
          </cell>
          <cell r="AE310" t="str">
            <v>singleonly</v>
          </cell>
        </row>
        <row r="311">
          <cell r="A311" t="str">
            <v>13001_9</v>
          </cell>
          <cell r="B311">
            <v>3</v>
          </cell>
          <cell r="C311">
            <v>13001</v>
          </cell>
          <cell r="D311" t="str">
            <v>チャレンジタワー(ソロ専用)</v>
          </cell>
          <cell r="E311" t="str">
            <v>試練の塔</v>
          </cell>
          <cell r="F311">
            <v>9</v>
          </cell>
          <cell r="G311" t="str">
            <v>ja</v>
          </cell>
          <cell r="H311" t="str">
            <v>チャレンジタワー 9F</v>
          </cell>
          <cell r="I311" t="str">
            <v>試練の塔</v>
          </cell>
          <cell r="J311">
            <v>338</v>
          </cell>
          <cell r="K311">
            <v>10</v>
          </cell>
          <cell r="L311">
            <v>702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1</v>
          </cell>
          <cell r="R311">
            <v>3</v>
          </cell>
          <cell r="S311" t="str">
            <v>character</v>
          </cell>
          <cell r="T311" t="str">
            <v>337,337,338</v>
          </cell>
          <cell r="U311">
            <v>13001</v>
          </cell>
          <cell r="V311">
            <v>8</v>
          </cell>
          <cell r="W311" t="str">
            <v>チャレンジタワー 8F</v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26</v>
          </cell>
          <cell r="AD311">
            <v>6</v>
          </cell>
          <cell r="AE311" t="str">
            <v>singleonly</v>
          </cell>
        </row>
        <row r="312">
          <cell r="A312" t="str">
            <v>13001_10</v>
          </cell>
          <cell r="B312">
            <v>3</v>
          </cell>
          <cell r="C312">
            <v>13001</v>
          </cell>
          <cell r="D312" t="str">
            <v>チャレンジタワー(ソロ専用)</v>
          </cell>
          <cell r="E312" t="str">
            <v>試練の塔</v>
          </cell>
          <cell r="F312">
            <v>10</v>
          </cell>
          <cell r="G312" t="str">
            <v>ja</v>
          </cell>
          <cell r="H312" t="str">
            <v>チャレンジタワー 10F</v>
          </cell>
          <cell r="I312" t="str">
            <v>試練の塔</v>
          </cell>
          <cell r="J312">
            <v>346</v>
          </cell>
          <cell r="K312">
            <v>11</v>
          </cell>
          <cell r="L312">
            <v>788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1</v>
          </cell>
          <cell r="R312">
            <v>3</v>
          </cell>
          <cell r="S312" t="str">
            <v>character</v>
          </cell>
          <cell r="T312" t="str">
            <v>346,333,337,341</v>
          </cell>
          <cell r="U312">
            <v>13001</v>
          </cell>
          <cell r="V312">
            <v>9</v>
          </cell>
          <cell r="W312" t="str">
            <v>チャレンジタワー 9F</v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26</v>
          </cell>
          <cell r="AD312">
            <v>6</v>
          </cell>
          <cell r="AE312" t="str">
            <v>singleonly</v>
          </cell>
        </row>
        <row r="313">
          <cell r="A313" t="str">
            <v>13001_11</v>
          </cell>
          <cell r="B313">
            <v>3</v>
          </cell>
          <cell r="C313">
            <v>13001</v>
          </cell>
          <cell r="D313" t="str">
            <v>チャレンジタワー(ソロ専用)</v>
          </cell>
          <cell r="E313" t="str">
            <v>試練の塔</v>
          </cell>
          <cell r="F313">
            <v>11</v>
          </cell>
          <cell r="G313" t="str">
            <v>ja</v>
          </cell>
          <cell r="H313" t="str">
            <v>チャレンジタワー 11F</v>
          </cell>
          <cell r="I313" t="str">
            <v>試練の塔</v>
          </cell>
          <cell r="J313">
            <v>346</v>
          </cell>
          <cell r="K313">
            <v>12</v>
          </cell>
          <cell r="L313">
            <v>936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1</v>
          </cell>
          <cell r="R313">
            <v>3</v>
          </cell>
          <cell r="S313" t="str">
            <v>character</v>
          </cell>
          <cell r="T313" t="str">
            <v>346,346</v>
          </cell>
          <cell r="U313">
            <v>13001</v>
          </cell>
          <cell r="V313">
            <v>10</v>
          </cell>
          <cell r="W313" t="str">
            <v>チャレンジタワー 10F</v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26</v>
          </cell>
          <cell r="AD313">
            <v>6</v>
          </cell>
          <cell r="AE313" t="str">
            <v>singleonly</v>
          </cell>
        </row>
        <row r="314">
          <cell r="A314" t="str">
            <v>13001_12</v>
          </cell>
          <cell r="B314">
            <v>3</v>
          </cell>
          <cell r="C314">
            <v>13001</v>
          </cell>
          <cell r="D314" t="str">
            <v>チャレンジタワー(ソロ専用)</v>
          </cell>
          <cell r="E314" t="str">
            <v>試練の塔</v>
          </cell>
          <cell r="F314">
            <v>12</v>
          </cell>
          <cell r="G314" t="str">
            <v>ja</v>
          </cell>
          <cell r="H314" t="str">
            <v>チャレンジタワー 12F</v>
          </cell>
          <cell r="I314" t="str">
            <v>試練の塔</v>
          </cell>
          <cell r="J314">
            <v>342</v>
          </cell>
          <cell r="K314">
            <v>13</v>
          </cell>
          <cell r="L314">
            <v>1601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1</v>
          </cell>
          <cell r="R314">
            <v>3</v>
          </cell>
          <cell r="S314" t="str">
            <v>character</v>
          </cell>
          <cell r="T314" t="str">
            <v>342,342</v>
          </cell>
          <cell r="U314">
            <v>13001</v>
          </cell>
          <cell r="V314">
            <v>11</v>
          </cell>
          <cell r="W314" t="str">
            <v>チャレンジタワー 11F</v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26</v>
          </cell>
          <cell r="AD314">
            <v>6</v>
          </cell>
          <cell r="AE314" t="str">
            <v>singleonly</v>
          </cell>
        </row>
        <row r="315">
          <cell r="A315" t="str">
            <v>13001_13</v>
          </cell>
          <cell r="B315">
            <v>3</v>
          </cell>
          <cell r="C315">
            <v>13001</v>
          </cell>
          <cell r="D315" t="str">
            <v>チャレンジタワー(ソロ専用)</v>
          </cell>
          <cell r="E315" t="str">
            <v>試練の塔</v>
          </cell>
          <cell r="F315">
            <v>13</v>
          </cell>
          <cell r="G315" t="str">
            <v>ja</v>
          </cell>
          <cell r="H315" t="str">
            <v>チャレンジタワー 13F</v>
          </cell>
          <cell r="I315" t="str">
            <v>試練の塔</v>
          </cell>
          <cell r="J315">
            <v>338</v>
          </cell>
          <cell r="K315">
            <v>14</v>
          </cell>
          <cell r="L315">
            <v>945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1</v>
          </cell>
          <cell r="R315">
            <v>3</v>
          </cell>
          <cell r="S315" t="str">
            <v>character</v>
          </cell>
          <cell r="T315" t="str">
            <v>338,338</v>
          </cell>
          <cell r="U315">
            <v>13001</v>
          </cell>
          <cell r="V315">
            <v>12</v>
          </cell>
          <cell r="W315" t="str">
            <v>チャレンジタワー 12F</v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26</v>
          </cell>
          <cell r="AD315">
            <v>6</v>
          </cell>
          <cell r="AE315" t="str">
            <v>singleonly</v>
          </cell>
        </row>
        <row r="316">
          <cell r="A316" t="str">
            <v>13001_14</v>
          </cell>
          <cell r="B316">
            <v>3</v>
          </cell>
          <cell r="C316">
            <v>13001</v>
          </cell>
          <cell r="D316" t="str">
            <v>チャレンジタワー(ソロ専用)</v>
          </cell>
          <cell r="E316" t="str">
            <v>試練の塔</v>
          </cell>
          <cell r="F316">
            <v>14</v>
          </cell>
          <cell r="G316" t="str">
            <v>ja</v>
          </cell>
          <cell r="H316" t="str">
            <v>チャレンジタワー 14F</v>
          </cell>
          <cell r="I316" t="str">
            <v>試練の塔</v>
          </cell>
          <cell r="J316">
            <v>334</v>
          </cell>
          <cell r="K316">
            <v>14</v>
          </cell>
          <cell r="L316">
            <v>1188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1</v>
          </cell>
          <cell r="R316">
            <v>3</v>
          </cell>
          <cell r="S316" t="str">
            <v>character</v>
          </cell>
          <cell r="T316" t="str">
            <v>334,334</v>
          </cell>
          <cell r="U316">
            <v>13001</v>
          </cell>
          <cell r="V316">
            <v>13</v>
          </cell>
          <cell r="W316" t="str">
            <v>チャレンジタワー 13F</v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26</v>
          </cell>
          <cell r="AD316">
            <v>6</v>
          </cell>
          <cell r="AE316" t="str">
            <v>singleonly</v>
          </cell>
        </row>
        <row r="317">
          <cell r="A317" t="str">
            <v>13001_15</v>
          </cell>
          <cell r="B317">
            <v>3</v>
          </cell>
          <cell r="C317">
            <v>13001</v>
          </cell>
          <cell r="D317" t="str">
            <v>チャレンジタワー(ソロ専用)</v>
          </cell>
          <cell r="E317" t="str">
            <v>試練の塔</v>
          </cell>
          <cell r="F317">
            <v>15</v>
          </cell>
          <cell r="G317" t="str">
            <v>ja</v>
          </cell>
          <cell r="H317" t="str">
            <v>チャレンジタワー 15F</v>
          </cell>
          <cell r="I317" t="str">
            <v>試練の塔</v>
          </cell>
          <cell r="J317">
            <v>316</v>
          </cell>
          <cell r="K317">
            <v>14</v>
          </cell>
          <cell r="L317">
            <v>1008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1</v>
          </cell>
          <cell r="R317">
            <v>3</v>
          </cell>
          <cell r="S317" t="str">
            <v>character</v>
          </cell>
          <cell r="T317" t="str">
            <v>316</v>
          </cell>
          <cell r="U317">
            <v>13001</v>
          </cell>
          <cell r="V317">
            <v>14</v>
          </cell>
          <cell r="W317" t="str">
            <v>チャレンジタワー 14F</v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26</v>
          </cell>
          <cell r="AD317">
            <v>6</v>
          </cell>
          <cell r="AE317" t="str">
            <v>singleonly</v>
          </cell>
        </row>
        <row r="318">
          <cell r="A318" t="str">
            <v>13001_16</v>
          </cell>
          <cell r="B318">
            <v>3</v>
          </cell>
          <cell r="C318">
            <v>13001</v>
          </cell>
          <cell r="D318" t="str">
            <v>チャレンジタワー(ソロ専用)</v>
          </cell>
          <cell r="E318" t="str">
            <v>試練の塔</v>
          </cell>
          <cell r="F318">
            <v>16</v>
          </cell>
          <cell r="G318" t="str">
            <v>ja</v>
          </cell>
          <cell r="H318" t="str">
            <v>チャレンジタワー 16F</v>
          </cell>
          <cell r="I318" t="str">
            <v>試練の塔</v>
          </cell>
          <cell r="J318">
            <v>338</v>
          </cell>
          <cell r="K318">
            <v>16</v>
          </cell>
          <cell r="L318">
            <v>2573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1</v>
          </cell>
          <cell r="R318">
            <v>3</v>
          </cell>
          <cell r="S318" t="str">
            <v>character</v>
          </cell>
          <cell r="T318" t="str">
            <v>338,338,337</v>
          </cell>
          <cell r="U318">
            <v>13001</v>
          </cell>
          <cell r="V318">
            <v>15</v>
          </cell>
          <cell r="W318" t="str">
            <v>チャレンジタワー 15F</v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26</v>
          </cell>
          <cell r="AD318">
            <v>6</v>
          </cell>
          <cell r="AE318" t="str">
            <v>singleonly</v>
          </cell>
        </row>
        <row r="319">
          <cell r="A319" t="str">
            <v>13001_17</v>
          </cell>
          <cell r="B319">
            <v>3</v>
          </cell>
          <cell r="C319">
            <v>13001</v>
          </cell>
          <cell r="D319" t="str">
            <v>チャレンジタワー(ソロ専用)</v>
          </cell>
          <cell r="E319" t="str">
            <v>試練の塔</v>
          </cell>
          <cell r="F319">
            <v>17</v>
          </cell>
          <cell r="G319" t="str">
            <v>ja</v>
          </cell>
          <cell r="H319" t="str">
            <v>チャレンジタワー 17F</v>
          </cell>
          <cell r="I319" t="str">
            <v>試練の塔</v>
          </cell>
          <cell r="J319">
            <v>346</v>
          </cell>
          <cell r="K319">
            <v>16</v>
          </cell>
          <cell r="L319">
            <v>1568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1</v>
          </cell>
          <cell r="R319">
            <v>3</v>
          </cell>
          <cell r="S319" t="str">
            <v>character</v>
          </cell>
          <cell r="T319" t="str">
            <v>346,346,345</v>
          </cell>
          <cell r="U319">
            <v>13001</v>
          </cell>
          <cell r="V319">
            <v>16</v>
          </cell>
          <cell r="W319" t="str">
            <v>チャレンジタワー 16F</v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26</v>
          </cell>
          <cell r="AD319">
            <v>6</v>
          </cell>
          <cell r="AE319" t="str">
            <v>singleonly</v>
          </cell>
        </row>
        <row r="320">
          <cell r="A320" t="str">
            <v>13001_18</v>
          </cell>
          <cell r="B320">
            <v>3</v>
          </cell>
          <cell r="C320">
            <v>13001</v>
          </cell>
          <cell r="D320" t="str">
            <v>チャレンジタワー(ソロ専用)</v>
          </cell>
          <cell r="E320" t="str">
            <v>試練の塔</v>
          </cell>
          <cell r="F320">
            <v>18</v>
          </cell>
          <cell r="G320" t="str">
            <v>ja</v>
          </cell>
          <cell r="H320" t="str">
            <v>チャレンジタワー 18F</v>
          </cell>
          <cell r="I320" t="str">
            <v>試練の塔</v>
          </cell>
          <cell r="J320">
            <v>334</v>
          </cell>
          <cell r="K320">
            <v>17</v>
          </cell>
          <cell r="L320">
            <v>1821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1</v>
          </cell>
          <cell r="R320">
            <v>3</v>
          </cell>
          <cell r="S320" t="str">
            <v>character</v>
          </cell>
          <cell r="T320" t="str">
            <v>334,334,333</v>
          </cell>
          <cell r="U320">
            <v>13001</v>
          </cell>
          <cell r="V320">
            <v>17</v>
          </cell>
          <cell r="W320" t="str">
            <v>チャレンジタワー 17F</v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26</v>
          </cell>
          <cell r="AD320">
            <v>6</v>
          </cell>
          <cell r="AE320" t="str">
            <v>singleonly</v>
          </cell>
        </row>
        <row r="321">
          <cell r="A321" t="str">
            <v>13001_19</v>
          </cell>
          <cell r="B321">
            <v>3</v>
          </cell>
          <cell r="C321">
            <v>13001</v>
          </cell>
          <cell r="D321" t="str">
            <v>チャレンジタワー(ソロ専用)</v>
          </cell>
          <cell r="E321" t="str">
            <v>試練の塔</v>
          </cell>
          <cell r="F321">
            <v>19</v>
          </cell>
          <cell r="G321" t="str">
            <v>ja</v>
          </cell>
          <cell r="H321" t="str">
            <v>チャレンジタワー 19F</v>
          </cell>
          <cell r="I321" t="str">
            <v>試練の塔</v>
          </cell>
          <cell r="J321">
            <v>342</v>
          </cell>
          <cell r="K321">
            <v>18</v>
          </cell>
          <cell r="L321">
            <v>2108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1</v>
          </cell>
          <cell r="R321">
            <v>3</v>
          </cell>
          <cell r="S321" t="str">
            <v>character</v>
          </cell>
          <cell r="T321" t="str">
            <v>342,342,341</v>
          </cell>
          <cell r="U321">
            <v>13001</v>
          </cell>
          <cell r="V321">
            <v>18</v>
          </cell>
          <cell r="W321" t="str">
            <v>チャレンジタワー 18F</v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26</v>
          </cell>
          <cell r="AD321">
            <v>6</v>
          </cell>
          <cell r="AE321" t="str">
            <v>singleonly</v>
          </cell>
        </row>
        <row r="322">
          <cell r="A322" t="str">
            <v>13001_20</v>
          </cell>
          <cell r="B322">
            <v>3</v>
          </cell>
          <cell r="C322">
            <v>13001</v>
          </cell>
          <cell r="D322" t="str">
            <v>チャレンジタワー(ソロ専用)</v>
          </cell>
          <cell r="E322" t="str">
            <v>試練の塔</v>
          </cell>
          <cell r="F322">
            <v>20</v>
          </cell>
          <cell r="G322" t="str">
            <v>ja</v>
          </cell>
          <cell r="H322" t="str">
            <v>チャレンジタワー 20F</v>
          </cell>
          <cell r="I322" t="str">
            <v>試練の塔</v>
          </cell>
          <cell r="J322">
            <v>318</v>
          </cell>
          <cell r="K322">
            <v>18</v>
          </cell>
          <cell r="L322">
            <v>1620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1</v>
          </cell>
          <cell r="R322">
            <v>3</v>
          </cell>
          <cell r="S322" t="str">
            <v>character</v>
          </cell>
          <cell r="T322" t="str">
            <v>318</v>
          </cell>
          <cell r="U322">
            <v>13001</v>
          </cell>
          <cell r="V322">
            <v>19</v>
          </cell>
          <cell r="W322" t="str">
            <v>チャレンジタワー 19F</v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26</v>
          </cell>
          <cell r="AD322">
            <v>6</v>
          </cell>
          <cell r="AE322" t="str">
            <v>singleonly</v>
          </cell>
        </row>
        <row r="323">
          <cell r="A323" t="str">
            <v>13001_21</v>
          </cell>
          <cell r="B323">
            <v>3</v>
          </cell>
          <cell r="C323">
            <v>13001</v>
          </cell>
          <cell r="D323" t="str">
            <v>チャレンジタワー(ソロ専用)</v>
          </cell>
          <cell r="E323" t="str">
            <v>試練の塔</v>
          </cell>
          <cell r="F323">
            <v>21</v>
          </cell>
          <cell r="G323" t="str">
            <v>ja</v>
          </cell>
          <cell r="H323" t="str">
            <v>チャレンジタワー 21F</v>
          </cell>
          <cell r="I323" t="str">
            <v>試練の塔</v>
          </cell>
          <cell r="J323" t="str">
            <v>335</v>
          </cell>
          <cell r="K323">
            <v>18</v>
          </cell>
          <cell r="L323">
            <v>1620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1</v>
          </cell>
          <cell r="R323">
            <v>3</v>
          </cell>
          <cell r="S323" t="str">
            <v>character</v>
          </cell>
          <cell r="T323" t="str">
            <v>334,335,335</v>
          </cell>
          <cell r="U323">
            <v>13001</v>
          </cell>
          <cell r="V323">
            <v>20</v>
          </cell>
          <cell r="W323" t="str">
            <v>チャレンジタワー 20F</v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26</v>
          </cell>
          <cell r="AD323">
            <v>6</v>
          </cell>
          <cell r="AE323" t="str">
            <v>singleonly</v>
          </cell>
        </row>
        <row r="324">
          <cell r="A324" t="str">
            <v>13001_22</v>
          </cell>
          <cell r="B324">
            <v>3</v>
          </cell>
          <cell r="C324">
            <v>13001</v>
          </cell>
          <cell r="D324" t="str">
            <v>チャレンジタワー(ソロ専用)</v>
          </cell>
          <cell r="E324" t="str">
            <v>試練の塔</v>
          </cell>
          <cell r="F324">
            <v>22</v>
          </cell>
          <cell r="G324" t="str">
            <v>ja</v>
          </cell>
          <cell r="H324" t="str">
            <v>チャレンジタワー 22F</v>
          </cell>
          <cell r="I324" t="str">
            <v>試練の塔</v>
          </cell>
          <cell r="J324" t="str">
            <v>339</v>
          </cell>
          <cell r="K324">
            <v>18</v>
          </cell>
          <cell r="L324">
            <v>1620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1</v>
          </cell>
          <cell r="R324">
            <v>3</v>
          </cell>
          <cell r="S324" t="str">
            <v>character</v>
          </cell>
          <cell r="T324" t="str">
            <v>338,339,339</v>
          </cell>
          <cell r="U324">
            <v>13001</v>
          </cell>
          <cell r="V324">
            <v>21</v>
          </cell>
          <cell r="W324" t="str">
            <v>チャレンジタワー 21F</v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26</v>
          </cell>
          <cell r="AD324">
            <v>6</v>
          </cell>
          <cell r="AE324" t="str">
            <v>singleonly</v>
          </cell>
        </row>
        <row r="325">
          <cell r="A325" t="str">
            <v>13001_23</v>
          </cell>
          <cell r="B325">
            <v>3</v>
          </cell>
          <cell r="C325">
            <v>13001</v>
          </cell>
          <cell r="D325" t="str">
            <v>チャレンジタワー(ソロ専用)</v>
          </cell>
          <cell r="E325" t="str">
            <v>試練の塔</v>
          </cell>
          <cell r="F325">
            <v>23</v>
          </cell>
          <cell r="G325" t="str">
            <v>ja</v>
          </cell>
          <cell r="H325" t="str">
            <v>チャレンジタワー 23F</v>
          </cell>
          <cell r="I325" t="str">
            <v>試練の塔</v>
          </cell>
          <cell r="J325" t="str">
            <v>347</v>
          </cell>
          <cell r="K325">
            <v>20</v>
          </cell>
          <cell r="L325">
            <v>1821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1</v>
          </cell>
          <cell r="R325">
            <v>3</v>
          </cell>
          <cell r="S325" t="str">
            <v>character</v>
          </cell>
          <cell r="T325" t="str">
            <v>346,347,347</v>
          </cell>
          <cell r="U325">
            <v>13001</v>
          </cell>
          <cell r="V325">
            <v>22</v>
          </cell>
          <cell r="W325" t="str">
            <v>チャレンジタワー 22F</v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26</v>
          </cell>
          <cell r="AD325">
            <v>6</v>
          </cell>
          <cell r="AE325" t="str">
            <v>singleonly</v>
          </cell>
        </row>
        <row r="326">
          <cell r="A326" t="str">
            <v>13001_24</v>
          </cell>
          <cell r="B326">
            <v>3</v>
          </cell>
          <cell r="C326">
            <v>13001</v>
          </cell>
          <cell r="D326" t="str">
            <v>チャレンジタワー(ソロ専用)</v>
          </cell>
          <cell r="E326" t="str">
            <v>試練の塔</v>
          </cell>
          <cell r="F326">
            <v>24</v>
          </cell>
          <cell r="G326" t="str">
            <v>ja</v>
          </cell>
          <cell r="H326" t="str">
            <v>チャレンジタワー 24F</v>
          </cell>
          <cell r="I326" t="str">
            <v>試練の塔</v>
          </cell>
          <cell r="J326" t="str">
            <v>343</v>
          </cell>
          <cell r="K326">
            <v>20</v>
          </cell>
          <cell r="L326">
            <v>2871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1</v>
          </cell>
          <cell r="R326">
            <v>3</v>
          </cell>
          <cell r="S326" t="str">
            <v>character</v>
          </cell>
          <cell r="T326" t="str">
            <v>342,343,343</v>
          </cell>
          <cell r="U326">
            <v>13001</v>
          </cell>
          <cell r="V326">
            <v>23</v>
          </cell>
          <cell r="W326" t="str">
            <v>チャレンジタワー 23F</v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26</v>
          </cell>
          <cell r="AD326">
            <v>6</v>
          </cell>
          <cell r="AE326" t="str">
            <v>singleonly</v>
          </cell>
        </row>
        <row r="327">
          <cell r="A327" t="str">
            <v>13001_25</v>
          </cell>
          <cell r="B327">
            <v>3</v>
          </cell>
          <cell r="C327">
            <v>13001</v>
          </cell>
          <cell r="D327" t="str">
            <v>チャレンジタワー(ソロ専用)</v>
          </cell>
          <cell r="E327" t="str">
            <v>試練の塔</v>
          </cell>
          <cell r="F327">
            <v>25</v>
          </cell>
          <cell r="G327" t="str">
            <v>ja</v>
          </cell>
          <cell r="H327" t="str">
            <v>チャレンジタワー 25F</v>
          </cell>
          <cell r="I327" t="str">
            <v>試練の塔</v>
          </cell>
          <cell r="J327" t="str">
            <v>368</v>
          </cell>
          <cell r="K327">
            <v>22</v>
          </cell>
          <cell r="L327">
            <v>3740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1</v>
          </cell>
          <cell r="R327">
            <v>3</v>
          </cell>
          <cell r="S327" t="str">
            <v>character</v>
          </cell>
          <cell r="T327" t="str">
            <v>368</v>
          </cell>
          <cell r="U327">
            <v>13001</v>
          </cell>
          <cell r="V327">
            <v>24</v>
          </cell>
          <cell r="W327" t="str">
            <v>チャレンジタワー 24F</v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26</v>
          </cell>
          <cell r="AD327">
            <v>6</v>
          </cell>
          <cell r="AE327" t="str">
            <v>singleonly</v>
          </cell>
        </row>
        <row r="328">
          <cell r="A328" t="str">
            <v>14001_1</v>
          </cell>
          <cell r="B328">
            <v>3</v>
          </cell>
          <cell r="C328">
            <v>14001</v>
          </cell>
          <cell r="D328" t="str">
            <v>【ロック】経験値/ソロ</v>
          </cell>
          <cell r="E328" t="str">
            <v>【ロック】経験値/ソロ</v>
          </cell>
          <cell r="F328">
            <v>1</v>
          </cell>
          <cell r="G328" t="str">
            <v>ja</v>
          </cell>
          <cell r="H328" t="str">
            <v>【超級】雷ファミリー（ハートなし）</v>
          </cell>
          <cell r="I328" t="str">
            <v>【ロッククエスト】経験値</v>
          </cell>
          <cell r="J328">
            <v>347</v>
          </cell>
          <cell r="K328">
            <v>1</v>
          </cell>
          <cell r="L328">
            <v>500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12</v>
          </cell>
          <cell r="AD328">
            <v>6</v>
          </cell>
          <cell r="AE328" t="str">
            <v>singleonly</v>
          </cell>
        </row>
        <row r="329">
          <cell r="A329" t="str">
            <v>14001_2</v>
          </cell>
          <cell r="B329">
            <v>3</v>
          </cell>
          <cell r="C329">
            <v>14001</v>
          </cell>
          <cell r="D329" t="str">
            <v>【ロック】経験値/ソロ</v>
          </cell>
          <cell r="E329" t="str">
            <v>【ロック】経験値/ソロ</v>
          </cell>
          <cell r="F329">
            <v>2</v>
          </cell>
          <cell r="G329" t="str">
            <v>ja</v>
          </cell>
          <cell r="H329" t="str">
            <v>【超級】水ファミリー（ハートなし）</v>
          </cell>
          <cell r="I329" t="str">
            <v>【ロッククエスト】経験値</v>
          </cell>
          <cell r="J329">
            <v>343</v>
          </cell>
          <cell r="K329">
            <v>1</v>
          </cell>
          <cell r="L329">
            <v>500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0</v>
          </cell>
          <cell r="R329">
            <v>3</v>
          </cell>
          <cell r="S329" t="str">
            <v>none</v>
          </cell>
          <cell r="T329">
            <v>0</v>
          </cell>
          <cell r="U329" t="str">
            <v>NULL</v>
          </cell>
          <cell r="V329" t="str">
            <v>NULL</v>
          </cell>
          <cell r="W329" t="str">
            <v/>
          </cell>
          <cell r="X329">
            <v>0</v>
          </cell>
          <cell r="Y329">
            <v>0</v>
          </cell>
          <cell r="Z329">
            <v>0</v>
          </cell>
          <cell r="AA329">
            <v>0</v>
          </cell>
          <cell r="AB329" t="str">
            <v>anytime</v>
          </cell>
          <cell r="AC329">
            <v>5</v>
          </cell>
          <cell r="AD329">
            <v>6</v>
          </cell>
          <cell r="AE329" t="str">
            <v>singleonly</v>
          </cell>
        </row>
        <row r="330">
          <cell r="A330" t="str">
            <v>14001_3</v>
          </cell>
          <cell r="B330">
            <v>3</v>
          </cell>
          <cell r="C330">
            <v>14001</v>
          </cell>
          <cell r="D330" t="str">
            <v>【ロック】経験値/ソロ</v>
          </cell>
          <cell r="E330" t="str">
            <v>【ロック】経験値/ソロ</v>
          </cell>
          <cell r="F330">
            <v>3</v>
          </cell>
          <cell r="G330" t="str">
            <v>ja</v>
          </cell>
          <cell r="H330" t="str">
            <v>【超級】森ファミリー（ハートなし）</v>
          </cell>
          <cell r="I330" t="str">
            <v>【ロッククエスト】経験値</v>
          </cell>
          <cell r="J330">
            <v>339</v>
          </cell>
          <cell r="K330">
            <v>1</v>
          </cell>
          <cell r="L330">
            <v>500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0</v>
          </cell>
          <cell r="R330">
            <v>3</v>
          </cell>
          <cell r="S330" t="str">
            <v>none</v>
          </cell>
          <cell r="T330">
            <v>0</v>
          </cell>
          <cell r="U330" t="str">
            <v>NULL</v>
          </cell>
          <cell r="V330" t="str">
            <v>NULL</v>
          </cell>
          <cell r="W330" t="str">
            <v/>
          </cell>
          <cell r="X330">
            <v>0</v>
          </cell>
          <cell r="Y330">
            <v>0</v>
          </cell>
          <cell r="Z330">
            <v>0</v>
          </cell>
          <cell r="AA330">
            <v>0</v>
          </cell>
          <cell r="AB330" t="str">
            <v>anytime</v>
          </cell>
          <cell r="AC330">
            <v>7</v>
          </cell>
          <cell r="AD330">
            <v>6</v>
          </cell>
          <cell r="AE330" t="str">
            <v>singleonly</v>
          </cell>
        </row>
        <row r="331">
          <cell r="A331" t="str">
            <v>14001_4</v>
          </cell>
          <cell r="B331">
            <v>3</v>
          </cell>
          <cell r="C331">
            <v>14001</v>
          </cell>
          <cell r="D331" t="str">
            <v>【ロック】経験値/ソロ</v>
          </cell>
          <cell r="E331" t="str">
            <v>【ロック】経験値/ソロ</v>
          </cell>
          <cell r="F331">
            <v>4</v>
          </cell>
          <cell r="G331" t="str">
            <v>ja</v>
          </cell>
          <cell r="H331" t="str">
            <v>【超級】炎ファミリー（ハートなし）</v>
          </cell>
          <cell r="I331" t="str">
            <v>【ロッククエスト】経験値</v>
          </cell>
          <cell r="J331">
            <v>335</v>
          </cell>
          <cell r="K331">
            <v>1</v>
          </cell>
          <cell r="L331">
            <v>500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0</v>
          </cell>
          <cell r="R331">
            <v>3</v>
          </cell>
          <cell r="S331" t="str">
            <v>none</v>
          </cell>
          <cell r="T331">
            <v>0</v>
          </cell>
          <cell r="U331" t="str">
            <v>NULL</v>
          </cell>
          <cell r="V331" t="str">
            <v>NULL</v>
          </cell>
          <cell r="W331" t="str">
            <v/>
          </cell>
          <cell r="X331">
            <v>0</v>
          </cell>
          <cell r="Y331">
            <v>0</v>
          </cell>
          <cell r="Z331">
            <v>0</v>
          </cell>
          <cell r="AA331">
            <v>0</v>
          </cell>
          <cell r="AB331" t="str">
            <v>anytime</v>
          </cell>
          <cell r="AC331">
            <v>10</v>
          </cell>
          <cell r="AD331">
            <v>6</v>
          </cell>
          <cell r="AE331" t="str">
            <v>singleonly</v>
          </cell>
        </row>
        <row r="332">
          <cell r="A332" t="str">
            <v>14001_5</v>
          </cell>
          <cell r="B332">
            <v>0</v>
          </cell>
          <cell r="C332">
            <v>14001</v>
          </cell>
          <cell r="D332" t="str">
            <v>【ロック】経験値/ソロ</v>
          </cell>
          <cell r="E332" t="str">
            <v>【ロック】経験値/ソロ</v>
          </cell>
          <cell r="F332">
            <v>5</v>
          </cell>
          <cell r="G332" t="str">
            <v>ja</v>
          </cell>
          <cell r="H332" t="str">
            <v>【超絶級】雷のサミット（ハートなし）</v>
          </cell>
          <cell r="I332" t="str">
            <v>【ロッククエスト】経験値</v>
          </cell>
          <cell r="J332">
            <v>334</v>
          </cell>
          <cell r="K332">
            <v>1</v>
          </cell>
          <cell r="L332">
            <v>350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0</v>
          </cell>
          <cell r="R332">
            <v>3</v>
          </cell>
          <cell r="S332" t="str">
            <v>none</v>
          </cell>
          <cell r="T332">
            <v>0</v>
          </cell>
          <cell r="U332" t="str">
            <v>NULL</v>
          </cell>
          <cell r="V332" t="str">
            <v>NULL</v>
          </cell>
          <cell r="W332" t="str">
            <v/>
          </cell>
          <cell r="X332">
            <v>0</v>
          </cell>
          <cell r="Y332">
            <v>0</v>
          </cell>
          <cell r="Z332">
            <v>0</v>
          </cell>
          <cell r="AA332">
            <v>0</v>
          </cell>
          <cell r="AB332" t="str">
            <v>anytime</v>
          </cell>
          <cell r="AC332">
            <v>201</v>
          </cell>
          <cell r="AD332">
            <v>6</v>
          </cell>
          <cell r="AE332" t="str">
            <v>singleonly</v>
          </cell>
        </row>
        <row r="333">
          <cell r="A333" t="str">
            <v>14001_6</v>
          </cell>
          <cell r="B333">
            <v>0</v>
          </cell>
          <cell r="C333">
            <v>14001</v>
          </cell>
          <cell r="D333" t="str">
            <v>【ロック】経験値/ソロ</v>
          </cell>
          <cell r="E333" t="str">
            <v>【ロック】経験値/ソロ</v>
          </cell>
          <cell r="F333">
            <v>6</v>
          </cell>
          <cell r="G333" t="str">
            <v>ja</v>
          </cell>
          <cell r="H333" t="str">
            <v>【超絶級】水のサミット（ハートなし）</v>
          </cell>
          <cell r="I333" t="str">
            <v>【ロッククエスト】経験値</v>
          </cell>
          <cell r="J333">
            <v>334</v>
          </cell>
          <cell r="K333">
            <v>1</v>
          </cell>
          <cell r="L333">
            <v>350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0</v>
          </cell>
          <cell r="R333">
            <v>3</v>
          </cell>
          <cell r="S333" t="str">
            <v>none</v>
          </cell>
          <cell r="T333">
            <v>0</v>
          </cell>
          <cell r="U333" t="str">
            <v>NULL</v>
          </cell>
          <cell r="V333" t="str">
            <v>NULL</v>
          </cell>
          <cell r="W333" t="str">
            <v/>
          </cell>
          <cell r="X333">
            <v>0</v>
          </cell>
          <cell r="Y333">
            <v>0</v>
          </cell>
          <cell r="Z333">
            <v>0</v>
          </cell>
          <cell r="AA333">
            <v>0</v>
          </cell>
          <cell r="AB333" t="str">
            <v>anytime</v>
          </cell>
          <cell r="AC333">
            <v>201</v>
          </cell>
          <cell r="AD333">
            <v>6</v>
          </cell>
          <cell r="AE333" t="str">
            <v>singleonly</v>
          </cell>
        </row>
        <row r="334">
          <cell r="A334" t="str">
            <v>14001_7</v>
          </cell>
          <cell r="B334">
            <v>0</v>
          </cell>
          <cell r="C334">
            <v>14001</v>
          </cell>
          <cell r="D334" t="str">
            <v>【ロック】経験値/ソロ</v>
          </cell>
          <cell r="E334" t="str">
            <v>【ロック】経験値/ソロ</v>
          </cell>
          <cell r="F334">
            <v>7</v>
          </cell>
          <cell r="G334" t="str">
            <v>ja</v>
          </cell>
          <cell r="H334" t="str">
            <v>【超絶級】森のサミット（ハートなし）</v>
          </cell>
          <cell r="I334" t="str">
            <v>【ロッククエスト】経験値</v>
          </cell>
          <cell r="J334">
            <v>334</v>
          </cell>
          <cell r="K334">
            <v>1</v>
          </cell>
          <cell r="L334">
            <v>350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0</v>
          </cell>
          <cell r="R334">
            <v>3</v>
          </cell>
          <cell r="S334" t="str">
            <v>none</v>
          </cell>
          <cell r="T334">
            <v>0</v>
          </cell>
          <cell r="U334" t="str">
            <v>NULL</v>
          </cell>
          <cell r="V334" t="str">
            <v>NULL</v>
          </cell>
          <cell r="W334" t="str">
            <v/>
          </cell>
          <cell r="X334">
            <v>0</v>
          </cell>
          <cell r="Y334">
            <v>0</v>
          </cell>
          <cell r="Z334">
            <v>0</v>
          </cell>
          <cell r="AA334">
            <v>0</v>
          </cell>
          <cell r="AB334" t="str">
            <v>anytime</v>
          </cell>
          <cell r="AC334">
            <v>201</v>
          </cell>
          <cell r="AD334">
            <v>6</v>
          </cell>
          <cell r="AE334" t="str">
            <v>singleonly</v>
          </cell>
        </row>
        <row r="335">
          <cell r="A335" t="str">
            <v>14001_8</v>
          </cell>
          <cell r="B335">
            <v>0</v>
          </cell>
          <cell r="C335">
            <v>14001</v>
          </cell>
          <cell r="D335" t="str">
            <v>【ロック】経験値/ソロ</v>
          </cell>
          <cell r="E335" t="str">
            <v>【ロック】経験値/ソロ</v>
          </cell>
          <cell r="F335">
            <v>8</v>
          </cell>
          <cell r="G335" t="str">
            <v>ja</v>
          </cell>
          <cell r="H335" t="str">
            <v>【超絶級】炎のサミット（ハートなし）</v>
          </cell>
          <cell r="I335" t="str">
            <v>【ロッククエスト】経験値</v>
          </cell>
          <cell r="J335">
            <v>334</v>
          </cell>
          <cell r="K335">
            <v>1</v>
          </cell>
          <cell r="L335">
            <v>350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0</v>
          </cell>
          <cell r="R335">
            <v>3</v>
          </cell>
          <cell r="S335" t="str">
            <v>none</v>
          </cell>
          <cell r="T335">
            <v>0</v>
          </cell>
          <cell r="U335" t="str">
            <v>NULL</v>
          </cell>
          <cell r="V335" t="str">
            <v>NULL</v>
          </cell>
          <cell r="W335" t="str">
            <v/>
          </cell>
          <cell r="X335">
            <v>0</v>
          </cell>
          <cell r="Y335">
            <v>0</v>
          </cell>
          <cell r="Z335">
            <v>0</v>
          </cell>
          <cell r="AA335">
            <v>0</v>
          </cell>
          <cell r="AB335" t="str">
            <v>anytime</v>
          </cell>
          <cell r="AC335">
            <v>201</v>
          </cell>
          <cell r="AD335">
            <v>6</v>
          </cell>
          <cell r="AE335" t="str">
            <v>singleonly</v>
          </cell>
        </row>
        <row r="336">
          <cell r="A336" t="str">
            <v>14002_1</v>
          </cell>
          <cell r="B336">
            <v>3</v>
          </cell>
          <cell r="C336">
            <v>14002</v>
          </cell>
          <cell r="D336" t="str">
            <v>【ロック】ビット/ソロ</v>
          </cell>
          <cell r="E336" t="str">
            <v>【ロック】ビット/ソロ</v>
          </cell>
          <cell r="F336">
            <v>1</v>
          </cell>
          <cell r="G336" t="str">
            <v>ja</v>
          </cell>
          <cell r="H336" t="str">
            <v>【超級】ハイローラー（ハートなし）</v>
          </cell>
          <cell r="I336" t="str">
            <v>【ロッククエスト】ビット</v>
          </cell>
          <cell r="J336">
            <v>119</v>
          </cell>
          <cell r="K336">
            <v>1</v>
          </cell>
          <cell r="L336">
            <v>777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0</v>
          </cell>
          <cell r="R336">
            <v>3</v>
          </cell>
          <cell r="S336" t="str">
            <v>none</v>
          </cell>
          <cell r="T336">
            <v>0</v>
          </cell>
          <cell r="U336" t="str">
            <v>NULL</v>
          </cell>
          <cell r="V336" t="str">
            <v>NULL</v>
          </cell>
          <cell r="W336" t="str">
            <v/>
          </cell>
          <cell r="X336">
            <v>0</v>
          </cell>
          <cell r="Y336">
            <v>0</v>
          </cell>
          <cell r="Z336">
            <v>0</v>
          </cell>
          <cell r="AA336">
            <v>0</v>
          </cell>
          <cell r="AB336" t="str">
            <v>anytime</v>
          </cell>
          <cell r="AC336">
            <v>105</v>
          </cell>
          <cell r="AD336">
            <v>6</v>
          </cell>
          <cell r="AE336" t="str">
            <v>singleonly</v>
          </cell>
        </row>
        <row r="337">
          <cell r="A337" t="str">
            <v>14002_2</v>
          </cell>
          <cell r="B337">
            <v>0</v>
          </cell>
          <cell r="C337">
            <v>14002</v>
          </cell>
          <cell r="D337" t="str">
            <v>【ロック】ビット/ソロ</v>
          </cell>
          <cell r="E337" t="str">
            <v>【ロック】ビット/ソロ</v>
          </cell>
          <cell r="F337">
            <v>2</v>
          </cell>
          <cell r="G337" t="str">
            <v>ja</v>
          </cell>
          <cell r="H337" t="str">
            <v>【上級】ゴールドカジノ （ハートなし）</v>
          </cell>
          <cell r="I337" t="str">
            <v>【ロッククエスト】ビット</v>
          </cell>
          <cell r="J337">
            <v>119</v>
          </cell>
          <cell r="K337">
            <v>1</v>
          </cell>
          <cell r="L337">
            <v>350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0</v>
          </cell>
          <cell r="R337">
            <v>3</v>
          </cell>
          <cell r="S337" t="str">
            <v>none</v>
          </cell>
          <cell r="T337">
            <v>0</v>
          </cell>
          <cell r="U337" t="str">
            <v>NULL</v>
          </cell>
          <cell r="V337" t="str">
            <v>NULL</v>
          </cell>
          <cell r="W337" t="str">
            <v/>
          </cell>
          <cell r="X337">
            <v>0</v>
          </cell>
          <cell r="Y337">
            <v>0</v>
          </cell>
          <cell r="Z337">
            <v>0</v>
          </cell>
          <cell r="AA337">
            <v>0</v>
          </cell>
          <cell r="AB337" t="str">
            <v>anytime</v>
          </cell>
          <cell r="AC337">
            <v>105</v>
          </cell>
          <cell r="AD337">
            <v>6</v>
          </cell>
          <cell r="AE337" t="str">
            <v>singleonly</v>
          </cell>
        </row>
        <row r="338">
          <cell r="A338" t="str">
            <v>14003_1</v>
          </cell>
          <cell r="B338">
            <v>3</v>
          </cell>
          <cell r="C338">
            <v>14003</v>
          </cell>
          <cell r="D338" t="str">
            <v>【ロック】限界突破/ソロ</v>
          </cell>
          <cell r="E338" t="str">
            <v>【ロック】限界突破/ソロ</v>
          </cell>
          <cell r="F338">
            <v>1</v>
          </cell>
          <cell r="G338" t="str">
            <v>ja</v>
          </cell>
          <cell r="H338" t="str">
            <v>【超級】果実の楽園（ハートなし）</v>
          </cell>
          <cell r="I338" t="str">
            <v>【ロッククエスト】限界突破</v>
          </cell>
          <cell r="J338">
            <v>125</v>
          </cell>
          <cell r="K338">
            <v>1</v>
          </cell>
          <cell r="L338">
            <v>860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0</v>
          </cell>
          <cell r="R338">
            <v>3</v>
          </cell>
          <cell r="S338" t="str">
            <v>none</v>
          </cell>
          <cell r="T338">
            <v>0</v>
          </cell>
          <cell r="U338" t="str">
            <v>NULL</v>
          </cell>
          <cell r="V338" t="str">
            <v>NULL</v>
          </cell>
          <cell r="W338" t="str">
            <v/>
          </cell>
          <cell r="X338">
            <v>0</v>
          </cell>
          <cell r="Y338">
            <v>0</v>
          </cell>
          <cell r="Z338">
            <v>0</v>
          </cell>
          <cell r="AA338">
            <v>0</v>
          </cell>
          <cell r="AB338" t="str">
            <v>anytime</v>
          </cell>
          <cell r="AC338">
            <v>7</v>
          </cell>
          <cell r="AD338">
            <v>6</v>
          </cell>
          <cell r="AE338" t="str">
            <v>singleonly</v>
          </cell>
        </row>
        <row r="339">
          <cell r="A339" t="str">
            <v>14003_2</v>
          </cell>
          <cell r="B339">
            <v>3</v>
          </cell>
          <cell r="C339">
            <v>14003</v>
          </cell>
          <cell r="D339" t="str">
            <v>【ロック】限界突破/ソロ</v>
          </cell>
          <cell r="E339" t="str">
            <v>【ロック】限界突破/ソロ</v>
          </cell>
          <cell r="F339">
            <v>2</v>
          </cell>
          <cell r="G339" t="str">
            <v>ja</v>
          </cell>
          <cell r="H339" t="str">
            <v>【超級】攻めの極意（ハートなし）</v>
          </cell>
          <cell r="I339" t="str">
            <v>【ロッククエスト】限界突破</v>
          </cell>
          <cell r="J339">
            <v>611</v>
          </cell>
          <cell r="K339">
            <v>1</v>
          </cell>
          <cell r="L339">
            <v>999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0</v>
          </cell>
          <cell r="R339">
            <v>3</v>
          </cell>
          <cell r="S339" t="str">
            <v>none</v>
          </cell>
          <cell r="T339">
            <v>0</v>
          </cell>
          <cell r="U339" t="str">
            <v>NULL</v>
          </cell>
          <cell r="V339" t="str">
            <v>NULL</v>
          </cell>
          <cell r="W339" t="str">
            <v/>
          </cell>
          <cell r="X339">
            <v>0</v>
          </cell>
          <cell r="Y339">
            <v>0</v>
          </cell>
          <cell r="Z339">
            <v>0</v>
          </cell>
          <cell r="AA339">
            <v>0</v>
          </cell>
          <cell r="AB339" t="str">
            <v>anytime</v>
          </cell>
          <cell r="AC339">
            <v>10</v>
          </cell>
          <cell r="AD339">
            <v>6</v>
          </cell>
          <cell r="AE339" t="str">
            <v>singleonly</v>
          </cell>
        </row>
        <row r="340">
          <cell r="A340" t="str">
            <v>14003_3</v>
          </cell>
          <cell r="B340">
            <v>3</v>
          </cell>
          <cell r="C340">
            <v>14003</v>
          </cell>
          <cell r="D340" t="str">
            <v>【ロック】限界突破/ソロ</v>
          </cell>
          <cell r="E340" t="str">
            <v>【ロック】限界突破/ソロ</v>
          </cell>
          <cell r="F340">
            <v>3</v>
          </cell>
          <cell r="G340" t="str">
            <v>ja</v>
          </cell>
          <cell r="H340" t="str">
            <v>【超級】癒しの極意（ハートなし）</v>
          </cell>
          <cell r="I340" t="str">
            <v>【ロッククエスト】限界突破</v>
          </cell>
          <cell r="J340">
            <v>613</v>
          </cell>
          <cell r="K340">
            <v>1</v>
          </cell>
          <cell r="L340">
            <v>999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0</v>
          </cell>
          <cell r="R340">
            <v>3</v>
          </cell>
          <cell r="S340" t="str">
            <v>none</v>
          </cell>
          <cell r="T340">
            <v>0</v>
          </cell>
          <cell r="U340" t="str">
            <v>NULL</v>
          </cell>
          <cell r="V340" t="str">
            <v>NULL</v>
          </cell>
          <cell r="W340" t="str">
            <v/>
          </cell>
          <cell r="X340">
            <v>0</v>
          </cell>
          <cell r="Y340">
            <v>0</v>
          </cell>
          <cell r="Z340">
            <v>0</v>
          </cell>
          <cell r="AA340">
            <v>0</v>
          </cell>
          <cell r="AB340" t="str">
            <v>anytime</v>
          </cell>
          <cell r="AC340">
            <v>5</v>
          </cell>
          <cell r="AD340">
            <v>6</v>
          </cell>
          <cell r="AE340" t="str">
            <v>singleonly</v>
          </cell>
        </row>
        <row r="341">
          <cell r="A341" t="str">
            <v>14003_4</v>
          </cell>
          <cell r="B341">
            <v>3</v>
          </cell>
          <cell r="C341">
            <v>14003</v>
          </cell>
          <cell r="D341" t="str">
            <v>【ロック】限界突破/ソロ</v>
          </cell>
          <cell r="E341" t="str">
            <v>【ロック】限界突破/ソロ</v>
          </cell>
          <cell r="F341">
            <v>4</v>
          </cell>
          <cell r="G341" t="str">
            <v>ja</v>
          </cell>
          <cell r="H341" t="str">
            <v>【超級】生命の極意（ハートなし）</v>
          </cell>
          <cell r="I341" t="str">
            <v>【ロッククエスト】限界突破</v>
          </cell>
          <cell r="J341">
            <v>612</v>
          </cell>
          <cell r="K341">
            <v>1</v>
          </cell>
          <cell r="L341">
            <v>999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0</v>
          </cell>
          <cell r="R341">
            <v>3</v>
          </cell>
          <cell r="S341" t="str">
            <v>none</v>
          </cell>
          <cell r="T341">
            <v>0</v>
          </cell>
          <cell r="U341" t="str">
            <v>NULL</v>
          </cell>
          <cell r="V341" t="str">
            <v>NULL</v>
          </cell>
          <cell r="W341" t="str">
            <v/>
          </cell>
          <cell r="X341">
            <v>0</v>
          </cell>
          <cell r="Y341">
            <v>0</v>
          </cell>
          <cell r="Z341">
            <v>0</v>
          </cell>
          <cell r="AA341">
            <v>0</v>
          </cell>
          <cell r="AB341" t="str">
            <v>anytime</v>
          </cell>
          <cell r="AC341">
            <v>7</v>
          </cell>
          <cell r="AD341">
            <v>6</v>
          </cell>
          <cell r="AE341" t="str">
            <v>singleonly</v>
          </cell>
        </row>
        <row r="342">
          <cell r="A342" t="str">
            <v>14004_1</v>
          </cell>
          <cell r="B342">
            <v>1</v>
          </cell>
          <cell r="C342">
            <v>14004</v>
          </cell>
          <cell r="D342" t="str">
            <v>【ロック】経験値/LINEマルチ</v>
          </cell>
          <cell r="E342" t="str">
            <v>【ロック】経験値/LINEマルチ</v>
          </cell>
          <cell r="F342">
            <v>1</v>
          </cell>
          <cell r="G342" t="str">
            <v>ja</v>
          </cell>
          <cell r="H342" t="str">
            <v>【超級】雷ファミリー（ハートなし）</v>
          </cell>
          <cell r="I342" t="str">
            <v>【ロッククエスト】経験値</v>
          </cell>
          <cell r="J342">
            <v>347</v>
          </cell>
          <cell r="K342">
            <v>1</v>
          </cell>
          <cell r="L342">
            <v>500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0</v>
          </cell>
          <cell r="R342">
            <v>3</v>
          </cell>
          <cell r="S342" t="str">
            <v>none</v>
          </cell>
          <cell r="T342">
            <v>0</v>
          </cell>
          <cell r="U342" t="str">
            <v>NULL</v>
          </cell>
          <cell r="V342" t="str">
            <v>NULL</v>
          </cell>
          <cell r="W342" t="str">
            <v/>
          </cell>
          <cell r="X342">
            <v>0</v>
          </cell>
          <cell r="Y342">
            <v>0</v>
          </cell>
          <cell r="Z342">
            <v>0</v>
          </cell>
          <cell r="AA342">
            <v>0</v>
          </cell>
          <cell r="AB342" t="str">
            <v>anytime</v>
          </cell>
          <cell r="AC342">
            <v>12</v>
          </cell>
          <cell r="AD342">
            <v>6</v>
          </cell>
          <cell r="AE342" t="str">
            <v>lineonly</v>
          </cell>
        </row>
        <row r="343">
          <cell r="A343" t="str">
            <v>14004_2</v>
          </cell>
          <cell r="B343">
            <v>1</v>
          </cell>
          <cell r="C343">
            <v>14004</v>
          </cell>
          <cell r="D343" t="str">
            <v>【ロック】経験値/LINEマルチ</v>
          </cell>
          <cell r="E343" t="str">
            <v>【ロック】経験値/LINEマルチ</v>
          </cell>
          <cell r="F343">
            <v>2</v>
          </cell>
          <cell r="G343" t="str">
            <v>ja</v>
          </cell>
          <cell r="H343" t="str">
            <v>【超級】水ファミリー（ハートなし）</v>
          </cell>
          <cell r="I343" t="str">
            <v>【ロッククエスト】経験値</v>
          </cell>
          <cell r="J343">
            <v>343</v>
          </cell>
          <cell r="K343">
            <v>1</v>
          </cell>
          <cell r="L343">
            <v>500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0</v>
          </cell>
          <cell r="R343">
            <v>3</v>
          </cell>
          <cell r="S343" t="str">
            <v>none</v>
          </cell>
          <cell r="T343">
            <v>0</v>
          </cell>
          <cell r="U343" t="str">
            <v>NULL</v>
          </cell>
          <cell r="V343" t="str">
            <v>NULL</v>
          </cell>
          <cell r="W343" t="str">
            <v/>
          </cell>
          <cell r="X343">
            <v>0</v>
          </cell>
          <cell r="Y343">
            <v>0</v>
          </cell>
          <cell r="Z343">
            <v>0</v>
          </cell>
          <cell r="AA343">
            <v>0</v>
          </cell>
          <cell r="AB343" t="str">
            <v>anytime</v>
          </cell>
          <cell r="AC343">
            <v>5</v>
          </cell>
          <cell r="AD343">
            <v>6</v>
          </cell>
          <cell r="AE343" t="str">
            <v>lineonly</v>
          </cell>
        </row>
        <row r="344">
          <cell r="A344" t="str">
            <v>14004_3</v>
          </cell>
          <cell r="B344">
            <v>1</v>
          </cell>
          <cell r="C344">
            <v>14004</v>
          </cell>
          <cell r="D344" t="str">
            <v>【ロック】経験値/LINEマルチ</v>
          </cell>
          <cell r="E344" t="str">
            <v>【ロック】経験値/LINEマルチ</v>
          </cell>
          <cell r="F344">
            <v>3</v>
          </cell>
          <cell r="G344" t="str">
            <v>ja</v>
          </cell>
          <cell r="H344" t="str">
            <v>【超級】森ファミリー（ハートなし）</v>
          </cell>
          <cell r="I344" t="str">
            <v>【ロッククエスト】経験値</v>
          </cell>
          <cell r="J344">
            <v>339</v>
          </cell>
          <cell r="K344">
            <v>1</v>
          </cell>
          <cell r="L344">
            <v>500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0</v>
          </cell>
          <cell r="R344">
            <v>3</v>
          </cell>
          <cell r="S344" t="str">
            <v>none</v>
          </cell>
          <cell r="T344">
            <v>0</v>
          </cell>
          <cell r="U344" t="str">
            <v>NULL</v>
          </cell>
          <cell r="V344" t="str">
            <v>NULL</v>
          </cell>
          <cell r="W344" t="str">
            <v/>
          </cell>
          <cell r="X344">
            <v>0</v>
          </cell>
          <cell r="Y344">
            <v>0</v>
          </cell>
          <cell r="Z344">
            <v>0</v>
          </cell>
          <cell r="AA344">
            <v>0</v>
          </cell>
          <cell r="AB344" t="str">
            <v>anytime</v>
          </cell>
          <cell r="AC344">
            <v>7</v>
          </cell>
          <cell r="AD344">
            <v>6</v>
          </cell>
          <cell r="AE344" t="str">
            <v>lineonly</v>
          </cell>
        </row>
        <row r="345">
          <cell r="A345" t="str">
            <v>14004_4</v>
          </cell>
          <cell r="B345">
            <v>1</v>
          </cell>
          <cell r="C345">
            <v>14004</v>
          </cell>
          <cell r="D345" t="str">
            <v>【ロック】経験値/LINEマルチ</v>
          </cell>
          <cell r="E345" t="str">
            <v>【ロック】経験値/LINEマルチ</v>
          </cell>
          <cell r="F345">
            <v>4</v>
          </cell>
          <cell r="G345" t="str">
            <v>ja</v>
          </cell>
          <cell r="H345" t="str">
            <v>【超級】炎ファミリー（ハートなし）</v>
          </cell>
          <cell r="I345" t="str">
            <v>【ロッククエスト】経験値</v>
          </cell>
          <cell r="J345">
            <v>335</v>
          </cell>
          <cell r="K345">
            <v>1</v>
          </cell>
          <cell r="L345">
            <v>500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0</v>
          </cell>
          <cell r="R345">
            <v>3</v>
          </cell>
          <cell r="S345" t="str">
            <v>none</v>
          </cell>
          <cell r="T345">
            <v>0</v>
          </cell>
          <cell r="U345" t="str">
            <v>NULL</v>
          </cell>
          <cell r="V345" t="str">
            <v>NULL</v>
          </cell>
          <cell r="W345" t="str">
            <v/>
          </cell>
          <cell r="X345">
            <v>0</v>
          </cell>
          <cell r="Y345">
            <v>0</v>
          </cell>
          <cell r="Z345">
            <v>0</v>
          </cell>
          <cell r="AA345">
            <v>0</v>
          </cell>
          <cell r="AB345" t="str">
            <v>anytime</v>
          </cell>
          <cell r="AC345">
            <v>10</v>
          </cell>
          <cell r="AD345">
            <v>6</v>
          </cell>
          <cell r="AE345" t="str">
            <v>lineonly</v>
          </cell>
        </row>
        <row r="346">
          <cell r="A346" t="str">
            <v>14005_1</v>
          </cell>
          <cell r="B346">
            <v>1</v>
          </cell>
          <cell r="C346">
            <v>14005</v>
          </cell>
          <cell r="D346" t="str">
            <v>【ロック】ビット/LINEマルチ</v>
          </cell>
          <cell r="E346" t="str">
            <v>【ロック】ビット/LINEマルチ</v>
          </cell>
          <cell r="F346">
            <v>1</v>
          </cell>
          <cell r="G346" t="str">
            <v>ja</v>
          </cell>
          <cell r="H346" t="str">
            <v>【超級】ハイローラー（ハートなし）</v>
          </cell>
          <cell r="I346" t="str">
            <v>【ロッククエスト】ビット</v>
          </cell>
          <cell r="J346">
            <v>119</v>
          </cell>
          <cell r="K346">
            <v>1</v>
          </cell>
          <cell r="L346">
            <v>777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0</v>
          </cell>
          <cell r="R346">
            <v>3</v>
          </cell>
          <cell r="S346" t="str">
            <v>none</v>
          </cell>
          <cell r="T346">
            <v>0</v>
          </cell>
          <cell r="U346" t="str">
            <v>NULL</v>
          </cell>
          <cell r="V346" t="str">
            <v>NULL</v>
          </cell>
          <cell r="W346" t="str">
            <v/>
          </cell>
          <cell r="X346">
            <v>0</v>
          </cell>
          <cell r="Y346">
            <v>0</v>
          </cell>
          <cell r="Z346">
            <v>0</v>
          </cell>
          <cell r="AA346">
            <v>0</v>
          </cell>
          <cell r="AB346" t="str">
            <v>anytime</v>
          </cell>
          <cell r="AC346">
            <v>105</v>
          </cell>
          <cell r="AD346">
            <v>6</v>
          </cell>
          <cell r="AE346" t="str">
            <v>lineonly</v>
          </cell>
        </row>
        <row r="347">
          <cell r="A347" t="str">
            <v>14006_1</v>
          </cell>
          <cell r="B347">
            <v>1</v>
          </cell>
          <cell r="C347">
            <v>14006</v>
          </cell>
          <cell r="D347" t="str">
            <v>【ロック】限界突破/LINEマルチ</v>
          </cell>
          <cell r="E347" t="str">
            <v>【ロック】限界突破/LINEマルチ</v>
          </cell>
          <cell r="F347">
            <v>1</v>
          </cell>
          <cell r="G347" t="str">
            <v>ja</v>
          </cell>
          <cell r="H347" t="str">
            <v>【超級】果実の楽園（ハートなし）</v>
          </cell>
          <cell r="I347" t="str">
            <v>【ロッククエスト】限界突破</v>
          </cell>
          <cell r="J347">
            <v>125</v>
          </cell>
          <cell r="K347">
            <v>1</v>
          </cell>
          <cell r="L347">
            <v>860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0</v>
          </cell>
          <cell r="R347">
            <v>3</v>
          </cell>
          <cell r="S347" t="str">
            <v>none</v>
          </cell>
          <cell r="T347">
            <v>0</v>
          </cell>
          <cell r="U347" t="str">
            <v>NULL</v>
          </cell>
          <cell r="V347" t="str">
            <v>NULL</v>
          </cell>
          <cell r="W347" t="str">
            <v/>
          </cell>
          <cell r="X347">
            <v>0</v>
          </cell>
          <cell r="Y347">
            <v>0</v>
          </cell>
          <cell r="Z347">
            <v>0</v>
          </cell>
          <cell r="AA347">
            <v>0</v>
          </cell>
          <cell r="AB347" t="str">
            <v>anytime</v>
          </cell>
          <cell r="AC347">
            <v>7</v>
          </cell>
          <cell r="AD347">
            <v>6</v>
          </cell>
          <cell r="AE347" t="str">
            <v>lineonly</v>
          </cell>
        </row>
        <row r="348">
          <cell r="A348" t="str">
            <v>15027_1</v>
          </cell>
          <cell r="B348">
            <v>3</v>
          </cell>
          <cell r="C348">
            <v>15027</v>
          </cell>
          <cell r="D348" t="str">
            <v>27. 雷雨の登山道</v>
          </cell>
          <cell r="E348" t="str">
            <v>黄青DL6</v>
          </cell>
          <cell r="F348">
            <v>1</v>
          </cell>
          <cell r="G348" t="str">
            <v>ja</v>
          </cell>
          <cell r="H348" t="str">
            <v>27-1. 登山道入口</v>
          </cell>
          <cell r="J348" t="str">
            <v>NULL</v>
          </cell>
          <cell r="K348">
            <v>18</v>
          </cell>
          <cell r="L348">
            <v>3740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>
            <v>26</v>
          </cell>
          <cell r="V348">
            <v>6</v>
          </cell>
          <cell r="W348" t="str">
            <v>26-6．【1回のみ】ボーナスステージ</v>
          </cell>
          <cell r="X348">
            <v>0</v>
          </cell>
          <cell r="Y348">
            <v>1</v>
          </cell>
          <cell r="Z348">
            <v>0</v>
          </cell>
          <cell r="AA348">
            <v>1</v>
          </cell>
          <cell r="AB348" t="str">
            <v>anytime</v>
          </cell>
          <cell r="AC348">
            <v>27</v>
          </cell>
          <cell r="AD348">
            <v>6</v>
          </cell>
          <cell r="AE348" t="str">
            <v>everyone</v>
          </cell>
        </row>
        <row r="349">
          <cell r="A349" t="str">
            <v>15027_2</v>
          </cell>
          <cell r="B349">
            <v>3</v>
          </cell>
          <cell r="C349">
            <v>15027</v>
          </cell>
          <cell r="D349" t="str">
            <v>27. 雷雨の登山道</v>
          </cell>
          <cell r="E349" t="str">
            <v>黄青DL6</v>
          </cell>
          <cell r="F349">
            <v>2</v>
          </cell>
          <cell r="G349" t="str">
            <v>ja</v>
          </cell>
          <cell r="H349" t="str">
            <v>27-2. 霊峰の守護者</v>
          </cell>
          <cell r="J349" t="str">
            <v>NULL</v>
          </cell>
          <cell r="K349">
            <v>19</v>
          </cell>
          <cell r="L349">
            <v>4140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>
            <v>15027</v>
          </cell>
          <cell r="V349">
            <v>1</v>
          </cell>
          <cell r="W349" t="str">
            <v>27-1. 登山道入口</v>
          </cell>
          <cell r="X349">
            <v>0</v>
          </cell>
          <cell r="Y349">
            <v>1</v>
          </cell>
          <cell r="Z349">
            <v>0</v>
          </cell>
          <cell r="AA349">
            <v>1</v>
          </cell>
          <cell r="AB349" t="str">
            <v>anytime</v>
          </cell>
          <cell r="AC349">
            <v>27</v>
          </cell>
          <cell r="AD349">
            <v>6</v>
          </cell>
          <cell r="AE349" t="str">
            <v>everyone</v>
          </cell>
        </row>
        <row r="350">
          <cell r="A350" t="str">
            <v>15027_3</v>
          </cell>
          <cell r="B350">
            <v>3</v>
          </cell>
          <cell r="C350">
            <v>15027</v>
          </cell>
          <cell r="D350" t="str">
            <v>27. 雷雨の登山道</v>
          </cell>
          <cell r="E350" t="str">
            <v>黄青DL6</v>
          </cell>
          <cell r="F350">
            <v>3</v>
          </cell>
          <cell r="G350" t="str">
            <v>ja</v>
          </cell>
          <cell r="H350" t="str">
            <v>27-3. 山岳の王者</v>
          </cell>
          <cell r="J350" t="str">
            <v>NULL</v>
          </cell>
          <cell r="K350">
            <v>22</v>
          </cell>
          <cell r="L350">
            <v>5250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>
            <v>15027</v>
          </cell>
          <cell r="V350">
            <v>2</v>
          </cell>
          <cell r="W350" t="str">
            <v>27-2. 霊峰の守護者</v>
          </cell>
          <cell r="X350">
            <v>0</v>
          </cell>
          <cell r="Y350">
            <v>1</v>
          </cell>
          <cell r="Z350">
            <v>0</v>
          </cell>
          <cell r="AA350">
            <v>1</v>
          </cell>
          <cell r="AB350" t="str">
            <v>anytime</v>
          </cell>
          <cell r="AC350">
            <v>27</v>
          </cell>
          <cell r="AD350">
            <v>6</v>
          </cell>
          <cell r="AE350" t="str">
            <v>everyone</v>
          </cell>
        </row>
        <row r="351">
          <cell r="A351" t="str">
            <v>15027_4</v>
          </cell>
          <cell r="B351">
            <v>3</v>
          </cell>
          <cell r="C351">
            <v>15027</v>
          </cell>
          <cell r="D351" t="str">
            <v>27. 雷雨の登山道</v>
          </cell>
          <cell r="E351" t="str">
            <v>黄青DL6</v>
          </cell>
          <cell r="F351">
            <v>4</v>
          </cell>
          <cell r="G351" t="str">
            <v>ja</v>
          </cell>
          <cell r="H351" t="str">
            <v>27-4. 【1回のみ】ボーナスステージ</v>
          </cell>
          <cell r="I351" t="str">
            <v>ボーナス</v>
          </cell>
          <cell r="J351">
            <v>343</v>
          </cell>
          <cell r="K351">
            <v>1</v>
          </cell>
          <cell r="L351">
            <v>1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none</v>
          </cell>
          <cell r="T351">
            <v>0</v>
          </cell>
          <cell r="U351">
            <v>15027</v>
          </cell>
          <cell r="V351">
            <v>3</v>
          </cell>
          <cell r="W351" t="str">
            <v>27-3. 山岳の王者</v>
          </cell>
          <cell r="X351">
            <v>0</v>
          </cell>
          <cell r="Y351">
            <v>1</v>
          </cell>
          <cell r="Z351">
            <v>0</v>
          </cell>
          <cell r="AA351">
            <v>1</v>
          </cell>
          <cell r="AB351" t="str">
            <v>once</v>
          </cell>
          <cell r="AC351">
            <v>27</v>
          </cell>
          <cell r="AD351">
            <v>6</v>
          </cell>
          <cell r="AE351" t="str">
            <v>singleonly</v>
          </cell>
        </row>
        <row r="352">
          <cell r="A352" t="str">
            <v>15028_1</v>
          </cell>
          <cell r="B352">
            <v>3</v>
          </cell>
          <cell r="C352">
            <v>15028</v>
          </cell>
          <cell r="D352" t="str">
            <v>28. 暴風と灼熱の罪浄</v>
          </cell>
          <cell r="E352" t="str">
            <v>赤緑DL6</v>
          </cell>
          <cell r="F352">
            <v>1</v>
          </cell>
          <cell r="G352" t="str">
            <v>ja</v>
          </cell>
          <cell r="H352" t="str">
            <v>28-1. 轟翼のかまど</v>
          </cell>
          <cell r="J352" t="str">
            <v>NULL</v>
          </cell>
          <cell r="K352">
            <v>18</v>
          </cell>
          <cell r="L352">
            <v>3870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1</v>
          </cell>
          <cell r="R352">
            <v>3</v>
          </cell>
          <cell r="S352" t="str">
            <v>none</v>
          </cell>
          <cell r="T352">
            <v>0</v>
          </cell>
          <cell r="U352">
            <v>15027</v>
          </cell>
          <cell r="V352">
            <v>4</v>
          </cell>
          <cell r="W352" t="str">
            <v>27-4. 【1回のみ】ボーナスステージ</v>
          </cell>
          <cell r="X352">
            <v>1</v>
          </cell>
          <cell r="Y352">
            <v>0</v>
          </cell>
          <cell r="Z352">
            <v>1</v>
          </cell>
          <cell r="AA352">
            <v>0</v>
          </cell>
          <cell r="AB352" t="str">
            <v>anytime</v>
          </cell>
          <cell r="AC352">
            <v>28</v>
          </cell>
          <cell r="AD352">
            <v>6</v>
          </cell>
          <cell r="AE352" t="str">
            <v>everyone</v>
          </cell>
        </row>
        <row r="353">
          <cell r="A353" t="str">
            <v>15028_2</v>
          </cell>
          <cell r="B353">
            <v>3</v>
          </cell>
          <cell r="C353">
            <v>15028</v>
          </cell>
          <cell r="D353" t="str">
            <v>28. 暴風と灼熱の罪浄</v>
          </cell>
          <cell r="E353" t="str">
            <v>赤緑DL6</v>
          </cell>
          <cell r="F353">
            <v>2</v>
          </cell>
          <cell r="G353" t="str">
            <v>ja</v>
          </cell>
          <cell r="H353" t="str">
            <v>28-2. 空の寝殿</v>
          </cell>
          <cell r="J353" t="str">
            <v>NULL</v>
          </cell>
          <cell r="K353">
            <v>19</v>
          </cell>
          <cell r="L353">
            <v>4500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1</v>
          </cell>
          <cell r="R353">
            <v>3</v>
          </cell>
          <cell r="S353" t="str">
            <v>none</v>
          </cell>
          <cell r="T353">
            <v>0</v>
          </cell>
          <cell r="U353">
            <v>15028</v>
          </cell>
          <cell r="V353">
            <v>1</v>
          </cell>
          <cell r="W353" t="str">
            <v>28-1. 轟翼のかまど</v>
          </cell>
          <cell r="X353">
            <v>1</v>
          </cell>
          <cell r="Y353">
            <v>0</v>
          </cell>
          <cell r="Z353">
            <v>1</v>
          </cell>
          <cell r="AA353">
            <v>0</v>
          </cell>
          <cell r="AB353" t="str">
            <v>anytime</v>
          </cell>
          <cell r="AC353">
            <v>28</v>
          </cell>
          <cell r="AD353">
            <v>6</v>
          </cell>
          <cell r="AE353" t="str">
            <v>everyone</v>
          </cell>
        </row>
        <row r="354">
          <cell r="A354" t="str">
            <v>15028_3</v>
          </cell>
          <cell r="B354">
            <v>3</v>
          </cell>
          <cell r="C354">
            <v>15028</v>
          </cell>
          <cell r="D354" t="str">
            <v>28. 暴風と灼熱の罪浄</v>
          </cell>
          <cell r="E354" t="str">
            <v>赤緑DL6</v>
          </cell>
          <cell r="F354">
            <v>3</v>
          </cell>
          <cell r="G354" t="str">
            <v>ja</v>
          </cell>
          <cell r="H354" t="str">
            <v>28-3. 縛風の洞窟</v>
          </cell>
          <cell r="J354" t="str">
            <v>NULL</v>
          </cell>
          <cell r="K354">
            <v>22</v>
          </cell>
          <cell r="L354">
            <v>5580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1</v>
          </cell>
          <cell r="R354">
            <v>3</v>
          </cell>
          <cell r="S354" t="str">
            <v>none</v>
          </cell>
          <cell r="T354">
            <v>0</v>
          </cell>
          <cell r="U354">
            <v>15028</v>
          </cell>
          <cell r="V354">
            <v>2</v>
          </cell>
          <cell r="W354" t="str">
            <v>28-2. 空の寝殿</v>
          </cell>
          <cell r="X354">
            <v>1</v>
          </cell>
          <cell r="Y354">
            <v>0</v>
          </cell>
          <cell r="Z354">
            <v>1</v>
          </cell>
          <cell r="AA354">
            <v>0</v>
          </cell>
          <cell r="AB354" t="str">
            <v>anytime</v>
          </cell>
          <cell r="AC354">
            <v>28</v>
          </cell>
          <cell r="AD354">
            <v>6</v>
          </cell>
          <cell r="AE354" t="str">
            <v>everyone</v>
          </cell>
        </row>
        <row r="355">
          <cell r="A355" t="str">
            <v>15028_4</v>
          </cell>
          <cell r="B355">
            <v>3</v>
          </cell>
          <cell r="C355">
            <v>15028</v>
          </cell>
          <cell r="D355" t="str">
            <v>28. 暴風と灼熱の罪浄</v>
          </cell>
          <cell r="E355" t="str">
            <v>赤緑DL6</v>
          </cell>
          <cell r="F355">
            <v>4</v>
          </cell>
          <cell r="G355" t="str">
            <v>ja</v>
          </cell>
          <cell r="H355" t="str">
            <v>28-4. 【1回のみ】ボーナスステージ</v>
          </cell>
          <cell r="I355" t="str">
            <v>ボーナス</v>
          </cell>
          <cell r="J355">
            <v>339</v>
          </cell>
          <cell r="K355">
            <v>1</v>
          </cell>
          <cell r="L355">
            <v>1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>
            <v>15028</v>
          </cell>
          <cell r="V355">
            <v>3</v>
          </cell>
          <cell r="W355" t="str">
            <v>28-3. 縛風の洞窟</v>
          </cell>
          <cell r="X355">
            <v>1</v>
          </cell>
          <cell r="Y355">
            <v>0</v>
          </cell>
          <cell r="Z355">
            <v>1</v>
          </cell>
          <cell r="AA355">
            <v>0</v>
          </cell>
          <cell r="AB355" t="str">
            <v>once</v>
          </cell>
          <cell r="AC355">
            <v>28</v>
          </cell>
          <cell r="AD355">
            <v>6</v>
          </cell>
          <cell r="AE355" t="str">
            <v>singleonly</v>
          </cell>
        </row>
        <row r="356">
          <cell r="A356" t="str">
            <v>15029_1</v>
          </cell>
          <cell r="B356">
            <v>3</v>
          </cell>
          <cell r="C356">
            <v>15029</v>
          </cell>
          <cell r="D356" t="str">
            <v>29. 雪の望郷</v>
          </cell>
          <cell r="E356" t="str">
            <v>緑黄DL6</v>
          </cell>
          <cell r="F356">
            <v>1</v>
          </cell>
          <cell r="G356" t="str">
            <v>ja</v>
          </cell>
          <cell r="H356" t="str">
            <v>29-1. 雪の中のケモノたち</v>
          </cell>
          <cell r="J356" t="str">
            <v>NULL</v>
          </cell>
          <cell r="K356">
            <v>18</v>
          </cell>
          <cell r="L356">
            <v>4210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>
            <v>15028</v>
          </cell>
          <cell r="V356">
            <v>4</v>
          </cell>
          <cell r="W356" t="str">
            <v>28-4. 【1回のみ】ボーナスステージ</v>
          </cell>
          <cell r="X356">
            <v>0</v>
          </cell>
          <cell r="Y356">
            <v>0</v>
          </cell>
          <cell r="Z356">
            <v>1</v>
          </cell>
          <cell r="AA356">
            <v>1</v>
          </cell>
          <cell r="AB356" t="str">
            <v>anytime</v>
          </cell>
          <cell r="AC356">
            <v>29</v>
          </cell>
          <cell r="AD356">
            <v>6</v>
          </cell>
          <cell r="AE356" t="str">
            <v>everyone</v>
          </cell>
        </row>
        <row r="357">
          <cell r="A357" t="str">
            <v>15029_2</v>
          </cell>
          <cell r="B357">
            <v>3</v>
          </cell>
          <cell r="C357">
            <v>15029</v>
          </cell>
          <cell r="D357" t="str">
            <v>29. 雪の望郷</v>
          </cell>
          <cell r="E357" t="str">
            <v>緑黄DL6</v>
          </cell>
          <cell r="F357">
            <v>2</v>
          </cell>
          <cell r="G357" t="str">
            <v>ja</v>
          </cell>
          <cell r="H357" t="str">
            <v>29-2. ねこみみマフラー</v>
          </cell>
          <cell r="J357" t="str">
            <v>NULL</v>
          </cell>
          <cell r="K357">
            <v>19</v>
          </cell>
          <cell r="L357">
            <v>4800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none</v>
          </cell>
          <cell r="T357">
            <v>0</v>
          </cell>
          <cell r="U357">
            <v>15029</v>
          </cell>
          <cell r="V357">
            <v>1</v>
          </cell>
          <cell r="W357" t="str">
            <v>29-1. 雪の中のケモノたち</v>
          </cell>
          <cell r="X357">
            <v>0</v>
          </cell>
          <cell r="Y357">
            <v>0</v>
          </cell>
          <cell r="Z357">
            <v>1</v>
          </cell>
          <cell r="AA357">
            <v>1</v>
          </cell>
          <cell r="AB357" t="str">
            <v>anytime</v>
          </cell>
          <cell r="AC357">
            <v>29</v>
          </cell>
          <cell r="AD357">
            <v>6</v>
          </cell>
          <cell r="AE357" t="str">
            <v>everyone</v>
          </cell>
        </row>
        <row r="358">
          <cell r="A358" t="str">
            <v>15029_3</v>
          </cell>
          <cell r="B358">
            <v>3</v>
          </cell>
          <cell r="C358">
            <v>15029</v>
          </cell>
          <cell r="D358" t="str">
            <v>29. 雪の望郷</v>
          </cell>
          <cell r="E358" t="str">
            <v>緑黄DL6</v>
          </cell>
          <cell r="F358">
            <v>3</v>
          </cell>
          <cell r="G358" t="str">
            <v>ja</v>
          </cell>
          <cell r="H358" t="str">
            <v>29-3. 仕立屋と兄妹</v>
          </cell>
          <cell r="J358" t="str">
            <v>NULL</v>
          </cell>
          <cell r="K358">
            <v>22</v>
          </cell>
          <cell r="L358">
            <v>5970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1</v>
          </cell>
          <cell r="R358">
            <v>3</v>
          </cell>
          <cell r="S358" t="str">
            <v>none</v>
          </cell>
          <cell r="T358">
            <v>0</v>
          </cell>
          <cell r="U358">
            <v>15029</v>
          </cell>
          <cell r="V358">
            <v>2</v>
          </cell>
          <cell r="W358" t="str">
            <v>29-2. ねこみみマフラー</v>
          </cell>
          <cell r="X358">
            <v>0</v>
          </cell>
          <cell r="Y358">
            <v>0</v>
          </cell>
          <cell r="Z358">
            <v>1</v>
          </cell>
          <cell r="AA358">
            <v>1</v>
          </cell>
          <cell r="AB358" t="str">
            <v>anytime</v>
          </cell>
          <cell r="AC358">
            <v>29</v>
          </cell>
          <cell r="AD358">
            <v>6</v>
          </cell>
          <cell r="AE358" t="str">
            <v>everyone</v>
          </cell>
        </row>
        <row r="359">
          <cell r="A359" t="str">
            <v>15029_4</v>
          </cell>
          <cell r="B359">
            <v>3</v>
          </cell>
          <cell r="C359">
            <v>15029</v>
          </cell>
          <cell r="D359" t="str">
            <v>29. 雪の望郷</v>
          </cell>
          <cell r="E359" t="str">
            <v>緑黄DL6</v>
          </cell>
          <cell r="F359">
            <v>4</v>
          </cell>
          <cell r="G359" t="str">
            <v>ja</v>
          </cell>
          <cell r="H359" t="str">
            <v>29-4. 【1回のみ】ボーナスステージ</v>
          </cell>
          <cell r="I359" t="str">
            <v>ボーナス</v>
          </cell>
          <cell r="J359">
            <v>347</v>
          </cell>
          <cell r="K359">
            <v>1</v>
          </cell>
          <cell r="L359">
            <v>1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1</v>
          </cell>
          <cell r="R359">
            <v>3</v>
          </cell>
          <cell r="S359" t="str">
            <v>none</v>
          </cell>
          <cell r="T359">
            <v>0</v>
          </cell>
          <cell r="U359">
            <v>15029</v>
          </cell>
          <cell r="V359">
            <v>3</v>
          </cell>
          <cell r="W359" t="str">
            <v>29-3. 仕立屋と兄妹</v>
          </cell>
          <cell r="X359">
            <v>0</v>
          </cell>
          <cell r="Y359">
            <v>0</v>
          </cell>
          <cell r="Z359">
            <v>1</v>
          </cell>
          <cell r="AA359">
            <v>1</v>
          </cell>
          <cell r="AB359" t="str">
            <v>once</v>
          </cell>
          <cell r="AC359">
            <v>29</v>
          </cell>
          <cell r="AD359">
            <v>6</v>
          </cell>
          <cell r="AE359" t="str">
            <v>singleonly</v>
          </cell>
        </row>
        <row r="360">
          <cell r="A360" t="str">
            <v>15030_1</v>
          </cell>
          <cell r="B360">
            <v>3</v>
          </cell>
          <cell r="C360">
            <v>15030</v>
          </cell>
          <cell r="D360" t="str">
            <v>30. 月夜のオールドシティ</v>
          </cell>
          <cell r="E360" t="str">
            <v>赤青DL6</v>
          </cell>
          <cell r="F360">
            <v>1</v>
          </cell>
          <cell r="G360" t="str">
            <v>ja</v>
          </cell>
          <cell r="H360" t="str">
            <v>30-1. 月夜に煌めく刃</v>
          </cell>
          <cell r="J360" t="str">
            <v>NULL</v>
          </cell>
          <cell r="K360">
            <v>18</v>
          </cell>
          <cell r="L360">
            <v>4460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1</v>
          </cell>
          <cell r="R360">
            <v>3</v>
          </cell>
          <cell r="S360" t="str">
            <v>none</v>
          </cell>
          <cell r="T360">
            <v>0</v>
          </cell>
          <cell r="U360">
            <v>15029</v>
          </cell>
          <cell r="V360">
            <v>4</v>
          </cell>
          <cell r="W360" t="str">
            <v>29-4. 【1回のみ】ボーナスステージ</v>
          </cell>
          <cell r="X360">
            <v>1</v>
          </cell>
          <cell r="Y360">
            <v>1</v>
          </cell>
          <cell r="Z360">
            <v>0</v>
          </cell>
          <cell r="AA360">
            <v>0</v>
          </cell>
          <cell r="AB360" t="str">
            <v>anytime</v>
          </cell>
          <cell r="AC360">
            <v>30</v>
          </cell>
          <cell r="AD360">
            <v>6</v>
          </cell>
          <cell r="AE360" t="str">
            <v>everyone</v>
          </cell>
        </row>
        <row r="361">
          <cell r="A361" t="str">
            <v>15030_2</v>
          </cell>
          <cell r="B361">
            <v>3</v>
          </cell>
          <cell r="C361">
            <v>15030</v>
          </cell>
          <cell r="D361" t="str">
            <v>30. 月夜のオールドシティ</v>
          </cell>
          <cell r="E361" t="str">
            <v>赤青DL6</v>
          </cell>
          <cell r="F361">
            <v>2</v>
          </cell>
          <cell r="G361" t="str">
            <v>ja</v>
          </cell>
          <cell r="H361" t="str">
            <v>30-2. 深夜のお茶会</v>
          </cell>
          <cell r="J361" t="str">
            <v>NULL</v>
          </cell>
          <cell r="K361">
            <v>19</v>
          </cell>
          <cell r="L361">
            <v>5040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3</v>
          </cell>
          <cell r="S361" t="str">
            <v>none</v>
          </cell>
          <cell r="T361">
            <v>0</v>
          </cell>
          <cell r="U361">
            <v>15030</v>
          </cell>
          <cell r="V361">
            <v>1</v>
          </cell>
          <cell r="W361" t="str">
            <v>30-1. 月夜に煌めく刃</v>
          </cell>
          <cell r="X361">
            <v>1</v>
          </cell>
          <cell r="Y361">
            <v>1</v>
          </cell>
          <cell r="Z361">
            <v>0</v>
          </cell>
          <cell r="AA361">
            <v>0</v>
          </cell>
          <cell r="AB361" t="str">
            <v>anytime</v>
          </cell>
          <cell r="AC361">
            <v>30</v>
          </cell>
          <cell r="AD361">
            <v>6</v>
          </cell>
          <cell r="AE361" t="str">
            <v>everyone</v>
          </cell>
        </row>
        <row r="362">
          <cell r="A362" t="str">
            <v>15030_3</v>
          </cell>
          <cell r="B362">
            <v>3</v>
          </cell>
          <cell r="C362">
            <v>15030</v>
          </cell>
          <cell r="D362" t="str">
            <v>30. 月夜のオールドシティ</v>
          </cell>
          <cell r="E362" t="str">
            <v>赤青DL6</v>
          </cell>
          <cell r="F362">
            <v>3</v>
          </cell>
          <cell r="G362" t="str">
            <v>ja</v>
          </cell>
          <cell r="H362" t="str">
            <v>30-3. 月影の襲撃者</v>
          </cell>
          <cell r="J362" t="str">
            <v>NULL</v>
          </cell>
          <cell r="K362">
            <v>22</v>
          </cell>
          <cell r="L362">
            <v>6370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3</v>
          </cell>
          <cell r="S362" t="str">
            <v>none</v>
          </cell>
          <cell r="T362">
            <v>0</v>
          </cell>
          <cell r="U362">
            <v>15030</v>
          </cell>
          <cell r="V362">
            <v>2</v>
          </cell>
          <cell r="W362" t="str">
            <v>30-2. 深夜のお茶会</v>
          </cell>
          <cell r="X362">
            <v>1</v>
          </cell>
          <cell r="Y362">
            <v>1</v>
          </cell>
          <cell r="Z362">
            <v>0</v>
          </cell>
          <cell r="AA362">
            <v>0</v>
          </cell>
          <cell r="AB362" t="str">
            <v>anytime</v>
          </cell>
          <cell r="AC362">
            <v>30</v>
          </cell>
          <cell r="AD362">
            <v>6</v>
          </cell>
          <cell r="AE362" t="str">
            <v>everyone</v>
          </cell>
        </row>
        <row r="363">
          <cell r="A363" t="str">
            <v>15030_4</v>
          </cell>
          <cell r="B363">
            <v>3</v>
          </cell>
          <cell r="C363">
            <v>15030</v>
          </cell>
          <cell r="D363" t="str">
            <v>30. 月夜のオールドシティ</v>
          </cell>
          <cell r="E363" t="str">
            <v>赤青DL6</v>
          </cell>
          <cell r="F363">
            <v>4</v>
          </cell>
          <cell r="G363" t="str">
            <v>ja</v>
          </cell>
          <cell r="H363" t="str">
            <v>30-4. 【1回のみ】ボーナスステージ</v>
          </cell>
          <cell r="I363" t="str">
            <v>ボーナス</v>
          </cell>
          <cell r="J363">
            <v>335</v>
          </cell>
          <cell r="K363">
            <v>1</v>
          </cell>
          <cell r="L363">
            <v>1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3</v>
          </cell>
          <cell r="S363" t="str">
            <v>none</v>
          </cell>
          <cell r="T363">
            <v>0</v>
          </cell>
          <cell r="U363">
            <v>15030</v>
          </cell>
          <cell r="V363">
            <v>3</v>
          </cell>
          <cell r="W363" t="str">
            <v>30-3. 月影の襲撃者</v>
          </cell>
          <cell r="X363">
            <v>1</v>
          </cell>
          <cell r="Y363">
            <v>1</v>
          </cell>
          <cell r="Z363">
            <v>0</v>
          </cell>
          <cell r="AA363">
            <v>0</v>
          </cell>
          <cell r="AB363" t="str">
            <v>once</v>
          </cell>
          <cell r="AC363">
            <v>30</v>
          </cell>
          <cell r="AD363">
            <v>6</v>
          </cell>
          <cell r="AE363" t="str">
            <v>singleonly</v>
          </cell>
        </row>
        <row r="364">
          <cell r="A364" t="str">
            <v>15031_1</v>
          </cell>
          <cell r="B364">
            <v>3</v>
          </cell>
          <cell r="C364">
            <v>15031</v>
          </cell>
          <cell r="D364" t="str">
            <v>31. 桜花乱城</v>
          </cell>
          <cell r="E364" t="str">
            <v>混色DL6</v>
          </cell>
          <cell r="F364">
            <v>1</v>
          </cell>
          <cell r="G364" t="str">
            <v>ja</v>
          </cell>
          <cell r="H364" t="str">
            <v>31-1. 忍び寄る影</v>
          </cell>
          <cell r="J364" t="str">
            <v>NULL</v>
          </cell>
          <cell r="K364">
            <v>19</v>
          </cell>
          <cell r="L364">
            <v>5040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3</v>
          </cell>
          <cell r="S364" t="str">
            <v>none</v>
          </cell>
          <cell r="T364">
            <v>0</v>
          </cell>
          <cell r="U364">
            <v>15030</v>
          </cell>
          <cell r="V364">
            <v>4</v>
          </cell>
          <cell r="W364" t="str">
            <v>30-4. 【1回のみ】ボーナスステージ</v>
          </cell>
          <cell r="X364">
            <v>1</v>
          </cell>
          <cell r="Y364">
            <v>1</v>
          </cell>
          <cell r="Z364">
            <v>1</v>
          </cell>
          <cell r="AA364">
            <v>1</v>
          </cell>
          <cell r="AB364" t="str">
            <v>anytime</v>
          </cell>
          <cell r="AC364">
            <v>31</v>
          </cell>
          <cell r="AD364">
            <v>6</v>
          </cell>
          <cell r="AE364" t="str">
            <v>everyone</v>
          </cell>
        </row>
        <row r="365">
          <cell r="A365" t="str">
            <v>15031_2</v>
          </cell>
          <cell r="B365">
            <v>3</v>
          </cell>
          <cell r="C365">
            <v>15031</v>
          </cell>
          <cell r="D365" t="str">
            <v>31. 桜花乱城</v>
          </cell>
          <cell r="E365" t="str">
            <v>混色DL6</v>
          </cell>
          <cell r="F365">
            <v>2</v>
          </cell>
          <cell r="G365" t="str">
            <v>ja</v>
          </cell>
          <cell r="H365" t="str">
            <v>31-2. 赤鉄の将</v>
          </cell>
          <cell r="J365" t="str">
            <v>NULL</v>
          </cell>
          <cell r="K365">
            <v>21</v>
          </cell>
          <cell r="L365">
            <v>5760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3</v>
          </cell>
          <cell r="S365" t="str">
            <v>none</v>
          </cell>
          <cell r="T365">
            <v>0</v>
          </cell>
          <cell r="U365">
            <v>15031</v>
          </cell>
          <cell r="V365">
            <v>1</v>
          </cell>
          <cell r="W365" t="str">
            <v>31-1. 忍び寄る影</v>
          </cell>
          <cell r="X365">
            <v>1</v>
          </cell>
          <cell r="Y365">
            <v>1</v>
          </cell>
          <cell r="Z365">
            <v>1</v>
          </cell>
          <cell r="AA365">
            <v>1</v>
          </cell>
          <cell r="AB365" t="str">
            <v>anytime</v>
          </cell>
          <cell r="AC365">
            <v>31</v>
          </cell>
          <cell r="AD365">
            <v>6</v>
          </cell>
          <cell r="AE365" t="str">
            <v>everyone</v>
          </cell>
        </row>
        <row r="366">
          <cell r="A366" t="str">
            <v>15031_3</v>
          </cell>
          <cell r="B366">
            <v>3</v>
          </cell>
          <cell r="C366">
            <v>15031</v>
          </cell>
          <cell r="D366" t="str">
            <v>31. 桜花乱城</v>
          </cell>
          <cell r="E366" t="str">
            <v>混色DL6</v>
          </cell>
          <cell r="F366">
            <v>3</v>
          </cell>
          <cell r="G366" t="str">
            <v>ja</v>
          </cell>
          <cell r="H366" t="str">
            <v>31-3. 神域の試練</v>
          </cell>
          <cell r="J366" t="str">
            <v>NULL</v>
          </cell>
          <cell r="K366">
            <v>24</v>
          </cell>
          <cell r="L366">
            <v>7200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3</v>
          </cell>
          <cell r="S366" t="str">
            <v>none</v>
          </cell>
          <cell r="T366">
            <v>0</v>
          </cell>
          <cell r="U366">
            <v>15031</v>
          </cell>
          <cell r="V366">
            <v>2</v>
          </cell>
          <cell r="W366" t="str">
            <v>31-2. 赤鉄の将</v>
          </cell>
          <cell r="X366">
            <v>1</v>
          </cell>
          <cell r="Y366">
            <v>1</v>
          </cell>
          <cell r="Z366">
            <v>1</v>
          </cell>
          <cell r="AA366">
            <v>1</v>
          </cell>
          <cell r="AB366" t="str">
            <v>anytime</v>
          </cell>
          <cell r="AC366">
            <v>31</v>
          </cell>
          <cell r="AD366">
            <v>6</v>
          </cell>
          <cell r="AE366" t="str">
            <v>everyone</v>
          </cell>
        </row>
        <row r="367">
          <cell r="A367" t="str">
            <v>15031_4</v>
          </cell>
          <cell r="B367">
            <v>3</v>
          </cell>
          <cell r="C367">
            <v>15031</v>
          </cell>
          <cell r="D367" t="str">
            <v>31. 桜花乱城</v>
          </cell>
          <cell r="E367" t="str">
            <v>混色DL6</v>
          </cell>
          <cell r="F367">
            <v>4</v>
          </cell>
          <cell r="G367" t="str">
            <v>ja</v>
          </cell>
          <cell r="H367" t="str">
            <v>31-4. 【1回のみ】ボーナスステージ</v>
          </cell>
          <cell r="I367" t="str">
            <v>ボーナス</v>
          </cell>
          <cell r="J367">
            <v>610</v>
          </cell>
          <cell r="K367">
            <v>1</v>
          </cell>
          <cell r="L367">
            <v>1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3</v>
          </cell>
          <cell r="S367" t="str">
            <v>none</v>
          </cell>
          <cell r="T367">
            <v>0</v>
          </cell>
          <cell r="U367">
            <v>15031</v>
          </cell>
          <cell r="V367">
            <v>3</v>
          </cell>
          <cell r="W367" t="str">
            <v>31-3. 神域の試練</v>
          </cell>
          <cell r="X367">
            <v>1</v>
          </cell>
          <cell r="Y367">
            <v>1</v>
          </cell>
          <cell r="Z367">
            <v>1</v>
          </cell>
          <cell r="AA367">
            <v>1</v>
          </cell>
          <cell r="AB367" t="str">
            <v>once</v>
          </cell>
          <cell r="AC367">
            <v>31</v>
          </cell>
          <cell r="AD367">
            <v>6</v>
          </cell>
          <cell r="AE367" t="str">
            <v>singleonly</v>
          </cell>
        </row>
        <row r="368">
          <cell r="A368" t="str">
            <v>20001_1</v>
          </cell>
          <cell r="B368">
            <v>3</v>
          </cell>
          <cell r="C368">
            <v>20001</v>
          </cell>
          <cell r="D368" t="str">
            <v>紅き執行者</v>
          </cell>
          <cell r="E368" t="str">
            <v>ドロップイベント1-1</v>
          </cell>
          <cell r="F368">
            <v>1</v>
          </cell>
          <cell r="G368" t="str">
            <v>ja</v>
          </cell>
          <cell r="H368" t="str">
            <v xml:space="preserve">【初級】紅き執行者 </v>
          </cell>
          <cell r="I368" t="str">
            <v>初級</v>
          </cell>
          <cell r="J368">
            <v>262</v>
          </cell>
          <cell r="K368">
            <v>8</v>
          </cell>
          <cell r="L368">
            <v>384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3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14</v>
          </cell>
          <cell r="AD368">
            <v>6</v>
          </cell>
          <cell r="AE368" t="str">
            <v>everyone</v>
          </cell>
        </row>
        <row r="369">
          <cell r="A369" t="str">
            <v>20001_2</v>
          </cell>
          <cell r="B369">
            <v>3</v>
          </cell>
          <cell r="C369">
            <v>20001</v>
          </cell>
          <cell r="D369" t="str">
            <v>紅き執行者</v>
          </cell>
          <cell r="E369" t="str">
            <v>ドロップイベント1-1</v>
          </cell>
          <cell r="F369">
            <v>2</v>
          </cell>
          <cell r="G369" t="str">
            <v>ja</v>
          </cell>
          <cell r="H369" t="str">
            <v>【中級】紅き執行者</v>
          </cell>
          <cell r="I369" t="str">
            <v>中級</v>
          </cell>
          <cell r="J369">
            <v>262</v>
          </cell>
          <cell r="K369">
            <v>15</v>
          </cell>
          <cell r="L369">
            <v>1200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3</v>
          </cell>
          <cell r="S369" t="str">
            <v>none</v>
          </cell>
          <cell r="T369">
            <v>0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14</v>
          </cell>
          <cell r="AD369">
            <v>6</v>
          </cell>
          <cell r="AE369" t="str">
            <v>everyone</v>
          </cell>
        </row>
        <row r="370">
          <cell r="A370" t="str">
            <v>20001_3</v>
          </cell>
          <cell r="B370">
            <v>3</v>
          </cell>
          <cell r="C370">
            <v>20001</v>
          </cell>
          <cell r="D370" t="str">
            <v>紅き執行者</v>
          </cell>
          <cell r="E370" t="str">
            <v>ドロップイベント1-1</v>
          </cell>
          <cell r="F370">
            <v>3</v>
          </cell>
          <cell r="G370" t="str">
            <v>ja</v>
          </cell>
          <cell r="H370" t="str">
            <v xml:space="preserve">【上級】紅き執行者 </v>
          </cell>
          <cell r="I370" t="str">
            <v>上級</v>
          </cell>
          <cell r="J370">
            <v>263</v>
          </cell>
          <cell r="K370">
            <v>20</v>
          </cell>
          <cell r="L370">
            <v>2000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polygon</v>
          </cell>
          <cell r="T370">
            <v>1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14</v>
          </cell>
          <cell r="AD370">
            <v>6</v>
          </cell>
          <cell r="AE370" t="str">
            <v>everyone</v>
          </cell>
        </row>
        <row r="371">
          <cell r="A371" t="str">
            <v>20002_1</v>
          </cell>
          <cell r="B371">
            <v>3</v>
          </cell>
          <cell r="C371">
            <v>20002</v>
          </cell>
          <cell r="D371" t="str">
            <v>孤高の一角獣</v>
          </cell>
          <cell r="E371" t="str">
            <v>ドロップイベント1-2</v>
          </cell>
          <cell r="F371">
            <v>1</v>
          </cell>
          <cell r="G371" t="str">
            <v>ja</v>
          </cell>
          <cell r="H371" t="str">
            <v>【初級】孤高の一角獣</v>
          </cell>
          <cell r="I371" t="str">
            <v>初級</v>
          </cell>
          <cell r="J371">
            <v>264</v>
          </cell>
          <cell r="K371">
            <v>8</v>
          </cell>
          <cell r="L371">
            <v>384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0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19</v>
          </cell>
          <cell r="AD371">
            <v>6</v>
          </cell>
          <cell r="AE371" t="str">
            <v>everyone</v>
          </cell>
        </row>
        <row r="372">
          <cell r="A372" t="str">
            <v>20002_2</v>
          </cell>
          <cell r="B372">
            <v>3</v>
          </cell>
          <cell r="C372">
            <v>20002</v>
          </cell>
          <cell r="D372" t="str">
            <v>孤高の一角獣</v>
          </cell>
          <cell r="E372" t="str">
            <v>ドロップイベント1-2</v>
          </cell>
          <cell r="F372">
            <v>2</v>
          </cell>
          <cell r="G372" t="str">
            <v>ja</v>
          </cell>
          <cell r="H372" t="str">
            <v>【中級】孤高の一角獣</v>
          </cell>
          <cell r="I372" t="str">
            <v>中級</v>
          </cell>
          <cell r="J372">
            <v>264</v>
          </cell>
          <cell r="K372">
            <v>15</v>
          </cell>
          <cell r="L372">
            <v>1200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0</v>
          </cell>
          <cell r="R372">
            <v>3</v>
          </cell>
          <cell r="S372" t="str">
            <v>none</v>
          </cell>
          <cell r="T372">
            <v>0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19</v>
          </cell>
          <cell r="AD372">
            <v>6</v>
          </cell>
          <cell r="AE372" t="str">
            <v>everyone</v>
          </cell>
        </row>
        <row r="373">
          <cell r="A373" t="str">
            <v>20002_3</v>
          </cell>
          <cell r="B373">
            <v>3</v>
          </cell>
          <cell r="C373">
            <v>20002</v>
          </cell>
          <cell r="D373" t="str">
            <v>孤高の一角獣</v>
          </cell>
          <cell r="E373" t="str">
            <v>ドロップイベント1-2</v>
          </cell>
          <cell r="F373">
            <v>3</v>
          </cell>
          <cell r="G373" t="str">
            <v>ja</v>
          </cell>
          <cell r="H373" t="str">
            <v>【上級】孤高の一角獣</v>
          </cell>
          <cell r="I373" t="str">
            <v>上級</v>
          </cell>
          <cell r="J373">
            <v>265</v>
          </cell>
          <cell r="K373">
            <v>20</v>
          </cell>
          <cell r="L373">
            <v>2000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0</v>
          </cell>
          <cell r="R373">
            <v>3</v>
          </cell>
          <cell r="S373" t="str">
            <v>polygon</v>
          </cell>
          <cell r="T373">
            <v>1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19</v>
          </cell>
          <cell r="AD373">
            <v>6</v>
          </cell>
          <cell r="AE373" t="str">
            <v>everyone</v>
          </cell>
        </row>
        <row r="374">
          <cell r="A374" t="str">
            <v>20003_1</v>
          </cell>
          <cell r="B374">
            <v>3</v>
          </cell>
          <cell r="C374">
            <v>20003</v>
          </cell>
          <cell r="D374" t="str">
            <v>忍び寄る短剣</v>
          </cell>
          <cell r="E374" t="str">
            <v>ドロップイベント1-3</v>
          </cell>
          <cell r="F374">
            <v>1</v>
          </cell>
          <cell r="G374" t="str">
            <v>ja</v>
          </cell>
          <cell r="H374" t="str">
            <v xml:space="preserve">【初級】忍び寄る短剣 </v>
          </cell>
          <cell r="I374" t="str">
            <v>初級</v>
          </cell>
          <cell r="J374">
            <v>266</v>
          </cell>
          <cell r="K374">
            <v>8</v>
          </cell>
          <cell r="L374">
            <v>384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11</v>
          </cell>
          <cell r="AD374">
            <v>6</v>
          </cell>
          <cell r="AE374" t="str">
            <v>everyone</v>
          </cell>
        </row>
        <row r="375">
          <cell r="A375" t="str">
            <v>20003_2</v>
          </cell>
          <cell r="B375">
            <v>3</v>
          </cell>
          <cell r="C375">
            <v>20003</v>
          </cell>
          <cell r="D375" t="str">
            <v>忍び寄る短剣</v>
          </cell>
          <cell r="E375" t="str">
            <v>ドロップイベント1-3</v>
          </cell>
          <cell r="F375">
            <v>2</v>
          </cell>
          <cell r="G375" t="str">
            <v>ja</v>
          </cell>
          <cell r="H375" t="str">
            <v xml:space="preserve">【中級】忍び寄る短剣 </v>
          </cell>
          <cell r="I375" t="str">
            <v>中級</v>
          </cell>
          <cell r="J375">
            <v>266</v>
          </cell>
          <cell r="K375">
            <v>15</v>
          </cell>
          <cell r="L375">
            <v>1200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none</v>
          </cell>
          <cell r="T375">
            <v>0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11</v>
          </cell>
          <cell r="AD375">
            <v>6</v>
          </cell>
          <cell r="AE375" t="str">
            <v>everyone</v>
          </cell>
        </row>
        <row r="376">
          <cell r="A376" t="str">
            <v>20003_3</v>
          </cell>
          <cell r="B376">
            <v>3</v>
          </cell>
          <cell r="C376">
            <v>20003</v>
          </cell>
          <cell r="D376" t="str">
            <v>忍び寄る短剣</v>
          </cell>
          <cell r="E376" t="str">
            <v>ドロップイベント1-3</v>
          </cell>
          <cell r="F376">
            <v>3</v>
          </cell>
          <cell r="G376" t="str">
            <v>ja</v>
          </cell>
          <cell r="H376" t="str">
            <v xml:space="preserve">【上級】忍び寄る短剣 </v>
          </cell>
          <cell r="I376" t="str">
            <v>上級</v>
          </cell>
          <cell r="J376">
            <v>267</v>
          </cell>
          <cell r="K376">
            <v>20</v>
          </cell>
          <cell r="L376">
            <v>2000</v>
          </cell>
          <cell r="M376">
            <v>1</v>
          </cell>
          <cell r="N376">
            <v>1</v>
          </cell>
          <cell r="O376">
            <v>1</v>
          </cell>
          <cell r="P376">
            <v>1</v>
          </cell>
          <cell r="Q376">
            <v>1</v>
          </cell>
          <cell r="R376">
            <v>3</v>
          </cell>
          <cell r="S376" t="str">
            <v>polygon</v>
          </cell>
          <cell r="T376">
            <v>1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11</v>
          </cell>
          <cell r="AD376">
            <v>6</v>
          </cell>
          <cell r="AE376" t="str">
            <v>everyone</v>
          </cell>
        </row>
        <row r="377">
          <cell r="A377" t="str">
            <v>20004_1</v>
          </cell>
          <cell r="B377">
            <v>3</v>
          </cell>
          <cell r="C377">
            <v>20004</v>
          </cell>
          <cell r="D377" t="str">
            <v>雷雲からの刺客</v>
          </cell>
          <cell r="E377" t="str">
            <v>ドロップイベント1-4</v>
          </cell>
          <cell r="F377">
            <v>1</v>
          </cell>
          <cell r="G377" t="str">
            <v>ja</v>
          </cell>
          <cell r="H377" t="str">
            <v>【初級】雷雲からの刺客</v>
          </cell>
          <cell r="I377" t="str">
            <v>初級</v>
          </cell>
          <cell r="J377">
            <v>268</v>
          </cell>
          <cell r="K377">
            <v>8</v>
          </cell>
          <cell r="L377">
            <v>384</v>
          </cell>
          <cell r="M377">
            <v>1</v>
          </cell>
          <cell r="N377">
            <v>1</v>
          </cell>
          <cell r="O377">
            <v>1</v>
          </cell>
          <cell r="P377">
            <v>1</v>
          </cell>
          <cell r="Q377">
            <v>0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4</v>
          </cell>
          <cell r="AD377">
            <v>6</v>
          </cell>
          <cell r="AE377" t="str">
            <v>everyone</v>
          </cell>
        </row>
        <row r="378">
          <cell r="A378" t="str">
            <v>20004_2</v>
          </cell>
          <cell r="B378">
            <v>3</v>
          </cell>
          <cell r="C378">
            <v>20004</v>
          </cell>
          <cell r="D378" t="str">
            <v>雷雲からの刺客</v>
          </cell>
          <cell r="E378" t="str">
            <v>ドロップイベント1-4</v>
          </cell>
          <cell r="F378">
            <v>2</v>
          </cell>
          <cell r="G378" t="str">
            <v>ja</v>
          </cell>
          <cell r="H378" t="str">
            <v>【中級】雷雲からの刺客</v>
          </cell>
          <cell r="I378" t="str">
            <v>中級</v>
          </cell>
          <cell r="J378">
            <v>268</v>
          </cell>
          <cell r="K378">
            <v>15</v>
          </cell>
          <cell r="L378">
            <v>1200</v>
          </cell>
          <cell r="M378">
            <v>1</v>
          </cell>
          <cell r="N378">
            <v>1</v>
          </cell>
          <cell r="O378">
            <v>1</v>
          </cell>
          <cell r="P378">
            <v>1</v>
          </cell>
          <cell r="Q378">
            <v>0</v>
          </cell>
          <cell r="R378">
            <v>3</v>
          </cell>
          <cell r="S378" t="str">
            <v>none</v>
          </cell>
          <cell r="T378">
            <v>0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4</v>
          </cell>
          <cell r="AD378">
            <v>6</v>
          </cell>
          <cell r="AE378" t="str">
            <v>everyone</v>
          </cell>
        </row>
        <row r="379">
          <cell r="A379" t="str">
            <v>20004_3</v>
          </cell>
          <cell r="B379">
            <v>3</v>
          </cell>
          <cell r="C379">
            <v>20004</v>
          </cell>
          <cell r="D379" t="str">
            <v>雷雲からの刺客</v>
          </cell>
          <cell r="E379" t="str">
            <v>ドロップイベント1-4</v>
          </cell>
          <cell r="F379">
            <v>3</v>
          </cell>
          <cell r="G379" t="str">
            <v>ja</v>
          </cell>
          <cell r="H379" t="str">
            <v>【上級】雷雲からの刺客</v>
          </cell>
          <cell r="I379" t="str">
            <v>上級</v>
          </cell>
          <cell r="J379">
            <v>269</v>
          </cell>
          <cell r="K379">
            <v>20</v>
          </cell>
          <cell r="L379">
            <v>2000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0</v>
          </cell>
          <cell r="R379">
            <v>3</v>
          </cell>
          <cell r="S379" t="str">
            <v>polygon</v>
          </cell>
          <cell r="T379">
            <v>1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4</v>
          </cell>
          <cell r="AD379">
            <v>6</v>
          </cell>
          <cell r="AE379" t="str">
            <v>everyone</v>
          </cell>
        </row>
        <row r="380">
          <cell r="A380" t="str">
            <v>20005_1</v>
          </cell>
          <cell r="B380">
            <v>3</v>
          </cell>
          <cell r="C380">
            <v>20005</v>
          </cell>
          <cell r="D380" t="str">
            <v>ザ・キャノン</v>
          </cell>
          <cell r="E380" t="str">
            <v>ドロップイベント2-2</v>
          </cell>
          <cell r="F380">
            <v>1</v>
          </cell>
          <cell r="G380" t="str">
            <v>ja</v>
          </cell>
          <cell r="H380" t="str">
            <v>【初級】ザ・キャノン(4タップ）</v>
          </cell>
          <cell r="I380" t="str">
            <v>初級</v>
          </cell>
          <cell r="J380">
            <v>286</v>
          </cell>
          <cell r="K380">
            <v>8</v>
          </cell>
          <cell r="L380">
            <v>384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4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14</v>
          </cell>
          <cell r="AD380">
            <v>6</v>
          </cell>
          <cell r="AE380" t="str">
            <v>everyone</v>
          </cell>
        </row>
        <row r="381">
          <cell r="A381" t="str">
            <v>20005_2</v>
          </cell>
          <cell r="B381">
            <v>3</v>
          </cell>
          <cell r="C381">
            <v>20005</v>
          </cell>
          <cell r="D381" t="str">
            <v>ザ・キャノン</v>
          </cell>
          <cell r="E381" t="str">
            <v>ドロップイベント2-2</v>
          </cell>
          <cell r="F381">
            <v>2</v>
          </cell>
          <cell r="G381" t="str">
            <v>ja</v>
          </cell>
          <cell r="H381" t="str">
            <v>【中級】ザ・キャノン(4タップ)</v>
          </cell>
          <cell r="I381" t="str">
            <v>中級</v>
          </cell>
          <cell r="J381">
            <v>286</v>
          </cell>
          <cell r="K381">
            <v>15</v>
          </cell>
          <cell r="L381">
            <v>1200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4</v>
          </cell>
          <cell r="S381" t="str">
            <v>none</v>
          </cell>
          <cell r="T381">
            <v>0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14</v>
          </cell>
          <cell r="AD381">
            <v>6</v>
          </cell>
          <cell r="AE381" t="str">
            <v>everyone</v>
          </cell>
        </row>
        <row r="382">
          <cell r="A382" t="str">
            <v>20005_3</v>
          </cell>
          <cell r="B382">
            <v>3</v>
          </cell>
          <cell r="C382">
            <v>20005</v>
          </cell>
          <cell r="D382" t="str">
            <v>ザ・キャノン</v>
          </cell>
          <cell r="E382" t="str">
            <v>ドロップイベント2-2</v>
          </cell>
          <cell r="F382">
            <v>3</v>
          </cell>
          <cell r="G382" t="str">
            <v>ja</v>
          </cell>
          <cell r="H382" t="str">
            <v>【上級】ザ・キャノン(4タップ)</v>
          </cell>
          <cell r="I382" t="str">
            <v>上級</v>
          </cell>
          <cell r="J382">
            <v>287</v>
          </cell>
          <cell r="K382">
            <v>20</v>
          </cell>
          <cell r="L382">
            <v>2000</v>
          </cell>
          <cell r="M382">
            <v>1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4</v>
          </cell>
          <cell r="S382" t="str">
            <v>polygon</v>
          </cell>
          <cell r="T382">
            <v>1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14</v>
          </cell>
          <cell r="AD382">
            <v>6</v>
          </cell>
          <cell r="AE382" t="str">
            <v>everyone</v>
          </cell>
        </row>
        <row r="383">
          <cell r="A383" t="str">
            <v>20006_1</v>
          </cell>
          <cell r="B383">
            <v>3</v>
          </cell>
          <cell r="C383">
            <v>20006</v>
          </cell>
          <cell r="D383" t="str">
            <v>スチール・プレデター</v>
          </cell>
          <cell r="E383" t="str">
            <v>ドロップイベント2-3</v>
          </cell>
          <cell r="F383">
            <v>1</v>
          </cell>
          <cell r="G383" t="str">
            <v>ja</v>
          </cell>
          <cell r="H383" t="str">
            <v>【初級】スチール・プレデター</v>
          </cell>
          <cell r="I383" t="str">
            <v>初級</v>
          </cell>
          <cell r="J383">
            <v>280</v>
          </cell>
          <cell r="K383">
            <v>8</v>
          </cell>
          <cell r="L383">
            <v>384</v>
          </cell>
          <cell r="M383">
            <v>1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2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20006_2</v>
          </cell>
          <cell r="B384">
            <v>3</v>
          </cell>
          <cell r="C384">
            <v>20006</v>
          </cell>
          <cell r="D384" t="str">
            <v>スチール・プレデター</v>
          </cell>
          <cell r="E384" t="str">
            <v>ドロップイベント2-3</v>
          </cell>
          <cell r="F384">
            <v>2</v>
          </cell>
          <cell r="G384" t="str">
            <v>ja</v>
          </cell>
          <cell r="H384" t="str">
            <v>【中級】スチール・プレデター</v>
          </cell>
          <cell r="I384" t="str">
            <v>中級</v>
          </cell>
          <cell r="J384">
            <v>280</v>
          </cell>
          <cell r="K384">
            <v>15</v>
          </cell>
          <cell r="L384">
            <v>1200</v>
          </cell>
          <cell r="M384">
            <v>1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2</v>
          </cell>
          <cell r="S384" t="str">
            <v>none</v>
          </cell>
          <cell r="T384">
            <v>0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19</v>
          </cell>
          <cell r="AD384">
            <v>6</v>
          </cell>
          <cell r="AE384" t="str">
            <v>everyone</v>
          </cell>
        </row>
        <row r="385">
          <cell r="A385" t="str">
            <v>20006_3</v>
          </cell>
          <cell r="B385">
            <v>3</v>
          </cell>
          <cell r="C385">
            <v>20006</v>
          </cell>
          <cell r="D385" t="str">
            <v>スチール・プレデター</v>
          </cell>
          <cell r="E385" t="str">
            <v>ドロップイベント2-3</v>
          </cell>
          <cell r="F385">
            <v>3</v>
          </cell>
          <cell r="G385" t="str">
            <v>ja</v>
          </cell>
          <cell r="H385" t="str">
            <v>【上級】スチール・プレデター</v>
          </cell>
          <cell r="I385" t="str">
            <v>上級</v>
          </cell>
          <cell r="J385">
            <v>281</v>
          </cell>
          <cell r="K385">
            <v>20</v>
          </cell>
          <cell r="L385">
            <v>2000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2</v>
          </cell>
          <cell r="S385" t="str">
            <v>polygon</v>
          </cell>
          <cell r="T385">
            <v>1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19</v>
          </cell>
          <cell r="AD385">
            <v>6</v>
          </cell>
          <cell r="AE385" t="str">
            <v>everyone</v>
          </cell>
        </row>
        <row r="386">
          <cell r="A386" t="str">
            <v>20007_1</v>
          </cell>
          <cell r="B386">
            <v>3</v>
          </cell>
          <cell r="C386">
            <v>20007</v>
          </cell>
          <cell r="D386" t="str">
            <v>女王陛下の処刑龍</v>
          </cell>
          <cell r="E386" t="str">
            <v>ドロップイベント2-1</v>
          </cell>
          <cell r="F386">
            <v>1</v>
          </cell>
          <cell r="G386" t="str">
            <v>ja</v>
          </cell>
          <cell r="H386" t="str">
            <v>【初級】女王陛下の処刑龍</v>
          </cell>
          <cell r="I386" t="str">
            <v>初級</v>
          </cell>
          <cell r="J386">
            <v>282</v>
          </cell>
          <cell r="K386">
            <v>8</v>
          </cell>
          <cell r="L386">
            <v>384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4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17</v>
          </cell>
          <cell r="AD386">
            <v>6</v>
          </cell>
          <cell r="AE386" t="str">
            <v>everyone</v>
          </cell>
        </row>
        <row r="387">
          <cell r="A387" t="str">
            <v>20007_2</v>
          </cell>
          <cell r="B387">
            <v>3</v>
          </cell>
          <cell r="C387">
            <v>20007</v>
          </cell>
          <cell r="D387" t="str">
            <v>女王陛下の処刑龍</v>
          </cell>
          <cell r="E387" t="str">
            <v>ドロップイベント2-1</v>
          </cell>
          <cell r="F387">
            <v>2</v>
          </cell>
          <cell r="G387" t="str">
            <v>ja</v>
          </cell>
          <cell r="H387" t="str">
            <v>【中級】女王陛下の処刑龍</v>
          </cell>
          <cell r="I387" t="str">
            <v>中級</v>
          </cell>
          <cell r="J387">
            <v>282</v>
          </cell>
          <cell r="K387">
            <v>15</v>
          </cell>
          <cell r="L387">
            <v>1200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4</v>
          </cell>
          <cell r="S387" t="str">
            <v>none</v>
          </cell>
          <cell r="T387">
            <v>0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17</v>
          </cell>
          <cell r="AD387">
            <v>6</v>
          </cell>
          <cell r="AE387" t="str">
            <v>everyone</v>
          </cell>
        </row>
        <row r="388">
          <cell r="A388" t="str">
            <v>20007_3</v>
          </cell>
          <cell r="B388">
            <v>3</v>
          </cell>
          <cell r="C388">
            <v>20007</v>
          </cell>
          <cell r="D388" t="str">
            <v>女王陛下の処刑龍</v>
          </cell>
          <cell r="E388" t="str">
            <v>ドロップイベント2-1</v>
          </cell>
          <cell r="F388">
            <v>3</v>
          </cell>
          <cell r="G388" t="str">
            <v>ja</v>
          </cell>
          <cell r="H388" t="str">
            <v>【上級】女王陛下の処刑龍</v>
          </cell>
          <cell r="I388" t="str">
            <v>上級</v>
          </cell>
          <cell r="J388">
            <v>283</v>
          </cell>
          <cell r="K388">
            <v>20</v>
          </cell>
          <cell r="L388">
            <v>2000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4</v>
          </cell>
          <cell r="S388" t="str">
            <v>polygon</v>
          </cell>
          <cell r="T388">
            <v>1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17</v>
          </cell>
          <cell r="AD388">
            <v>6</v>
          </cell>
          <cell r="AE388" t="str">
            <v>everyone</v>
          </cell>
        </row>
        <row r="389">
          <cell r="A389" t="str">
            <v>20008_1</v>
          </cell>
          <cell r="B389">
            <v>3</v>
          </cell>
          <cell r="C389">
            <v>20008</v>
          </cell>
          <cell r="D389" t="str">
            <v>天翔ける金轟機龍</v>
          </cell>
          <cell r="E389" t="str">
            <v>ドロップイベント2-4</v>
          </cell>
          <cell r="F389">
            <v>1</v>
          </cell>
          <cell r="G389" t="str">
            <v>ja</v>
          </cell>
          <cell r="H389" t="str">
            <v>【初級】天翔ける金轟機龍</v>
          </cell>
          <cell r="I389" t="str">
            <v>初級</v>
          </cell>
          <cell r="J389">
            <v>284</v>
          </cell>
          <cell r="K389">
            <v>8</v>
          </cell>
          <cell r="L389">
            <v>384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8</v>
          </cell>
          <cell r="AD389">
            <v>6</v>
          </cell>
          <cell r="AE389" t="str">
            <v>everyone</v>
          </cell>
        </row>
        <row r="390">
          <cell r="A390" t="str">
            <v>20008_2</v>
          </cell>
          <cell r="B390">
            <v>3</v>
          </cell>
          <cell r="C390">
            <v>20008</v>
          </cell>
          <cell r="D390" t="str">
            <v>天翔ける金轟機龍</v>
          </cell>
          <cell r="E390" t="str">
            <v>ドロップイベント2-4</v>
          </cell>
          <cell r="F390">
            <v>2</v>
          </cell>
          <cell r="G390" t="str">
            <v>ja</v>
          </cell>
          <cell r="H390" t="str">
            <v>【中級】天翔ける金轟機龍</v>
          </cell>
          <cell r="I390" t="str">
            <v>中級</v>
          </cell>
          <cell r="J390">
            <v>284</v>
          </cell>
          <cell r="K390">
            <v>15</v>
          </cell>
          <cell r="L390">
            <v>1200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none</v>
          </cell>
          <cell r="T390">
            <v>0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8</v>
          </cell>
          <cell r="AD390">
            <v>6</v>
          </cell>
          <cell r="AE390" t="str">
            <v>everyone</v>
          </cell>
        </row>
        <row r="391">
          <cell r="A391" t="str">
            <v>20008_3</v>
          </cell>
          <cell r="B391">
            <v>3</v>
          </cell>
          <cell r="C391">
            <v>20008</v>
          </cell>
          <cell r="D391" t="str">
            <v>天翔ける金轟機龍</v>
          </cell>
          <cell r="E391" t="str">
            <v>ドロップイベント2-4</v>
          </cell>
          <cell r="F391">
            <v>3</v>
          </cell>
          <cell r="G391" t="str">
            <v>ja</v>
          </cell>
          <cell r="H391" t="str">
            <v>【上級】天翔ける金轟機龍</v>
          </cell>
          <cell r="I391" t="str">
            <v>上級</v>
          </cell>
          <cell r="J391">
            <v>285</v>
          </cell>
          <cell r="K391">
            <v>20</v>
          </cell>
          <cell r="L391">
            <v>2000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polygon</v>
          </cell>
          <cell r="T391">
            <v>1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8</v>
          </cell>
          <cell r="AD391">
            <v>6</v>
          </cell>
          <cell r="AE391" t="str">
            <v>everyone</v>
          </cell>
        </row>
        <row r="392">
          <cell r="A392" t="str">
            <v>20009_1</v>
          </cell>
          <cell r="B392">
            <v>0</v>
          </cell>
          <cell r="C392">
            <v>20009</v>
          </cell>
          <cell r="D392" t="str">
            <v>迫り来る窒息</v>
          </cell>
          <cell r="E392" t="str">
            <v>ドロップイベント3</v>
          </cell>
          <cell r="F392">
            <v>1</v>
          </cell>
          <cell r="G392" t="str">
            <v>ja</v>
          </cell>
          <cell r="H392" t="str">
            <v>【初級】迫り来る窒息</v>
          </cell>
          <cell r="I392" t="str">
            <v>初級</v>
          </cell>
          <cell r="J392" t="str">
            <v>NULL</v>
          </cell>
          <cell r="K392">
            <v>8</v>
          </cell>
          <cell r="L392">
            <v>384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25</v>
          </cell>
          <cell r="AD392">
            <v>5</v>
          </cell>
          <cell r="AE392" t="str">
            <v>everyone</v>
          </cell>
        </row>
        <row r="393">
          <cell r="A393" t="str">
            <v>20009_2</v>
          </cell>
          <cell r="B393">
            <v>3</v>
          </cell>
          <cell r="C393">
            <v>20009</v>
          </cell>
          <cell r="D393" t="str">
            <v>迫り来る窒息</v>
          </cell>
          <cell r="E393" t="str">
            <v>ドロップイベント3</v>
          </cell>
          <cell r="F393">
            <v>2</v>
          </cell>
          <cell r="G393" t="str">
            <v>ja</v>
          </cell>
          <cell r="H393" t="str">
            <v>【中級】迫り来る窒息</v>
          </cell>
          <cell r="I393" t="str">
            <v>中級</v>
          </cell>
          <cell r="J393">
            <v>302</v>
          </cell>
          <cell r="K393">
            <v>15</v>
          </cell>
          <cell r="L393">
            <v>1200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none</v>
          </cell>
          <cell r="T393">
            <v>0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25</v>
          </cell>
          <cell r="AD393">
            <v>5</v>
          </cell>
          <cell r="AE393" t="str">
            <v>everyone</v>
          </cell>
        </row>
        <row r="394">
          <cell r="A394" t="str">
            <v>20009_3</v>
          </cell>
          <cell r="B394">
            <v>3</v>
          </cell>
          <cell r="C394">
            <v>20009</v>
          </cell>
          <cell r="D394" t="str">
            <v>迫り来る窒息</v>
          </cell>
          <cell r="E394" t="str">
            <v>ドロップイベント3</v>
          </cell>
          <cell r="F394">
            <v>3</v>
          </cell>
          <cell r="G394" t="str">
            <v>ja</v>
          </cell>
          <cell r="H394" t="str">
            <v>【上級】迫り来る窒息</v>
          </cell>
          <cell r="I394" t="str">
            <v>上級</v>
          </cell>
          <cell r="J394">
            <v>303</v>
          </cell>
          <cell r="K394">
            <v>20</v>
          </cell>
          <cell r="L394">
            <v>2000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polygon</v>
          </cell>
          <cell r="T394">
            <v>1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25</v>
          </cell>
          <cell r="AD394">
            <v>5</v>
          </cell>
          <cell r="AE394" t="str">
            <v>everyone</v>
          </cell>
        </row>
        <row r="395">
          <cell r="A395" t="str">
            <v>20010_1</v>
          </cell>
          <cell r="B395">
            <v>3</v>
          </cell>
          <cell r="C395">
            <v>20010</v>
          </cell>
          <cell r="D395" t="str">
            <v>悪夢の一目惚れ</v>
          </cell>
          <cell r="E395" t="str">
            <v>ドロップイベント3</v>
          </cell>
          <cell r="F395">
            <v>1</v>
          </cell>
          <cell r="G395" t="str">
            <v>ja</v>
          </cell>
          <cell r="H395" t="str">
            <v>【初級】悪夢の一目惚れ</v>
          </cell>
          <cell r="I395" t="str">
            <v>初級</v>
          </cell>
          <cell r="J395">
            <v>304</v>
          </cell>
          <cell r="K395">
            <v>8</v>
          </cell>
          <cell r="L395">
            <v>384</v>
          </cell>
          <cell r="M395">
            <v>1</v>
          </cell>
          <cell r="N395">
            <v>1</v>
          </cell>
          <cell r="O395">
            <v>0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2601</v>
          </cell>
          <cell r="AD395">
            <v>6</v>
          </cell>
          <cell r="AE395" t="str">
            <v>everyone</v>
          </cell>
        </row>
        <row r="396">
          <cell r="A396" t="str">
            <v>20010_2</v>
          </cell>
          <cell r="B396">
            <v>3</v>
          </cell>
          <cell r="C396">
            <v>20010</v>
          </cell>
          <cell r="D396" t="str">
            <v>悪夢の一目惚れ</v>
          </cell>
          <cell r="E396" t="str">
            <v>ドロップイベント3</v>
          </cell>
          <cell r="F396">
            <v>2</v>
          </cell>
          <cell r="G396" t="str">
            <v>ja</v>
          </cell>
          <cell r="H396" t="str">
            <v>【中級】悪夢の一目惚れ</v>
          </cell>
          <cell r="I396" t="str">
            <v>中級</v>
          </cell>
          <cell r="J396">
            <v>304</v>
          </cell>
          <cell r="K396">
            <v>15</v>
          </cell>
          <cell r="L396">
            <v>1200</v>
          </cell>
          <cell r="M396">
            <v>1</v>
          </cell>
          <cell r="N396">
            <v>1</v>
          </cell>
          <cell r="O396">
            <v>0</v>
          </cell>
          <cell r="P396">
            <v>1</v>
          </cell>
          <cell r="Q396">
            <v>1</v>
          </cell>
          <cell r="R396">
            <v>3</v>
          </cell>
          <cell r="S396" t="str">
            <v>none</v>
          </cell>
          <cell r="T396">
            <v>0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2601</v>
          </cell>
          <cell r="AD396">
            <v>6</v>
          </cell>
          <cell r="AE396" t="str">
            <v>everyone</v>
          </cell>
        </row>
        <row r="397">
          <cell r="A397" t="str">
            <v>20010_3</v>
          </cell>
          <cell r="B397">
            <v>3</v>
          </cell>
          <cell r="C397">
            <v>20010</v>
          </cell>
          <cell r="D397" t="str">
            <v>悪夢の一目惚れ</v>
          </cell>
          <cell r="E397" t="str">
            <v>ドロップイベント3</v>
          </cell>
          <cell r="F397">
            <v>3</v>
          </cell>
          <cell r="G397" t="str">
            <v>ja</v>
          </cell>
          <cell r="H397" t="str">
            <v>【上級】悪夢の一目惚れ</v>
          </cell>
          <cell r="I397" t="str">
            <v>上級</v>
          </cell>
          <cell r="J397">
            <v>305</v>
          </cell>
          <cell r="K397">
            <v>20</v>
          </cell>
          <cell r="L397">
            <v>2000</v>
          </cell>
          <cell r="M397">
            <v>1</v>
          </cell>
          <cell r="N397">
            <v>1</v>
          </cell>
          <cell r="O397">
            <v>0</v>
          </cell>
          <cell r="P397">
            <v>1</v>
          </cell>
          <cell r="Q397">
            <v>1</v>
          </cell>
          <cell r="R397">
            <v>3</v>
          </cell>
          <cell r="S397" t="str">
            <v>polygon</v>
          </cell>
          <cell r="T397">
            <v>1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2601</v>
          </cell>
          <cell r="AD397">
            <v>6</v>
          </cell>
          <cell r="AE397" t="str">
            <v>everyone</v>
          </cell>
        </row>
        <row r="398">
          <cell r="A398" t="str">
            <v>20011_1</v>
          </cell>
          <cell r="B398">
            <v>3</v>
          </cell>
          <cell r="C398">
            <v>20011</v>
          </cell>
          <cell r="D398" t="str">
            <v>すべてが灰になる</v>
          </cell>
          <cell r="E398" t="str">
            <v>ドロップイベント3</v>
          </cell>
          <cell r="F398">
            <v>1</v>
          </cell>
          <cell r="G398" t="str">
            <v>ja</v>
          </cell>
          <cell r="H398" t="str">
            <v>【初級】すべてが灰になる</v>
          </cell>
          <cell r="I398" t="str">
            <v>初級</v>
          </cell>
          <cell r="J398">
            <v>298</v>
          </cell>
          <cell r="K398">
            <v>8</v>
          </cell>
          <cell r="L398">
            <v>384</v>
          </cell>
          <cell r="M398">
            <v>1</v>
          </cell>
          <cell r="N398">
            <v>1</v>
          </cell>
          <cell r="O398">
            <v>1</v>
          </cell>
          <cell r="P398">
            <v>1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10</v>
          </cell>
          <cell r="AD398">
            <v>5</v>
          </cell>
          <cell r="AE398" t="str">
            <v>everyone</v>
          </cell>
        </row>
        <row r="399">
          <cell r="A399" t="str">
            <v>20011_2</v>
          </cell>
          <cell r="B399">
            <v>3</v>
          </cell>
          <cell r="C399">
            <v>20011</v>
          </cell>
          <cell r="D399" t="str">
            <v>すべてが灰になる</v>
          </cell>
          <cell r="E399" t="str">
            <v>ドロップイベント3</v>
          </cell>
          <cell r="F399">
            <v>2</v>
          </cell>
          <cell r="G399" t="str">
            <v>ja</v>
          </cell>
          <cell r="H399" t="str">
            <v>【中級】すべてが灰になる</v>
          </cell>
          <cell r="I399" t="str">
            <v>中級</v>
          </cell>
          <cell r="J399">
            <v>298</v>
          </cell>
          <cell r="K399">
            <v>15</v>
          </cell>
          <cell r="L399">
            <v>1200</v>
          </cell>
          <cell r="M399">
            <v>1</v>
          </cell>
          <cell r="N399">
            <v>1</v>
          </cell>
          <cell r="O399">
            <v>1</v>
          </cell>
          <cell r="P399">
            <v>1</v>
          </cell>
          <cell r="Q399">
            <v>1</v>
          </cell>
          <cell r="R399">
            <v>3</v>
          </cell>
          <cell r="S399" t="str">
            <v>none</v>
          </cell>
          <cell r="T399">
            <v>0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10</v>
          </cell>
          <cell r="AD399">
            <v>5</v>
          </cell>
          <cell r="AE399" t="str">
            <v>everyone</v>
          </cell>
        </row>
        <row r="400">
          <cell r="A400" t="str">
            <v>20011_3</v>
          </cell>
          <cell r="B400">
            <v>3</v>
          </cell>
          <cell r="C400">
            <v>20011</v>
          </cell>
          <cell r="D400" t="str">
            <v>すべてが灰になる</v>
          </cell>
          <cell r="E400" t="str">
            <v>ドロップイベント3</v>
          </cell>
          <cell r="F400">
            <v>3</v>
          </cell>
          <cell r="G400" t="str">
            <v>ja</v>
          </cell>
          <cell r="H400" t="str">
            <v>【上級】すべてが灰になる</v>
          </cell>
          <cell r="I400" t="str">
            <v>上級</v>
          </cell>
          <cell r="J400">
            <v>299</v>
          </cell>
          <cell r="K400">
            <v>20</v>
          </cell>
          <cell r="L400">
            <v>2000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polygon</v>
          </cell>
          <cell r="T400">
            <v>1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10</v>
          </cell>
          <cell r="AD400">
            <v>5</v>
          </cell>
          <cell r="AE400" t="str">
            <v>everyone</v>
          </cell>
        </row>
        <row r="401">
          <cell r="A401" t="str">
            <v>20012_1</v>
          </cell>
          <cell r="B401">
            <v>3</v>
          </cell>
          <cell r="C401">
            <v>20012</v>
          </cell>
          <cell r="D401" t="str">
            <v>罪と劇薬</v>
          </cell>
          <cell r="E401" t="str">
            <v>ドロップイベント3</v>
          </cell>
          <cell r="F401">
            <v>1</v>
          </cell>
          <cell r="G401" t="str">
            <v>ja</v>
          </cell>
          <cell r="H401" t="str">
            <v>【初級】罪と劇薬</v>
          </cell>
          <cell r="I401" t="str">
            <v>初級</v>
          </cell>
          <cell r="J401">
            <v>300</v>
          </cell>
          <cell r="K401">
            <v>8</v>
          </cell>
          <cell r="L401">
            <v>384</v>
          </cell>
          <cell r="M401">
            <v>0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19</v>
          </cell>
          <cell r="AD401">
            <v>6</v>
          </cell>
          <cell r="AE401" t="str">
            <v>everyone</v>
          </cell>
        </row>
        <row r="402">
          <cell r="A402" t="str">
            <v>20012_2</v>
          </cell>
          <cell r="B402">
            <v>3</v>
          </cell>
          <cell r="C402">
            <v>20012</v>
          </cell>
          <cell r="D402" t="str">
            <v>罪と劇薬</v>
          </cell>
          <cell r="E402" t="str">
            <v>ドロップイベント3</v>
          </cell>
          <cell r="F402">
            <v>2</v>
          </cell>
          <cell r="G402" t="str">
            <v>ja</v>
          </cell>
          <cell r="H402" t="str">
            <v>【中級】罪と劇薬</v>
          </cell>
          <cell r="I402" t="str">
            <v>中級</v>
          </cell>
          <cell r="J402">
            <v>300</v>
          </cell>
          <cell r="K402">
            <v>15</v>
          </cell>
          <cell r="L402">
            <v>1200</v>
          </cell>
          <cell r="M402">
            <v>0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none</v>
          </cell>
          <cell r="T402">
            <v>0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19</v>
          </cell>
          <cell r="AD402">
            <v>6</v>
          </cell>
          <cell r="AE402" t="str">
            <v>everyone</v>
          </cell>
        </row>
        <row r="403">
          <cell r="A403" t="str">
            <v>20012_3</v>
          </cell>
          <cell r="B403">
            <v>3</v>
          </cell>
          <cell r="C403">
            <v>20012</v>
          </cell>
          <cell r="D403" t="str">
            <v>罪と劇薬</v>
          </cell>
          <cell r="E403" t="str">
            <v>ドロップイベント3</v>
          </cell>
          <cell r="F403">
            <v>3</v>
          </cell>
          <cell r="G403" t="str">
            <v>ja</v>
          </cell>
          <cell r="H403" t="str">
            <v>【上級】罪と劇薬</v>
          </cell>
          <cell r="I403" t="str">
            <v>上級</v>
          </cell>
          <cell r="J403">
            <v>301</v>
          </cell>
          <cell r="K403">
            <v>20</v>
          </cell>
          <cell r="L403">
            <v>2000</v>
          </cell>
          <cell r="M403">
            <v>0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polygon</v>
          </cell>
          <cell r="T403">
            <v>1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19</v>
          </cell>
          <cell r="AD403">
            <v>6</v>
          </cell>
          <cell r="AE403" t="str">
            <v>everyone</v>
          </cell>
        </row>
        <row r="404">
          <cell r="A404" t="str">
            <v>20013_1</v>
          </cell>
          <cell r="B404">
            <v>3</v>
          </cell>
          <cell r="C404">
            <v>20013</v>
          </cell>
          <cell r="D404" t="str">
            <v>天の時、地の利、人の和</v>
          </cell>
          <cell r="E404" t="str">
            <v>ドロップイベント4</v>
          </cell>
          <cell r="F404">
            <v>1</v>
          </cell>
          <cell r="G404" t="str">
            <v>ja</v>
          </cell>
          <cell r="H404" t="str">
            <v>【初級】天の時、地の利、人の和</v>
          </cell>
          <cell r="I404" t="str">
            <v>初級</v>
          </cell>
          <cell r="J404">
            <v>720</v>
          </cell>
          <cell r="K404">
            <v>8</v>
          </cell>
          <cell r="L404">
            <v>384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10</v>
          </cell>
          <cell r="AD404">
            <v>6</v>
          </cell>
          <cell r="AE404" t="str">
            <v>everyone</v>
          </cell>
        </row>
        <row r="405">
          <cell r="A405" t="str">
            <v>20013_2</v>
          </cell>
          <cell r="B405">
            <v>3</v>
          </cell>
          <cell r="C405">
            <v>20013</v>
          </cell>
          <cell r="D405" t="str">
            <v>天の時、地の利、人の和</v>
          </cell>
          <cell r="E405" t="str">
            <v>ドロップイベント4</v>
          </cell>
          <cell r="F405">
            <v>2</v>
          </cell>
          <cell r="G405" t="str">
            <v>ja</v>
          </cell>
          <cell r="H405" t="str">
            <v>【中級】天の時、地の利、人の和</v>
          </cell>
          <cell r="I405" t="str">
            <v>中級</v>
          </cell>
          <cell r="J405">
            <v>720</v>
          </cell>
          <cell r="K405">
            <v>15</v>
          </cell>
          <cell r="L405">
            <v>1200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none</v>
          </cell>
          <cell r="T405">
            <v>0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10</v>
          </cell>
          <cell r="AD405">
            <v>6</v>
          </cell>
          <cell r="AE405" t="str">
            <v>everyone</v>
          </cell>
        </row>
        <row r="406">
          <cell r="A406" t="str">
            <v>20013_3</v>
          </cell>
          <cell r="B406">
            <v>3</v>
          </cell>
          <cell r="C406">
            <v>20013</v>
          </cell>
          <cell r="D406" t="str">
            <v>天の時、地の利、人の和</v>
          </cell>
          <cell r="E406" t="str">
            <v>ドロップイベント4</v>
          </cell>
          <cell r="F406">
            <v>3</v>
          </cell>
          <cell r="G406" t="str">
            <v>ja</v>
          </cell>
          <cell r="H406" t="str">
            <v>【上級】天の時、地の利、人の和</v>
          </cell>
          <cell r="I406" t="str">
            <v>上級</v>
          </cell>
          <cell r="J406">
            <v>721</v>
          </cell>
          <cell r="K406">
            <v>20</v>
          </cell>
          <cell r="L406">
            <v>2000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polygon</v>
          </cell>
          <cell r="T406">
            <v>1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10</v>
          </cell>
          <cell r="AD406">
            <v>6</v>
          </cell>
          <cell r="AE406" t="str">
            <v>everyone</v>
          </cell>
        </row>
        <row r="407">
          <cell r="A407" t="str">
            <v>20014_1</v>
          </cell>
          <cell r="B407">
            <v>3</v>
          </cell>
          <cell r="C407">
            <v>20014</v>
          </cell>
          <cell r="D407" t="str">
            <v>魅了する歌声</v>
          </cell>
          <cell r="E407" t="str">
            <v>天使と悪魔編1</v>
          </cell>
          <cell r="F407">
            <v>1</v>
          </cell>
          <cell r="G407" t="str">
            <v>ja</v>
          </cell>
          <cell r="H407" t="str">
            <v>【初級】魅了する歌声</v>
          </cell>
          <cell r="I407" t="str">
            <v>初級</v>
          </cell>
          <cell r="J407">
            <v>842</v>
          </cell>
          <cell r="K407">
            <v>8</v>
          </cell>
          <cell r="L407">
            <v>384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17</v>
          </cell>
          <cell r="AD407">
            <v>4</v>
          </cell>
          <cell r="AE407" t="str">
            <v>everyone</v>
          </cell>
        </row>
        <row r="408">
          <cell r="A408" t="str">
            <v>20014_2</v>
          </cell>
          <cell r="B408">
            <v>3</v>
          </cell>
          <cell r="C408">
            <v>20014</v>
          </cell>
          <cell r="D408" t="str">
            <v>魅了する歌声</v>
          </cell>
          <cell r="E408" t="str">
            <v>天使と悪魔編1</v>
          </cell>
          <cell r="F408">
            <v>2</v>
          </cell>
          <cell r="G408" t="str">
            <v>ja</v>
          </cell>
          <cell r="H408" t="str">
            <v>【中級】魅了する歌声</v>
          </cell>
          <cell r="I408" t="str">
            <v>中級</v>
          </cell>
          <cell r="J408">
            <v>842</v>
          </cell>
          <cell r="K408">
            <v>15</v>
          </cell>
          <cell r="L408">
            <v>1200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none</v>
          </cell>
          <cell r="T408">
            <v>0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17</v>
          </cell>
          <cell r="AD408">
            <v>4</v>
          </cell>
          <cell r="AE408" t="str">
            <v>everyone</v>
          </cell>
        </row>
        <row r="409">
          <cell r="A409" t="str">
            <v>20014_3</v>
          </cell>
          <cell r="B409">
            <v>3</v>
          </cell>
          <cell r="C409">
            <v>20014</v>
          </cell>
          <cell r="D409" t="str">
            <v>魅了する歌声</v>
          </cell>
          <cell r="E409" t="str">
            <v>天使と悪魔編1</v>
          </cell>
          <cell r="F409">
            <v>3</v>
          </cell>
          <cell r="G409" t="str">
            <v>ja</v>
          </cell>
          <cell r="H409" t="str">
            <v>【上級】魅了する歌声</v>
          </cell>
          <cell r="I409" t="str">
            <v>上級</v>
          </cell>
          <cell r="J409">
            <v>842</v>
          </cell>
          <cell r="K409">
            <v>20</v>
          </cell>
          <cell r="L409">
            <v>2000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polygon</v>
          </cell>
          <cell r="T409">
            <v>1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17</v>
          </cell>
          <cell r="AD409">
            <v>4</v>
          </cell>
          <cell r="AE409" t="str">
            <v>everyone</v>
          </cell>
        </row>
        <row r="410">
          <cell r="A410" t="str">
            <v>20015_1</v>
          </cell>
          <cell r="B410">
            <v>3</v>
          </cell>
          <cell r="C410">
            <v>20015</v>
          </cell>
          <cell r="D410" t="str">
            <v>妄執とり憑く美貌の妃</v>
          </cell>
          <cell r="E410" t="str">
            <v>おとぎ話シリーズ3</v>
          </cell>
          <cell r="F410">
            <v>1</v>
          </cell>
          <cell r="G410" t="str">
            <v>ja</v>
          </cell>
          <cell r="H410" t="str">
            <v>【初級】妄執とり憑く美貌の妃</v>
          </cell>
          <cell r="I410" t="str">
            <v>初級</v>
          </cell>
          <cell r="J410">
            <v>856</v>
          </cell>
          <cell r="K410">
            <v>8</v>
          </cell>
          <cell r="L410">
            <v>384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6</v>
          </cell>
          <cell r="AD410">
            <v>6</v>
          </cell>
          <cell r="AE410" t="str">
            <v>everyone</v>
          </cell>
        </row>
        <row r="411">
          <cell r="A411" t="str">
            <v>20015_2</v>
          </cell>
          <cell r="B411">
            <v>3</v>
          </cell>
          <cell r="C411">
            <v>20015</v>
          </cell>
          <cell r="D411" t="str">
            <v>妄執とり憑く美貌の妃</v>
          </cell>
          <cell r="E411" t="str">
            <v>おとぎ話シリーズ3</v>
          </cell>
          <cell r="F411">
            <v>2</v>
          </cell>
          <cell r="G411" t="str">
            <v>ja</v>
          </cell>
          <cell r="H411" t="str">
            <v>【中級】妄執とり憑く美貌の妃</v>
          </cell>
          <cell r="I411" t="str">
            <v>中級</v>
          </cell>
          <cell r="J411">
            <v>856</v>
          </cell>
          <cell r="K411">
            <v>15</v>
          </cell>
          <cell r="L411">
            <v>1200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none</v>
          </cell>
          <cell r="T411">
            <v>0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6</v>
          </cell>
          <cell r="AD411">
            <v>6</v>
          </cell>
          <cell r="AE411" t="str">
            <v>everyone</v>
          </cell>
        </row>
        <row r="412">
          <cell r="A412" t="str">
            <v>20015_3</v>
          </cell>
          <cell r="B412">
            <v>3</v>
          </cell>
          <cell r="C412">
            <v>20015</v>
          </cell>
          <cell r="D412" t="str">
            <v>妄執とり憑く美貌の妃</v>
          </cell>
          <cell r="E412" t="str">
            <v>おとぎ話シリーズ3</v>
          </cell>
          <cell r="F412">
            <v>3</v>
          </cell>
          <cell r="G412" t="str">
            <v>ja</v>
          </cell>
          <cell r="H412" t="str">
            <v>【上級】妄執とり憑く美貌の妃</v>
          </cell>
          <cell r="I412" t="str">
            <v>上級</v>
          </cell>
          <cell r="J412">
            <v>857</v>
          </cell>
          <cell r="K412">
            <v>20</v>
          </cell>
          <cell r="L412">
            <v>2000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polygon</v>
          </cell>
          <cell r="T412">
            <v>1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6</v>
          </cell>
          <cell r="AD412">
            <v>6</v>
          </cell>
          <cell r="AE412" t="str">
            <v>everyone</v>
          </cell>
        </row>
        <row r="413">
          <cell r="A413" t="str">
            <v>20016_1</v>
          </cell>
          <cell r="B413">
            <v>3</v>
          </cell>
          <cell r="C413">
            <v>20016</v>
          </cell>
          <cell r="D413" t="str">
            <v>寡黙な翼竜の侵攻</v>
          </cell>
          <cell r="E413" t="str">
            <v>ギリシャ神話01</v>
          </cell>
          <cell r="F413">
            <v>1</v>
          </cell>
          <cell r="G413" t="str">
            <v>ja</v>
          </cell>
          <cell r="H413" t="str">
            <v>【初級】寡黙な翼竜の侵攻</v>
          </cell>
          <cell r="I413" t="str">
            <v>初級</v>
          </cell>
          <cell r="J413">
            <v>739</v>
          </cell>
          <cell r="K413">
            <v>8</v>
          </cell>
          <cell r="L413">
            <v>384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13</v>
          </cell>
          <cell r="AD413">
            <v>6</v>
          </cell>
          <cell r="AE413" t="str">
            <v>everyone</v>
          </cell>
        </row>
        <row r="414">
          <cell r="A414" t="str">
            <v>20016_2</v>
          </cell>
          <cell r="B414">
            <v>3</v>
          </cell>
          <cell r="C414">
            <v>20016</v>
          </cell>
          <cell r="D414" t="str">
            <v>寡黙な翼竜の侵攻</v>
          </cell>
          <cell r="E414" t="str">
            <v>ギリシャ神話01</v>
          </cell>
          <cell r="F414">
            <v>2</v>
          </cell>
          <cell r="G414" t="str">
            <v>ja</v>
          </cell>
          <cell r="H414" t="str">
            <v>【中級】寡黙な翼竜の侵攻</v>
          </cell>
          <cell r="I414" t="str">
            <v>中級</v>
          </cell>
          <cell r="J414">
            <v>739</v>
          </cell>
          <cell r="K414">
            <v>15</v>
          </cell>
          <cell r="L414">
            <v>1200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none</v>
          </cell>
          <cell r="T414">
            <v>0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13</v>
          </cell>
          <cell r="AD414">
            <v>6</v>
          </cell>
          <cell r="AE414" t="str">
            <v>everyone</v>
          </cell>
        </row>
        <row r="415">
          <cell r="A415" t="str">
            <v>20016_3</v>
          </cell>
          <cell r="B415">
            <v>3</v>
          </cell>
          <cell r="C415">
            <v>20016</v>
          </cell>
          <cell r="D415" t="str">
            <v>寡黙な翼竜の侵攻</v>
          </cell>
          <cell r="E415" t="str">
            <v>ギリシャ神話01</v>
          </cell>
          <cell r="F415">
            <v>3</v>
          </cell>
          <cell r="G415" t="str">
            <v>ja</v>
          </cell>
          <cell r="H415" t="str">
            <v>【上級】寡黙な翼竜の侵攻</v>
          </cell>
          <cell r="I415" t="str">
            <v>上級</v>
          </cell>
          <cell r="J415">
            <v>739</v>
          </cell>
          <cell r="K415">
            <v>20</v>
          </cell>
          <cell r="L415">
            <v>2000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polygon</v>
          </cell>
          <cell r="T415">
            <v>1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13</v>
          </cell>
          <cell r="AD415">
            <v>6</v>
          </cell>
          <cell r="AE415" t="str">
            <v>everyone</v>
          </cell>
        </row>
        <row r="416">
          <cell r="A416" t="str">
            <v>20017_1</v>
          </cell>
          <cell r="B416">
            <v>3</v>
          </cell>
          <cell r="C416">
            <v>20017</v>
          </cell>
          <cell r="D416" t="str">
            <v>隻腕の提督</v>
          </cell>
          <cell r="E416" t="str">
            <v>フランス革命01</v>
          </cell>
          <cell r="F416">
            <v>1</v>
          </cell>
          <cell r="G416" t="str">
            <v>ja</v>
          </cell>
          <cell r="H416" t="str">
            <v>【初級】隻腕の提督</v>
          </cell>
          <cell r="I416" t="str">
            <v>初級</v>
          </cell>
          <cell r="J416">
            <v>932</v>
          </cell>
          <cell r="K416">
            <v>8</v>
          </cell>
          <cell r="L416">
            <v>384</v>
          </cell>
          <cell r="M416">
            <v>1</v>
          </cell>
          <cell r="N416">
            <v>1</v>
          </cell>
          <cell r="O416">
            <v>1</v>
          </cell>
          <cell r="P416">
            <v>0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24</v>
          </cell>
          <cell r="AD416">
            <v>6</v>
          </cell>
          <cell r="AE416" t="str">
            <v>everyone</v>
          </cell>
        </row>
        <row r="417">
          <cell r="A417" t="str">
            <v>20017_2</v>
          </cell>
          <cell r="B417">
            <v>3</v>
          </cell>
          <cell r="C417">
            <v>20017</v>
          </cell>
          <cell r="D417" t="str">
            <v>隻腕の提督</v>
          </cell>
          <cell r="E417" t="str">
            <v>フランス革命01</v>
          </cell>
          <cell r="F417">
            <v>2</v>
          </cell>
          <cell r="G417" t="str">
            <v>ja</v>
          </cell>
          <cell r="H417" t="str">
            <v>【中級】隻腕の提督</v>
          </cell>
          <cell r="I417" t="str">
            <v>中級</v>
          </cell>
          <cell r="J417">
            <v>932</v>
          </cell>
          <cell r="K417">
            <v>15</v>
          </cell>
          <cell r="L417">
            <v>1200</v>
          </cell>
          <cell r="M417">
            <v>1</v>
          </cell>
          <cell r="N417">
            <v>1</v>
          </cell>
          <cell r="O417">
            <v>1</v>
          </cell>
          <cell r="P417">
            <v>0</v>
          </cell>
          <cell r="Q417">
            <v>1</v>
          </cell>
          <cell r="R417">
            <v>3</v>
          </cell>
          <cell r="S417" t="str">
            <v>none</v>
          </cell>
          <cell r="T417">
            <v>0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24</v>
          </cell>
          <cell r="AD417">
            <v>6</v>
          </cell>
          <cell r="AE417" t="str">
            <v>everyone</v>
          </cell>
        </row>
        <row r="418">
          <cell r="A418" t="str">
            <v>20017_3</v>
          </cell>
          <cell r="B418">
            <v>3</v>
          </cell>
          <cell r="C418">
            <v>20017</v>
          </cell>
          <cell r="D418" t="str">
            <v>隻腕の提督</v>
          </cell>
          <cell r="E418" t="str">
            <v>フランス革命01</v>
          </cell>
          <cell r="F418">
            <v>3</v>
          </cell>
          <cell r="G418" t="str">
            <v>ja</v>
          </cell>
          <cell r="H418" t="str">
            <v>【上級】隻腕の提督</v>
          </cell>
          <cell r="I418" t="str">
            <v>上級</v>
          </cell>
          <cell r="J418">
            <v>932</v>
          </cell>
          <cell r="K418">
            <v>20</v>
          </cell>
          <cell r="L418">
            <v>2000</v>
          </cell>
          <cell r="M418">
            <v>1</v>
          </cell>
          <cell r="N418">
            <v>1</v>
          </cell>
          <cell r="O418">
            <v>1</v>
          </cell>
          <cell r="P418">
            <v>0</v>
          </cell>
          <cell r="Q418">
            <v>1</v>
          </cell>
          <cell r="R418">
            <v>3</v>
          </cell>
          <cell r="S418" t="str">
            <v>polygon</v>
          </cell>
          <cell r="T418">
            <v>1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24</v>
          </cell>
          <cell r="AD418">
            <v>6</v>
          </cell>
          <cell r="AE418" t="str">
            <v>everyone</v>
          </cell>
        </row>
        <row r="419">
          <cell r="A419" t="str">
            <v>20018_1</v>
          </cell>
          <cell r="B419">
            <v>3</v>
          </cell>
          <cell r="C419">
            <v>20018</v>
          </cell>
          <cell r="D419" t="str">
            <v>魂を屠る黒影</v>
          </cell>
          <cell r="E419" t="str">
            <v>エジプト01</v>
          </cell>
          <cell r="F419">
            <v>1</v>
          </cell>
          <cell r="G419" t="str">
            <v>ja</v>
          </cell>
          <cell r="H419" t="str">
            <v>【初級】魂を屠る黒影</v>
          </cell>
          <cell r="I419" t="str">
            <v>初級</v>
          </cell>
          <cell r="J419">
            <v>1005</v>
          </cell>
          <cell r="K419">
            <v>8</v>
          </cell>
          <cell r="L419">
            <v>384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7</v>
          </cell>
          <cell r="AD419">
            <v>6</v>
          </cell>
          <cell r="AE419" t="str">
            <v>everyone</v>
          </cell>
        </row>
        <row r="420">
          <cell r="A420" t="str">
            <v>20018_2</v>
          </cell>
          <cell r="B420">
            <v>3</v>
          </cell>
          <cell r="C420">
            <v>20018</v>
          </cell>
          <cell r="D420" t="str">
            <v>魂を屠る黒影</v>
          </cell>
          <cell r="E420" t="str">
            <v>エジプト01</v>
          </cell>
          <cell r="F420">
            <v>2</v>
          </cell>
          <cell r="G420" t="str">
            <v>ja</v>
          </cell>
          <cell r="H420" t="str">
            <v>【中級】魂を屠る黒影</v>
          </cell>
          <cell r="I420" t="str">
            <v>中級</v>
          </cell>
          <cell r="J420">
            <v>1005</v>
          </cell>
          <cell r="K420">
            <v>15</v>
          </cell>
          <cell r="L420">
            <v>1200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none</v>
          </cell>
          <cell r="T420">
            <v>0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7</v>
          </cell>
          <cell r="AD420">
            <v>6</v>
          </cell>
          <cell r="AE420" t="str">
            <v>everyone</v>
          </cell>
        </row>
        <row r="421">
          <cell r="A421" t="str">
            <v>20018_3</v>
          </cell>
          <cell r="B421">
            <v>3</v>
          </cell>
          <cell r="C421">
            <v>20018</v>
          </cell>
          <cell r="D421" t="str">
            <v>魂を屠る黒影</v>
          </cell>
          <cell r="E421" t="str">
            <v>エジプト01</v>
          </cell>
          <cell r="F421">
            <v>3</v>
          </cell>
          <cell r="G421" t="str">
            <v>ja</v>
          </cell>
          <cell r="H421" t="str">
            <v>【上級】魂を屠る黒影</v>
          </cell>
          <cell r="I421" t="str">
            <v>上級</v>
          </cell>
          <cell r="J421">
            <v>1005</v>
          </cell>
          <cell r="K421">
            <v>20</v>
          </cell>
          <cell r="L421">
            <v>2000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polygon</v>
          </cell>
          <cell r="T421">
            <v>1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7</v>
          </cell>
          <cell r="AD421">
            <v>6</v>
          </cell>
          <cell r="AE421" t="str">
            <v>everyone</v>
          </cell>
        </row>
        <row r="422">
          <cell r="A422" t="str">
            <v>30001_1</v>
          </cell>
          <cell r="B422">
            <v>3</v>
          </cell>
          <cell r="C422">
            <v>30001</v>
          </cell>
          <cell r="D422" t="str">
            <v>ハンター・オブ・ハンター</v>
          </cell>
          <cell r="E422" t="str">
            <v>ドロップイベント1-1（マルチ専用）</v>
          </cell>
          <cell r="F422">
            <v>1</v>
          </cell>
          <cell r="G422" t="str">
            <v>ja</v>
          </cell>
          <cell r="H422" t="str">
            <v xml:space="preserve">【中級】ハンター・オブ・ハンター </v>
          </cell>
          <cell r="I422" t="str">
            <v>中級</v>
          </cell>
          <cell r="J422">
            <v>270</v>
          </cell>
          <cell r="K422">
            <v>15</v>
          </cell>
          <cell r="L422">
            <v>1200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7</v>
          </cell>
          <cell r="AD422">
            <v>6</v>
          </cell>
          <cell r="AE422" t="str">
            <v>everyone</v>
          </cell>
        </row>
        <row r="423">
          <cell r="A423" t="str">
            <v>30001_2</v>
          </cell>
          <cell r="B423">
            <v>3</v>
          </cell>
          <cell r="C423">
            <v>30001</v>
          </cell>
          <cell r="D423" t="str">
            <v>ハンター・オブ・ハンター</v>
          </cell>
          <cell r="E423" t="str">
            <v>ドロップイベント1-1（マルチ専用）</v>
          </cell>
          <cell r="F423">
            <v>2</v>
          </cell>
          <cell r="G423" t="str">
            <v>ja</v>
          </cell>
          <cell r="H423" t="str">
            <v xml:space="preserve">【上級】ハンター・オブ・ハンター </v>
          </cell>
          <cell r="I423" t="str">
            <v>上級</v>
          </cell>
          <cell r="J423">
            <v>270</v>
          </cell>
          <cell r="K423">
            <v>20</v>
          </cell>
          <cell r="L423">
            <v>2000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none</v>
          </cell>
          <cell r="T423">
            <v>0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7</v>
          </cell>
          <cell r="AD423">
            <v>6</v>
          </cell>
          <cell r="AE423" t="str">
            <v>everyone</v>
          </cell>
        </row>
        <row r="424">
          <cell r="A424" t="str">
            <v>30001_3</v>
          </cell>
          <cell r="B424">
            <v>3</v>
          </cell>
          <cell r="C424">
            <v>30001</v>
          </cell>
          <cell r="D424" t="str">
            <v>ハンター・オブ・ハンター</v>
          </cell>
          <cell r="E424" t="str">
            <v>ドロップイベント1-1（マルチ専用）</v>
          </cell>
          <cell r="F424">
            <v>3</v>
          </cell>
          <cell r="G424" t="str">
            <v>ja</v>
          </cell>
          <cell r="H424" t="str">
            <v xml:space="preserve">【超級】ハンター・オブ・ハンター </v>
          </cell>
          <cell r="I424" t="str">
            <v>超級</v>
          </cell>
          <cell r="J424">
            <v>271</v>
          </cell>
          <cell r="K424">
            <v>30</v>
          </cell>
          <cell r="L424">
            <v>3300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3</v>
          </cell>
          <cell r="S424" t="str">
            <v>polygon</v>
          </cell>
          <cell r="T424">
            <v>1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7</v>
          </cell>
          <cell r="AD424">
            <v>6</v>
          </cell>
          <cell r="AE424" t="str">
            <v>everyone</v>
          </cell>
        </row>
        <row r="425">
          <cell r="A425" t="str">
            <v>30002_1</v>
          </cell>
          <cell r="B425">
            <v>3</v>
          </cell>
          <cell r="C425">
            <v>30002</v>
          </cell>
          <cell r="D425" t="str">
            <v>トリックスター</v>
          </cell>
          <cell r="E425" t="str">
            <v>ドロップイベント1-2（マルチ専用）</v>
          </cell>
          <cell r="F425">
            <v>1</v>
          </cell>
          <cell r="G425" t="str">
            <v>ja</v>
          </cell>
          <cell r="H425" t="str">
            <v xml:space="preserve">【中級】トリックスター </v>
          </cell>
          <cell r="I425" t="str">
            <v>中級</v>
          </cell>
          <cell r="J425">
            <v>272</v>
          </cell>
          <cell r="K425">
            <v>15</v>
          </cell>
          <cell r="L425">
            <v>1200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3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17</v>
          </cell>
          <cell r="AD425">
            <v>6</v>
          </cell>
          <cell r="AE425" t="str">
            <v>everyone</v>
          </cell>
        </row>
        <row r="426">
          <cell r="A426" t="str">
            <v>30002_2</v>
          </cell>
          <cell r="B426">
            <v>3</v>
          </cell>
          <cell r="C426">
            <v>30002</v>
          </cell>
          <cell r="D426" t="str">
            <v>トリックスター</v>
          </cell>
          <cell r="E426" t="str">
            <v>ドロップイベント1-2（マルチ専用）</v>
          </cell>
          <cell r="F426">
            <v>2</v>
          </cell>
          <cell r="G426" t="str">
            <v>ja</v>
          </cell>
          <cell r="H426" t="str">
            <v xml:space="preserve">【上級】トリックスター </v>
          </cell>
          <cell r="I426" t="str">
            <v>上級</v>
          </cell>
          <cell r="J426">
            <v>272</v>
          </cell>
          <cell r="K426">
            <v>20</v>
          </cell>
          <cell r="L426">
            <v>2000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3</v>
          </cell>
          <cell r="S426" t="str">
            <v>none</v>
          </cell>
          <cell r="T426">
            <v>0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17</v>
          </cell>
          <cell r="AD426">
            <v>6</v>
          </cell>
          <cell r="AE426" t="str">
            <v>everyone</v>
          </cell>
        </row>
        <row r="427">
          <cell r="A427" t="str">
            <v>30002_3</v>
          </cell>
          <cell r="B427">
            <v>3</v>
          </cell>
          <cell r="C427">
            <v>30002</v>
          </cell>
          <cell r="D427" t="str">
            <v>トリックスター</v>
          </cell>
          <cell r="E427" t="str">
            <v>ドロップイベント1-2（マルチ専用）</v>
          </cell>
          <cell r="F427">
            <v>3</v>
          </cell>
          <cell r="G427" t="str">
            <v>ja</v>
          </cell>
          <cell r="H427" t="str">
            <v xml:space="preserve">【超級】トリックスター </v>
          </cell>
          <cell r="I427" t="str">
            <v>超級</v>
          </cell>
          <cell r="J427">
            <v>273</v>
          </cell>
          <cell r="K427">
            <v>30</v>
          </cell>
          <cell r="L427">
            <v>3300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polygon</v>
          </cell>
          <cell r="T427">
            <v>1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17</v>
          </cell>
          <cell r="AD427">
            <v>6</v>
          </cell>
          <cell r="AE427" t="str">
            <v>everyone</v>
          </cell>
        </row>
        <row r="428">
          <cell r="A428" t="str">
            <v>30003_1</v>
          </cell>
          <cell r="B428">
            <v>3</v>
          </cell>
          <cell r="C428">
            <v>30003</v>
          </cell>
          <cell r="D428" t="str">
            <v>打ち下ろされる砕棒</v>
          </cell>
          <cell r="E428" t="str">
            <v>ドロップイベント1-3（マルチ専用）</v>
          </cell>
          <cell r="F428">
            <v>1</v>
          </cell>
          <cell r="G428" t="str">
            <v>ja</v>
          </cell>
          <cell r="H428" t="str">
            <v xml:space="preserve">【中級】打ち下ろされる砕棒 </v>
          </cell>
          <cell r="I428" t="str">
            <v>中級</v>
          </cell>
          <cell r="J428">
            <v>274</v>
          </cell>
          <cell r="K428">
            <v>15</v>
          </cell>
          <cell r="L428">
            <v>1200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20</v>
          </cell>
          <cell r="AD428">
            <v>6</v>
          </cell>
          <cell r="AE428" t="str">
            <v>everyone</v>
          </cell>
        </row>
        <row r="429">
          <cell r="A429" t="str">
            <v>30003_2</v>
          </cell>
          <cell r="B429">
            <v>3</v>
          </cell>
          <cell r="C429">
            <v>30003</v>
          </cell>
          <cell r="D429" t="str">
            <v>打ち下ろされる砕棒</v>
          </cell>
          <cell r="E429" t="str">
            <v>ドロップイベント1-3（マルチ専用）</v>
          </cell>
          <cell r="F429">
            <v>2</v>
          </cell>
          <cell r="G429" t="str">
            <v>ja</v>
          </cell>
          <cell r="H429" t="str">
            <v>【上級】打ち下ろされる砕棒</v>
          </cell>
          <cell r="I429" t="str">
            <v>上級</v>
          </cell>
          <cell r="J429">
            <v>274</v>
          </cell>
          <cell r="K429">
            <v>20</v>
          </cell>
          <cell r="L429">
            <v>2000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none</v>
          </cell>
          <cell r="T429">
            <v>0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20</v>
          </cell>
          <cell r="AD429">
            <v>6</v>
          </cell>
          <cell r="AE429" t="str">
            <v>everyone</v>
          </cell>
        </row>
        <row r="430">
          <cell r="A430" t="str">
            <v>30003_3</v>
          </cell>
          <cell r="B430">
            <v>3</v>
          </cell>
          <cell r="C430">
            <v>30003</v>
          </cell>
          <cell r="D430" t="str">
            <v>打ち下ろされる砕棒</v>
          </cell>
          <cell r="E430" t="str">
            <v>ドロップイベント1-3（マルチ専用）</v>
          </cell>
          <cell r="F430">
            <v>3</v>
          </cell>
          <cell r="G430" t="str">
            <v>ja</v>
          </cell>
          <cell r="H430" t="str">
            <v xml:space="preserve">【超級】打ち下ろされる砕棒 </v>
          </cell>
          <cell r="I430" t="str">
            <v>超級</v>
          </cell>
          <cell r="J430">
            <v>275</v>
          </cell>
          <cell r="K430">
            <v>30</v>
          </cell>
          <cell r="L430">
            <v>3300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3</v>
          </cell>
          <cell r="S430" t="str">
            <v>polygon</v>
          </cell>
          <cell r="T430">
            <v>1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20</v>
          </cell>
          <cell r="AD430">
            <v>6</v>
          </cell>
          <cell r="AE430" t="str">
            <v>everyone</v>
          </cell>
        </row>
        <row r="431">
          <cell r="A431" t="str">
            <v>30004_1</v>
          </cell>
          <cell r="B431">
            <v>3</v>
          </cell>
          <cell r="C431">
            <v>30004</v>
          </cell>
          <cell r="D431" t="str">
            <v>危険な仲裁者</v>
          </cell>
          <cell r="E431" t="str">
            <v>ドロップイベント1-4（マルチ専用）</v>
          </cell>
          <cell r="F431">
            <v>1</v>
          </cell>
          <cell r="G431" t="str">
            <v>ja</v>
          </cell>
          <cell r="H431" t="str">
            <v xml:space="preserve">【中級】危険な仲裁者 </v>
          </cell>
          <cell r="I431" t="str">
            <v>中級</v>
          </cell>
          <cell r="J431">
            <v>276</v>
          </cell>
          <cell r="K431">
            <v>15</v>
          </cell>
          <cell r="L431">
            <v>1200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3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14</v>
          </cell>
          <cell r="AD431">
            <v>6</v>
          </cell>
          <cell r="AE431" t="str">
            <v>everyone</v>
          </cell>
        </row>
        <row r="432">
          <cell r="A432" t="str">
            <v>30004_2</v>
          </cell>
          <cell r="B432">
            <v>3</v>
          </cell>
          <cell r="C432">
            <v>30004</v>
          </cell>
          <cell r="D432" t="str">
            <v>危険な仲裁者</v>
          </cell>
          <cell r="E432" t="str">
            <v>ドロップイベント1-4（マルチ専用）</v>
          </cell>
          <cell r="F432">
            <v>2</v>
          </cell>
          <cell r="G432" t="str">
            <v>ja</v>
          </cell>
          <cell r="H432" t="str">
            <v xml:space="preserve">【上級】危険な仲裁者 </v>
          </cell>
          <cell r="I432" t="str">
            <v>上級</v>
          </cell>
          <cell r="J432">
            <v>276</v>
          </cell>
          <cell r="K432">
            <v>20</v>
          </cell>
          <cell r="L432">
            <v>2000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3</v>
          </cell>
          <cell r="S432" t="str">
            <v>none</v>
          </cell>
          <cell r="T432">
            <v>0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14</v>
          </cell>
          <cell r="AD432">
            <v>6</v>
          </cell>
          <cell r="AE432" t="str">
            <v>everyone</v>
          </cell>
        </row>
        <row r="433">
          <cell r="A433" t="str">
            <v>30004_3</v>
          </cell>
          <cell r="B433">
            <v>3</v>
          </cell>
          <cell r="C433">
            <v>30004</v>
          </cell>
          <cell r="D433" t="str">
            <v>危険な仲裁者</v>
          </cell>
          <cell r="E433" t="str">
            <v>ドロップイベント1-4（マルチ専用）</v>
          </cell>
          <cell r="F433">
            <v>3</v>
          </cell>
          <cell r="G433" t="str">
            <v>ja</v>
          </cell>
          <cell r="H433" t="str">
            <v xml:space="preserve">【超級】危険な仲裁者 </v>
          </cell>
          <cell r="I433" t="str">
            <v>超級</v>
          </cell>
          <cell r="J433">
            <v>277</v>
          </cell>
          <cell r="K433">
            <v>30</v>
          </cell>
          <cell r="L433">
            <v>3300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1</v>
          </cell>
          <cell r="R433">
            <v>3</v>
          </cell>
          <cell r="S433" t="str">
            <v>polygon</v>
          </cell>
          <cell r="T433">
            <v>1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14</v>
          </cell>
          <cell r="AD433">
            <v>6</v>
          </cell>
          <cell r="AE433" t="str">
            <v>everyone</v>
          </cell>
        </row>
        <row r="434">
          <cell r="A434" t="str">
            <v>30005_1</v>
          </cell>
          <cell r="B434">
            <v>3</v>
          </cell>
          <cell r="C434">
            <v>30005</v>
          </cell>
          <cell r="D434" t="str">
            <v>ニンゲンにしてあげる☆</v>
          </cell>
          <cell r="E434" t="str">
            <v>ドロップイベント2-1（マルチ専用）</v>
          </cell>
          <cell r="F434">
            <v>1</v>
          </cell>
          <cell r="G434" t="str">
            <v>ja</v>
          </cell>
          <cell r="H434" t="str">
            <v xml:space="preserve">【中級】ニンゲンにしてあげる </v>
          </cell>
          <cell r="I434" t="str">
            <v>中級</v>
          </cell>
          <cell r="J434">
            <v>290</v>
          </cell>
          <cell r="K434">
            <v>15</v>
          </cell>
          <cell r="L434">
            <v>1200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1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11</v>
          </cell>
          <cell r="AD434">
            <v>6</v>
          </cell>
          <cell r="AE434" t="str">
            <v>everyone</v>
          </cell>
        </row>
        <row r="435">
          <cell r="A435" t="str">
            <v>30005_2</v>
          </cell>
          <cell r="B435">
            <v>3</v>
          </cell>
          <cell r="C435">
            <v>30005</v>
          </cell>
          <cell r="D435" t="str">
            <v>ニンゲンにしてあげる☆</v>
          </cell>
          <cell r="E435" t="str">
            <v>ドロップイベント2-1（マルチ専用）</v>
          </cell>
          <cell r="F435">
            <v>2</v>
          </cell>
          <cell r="G435" t="str">
            <v>ja</v>
          </cell>
          <cell r="H435" t="str">
            <v xml:space="preserve">【上級】ニンゲンにしてあげる </v>
          </cell>
          <cell r="I435" t="str">
            <v>上級</v>
          </cell>
          <cell r="J435">
            <v>290</v>
          </cell>
          <cell r="K435">
            <v>20</v>
          </cell>
          <cell r="L435">
            <v>2000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1</v>
          </cell>
          <cell r="R435">
            <v>3</v>
          </cell>
          <cell r="S435" t="str">
            <v>none</v>
          </cell>
          <cell r="T435">
            <v>0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11</v>
          </cell>
          <cell r="AD435">
            <v>6</v>
          </cell>
          <cell r="AE435" t="str">
            <v>everyone</v>
          </cell>
        </row>
        <row r="436">
          <cell r="A436" t="str">
            <v>30005_3</v>
          </cell>
          <cell r="B436">
            <v>3</v>
          </cell>
          <cell r="C436">
            <v>30005</v>
          </cell>
          <cell r="D436" t="str">
            <v>ニンゲンにしてあげる☆</v>
          </cell>
          <cell r="E436" t="str">
            <v>ドロップイベント2-1（マルチ専用）</v>
          </cell>
          <cell r="F436">
            <v>3</v>
          </cell>
          <cell r="G436" t="str">
            <v>ja</v>
          </cell>
          <cell r="H436" t="str">
            <v>【超級】ニンゲンにしてあげる</v>
          </cell>
          <cell r="I436" t="str">
            <v>超級</v>
          </cell>
          <cell r="J436">
            <v>291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polygon</v>
          </cell>
          <cell r="T436">
            <v>1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11</v>
          </cell>
          <cell r="AD436">
            <v>6</v>
          </cell>
          <cell r="AE436" t="str">
            <v>everyone</v>
          </cell>
        </row>
        <row r="437">
          <cell r="A437" t="str">
            <v>30006_1</v>
          </cell>
          <cell r="B437">
            <v>3</v>
          </cell>
          <cell r="C437">
            <v>30006</v>
          </cell>
          <cell r="D437" t="str">
            <v>それはお前を食べるためさ</v>
          </cell>
          <cell r="E437" t="str">
            <v>ドロップイベント2-3（マルチ専用）</v>
          </cell>
          <cell r="F437">
            <v>1</v>
          </cell>
          <cell r="G437" t="str">
            <v>ja</v>
          </cell>
          <cell r="H437" t="str">
            <v>【中級】それはお前を食べるためさ</v>
          </cell>
          <cell r="I437" t="str">
            <v>中級</v>
          </cell>
          <cell r="J437">
            <v>294</v>
          </cell>
          <cell r="K437">
            <v>15</v>
          </cell>
          <cell r="L437">
            <v>1200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none</v>
          </cell>
          <cell r="T437">
            <v>0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7</v>
          </cell>
          <cell r="AD437">
            <v>6</v>
          </cell>
          <cell r="AE437" t="str">
            <v>everyone</v>
          </cell>
        </row>
        <row r="438">
          <cell r="A438" t="str">
            <v>30006_2</v>
          </cell>
          <cell r="B438">
            <v>3</v>
          </cell>
          <cell r="C438">
            <v>30006</v>
          </cell>
          <cell r="D438" t="str">
            <v>それはお前を食べるためさ</v>
          </cell>
          <cell r="E438" t="str">
            <v>ドロップイベント2-3（マルチ専用）</v>
          </cell>
          <cell r="F438">
            <v>2</v>
          </cell>
          <cell r="G438" t="str">
            <v>ja</v>
          </cell>
          <cell r="H438" t="str">
            <v>【上級】それはお前を食べるためさ</v>
          </cell>
          <cell r="I438" t="str">
            <v>上級</v>
          </cell>
          <cell r="J438">
            <v>294</v>
          </cell>
          <cell r="K438">
            <v>20</v>
          </cell>
          <cell r="L438">
            <v>2000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7</v>
          </cell>
          <cell r="AD438">
            <v>6</v>
          </cell>
          <cell r="AE438" t="str">
            <v>everyone</v>
          </cell>
        </row>
        <row r="439">
          <cell r="A439" t="str">
            <v>30006_3</v>
          </cell>
          <cell r="B439">
            <v>3</v>
          </cell>
          <cell r="C439">
            <v>30006</v>
          </cell>
          <cell r="D439" t="str">
            <v>それはお前を食べるためさ</v>
          </cell>
          <cell r="E439" t="str">
            <v>ドロップイベント2-3（マルチ専用）</v>
          </cell>
          <cell r="F439">
            <v>3</v>
          </cell>
          <cell r="G439" t="str">
            <v>ja</v>
          </cell>
          <cell r="H439" t="str">
            <v>【超級】それはお前を食べるためさ</v>
          </cell>
          <cell r="I439" t="str">
            <v>超級</v>
          </cell>
          <cell r="J439">
            <v>295</v>
          </cell>
          <cell r="K439">
            <v>30</v>
          </cell>
          <cell r="L439">
            <v>3300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7</v>
          </cell>
          <cell r="AD439">
            <v>6</v>
          </cell>
          <cell r="AE439" t="str">
            <v>everyone</v>
          </cell>
        </row>
        <row r="440">
          <cell r="A440" t="str">
            <v>30007_1</v>
          </cell>
          <cell r="B440">
            <v>3</v>
          </cell>
          <cell r="C440">
            <v>30007</v>
          </cell>
          <cell r="D440" t="str">
            <v>ガラスの靴は私のもの</v>
          </cell>
          <cell r="E440" t="str">
            <v>ドロップイベント2-2（マルチ専用）</v>
          </cell>
          <cell r="F440">
            <v>1</v>
          </cell>
          <cell r="G440" t="str">
            <v>ja</v>
          </cell>
          <cell r="H440" t="str">
            <v xml:space="preserve">【中級】ガラスの靴は私のもの </v>
          </cell>
          <cell r="I440" t="str">
            <v>中級</v>
          </cell>
          <cell r="J440">
            <v>292</v>
          </cell>
          <cell r="K440">
            <v>15</v>
          </cell>
          <cell r="L440">
            <v>1200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9</v>
          </cell>
          <cell r="AD440">
            <v>6</v>
          </cell>
          <cell r="AE440" t="str">
            <v>everyone</v>
          </cell>
        </row>
        <row r="441">
          <cell r="A441" t="str">
            <v>30007_2</v>
          </cell>
          <cell r="B441">
            <v>3</v>
          </cell>
          <cell r="C441">
            <v>30007</v>
          </cell>
          <cell r="D441" t="str">
            <v>ガラスの靴は私のもの</v>
          </cell>
          <cell r="E441" t="str">
            <v>ドロップイベント2-2（マルチ専用）</v>
          </cell>
          <cell r="F441">
            <v>2</v>
          </cell>
          <cell r="G441" t="str">
            <v>ja</v>
          </cell>
          <cell r="H441" t="str">
            <v>【上級】ガラスの靴は私のもの</v>
          </cell>
          <cell r="I441" t="str">
            <v>上級</v>
          </cell>
          <cell r="J441">
            <v>292</v>
          </cell>
          <cell r="K441">
            <v>20</v>
          </cell>
          <cell r="L441">
            <v>2000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none</v>
          </cell>
          <cell r="T441">
            <v>0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9</v>
          </cell>
          <cell r="AD441">
            <v>6</v>
          </cell>
          <cell r="AE441" t="str">
            <v>everyone</v>
          </cell>
        </row>
        <row r="442">
          <cell r="A442" t="str">
            <v>30007_3</v>
          </cell>
          <cell r="B442">
            <v>3</v>
          </cell>
          <cell r="C442">
            <v>30007</v>
          </cell>
          <cell r="D442" t="str">
            <v>ガラスの靴は私のもの</v>
          </cell>
          <cell r="E442" t="str">
            <v>ドロップイベント2-2（マルチ専用）</v>
          </cell>
          <cell r="F442">
            <v>3</v>
          </cell>
          <cell r="G442" t="str">
            <v>ja</v>
          </cell>
          <cell r="H442" t="str">
            <v xml:space="preserve">【超級】ガラスの靴は私のもの </v>
          </cell>
          <cell r="I442" t="str">
            <v>超級</v>
          </cell>
          <cell r="J442">
            <v>293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polygon</v>
          </cell>
          <cell r="T442">
            <v>1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9</v>
          </cell>
          <cell r="AD442">
            <v>6</v>
          </cell>
          <cell r="AE442" t="str">
            <v>everyone</v>
          </cell>
        </row>
        <row r="443">
          <cell r="A443" t="str">
            <v>30008_1</v>
          </cell>
          <cell r="B443">
            <v>3</v>
          </cell>
          <cell r="C443">
            <v>30008</v>
          </cell>
          <cell r="D443" t="str">
            <v>わたしの嫁を返してもらおう</v>
          </cell>
          <cell r="E443" t="str">
            <v>ドロップイベント2-4（マルチ専用）</v>
          </cell>
          <cell r="F443">
            <v>1</v>
          </cell>
          <cell r="G443" t="str">
            <v>ja</v>
          </cell>
          <cell r="H443" t="str">
            <v>【中級】わたしの嫁を返してもらおう</v>
          </cell>
          <cell r="I443" t="str">
            <v>中級</v>
          </cell>
          <cell r="J443">
            <v>288</v>
          </cell>
          <cell r="K443">
            <v>15</v>
          </cell>
          <cell r="L443">
            <v>1200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none</v>
          </cell>
          <cell r="T443">
            <v>0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22</v>
          </cell>
          <cell r="AD443">
            <v>6</v>
          </cell>
          <cell r="AE443" t="str">
            <v>everyone</v>
          </cell>
        </row>
        <row r="444">
          <cell r="A444" t="str">
            <v>30008_2</v>
          </cell>
          <cell r="B444">
            <v>3</v>
          </cell>
          <cell r="C444">
            <v>30008</v>
          </cell>
          <cell r="D444" t="str">
            <v>わたしの嫁を返してもらおう</v>
          </cell>
          <cell r="E444" t="str">
            <v>ドロップイベント2-4（マルチ専用）</v>
          </cell>
          <cell r="F444">
            <v>2</v>
          </cell>
          <cell r="G444" t="str">
            <v>ja</v>
          </cell>
          <cell r="H444" t="str">
            <v>【上級】わたしの嫁を返してもらおう</v>
          </cell>
          <cell r="I444" t="str">
            <v>上級</v>
          </cell>
          <cell r="J444">
            <v>288</v>
          </cell>
          <cell r="K444">
            <v>20</v>
          </cell>
          <cell r="L444">
            <v>2000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22</v>
          </cell>
          <cell r="AD444">
            <v>6</v>
          </cell>
          <cell r="AE444" t="str">
            <v>everyone</v>
          </cell>
        </row>
        <row r="445">
          <cell r="A445" t="str">
            <v>30008_3</v>
          </cell>
          <cell r="B445">
            <v>3</v>
          </cell>
          <cell r="C445">
            <v>30008</v>
          </cell>
          <cell r="D445" t="str">
            <v>わたしの嫁を返してもらおう</v>
          </cell>
          <cell r="E445" t="str">
            <v>ドロップイベント2-4（マルチ専用）</v>
          </cell>
          <cell r="F445">
            <v>3</v>
          </cell>
          <cell r="G445" t="str">
            <v>ja</v>
          </cell>
          <cell r="H445" t="str">
            <v>【超級】わたしの嫁を返してもらおう</v>
          </cell>
          <cell r="I445" t="str">
            <v>超級</v>
          </cell>
          <cell r="J445">
            <v>289</v>
          </cell>
          <cell r="K445">
            <v>30</v>
          </cell>
          <cell r="L445">
            <v>3300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22</v>
          </cell>
          <cell r="AD445">
            <v>6</v>
          </cell>
          <cell r="AE445" t="str">
            <v>everyone</v>
          </cell>
        </row>
        <row r="446">
          <cell r="A446" t="str">
            <v>30009_3</v>
          </cell>
          <cell r="B446">
            <v>0</v>
          </cell>
          <cell r="C446">
            <v>30009</v>
          </cell>
          <cell r="D446" t="str">
            <v>復活の捕食者</v>
          </cell>
          <cell r="E446" t="str">
            <v>ドロップイベント3（マルチ専用）</v>
          </cell>
          <cell r="F446">
            <v>3</v>
          </cell>
          <cell r="G446" t="str">
            <v>ja</v>
          </cell>
          <cell r="H446" t="str">
            <v>【上級】復活の捕食者</v>
          </cell>
          <cell r="I446" t="str">
            <v>上級</v>
          </cell>
          <cell r="J446">
            <v>312</v>
          </cell>
          <cell r="K446">
            <v>20</v>
          </cell>
          <cell r="L446">
            <v>2000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1</v>
          </cell>
          <cell r="R446">
            <v>2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8</v>
          </cell>
          <cell r="AD446">
            <v>6</v>
          </cell>
          <cell r="AE446" t="str">
            <v>everyone</v>
          </cell>
        </row>
        <row r="447">
          <cell r="A447" t="str">
            <v>30009_1</v>
          </cell>
          <cell r="B447">
            <v>3</v>
          </cell>
          <cell r="C447">
            <v>30009</v>
          </cell>
          <cell r="D447" t="str">
            <v>復活の捕食者</v>
          </cell>
          <cell r="E447" t="str">
            <v>ドロップイベント3（マルチ専用）</v>
          </cell>
          <cell r="F447">
            <v>1</v>
          </cell>
          <cell r="G447" t="str">
            <v>ja</v>
          </cell>
          <cell r="H447" t="str">
            <v>【超級】復活の捕食者</v>
          </cell>
          <cell r="I447" t="str">
            <v>超級</v>
          </cell>
          <cell r="J447">
            <v>312</v>
          </cell>
          <cell r="K447">
            <v>30</v>
          </cell>
          <cell r="L447">
            <v>3300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1</v>
          </cell>
          <cell r="R447">
            <v>2</v>
          </cell>
          <cell r="S447" t="str">
            <v>none</v>
          </cell>
          <cell r="T447">
            <v>0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8</v>
          </cell>
          <cell r="AD447">
            <v>6</v>
          </cell>
          <cell r="AE447" t="str">
            <v>everyone</v>
          </cell>
        </row>
        <row r="448">
          <cell r="A448" t="str">
            <v>30009_2</v>
          </cell>
          <cell r="B448">
            <v>3</v>
          </cell>
          <cell r="C448">
            <v>30009</v>
          </cell>
          <cell r="D448" t="str">
            <v>復活の捕食者</v>
          </cell>
          <cell r="E448" t="str">
            <v>ドロップイベント3（マルチ専用）</v>
          </cell>
          <cell r="F448">
            <v>2</v>
          </cell>
          <cell r="G448" t="str">
            <v>ja</v>
          </cell>
          <cell r="H448" t="str">
            <v>【超絶級】復活の捕食者</v>
          </cell>
          <cell r="I448" t="str">
            <v>超絶級</v>
          </cell>
          <cell r="J448">
            <v>312</v>
          </cell>
          <cell r="K448">
            <v>35</v>
          </cell>
          <cell r="L448">
            <v>4200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2</v>
          </cell>
          <cell r="S448" t="str">
            <v>polygon</v>
          </cell>
          <cell r="T448">
            <v>1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8</v>
          </cell>
          <cell r="AD448">
            <v>6</v>
          </cell>
          <cell r="AE448" t="str">
            <v>everyone</v>
          </cell>
        </row>
        <row r="449">
          <cell r="A449" t="str">
            <v>30010_1</v>
          </cell>
          <cell r="B449">
            <v>3</v>
          </cell>
          <cell r="C449">
            <v>30010</v>
          </cell>
          <cell r="D449" t="str">
            <v>最大最凶</v>
          </cell>
          <cell r="E449" t="str">
            <v>ドロップイベント3（マルチ専用）</v>
          </cell>
          <cell r="F449">
            <v>1</v>
          </cell>
          <cell r="G449" t="str">
            <v>ja</v>
          </cell>
          <cell r="H449" t="str">
            <v>【上級】最大最凶</v>
          </cell>
          <cell r="I449" t="str">
            <v>上級</v>
          </cell>
          <cell r="J449">
            <v>306</v>
          </cell>
          <cell r="K449">
            <v>20</v>
          </cell>
          <cell r="L449">
            <v>2000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none</v>
          </cell>
          <cell r="T449">
            <v>0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</v>
          </cell>
          <cell r="AD449">
            <v>7</v>
          </cell>
          <cell r="AE449" t="str">
            <v>everyone</v>
          </cell>
        </row>
        <row r="450">
          <cell r="A450" t="str">
            <v>30010_2</v>
          </cell>
          <cell r="B450">
            <v>3</v>
          </cell>
          <cell r="C450">
            <v>30010</v>
          </cell>
          <cell r="D450" t="str">
            <v>最大最凶</v>
          </cell>
          <cell r="E450" t="str">
            <v>ドロップイベント3（マルチ専用）</v>
          </cell>
          <cell r="F450">
            <v>2</v>
          </cell>
          <cell r="G450" t="str">
            <v>ja</v>
          </cell>
          <cell r="H450" t="str">
            <v>【超級】最大最凶</v>
          </cell>
          <cell r="I450" t="str">
            <v>超級</v>
          </cell>
          <cell r="J450">
            <v>306</v>
          </cell>
          <cell r="K450">
            <v>30</v>
          </cell>
          <cell r="L450">
            <v>3300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2</v>
          </cell>
          <cell r="AD450">
            <v>7</v>
          </cell>
          <cell r="AE450" t="str">
            <v>everyone</v>
          </cell>
        </row>
        <row r="451">
          <cell r="A451" t="str">
            <v>30010_3</v>
          </cell>
          <cell r="B451">
            <v>3</v>
          </cell>
          <cell r="C451">
            <v>30010</v>
          </cell>
          <cell r="D451" t="str">
            <v>最大最凶</v>
          </cell>
          <cell r="E451" t="str">
            <v>ドロップイベント3（マルチ専用）</v>
          </cell>
          <cell r="F451">
            <v>3</v>
          </cell>
          <cell r="G451" t="str">
            <v>ja</v>
          </cell>
          <cell r="H451" t="str">
            <v>【超絶級】最大最凶</v>
          </cell>
          <cell r="I451" t="str">
            <v>超絶級</v>
          </cell>
          <cell r="J451">
            <v>306</v>
          </cell>
          <cell r="K451">
            <v>35</v>
          </cell>
          <cell r="L451">
            <v>4200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2</v>
          </cell>
          <cell r="AD451">
            <v>7</v>
          </cell>
          <cell r="AE451" t="str">
            <v>everyone</v>
          </cell>
        </row>
        <row r="452">
          <cell r="A452" t="str">
            <v>30011_1</v>
          </cell>
          <cell r="B452">
            <v>3</v>
          </cell>
          <cell r="C452">
            <v>30011</v>
          </cell>
          <cell r="D452" t="str">
            <v>気怠い巨読者</v>
          </cell>
          <cell r="E452" t="str">
            <v>ドロップイベント3（マルチ専用）</v>
          </cell>
          <cell r="F452">
            <v>1</v>
          </cell>
          <cell r="G452" t="str">
            <v>ja</v>
          </cell>
          <cell r="H452" t="str">
            <v>【上級】気怠い巨読者</v>
          </cell>
          <cell r="I452" t="str">
            <v>上級</v>
          </cell>
          <cell r="J452">
            <v>308</v>
          </cell>
          <cell r="K452">
            <v>20</v>
          </cell>
          <cell r="L452">
            <v>2000</v>
          </cell>
          <cell r="M452">
            <v>1</v>
          </cell>
          <cell r="N452">
            <v>1</v>
          </cell>
          <cell r="O452">
            <v>1</v>
          </cell>
          <cell r="P452">
            <v>1</v>
          </cell>
          <cell r="Q452">
            <v>1</v>
          </cell>
          <cell r="R452">
            <v>2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19</v>
          </cell>
          <cell r="AD452">
            <v>6</v>
          </cell>
          <cell r="AE452" t="str">
            <v>everyone</v>
          </cell>
        </row>
        <row r="453">
          <cell r="A453" t="str">
            <v>30011_2</v>
          </cell>
          <cell r="B453">
            <v>3</v>
          </cell>
          <cell r="C453">
            <v>30011</v>
          </cell>
          <cell r="D453" t="str">
            <v>気怠い巨読者</v>
          </cell>
          <cell r="E453" t="str">
            <v>ドロップイベント3（マルチ専用）</v>
          </cell>
          <cell r="F453">
            <v>2</v>
          </cell>
          <cell r="G453" t="str">
            <v>ja</v>
          </cell>
          <cell r="H453" t="str">
            <v>【超級】気怠い巨読者</v>
          </cell>
          <cell r="I453" t="str">
            <v>超級</v>
          </cell>
          <cell r="J453">
            <v>308</v>
          </cell>
          <cell r="K453">
            <v>30</v>
          </cell>
          <cell r="L453">
            <v>3300</v>
          </cell>
          <cell r="M453">
            <v>1</v>
          </cell>
          <cell r="N453">
            <v>1</v>
          </cell>
          <cell r="O453">
            <v>1</v>
          </cell>
          <cell r="P453">
            <v>1</v>
          </cell>
          <cell r="Q453">
            <v>1</v>
          </cell>
          <cell r="R453">
            <v>2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19</v>
          </cell>
          <cell r="AD453">
            <v>6</v>
          </cell>
          <cell r="AE453" t="str">
            <v>everyone</v>
          </cell>
        </row>
        <row r="454">
          <cell r="A454" t="str">
            <v>30011_3</v>
          </cell>
          <cell r="B454">
            <v>3</v>
          </cell>
          <cell r="C454">
            <v>30011</v>
          </cell>
          <cell r="D454" t="str">
            <v>気怠い巨読者</v>
          </cell>
          <cell r="E454" t="str">
            <v>ドロップイベント3（マルチ専用）</v>
          </cell>
          <cell r="F454">
            <v>3</v>
          </cell>
          <cell r="G454" t="str">
            <v>ja</v>
          </cell>
          <cell r="H454" t="str">
            <v>【超絶級】気怠い巨読者</v>
          </cell>
          <cell r="I454" t="str">
            <v>超絶級</v>
          </cell>
          <cell r="J454">
            <v>309</v>
          </cell>
          <cell r="K454">
            <v>35</v>
          </cell>
          <cell r="L454">
            <v>4200</v>
          </cell>
          <cell r="M454">
            <v>1</v>
          </cell>
          <cell r="N454">
            <v>1</v>
          </cell>
          <cell r="O454">
            <v>1</v>
          </cell>
          <cell r="P454">
            <v>1</v>
          </cell>
          <cell r="Q454">
            <v>1</v>
          </cell>
          <cell r="R454">
            <v>2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19</v>
          </cell>
          <cell r="AD454">
            <v>6</v>
          </cell>
          <cell r="AE454" t="str">
            <v>everyone</v>
          </cell>
        </row>
        <row r="455">
          <cell r="A455" t="str">
            <v>30012_1</v>
          </cell>
          <cell r="B455">
            <v>3</v>
          </cell>
          <cell r="C455">
            <v>30012</v>
          </cell>
          <cell r="D455" t="str">
            <v>底なしの胃袋</v>
          </cell>
          <cell r="E455" t="str">
            <v>ドロップイベント3（マルチ専用）</v>
          </cell>
          <cell r="F455">
            <v>1</v>
          </cell>
          <cell r="G455" t="str">
            <v>ja</v>
          </cell>
          <cell r="H455" t="str">
            <v>【上級】底なしの胃袋</v>
          </cell>
          <cell r="I455" t="str">
            <v>上級</v>
          </cell>
          <cell r="J455">
            <v>310</v>
          </cell>
          <cell r="K455">
            <v>20</v>
          </cell>
          <cell r="L455">
            <v>2000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0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5</v>
          </cell>
          <cell r="AD455">
            <v>6</v>
          </cell>
          <cell r="AE455" t="str">
            <v>everyone</v>
          </cell>
        </row>
        <row r="456">
          <cell r="A456" t="str">
            <v>30012_2</v>
          </cell>
          <cell r="B456">
            <v>3</v>
          </cell>
          <cell r="C456">
            <v>30012</v>
          </cell>
          <cell r="D456" t="str">
            <v>底なしの胃袋</v>
          </cell>
          <cell r="E456" t="str">
            <v>ドロップイベント3（マルチ専用）</v>
          </cell>
          <cell r="F456">
            <v>2</v>
          </cell>
          <cell r="G456" t="str">
            <v>ja</v>
          </cell>
          <cell r="H456" t="str">
            <v>【超級】底なしの胃袋</v>
          </cell>
          <cell r="I456" t="str">
            <v>超級</v>
          </cell>
          <cell r="J456">
            <v>310</v>
          </cell>
          <cell r="K456">
            <v>30</v>
          </cell>
          <cell r="L456">
            <v>3300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0</v>
          </cell>
          <cell r="R456">
            <v>3</v>
          </cell>
          <cell r="S456" t="str">
            <v>none</v>
          </cell>
          <cell r="T456">
            <v>0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5</v>
          </cell>
          <cell r="AD456">
            <v>6</v>
          </cell>
          <cell r="AE456" t="str">
            <v>everyone</v>
          </cell>
        </row>
        <row r="457">
          <cell r="A457" t="str">
            <v>30012_3</v>
          </cell>
          <cell r="B457">
            <v>3</v>
          </cell>
          <cell r="C457">
            <v>30012</v>
          </cell>
          <cell r="D457" t="str">
            <v>底なしの胃袋</v>
          </cell>
          <cell r="E457" t="str">
            <v>ドロップイベント3（マルチ専用）</v>
          </cell>
          <cell r="F457">
            <v>3</v>
          </cell>
          <cell r="G457" t="str">
            <v>ja</v>
          </cell>
          <cell r="H457" t="str">
            <v>【超絶級】底なしの胃袋</v>
          </cell>
          <cell r="I457" t="str">
            <v>超絶級</v>
          </cell>
          <cell r="J457">
            <v>310</v>
          </cell>
          <cell r="K457">
            <v>35</v>
          </cell>
          <cell r="L457">
            <v>4200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0</v>
          </cell>
          <cell r="R457">
            <v>3</v>
          </cell>
          <cell r="S457" t="str">
            <v>polygon</v>
          </cell>
          <cell r="T457">
            <v>1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5</v>
          </cell>
          <cell r="AD457">
            <v>6</v>
          </cell>
          <cell r="AE457" t="str">
            <v>everyone</v>
          </cell>
        </row>
        <row r="458">
          <cell r="A458" t="str">
            <v>30013_1</v>
          </cell>
          <cell r="B458">
            <v>3</v>
          </cell>
          <cell r="C458">
            <v>30013</v>
          </cell>
          <cell r="D458" t="str">
            <v>決戦・竜宮城</v>
          </cell>
          <cell r="E458" t="str">
            <v>ドロップイベント4（マルチ専用）</v>
          </cell>
          <cell r="F458">
            <v>1</v>
          </cell>
          <cell r="G458" t="str">
            <v>ja</v>
          </cell>
          <cell r="H458" t="str">
            <v>【超級】決戦・竜宮城</v>
          </cell>
          <cell r="I458" t="str">
            <v>超級</v>
          </cell>
          <cell r="J458">
            <v>418</v>
          </cell>
          <cell r="K458">
            <v>30</v>
          </cell>
          <cell r="L458">
            <v>3300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17</v>
          </cell>
          <cell r="AD458">
            <v>6</v>
          </cell>
          <cell r="AE458" t="str">
            <v>everyone</v>
          </cell>
        </row>
        <row r="459">
          <cell r="A459" t="str">
            <v>30013_2</v>
          </cell>
          <cell r="B459">
            <v>3</v>
          </cell>
          <cell r="C459">
            <v>30013</v>
          </cell>
          <cell r="D459" t="str">
            <v>決戦・竜宮城</v>
          </cell>
          <cell r="E459" t="str">
            <v>ドロップイベント4（マルチ専用）</v>
          </cell>
          <cell r="F459">
            <v>2</v>
          </cell>
          <cell r="G459" t="str">
            <v>ja</v>
          </cell>
          <cell r="H459" t="str">
            <v>【超絶級】決戦・竜宮城</v>
          </cell>
          <cell r="I459" t="str">
            <v>超絶級</v>
          </cell>
          <cell r="J459">
            <v>419</v>
          </cell>
          <cell r="K459">
            <v>35</v>
          </cell>
          <cell r="L459">
            <v>4200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17</v>
          </cell>
          <cell r="AD459">
            <v>6</v>
          </cell>
          <cell r="AE459" t="str">
            <v>everyone</v>
          </cell>
        </row>
        <row r="460">
          <cell r="A460" t="str">
            <v>30014_1</v>
          </cell>
          <cell r="B460">
            <v>3</v>
          </cell>
          <cell r="C460">
            <v>30014</v>
          </cell>
          <cell r="D460" t="str">
            <v>親指を突き立てろ！</v>
          </cell>
          <cell r="E460" t="str">
            <v>ドロップイベント4（マルチ専用）</v>
          </cell>
          <cell r="F460">
            <v>1</v>
          </cell>
          <cell r="G460" t="str">
            <v>ja</v>
          </cell>
          <cell r="H460" t="str">
            <v>【超級】親指を突き立てろ！</v>
          </cell>
          <cell r="I460" t="str">
            <v>超級</v>
          </cell>
          <cell r="J460">
            <v>420</v>
          </cell>
          <cell r="K460">
            <v>30</v>
          </cell>
          <cell r="L460">
            <v>3300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23</v>
          </cell>
          <cell r="AD460">
            <v>5</v>
          </cell>
          <cell r="AE460" t="str">
            <v>everyone</v>
          </cell>
        </row>
        <row r="461">
          <cell r="A461" t="str">
            <v>30014_2</v>
          </cell>
          <cell r="B461">
            <v>3</v>
          </cell>
          <cell r="C461">
            <v>30014</v>
          </cell>
          <cell r="D461" t="str">
            <v>親指を突き立てろ！</v>
          </cell>
          <cell r="E461" t="str">
            <v>ドロップイベント4（マルチ専用）</v>
          </cell>
          <cell r="F461">
            <v>2</v>
          </cell>
          <cell r="G461" t="str">
            <v>ja</v>
          </cell>
          <cell r="H461" t="str">
            <v>【超絶級】親指を突き立てろ！</v>
          </cell>
          <cell r="I461" t="str">
            <v>超絶級</v>
          </cell>
          <cell r="J461">
            <v>421</v>
          </cell>
          <cell r="K461">
            <v>35</v>
          </cell>
          <cell r="L461">
            <v>4200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polygon</v>
          </cell>
          <cell r="T461">
            <v>1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23</v>
          </cell>
          <cell r="AD461">
            <v>5</v>
          </cell>
          <cell r="AE461" t="str">
            <v>everyone</v>
          </cell>
        </row>
        <row r="462">
          <cell r="A462" t="str">
            <v>30015_1</v>
          </cell>
          <cell r="B462">
            <v>3</v>
          </cell>
          <cell r="C462">
            <v>30015</v>
          </cell>
          <cell r="D462" t="str">
            <v>兄妹の大冒険</v>
          </cell>
          <cell r="E462" t="str">
            <v>ドロップイベント4（マルチ専用）</v>
          </cell>
          <cell r="F462">
            <v>1</v>
          </cell>
          <cell r="G462" t="str">
            <v>ja</v>
          </cell>
          <cell r="H462" t="str">
            <v>【超級】兄妹の大冒険</v>
          </cell>
          <cell r="I462" t="str">
            <v>超級</v>
          </cell>
          <cell r="J462">
            <v>422</v>
          </cell>
          <cell r="K462">
            <v>30</v>
          </cell>
          <cell r="L462">
            <v>3300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none</v>
          </cell>
          <cell r="T462">
            <v>0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16</v>
          </cell>
          <cell r="AD462">
            <v>6</v>
          </cell>
          <cell r="AE462" t="str">
            <v>everyone</v>
          </cell>
        </row>
        <row r="463">
          <cell r="A463" t="str">
            <v>30015_2</v>
          </cell>
          <cell r="B463">
            <v>3</v>
          </cell>
          <cell r="C463">
            <v>30015</v>
          </cell>
          <cell r="D463" t="str">
            <v>兄妹の大冒険</v>
          </cell>
          <cell r="E463" t="str">
            <v>ドロップイベント4（マルチ専用）</v>
          </cell>
          <cell r="F463">
            <v>2</v>
          </cell>
          <cell r="G463" t="str">
            <v>ja</v>
          </cell>
          <cell r="H463" t="str">
            <v>【超絶級】兄妹の大冒険</v>
          </cell>
          <cell r="I463" t="str">
            <v>超絶級</v>
          </cell>
          <cell r="J463">
            <v>423</v>
          </cell>
          <cell r="K463">
            <v>35</v>
          </cell>
          <cell r="L463">
            <v>4200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polygon</v>
          </cell>
          <cell r="T463">
            <v>1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16</v>
          </cell>
          <cell r="AD463">
            <v>6</v>
          </cell>
          <cell r="AE463" t="str">
            <v>everyone</v>
          </cell>
        </row>
        <row r="464">
          <cell r="A464" t="str">
            <v>30016_1</v>
          </cell>
          <cell r="B464">
            <v>3</v>
          </cell>
          <cell r="C464">
            <v>30016</v>
          </cell>
          <cell r="D464" t="str">
            <v>私がワニの天敵よ？</v>
          </cell>
          <cell r="E464" t="str">
            <v>ドロップイベント4（マルチ専用）</v>
          </cell>
          <cell r="F464">
            <v>1</v>
          </cell>
          <cell r="G464" t="str">
            <v>ja</v>
          </cell>
          <cell r="H464" t="str">
            <v>【超級】私がワニの天敵よ？</v>
          </cell>
          <cell r="I464" t="str">
            <v>超級</v>
          </cell>
          <cell r="J464">
            <v>424</v>
          </cell>
          <cell r="K464">
            <v>30</v>
          </cell>
          <cell r="L464">
            <v>3300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4</v>
          </cell>
          <cell r="AD464">
            <v>6</v>
          </cell>
          <cell r="AE464" t="str">
            <v>everyone</v>
          </cell>
        </row>
        <row r="465">
          <cell r="A465" t="str">
            <v>30016_2</v>
          </cell>
          <cell r="B465">
            <v>3</v>
          </cell>
          <cell r="C465">
            <v>30016</v>
          </cell>
          <cell r="D465" t="str">
            <v>私がワニの天敵よ？</v>
          </cell>
          <cell r="E465" t="str">
            <v>ドロップイベント4（マルチ専用）</v>
          </cell>
          <cell r="F465">
            <v>2</v>
          </cell>
          <cell r="G465" t="str">
            <v>ja</v>
          </cell>
          <cell r="H465" t="str">
            <v>【超絶級】私がワニの天敵よ？</v>
          </cell>
          <cell r="I465" t="str">
            <v>超絶級</v>
          </cell>
          <cell r="J465">
            <v>425</v>
          </cell>
          <cell r="K465">
            <v>35</v>
          </cell>
          <cell r="L465">
            <v>4200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4</v>
          </cell>
          <cell r="AD465">
            <v>6</v>
          </cell>
          <cell r="AE465" t="str">
            <v>everyone</v>
          </cell>
        </row>
        <row r="466">
          <cell r="A466" t="str">
            <v>30017_1</v>
          </cell>
          <cell r="B466">
            <v>3</v>
          </cell>
          <cell r="C466">
            <v>30017</v>
          </cell>
          <cell r="D466" t="str">
            <v>狩人の挽歌</v>
          </cell>
          <cell r="E466" t="str">
            <v>ドロップイベント5（マルチ専用）</v>
          </cell>
          <cell r="F466">
            <v>1</v>
          </cell>
          <cell r="G466" t="str">
            <v>ja</v>
          </cell>
          <cell r="H466" t="str">
            <v>【超級】狩人の挽歌</v>
          </cell>
          <cell r="I466" t="str">
            <v>超級</v>
          </cell>
          <cell r="J466">
            <v>452</v>
          </cell>
          <cell r="K466">
            <v>30</v>
          </cell>
          <cell r="L466">
            <v>3300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20</v>
          </cell>
          <cell r="AD466">
            <v>6</v>
          </cell>
          <cell r="AE466" t="str">
            <v>multionly</v>
          </cell>
        </row>
        <row r="467">
          <cell r="A467" t="str">
            <v>30017_2</v>
          </cell>
          <cell r="B467">
            <v>3</v>
          </cell>
          <cell r="C467">
            <v>30017</v>
          </cell>
          <cell r="D467" t="str">
            <v>狩人の挽歌</v>
          </cell>
          <cell r="E467" t="str">
            <v>ドロップイベント5（マルチ専用）</v>
          </cell>
          <cell r="F467">
            <v>2</v>
          </cell>
          <cell r="G467" t="str">
            <v>ja</v>
          </cell>
          <cell r="H467" t="str">
            <v>【超絶級】狩人の挽歌</v>
          </cell>
          <cell r="I467" t="str">
            <v>超絶級</v>
          </cell>
          <cell r="J467">
            <v>453</v>
          </cell>
          <cell r="K467">
            <v>35</v>
          </cell>
          <cell r="L467">
            <v>4200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polygon</v>
          </cell>
          <cell r="T467">
            <v>1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20</v>
          </cell>
          <cell r="AD467">
            <v>6</v>
          </cell>
          <cell r="AE467" t="str">
            <v>multionly</v>
          </cell>
        </row>
        <row r="468">
          <cell r="A468" t="str">
            <v>30018_1</v>
          </cell>
          <cell r="B468">
            <v>3</v>
          </cell>
          <cell r="C468">
            <v>30018</v>
          </cell>
          <cell r="D468" t="str">
            <v>バックストリートファイト</v>
          </cell>
          <cell r="E468" t="str">
            <v>ドロップイベント5（マルチ専用）</v>
          </cell>
          <cell r="F468">
            <v>1</v>
          </cell>
          <cell r="G468" t="str">
            <v>ja</v>
          </cell>
          <cell r="H468" t="str">
            <v>【超級】バックストリートファイト</v>
          </cell>
          <cell r="I468" t="str">
            <v>超級</v>
          </cell>
          <cell r="J468">
            <v>454</v>
          </cell>
          <cell r="K468">
            <v>30</v>
          </cell>
          <cell r="L468">
            <v>3300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0</v>
          </cell>
          <cell r="R468">
            <v>3</v>
          </cell>
          <cell r="S468" t="str">
            <v>none</v>
          </cell>
          <cell r="T468">
            <v>0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14</v>
          </cell>
          <cell r="AD468">
            <v>6</v>
          </cell>
          <cell r="AE468" t="str">
            <v>everyone</v>
          </cell>
        </row>
        <row r="469">
          <cell r="A469" t="str">
            <v>30018_2</v>
          </cell>
          <cell r="B469">
            <v>3</v>
          </cell>
          <cell r="C469">
            <v>30018</v>
          </cell>
          <cell r="D469" t="str">
            <v>バックストリートファイト</v>
          </cell>
          <cell r="E469" t="str">
            <v>ドロップイベント5（マルチ専用）</v>
          </cell>
          <cell r="F469">
            <v>2</v>
          </cell>
          <cell r="G469" t="str">
            <v>ja</v>
          </cell>
          <cell r="H469" t="str">
            <v>【超絶級】バックストリートファイト</v>
          </cell>
          <cell r="I469" t="str">
            <v>超絶級</v>
          </cell>
          <cell r="J469">
            <v>455</v>
          </cell>
          <cell r="K469">
            <v>35</v>
          </cell>
          <cell r="L469">
            <v>4200</v>
          </cell>
          <cell r="M469">
            <v>1</v>
          </cell>
          <cell r="N469">
            <v>1</v>
          </cell>
          <cell r="O469">
            <v>1</v>
          </cell>
          <cell r="P469">
            <v>1</v>
          </cell>
          <cell r="Q469">
            <v>0</v>
          </cell>
          <cell r="R469">
            <v>3</v>
          </cell>
          <cell r="S469" t="str">
            <v>polygon</v>
          </cell>
          <cell r="T469">
            <v>1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14</v>
          </cell>
          <cell r="AD469">
            <v>6</v>
          </cell>
          <cell r="AE469" t="str">
            <v>everyone</v>
          </cell>
        </row>
        <row r="470">
          <cell r="A470" t="str">
            <v>30019_1</v>
          </cell>
          <cell r="B470">
            <v>3</v>
          </cell>
          <cell r="C470">
            <v>30019</v>
          </cell>
          <cell r="D470" t="str">
            <v>狙撃は終わらない</v>
          </cell>
          <cell r="E470" t="str">
            <v>ドロップイベント5（マルチ専用）</v>
          </cell>
          <cell r="F470">
            <v>1</v>
          </cell>
          <cell r="G470" t="str">
            <v>ja</v>
          </cell>
          <cell r="H470" t="str">
            <v>【超級】狙撃は終わらない</v>
          </cell>
          <cell r="I470" t="str">
            <v>超級</v>
          </cell>
          <cell r="J470">
            <v>456</v>
          </cell>
          <cell r="K470">
            <v>30</v>
          </cell>
          <cell r="L470">
            <v>3300</v>
          </cell>
          <cell r="M470">
            <v>1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24</v>
          </cell>
          <cell r="AD470">
            <v>6</v>
          </cell>
          <cell r="AE470" t="str">
            <v>multionly</v>
          </cell>
        </row>
        <row r="471">
          <cell r="A471" t="str">
            <v>30019_2</v>
          </cell>
          <cell r="B471">
            <v>3</v>
          </cell>
          <cell r="C471">
            <v>30019</v>
          </cell>
          <cell r="D471" t="str">
            <v>狙撃は終わらない</v>
          </cell>
          <cell r="E471" t="str">
            <v>ドロップイベント5（マルチ専用）</v>
          </cell>
          <cell r="F471">
            <v>2</v>
          </cell>
          <cell r="G471" t="str">
            <v>ja</v>
          </cell>
          <cell r="H471" t="str">
            <v>【超絶級】狙撃は終わらない</v>
          </cell>
          <cell r="I471" t="str">
            <v>超絶級</v>
          </cell>
          <cell r="J471">
            <v>457</v>
          </cell>
          <cell r="K471">
            <v>35</v>
          </cell>
          <cell r="L471">
            <v>4200</v>
          </cell>
          <cell r="M471">
            <v>1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polygon</v>
          </cell>
          <cell r="T471">
            <v>1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24</v>
          </cell>
          <cell r="AD471">
            <v>6</v>
          </cell>
          <cell r="AE471" t="str">
            <v>multionly</v>
          </cell>
        </row>
        <row r="472">
          <cell r="A472" t="str">
            <v>30020_1</v>
          </cell>
          <cell r="B472">
            <v>3</v>
          </cell>
          <cell r="C472">
            <v>30020</v>
          </cell>
          <cell r="D472" t="str">
            <v>若造よ、身の程を知れ</v>
          </cell>
          <cell r="E472" t="str">
            <v>ドロップイベント5（マルチ専用）</v>
          </cell>
          <cell r="F472">
            <v>1</v>
          </cell>
          <cell r="G472" t="str">
            <v>ja</v>
          </cell>
          <cell r="H472" t="str">
            <v>【超級】若造よ、身の程を知れ</v>
          </cell>
          <cell r="I472" t="str">
            <v>超級</v>
          </cell>
          <cell r="J472">
            <v>458</v>
          </cell>
          <cell r="K472">
            <v>30</v>
          </cell>
          <cell r="L472">
            <v>3300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13</v>
          </cell>
          <cell r="AD472">
            <v>6</v>
          </cell>
          <cell r="AE472" t="str">
            <v>everyone</v>
          </cell>
        </row>
        <row r="473">
          <cell r="A473" t="str">
            <v>30020_2</v>
          </cell>
          <cell r="B473">
            <v>3</v>
          </cell>
          <cell r="C473">
            <v>30020</v>
          </cell>
          <cell r="D473" t="str">
            <v>若造よ、身の程を知れ</v>
          </cell>
          <cell r="E473" t="str">
            <v>ドロップイベント5（マルチ専用）</v>
          </cell>
          <cell r="F473">
            <v>2</v>
          </cell>
          <cell r="G473" t="str">
            <v>ja</v>
          </cell>
          <cell r="H473" t="str">
            <v>【超絶級】若造よ、身の程を知れ</v>
          </cell>
          <cell r="I473" t="str">
            <v>超絶級</v>
          </cell>
          <cell r="J473">
            <v>459</v>
          </cell>
          <cell r="K473">
            <v>35</v>
          </cell>
          <cell r="L473">
            <v>4200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polygon</v>
          </cell>
          <cell r="T473">
            <v>1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13</v>
          </cell>
          <cell r="AD473">
            <v>6</v>
          </cell>
          <cell r="AE473" t="str">
            <v>everyone</v>
          </cell>
        </row>
        <row r="474">
          <cell r="A474" t="str">
            <v>30021_1</v>
          </cell>
          <cell r="B474">
            <v>3</v>
          </cell>
          <cell r="C474">
            <v>30021</v>
          </cell>
          <cell r="D474" t="str">
            <v>野獣死すべしっ！</v>
          </cell>
          <cell r="E474" t="str">
            <v>ドロップイベント6（マルチ専用）</v>
          </cell>
          <cell r="F474">
            <v>1</v>
          </cell>
          <cell r="G474" t="str">
            <v>ja</v>
          </cell>
          <cell r="H474" t="str">
            <v>【中級】野獣死すべしっ！</v>
          </cell>
          <cell r="I474" t="str">
            <v>中級</v>
          </cell>
          <cell r="J474">
            <v>502</v>
          </cell>
          <cell r="K474">
            <v>15</v>
          </cell>
          <cell r="L474">
            <v>1200</v>
          </cell>
          <cell r="M474">
            <v>1</v>
          </cell>
          <cell r="N474">
            <v>1</v>
          </cell>
          <cell r="O474">
            <v>0</v>
          </cell>
          <cell r="P474">
            <v>1</v>
          </cell>
          <cell r="Q474">
            <v>1</v>
          </cell>
          <cell r="R474">
            <v>3</v>
          </cell>
          <cell r="S474" t="str">
            <v>none</v>
          </cell>
          <cell r="T474">
            <v>0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14</v>
          </cell>
          <cell r="AD474">
            <v>6</v>
          </cell>
          <cell r="AE474" t="str">
            <v>everyone</v>
          </cell>
        </row>
        <row r="475">
          <cell r="A475" t="str">
            <v>30021_2</v>
          </cell>
          <cell r="B475">
            <v>3</v>
          </cell>
          <cell r="C475">
            <v>30021</v>
          </cell>
          <cell r="D475" t="str">
            <v>野獣死すべしっ！</v>
          </cell>
          <cell r="E475" t="str">
            <v>ドロップイベント6（マルチ専用）</v>
          </cell>
          <cell r="F475">
            <v>2</v>
          </cell>
          <cell r="G475" t="str">
            <v>ja</v>
          </cell>
          <cell r="H475" t="str">
            <v>【上級】野獣死すべしっ！</v>
          </cell>
          <cell r="I475" t="str">
            <v>上級</v>
          </cell>
          <cell r="J475">
            <v>502</v>
          </cell>
          <cell r="K475">
            <v>20</v>
          </cell>
          <cell r="L475">
            <v>2000</v>
          </cell>
          <cell r="M475">
            <v>1</v>
          </cell>
          <cell r="N475">
            <v>1</v>
          </cell>
          <cell r="O475">
            <v>0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14</v>
          </cell>
          <cell r="AD475">
            <v>6</v>
          </cell>
          <cell r="AE475" t="str">
            <v>everyone</v>
          </cell>
        </row>
        <row r="476">
          <cell r="A476" t="str">
            <v>30021_3</v>
          </cell>
          <cell r="B476">
            <v>3</v>
          </cell>
          <cell r="C476">
            <v>30021</v>
          </cell>
          <cell r="D476" t="str">
            <v>野獣死すべしっ！</v>
          </cell>
          <cell r="E476" t="str">
            <v>ドロップイベント6（マルチ専用）</v>
          </cell>
          <cell r="F476">
            <v>3</v>
          </cell>
          <cell r="G476" t="str">
            <v>ja</v>
          </cell>
          <cell r="H476" t="str">
            <v>【超級】野獣死すべしっ！</v>
          </cell>
          <cell r="I476" t="str">
            <v>超級</v>
          </cell>
          <cell r="J476">
            <v>503</v>
          </cell>
          <cell r="K476">
            <v>30</v>
          </cell>
          <cell r="L476">
            <v>3300</v>
          </cell>
          <cell r="M476">
            <v>1</v>
          </cell>
          <cell r="N476">
            <v>1</v>
          </cell>
          <cell r="O476">
            <v>0</v>
          </cell>
          <cell r="P476">
            <v>1</v>
          </cell>
          <cell r="Q476">
            <v>1</v>
          </cell>
          <cell r="R476">
            <v>3</v>
          </cell>
          <cell r="S476" t="str">
            <v>polygon</v>
          </cell>
          <cell r="T476">
            <v>1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14</v>
          </cell>
          <cell r="AD476">
            <v>6</v>
          </cell>
          <cell r="AE476" t="str">
            <v>everyone</v>
          </cell>
        </row>
        <row r="477">
          <cell r="A477" t="str">
            <v>30022_1</v>
          </cell>
          <cell r="B477">
            <v>3</v>
          </cell>
          <cell r="C477">
            <v>30022</v>
          </cell>
          <cell r="D477" t="str">
            <v>凶鼠ネコを咬む</v>
          </cell>
          <cell r="E477" t="str">
            <v>ドロップイベント6（マルチ専用）</v>
          </cell>
          <cell r="F477">
            <v>1</v>
          </cell>
          <cell r="G477" t="str">
            <v>ja</v>
          </cell>
          <cell r="H477" t="str">
            <v>【超級】凶鼠ネコを咬む</v>
          </cell>
          <cell r="I477" t="str">
            <v>超級</v>
          </cell>
          <cell r="J477">
            <v>504</v>
          </cell>
          <cell r="K477">
            <v>30</v>
          </cell>
          <cell r="L477">
            <v>3300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none</v>
          </cell>
          <cell r="T477">
            <v>0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6</v>
          </cell>
          <cell r="AD477">
            <v>6</v>
          </cell>
          <cell r="AE477" t="str">
            <v>everyone</v>
          </cell>
        </row>
        <row r="478">
          <cell r="A478" t="str">
            <v>30022_2</v>
          </cell>
          <cell r="B478">
            <v>3</v>
          </cell>
          <cell r="C478">
            <v>30022</v>
          </cell>
          <cell r="D478" t="str">
            <v>凶鼠ネコを咬む</v>
          </cell>
          <cell r="E478" t="str">
            <v>ドロップイベント6（マルチ専用）</v>
          </cell>
          <cell r="F478">
            <v>2</v>
          </cell>
          <cell r="G478" t="str">
            <v>ja</v>
          </cell>
          <cell r="H478" t="str">
            <v>【超絶級】凶鼠ネコを咬む</v>
          </cell>
          <cell r="I478" t="str">
            <v>超絶級</v>
          </cell>
          <cell r="J478">
            <v>505</v>
          </cell>
          <cell r="K478">
            <v>35</v>
          </cell>
          <cell r="L478">
            <v>4200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polygon</v>
          </cell>
          <cell r="T478">
            <v>1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6</v>
          </cell>
          <cell r="AD478">
            <v>6</v>
          </cell>
          <cell r="AE478" t="str">
            <v>everyone</v>
          </cell>
        </row>
        <row r="479">
          <cell r="A479" t="str">
            <v>30023_1</v>
          </cell>
          <cell r="B479">
            <v>3</v>
          </cell>
          <cell r="C479">
            <v>30023</v>
          </cell>
          <cell r="D479" t="str">
            <v>隔離からのエスケイプ</v>
          </cell>
          <cell r="E479" t="str">
            <v>ドロップイベント6（マルチ専用）</v>
          </cell>
          <cell r="F479">
            <v>1</v>
          </cell>
          <cell r="G479" t="str">
            <v>ja</v>
          </cell>
          <cell r="H479" t="str">
            <v>【中級】隔離からのエスケイプ</v>
          </cell>
          <cell r="I479" t="str">
            <v>中級</v>
          </cell>
          <cell r="J479">
            <v>506</v>
          </cell>
          <cell r="K479">
            <v>15</v>
          </cell>
          <cell r="L479">
            <v>1200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25</v>
          </cell>
          <cell r="AD479">
            <v>6</v>
          </cell>
          <cell r="AE479" t="str">
            <v>everyone</v>
          </cell>
        </row>
        <row r="480">
          <cell r="A480" t="str">
            <v>30023_2</v>
          </cell>
          <cell r="B480">
            <v>3</v>
          </cell>
          <cell r="C480">
            <v>30023</v>
          </cell>
          <cell r="D480" t="str">
            <v>隔離からのエスケイプ</v>
          </cell>
          <cell r="E480" t="str">
            <v>ドロップイベント6（マルチ専用）</v>
          </cell>
          <cell r="F480">
            <v>2</v>
          </cell>
          <cell r="G480" t="str">
            <v>ja</v>
          </cell>
          <cell r="H480" t="str">
            <v>【上級】隔離からのエスケイプ</v>
          </cell>
          <cell r="I480" t="str">
            <v>上級</v>
          </cell>
          <cell r="J480">
            <v>506</v>
          </cell>
          <cell r="K480">
            <v>20</v>
          </cell>
          <cell r="L480">
            <v>2000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none</v>
          </cell>
          <cell r="T480">
            <v>0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25</v>
          </cell>
          <cell r="AD480">
            <v>6</v>
          </cell>
          <cell r="AE480" t="str">
            <v>everyone</v>
          </cell>
        </row>
        <row r="481">
          <cell r="A481" t="str">
            <v>30023_3</v>
          </cell>
          <cell r="B481">
            <v>3</v>
          </cell>
          <cell r="C481">
            <v>30023</v>
          </cell>
          <cell r="D481" t="str">
            <v>隔離からのエスケイプ</v>
          </cell>
          <cell r="E481" t="str">
            <v>ドロップイベント6（マルチ専用）</v>
          </cell>
          <cell r="F481">
            <v>3</v>
          </cell>
          <cell r="G481" t="str">
            <v>ja</v>
          </cell>
          <cell r="H481" t="str">
            <v>【超級】隔離からのエスケイプ</v>
          </cell>
          <cell r="I481" t="str">
            <v>超級</v>
          </cell>
          <cell r="J481">
            <v>507</v>
          </cell>
          <cell r="K481">
            <v>30</v>
          </cell>
          <cell r="L481">
            <v>3300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polygon</v>
          </cell>
          <cell r="T481">
            <v>1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25</v>
          </cell>
          <cell r="AD481">
            <v>6</v>
          </cell>
          <cell r="AE481" t="str">
            <v>everyone</v>
          </cell>
        </row>
        <row r="482">
          <cell r="A482" t="str">
            <v>30024_1</v>
          </cell>
          <cell r="B482">
            <v>3</v>
          </cell>
          <cell r="C482">
            <v>30024</v>
          </cell>
          <cell r="D482" t="str">
            <v>雷鎚の選定</v>
          </cell>
          <cell r="E482" t="str">
            <v>ドロップイベント7（マルチ専用）</v>
          </cell>
          <cell r="F482">
            <v>1</v>
          </cell>
          <cell r="G482" t="str">
            <v>ja</v>
          </cell>
          <cell r="H482" t="str">
            <v>【中級】雷鎚の選定</v>
          </cell>
          <cell r="I482" t="str">
            <v>中級</v>
          </cell>
          <cell r="J482">
            <v>583</v>
          </cell>
          <cell r="K482">
            <v>15</v>
          </cell>
          <cell r="L482">
            <v>1200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20</v>
          </cell>
          <cell r="AD482">
            <v>6</v>
          </cell>
          <cell r="AE482" t="str">
            <v>multionly</v>
          </cell>
        </row>
        <row r="483">
          <cell r="A483" t="str">
            <v>30024_2</v>
          </cell>
          <cell r="B483">
            <v>3</v>
          </cell>
          <cell r="C483">
            <v>30024</v>
          </cell>
          <cell r="D483" t="str">
            <v>雷鎚の選定</v>
          </cell>
          <cell r="E483" t="str">
            <v>ドロップイベント7（マルチ専用）</v>
          </cell>
          <cell r="F483">
            <v>2</v>
          </cell>
          <cell r="G483" t="str">
            <v>ja</v>
          </cell>
          <cell r="H483" t="str">
            <v>【上級】雷鎚の選定</v>
          </cell>
          <cell r="I483" t="str">
            <v>上級</v>
          </cell>
          <cell r="J483">
            <v>583</v>
          </cell>
          <cell r="K483">
            <v>20</v>
          </cell>
          <cell r="L483">
            <v>2000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none</v>
          </cell>
          <cell r="T483">
            <v>0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20</v>
          </cell>
          <cell r="AD483">
            <v>6</v>
          </cell>
          <cell r="AE483" t="str">
            <v>multionly</v>
          </cell>
        </row>
        <row r="484">
          <cell r="A484" t="str">
            <v>30024_3</v>
          </cell>
          <cell r="B484">
            <v>3</v>
          </cell>
          <cell r="C484">
            <v>30024</v>
          </cell>
          <cell r="D484" t="str">
            <v>雷鎚の選定</v>
          </cell>
          <cell r="E484" t="str">
            <v>ドロップイベント7（マルチ専用）</v>
          </cell>
          <cell r="F484">
            <v>3</v>
          </cell>
          <cell r="G484" t="str">
            <v>ja</v>
          </cell>
          <cell r="H484" t="str">
            <v>【超級】雷鎚の選定</v>
          </cell>
          <cell r="I484" t="str">
            <v>超級</v>
          </cell>
          <cell r="J484">
            <v>584</v>
          </cell>
          <cell r="K484">
            <v>30</v>
          </cell>
          <cell r="L484">
            <v>3300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polygon</v>
          </cell>
          <cell r="T484">
            <v>1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20</v>
          </cell>
          <cell r="AD484">
            <v>6</v>
          </cell>
          <cell r="AE484" t="str">
            <v>multionly</v>
          </cell>
        </row>
        <row r="485">
          <cell r="A485" t="str">
            <v>30025_1</v>
          </cell>
          <cell r="B485">
            <v>3</v>
          </cell>
          <cell r="C485">
            <v>30025</v>
          </cell>
          <cell r="D485" t="str">
            <v>真実の探求者</v>
          </cell>
          <cell r="E485" t="str">
            <v>ドロップイベント7（マルチ専用）</v>
          </cell>
          <cell r="F485">
            <v>1</v>
          </cell>
          <cell r="G485" t="str">
            <v>ja</v>
          </cell>
          <cell r="H485" t="str">
            <v>【中級】真実の探求者</v>
          </cell>
          <cell r="I485" t="str">
            <v>中級</v>
          </cell>
          <cell r="J485">
            <v>579</v>
          </cell>
          <cell r="K485">
            <v>15</v>
          </cell>
          <cell r="L485">
            <v>1200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7</v>
          </cell>
          <cell r="AD485">
            <v>6</v>
          </cell>
          <cell r="AE485" t="str">
            <v>everyone</v>
          </cell>
        </row>
        <row r="486">
          <cell r="A486" t="str">
            <v>30025_2</v>
          </cell>
          <cell r="B486">
            <v>3</v>
          </cell>
          <cell r="C486">
            <v>30025</v>
          </cell>
          <cell r="D486" t="str">
            <v>真実の探求者</v>
          </cell>
          <cell r="E486" t="str">
            <v>ドロップイベント7（マルチ専用）</v>
          </cell>
          <cell r="F486">
            <v>2</v>
          </cell>
          <cell r="G486" t="str">
            <v>ja</v>
          </cell>
          <cell r="H486" t="str">
            <v>【上級】真実の探求者</v>
          </cell>
          <cell r="I486" t="str">
            <v>上級</v>
          </cell>
          <cell r="J486">
            <v>579</v>
          </cell>
          <cell r="K486">
            <v>20</v>
          </cell>
          <cell r="L486">
            <v>2000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none</v>
          </cell>
          <cell r="T486">
            <v>0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7</v>
          </cell>
          <cell r="AD486">
            <v>6</v>
          </cell>
          <cell r="AE486" t="str">
            <v>everyone</v>
          </cell>
        </row>
        <row r="487">
          <cell r="A487" t="str">
            <v>30025_3</v>
          </cell>
          <cell r="B487">
            <v>3</v>
          </cell>
          <cell r="C487">
            <v>30025</v>
          </cell>
          <cell r="D487" t="str">
            <v>真実の探求者</v>
          </cell>
          <cell r="E487" t="str">
            <v>ドロップイベント7（マルチ専用）</v>
          </cell>
          <cell r="F487">
            <v>3</v>
          </cell>
          <cell r="G487" t="str">
            <v>ja</v>
          </cell>
          <cell r="H487" t="str">
            <v>【超級】真実の探求者</v>
          </cell>
          <cell r="I487" t="str">
            <v>超級</v>
          </cell>
          <cell r="J487">
            <v>580</v>
          </cell>
          <cell r="K487">
            <v>30</v>
          </cell>
          <cell r="L487">
            <v>3300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polygon</v>
          </cell>
          <cell r="T487">
            <v>1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7</v>
          </cell>
          <cell r="AD487">
            <v>6</v>
          </cell>
          <cell r="AE487" t="str">
            <v>everyone</v>
          </cell>
        </row>
        <row r="488">
          <cell r="A488" t="str">
            <v>30026_1</v>
          </cell>
          <cell r="B488">
            <v>3</v>
          </cell>
          <cell r="C488">
            <v>30026</v>
          </cell>
          <cell r="D488" t="str">
            <v>道を阻む妖精夫婦</v>
          </cell>
          <cell r="E488" t="str">
            <v>ドロップイベント7（マルチ専用）</v>
          </cell>
          <cell r="F488">
            <v>1</v>
          </cell>
          <cell r="G488" t="str">
            <v>ja</v>
          </cell>
          <cell r="H488" t="str">
            <v>【中級】道を阻む妖精夫婦</v>
          </cell>
          <cell r="I488" t="str">
            <v>中級</v>
          </cell>
          <cell r="J488">
            <v>577</v>
          </cell>
          <cell r="K488">
            <v>15</v>
          </cell>
          <cell r="L488">
            <v>1200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21</v>
          </cell>
          <cell r="AD488">
            <v>6</v>
          </cell>
          <cell r="AE488" t="str">
            <v>everyone</v>
          </cell>
        </row>
        <row r="489">
          <cell r="A489" t="str">
            <v>30026_2</v>
          </cell>
          <cell r="B489">
            <v>3</v>
          </cell>
          <cell r="C489">
            <v>30026</v>
          </cell>
          <cell r="D489" t="str">
            <v>道を阻む妖精夫婦</v>
          </cell>
          <cell r="E489" t="str">
            <v>ドロップイベント7（マルチ専用）</v>
          </cell>
          <cell r="F489">
            <v>2</v>
          </cell>
          <cell r="G489" t="str">
            <v>ja</v>
          </cell>
          <cell r="H489" t="str">
            <v>【上級】道を阻む妖精夫婦</v>
          </cell>
          <cell r="I489" t="str">
            <v>上級</v>
          </cell>
          <cell r="J489">
            <v>577</v>
          </cell>
          <cell r="K489">
            <v>20</v>
          </cell>
          <cell r="L489">
            <v>2000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none</v>
          </cell>
          <cell r="T489">
            <v>0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21</v>
          </cell>
          <cell r="AD489">
            <v>6</v>
          </cell>
          <cell r="AE489" t="str">
            <v>everyone</v>
          </cell>
        </row>
        <row r="490">
          <cell r="A490" t="str">
            <v>30026_3</v>
          </cell>
          <cell r="B490">
            <v>3</v>
          </cell>
          <cell r="C490">
            <v>30026</v>
          </cell>
          <cell r="D490" t="str">
            <v>道を阻む妖精夫婦</v>
          </cell>
          <cell r="E490" t="str">
            <v>ドロップイベント7（マルチ専用）</v>
          </cell>
          <cell r="F490">
            <v>3</v>
          </cell>
          <cell r="G490" t="str">
            <v>ja</v>
          </cell>
          <cell r="H490" t="str">
            <v>【超級】道を阻む妖精夫婦</v>
          </cell>
          <cell r="I490" t="str">
            <v>超級</v>
          </cell>
          <cell r="J490">
            <v>578</v>
          </cell>
          <cell r="K490">
            <v>30</v>
          </cell>
          <cell r="L490">
            <v>3300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polygon</v>
          </cell>
          <cell r="T490">
            <v>1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21</v>
          </cell>
          <cell r="AD490">
            <v>6</v>
          </cell>
          <cell r="AE490" t="str">
            <v>everyone</v>
          </cell>
        </row>
        <row r="491">
          <cell r="A491" t="str">
            <v>30027_1</v>
          </cell>
          <cell r="B491">
            <v>3</v>
          </cell>
          <cell r="C491">
            <v>30027</v>
          </cell>
          <cell r="D491" t="str">
            <v>凍りつくまで愛してあげる</v>
          </cell>
          <cell r="E491" t="str">
            <v>ドロップイベント7（マルチ専用）</v>
          </cell>
          <cell r="F491">
            <v>1</v>
          </cell>
          <cell r="G491" t="str">
            <v>ja</v>
          </cell>
          <cell r="H491" t="str">
            <v>【中級】凍りつくまで愛してあげる</v>
          </cell>
          <cell r="I491" t="str">
            <v>中級</v>
          </cell>
          <cell r="J491">
            <v>646</v>
          </cell>
          <cell r="K491">
            <v>15</v>
          </cell>
          <cell r="L491">
            <v>1200</v>
          </cell>
          <cell r="M491">
            <v>0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9</v>
          </cell>
          <cell r="AD491">
            <v>6</v>
          </cell>
          <cell r="AE491" t="str">
            <v>everyone</v>
          </cell>
        </row>
        <row r="492">
          <cell r="A492" t="str">
            <v>30027_2</v>
          </cell>
          <cell r="B492">
            <v>3</v>
          </cell>
          <cell r="C492">
            <v>30027</v>
          </cell>
          <cell r="D492" t="str">
            <v>凍りつくまで愛してあげる</v>
          </cell>
          <cell r="E492" t="str">
            <v>ドロップイベント7（マルチ専用）</v>
          </cell>
          <cell r="F492">
            <v>2</v>
          </cell>
          <cell r="G492" t="str">
            <v>ja</v>
          </cell>
          <cell r="H492" t="str">
            <v>【上級】凍りつくまで愛してあげる</v>
          </cell>
          <cell r="I492" t="str">
            <v>上級</v>
          </cell>
          <cell r="J492">
            <v>646</v>
          </cell>
          <cell r="K492">
            <v>20</v>
          </cell>
          <cell r="L492">
            <v>2000</v>
          </cell>
          <cell r="M492">
            <v>0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none</v>
          </cell>
          <cell r="T492">
            <v>0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9</v>
          </cell>
          <cell r="AD492">
            <v>6</v>
          </cell>
          <cell r="AE492" t="str">
            <v>everyone</v>
          </cell>
        </row>
        <row r="493">
          <cell r="A493" t="str">
            <v>30027_3</v>
          </cell>
          <cell r="B493">
            <v>3</v>
          </cell>
          <cell r="C493">
            <v>30027</v>
          </cell>
          <cell r="D493" t="str">
            <v>凍りつくまで愛してあげる</v>
          </cell>
          <cell r="E493" t="str">
            <v>ドロップイベント7（マルチ専用）</v>
          </cell>
          <cell r="F493">
            <v>3</v>
          </cell>
          <cell r="G493" t="str">
            <v>ja</v>
          </cell>
          <cell r="H493" t="str">
            <v>【超級】凍りつくまで愛してあげる</v>
          </cell>
          <cell r="I493" t="str">
            <v>超級</v>
          </cell>
          <cell r="J493">
            <v>647</v>
          </cell>
          <cell r="K493">
            <v>30</v>
          </cell>
          <cell r="L493">
            <v>3300</v>
          </cell>
          <cell r="M493">
            <v>0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polygon</v>
          </cell>
          <cell r="T493">
            <v>1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9</v>
          </cell>
          <cell r="AD493">
            <v>6</v>
          </cell>
          <cell r="AE493" t="str">
            <v>everyone</v>
          </cell>
        </row>
        <row r="494">
          <cell r="A494" t="str">
            <v>30028_1</v>
          </cell>
          <cell r="B494">
            <v>3</v>
          </cell>
          <cell r="C494">
            <v>30028</v>
          </cell>
          <cell r="D494" t="str">
            <v>最悪の刺客</v>
          </cell>
          <cell r="E494" t="str">
            <v>ドロップイベント8（マルチ専用）</v>
          </cell>
          <cell r="F494">
            <v>1</v>
          </cell>
          <cell r="G494" t="str">
            <v>ja</v>
          </cell>
          <cell r="H494" t="str">
            <v>【中級】最悪の刺客</v>
          </cell>
          <cell r="I494" t="str">
            <v>中級</v>
          </cell>
          <cell r="J494">
            <v>650</v>
          </cell>
          <cell r="K494">
            <v>15</v>
          </cell>
          <cell r="L494">
            <v>1200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2601</v>
          </cell>
          <cell r="AD494">
            <v>6</v>
          </cell>
          <cell r="AE494" t="str">
            <v>everyone</v>
          </cell>
        </row>
        <row r="495">
          <cell r="A495" t="str">
            <v>30028_2</v>
          </cell>
          <cell r="B495">
            <v>3</v>
          </cell>
          <cell r="C495">
            <v>30028</v>
          </cell>
          <cell r="D495" t="str">
            <v>最悪の刺客</v>
          </cell>
          <cell r="E495" t="str">
            <v>ドロップイベント8（マルチ専用）</v>
          </cell>
          <cell r="F495">
            <v>2</v>
          </cell>
          <cell r="G495" t="str">
            <v>ja</v>
          </cell>
          <cell r="H495" t="str">
            <v>【上級】最悪の刺客</v>
          </cell>
          <cell r="I495" t="str">
            <v>上級</v>
          </cell>
          <cell r="J495">
            <v>650</v>
          </cell>
          <cell r="K495">
            <v>20</v>
          </cell>
          <cell r="L495">
            <v>2000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none</v>
          </cell>
          <cell r="T495">
            <v>0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2601</v>
          </cell>
          <cell r="AD495">
            <v>6</v>
          </cell>
          <cell r="AE495" t="str">
            <v>everyone</v>
          </cell>
        </row>
        <row r="496">
          <cell r="A496" t="str">
            <v>30028_3</v>
          </cell>
          <cell r="B496">
            <v>3</v>
          </cell>
          <cell r="C496">
            <v>30028</v>
          </cell>
          <cell r="D496" t="str">
            <v>最悪の刺客</v>
          </cell>
          <cell r="E496" t="str">
            <v>ドロップイベント8（マルチ専用）</v>
          </cell>
          <cell r="F496">
            <v>3</v>
          </cell>
          <cell r="G496" t="str">
            <v>ja</v>
          </cell>
          <cell r="H496" t="str">
            <v>【超級】最悪の刺客</v>
          </cell>
          <cell r="I496" t="str">
            <v>超級</v>
          </cell>
          <cell r="J496">
            <v>651</v>
          </cell>
          <cell r="K496">
            <v>30</v>
          </cell>
          <cell r="L496">
            <v>3300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polygon</v>
          </cell>
          <cell r="T496">
            <v>1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2601</v>
          </cell>
          <cell r="AD496">
            <v>6</v>
          </cell>
          <cell r="AE496" t="str">
            <v>everyone</v>
          </cell>
        </row>
        <row r="497">
          <cell r="A497" t="str">
            <v>30029_1</v>
          </cell>
          <cell r="B497">
            <v>3</v>
          </cell>
          <cell r="C497">
            <v>30029</v>
          </cell>
          <cell r="D497" t="str">
            <v>全ては主のために</v>
          </cell>
          <cell r="E497" t="str">
            <v>ドロップイベント8（マルチ専用）</v>
          </cell>
          <cell r="F497">
            <v>1</v>
          </cell>
          <cell r="G497" t="str">
            <v>ja</v>
          </cell>
          <cell r="H497" t="str">
            <v>【中級】全ては主のために</v>
          </cell>
          <cell r="I497" t="str">
            <v>中級</v>
          </cell>
          <cell r="J497">
            <v>648</v>
          </cell>
          <cell r="K497">
            <v>15</v>
          </cell>
          <cell r="L497">
            <v>1200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5</v>
          </cell>
          <cell r="AD497">
            <v>6</v>
          </cell>
          <cell r="AE497" t="str">
            <v>everyone</v>
          </cell>
        </row>
        <row r="498">
          <cell r="A498" t="str">
            <v>30029_2</v>
          </cell>
          <cell r="B498">
            <v>3</v>
          </cell>
          <cell r="C498">
            <v>30029</v>
          </cell>
          <cell r="D498" t="str">
            <v>全ては主のために</v>
          </cell>
          <cell r="E498" t="str">
            <v>ドロップイベント8（マルチ専用）</v>
          </cell>
          <cell r="F498">
            <v>2</v>
          </cell>
          <cell r="G498" t="str">
            <v>ja</v>
          </cell>
          <cell r="H498" t="str">
            <v>【上級】全ては主のために</v>
          </cell>
          <cell r="I498" t="str">
            <v>上級</v>
          </cell>
          <cell r="J498">
            <v>648</v>
          </cell>
          <cell r="K498">
            <v>20</v>
          </cell>
          <cell r="L498">
            <v>2000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none</v>
          </cell>
          <cell r="T498">
            <v>0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5</v>
          </cell>
          <cell r="AD498">
            <v>6</v>
          </cell>
          <cell r="AE498" t="str">
            <v>everyone</v>
          </cell>
        </row>
        <row r="499">
          <cell r="A499" t="str">
            <v>30029_3</v>
          </cell>
          <cell r="B499">
            <v>3</v>
          </cell>
          <cell r="C499">
            <v>30029</v>
          </cell>
          <cell r="D499" t="str">
            <v>全ては主のために</v>
          </cell>
          <cell r="E499" t="str">
            <v>ドロップイベント8（マルチ専用）</v>
          </cell>
          <cell r="F499">
            <v>3</v>
          </cell>
          <cell r="G499" t="str">
            <v>ja</v>
          </cell>
          <cell r="H499" t="str">
            <v>【超級】全ては主のために</v>
          </cell>
          <cell r="I499" t="str">
            <v>超級</v>
          </cell>
          <cell r="J499">
            <v>648</v>
          </cell>
          <cell r="K499">
            <v>30</v>
          </cell>
          <cell r="L499">
            <v>3300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polygon</v>
          </cell>
          <cell r="T499">
            <v>1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5</v>
          </cell>
          <cell r="AD499">
            <v>6</v>
          </cell>
          <cell r="AE499" t="str">
            <v>everyone</v>
          </cell>
        </row>
        <row r="500">
          <cell r="A500" t="str">
            <v>30030_1</v>
          </cell>
          <cell r="B500">
            <v>3</v>
          </cell>
          <cell r="C500">
            <v>30030</v>
          </cell>
          <cell r="D500" t="str">
            <v>ここは誰の箱庭じゃ？</v>
          </cell>
          <cell r="E500" t="str">
            <v>ドロップイベント9（マルチ専用）</v>
          </cell>
          <cell r="F500">
            <v>1</v>
          </cell>
          <cell r="G500" t="str">
            <v>ja</v>
          </cell>
          <cell r="H500" t="str">
            <v>【中級】ここは誰の箱庭じゃ？</v>
          </cell>
          <cell r="I500" t="str">
            <v>中級</v>
          </cell>
          <cell r="J500">
            <v>652</v>
          </cell>
          <cell r="K500">
            <v>15</v>
          </cell>
          <cell r="L500">
            <v>1200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8</v>
          </cell>
          <cell r="AD500">
            <v>6</v>
          </cell>
          <cell r="AE500" t="str">
            <v>everyone</v>
          </cell>
        </row>
        <row r="501">
          <cell r="A501" t="str">
            <v>30030_2</v>
          </cell>
          <cell r="B501">
            <v>3</v>
          </cell>
          <cell r="C501">
            <v>30030</v>
          </cell>
          <cell r="D501" t="str">
            <v>ここは誰の箱庭じゃ？</v>
          </cell>
          <cell r="E501" t="str">
            <v>ドロップイベント9（マルチ専用）</v>
          </cell>
          <cell r="F501">
            <v>2</v>
          </cell>
          <cell r="G501" t="str">
            <v>ja</v>
          </cell>
          <cell r="H501" t="str">
            <v>【上級】ここは誰の箱庭じゃ？</v>
          </cell>
          <cell r="I501" t="str">
            <v>上級</v>
          </cell>
          <cell r="J501">
            <v>653</v>
          </cell>
          <cell r="K501">
            <v>20</v>
          </cell>
          <cell r="L501">
            <v>2000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none</v>
          </cell>
          <cell r="T501">
            <v>0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8</v>
          </cell>
          <cell r="AD501">
            <v>6</v>
          </cell>
          <cell r="AE501" t="str">
            <v>everyone</v>
          </cell>
        </row>
        <row r="502">
          <cell r="A502" t="str">
            <v>30030_3</v>
          </cell>
          <cell r="B502">
            <v>3</v>
          </cell>
          <cell r="C502">
            <v>30030</v>
          </cell>
          <cell r="D502" t="str">
            <v>ここは誰の箱庭じゃ？</v>
          </cell>
          <cell r="E502" t="str">
            <v>ドロップイベント9（マルチ専用）</v>
          </cell>
          <cell r="F502">
            <v>3</v>
          </cell>
          <cell r="G502" t="str">
            <v>ja</v>
          </cell>
          <cell r="H502" t="str">
            <v>【超級】ここは誰の箱庭じゃ？</v>
          </cell>
          <cell r="I502" t="str">
            <v>超級</v>
          </cell>
          <cell r="J502">
            <v>653</v>
          </cell>
          <cell r="K502">
            <v>30</v>
          </cell>
          <cell r="L502">
            <v>3300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polygon</v>
          </cell>
          <cell r="T502">
            <v>1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8</v>
          </cell>
          <cell r="AD502">
            <v>6</v>
          </cell>
          <cell r="AE502" t="str">
            <v>everyone</v>
          </cell>
        </row>
        <row r="503">
          <cell r="A503" t="str">
            <v>30031_1</v>
          </cell>
          <cell r="B503">
            <v>3</v>
          </cell>
          <cell r="C503">
            <v>30031</v>
          </cell>
          <cell r="D503" t="str">
            <v>力への羨望</v>
          </cell>
          <cell r="E503" t="str">
            <v>ドロップイベント10（マルチ専用）</v>
          </cell>
          <cell r="F503">
            <v>1</v>
          </cell>
          <cell r="G503" t="str">
            <v>ja</v>
          </cell>
          <cell r="H503" t="str">
            <v>【中級】力への羨望</v>
          </cell>
          <cell r="I503" t="str">
            <v>中級</v>
          </cell>
          <cell r="J503">
            <v>764</v>
          </cell>
          <cell r="K503">
            <v>15</v>
          </cell>
          <cell r="L503">
            <v>1200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20</v>
          </cell>
          <cell r="AD503">
            <v>6</v>
          </cell>
          <cell r="AE503" t="str">
            <v>everyone</v>
          </cell>
        </row>
        <row r="504">
          <cell r="A504" t="str">
            <v>30031_2</v>
          </cell>
          <cell r="B504">
            <v>3</v>
          </cell>
          <cell r="C504">
            <v>30031</v>
          </cell>
          <cell r="D504" t="str">
            <v>力への羨望</v>
          </cell>
          <cell r="E504" t="str">
            <v>ドロップイベント10（マルチ専用）</v>
          </cell>
          <cell r="F504">
            <v>2</v>
          </cell>
          <cell r="G504" t="str">
            <v>ja</v>
          </cell>
          <cell r="H504" t="str">
            <v>【上級】力への羨望</v>
          </cell>
          <cell r="I504" t="str">
            <v>上級</v>
          </cell>
          <cell r="J504">
            <v>764</v>
          </cell>
          <cell r="K504">
            <v>20</v>
          </cell>
          <cell r="L504">
            <v>2000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20</v>
          </cell>
          <cell r="AD504">
            <v>6</v>
          </cell>
          <cell r="AE504" t="str">
            <v>everyone</v>
          </cell>
        </row>
        <row r="505">
          <cell r="A505" t="str">
            <v>30031_3</v>
          </cell>
          <cell r="B505">
            <v>3</v>
          </cell>
          <cell r="C505">
            <v>30031</v>
          </cell>
          <cell r="D505" t="str">
            <v>力への羨望</v>
          </cell>
          <cell r="E505" t="str">
            <v>ドロップイベント10（マルチ専用）</v>
          </cell>
          <cell r="F505">
            <v>3</v>
          </cell>
          <cell r="G505" t="str">
            <v>ja</v>
          </cell>
          <cell r="H505" t="str">
            <v>【超級】力への羨望</v>
          </cell>
          <cell r="I505" t="str">
            <v>超級</v>
          </cell>
          <cell r="J505">
            <v>765</v>
          </cell>
          <cell r="K505">
            <v>30</v>
          </cell>
          <cell r="L505">
            <v>3300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polygon</v>
          </cell>
          <cell r="T505">
            <v>1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20</v>
          </cell>
          <cell r="AD505">
            <v>6</v>
          </cell>
          <cell r="AE505" t="str">
            <v>everyone</v>
          </cell>
        </row>
        <row r="506">
          <cell r="A506" t="str">
            <v>30032_1</v>
          </cell>
          <cell r="B506">
            <v>3</v>
          </cell>
          <cell r="C506">
            <v>30032</v>
          </cell>
          <cell r="D506" t="str">
            <v>赤き竜の制裁</v>
          </cell>
          <cell r="E506" t="str">
            <v>円卓2（マルチ専用）</v>
          </cell>
          <cell r="F506">
            <v>1</v>
          </cell>
          <cell r="G506" t="str">
            <v>ja</v>
          </cell>
          <cell r="H506" t="str">
            <v>【中級】赤き竜の制裁</v>
          </cell>
          <cell r="I506" t="str">
            <v>中級</v>
          </cell>
          <cell r="J506">
            <v>767</v>
          </cell>
          <cell r="K506">
            <v>15</v>
          </cell>
          <cell r="L506">
            <v>1200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none</v>
          </cell>
          <cell r="T506">
            <v>0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14</v>
          </cell>
          <cell r="AD506">
            <v>6</v>
          </cell>
          <cell r="AE506" t="str">
            <v>everyone</v>
          </cell>
        </row>
        <row r="507">
          <cell r="A507" t="str">
            <v>30032_2</v>
          </cell>
          <cell r="B507">
            <v>3</v>
          </cell>
          <cell r="C507">
            <v>30032</v>
          </cell>
          <cell r="D507" t="str">
            <v>赤き竜の制裁</v>
          </cell>
          <cell r="E507" t="str">
            <v>円卓2（マルチ専用）</v>
          </cell>
          <cell r="F507">
            <v>2</v>
          </cell>
          <cell r="G507" t="str">
            <v>ja</v>
          </cell>
          <cell r="H507" t="str">
            <v>【上級】赤き竜の制裁</v>
          </cell>
          <cell r="I507" t="str">
            <v>上級</v>
          </cell>
          <cell r="J507">
            <v>767</v>
          </cell>
          <cell r="K507">
            <v>20</v>
          </cell>
          <cell r="L507">
            <v>2000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14</v>
          </cell>
          <cell r="AD507">
            <v>6</v>
          </cell>
          <cell r="AE507" t="str">
            <v>everyone</v>
          </cell>
        </row>
        <row r="508">
          <cell r="A508" t="str">
            <v>30032_3</v>
          </cell>
          <cell r="B508">
            <v>3</v>
          </cell>
          <cell r="C508">
            <v>30032</v>
          </cell>
          <cell r="D508" t="str">
            <v>赤き竜の制裁</v>
          </cell>
          <cell r="E508" t="str">
            <v>円卓2（マルチ専用）</v>
          </cell>
          <cell r="F508">
            <v>3</v>
          </cell>
          <cell r="G508" t="str">
            <v>ja</v>
          </cell>
          <cell r="H508" t="str">
            <v>【超級】赤き竜の制裁</v>
          </cell>
          <cell r="I508" t="str">
            <v>超級</v>
          </cell>
          <cell r="J508">
            <v>767</v>
          </cell>
          <cell r="K508">
            <v>30</v>
          </cell>
          <cell r="L508">
            <v>3300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polygon</v>
          </cell>
          <cell r="T508">
            <v>1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14</v>
          </cell>
          <cell r="AD508">
            <v>6</v>
          </cell>
          <cell r="AE508" t="str">
            <v>everyone</v>
          </cell>
        </row>
        <row r="509">
          <cell r="A509" t="str">
            <v>30033_1</v>
          </cell>
          <cell r="B509">
            <v>3</v>
          </cell>
          <cell r="C509">
            <v>30033</v>
          </cell>
          <cell r="D509" t="str">
            <v>御館様の懐刀</v>
          </cell>
          <cell r="E509" t="str">
            <v>戦国１</v>
          </cell>
          <cell r="F509">
            <v>1</v>
          </cell>
          <cell r="G509" t="str">
            <v>ja</v>
          </cell>
          <cell r="H509" t="str">
            <v>【中級】御館様の懐刀</v>
          </cell>
          <cell r="I509" t="str">
            <v>中級</v>
          </cell>
          <cell r="J509">
            <v>722</v>
          </cell>
          <cell r="K509">
            <v>15</v>
          </cell>
          <cell r="L509">
            <v>1200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2</v>
          </cell>
          <cell r="AD509">
            <v>6</v>
          </cell>
          <cell r="AE509" t="str">
            <v>everyone</v>
          </cell>
        </row>
        <row r="510">
          <cell r="A510" t="str">
            <v>30033_2</v>
          </cell>
          <cell r="B510">
            <v>3</v>
          </cell>
          <cell r="C510">
            <v>30033</v>
          </cell>
          <cell r="D510" t="str">
            <v>御館様の懐刀</v>
          </cell>
          <cell r="E510" t="str">
            <v>戦国１</v>
          </cell>
          <cell r="F510">
            <v>2</v>
          </cell>
          <cell r="G510" t="str">
            <v>ja</v>
          </cell>
          <cell r="H510" t="str">
            <v>【上級】御館様の懐刀</v>
          </cell>
          <cell r="I510" t="str">
            <v>上級</v>
          </cell>
          <cell r="J510">
            <v>722</v>
          </cell>
          <cell r="K510">
            <v>20</v>
          </cell>
          <cell r="L510">
            <v>2000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none</v>
          </cell>
          <cell r="T510">
            <v>0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2</v>
          </cell>
          <cell r="AD510">
            <v>6</v>
          </cell>
          <cell r="AE510" t="str">
            <v>everyone</v>
          </cell>
        </row>
        <row r="511">
          <cell r="A511" t="str">
            <v>30033_3</v>
          </cell>
          <cell r="B511">
            <v>3</v>
          </cell>
          <cell r="C511">
            <v>30033</v>
          </cell>
          <cell r="D511" t="str">
            <v>御館様の懐刀</v>
          </cell>
          <cell r="E511" t="str">
            <v>戦国１</v>
          </cell>
          <cell r="F511">
            <v>3</v>
          </cell>
          <cell r="G511" t="str">
            <v>ja</v>
          </cell>
          <cell r="H511" t="str">
            <v>【超級】御館様の懐刀</v>
          </cell>
          <cell r="I511" t="str">
            <v>超級</v>
          </cell>
          <cell r="J511">
            <v>723</v>
          </cell>
          <cell r="K511">
            <v>30</v>
          </cell>
          <cell r="L511">
            <v>3300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polygon</v>
          </cell>
          <cell r="T511">
            <v>1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2</v>
          </cell>
          <cell r="AD511">
            <v>6</v>
          </cell>
          <cell r="AE511" t="str">
            <v>everyone</v>
          </cell>
        </row>
        <row r="512">
          <cell r="A512" t="str">
            <v>30034_1</v>
          </cell>
          <cell r="B512">
            <v>3</v>
          </cell>
          <cell r="C512">
            <v>30034</v>
          </cell>
          <cell r="D512" t="str">
            <v>孤高の焔翼</v>
          </cell>
          <cell r="E512" t="str">
            <v>天使と悪魔</v>
          </cell>
          <cell r="F512">
            <v>1</v>
          </cell>
          <cell r="G512" t="str">
            <v>ja</v>
          </cell>
          <cell r="H512" t="str">
            <v>【中級】孤高の焔翼</v>
          </cell>
          <cell r="I512" t="str">
            <v>中級</v>
          </cell>
          <cell r="J512">
            <v>840</v>
          </cell>
          <cell r="K512">
            <v>15</v>
          </cell>
          <cell r="L512">
            <v>1200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10</v>
          </cell>
          <cell r="AD512">
            <v>6</v>
          </cell>
          <cell r="AE512" t="str">
            <v>everyone</v>
          </cell>
        </row>
        <row r="513">
          <cell r="A513" t="str">
            <v>30034_2</v>
          </cell>
          <cell r="B513">
            <v>3</v>
          </cell>
          <cell r="C513">
            <v>30034</v>
          </cell>
          <cell r="D513" t="str">
            <v>孤高の焔翼</v>
          </cell>
          <cell r="E513" t="str">
            <v>天使と悪魔</v>
          </cell>
          <cell r="F513">
            <v>2</v>
          </cell>
          <cell r="G513" t="str">
            <v>ja</v>
          </cell>
          <cell r="H513" t="str">
            <v>【上級】孤高の焔翼</v>
          </cell>
          <cell r="I513" t="str">
            <v>上級</v>
          </cell>
          <cell r="J513">
            <v>840</v>
          </cell>
          <cell r="K513">
            <v>20</v>
          </cell>
          <cell r="L513">
            <v>2000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10</v>
          </cell>
          <cell r="AD513">
            <v>6</v>
          </cell>
          <cell r="AE513" t="str">
            <v>everyone</v>
          </cell>
        </row>
        <row r="514">
          <cell r="A514" t="str">
            <v>30034_3</v>
          </cell>
          <cell r="B514">
            <v>3</v>
          </cell>
          <cell r="C514">
            <v>30034</v>
          </cell>
          <cell r="D514" t="str">
            <v>孤高の焔翼</v>
          </cell>
          <cell r="E514" t="str">
            <v>天使と悪魔</v>
          </cell>
          <cell r="F514">
            <v>3</v>
          </cell>
          <cell r="G514" t="str">
            <v>ja</v>
          </cell>
          <cell r="H514" t="str">
            <v>【超級】孤高の焔翼</v>
          </cell>
          <cell r="I514" t="str">
            <v>超級</v>
          </cell>
          <cell r="J514">
            <v>841</v>
          </cell>
          <cell r="K514">
            <v>30</v>
          </cell>
          <cell r="L514">
            <v>3300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polygon</v>
          </cell>
          <cell r="T514">
            <v>1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10</v>
          </cell>
          <cell r="AD514">
            <v>6</v>
          </cell>
          <cell r="AE514" t="str">
            <v>everyone</v>
          </cell>
        </row>
        <row r="515">
          <cell r="A515" t="str">
            <v>30035_1</v>
          </cell>
          <cell r="B515">
            <v>3</v>
          </cell>
          <cell r="C515">
            <v>30035</v>
          </cell>
          <cell r="D515" t="str">
            <v>大鯨の呼び声</v>
          </cell>
          <cell r="E515" t="str">
            <v>童話シリーズ3本目</v>
          </cell>
          <cell r="F515">
            <v>1</v>
          </cell>
          <cell r="G515" t="str">
            <v>ja</v>
          </cell>
          <cell r="H515" t="str">
            <v>【中級】大鯨の呼び声</v>
          </cell>
          <cell r="I515" t="str">
            <v>中級</v>
          </cell>
          <cell r="J515">
            <v>858</v>
          </cell>
          <cell r="K515">
            <v>15</v>
          </cell>
          <cell r="L515">
            <v>1200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5</v>
          </cell>
          <cell r="AD515">
            <v>6</v>
          </cell>
          <cell r="AE515" t="str">
            <v>everyone</v>
          </cell>
        </row>
        <row r="516">
          <cell r="A516" t="str">
            <v>30035_2</v>
          </cell>
          <cell r="B516">
            <v>3</v>
          </cell>
          <cell r="C516">
            <v>30035</v>
          </cell>
          <cell r="D516" t="str">
            <v>大鯨の呼び声</v>
          </cell>
          <cell r="E516" t="str">
            <v>童話シリーズ3本目</v>
          </cell>
          <cell r="F516">
            <v>2</v>
          </cell>
          <cell r="G516" t="str">
            <v>ja</v>
          </cell>
          <cell r="H516" t="str">
            <v>【上級】大鯨の呼び声</v>
          </cell>
          <cell r="I516" t="str">
            <v>上級</v>
          </cell>
          <cell r="J516">
            <v>858</v>
          </cell>
          <cell r="K516">
            <v>20</v>
          </cell>
          <cell r="L516">
            <v>2000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5</v>
          </cell>
          <cell r="AD516">
            <v>6</v>
          </cell>
          <cell r="AE516" t="str">
            <v>everyone</v>
          </cell>
        </row>
        <row r="517">
          <cell r="A517" t="str">
            <v>30035_3</v>
          </cell>
          <cell r="B517">
            <v>3</v>
          </cell>
          <cell r="C517">
            <v>30035</v>
          </cell>
          <cell r="D517" t="str">
            <v>大鯨の呼び声</v>
          </cell>
          <cell r="E517" t="str">
            <v>童話シリーズ3本目</v>
          </cell>
          <cell r="F517">
            <v>3</v>
          </cell>
          <cell r="G517" t="str">
            <v>ja</v>
          </cell>
          <cell r="H517" t="str">
            <v>【超級】大鯨の呼び声</v>
          </cell>
          <cell r="I517" t="str">
            <v>超級</v>
          </cell>
          <cell r="J517">
            <v>859</v>
          </cell>
          <cell r="K517">
            <v>30</v>
          </cell>
          <cell r="L517">
            <v>3300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polygon</v>
          </cell>
          <cell r="T517">
            <v>1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5</v>
          </cell>
          <cell r="AD517">
            <v>6</v>
          </cell>
          <cell r="AE517" t="str">
            <v>everyone</v>
          </cell>
        </row>
        <row r="518">
          <cell r="A518" t="str">
            <v>30036_1</v>
          </cell>
          <cell r="B518">
            <v>3</v>
          </cell>
          <cell r="C518">
            <v>30036</v>
          </cell>
          <cell r="D518" t="str">
            <v>猛然たる炎獣使い</v>
          </cell>
          <cell r="E518" t="str">
            <v>ギリシャ神話シリーズ超級</v>
          </cell>
          <cell r="F518">
            <v>1</v>
          </cell>
          <cell r="G518" t="str">
            <v>ja</v>
          </cell>
          <cell r="H518" t="str">
            <v>【中級】猛然たる炎獣使い</v>
          </cell>
          <cell r="I518" t="str">
            <v>中級</v>
          </cell>
          <cell r="J518">
            <v>736</v>
          </cell>
          <cell r="K518">
            <v>15</v>
          </cell>
          <cell r="L518">
            <v>1200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none</v>
          </cell>
          <cell r="T518">
            <v>0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14</v>
          </cell>
          <cell r="AD518">
            <v>6</v>
          </cell>
          <cell r="AE518" t="str">
            <v>everyone</v>
          </cell>
        </row>
        <row r="519">
          <cell r="A519" t="str">
            <v>30036_2</v>
          </cell>
          <cell r="B519">
            <v>3</v>
          </cell>
          <cell r="C519">
            <v>30036</v>
          </cell>
          <cell r="D519" t="str">
            <v>猛然たる炎獣使い</v>
          </cell>
          <cell r="E519" t="str">
            <v>ギリシャ神話シリーズ超級</v>
          </cell>
          <cell r="F519">
            <v>2</v>
          </cell>
          <cell r="G519" t="str">
            <v>ja</v>
          </cell>
          <cell r="H519" t="str">
            <v>【上級】猛然たる炎獣使い</v>
          </cell>
          <cell r="I519" t="str">
            <v>上級</v>
          </cell>
          <cell r="J519">
            <v>737</v>
          </cell>
          <cell r="K519">
            <v>20</v>
          </cell>
          <cell r="L519">
            <v>2000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14</v>
          </cell>
          <cell r="AD519">
            <v>6</v>
          </cell>
          <cell r="AE519" t="str">
            <v>everyone</v>
          </cell>
        </row>
        <row r="520">
          <cell r="A520" t="str">
            <v>30036_3</v>
          </cell>
          <cell r="B520">
            <v>3</v>
          </cell>
          <cell r="C520">
            <v>30036</v>
          </cell>
          <cell r="D520" t="str">
            <v>猛然たる炎獣使い</v>
          </cell>
          <cell r="E520" t="str">
            <v>ギリシャ神話シリーズ超級</v>
          </cell>
          <cell r="F520">
            <v>3</v>
          </cell>
          <cell r="G520" t="str">
            <v>ja</v>
          </cell>
          <cell r="H520" t="str">
            <v>【超級】猛然たる炎獣使い</v>
          </cell>
          <cell r="I520" t="str">
            <v>超級</v>
          </cell>
          <cell r="J520">
            <v>737</v>
          </cell>
          <cell r="K520">
            <v>30</v>
          </cell>
          <cell r="L520">
            <v>3300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polygon</v>
          </cell>
          <cell r="T520">
            <v>1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14</v>
          </cell>
          <cell r="AD520">
            <v>6</v>
          </cell>
          <cell r="AE520" t="str">
            <v>everyone</v>
          </cell>
        </row>
        <row r="521">
          <cell r="A521" t="str">
            <v>30037_1</v>
          </cell>
          <cell r="B521">
            <v>3</v>
          </cell>
          <cell r="C521">
            <v>30037</v>
          </cell>
          <cell r="D521" t="str">
            <v>灯り火の麗人</v>
          </cell>
          <cell r="E521" t="str">
            <v>フランス革命シリーズ超級</v>
          </cell>
          <cell r="F521">
            <v>1</v>
          </cell>
          <cell r="G521" t="str">
            <v>ja</v>
          </cell>
          <cell r="H521" t="str">
            <v>【中級】灯り火の麗人</v>
          </cell>
          <cell r="I521" t="str">
            <v>中級</v>
          </cell>
          <cell r="J521">
            <v>934</v>
          </cell>
          <cell r="K521">
            <v>15</v>
          </cell>
          <cell r="L521">
            <v>1200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none</v>
          </cell>
          <cell r="T521">
            <v>0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6</v>
          </cell>
          <cell r="AD521">
            <v>6</v>
          </cell>
          <cell r="AE521" t="str">
            <v>everyone</v>
          </cell>
        </row>
        <row r="522">
          <cell r="A522" t="str">
            <v>30037_2</v>
          </cell>
          <cell r="B522">
            <v>3</v>
          </cell>
          <cell r="C522">
            <v>30037</v>
          </cell>
          <cell r="D522" t="str">
            <v>灯り火の麗人</v>
          </cell>
          <cell r="E522" t="str">
            <v>フランス革命シリーズ超級</v>
          </cell>
          <cell r="F522">
            <v>2</v>
          </cell>
          <cell r="G522" t="str">
            <v>ja</v>
          </cell>
          <cell r="H522" t="str">
            <v>【上級】灯り火の麗人</v>
          </cell>
          <cell r="I522" t="str">
            <v>上級</v>
          </cell>
          <cell r="J522">
            <v>934</v>
          </cell>
          <cell r="K522">
            <v>20</v>
          </cell>
          <cell r="L522">
            <v>2000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6</v>
          </cell>
          <cell r="AD522">
            <v>6</v>
          </cell>
          <cell r="AE522" t="str">
            <v>everyone</v>
          </cell>
        </row>
        <row r="523">
          <cell r="A523" t="str">
            <v>30037_3</v>
          </cell>
          <cell r="B523">
            <v>3</v>
          </cell>
          <cell r="C523">
            <v>30037</v>
          </cell>
          <cell r="D523" t="str">
            <v>灯り火の麗人</v>
          </cell>
          <cell r="E523" t="str">
            <v>フランス革命シリーズ超級</v>
          </cell>
          <cell r="F523">
            <v>3</v>
          </cell>
          <cell r="G523" t="str">
            <v>ja</v>
          </cell>
          <cell r="H523" t="str">
            <v>【超級】灯り火の麗人</v>
          </cell>
          <cell r="I523" t="str">
            <v>超級</v>
          </cell>
          <cell r="J523">
            <v>934</v>
          </cell>
          <cell r="K523">
            <v>30</v>
          </cell>
          <cell r="L523">
            <v>3300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polygon</v>
          </cell>
          <cell r="T523">
            <v>1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6</v>
          </cell>
          <cell r="AD523">
            <v>6</v>
          </cell>
          <cell r="AE523" t="str">
            <v>everyone</v>
          </cell>
        </row>
        <row r="524">
          <cell r="A524" t="str">
            <v>30038_1</v>
          </cell>
          <cell r="B524">
            <v>3</v>
          </cell>
          <cell r="C524">
            <v>30038</v>
          </cell>
          <cell r="D524" t="str">
            <v>毒絶神の願い</v>
          </cell>
          <cell r="E524" t="str">
            <v>エジプト神話シリーズ超級</v>
          </cell>
          <cell r="F524">
            <v>1</v>
          </cell>
          <cell r="G524" t="str">
            <v>ja</v>
          </cell>
          <cell r="H524" t="str">
            <v>【中級】毒絶神の願い</v>
          </cell>
          <cell r="I524" t="str">
            <v>中級</v>
          </cell>
          <cell r="J524">
            <v>1007</v>
          </cell>
          <cell r="K524">
            <v>15</v>
          </cell>
          <cell r="L524">
            <v>1200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8</v>
          </cell>
          <cell r="AD524">
            <v>6</v>
          </cell>
          <cell r="AE524" t="str">
            <v>everyone</v>
          </cell>
        </row>
        <row r="525">
          <cell r="A525" t="str">
            <v>30038_2</v>
          </cell>
          <cell r="B525">
            <v>3</v>
          </cell>
          <cell r="C525">
            <v>30038</v>
          </cell>
          <cell r="D525" t="str">
            <v>毒絶神の願い</v>
          </cell>
          <cell r="E525" t="str">
            <v>エジプト神話シリーズ超級</v>
          </cell>
          <cell r="F525">
            <v>2</v>
          </cell>
          <cell r="G525" t="str">
            <v>ja</v>
          </cell>
          <cell r="H525" t="str">
            <v>【上級】毒絶神の願い</v>
          </cell>
          <cell r="I525" t="str">
            <v>上級</v>
          </cell>
          <cell r="J525">
            <v>1007</v>
          </cell>
          <cell r="K525">
            <v>20</v>
          </cell>
          <cell r="L525">
            <v>2000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none</v>
          </cell>
          <cell r="T525">
            <v>0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8</v>
          </cell>
          <cell r="AD525">
            <v>6</v>
          </cell>
          <cell r="AE525" t="str">
            <v>everyone</v>
          </cell>
        </row>
        <row r="526">
          <cell r="A526" t="str">
            <v>30038_3</v>
          </cell>
          <cell r="B526">
            <v>3</v>
          </cell>
          <cell r="C526">
            <v>30038</v>
          </cell>
          <cell r="D526" t="str">
            <v>毒絶神の願い</v>
          </cell>
          <cell r="E526" t="str">
            <v>エジプト神話シリーズ超級</v>
          </cell>
          <cell r="F526">
            <v>3</v>
          </cell>
          <cell r="G526" t="str">
            <v>ja</v>
          </cell>
          <cell r="H526" t="str">
            <v>【超級】毒絶神の願い</v>
          </cell>
          <cell r="I526" t="str">
            <v>超級</v>
          </cell>
          <cell r="J526">
            <v>1007</v>
          </cell>
          <cell r="K526">
            <v>30</v>
          </cell>
          <cell r="L526">
            <v>3300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polygon</v>
          </cell>
          <cell r="T526">
            <v>1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8</v>
          </cell>
          <cell r="AD526">
            <v>6</v>
          </cell>
          <cell r="AE526" t="str">
            <v>everyone</v>
          </cell>
        </row>
        <row r="527">
          <cell r="A527" t="str">
            <v>39001_1</v>
          </cell>
          <cell r="B527">
            <v>3</v>
          </cell>
          <cell r="C527">
            <v>39001</v>
          </cell>
          <cell r="D527" t="str">
            <v>雪の歌姫</v>
          </cell>
          <cell r="E527" t="str">
            <v>コラボクエスト</v>
          </cell>
          <cell r="F527">
            <v>1</v>
          </cell>
          <cell r="G527" t="str">
            <v>ja</v>
          </cell>
          <cell r="H527" t="str">
            <v>【初級】雪の歌姫</v>
          </cell>
          <cell r="I527" t="str">
            <v>初級</v>
          </cell>
          <cell r="J527">
            <v>525</v>
          </cell>
          <cell r="K527">
            <v>8</v>
          </cell>
          <cell r="L527">
            <v>384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none</v>
          </cell>
          <cell r="T527">
            <v>0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909</v>
          </cell>
          <cell r="AD527">
            <v>6</v>
          </cell>
          <cell r="AE527" t="str">
            <v>everyone</v>
          </cell>
        </row>
        <row r="528">
          <cell r="A528" t="str">
            <v>39001_2</v>
          </cell>
          <cell r="B528">
            <v>3</v>
          </cell>
          <cell r="C528">
            <v>39001</v>
          </cell>
          <cell r="D528" t="str">
            <v>雪の歌姫</v>
          </cell>
          <cell r="E528" t="str">
            <v>コラボクエスト</v>
          </cell>
          <cell r="F528">
            <v>2</v>
          </cell>
          <cell r="G528" t="str">
            <v>ja</v>
          </cell>
          <cell r="H528" t="str">
            <v>【中級】雪の歌姫</v>
          </cell>
          <cell r="I528" t="str">
            <v>中級</v>
          </cell>
          <cell r="J528">
            <v>525</v>
          </cell>
          <cell r="K528">
            <v>15</v>
          </cell>
          <cell r="L528">
            <v>1200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none</v>
          </cell>
          <cell r="T528">
            <v>0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909</v>
          </cell>
          <cell r="AD528">
            <v>6</v>
          </cell>
          <cell r="AE528" t="str">
            <v>everyone</v>
          </cell>
        </row>
        <row r="529">
          <cell r="A529" t="str">
            <v>39001_3</v>
          </cell>
          <cell r="B529">
            <v>3</v>
          </cell>
          <cell r="C529">
            <v>39001</v>
          </cell>
          <cell r="D529" t="str">
            <v>雪の歌姫</v>
          </cell>
          <cell r="E529" t="str">
            <v>コラボクエスト</v>
          </cell>
          <cell r="F529">
            <v>3</v>
          </cell>
          <cell r="G529" t="str">
            <v>ja</v>
          </cell>
          <cell r="H529" t="str">
            <v>【上級】雪の歌姫</v>
          </cell>
          <cell r="I529" t="str">
            <v>上級</v>
          </cell>
          <cell r="J529">
            <v>525</v>
          </cell>
          <cell r="K529">
            <v>20</v>
          </cell>
          <cell r="L529">
            <v>2000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909</v>
          </cell>
          <cell r="AD529">
            <v>6</v>
          </cell>
          <cell r="AE529" t="str">
            <v>everyone</v>
          </cell>
        </row>
        <row r="530">
          <cell r="A530" t="str">
            <v>39001_4</v>
          </cell>
          <cell r="B530">
            <v>3</v>
          </cell>
          <cell r="C530">
            <v>39001</v>
          </cell>
          <cell r="D530" t="str">
            <v>雪の歌姫</v>
          </cell>
          <cell r="E530" t="str">
            <v>コラボクエスト</v>
          </cell>
          <cell r="F530">
            <v>4</v>
          </cell>
          <cell r="G530" t="str">
            <v>ja</v>
          </cell>
          <cell r="H530" t="str">
            <v>【超級】雪の歌姫</v>
          </cell>
          <cell r="I530" t="str">
            <v>超級</v>
          </cell>
          <cell r="J530">
            <v>526</v>
          </cell>
          <cell r="K530">
            <v>30</v>
          </cell>
          <cell r="L530">
            <v>3300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909</v>
          </cell>
          <cell r="AD530">
            <v>6</v>
          </cell>
          <cell r="AE530" t="str">
            <v>everyone</v>
          </cell>
        </row>
        <row r="531">
          <cell r="A531" t="str">
            <v>39001_5</v>
          </cell>
          <cell r="B531">
            <v>3</v>
          </cell>
          <cell r="C531">
            <v>39001</v>
          </cell>
          <cell r="D531" t="str">
            <v>雪の歌姫</v>
          </cell>
          <cell r="E531" t="str">
            <v>コラボクエスト</v>
          </cell>
          <cell r="F531">
            <v>5</v>
          </cell>
          <cell r="G531" t="str">
            <v>ja</v>
          </cell>
          <cell r="H531" t="str">
            <v>【超絶級】雪の歌姫</v>
          </cell>
          <cell r="I531" t="str">
            <v>超絶級</v>
          </cell>
          <cell r="J531">
            <v>526</v>
          </cell>
          <cell r="K531">
            <v>35</v>
          </cell>
          <cell r="L531">
            <v>4200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polygon</v>
          </cell>
          <cell r="T531">
            <v>1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909</v>
          </cell>
          <cell r="AD531">
            <v>6</v>
          </cell>
          <cell r="AE531" t="str">
            <v>everyone</v>
          </cell>
        </row>
        <row r="532">
          <cell r="A532" t="str">
            <v>39002_1</v>
          </cell>
          <cell r="B532">
            <v>3</v>
          </cell>
          <cell r="C532">
            <v>39002</v>
          </cell>
          <cell r="D532" t="str">
            <v>黄巾賊の暴走を止めろ！</v>
          </cell>
          <cell r="E532" t="str">
            <v>コラボクエスト</v>
          </cell>
          <cell r="F532">
            <v>1</v>
          </cell>
          <cell r="G532" t="str">
            <v>ja</v>
          </cell>
          <cell r="H532" t="str">
            <v>【初級】黄巾賊の暴走を止めろ</v>
          </cell>
          <cell r="I532" t="str">
            <v>初級</v>
          </cell>
          <cell r="J532">
            <v>694</v>
          </cell>
          <cell r="K532">
            <v>8</v>
          </cell>
          <cell r="L532">
            <v>384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none</v>
          </cell>
          <cell r="T532">
            <v>0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12</v>
          </cell>
          <cell r="AD532">
            <v>6</v>
          </cell>
          <cell r="AE532" t="str">
            <v>everyone</v>
          </cell>
        </row>
        <row r="533">
          <cell r="A533" t="str">
            <v>39002_2</v>
          </cell>
          <cell r="B533">
            <v>3</v>
          </cell>
          <cell r="C533">
            <v>39002</v>
          </cell>
          <cell r="D533" t="str">
            <v>黄巾賊の暴走を止めろ！</v>
          </cell>
          <cell r="E533" t="str">
            <v>コラボクエスト</v>
          </cell>
          <cell r="F533">
            <v>2</v>
          </cell>
          <cell r="G533" t="str">
            <v>ja</v>
          </cell>
          <cell r="H533" t="str">
            <v>【中級】黄巾賊の暴走を止めろ</v>
          </cell>
          <cell r="I533" t="str">
            <v>中級</v>
          </cell>
          <cell r="J533">
            <v>694</v>
          </cell>
          <cell r="K533">
            <v>15</v>
          </cell>
          <cell r="L533">
            <v>1200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none</v>
          </cell>
          <cell r="T533">
            <v>0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12</v>
          </cell>
          <cell r="AD533">
            <v>6</v>
          </cell>
          <cell r="AE533" t="str">
            <v>everyone</v>
          </cell>
        </row>
        <row r="534">
          <cell r="A534" t="str">
            <v>39002_3</v>
          </cell>
          <cell r="B534">
            <v>3</v>
          </cell>
          <cell r="C534">
            <v>39002</v>
          </cell>
          <cell r="D534" t="str">
            <v>黄巾賊の暴走を止めろ！</v>
          </cell>
          <cell r="E534" t="str">
            <v>コラボクエスト</v>
          </cell>
          <cell r="F534">
            <v>3</v>
          </cell>
          <cell r="G534" t="str">
            <v>ja</v>
          </cell>
          <cell r="H534" t="str">
            <v>【上級】黄巾賊の暴走を止めろ</v>
          </cell>
          <cell r="I534" t="str">
            <v>上級</v>
          </cell>
          <cell r="J534">
            <v>694</v>
          </cell>
          <cell r="K534">
            <v>20</v>
          </cell>
          <cell r="L534">
            <v>2000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none</v>
          </cell>
          <cell r="T534">
            <v>0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12</v>
          </cell>
          <cell r="AD534">
            <v>6</v>
          </cell>
          <cell r="AE534" t="str">
            <v>everyone</v>
          </cell>
        </row>
        <row r="535">
          <cell r="A535" t="str">
            <v>39002_4</v>
          </cell>
          <cell r="B535">
            <v>3</v>
          </cell>
          <cell r="C535">
            <v>39002</v>
          </cell>
          <cell r="D535" t="str">
            <v>黄巾賊の暴走を止めろ！</v>
          </cell>
          <cell r="E535" t="str">
            <v>コラボクエスト</v>
          </cell>
          <cell r="F535">
            <v>4</v>
          </cell>
          <cell r="G535" t="str">
            <v>ja</v>
          </cell>
          <cell r="H535" t="str">
            <v>【超級】黄巾賊の暴走を止めろ</v>
          </cell>
          <cell r="I535" t="str">
            <v>超級</v>
          </cell>
          <cell r="J535">
            <v>694</v>
          </cell>
          <cell r="K535">
            <v>30</v>
          </cell>
          <cell r="L535">
            <v>3300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polygon</v>
          </cell>
          <cell r="T535">
            <v>1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12</v>
          </cell>
          <cell r="AD535">
            <v>6</v>
          </cell>
          <cell r="AE535" t="str">
            <v>everyone</v>
          </cell>
        </row>
        <row r="536">
          <cell r="A536" t="str">
            <v>39003_1</v>
          </cell>
          <cell r="B536">
            <v>3</v>
          </cell>
          <cell r="C536">
            <v>39003</v>
          </cell>
          <cell r="D536" t="str">
            <v>ブルースクウェアを追え！</v>
          </cell>
          <cell r="E536" t="str">
            <v>コラボクエスト</v>
          </cell>
          <cell r="F536">
            <v>1</v>
          </cell>
          <cell r="G536" t="str">
            <v>ja</v>
          </cell>
          <cell r="H536" t="str">
            <v>【初級】ブルースクウェアを追え！</v>
          </cell>
          <cell r="I536" t="str">
            <v>初級</v>
          </cell>
          <cell r="J536">
            <v>691</v>
          </cell>
          <cell r="K536">
            <v>8</v>
          </cell>
          <cell r="L536">
            <v>384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none</v>
          </cell>
          <cell r="T536">
            <v>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14</v>
          </cell>
          <cell r="AD536">
            <v>6</v>
          </cell>
          <cell r="AE536" t="str">
            <v>everyone</v>
          </cell>
        </row>
        <row r="537">
          <cell r="A537" t="str">
            <v>39003_2</v>
          </cell>
          <cell r="B537">
            <v>3</v>
          </cell>
          <cell r="C537">
            <v>39003</v>
          </cell>
          <cell r="D537" t="str">
            <v>ブルースクウェアを追え！</v>
          </cell>
          <cell r="E537" t="str">
            <v>コラボクエスト</v>
          </cell>
          <cell r="F537">
            <v>2</v>
          </cell>
          <cell r="G537" t="str">
            <v>ja</v>
          </cell>
          <cell r="H537" t="str">
            <v>【中級】ブルースクウェアを追え！</v>
          </cell>
          <cell r="I537" t="str">
            <v>中級</v>
          </cell>
          <cell r="J537">
            <v>691</v>
          </cell>
          <cell r="K537">
            <v>15</v>
          </cell>
          <cell r="L537">
            <v>1200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none</v>
          </cell>
          <cell r="T537">
            <v>0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14</v>
          </cell>
          <cell r="AD537">
            <v>6</v>
          </cell>
          <cell r="AE537" t="str">
            <v>everyone</v>
          </cell>
        </row>
        <row r="538">
          <cell r="A538" t="str">
            <v>39003_3</v>
          </cell>
          <cell r="B538">
            <v>3</v>
          </cell>
          <cell r="C538">
            <v>39003</v>
          </cell>
          <cell r="D538" t="str">
            <v>ブルースクウェアを追え！</v>
          </cell>
          <cell r="E538" t="str">
            <v>コラボクエスト</v>
          </cell>
          <cell r="F538">
            <v>3</v>
          </cell>
          <cell r="G538" t="str">
            <v>ja</v>
          </cell>
          <cell r="H538" t="str">
            <v>【上級】ブルースクウェアを追え！</v>
          </cell>
          <cell r="I538" t="str">
            <v>上級</v>
          </cell>
          <cell r="J538">
            <v>691</v>
          </cell>
          <cell r="K538">
            <v>20</v>
          </cell>
          <cell r="L538">
            <v>2000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none</v>
          </cell>
          <cell r="T538">
            <v>0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14</v>
          </cell>
          <cell r="AD538">
            <v>6</v>
          </cell>
          <cell r="AE538" t="str">
            <v>everyone</v>
          </cell>
        </row>
        <row r="539">
          <cell r="A539" t="str">
            <v>39003_4</v>
          </cell>
          <cell r="B539">
            <v>3</v>
          </cell>
          <cell r="C539">
            <v>39003</v>
          </cell>
          <cell r="D539" t="str">
            <v>ブルースクウェアを追え！</v>
          </cell>
          <cell r="E539" t="str">
            <v>コラボクエスト</v>
          </cell>
          <cell r="F539">
            <v>4</v>
          </cell>
          <cell r="G539" t="str">
            <v>ja</v>
          </cell>
          <cell r="H539" t="str">
            <v>【超級】ブルースクウェアを追え！</v>
          </cell>
          <cell r="I539" t="str">
            <v>超級</v>
          </cell>
          <cell r="J539">
            <v>691</v>
          </cell>
          <cell r="K539">
            <v>30</v>
          </cell>
          <cell r="L539">
            <v>3300</v>
          </cell>
          <cell r="M539">
            <v>1</v>
          </cell>
          <cell r="N539">
            <v>1</v>
          </cell>
          <cell r="O539">
            <v>1</v>
          </cell>
          <cell r="P539">
            <v>1</v>
          </cell>
          <cell r="Q539">
            <v>1</v>
          </cell>
          <cell r="R539">
            <v>3</v>
          </cell>
          <cell r="S539" t="str">
            <v>polygon</v>
          </cell>
          <cell r="T539">
            <v>1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14</v>
          </cell>
          <cell r="AD539">
            <v>6</v>
          </cell>
          <cell r="AE539" t="str">
            <v>everyone</v>
          </cell>
        </row>
        <row r="540">
          <cell r="A540" t="str">
            <v>39004_1</v>
          </cell>
          <cell r="B540">
            <v>3</v>
          </cell>
          <cell r="C540">
            <v>39004</v>
          </cell>
          <cell r="D540" t="str">
            <v xml:space="preserve">ニムダのおきにいり♪ </v>
          </cell>
          <cell r="E540" t="str">
            <v>コラボクエスト</v>
          </cell>
          <cell r="F540">
            <v>1</v>
          </cell>
          <cell r="G540" t="str">
            <v>ja</v>
          </cell>
          <cell r="H540" t="str">
            <v xml:space="preserve">【初級】ニムダのおきにいり♪ </v>
          </cell>
          <cell r="I540" t="str">
            <v>初級</v>
          </cell>
          <cell r="J540">
            <v>902</v>
          </cell>
          <cell r="K540">
            <v>8</v>
          </cell>
          <cell r="L540">
            <v>384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none</v>
          </cell>
          <cell r="T540">
            <v>0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933</v>
          </cell>
          <cell r="AD540">
            <v>6</v>
          </cell>
          <cell r="AE540" t="str">
            <v>everyone</v>
          </cell>
        </row>
        <row r="541">
          <cell r="A541" t="str">
            <v>39004_2</v>
          </cell>
          <cell r="B541">
            <v>3</v>
          </cell>
          <cell r="C541">
            <v>39004</v>
          </cell>
          <cell r="D541" t="str">
            <v xml:space="preserve">ニムダのおきにいり♪ </v>
          </cell>
          <cell r="E541" t="str">
            <v>コラボクエスト</v>
          </cell>
          <cell r="F541">
            <v>2</v>
          </cell>
          <cell r="G541" t="str">
            <v>ja</v>
          </cell>
          <cell r="H541" t="str">
            <v xml:space="preserve">【中級】ニムダのおきにいり♪ </v>
          </cell>
          <cell r="I541" t="str">
            <v>中級</v>
          </cell>
          <cell r="J541">
            <v>902</v>
          </cell>
          <cell r="K541">
            <v>15</v>
          </cell>
          <cell r="L541">
            <v>1200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none</v>
          </cell>
          <cell r="T541">
            <v>0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933</v>
          </cell>
          <cell r="AD541">
            <v>6</v>
          </cell>
          <cell r="AE541" t="str">
            <v>everyone</v>
          </cell>
        </row>
        <row r="542">
          <cell r="A542" t="str">
            <v>39004_3</v>
          </cell>
          <cell r="B542">
            <v>3</v>
          </cell>
          <cell r="C542">
            <v>39004</v>
          </cell>
          <cell r="D542" t="str">
            <v xml:space="preserve">ニムダのおきにいり♪ </v>
          </cell>
          <cell r="E542" t="str">
            <v>コラボクエスト</v>
          </cell>
          <cell r="F542">
            <v>3</v>
          </cell>
          <cell r="G542" t="str">
            <v>ja</v>
          </cell>
          <cell r="H542" t="str">
            <v xml:space="preserve">【上級】ニムダのおきにいり♪ </v>
          </cell>
          <cell r="I542" t="str">
            <v>上級</v>
          </cell>
          <cell r="J542">
            <v>902</v>
          </cell>
          <cell r="K542">
            <v>20</v>
          </cell>
          <cell r="L542">
            <v>2000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1</v>
          </cell>
          <cell r="R542">
            <v>3</v>
          </cell>
          <cell r="S542" t="str">
            <v>none</v>
          </cell>
          <cell r="T542">
            <v>0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933</v>
          </cell>
          <cell r="AD542">
            <v>6</v>
          </cell>
          <cell r="AE542" t="str">
            <v>everyone</v>
          </cell>
        </row>
        <row r="543">
          <cell r="A543" t="str">
            <v>39004_4</v>
          </cell>
          <cell r="B543">
            <v>3</v>
          </cell>
          <cell r="C543">
            <v>39004</v>
          </cell>
          <cell r="D543" t="str">
            <v xml:space="preserve">ニムダのおきにいり♪ </v>
          </cell>
          <cell r="E543" t="str">
            <v>コラボクエスト</v>
          </cell>
          <cell r="F543">
            <v>4</v>
          </cell>
          <cell r="G543" t="str">
            <v>ja</v>
          </cell>
          <cell r="H543" t="str">
            <v xml:space="preserve">【超級】ニムダのおきにいり♪ </v>
          </cell>
          <cell r="I543" t="str">
            <v>超級</v>
          </cell>
          <cell r="J543">
            <v>902</v>
          </cell>
          <cell r="K543">
            <v>30</v>
          </cell>
          <cell r="L543">
            <v>3300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polygon</v>
          </cell>
          <cell r="T543">
            <v>1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933</v>
          </cell>
          <cell r="AD543">
            <v>6</v>
          </cell>
          <cell r="AE543" t="str">
            <v>everyone</v>
          </cell>
        </row>
        <row r="544">
          <cell r="A544" t="str">
            <v>39005_1</v>
          </cell>
          <cell r="B544">
            <v>1</v>
          </cell>
          <cell r="C544">
            <v>39005</v>
          </cell>
          <cell r="D544" t="str">
            <v xml:space="preserve">ポ </v>
          </cell>
          <cell r="E544" t="str">
            <v>コラボクエスト</v>
          </cell>
          <cell r="F544">
            <v>1</v>
          </cell>
          <cell r="G544" t="str">
            <v>ja</v>
          </cell>
          <cell r="H544" t="str">
            <v>【初級】ポ</v>
          </cell>
          <cell r="I544" t="str">
            <v>初級</v>
          </cell>
          <cell r="J544">
            <v>8029</v>
          </cell>
          <cell r="K544">
            <v>8</v>
          </cell>
          <cell r="L544">
            <v>384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none</v>
          </cell>
          <cell r="T544">
            <v>0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909</v>
          </cell>
          <cell r="AD544">
            <v>6</v>
          </cell>
          <cell r="AE544" t="str">
            <v>everyone</v>
          </cell>
        </row>
        <row r="545">
          <cell r="A545" t="str">
            <v>39005_2</v>
          </cell>
          <cell r="B545">
            <v>1</v>
          </cell>
          <cell r="C545">
            <v>39005</v>
          </cell>
          <cell r="D545" t="str">
            <v xml:space="preserve">ポ </v>
          </cell>
          <cell r="E545" t="str">
            <v>コラボクエスト</v>
          </cell>
          <cell r="F545">
            <v>2</v>
          </cell>
          <cell r="G545" t="str">
            <v>ja</v>
          </cell>
          <cell r="H545" t="str">
            <v>【中級】ポ</v>
          </cell>
          <cell r="I545" t="str">
            <v>中級</v>
          </cell>
          <cell r="J545">
            <v>8029</v>
          </cell>
          <cell r="K545">
            <v>15</v>
          </cell>
          <cell r="L545">
            <v>1200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none</v>
          </cell>
          <cell r="T545">
            <v>0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909</v>
          </cell>
          <cell r="AD545">
            <v>6</v>
          </cell>
          <cell r="AE545" t="str">
            <v>everyone</v>
          </cell>
        </row>
        <row r="546">
          <cell r="A546" t="str">
            <v>39005_3</v>
          </cell>
          <cell r="B546">
            <v>1</v>
          </cell>
          <cell r="C546">
            <v>39005</v>
          </cell>
          <cell r="D546" t="str">
            <v xml:space="preserve">ポ </v>
          </cell>
          <cell r="E546" t="str">
            <v>コラボクエスト</v>
          </cell>
          <cell r="F546">
            <v>3</v>
          </cell>
          <cell r="G546" t="str">
            <v>ja</v>
          </cell>
          <cell r="H546" t="str">
            <v>【上級】ポ</v>
          </cell>
          <cell r="I546" t="str">
            <v>上級</v>
          </cell>
          <cell r="J546">
            <v>8029</v>
          </cell>
          <cell r="K546">
            <v>20</v>
          </cell>
          <cell r="L546">
            <v>2000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none</v>
          </cell>
          <cell r="T546">
            <v>0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909</v>
          </cell>
          <cell r="AD546">
            <v>6</v>
          </cell>
          <cell r="AE546" t="str">
            <v>everyone</v>
          </cell>
        </row>
        <row r="547">
          <cell r="A547" t="str">
            <v>39005_4</v>
          </cell>
          <cell r="B547">
            <v>1</v>
          </cell>
          <cell r="C547">
            <v>39005</v>
          </cell>
          <cell r="D547" t="str">
            <v xml:space="preserve">ポ </v>
          </cell>
          <cell r="E547" t="str">
            <v>コラボクエスト</v>
          </cell>
          <cell r="F547">
            <v>4</v>
          </cell>
          <cell r="G547" t="str">
            <v>ja</v>
          </cell>
          <cell r="H547" t="str">
            <v>【超級】ポ</v>
          </cell>
          <cell r="I547" t="str">
            <v>超級</v>
          </cell>
          <cell r="J547">
            <v>8029</v>
          </cell>
          <cell r="K547">
            <v>30</v>
          </cell>
          <cell r="L547">
            <v>3300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none</v>
          </cell>
          <cell r="T547">
            <v>0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909</v>
          </cell>
          <cell r="AD547">
            <v>6</v>
          </cell>
          <cell r="AE547" t="str">
            <v>everyone</v>
          </cell>
        </row>
        <row r="548">
          <cell r="A548" t="str">
            <v>39005_5</v>
          </cell>
          <cell r="B548">
            <v>1</v>
          </cell>
          <cell r="C548">
            <v>39005</v>
          </cell>
          <cell r="D548" t="str">
            <v xml:space="preserve">ポ </v>
          </cell>
          <cell r="E548" t="str">
            <v>コラボクエスト</v>
          </cell>
          <cell r="F548">
            <v>5</v>
          </cell>
          <cell r="G548" t="str">
            <v>ja</v>
          </cell>
          <cell r="H548" t="str">
            <v>【超絶級】ポ</v>
          </cell>
          <cell r="I548" t="str">
            <v>超絶級</v>
          </cell>
          <cell r="J548">
            <v>8030</v>
          </cell>
          <cell r="K548">
            <v>35</v>
          </cell>
          <cell r="L548">
            <v>4200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polygon</v>
          </cell>
          <cell r="T548">
            <v>1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909</v>
          </cell>
          <cell r="AD548">
            <v>6</v>
          </cell>
          <cell r="AE548" t="str">
            <v>everyone</v>
          </cell>
        </row>
        <row r="549">
          <cell r="A549" t="str">
            <v>39006_1</v>
          </cell>
          <cell r="B549">
            <v>1</v>
          </cell>
          <cell r="C549">
            <v>39006</v>
          </cell>
          <cell r="D549" t="str">
            <v>シガンシナ区攻防戦</v>
          </cell>
          <cell r="E549" t="str">
            <v>コラボクエスト</v>
          </cell>
          <cell r="F549">
            <v>1</v>
          </cell>
          <cell r="G549" t="str">
            <v>ja</v>
          </cell>
          <cell r="H549" t="str">
            <v xml:space="preserve">【初級】Ti </v>
          </cell>
          <cell r="I549" t="str">
            <v>初級</v>
          </cell>
          <cell r="J549">
            <v>0</v>
          </cell>
          <cell r="K549">
            <v>8</v>
          </cell>
          <cell r="L549">
            <v>384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none</v>
          </cell>
          <cell r="T549">
            <v>0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938</v>
          </cell>
          <cell r="AD549">
            <v>6</v>
          </cell>
          <cell r="AE549" t="str">
            <v>everyone</v>
          </cell>
        </row>
        <row r="550">
          <cell r="A550" t="str">
            <v>39006_2</v>
          </cell>
          <cell r="B550">
            <v>1</v>
          </cell>
          <cell r="C550">
            <v>39006</v>
          </cell>
          <cell r="D550" t="str">
            <v>シガンシナ区攻防戦</v>
          </cell>
          <cell r="E550" t="str">
            <v>コラボクエスト</v>
          </cell>
          <cell r="F550">
            <v>2</v>
          </cell>
          <cell r="G550" t="str">
            <v>ja</v>
          </cell>
          <cell r="H550" t="str">
            <v>【中級】Ti</v>
          </cell>
          <cell r="I550" t="str">
            <v>中級</v>
          </cell>
          <cell r="J550">
            <v>0</v>
          </cell>
          <cell r="K550">
            <v>15</v>
          </cell>
          <cell r="L550">
            <v>1200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none</v>
          </cell>
          <cell r="T550">
            <v>0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938</v>
          </cell>
          <cell r="AD550">
            <v>6</v>
          </cell>
          <cell r="AE550" t="str">
            <v>everyone</v>
          </cell>
        </row>
        <row r="551">
          <cell r="A551" t="str">
            <v>39006_3</v>
          </cell>
          <cell r="B551">
            <v>1</v>
          </cell>
          <cell r="C551">
            <v>39006</v>
          </cell>
          <cell r="D551" t="str">
            <v>シガンシナ区攻防戦</v>
          </cell>
          <cell r="E551" t="str">
            <v>コラボクエスト</v>
          </cell>
          <cell r="F551">
            <v>3</v>
          </cell>
          <cell r="G551" t="str">
            <v>ja</v>
          </cell>
          <cell r="H551" t="str">
            <v>【上級】Ti</v>
          </cell>
          <cell r="I551" t="str">
            <v>上級</v>
          </cell>
          <cell r="J551">
            <v>0</v>
          </cell>
          <cell r="K551">
            <v>20</v>
          </cell>
          <cell r="L551">
            <v>2000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none</v>
          </cell>
          <cell r="T551">
            <v>0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938</v>
          </cell>
          <cell r="AD551">
            <v>6</v>
          </cell>
          <cell r="AE551" t="str">
            <v>everyone</v>
          </cell>
        </row>
        <row r="552">
          <cell r="A552" t="str">
            <v>39006_4</v>
          </cell>
          <cell r="B552">
            <v>1</v>
          </cell>
          <cell r="C552">
            <v>39006</v>
          </cell>
          <cell r="D552" t="str">
            <v>シガンシナ区攻防戦</v>
          </cell>
          <cell r="E552" t="str">
            <v>コラボクエスト</v>
          </cell>
          <cell r="F552">
            <v>4</v>
          </cell>
          <cell r="G552" t="str">
            <v>ja</v>
          </cell>
          <cell r="H552" t="str">
            <v>【超級】Ti</v>
          </cell>
          <cell r="I552" t="str">
            <v>超級</v>
          </cell>
          <cell r="J552">
            <v>0</v>
          </cell>
          <cell r="K552">
            <v>30</v>
          </cell>
          <cell r="L552">
            <v>3300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938</v>
          </cell>
          <cell r="AD552">
            <v>6</v>
          </cell>
          <cell r="AE552" t="str">
            <v>everyone</v>
          </cell>
        </row>
        <row r="553">
          <cell r="A553" t="str">
            <v>40001_1</v>
          </cell>
          <cell r="B553">
            <v>1</v>
          </cell>
          <cell r="C553">
            <v>40001</v>
          </cell>
          <cell r="D553" t="str">
            <v>アマテラス襲来！</v>
          </cell>
          <cell r="E553" t="str">
            <v>降臨1</v>
          </cell>
          <cell r="F553">
            <v>1</v>
          </cell>
          <cell r="G553" t="str">
            <v>ja</v>
          </cell>
          <cell r="H553" t="str">
            <v xml:space="preserve">【ウィザード級】アマテラス襲来 </v>
          </cell>
          <cell r="I553" t="str">
            <v>地獄級</v>
          </cell>
          <cell r="J553">
            <v>278</v>
          </cell>
          <cell r="K553">
            <v>35</v>
          </cell>
          <cell r="L553">
            <v>4200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none</v>
          </cell>
          <cell r="T553">
            <v>0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901</v>
          </cell>
          <cell r="AD553">
            <v>6</v>
          </cell>
          <cell r="AE553" t="str">
            <v>everyone</v>
          </cell>
        </row>
        <row r="554">
          <cell r="A554" t="str">
            <v>40002_1</v>
          </cell>
          <cell r="B554">
            <v>1</v>
          </cell>
          <cell r="C554">
            <v>40002</v>
          </cell>
          <cell r="D554" t="str">
            <v>アザゼル襲来！</v>
          </cell>
          <cell r="E554" t="str">
            <v>降臨2</v>
          </cell>
          <cell r="F554">
            <v>1</v>
          </cell>
          <cell r="G554" t="str">
            <v>ja</v>
          </cell>
          <cell r="H554" t="str">
            <v xml:space="preserve">【超級】アザゼル襲来 </v>
          </cell>
          <cell r="I554" t="str">
            <v>超級</v>
          </cell>
          <cell r="J554">
            <v>296</v>
          </cell>
          <cell r="K554">
            <v>25</v>
          </cell>
          <cell r="L554">
            <v>2000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none</v>
          </cell>
          <cell r="T554">
            <v>0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902</v>
          </cell>
          <cell r="AD554">
            <v>6</v>
          </cell>
          <cell r="AE554" t="str">
            <v>everyone</v>
          </cell>
        </row>
        <row r="555">
          <cell r="A555" t="str">
            <v>40002_2</v>
          </cell>
          <cell r="B555">
            <v>1</v>
          </cell>
          <cell r="C555">
            <v>40002</v>
          </cell>
          <cell r="D555" t="str">
            <v>アザゼル襲来！</v>
          </cell>
          <cell r="E555" t="str">
            <v>降臨2</v>
          </cell>
          <cell r="F555">
            <v>2</v>
          </cell>
          <cell r="G555" t="str">
            <v>ja</v>
          </cell>
          <cell r="H555" t="str">
            <v>【超絶級】アザゼル襲来</v>
          </cell>
          <cell r="I555" t="str">
            <v>超絶級</v>
          </cell>
          <cell r="J555">
            <v>297</v>
          </cell>
          <cell r="K555">
            <v>30</v>
          </cell>
          <cell r="L555">
            <v>3300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none</v>
          </cell>
          <cell r="T555">
            <v>0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902</v>
          </cell>
          <cell r="AD555">
            <v>6</v>
          </cell>
          <cell r="AE555" t="str">
            <v>everyone</v>
          </cell>
        </row>
        <row r="556">
          <cell r="A556" t="str">
            <v>40002_3</v>
          </cell>
          <cell r="B556">
            <v>1</v>
          </cell>
          <cell r="C556">
            <v>40002</v>
          </cell>
          <cell r="D556" t="str">
            <v>アザゼル襲来！</v>
          </cell>
          <cell r="E556" t="str">
            <v>降臨2</v>
          </cell>
          <cell r="F556">
            <v>3</v>
          </cell>
          <cell r="G556" t="str">
            <v>ja</v>
          </cell>
          <cell r="H556" t="str">
            <v xml:space="preserve">【ウィザード級】アザゼル襲来 </v>
          </cell>
          <cell r="I556" t="str">
            <v>地獄級</v>
          </cell>
          <cell r="J556">
            <v>297</v>
          </cell>
          <cell r="K556">
            <v>35</v>
          </cell>
          <cell r="L556">
            <v>4200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character</v>
          </cell>
          <cell r="T556">
            <v>296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902</v>
          </cell>
          <cell r="AD556">
            <v>6</v>
          </cell>
          <cell r="AE556" t="str">
            <v>everyone</v>
          </cell>
        </row>
        <row r="557">
          <cell r="A557" t="str">
            <v>40003_1</v>
          </cell>
          <cell r="B557">
            <v>1</v>
          </cell>
          <cell r="C557">
            <v>40003</v>
          </cell>
          <cell r="D557" t="str">
            <v>ジャンヌ襲来！</v>
          </cell>
          <cell r="E557" t="str">
            <v>降臨3</v>
          </cell>
          <cell r="F557">
            <v>1</v>
          </cell>
          <cell r="G557" t="str">
            <v>ja</v>
          </cell>
          <cell r="H557" t="str">
            <v xml:space="preserve">【ウィザード級】ジャンヌ襲来 </v>
          </cell>
          <cell r="I557" t="str">
            <v>地獄級</v>
          </cell>
          <cell r="J557">
            <v>315</v>
          </cell>
          <cell r="K557">
            <v>35</v>
          </cell>
          <cell r="L557">
            <v>4200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character</v>
          </cell>
          <cell r="T557">
            <v>314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903</v>
          </cell>
          <cell r="AD557">
            <v>6</v>
          </cell>
          <cell r="AE557" t="str">
            <v>everyone</v>
          </cell>
        </row>
        <row r="558">
          <cell r="A558" t="str">
            <v>40004_1</v>
          </cell>
          <cell r="B558">
            <v>1</v>
          </cell>
          <cell r="C558">
            <v>40004</v>
          </cell>
          <cell r="D558" t="str">
            <v>宮本武蔵襲来！</v>
          </cell>
          <cell r="E558" t="str">
            <v>降臨4</v>
          </cell>
          <cell r="F558">
            <v>1</v>
          </cell>
          <cell r="G558" t="str">
            <v>ja</v>
          </cell>
          <cell r="H558" t="str">
            <v xml:space="preserve">【ウィザード級】宮本武蔵襲来 </v>
          </cell>
          <cell r="I558" t="str">
            <v>地獄級</v>
          </cell>
          <cell r="J558">
            <v>427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character</v>
          </cell>
          <cell r="T558">
            <v>426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904</v>
          </cell>
          <cell r="AD558">
            <v>6</v>
          </cell>
          <cell r="AE558" t="str">
            <v>everyone</v>
          </cell>
        </row>
        <row r="559">
          <cell r="A559" t="str">
            <v>40005_1</v>
          </cell>
          <cell r="B559">
            <v>3</v>
          </cell>
          <cell r="C559">
            <v>40005</v>
          </cell>
          <cell r="D559" t="str">
            <v>オズ襲来！</v>
          </cell>
          <cell r="E559" t="str">
            <v>降臨5</v>
          </cell>
          <cell r="F559">
            <v>1</v>
          </cell>
          <cell r="G559" t="str">
            <v>ja</v>
          </cell>
          <cell r="H559" t="str">
            <v xml:space="preserve">【ウィザード級】オズ襲来 </v>
          </cell>
          <cell r="I559" t="str">
            <v>地獄級</v>
          </cell>
          <cell r="J559">
            <v>461</v>
          </cell>
          <cell r="K559">
            <v>35</v>
          </cell>
          <cell r="L559">
            <v>4200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character</v>
          </cell>
          <cell r="T559">
            <v>460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906</v>
          </cell>
          <cell r="AD559">
            <v>6</v>
          </cell>
          <cell r="AE559" t="str">
            <v>everyone</v>
          </cell>
        </row>
        <row r="560">
          <cell r="A560" t="str">
            <v>40006_1</v>
          </cell>
          <cell r="B560">
            <v>3</v>
          </cell>
          <cell r="C560">
            <v>40006</v>
          </cell>
          <cell r="D560" t="str">
            <v>アーサー襲来！</v>
          </cell>
          <cell r="E560" t="str">
            <v>降臨6</v>
          </cell>
          <cell r="F560">
            <v>1</v>
          </cell>
          <cell r="G560" t="str">
            <v>ja</v>
          </cell>
          <cell r="H560" t="str">
            <v xml:space="preserve">【ウィザード級】アーサー襲来 </v>
          </cell>
          <cell r="I560" t="str">
            <v>地獄級</v>
          </cell>
          <cell r="J560">
            <v>473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character</v>
          </cell>
          <cell r="T560">
            <v>472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907</v>
          </cell>
          <cell r="AD560">
            <v>6</v>
          </cell>
          <cell r="AE560" t="str">
            <v>everyone</v>
          </cell>
        </row>
        <row r="561">
          <cell r="A561" t="str">
            <v>40007_1</v>
          </cell>
          <cell r="B561">
            <v>3</v>
          </cell>
          <cell r="C561">
            <v>40007</v>
          </cell>
          <cell r="D561" t="str">
            <v>グリム襲来！</v>
          </cell>
          <cell r="E561" t="str">
            <v>降臨7</v>
          </cell>
          <cell r="F561">
            <v>1</v>
          </cell>
          <cell r="G561" t="str">
            <v>ja</v>
          </cell>
          <cell r="H561" t="str">
            <v xml:space="preserve">【ウィザード級】グリム襲来 </v>
          </cell>
          <cell r="I561" t="str">
            <v>地獄級</v>
          </cell>
          <cell r="J561">
            <v>491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character</v>
          </cell>
          <cell r="T561">
            <v>490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908</v>
          </cell>
          <cell r="AD561">
            <v>6</v>
          </cell>
          <cell r="AE561" t="str">
            <v>everyone</v>
          </cell>
        </row>
        <row r="562">
          <cell r="A562" t="str">
            <v>40008_1</v>
          </cell>
          <cell r="B562">
            <v>3</v>
          </cell>
          <cell r="C562">
            <v>40008</v>
          </cell>
          <cell r="D562" t="str">
            <v>Gスター襲来！</v>
          </cell>
          <cell r="E562" t="str">
            <v>降臨8</v>
          </cell>
          <cell r="F562">
            <v>1</v>
          </cell>
          <cell r="G562" t="str">
            <v>ja</v>
          </cell>
          <cell r="H562" t="str">
            <v xml:space="preserve">【ウィザード級】Gスター襲来 </v>
          </cell>
          <cell r="I562" t="str">
            <v>地獄級</v>
          </cell>
          <cell r="J562">
            <v>509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character</v>
          </cell>
          <cell r="T562">
            <v>508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2601</v>
          </cell>
          <cell r="AD562">
            <v>6</v>
          </cell>
          <cell r="AE562" t="str">
            <v>everyone</v>
          </cell>
        </row>
        <row r="563">
          <cell r="A563" t="str">
            <v>40009_1</v>
          </cell>
          <cell r="B563">
            <v>3</v>
          </cell>
          <cell r="C563">
            <v>40009</v>
          </cell>
          <cell r="D563" t="str">
            <v>フギンとムニン襲来！</v>
          </cell>
          <cell r="E563" t="str">
            <v>降臨9</v>
          </cell>
          <cell r="F563">
            <v>1</v>
          </cell>
          <cell r="G563" t="str">
            <v>ja</v>
          </cell>
          <cell r="H563" t="str">
            <v xml:space="preserve">【ウィザード級】フギンとムニン襲来 </v>
          </cell>
          <cell r="I563" t="str">
            <v>地獄級</v>
          </cell>
          <cell r="J563">
            <v>582</v>
          </cell>
          <cell r="K563">
            <v>35</v>
          </cell>
          <cell r="L563">
            <v>4200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character</v>
          </cell>
          <cell r="T563">
            <v>581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25</v>
          </cell>
          <cell r="AD563">
            <v>6</v>
          </cell>
          <cell r="AE563" t="str">
            <v>everyone</v>
          </cell>
        </row>
        <row r="564">
          <cell r="A564" t="str">
            <v>40010_1</v>
          </cell>
          <cell r="B564">
            <v>3</v>
          </cell>
          <cell r="C564">
            <v>40010</v>
          </cell>
          <cell r="D564" t="str">
            <v>フレイ襲来！</v>
          </cell>
          <cell r="E564" t="str">
            <v>降臨10</v>
          </cell>
          <cell r="F564">
            <v>1</v>
          </cell>
          <cell r="G564" t="str">
            <v>ja</v>
          </cell>
          <cell r="H564" t="str">
            <v xml:space="preserve">【ウィザード級】フレイ襲来 </v>
          </cell>
          <cell r="I564" t="str">
            <v>地獄級</v>
          </cell>
          <cell r="J564">
            <v>575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0</v>
          </cell>
          <cell r="Q564">
            <v>1</v>
          </cell>
          <cell r="R564">
            <v>3</v>
          </cell>
          <cell r="S564" t="str">
            <v>character</v>
          </cell>
          <cell r="T564">
            <v>575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912</v>
          </cell>
          <cell r="AD564">
            <v>6</v>
          </cell>
          <cell r="AE564" t="str">
            <v>everyone</v>
          </cell>
        </row>
        <row r="565">
          <cell r="A565" t="str">
            <v>40011_1</v>
          </cell>
          <cell r="B565">
            <v>3</v>
          </cell>
          <cell r="C565">
            <v>40011</v>
          </cell>
          <cell r="D565" t="str">
            <v>ヨミ襲来！</v>
          </cell>
          <cell r="E565" t="str">
            <v>降臨11</v>
          </cell>
          <cell r="F565">
            <v>1</v>
          </cell>
          <cell r="G565" t="str">
            <v>ja</v>
          </cell>
          <cell r="H565" t="str">
            <v xml:space="preserve">【ウィザード級】ヨミ襲来 </v>
          </cell>
          <cell r="I565" t="str">
            <v>地獄級</v>
          </cell>
          <cell r="J565">
            <v>655</v>
          </cell>
          <cell r="K565">
            <v>35</v>
          </cell>
          <cell r="L565">
            <v>4200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character</v>
          </cell>
          <cell r="T565">
            <v>654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913</v>
          </cell>
          <cell r="AD565">
            <v>6</v>
          </cell>
          <cell r="AE565" t="str">
            <v>everyone</v>
          </cell>
        </row>
        <row r="566">
          <cell r="A566" t="str">
            <v>40012_1</v>
          </cell>
          <cell r="B566">
            <v>3</v>
          </cell>
          <cell r="C566">
            <v>40012</v>
          </cell>
          <cell r="D566" t="str">
            <v>ショウキ襲来！</v>
          </cell>
          <cell r="E566" t="str">
            <v>降臨12</v>
          </cell>
          <cell r="F566">
            <v>1</v>
          </cell>
          <cell r="G566" t="str">
            <v>ja</v>
          </cell>
          <cell r="H566" t="str">
            <v xml:space="preserve">【ウィザード級】ショウキ襲来 </v>
          </cell>
          <cell r="I566" t="str">
            <v>地獄級</v>
          </cell>
          <cell r="J566">
            <v>645</v>
          </cell>
          <cell r="K566">
            <v>35</v>
          </cell>
          <cell r="L566">
            <v>4200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character</v>
          </cell>
          <cell r="T566">
            <v>644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915</v>
          </cell>
          <cell r="AD566">
            <v>6</v>
          </cell>
          <cell r="AE566" t="str">
            <v>everyone</v>
          </cell>
        </row>
        <row r="567">
          <cell r="A567" t="str">
            <v>40013_1</v>
          </cell>
          <cell r="B567">
            <v>3</v>
          </cell>
          <cell r="C567">
            <v>40013</v>
          </cell>
          <cell r="D567" t="str">
            <v>カーマ襲来！</v>
          </cell>
          <cell r="E567" t="str">
            <v>降臨13</v>
          </cell>
          <cell r="F567">
            <v>1</v>
          </cell>
          <cell r="G567" t="str">
            <v>ja</v>
          </cell>
          <cell r="H567" t="str">
            <v xml:space="preserve">【ウィザード級】カーマ襲来 </v>
          </cell>
          <cell r="I567" t="str">
            <v>地獄級</v>
          </cell>
          <cell r="J567">
            <v>643</v>
          </cell>
          <cell r="K567">
            <v>35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0</v>
          </cell>
          <cell r="R567">
            <v>3</v>
          </cell>
          <cell r="S567" t="str">
            <v>character</v>
          </cell>
          <cell r="T567">
            <v>642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916</v>
          </cell>
          <cell r="AD567">
            <v>6</v>
          </cell>
          <cell r="AE567" t="str">
            <v>everyone</v>
          </cell>
        </row>
        <row r="568">
          <cell r="A568" t="str">
            <v>40014_1</v>
          </cell>
          <cell r="B568">
            <v>3</v>
          </cell>
          <cell r="C568">
            <v>40014</v>
          </cell>
          <cell r="D568" t="str">
            <v>シヴァ襲来！</v>
          </cell>
          <cell r="E568" t="str">
            <v>降臨14</v>
          </cell>
          <cell r="F568">
            <v>1</v>
          </cell>
          <cell r="G568" t="str">
            <v>ja</v>
          </cell>
          <cell r="H568" t="str">
            <v xml:space="preserve">【ウィザード級】シヴァ襲来 </v>
          </cell>
          <cell r="I568" t="str">
            <v>地獄級</v>
          </cell>
          <cell r="J568">
            <v>657</v>
          </cell>
          <cell r="K568">
            <v>35</v>
          </cell>
          <cell r="L568">
            <v>4200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character</v>
          </cell>
          <cell r="T568">
            <v>656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916</v>
          </cell>
          <cell r="AD568">
            <v>6</v>
          </cell>
          <cell r="AE568" t="str">
            <v>everyone</v>
          </cell>
        </row>
        <row r="569">
          <cell r="A569" t="str">
            <v>40015_1</v>
          </cell>
          <cell r="B569">
            <v>3</v>
          </cell>
          <cell r="C569">
            <v>40015</v>
          </cell>
          <cell r="D569" t="str">
            <v>ガレス襲来！</v>
          </cell>
          <cell r="E569" t="str">
            <v>降臨15</v>
          </cell>
          <cell r="F569">
            <v>1</v>
          </cell>
          <cell r="G569" t="str">
            <v>ja</v>
          </cell>
          <cell r="H569" t="str">
            <v xml:space="preserve">【ウィザード級】ガレス襲来 </v>
          </cell>
          <cell r="I569" t="str">
            <v>地獄級</v>
          </cell>
          <cell r="J569">
            <v>769</v>
          </cell>
          <cell r="K569">
            <v>35</v>
          </cell>
          <cell r="L569">
            <v>4200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character</v>
          </cell>
          <cell r="T569">
            <v>768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907</v>
          </cell>
          <cell r="AD569">
            <v>6</v>
          </cell>
          <cell r="AE569" t="str">
            <v>everyone</v>
          </cell>
        </row>
        <row r="570">
          <cell r="A570" t="str">
            <v>40016_1</v>
          </cell>
          <cell r="B570">
            <v>3</v>
          </cell>
          <cell r="C570">
            <v>40016</v>
          </cell>
          <cell r="D570" t="str">
            <v>武田信玄襲来！</v>
          </cell>
          <cell r="E570" t="str">
            <v>降臨16</v>
          </cell>
          <cell r="F570">
            <v>1</v>
          </cell>
          <cell r="G570" t="str">
            <v>ja</v>
          </cell>
          <cell r="H570" t="str">
            <v xml:space="preserve">【ウィザード級】武田信玄襲来 </v>
          </cell>
          <cell r="I570" t="str">
            <v>地獄級</v>
          </cell>
          <cell r="J570">
            <v>725</v>
          </cell>
          <cell r="K570">
            <v>40</v>
          </cell>
          <cell r="L570">
            <v>4500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919</v>
          </cell>
          <cell r="AD570">
            <v>6</v>
          </cell>
          <cell r="AE570" t="str">
            <v>everyone</v>
          </cell>
        </row>
        <row r="571">
          <cell r="A571" t="str">
            <v>40016_2</v>
          </cell>
          <cell r="B571">
            <v>1</v>
          </cell>
          <cell r="C571">
            <v>40016</v>
          </cell>
          <cell r="D571" t="str">
            <v>武田信玄襲来！</v>
          </cell>
          <cell r="E571" t="str">
            <v>降臨16</v>
          </cell>
          <cell r="F571">
            <v>2</v>
          </cell>
          <cell r="G571" t="str">
            <v>ja</v>
          </cell>
          <cell r="H571" t="str">
            <v xml:space="preserve">【ノーコンテニュー】武田信玄襲来 </v>
          </cell>
          <cell r="I571" t="str">
            <v>地獄級</v>
          </cell>
          <cell r="J571">
            <v>725</v>
          </cell>
          <cell r="K571">
            <v>40</v>
          </cell>
          <cell r="L571">
            <v>4500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919</v>
          </cell>
          <cell r="AD571">
            <v>6</v>
          </cell>
          <cell r="AE571" t="str">
            <v>everyone</v>
          </cell>
        </row>
        <row r="572">
          <cell r="A572" t="str">
            <v>40017_1</v>
          </cell>
          <cell r="B572">
            <v>3</v>
          </cell>
          <cell r="C572">
            <v>40017</v>
          </cell>
          <cell r="D572" t="str">
            <v>ベルゼブブ襲来！</v>
          </cell>
          <cell r="E572" t="str">
            <v>降臨17</v>
          </cell>
          <cell r="F572">
            <v>1</v>
          </cell>
          <cell r="G572" t="str">
            <v>ja</v>
          </cell>
          <cell r="H572" t="str">
            <v xml:space="preserve">【超絶級】ベルゼブブ襲来 </v>
          </cell>
          <cell r="I572" t="str">
            <v>地獄級</v>
          </cell>
          <cell r="J572">
            <v>845</v>
          </cell>
          <cell r="K572">
            <v>35</v>
          </cell>
          <cell r="L572">
            <v>4200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927</v>
          </cell>
          <cell r="AD572">
            <v>6</v>
          </cell>
          <cell r="AE572" t="str">
            <v>everyone</v>
          </cell>
        </row>
        <row r="573">
          <cell r="A573" t="str">
            <v>40017_2</v>
          </cell>
          <cell r="B573">
            <v>3</v>
          </cell>
          <cell r="C573">
            <v>40017</v>
          </cell>
          <cell r="D573" t="str">
            <v>ベルゼブブ襲来！</v>
          </cell>
          <cell r="E573" t="str">
            <v>降臨17</v>
          </cell>
          <cell r="F573">
            <v>2</v>
          </cell>
          <cell r="G573" t="str">
            <v>ja</v>
          </cell>
          <cell r="H573" t="str">
            <v>【ウィザード級】ベルゼブブ襲来</v>
          </cell>
          <cell r="I573" t="str">
            <v>地獄級</v>
          </cell>
          <cell r="J573">
            <v>845</v>
          </cell>
          <cell r="K573">
            <v>40</v>
          </cell>
          <cell r="L573">
            <v>4500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927</v>
          </cell>
          <cell r="AD573">
            <v>6</v>
          </cell>
          <cell r="AE573" t="str">
            <v>everyone</v>
          </cell>
        </row>
        <row r="574">
          <cell r="A574" t="str">
            <v>40017_3</v>
          </cell>
          <cell r="B574">
            <v>1</v>
          </cell>
          <cell r="C574">
            <v>40017</v>
          </cell>
          <cell r="D574" t="str">
            <v>ベルゼブブ襲来！</v>
          </cell>
          <cell r="E574" t="str">
            <v>降臨17</v>
          </cell>
          <cell r="F574">
            <v>3</v>
          </cell>
          <cell r="G574" t="str">
            <v>ja</v>
          </cell>
          <cell r="H574" t="str">
            <v>【ノーコンテニュー】ベルゼブブ襲来</v>
          </cell>
          <cell r="I574" t="str">
            <v>地獄級</v>
          </cell>
          <cell r="J574">
            <v>845</v>
          </cell>
          <cell r="K574">
            <v>40</v>
          </cell>
          <cell r="L574">
            <v>4500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927</v>
          </cell>
          <cell r="AD574">
            <v>6</v>
          </cell>
          <cell r="AE574" t="str">
            <v>everyone</v>
          </cell>
        </row>
        <row r="575">
          <cell r="A575" t="str">
            <v>40018_1</v>
          </cell>
          <cell r="B575">
            <v>3</v>
          </cell>
          <cell r="C575">
            <v>40018</v>
          </cell>
          <cell r="D575" t="str">
            <v>ジーナ襲来！</v>
          </cell>
          <cell r="E575" t="str">
            <v>降臨18</v>
          </cell>
          <cell r="F575">
            <v>1</v>
          </cell>
          <cell r="G575" t="str">
            <v>ja</v>
          </cell>
          <cell r="H575" t="str">
            <v xml:space="preserve">【超絶級】ジーナ襲来 </v>
          </cell>
          <cell r="I575" t="str">
            <v>地獄級</v>
          </cell>
          <cell r="J575">
            <v>861</v>
          </cell>
          <cell r="K575">
            <v>35</v>
          </cell>
          <cell r="L575">
            <v>4200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929</v>
          </cell>
          <cell r="AD575">
            <v>6</v>
          </cell>
          <cell r="AE575" t="str">
            <v>everyone</v>
          </cell>
        </row>
        <row r="576">
          <cell r="A576" t="str">
            <v>40018_2</v>
          </cell>
          <cell r="B576">
            <v>3</v>
          </cell>
          <cell r="C576">
            <v>40018</v>
          </cell>
          <cell r="D576" t="str">
            <v>ジーナ襲来！</v>
          </cell>
          <cell r="E576" t="str">
            <v>降臨18</v>
          </cell>
          <cell r="F576">
            <v>2</v>
          </cell>
          <cell r="G576" t="str">
            <v>ja</v>
          </cell>
          <cell r="H576" t="str">
            <v>【ウィザード級】ジーナ襲来</v>
          </cell>
          <cell r="I576" t="str">
            <v>地獄級</v>
          </cell>
          <cell r="J576">
            <v>861</v>
          </cell>
          <cell r="K576">
            <v>40</v>
          </cell>
          <cell r="L576">
            <v>4500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W576" t="str">
            <v/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929</v>
          </cell>
          <cell r="AD576">
            <v>6</v>
          </cell>
          <cell r="AE576" t="str">
            <v>everyone</v>
          </cell>
        </row>
        <row r="577">
          <cell r="A577" t="str">
            <v>40018_3</v>
          </cell>
          <cell r="B577">
            <v>1</v>
          </cell>
          <cell r="C577">
            <v>40018</v>
          </cell>
          <cell r="D577" t="str">
            <v>ジーナ襲来！</v>
          </cell>
          <cell r="E577" t="str">
            <v>降臨18</v>
          </cell>
          <cell r="F577">
            <v>3</v>
          </cell>
          <cell r="G577" t="str">
            <v>ja</v>
          </cell>
          <cell r="H577" t="str">
            <v>【ノーコンテニュー】ジーナ襲来</v>
          </cell>
          <cell r="I577" t="str">
            <v>地獄級</v>
          </cell>
          <cell r="J577">
            <v>861</v>
          </cell>
          <cell r="K577">
            <v>40</v>
          </cell>
          <cell r="L577">
            <v>4500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W577" t="str">
            <v/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929</v>
          </cell>
          <cell r="AD577">
            <v>6</v>
          </cell>
          <cell r="AE577" t="str">
            <v>everyone</v>
          </cell>
        </row>
        <row r="578">
          <cell r="A578" t="str">
            <v>40019_1</v>
          </cell>
          <cell r="B578">
            <v>3</v>
          </cell>
          <cell r="C578">
            <v>40019</v>
          </cell>
          <cell r="D578" t="str">
            <v>テュポーン襲来！</v>
          </cell>
          <cell r="E578" t="str">
            <v>降臨19</v>
          </cell>
          <cell r="F578">
            <v>1</v>
          </cell>
          <cell r="G578" t="str">
            <v>ja</v>
          </cell>
          <cell r="H578" t="str">
            <v xml:space="preserve">【超絶級】テュポーン襲来 </v>
          </cell>
          <cell r="I578" t="str">
            <v>超絶級</v>
          </cell>
          <cell r="J578">
            <v>741</v>
          </cell>
          <cell r="K578">
            <v>35</v>
          </cell>
          <cell r="L578">
            <v>4200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polygon</v>
          </cell>
          <cell r="T578">
            <v>1</v>
          </cell>
          <cell r="U578" t="str">
            <v>NULL</v>
          </cell>
          <cell r="V578" t="str">
            <v>NULL</v>
          </cell>
          <cell r="W578" t="str">
            <v/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921</v>
          </cell>
          <cell r="AD578">
            <v>6</v>
          </cell>
          <cell r="AE578" t="str">
            <v>everyone</v>
          </cell>
        </row>
        <row r="579">
          <cell r="A579" t="str">
            <v>40019_2</v>
          </cell>
          <cell r="B579">
            <v>3</v>
          </cell>
          <cell r="C579">
            <v>40019</v>
          </cell>
          <cell r="D579" t="str">
            <v>テュポーン襲来！</v>
          </cell>
          <cell r="E579" t="str">
            <v>降臨19</v>
          </cell>
          <cell r="F579">
            <v>2</v>
          </cell>
          <cell r="G579" t="str">
            <v>ja</v>
          </cell>
          <cell r="H579" t="str">
            <v>【ウィザード級】テュポーン襲来</v>
          </cell>
          <cell r="I579" t="str">
            <v>地獄級</v>
          </cell>
          <cell r="J579">
            <v>741</v>
          </cell>
          <cell r="K579">
            <v>40</v>
          </cell>
          <cell r="L579">
            <v>4500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W579" t="str">
            <v/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921</v>
          </cell>
          <cell r="AD579">
            <v>6</v>
          </cell>
          <cell r="AE579" t="str">
            <v>everyone</v>
          </cell>
        </row>
        <row r="580">
          <cell r="A580" t="str">
            <v>40019_3</v>
          </cell>
          <cell r="B580">
            <v>1</v>
          </cell>
          <cell r="C580">
            <v>40019</v>
          </cell>
          <cell r="D580" t="str">
            <v>テュポーン襲来！</v>
          </cell>
          <cell r="E580" t="str">
            <v>降臨19</v>
          </cell>
          <cell r="F580">
            <v>3</v>
          </cell>
          <cell r="G580" t="str">
            <v>ja</v>
          </cell>
          <cell r="H580" t="str">
            <v>【ノーコンテニュー】テュポーン襲来</v>
          </cell>
          <cell r="I580" t="str">
            <v>地獄級</v>
          </cell>
          <cell r="J580">
            <v>741</v>
          </cell>
          <cell r="K580">
            <v>40</v>
          </cell>
          <cell r="L580">
            <v>4500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W580" t="str">
            <v/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921</v>
          </cell>
          <cell r="AD580">
            <v>6</v>
          </cell>
          <cell r="AE580" t="str">
            <v>everyone</v>
          </cell>
        </row>
        <row r="581">
          <cell r="A581" t="str">
            <v>40021_1</v>
          </cell>
          <cell r="B581">
            <v>3</v>
          </cell>
          <cell r="C581">
            <v>40021</v>
          </cell>
          <cell r="D581" t="str">
            <v>ルイ16世襲来！</v>
          </cell>
          <cell r="E581" t="str">
            <v>降臨21</v>
          </cell>
          <cell r="F581">
            <v>1</v>
          </cell>
          <cell r="G581" t="str">
            <v>ja</v>
          </cell>
          <cell r="H581" t="str">
            <v xml:space="preserve">【超絶級】ルイ16世襲来 </v>
          </cell>
          <cell r="I581" t="str">
            <v>超絶級</v>
          </cell>
          <cell r="J581">
            <v>936</v>
          </cell>
          <cell r="K581">
            <v>35</v>
          </cell>
          <cell r="L581">
            <v>4200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polygon</v>
          </cell>
          <cell r="T581">
            <v>1</v>
          </cell>
          <cell r="U581" t="str">
            <v>NULL</v>
          </cell>
          <cell r="V581" t="str">
            <v>NULL</v>
          </cell>
          <cell r="W581" t="str">
            <v/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936</v>
          </cell>
          <cell r="AD581">
            <v>6</v>
          </cell>
          <cell r="AE581" t="str">
            <v>everyone</v>
          </cell>
        </row>
        <row r="582">
          <cell r="A582" t="str">
            <v>40021_2</v>
          </cell>
          <cell r="B582">
            <v>3</v>
          </cell>
          <cell r="C582">
            <v>40021</v>
          </cell>
          <cell r="D582" t="str">
            <v>ルイ16世襲来！</v>
          </cell>
          <cell r="E582" t="str">
            <v>降臨21</v>
          </cell>
          <cell r="F582">
            <v>2</v>
          </cell>
          <cell r="G582" t="str">
            <v>ja</v>
          </cell>
          <cell r="H582" t="str">
            <v>【ウィザード級】ルイ16世襲来</v>
          </cell>
          <cell r="I582" t="str">
            <v>地獄級</v>
          </cell>
          <cell r="J582">
            <v>936</v>
          </cell>
          <cell r="K582">
            <v>40</v>
          </cell>
          <cell r="L582">
            <v>4500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W582" t="str">
            <v/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936</v>
          </cell>
          <cell r="AD582">
            <v>6</v>
          </cell>
          <cell r="AE582" t="str">
            <v>everyone</v>
          </cell>
        </row>
        <row r="583">
          <cell r="A583" t="str">
            <v>40022_1</v>
          </cell>
          <cell r="B583">
            <v>1</v>
          </cell>
          <cell r="C583">
            <v>40022</v>
          </cell>
          <cell r="D583" t="str">
            <v>オシリス襲来！</v>
          </cell>
          <cell r="E583" t="str">
            <v>降臨22</v>
          </cell>
          <cell r="F583">
            <v>1</v>
          </cell>
          <cell r="G583" t="str">
            <v>ja</v>
          </cell>
          <cell r="H583" t="str">
            <v xml:space="preserve">【超絶級】オシリス襲来 </v>
          </cell>
          <cell r="I583" t="str">
            <v>超絶級</v>
          </cell>
          <cell r="J583">
            <v>1009</v>
          </cell>
          <cell r="K583">
            <v>35</v>
          </cell>
          <cell r="L583">
            <v>4200</v>
          </cell>
          <cell r="M583">
            <v>1</v>
          </cell>
          <cell r="N583">
            <v>1</v>
          </cell>
          <cell r="O583">
            <v>1</v>
          </cell>
          <cell r="P583">
            <v>0</v>
          </cell>
          <cell r="Q583">
            <v>1</v>
          </cell>
          <cell r="R583">
            <v>3</v>
          </cell>
          <cell r="S583" t="str">
            <v>polygon</v>
          </cell>
          <cell r="T583">
            <v>1</v>
          </cell>
          <cell r="U583" t="str">
            <v>NULL</v>
          </cell>
          <cell r="V583" t="str">
            <v>NULL</v>
          </cell>
          <cell r="W583" t="str">
            <v/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104</v>
          </cell>
          <cell r="AD583">
            <v>6</v>
          </cell>
          <cell r="AE583" t="str">
            <v>everyone</v>
          </cell>
        </row>
        <row r="584">
          <cell r="A584" t="str">
            <v>40022_2</v>
          </cell>
          <cell r="B584">
            <v>1</v>
          </cell>
          <cell r="C584">
            <v>40022</v>
          </cell>
          <cell r="D584" t="str">
            <v>オシリス襲来！</v>
          </cell>
          <cell r="E584" t="str">
            <v>降臨22</v>
          </cell>
          <cell r="F584">
            <v>2</v>
          </cell>
          <cell r="G584" t="str">
            <v>ja</v>
          </cell>
          <cell r="H584" t="str">
            <v>【ウィザード級】オシリス襲来</v>
          </cell>
          <cell r="I584" t="str">
            <v>地獄級</v>
          </cell>
          <cell r="J584">
            <v>1009</v>
          </cell>
          <cell r="K584">
            <v>40</v>
          </cell>
          <cell r="L584">
            <v>4500</v>
          </cell>
          <cell r="M584">
            <v>1</v>
          </cell>
          <cell r="N584">
            <v>1</v>
          </cell>
          <cell r="O584">
            <v>1</v>
          </cell>
          <cell r="P584">
            <v>0</v>
          </cell>
          <cell r="Q584">
            <v>1</v>
          </cell>
          <cell r="R584">
            <v>3</v>
          </cell>
          <cell r="S584" t="str">
            <v>polygon</v>
          </cell>
          <cell r="T584">
            <v>1</v>
          </cell>
          <cell r="U584" t="str">
            <v>NULL</v>
          </cell>
          <cell r="V584" t="str">
            <v>NULL</v>
          </cell>
          <cell r="W584" t="str">
            <v/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104</v>
          </cell>
          <cell r="AD584">
            <v>6</v>
          </cell>
          <cell r="AE584" t="str">
            <v>everyone</v>
          </cell>
        </row>
        <row r="585">
          <cell r="A585" t="str">
            <v>48001_1</v>
          </cell>
          <cell r="B585">
            <v>1</v>
          </cell>
          <cell r="C585">
            <v>48001</v>
          </cell>
          <cell r="D585" t="str">
            <v>蛟龍襲来！</v>
          </cell>
          <cell r="E585" t="str">
            <v>台湾版降臨1</v>
          </cell>
          <cell r="F585">
            <v>1</v>
          </cell>
          <cell r="G585" t="str">
            <v>ja</v>
          </cell>
          <cell r="H585" t="str">
            <v>【ウィザード級】蛟龍襲来</v>
          </cell>
          <cell r="I585" t="str">
            <v>地獄級</v>
          </cell>
          <cell r="J585">
            <v>8003</v>
          </cell>
          <cell r="K585">
            <v>35</v>
          </cell>
          <cell r="L585">
            <v>4200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character</v>
          </cell>
          <cell r="T585">
            <v>8003</v>
          </cell>
          <cell r="U585" t="str">
            <v>NULL</v>
          </cell>
          <cell r="V585" t="str">
            <v>NULL</v>
          </cell>
          <cell r="W585" t="str">
            <v/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930</v>
          </cell>
          <cell r="AD585">
            <v>6</v>
          </cell>
          <cell r="AE585" t="str">
            <v>everyone</v>
          </cell>
        </row>
        <row r="586">
          <cell r="A586" t="str">
            <v>48002_1</v>
          </cell>
          <cell r="B586">
            <v>1</v>
          </cell>
          <cell r="C586">
            <v>48002</v>
          </cell>
          <cell r="D586" t="str">
            <v>孫悟空襲来！</v>
          </cell>
          <cell r="E586" t="str">
            <v>台湾版降臨2</v>
          </cell>
          <cell r="F586">
            <v>1</v>
          </cell>
          <cell r="G586" t="str">
            <v>ja</v>
          </cell>
          <cell r="H586" t="str">
            <v>【超絶級】孫悟空襲来</v>
          </cell>
          <cell r="I586" t="str">
            <v>地獄級</v>
          </cell>
          <cell r="J586">
            <v>8007</v>
          </cell>
          <cell r="K586">
            <v>35</v>
          </cell>
          <cell r="L586">
            <v>4200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polygon</v>
          </cell>
          <cell r="T586">
            <v>1</v>
          </cell>
          <cell r="U586" t="str">
            <v>NULL</v>
          </cell>
          <cell r="V586" t="str">
            <v>NULL</v>
          </cell>
          <cell r="W586" t="str">
            <v/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927</v>
          </cell>
          <cell r="AD586">
            <v>6</v>
          </cell>
          <cell r="AE586" t="str">
            <v>everyone</v>
          </cell>
        </row>
        <row r="587">
          <cell r="A587" t="str">
            <v>48002_2</v>
          </cell>
          <cell r="B587">
            <v>1</v>
          </cell>
          <cell r="C587">
            <v>48002</v>
          </cell>
          <cell r="D587" t="str">
            <v>孫悟空襲来！</v>
          </cell>
          <cell r="E587" t="str">
            <v>台湾版降臨2</v>
          </cell>
          <cell r="F587">
            <v>2</v>
          </cell>
          <cell r="G587" t="str">
            <v>ja</v>
          </cell>
          <cell r="H587" t="str">
            <v>【ウィザード級】孫悟空襲来</v>
          </cell>
          <cell r="I587" t="str">
            <v>地獄級</v>
          </cell>
          <cell r="J587">
            <v>8007</v>
          </cell>
          <cell r="K587">
            <v>40</v>
          </cell>
          <cell r="L587">
            <v>4500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polygon</v>
          </cell>
          <cell r="T587">
            <v>1</v>
          </cell>
          <cell r="U587" t="str">
            <v>NULL</v>
          </cell>
          <cell r="V587" t="str">
            <v>NULL</v>
          </cell>
          <cell r="W587" t="str">
            <v/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927</v>
          </cell>
          <cell r="AD587">
            <v>6</v>
          </cell>
          <cell r="AE587" t="str">
            <v>everyone</v>
          </cell>
        </row>
        <row r="588">
          <cell r="A588" t="str">
            <v>48002_3</v>
          </cell>
          <cell r="B588">
            <v>1</v>
          </cell>
          <cell r="C588">
            <v>48002</v>
          </cell>
          <cell r="D588" t="str">
            <v>孫悟空襲来！</v>
          </cell>
          <cell r="E588" t="str">
            <v>台湾版降臨2</v>
          </cell>
          <cell r="F588">
            <v>3</v>
          </cell>
          <cell r="G588" t="str">
            <v>ja</v>
          </cell>
          <cell r="H588" t="str">
            <v>【ノーコンテニュー】孫悟空襲来</v>
          </cell>
          <cell r="I588" t="str">
            <v>地獄級</v>
          </cell>
          <cell r="J588">
            <v>8007</v>
          </cell>
          <cell r="K588">
            <v>40</v>
          </cell>
          <cell r="L588">
            <v>4500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character</v>
          </cell>
          <cell r="T588">
            <v>8007</v>
          </cell>
          <cell r="U588" t="str">
            <v>NULL</v>
          </cell>
          <cell r="V588" t="str">
            <v>NULL</v>
          </cell>
          <cell r="W588" t="str">
            <v/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927</v>
          </cell>
          <cell r="AD588">
            <v>6</v>
          </cell>
          <cell r="AE588" t="str">
            <v>everyone</v>
          </cell>
        </row>
        <row r="589">
          <cell r="A589" t="str">
            <v>48003_1</v>
          </cell>
          <cell r="B589">
            <v>1</v>
          </cell>
          <cell r="C589">
            <v>48003</v>
          </cell>
          <cell r="D589" t="str">
            <v>月下老人襲来！</v>
          </cell>
          <cell r="E589" t="str">
            <v>台湾版降臨4</v>
          </cell>
          <cell r="F589">
            <v>1</v>
          </cell>
          <cell r="G589" t="str">
            <v>ja</v>
          </cell>
          <cell r="H589" t="str">
            <v>【超絶級】月下老人襲来</v>
          </cell>
          <cell r="I589" t="str">
            <v>地獄級</v>
          </cell>
          <cell r="J589">
            <v>8011</v>
          </cell>
          <cell r="K589">
            <v>35</v>
          </cell>
          <cell r="L589">
            <v>4200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polygon</v>
          </cell>
          <cell r="T589">
            <v>1</v>
          </cell>
          <cell r="U589" t="str">
            <v>NULL</v>
          </cell>
          <cell r="V589" t="str">
            <v>NULL</v>
          </cell>
          <cell r="W589" t="str">
            <v/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927</v>
          </cell>
          <cell r="AD589">
            <v>6</v>
          </cell>
          <cell r="AE589" t="str">
            <v>everyone</v>
          </cell>
        </row>
        <row r="590">
          <cell r="A590" t="str">
            <v>48003_2</v>
          </cell>
          <cell r="B590">
            <v>1</v>
          </cell>
          <cell r="C590">
            <v>48003</v>
          </cell>
          <cell r="D590" t="str">
            <v>月下老人襲来！</v>
          </cell>
          <cell r="E590" t="str">
            <v>台湾版降臨4</v>
          </cell>
          <cell r="F590">
            <v>2</v>
          </cell>
          <cell r="G590" t="str">
            <v>ja</v>
          </cell>
          <cell r="H590" t="str">
            <v>【ウィザード級】月下老人襲来</v>
          </cell>
          <cell r="I590" t="str">
            <v>地獄級</v>
          </cell>
          <cell r="J590">
            <v>8012</v>
          </cell>
          <cell r="K590">
            <v>40</v>
          </cell>
          <cell r="L590">
            <v>4500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polygon</v>
          </cell>
          <cell r="T590">
            <v>1</v>
          </cell>
          <cell r="U590" t="str">
            <v>NULL</v>
          </cell>
          <cell r="V590" t="str">
            <v>NULL</v>
          </cell>
          <cell r="W590" t="str">
            <v/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927</v>
          </cell>
          <cell r="AD590">
            <v>6</v>
          </cell>
          <cell r="AE590" t="str">
            <v>everyone</v>
          </cell>
        </row>
        <row r="591">
          <cell r="A591" t="str">
            <v>48003_3</v>
          </cell>
          <cell r="B591">
            <v>1</v>
          </cell>
          <cell r="C591">
            <v>48003</v>
          </cell>
          <cell r="D591" t="str">
            <v>月下老人襲来！</v>
          </cell>
          <cell r="E591" t="str">
            <v>台湾版降臨4</v>
          </cell>
          <cell r="F591">
            <v>3</v>
          </cell>
          <cell r="G591" t="str">
            <v>ja</v>
          </cell>
          <cell r="H591" t="str">
            <v>【ノーコンテニュー】月下老人襲来</v>
          </cell>
          <cell r="I591" t="str">
            <v>地獄級</v>
          </cell>
          <cell r="J591">
            <v>8012</v>
          </cell>
          <cell r="K591">
            <v>40</v>
          </cell>
          <cell r="L591">
            <v>4500</v>
          </cell>
          <cell r="M591">
            <v>1</v>
          </cell>
          <cell r="N591">
            <v>1</v>
          </cell>
          <cell r="O591">
            <v>1</v>
          </cell>
          <cell r="P591">
            <v>1</v>
          </cell>
          <cell r="Q591">
            <v>1</v>
          </cell>
          <cell r="R591">
            <v>3</v>
          </cell>
          <cell r="S591" t="str">
            <v>character</v>
          </cell>
          <cell r="T591">
            <v>8011</v>
          </cell>
          <cell r="U591" t="str">
            <v>NULL</v>
          </cell>
          <cell r="V591" t="str">
            <v>NULL</v>
          </cell>
          <cell r="W591" t="str">
            <v/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927</v>
          </cell>
          <cell r="AD591">
            <v>6</v>
          </cell>
          <cell r="AE591" t="str">
            <v>everyone</v>
          </cell>
        </row>
        <row r="592">
          <cell r="A592" t="str">
            <v>48004_1</v>
          </cell>
          <cell r="B592">
            <v>1</v>
          </cell>
          <cell r="C592">
            <v>48004</v>
          </cell>
          <cell r="D592" t="str">
            <v>蛟龍襲来！</v>
          </cell>
          <cell r="E592" t="str">
            <v>台湾版降臨5</v>
          </cell>
          <cell r="F592">
            <v>1</v>
          </cell>
          <cell r="G592" t="str">
            <v>ja</v>
          </cell>
          <cell r="H592" t="str">
            <v>【ウィザード級】蛟龍襲来</v>
          </cell>
          <cell r="I592" t="str">
            <v>地獄級</v>
          </cell>
          <cell r="J592">
            <v>8004</v>
          </cell>
          <cell r="K592">
            <v>35</v>
          </cell>
          <cell r="L592">
            <v>4200</v>
          </cell>
          <cell r="M592">
            <v>1</v>
          </cell>
          <cell r="N592">
            <v>1</v>
          </cell>
          <cell r="O592">
            <v>1</v>
          </cell>
          <cell r="P592">
            <v>1</v>
          </cell>
          <cell r="Q592">
            <v>1</v>
          </cell>
          <cell r="R592">
            <v>3</v>
          </cell>
          <cell r="S592" t="str">
            <v>character</v>
          </cell>
          <cell r="T592">
            <v>8003</v>
          </cell>
          <cell r="U592" t="str">
            <v>NULL</v>
          </cell>
          <cell r="V592" t="str">
            <v>NULL</v>
          </cell>
          <cell r="W592" t="str">
            <v/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930</v>
          </cell>
          <cell r="AD592">
            <v>6</v>
          </cell>
          <cell r="AE592" t="str">
            <v>everyone</v>
          </cell>
        </row>
        <row r="593">
          <cell r="A593" t="str">
            <v>41001_1</v>
          </cell>
          <cell r="B593">
            <v>3</v>
          </cell>
          <cell r="C593">
            <v>41001</v>
          </cell>
          <cell r="D593" t="str">
            <v>アマテラス襲来！</v>
          </cell>
          <cell r="E593" t="str">
            <v>降臨1</v>
          </cell>
          <cell r="F593">
            <v>1</v>
          </cell>
          <cell r="G593" t="str">
            <v>ja</v>
          </cell>
          <cell r="H593" t="str">
            <v>【超絶級】アマテラス襲来</v>
          </cell>
          <cell r="I593" t="str">
            <v>超絶級</v>
          </cell>
          <cell r="J593">
            <v>279</v>
          </cell>
          <cell r="K593">
            <v>35</v>
          </cell>
          <cell r="L593">
            <v>4200</v>
          </cell>
          <cell r="M593">
            <v>1</v>
          </cell>
          <cell r="N593">
            <v>1</v>
          </cell>
          <cell r="O593">
            <v>1</v>
          </cell>
          <cell r="P593">
            <v>1</v>
          </cell>
          <cell r="Q593">
            <v>1</v>
          </cell>
          <cell r="R593">
            <v>3</v>
          </cell>
          <cell r="S593" t="str">
            <v>polygon</v>
          </cell>
          <cell r="T593">
            <v>1</v>
          </cell>
          <cell r="U593" t="str">
            <v>NULL</v>
          </cell>
          <cell r="V593" t="str">
            <v>NULL</v>
          </cell>
          <cell r="W593" t="str">
            <v/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901</v>
          </cell>
          <cell r="AD593">
            <v>6</v>
          </cell>
          <cell r="AE593" t="str">
            <v>everyone</v>
          </cell>
        </row>
        <row r="594">
          <cell r="A594" t="str">
            <v>41001_2</v>
          </cell>
          <cell r="B594">
            <v>3</v>
          </cell>
          <cell r="C594">
            <v>41001</v>
          </cell>
          <cell r="D594" t="str">
            <v>アマテラス襲来！</v>
          </cell>
          <cell r="E594" t="str">
            <v>降臨1</v>
          </cell>
          <cell r="F594">
            <v>2</v>
          </cell>
          <cell r="G594" t="str">
            <v>ja</v>
          </cell>
          <cell r="H594" t="str">
            <v>【ウィザード級】アマテラス襲来</v>
          </cell>
          <cell r="I594" t="str">
            <v>地獄級</v>
          </cell>
          <cell r="J594">
            <v>810</v>
          </cell>
          <cell r="K594">
            <v>40</v>
          </cell>
          <cell r="L594">
            <v>4500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901</v>
          </cell>
          <cell r="AD594">
            <v>6</v>
          </cell>
          <cell r="AE594" t="str">
            <v>everyone</v>
          </cell>
        </row>
        <row r="595">
          <cell r="A595" t="str">
            <v>41001_3</v>
          </cell>
          <cell r="B595">
            <v>1</v>
          </cell>
          <cell r="C595">
            <v>41001</v>
          </cell>
          <cell r="D595" t="str">
            <v>アマテラス襲来！</v>
          </cell>
          <cell r="E595" t="str">
            <v>降臨1</v>
          </cell>
          <cell r="F595">
            <v>3</v>
          </cell>
          <cell r="G595" t="str">
            <v>ja</v>
          </cell>
          <cell r="H595" t="str">
            <v>【ノーコンテニュー】アマテラス襲来</v>
          </cell>
          <cell r="I595" t="str">
            <v>地獄級</v>
          </cell>
          <cell r="J595">
            <v>810</v>
          </cell>
          <cell r="K595">
            <v>40</v>
          </cell>
          <cell r="L595">
            <v>4500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polygon</v>
          </cell>
          <cell r="T595">
            <v>1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901</v>
          </cell>
          <cell r="AD595">
            <v>6</v>
          </cell>
          <cell r="AE595" t="str">
            <v>everyone</v>
          </cell>
        </row>
        <row r="596">
          <cell r="A596" t="str">
            <v>41002_1</v>
          </cell>
          <cell r="B596">
            <v>3</v>
          </cell>
          <cell r="C596">
            <v>41002</v>
          </cell>
          <cell r="D596" t="str">
            <v>アザゼル襲来！</v>
          </cell>
          <cell r="E596" t="str">
            <v>降臨1</v>
          </cell>
          <cell r="F596">
            <v>1</v>
          </cell>
          <cell r="G596" t="str">
            <v>ja</v>
          </cell>
          <cell r="H596" t="str">
            <v>【超絶級】アザゼル襲来</v>
          </cell>
          <cell r="I596" t="str">
            <v>超絶級</v>
          </cell>
          <cell r="J596">
            <v>297</v>
          </cell>
          <cell r="K596">
            <v>35</v>
          </cell>
          <cell r="L596">
            <v>4200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polygon</v>
          </cell>
          <cell r="T596">
            <v>1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902</v>
          </cell>
          <cell r="AD596">
            <v>6</v>
          </cell>
          <cell r="AE596" t="str">
            <v>everyone</v>
          </cell>
        </row>
        <row r="597">
          <cell r="A597" t="str">
            <v>41002_2</v>
          </cell>
          <cell r="B597">
            <v>3</v>
          </cell>
          <cell r="C597">
            <v>41002</v>
          </cell>
          <cell r="D597" t="str">
            <v>アザゼル襲来！</v>
          </cell>
          <cell r="E597" t="str">
            <v>降臨1</v>
          </cell>
          <cell r="F597">
            <v>2</v>
          </cell>
          <cell r="G597" t="str">
            <v>ja</v>
          </cell>
          <cell r="H597" t="str">
            <v>【ウィザード級】アザゼル襲来</v>
          </cell>
          <cell r="I597" t="str">
            <v>地獄級</v>
          </cell>
          <cell r="J597">
            <v>812</v>
          </cell>
          <cell r="K597">
            <v>40</v>
          </cell>
          <cell r="L597">
            <v>4500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902</v>
          </cell>
          <cell r="AD597">
            <v>6</v>
          </cell>
          <cell r="AE597" t="str">
            <v>everyone</v>
          </cell>
        </row>
        <row r="598">
          <cell r="A598" t="str">
            <v>41002_3</v>
          </cell>
          <cell r="B598">
            <v>1</v>
          </cell>
          <cell r="C598">
            <v>41002</v>
          </cell>
          <cell r="D598" t="str">
            <v>アザゼル襲来！</v>
          </cell>
          <cell r="E598" t="str">
            <v>降臨1</v>
          </cell>
          <cell r="F598">
            <v>3</v>
          </cell>
          <cell r="G598" t="str">
            <v>ja</v>
          </cell>
          <cell r="H598" t="str">
            <v>【ノーコンテニュー】アザゼル襲来</v>
          </cell>
          <cell r="I598" t="str">
            <v>地獄級</v>
          </cell>
          <cell r="J598">
            <v>812</v>
          </cell>
          <cell r="K598">
            <v>40</v>
          </cell>
          <cell r="L598">
            <v>4500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polygon</v>
          </cell>
          <cell r="T598">
            <v>1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902</v>
          </cell>
          <cell r="AD598">
            <v>6</v>
          </cell>
          <cell r="AE598" t="str">
            <v>everyone</v>
          </cell>
        </row>
        <row r="599">
          <cell r="A599" t="str">
            <v>41003_1</v>
          </cell>
          <cell r="B599">
            <v>3</v>
          </cell>
          <cell r="C599">
            <v>41003</v>
          </cell>
          <cell r="D599" t="str">
            <v>ジャンヌ襲来！</v>
          </cell>
          <cell r="E599" t="str">
            <v>降臨1</v>
          </cell>
          <cell r="F599">
            <v>1</v>
          </cell>
          <cell r="G599" t="str">
            <v>ja</v>
          </cell>
          <cell r="H599" t="str">
            <v>【超絶級】ジャンヌ襲来</v>
          </cell>
          <cell r="I599" t="str">
            <v>超絶級</v>
          </cell>
          <cell r="J599">
            <v>315</v>
          </cell>
          <cell r="K599">
            <v>35</v>
          </cell>
          <cell r="L599">
            <v>4200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polygon</v>
          </cell>
          <cell r="T599">
            <v>1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903</v>
          </cell>
          <cell r="AD599">
            <v>6</v>
          </cell>
          <cell r="AE599" t="str">
            <v>everyone</v>
          </cell>
        </row>
        <row r="600">
          <cell r="A600" t="str">
            <v>41003_2</v>
          </cell>
          <cell r="B600">
            <v>3</v>
          </cell>
          <cell r="C600">
            <v>41003</v>
          </cell>
          <cell r="D600" t="str">
            <v>ジャンヌ襲来！</v>
          </cell>
          <cell r="E600" t="str">
            <v>降臨1</v>
          </cell>
          <cell r="F600">
            <v>2</v>
          </cell>
          <cell r="G600" t="str">
            <v>ja</v>
          </cell>
          <cell r="H600" t="str">
            <v>【ウィザード級】ジャンヌ襲来</v>
          </cell>
          <cell r="I600" t="str">
            <v>地獄級</v>
          </cell>
          <cell r="J600">
            <v>814</v>
          </cell>
          <cell r="K600">
            <v>40</v>
          </cell>
          <cell r="L600">
            <v>4500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903</v>
          </cell>
          <cell r="AD600">
            <v>6</v>
          </cell>
          <cell r="AE600" t="str">
            <v>everyone</v>
          </cell>
        </row>
        <row r="601">
          <cell r="A601" t="str">
            <v>41003_3</v>
          </cell>
          <cell r="B601">
            <v>1</v>
          </cell>
          <cell r="C601">
            <v>41003</v>
          </cell>
          <cell r="D601" t="str">
            <v>ジャンヌ襲来！</v>
          </cell>
          <cell r="E601" t="str">
            <v>降臨1</v>
          </cell>
          <cell r="F601">
            <v>3</v>
          </cell>
          <cell r="G601" t="str">
            <v>ja</v>
          </cell>
          <cell r="H601" t="str">
            <v>【ノーコンテニュー】ジャンヌ襲来</v>
          </cell>
          <cell r="I601" t="str">
            <v>地獄級</v>
          </cell>
          <cell r="J601">
            <v>814</v>
          </cell>
          <cell r="K601">
            <v>40</v>
          </cell>
          <cell r="L601">
            <v>4500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polygon</v>
          </cell>
          <cell r="T601">
            <v>1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903</v>
          </cell>
          <cell r="AD601">
            <v>6</v>
          </cell>
          <cell r="AE601" t="str">
            <v>everyone</v>
          </cell>
        </row>
        <row r="602">
          <cell r="A602" t="str">
            <v>41004_1</v>
          </cell>
          <cell r="B602">
            <v>3</v>
          </cell>
          <cell r="C602">
            <v>41004</v>
          </cell>
          <cell r="D602" t="str">
            <v>宮本武蔵襲来！</v>
          </cell>
          <cell r="E602" t="str">
            <v>降臨1</v>
          </cell>
          <cell r="F602">
            <v>1</v>
          </cell>
          <cell r="G602" t="str">
            <v>ja</v>
          </cell>
          <cell r="H602" t="str">
            <v>【超絶級】宮本武蔵襲来</v>
          </cell>
          <cell r="I602" t="str">
            <v>超絶級</v>
          </cell>
          <cell r="J602">
            <v>427</v>
          </cell>
          <cell r="K602">
            <v>35</v>
          </cell>
          <cell r="L602">
            <v>4200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polygon</v>
          </cell>
          <cell r="T602">
            <v>1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904</v>
          </cell>
          <cell r="AD602">
            <v>6</v>
          </cell>
          <cell r="AE602" t="str">
            <v>everyone</v>
          </cell>
        </row>
        <row r="603">
          <cell r="A603" t="str">
            <v>41004_2</v>
          </cell>
          <cell r="B603">
            <v>3</v>
          </cell>
          <cell r="C603">
            <v>41004</v>
          </cell>
          <cell r="D603" t="str">
            <v>宮本武蔵襲来！</v>
          </cell>
          <cell r="E603" t="str">
            <v>降臨1</v>
          </cell>
          <cell r="F603">
            <v>2</v>
          </cell>
          <cell r="G603" t="str">
            <v>ja</v>
          </cell>
          <cell r="H603" t="str">
            <v>【ウィザード級】宮本武蔵襲来</v>
          </cell>
          <cell r="I603" t="str">
            <v>地獄級</v>
          </cell>
          <cell r="J603">
            <v>816</v>
          </cell>
          <cell r="K603">
            <v>40</v>
          </cell>
          <cell r="L603">
            <v>4500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904</v>
          </cell>
          <cell r="AD603">
            <v>6</v>
          </cell>
          <cell r="AE603" t="str">
            <v>everyone</v>
          </cell>
        </row>
        <row r="604">
          <cell r="A604" t="str">
            <v>41004_3</v>
          </cell>
          <cell r="B604">
            <v>1</v>
          </cell>
          <cell r="C604">
            <v>41004</v>
          </cell>
          <cell r="D604" t="str">
            <v>宮本武蔵襲来！</v>
          </cell>
          <cell r="E604" t="str">
            <v>降臨1</v>
          </cell>
          <cell r="F604">
            <v>3</v>
          </cell>
          <cell r="G604" t="str">
            <v>ja</v>
          </cell>
          <cell r="H604" t="str">
            <v>【ノーコンテニュー】宮本武蔵襲来</v>
          </cell>
          <cell r="I604" t="str">
            <v>地獄級</v>
          </cell>
          <cell r="J604">
            <v>816</v>
          </cell>
          <cell r="K604">
            <v>40</v>
          </cell>
          <cell r="L604">
            <v>4500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polygon</v>
          </cell>
          <cell r="T604">
            <v>1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904</v>
          </cell>
          <cell r="AD604">
            <v>6</v>
          </cell>
          <cell r="AE604" t="str">
            <v>everyone</v>
          </cell>
        </row>
        <row r="605">
          <cell r="A605" t="str">
            <v>41005_1</v>
          </cell>
          <cell r="B605">
            <v>3</v>
          </cell>
          <cell r="C605">
            <v>41005</v>
          </cell>
          <cell r="D605" t="str">
            <v>オズ襲来！</v>
          </cell>
          <cell r="E605" t="str">
            <v>降臨1</v>
          </cell>
          <cell r="F605">
            <v>1</v>
          </cell>
          <cell r="G605" t="str">
            <v>ja</v>
          </cell>
          <cell r="H605" t="str">
            <v>【超絶級】オズ襲来</v>
          </cell>
          <cell r="I605" t="str">
            <v>超絶級</v>
          </cell>
          <cell r="J605">
            <v>461</v>
          </cell>
          <cell r="K605">
            <v>35</v>
          </cell>
          <cell r="L605">
            <v>4200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polygon</v>
          </cell>
          <cell r="T605">
            <v>1</v>
          </cell>
          <cell r="U605" t="str">
            <v>NULL</v>
          </cell>
          <cell r="V605" t="str">
            <v>NULL</v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906</v>
          </cell>
          <cell r="AD605">
            <v>6</v>
          </cell>
          <cell r="AE605" t="str">
            <v>everyone</v>
          </cell>
        </row>
        <row r="606">
          <cell r="A606" t="str">
            <v>41005_2</v>
          </cell>
          <cell r="B606">
            <v>3</v>
          </cell>
          <cell r="C606">
            <v>41005</v>
          </cell>
          <cell r="D606" t="str">
            <v>オズ襲来！</v>
          </cell>
          <cell r="E606" t="str">
            <v>降臨1</v>
          </cell>
          <cell r="F606">
            <v>2</v>
          </cell>
          <cell r="G606" t="str">
            <v>ja</v>
          </cell>
          <cell r="H606" t="str">
            <v>【ウィザード級】オズ襲来</v>
          </cell>
          <cell r="I606" t="str">
            <v>地獄級</v>
          </cell>
          <cell r="J606">
            <v>818</v>
          </cell>
          <cell r="K606">
            <v>40</v>
          </cell>
          <cell r="L606">
            <v>4500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polygon</v>
          </cell>
          <cell r="T606">
            <v>1</v>
          </cell>
          <cell r="U606" t="str">
            <v>NULL</v>
          </cell>
          <cell r="V606" t="str">
            <v>NULL</v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906</v>
          </cell>
          <cell r="AD606">
            <v>6</v>
          </cell>
          <cell r="AE606" t="str">
            <v>everyone</v>
          </cell>
        </row>
        <row r="607">
          <cell r="A607" t="str">
            <v>41005_3</v>
          </cell>
          <cell r="B607">
            <v>1</v>
          </cell>
          <cell r="C607">
            <v>41005</v>
          </cell>
          <cell r="D607" t="str">
            <v>オズ襲来！</v>
          </cell>
          <cell r="E607" t="str">
            <v>降臨1</v>
          </cell>
          <cell r="F607">
            <v>3</v>
          </cell>
          <cell r="G607" t="str">
            <v>ja</v>
          </cell>
          <cell r="H607" t="str">
            <v>【ノーコンテニュー】オズ襲来</v>
          </cell>
          <cell r="I607" t="str">
            <v>地獄級</v>
          </cell>
          <cell r="J607">
            <v>818</v>
          </cell>
          <cell r="K607">
            <v>40</v>
          </cell>
          <cell r="L607">
            <v>4500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polygon</v>
          </cell>
          <cell r="T607">
            <v>1</v>
          </cell>
          <cell r="U607" t="str">
            <v>NULL</v>
          </cell>
          <cell r="V607" t="str">
            <v>NULL</v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906</v>
          </cell>
          <cell r="AD607">
            <v>6</v>
          </cell>
          <cell r="AE607" t="str">
            <v>everyone</v>
          </cell>
        </row>
        <row r="608">
          <cell r="A608" t="str">
            <v>41006_1</v>
          </cell>
          <cell r="B608">
            <v>3</v>
          </cell>
          <cell r="C608">
            <v>41006</v>
          </cell>
          <cell r="D608" t="str">
            <v>アーサー襲来！</v>
          </cell>
          <cell r="E608" t="str">
            <v>降臨1</v>
          </cell>
          <cell r="F608">
            <v>1</v>
          </cell>
          <cell r="G608" t="str">
            <v>ja</v>
          </cell>
          <cell r="H608" t="str">
            <v>【超絶級】アーサー襲来</v>
          </cell>
          <cell r="I608" t="str">
            <v>超絶級</v>
          </cell>
          <cell r="J608">
            <v>473</v>
          </cell>
          <cell r="K608">
            <v>35</v>
          </cell>
          <cell r="L608">
            <v>4200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polygon</v>
          </cell>
          <cell r="T608">
            <v>1</v>
          </cell>
          <cell r="U608" t="str">
            <v>NULL</v>
          </cell>
          <cell r="V608" t="str">
            <v>NULL</v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907</v>
          </cell>
          <cell r="AD608">
            <v>6</v>
          </cell>
          <cell r="AE608" t="str">
            <v>everyone</v>
          </cell>
        </row>
        <row r="609">
          <cell r="A609" t="str">
            <v>41006_2</v>
          </cell>
          <cell r="B609">
            <v>3</v>
          </cell>
          <cell r="C609">
            <v>41006</v>
          </cell>
          <cell r="D609" t="str">
            <v>アーサー襲来！</v>
          </cell>
          <cell r="E609" t="str">
            <v>降臨1</v>
          </cell>
          <cell r="F609">
            <v>2</v>
          </cell>
          <cell r="G609" t="str">
            <v>ja</v>
          </cell>
          <cell r="H609" t="str">
            <v>【ウィザード級】アーサー襲来</v>
          </cell>
          <cell r="I609" t="str">
            <v>地獄級</v>
          </cell>
          <cell r="J609">
            <v>820</v>
          </cell>
          <cell r="K609">
            <v>40</v>
          </cell>
          <cell r="L609">
            <v>4500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polygon</v>
          </cell>
          <cell r="T609">
            <v>1</v>
          </cell>
          <cell r="U609" t="str">
            <v>NULL</v>
          </cell>
          <cell r="V609" t="str">
            <v>NULL</v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907</v>
          </cell>
          <cell r="AD609">
            <v>6</v>
          </cell>
          <cell r="AE609" t="str">
            <v>everyone</v>
          </cell>
        </row>
        <row r="610">
          <cell r="A610" t="str">
            <v>41006_3</v>
          </cell>
          <cell r="B610">
            <v>1</v>
          </cell>
          <cell r="C610">
            <v>41006</v>
          </cell>
          <cell r="D610" t="str">
            <v>アーサー襲来！</v>
          </cell>
          <cell r="E610" t="str">
            <v>降臨1</v>
          </cell>
          <cell r="F610">
            <v>3</v>
          </cell>
          <cell r="G610" t="str">
            <v>ja</v>
          </cell>
          <cell r="H610" t="str">
            <v>【ノーコンテニュー】アーサー襲来</v>
          </cell>
          <cell r="I610" t="str">
            <v>地獄級</v>
          </cell>
          <cell r="J610">
            <v>820</v>
          </cell>
          <cell r="K610">
            <v>40</v>
          </cell>
          <cell r="L610">
            <v>4500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polygon</v>
          </cell>
          <cell r="T610">
            <v>1</v>
          </cell>
          <cell r="U610" t="str">
            <v>NULL</v>
          </cell>
          <cell r="V610" t="str">
            <v>NULL</v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907</v>
          </cell>
          <cell r="AD610">
            <v>6</v>
          </cell>
          <cell r="AE610" t="str">
            <v>everyone</v>
          </cell>
        </row>
        <row r="611">
          <cell r="A611" t="str">
            <v>41007_1</v>
          </cell>
          <cell r="B611">
            <v>3</v>
          </cell>
          <cell r="C611">
            <v>41007</v>
          </cell>
          <cell r="D611" t="str">
            <v>グリム襲来！</v>
          </cell>
          <cell r="E611" t="str">
            <v>降臨1</v>
          </cell>
          <cell r="F611">
            <v>1</v>
          </cell>
          <cell r="G611" t="str">
            <v>ja</v>
          </cell>
          <cell r="H611" t="str">
            <v>【超絶級】グリム襲来</v>
          </cell>
          <cell r="I611" t="str">
            <v>超絶級</v>
          </cell>
          <cell r="J611">
            <v>491</v>
          </cell>
          <cell r="K611">
            <v>35</v>
          </cell>
          <cell r="L611">
            <v>4200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polygon</v>
          </cell>
          <cell r="T611">
            <v>1</v>
          </cell>
          <cell r="U611" t="str">
            <v>NULL</v>
          </cell>
          <cell r="V611" t="str">
            <v>NULL</v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908</v>
          </cell>
          <cell r="AD611">
            <v>6</v>
          </cell>
          <cell r="AE611" t="str">
            <v>everyone</v>
          </cell>
        </row>
        <row r="612">
          <cell r="A612" t="str">
            <v>41007_2</v>
          </cell>
          <cell r="B612">
            <v>3</v>
          </cell>
          <cell r="C612">
            <v>41007</v>
          </cell>
          <cell r="D612" t="str">
            <v>グリム襲来！</v>
          </cell>
          <cell r="E612" t="str">
            <v>降臨1</v>
          </cell>
          <cell r="F612">
            <v>2</v>
          </cell>
          <cell r="G612" t="str">
            <v>ja</v>
          </cell>
          <cell r="H612" t="str">
            <v>【ウィザード級】グリム襲来</v>
          </cell>
          <cell r="I612" t="str">
            <v>地獄級</v>
          </cell>
          <cell r="J612">
            <v>822</v>
          </cell>
          <cell r="K612">
            <v>40</v>
          </cell>
          <cell r="L612">
            <v>4500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polygon</v>
          </cell>
          <cell r="T612">
            <v>1</v>
          </cell>
          <cell r="U612" t="str">
            <v>NULL</v>
          </cell>
          <cell r="V612" t="str">
            <v>NULL</v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908</v>
          </cell>
          <cell r="AD612">
            <v>6</v>
          </cell>
          <cell r="AE612" t="str">
            <v>everyone</v>
          </cell>
        </row>
        <row r="613">
          <cell r="A613" t="str">
            <v>41007_3</v>
          </cell>
          <cell r="B613">
            <v>1</v>
          </cell>
          <cell r="C613">
            <v>41007</v>
          </cell>
          <cell r="D613" t="str">
            <v>グリム襲来！</v>
          </cell>
          <cell r="E613" t="str">
            <v>降臨1</v>
          </cell>
          <cell r="F613">
            <v>3</v>
          </cell>
          <cell r="G613" t="str">
            <v>ja</v>
          </cell>
          <cell r="H613" t="str">
            <v>【ノーコンテニュー】グリム襲来</v>
          </cell>
          <cell r="I613" t="str">
            <v>地獄級</v>
          </cell>
          <cell r="J613">
            <v>822</v>
          </cell>
          <cell r="K613">
            <v>40</v>
          </cell>
          <cell r="L613">
            <v>4500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polygon</v>
          </cell>
          <cell r="T613">
            <v>1</v>
          </cell>
          <cell r="U613" t="str">
            <v>NULL</v>
          </cell>
          <cell r="V613" t="str">
            <v>NULL</v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908</v>
          </cell>
          <cell r="AD613">
            <v>6</v>
          </cell>
          <cell r="AE613" t="str">
            <v>everyone</v>
          </cell>
        </row>
        <row r="614">
          <cell r="A614" t="str">
            <v>41008_1</v>
          </cell>
          <cell r="B614">
            <v>3</v>
          </cell>
          <cell r="C614">
            <v>41008</v>
          </cell>
          <cell r="D614" t="str">
            <v>Gスター襲来！</v>
          </cell>
          <cell r="E614" t="str">
            <v>降臨1</v>
          </cell>
          <cell r="F614">
            <v>1</v>
          </cell>
          <cell r="G614" t="str">
            <v>ja</v>
          </cell>
          <cell r="H614" t="str">
            <v>【超絶級】Gスター襲来</v>
          </cell>
          <cell r="I614" t="str">
            <v>超絶級</v>
          </cell>
          <cell r="J614">
            <v>509</v>
          </cell>
          <cell r="K614">
            <v>35</v>
          </cell>
          <cell r="L614">
            <v>4200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polygon</v>
          </cell>
          <cell r="T614">
            <v>1</v>
          </cell>
          <cell r="U614" t="str">
            <v>NULL</v>
          </cell>
          <cell r="V614" t="str">
            <v>NULL</v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2601</v>
          </cell>
          <cell r="AD614">
            <v>6</v>
          </cell>
          <cell r="AE614" t="str">
            <v>everyone</v>
          </cell>
        </row>
        <row r="615">
          <cell r="A615" t="str">
            <v>41008_2</v>
          </cell>
          <cell r="B615">
            <v>3</v>
          </cell>
          <cell r="C615">
            <v>41008</v>
          </cell>
          <cell r="D615" t="str">
            <v>Gスター襲来！</v>
          </cell>
          <cell r="E615" t="str">
            <v>降臨1</v>
          </cell>
          <cell r="F615">
            <v>2</v>
          </cell>
          <cell r="G615" t="str">
            <v>ja</v>
          </cell>
          <cell r="H615" t="str">
            <v>【ウィザード級】Gスター襲来</v>
          </cell>
          <cell r="I615" t="str">
            <v>地獄級</v>
          </cell>
          <cell r="J615">
            <v>824</v>
          </cell>
          <cell r="K615">
            <v>40</v>
          </cell>
          <cell r="L615">
            <v>4500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polygon</v>
          </cell>
          <cell r="T615">
            <v>1</v>
          </cell>
          <cell r="U615" t="str">
            <v>NULL</v>
          </cell>
          <cell r="V615" t="str">
            <v>NULL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2601</v>
          </cell>
          <cell r="AD615">
            <v>6</v>
          </cell>
          <cell r="AE615" t="str">
            <v>everyone</v>
          </cell>
        </row>
        <row r="616">
          <cell r="A616" t="str">
            <v>41008_3</v>
          </cell>
          <cell r="B616">
            <v>1</v>
          </cell>
          <cell r="C616">
            <v>41008</v>
          </cell>
          <cell r="D616" t="str">
            <v>Gスター襲来！</v>
          </cell>
          <cell r="E616" t="str">
            <v>降臨1</v>
          </cell>
          <cell r="F616">
            <v>3</v>
          </cell>
          <cell r="G616" t="str">
            <v>ja</v>
          </cell>
          <cell r="H616" t="str">
            <v>【ノーコンテニュー】Gスター襲来</v>
          </cell>
          <cell r="I616" t="str">
            <v>地獄級</v>
          </cell>
          <cell r="J616">
            <v>824</v>
          </cell>
          <cell r="K616">
            <v>40</v>
          </cell>
          <cell r="L616">
            <v>4500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polygon</v>
          </cell>
          <cell r="T616">
            <v>1</v>
          </cell>
          <cell r="U616" t="str">
            <v>NULL</v>
          </cell>
          <cell r="V616" t="str">
            <v>NULL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2601</v>
          </cell>
          <cell r="AD616">
            <v>6</v>
          </cell>
          <cell r="AE616" t="str">
            <v>everyone</v>
          </cell>
        </row>
        <row r="617">
          <cell r="A617" t="str">
            <v>41009_1</v>
          </cell>
          <cell r="B617">
            <v>3</v>
          </cell>
          <cell r="C617">
            <v>41009</v>
          </cell>
          <cell r="D617" t="str">
            <v>フギンとムニン襲来！</v>
          </cell>
          <cell r="E617" t="str">
            <v>降臨1</v>
          </cell>
          <cell r="F617">
            <v>1</v>
          </cell>
          <cell r="G617" t="str">
            <v>ja</v>
          </cell>
          <cell r="H617" t="str">
            <v>【超絶級】フギンとムニン襲来</v>
          </cell>
          <cell r="I617" t="str">
            <v>超絶級</v>
          </cell>
          <cell r="J617">
            <v>582</v>
          </cell>
          <cell r="K617">
            <v>35</v>
          </cell>
          <cell r="L617">
            <v>4200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polygon</v>
          </cell>
          <cell r="T617">
            <v>1</v>
          </cell>
          <cell r="U617" t="str">
            <v>NULL</v>
          </cell>
          <cell r="V617" t="str">
            <v>NULL</v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25</v>
          </cell>
          <cell r="AD617">
            <v>6</v>
          </cell>
          <cell r="AE617" t="str">
            <v>everyone</v>
          </cell>
        </row>
        <row r="618">
          <cell r="A618" t="str">
            <v>41009_2</v>
          </cell>
          <cell r="B618">
            <v>3</v>
          </cell>
          <cell r="C618">
            <v>41009</v>
          </cell>
          <cell r="D618" t="str">
            <v>フギンとムニン襲来！</v>
          </cell>
          <cell r="E618" t="str">
            <v>降臨1</v>
          </cell>
          <cell r="F618">
            <v>2</v>
          </cell>
          <cell r="G618" t="str">
            <v>ja</v>
          </cell>
          <cell r="H618" t="str">
            <v>【ウィザード級】フギンとムニン襲来</v>
          </cell>
          <cell r="I618" t="str">
            <v>地獄級</v>
          </cell>
          <cell r="J618">
            <v>828</v>
          </cell>
          <cell r="K618">
            <v>40</v>
          </cell>
          <cell r="L618">
            <v>4500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polygon</v>
          </cell>
          <cell r="T618">
            <v>1</v>
          </cell>
          <cell r="U618" t="str">
            <v>NULL</v>
          </cell>
          <cell r="V618" t="str">
            <v>NULL</v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25</v>
          </cell>
          <cell r="AD618">
            <v>6</v>
          </cell>
          <cell r="AE618" t="str">
            <v>everyone</v>
          </cell>
        </row>
        <row r="619">
          <cell r="A619" t="str">
            <v>41009_3</v>
          </cell>
          <cell r="B619">
            <v>1</v>
          </cell>
          <cell r="C619">
            <v>41009</v>
          </cell>
          <cell r="D619" t="str">
            <v>フギンとムニン襲来！</v>
          </cell>
          <cell r="E619" t="str">
            <v>降臨1</v>
          </cell>
          <cell r="F619">
            <v>3</v>
          </cell>
          <cell r="G619" t="str">
            <v>ja</v>
          </cell>
          <cell r="H619" t="str">
            <v>【ノーコンテニュー】フギンとムニン襲来</v>
          </cell>
          <cell r="I619" t="str">
            <v>地獄級</v>
          </cell>
          <cell r="J619">
            <v>1</v>
          </cell>
          <cell r="K619">
            <v>40</v>
          </cell>
          <cell r="L619">
            <v>4500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polygon</v>
          </cell>
          <cell r="T619">
            <v>1</v>
          </cell>
          <cell r="U619" t="str">
            <v>NULL</v>
          </cell>
          <cell r="V619" t="str">
            <v>NULL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25</v>
          </cell>
          <cell r="AD619">
            <v>6</v>
          </cell>
          <cell r="AE619" t="str">
            <v>everyone</v>
          </cell>
        </row>
        <row r="620">
          <cell r="A620" t="str">
            <v>41010_1</v>
          </cell>
          <cell r="B620">
            <v>3</v>
          </cell>
          <cell r="C620">
            <v>41010</v>
          </cell>
          <cell r="D620" t="str">
            <v>フレイ襲来！</v>
          </cell>
          <cell r="E620" t="str">
            <v>降臨1</v>
          </cell>
          <cell r="F620">
            <v>1</v>
          </cell>
          <cell r="G620" t="str">
            <v>ja</v>
          </cell>
          <cell r="H620" t="str">
            <v>【超絶級】フレイ襲来</v>
          </cell>
          <cell r="I620" t="str">
            <v>超絶級</v>
          </cell>
          <cell r="J620">
            <v>576</v>
          </cell>
          <cell r="K620">
            <v>35</v>
          </cell>
          <cell r="L620">
            <v>4200</v>
          </cell>
          <cell r="M620">
            <v>1</v>
          </cell>
          <cell r="N620">
            <v>1</v>
          </cell>
          <cell r="O620">
            <v>1</v>
          </cell>
          <cell r="P620">
            <v>0</v>
          </cell>
          <cell r="Q620">
            <v>1</v>
          </cell>
          <cell r="R620">
            <v>3</v>
          </cell>
          <cell r="S620" t="str">
            <v>polygon</v>
          </cell>
          <cell r="T620">
            <v>1</v>
          </cell>
          <cell r="U620" t="str">
            <v>NULL</v>
          </cell>
          <cell r="V620" t="str">
            <v>NULL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912</v>
          </cell>
          <cell r="AD620">
            <v>6</v>
          </cell>
          <cell r="AE620" t="str">
            <v>everyone</v>
          </cell>
        </row>
        <row r="621">
          <cell r="A621" t="str">
            <v>41010_2</v>
          </cell>
          <cell r="B621">
            <v>3</v>
          </cell>
          <cell r="C621">
            <v>41010</v>
          </cell>
          <cell r="D621" t="str">
            <v>フレイ襲来！</v>
          </cell>
          <cell r="E621" t="str">
            <v>降臨1</v>
          </cell>
          <cell r="F621">
            <v>2</v>
          </cell>
          <cell r="G621" t="str">
            <v>ja</v>
          </cell>
          <cell r="H621" t="str">
            <v>【ウィザード級】フレイ襲来</v>
          </cell>
          <cell r="I621" t="str">
            <v>地獄級</v>
          </cell>
          <cell r="J621">
            <v>826</v>
          </cell>
          <cell r="K621">
            <v>40</v>
          </cell>
          <cell r="L621">
            <v>4500</v>
          </cell>
          <cell r="M621">
            <v>1</v>
          </cell>
          <cell r="N621">
            <v>1</v>
          </cell>
          <cell r="O621">
            <v>1</v>
          </cell>
          <cell r="P621">
            <v>0</v>
          </cell>
          <cell r="Q621">
            <v>1</v>
          </cell>
          <cell r="R621">
            <v>3</v>
          </cell>
          <cell r="S621" t="str">
            <v>polygon</v>
          </cell>
          <cell r="T621">
            <v>1</v>
          </cell>
          <cell r="U621" t="str">
            <v>NULL</v>
          </cell>
          <cell r="V621" t="str">
            <v>NULL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912</v>
          </cell>
          <cell r="AD621">
            <v>6</v>
          </cell>
          <cell r="AE621" t="str">
            <v>everyone</v>
          </cell>
        </row>
        <row r="622">
          <cell r="A622" t="str">
            <v>41010_3</v>
          </cell>
          <cell r="B622">
            <v>1</v>
          </cell>
          <cell r="C622">
            <v>41010</v>
          </cell>
          <cell r="D622" t="str">
            <v>フレイ襲来！</v>
          </cell>
          <cell r="E622" t="str">
            <v>降臨1</v>
          </cell>
          <cell r="F622">
            <v>3</v>
          </cell>
          <cell r="G622" t="str">
            <v>ja</v>
          </cell>
          <cell r="H622" t="str">
            <v>【ノーコンテニュー】フレイ襲来</v>
          </cell>
          <cell r="I622" t="str">
            <v>地獄級</v>
          </cell>
          <cell r="J622">
            <v>1</v>
          </cell>
          <cell r="K622">
            <v>40</v>
          </cell>
          <cell r="L622">
            <v>4500</v>
          </cell>
          <cell r="M622">
            <v>1</v>
          </cell>
          <cell r="N622">
            <v>1</v>
          </cell>
          <cell r="O622">
            <v>1</v>
          </cell>
          <cell r="P622">
            <v>0</v>
          </cell>
          <cell r="Q622">
            <v>1</v>
          </cell>
          <cell r="R622">
            <v>3</v>
          </cell>
          <cell r="S622" t="str">
            <v>polygon</v>
          </cell>
          <cell r="T622">
            <v>1</v>
          </cell>
          <cell r="U622" t="str">
            <v>NULL</v>
          </cell>
          <cell r="V622" t="str">
            <v>NULL</v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912</v>
          </cell>
          <cell r="AD622">
            <v>6</v>
          </cell>
          <cell r="AE622" t="str">
            <v>everyone</v>
          </cell>
        </row>
        <row r="623">
          <cell r="A623" t="str">
            <v>41011_1</v>
          </cell>
          <cell r="B623">
            <v>3</v>
          </cell>
          <cell r="C623">
            <v>41011</v>
          </cell>
          <cell r="D623" t="str">
            <v>ヨミ襲来！</v>
          </cell>
          <cell r="E623" t="str">
            <v>降臨1</v>
          </cell>
          <cell r="F623">
            <v>1</v>
          </cell>
          <cell r="G623" t="str">
            <v>ja</v>
          </cell>
          <cell r="H623" t="str">
            <v>【超絶級】ヨミ襲来</v>
          </cell>
          <cell r="I623" t="str">
            <v>超絶級</v>
          </cell>
          <cell r="J623">
            <v>655</v>
          </cell>
          <cell r="K623">
            <v>35</v>
          </cell>
          <cell r="L623">
            <v>4200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polygon</v>
          </cell>
          <cell r="T623">
            <v>1</v>
          </cell>
          <cell r="U623" t="str">
            <v>NULL</v>
          </cell>
          <cell r="V623" t="str">
            <v>NULL</v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913</v>
          </cell>
          <cell r="AD623">
            <v>6</v>
          </cell>
          <cell r="AE623" t="str">
            <v>everyone</v>
          </cell>
        </row>
        <row r="624">
          <cell r="A624" t="str">
            <v>41011_2</v>
          </cell>
          <cell r="B624">
            <v>3</v>
          </cell>
          <cell r="C624">
            <v>41011</v>
          </cell>
          <cell r="D624" t="str">
            <v>ヨミ襲来！</v>
          </cell>
          <cell r="E624" t="str">
            <v>降臨1</v>
          </cell>
          <cell r="F624">
            <v>2</v>
          </cell>
          <cell r="G624" t="str">
            <v>ja</v>
          </cell>
          <cell r="H624" t="str">
            <v>【ウィザード級】ヨミ襲来</v>
          </cell>
          <cell r="I624" t="str">
            <v>ウィザード級</v>
          </cell>
          <cell r="J624">
            <v>832</v>
          </cell>
          <cell r="K624">
            <v>40</v>
          </cell>
          <cell r="L624">
            <v>4500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polygon</v>
          </cell>
          <cell r="T624">
            <v>1</v>
          </cell>
          <cell r="U624" t="str">
            <v>NULL</v>
          </cell>
          <cell r="V624" t="str">
            <v>NULL</v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913</v>
          </cell>
          <cell r="AD624">
            <v>6</v>
          </cell>
          <cell r="AE624" t="str">
            <v>everyone</v>
          </cell>
        </row>
        <row r="625">
          <cell r="A625" t="str">
            <v>41012_1</v>
          </cell>
          <cell r="B625">
            <v>3</v>
          </cell>
          <cell r="C625">
            <v>41012</v>
          </cell>
          <cell r="D625" t="str">
            <v>ショウキ襲来！</v>
          </cell>
          <cell r="E625" t="str">
            <v>降臨1</v>
          </cell>
          <cell r="F625">
            <v>1</v>
          </cell>
          <cell r="G625" t="str">
            <v>ja</v>
          </cell>
          <cell r="H625" t="str">
            <v>【超絶級】ショウキ襲来</v>
          </cell>
          <cell r="I625" t="str">
            <v>超絶級</v>
          </cell>
          <cell r="J625">
            <v>645</v>
          </cell>
          <cell r="K625">
            <v>35</v>
          </cell>
          <cell r="L625">
            <v>4200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polygon</v>
          </cell>
          <cell r="T625">
            <v>1</v>
          </cell>
          <cell r="U625" t="str">
            <v>NULL</v>
          </cell>
          <cell r="V625" t="str">
            <v>NULL</v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915</v>
          </cell>
          <cell r="AD625">
            <v>6</v>
          </cell>
          <cell r="AE625" t="str">
            <v>everyone</v>
          </cell>
        </row>
        <row r="626">
          <cell r="A626" t="str">
            <v>41012_2</v>
          </cell>
          <cell r="B626">
            <v>3</v>
          </cell>
          <cell r="C626">
            <v>41012</v>
          </cell>
          <cell r="D626" t="str">
            <v>ショウキ襲来！</v>
          </cell>
          <cell r="E626" t="str">
            <v>降臨1</v>
          </cell>
          <cell r="F626">
            <v>2</v>
          </cell>
          <cell r="G626" t="str">
            <v>ja</v>
          </cell>
          <cell r="H626" t="str">
            <v>【ウィザード級】ショウキ襲来</v>
          </cell>
          <cell r="I626" t="str">
            <v>地獄級</v>
          </cell>
          <cell r="J626">
            <v>831</v>
          </cell>
          <cell r="K626">
            <v>40</v>
          </cell>
          <cell r="L626">
            <v>4500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polygon</v>
          </cell>
          <cell r="T626">
            <v>1</v>
          </cell>
          <cell r="U626" t="str">
            <v>NULL</v>
          </cell>
          <cell r="V626" t="str">
            <v>NULL</v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915</v>
          </cell>
          <cell r="AD626">
            <v>6</v>
          </cell>
          <cell r="AE626" t="str">
            <v>everyone</v>
          </cell>
        </row>
        <row r="627">
          <cell r="A627" t="str">
            <v>41013_1</v>
          </cell>
          <cell r="B627">
            <v>3</v>
          </cell>
          <cell r="C627">
            <v>41013</v>
          </cell>
          <cell r="D627" t="str">
            <v>カーマ襲来！</v>
          </cell>
          <cell r="E627" t="str">
            <v>降臨1</v>
          </cell>
          <cell r="F627">
            <v>1</v>
          </cell>
          <cell r="G627" t="str">
            <v>ja</v>
          </cell>
          <cell r="H627" t="str">
            <v>【超絶級】カーマ襲来</v>
          </cell>
          <cell r="I627" t="str">
            <v>超絶級</v>
          </cell>
          <cell r="J627">
            <v>643</v>
          </cell>
          <cell r="K627">
            <v>35</v>
          </cell>
          <cell r="L627">
            <v>4200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0</v>
          </cell>
          <cell r="R627">
            <v>3</v>
          </cell>
          <cell r="S627" t="str">
            <v>polygon</v>
          </cell>
          <cell r="T627">
            <v>1</v>
          </cell>
          <cell r="U627" t="str">
            <v>NULL</v>
          </cell>
          <cell r="V627" t="str">
            <v>NULL</v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916</v>
          </cell>
          <cell r="AD627">
            <v>6</v>
          </cell>
          <cell r="AE627" t="str">
            <v>everyone</v>
          </cell>
        </row>
        <row r="628">
          <cell r="A628" t="str">
            <v>41013_2</v>
          </cell>
          <cell r="B628">
            <v>3</v>
          </cell>
          <cell r="C628">
            <v>41013</v>
          </cell>
          <cell r="D628" t="str">
            <v>カーマ襲来！</v>
          </cell>
          <cell r="E628" t="str">
            <v>降臨1</v>
          </cell>
          <cell r="F628">
            <v>2</v>
          </cell>
          <cell r="G628" t="str">
            <v>ja</v>
          </cell>
          <cell r="H628" t="str">
            <v>【ウィザード級】カーマ襲来</v>
          </cell>
          <cell r="I628" t="str">
            <v>地獄級</v>
          </cell>
          <cell r="J628">
            <v>836</v>
          </cell>
          <cell r="K628">
            <v>40</v>
          </cell>
          <cell r="L628">
            <v>4500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0</v>
          </cell>
          <cell r="R628">
            <v>3</v>
          </cell>
          <cell r="S628" t="str">
            <v>polygon</v>
          </cell>
          <cell r="T628">
            <v>1</v>
          </cell>
          <cell r="U628" t="str">
            <v>NULL</v>
          </cell>
          <cell r="V628" t="str">
            <v>NULL</v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916</v>
          </cell>
          <cell r="AD628">
            <v>6</v>
          </cell>
          <cell r="AE628" t="str">
            <v>everyone</v>
          </cell>
        </row>
        <row r="629">
          <cell r="A629" t="str">
            <v>41014_1</v>
          </cell>
          <cell r="B629">
            <v>1</v>
          </cell>
          <cell r="C629">
            <v>41014</v>
          </cell>
          <cell r="F629">
            <v>1</v>
          </cell>
          <cell r="G629" t="str">
            <v>ja</v>
          </cell>
          <cell r="H629" t="str">
            <v>【超絶級】シヴァ襲来</v>
          </cell>
          <cell r="I629" t="str">
            <v>超絶級</v>
          </cell>
          <cell r="J629">
            <v>1</v>
          </cell>
          <cell r="K629">
            <v>35</v>
          </cell>
          <cell r="L629">
            <v>4200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character</v>
          </cell>
          <cell r="T629">
            <v>656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916</v>
          </cell>
          <cell r="AD629">
            <v>6</v>
          </cell>
          <cell r="AE629" t="str">
            <v>everyone</v>
          </cell>
        </row>
        <row r="630">
          <cell r="A630" t="str">
            <v>41014_2</v>
          </cell>
          <cell r="B630">
            <v>1</v>
          </cell>
          <cell r="C630">
            <v>41014</v>
          </cell>
          <cell r="F630">
            <v>2</v>
          </cell>
          <cell r="G630" t="str">
            <v>ja</v>
          </cell>
          <cell r="H630" t="str">
            <v>【ウィザード級】シヴァ襲来</v>
          </cell>
          <cell r="I630" t="str">
            <v>地獄級</v>
          </cell>
          <cell r="J630">
            <v>1</v>
          </cell>
          <cell r="K630">
            <v>40</v>
          </cell>
          <cell r="L630">
            <v>4500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character</v>
          </cell>
          <cell r="T630">
            <v>656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916</v>
          </cell>
          <cell r="AD630">
            <v>6</v>
          </cell>
          <cell r="AE630" t="str">
            <v>everyone</v>
          </cell>
        </row>
        <row r="631">
          <cell r="A631" t="str">
            <v>41015_1</v>
          </cell>
          <cell r="B631">
            <v>1</v>
          </cell>
          <cell r="C631">
            <v>41015</v>
          </cell>
          <cell r="D631" t="str">
            <v>ガレス襲来！</v>
          </cell>
          <cell r="E631" t="str">
            <v>降臨1</v>
          </cell>
          <cell r="F631">
            <v>1</v>
          </cell>
          <cell r="G631" t="str">
            <v>ja</v>
          </cell>
          <cell r="H631" t="str">
            <v>【超絶級】ガレス襲来</v>
          </cell>
          <cell r="I631" t="str">
            <v>超絶級</v>
          </cell>
          <cell r="J631">
            <v>1</v>
          </cell>
          <cell r="K631">
            <v>35</v>
          </cell>
          <cell r="L631">
            <v>4200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polygon</v>
          </cell>
          <cell r="T631">
            <v>1</v>
          </cell>
          <cell r="U631" t="str">
            <v>NULL</v>
          </cell>
          <cell r="V631" t="str">
            <v>NULL</v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907</v>
          </cell>
          <cell r="AD631">
            <v>6</v>
          </cell>
          <cell r="AE631" t="str">
            <v>everyone</v>
          </cell>
        </row>
        <row r="632">
          <cell r="A632" t="str">
            <v>41015_2</v>
          </cell>
          <cell r="B632">
            <v>1</v>
          </cell>
          <cell r="C632">
            <v>41015</v>
          </cell>
          <cell r="D632" t="str">
            <v>ガレス襲来！</v>
          </cell>
          <cell r="E632" t="str">
            <v>降臨1</v>
          </cell>
          <cell r="F632">
            <v>2</v>
          </cell>
          <cell r="G632" t="str">
            <v>ja</v>
          </cell>
          <cell r="H632" t="str">
            <v>【ウィザード級】ガレス襲来</v>
          </cell>
          <cell r="I632" t="str">
            <v>地獄級</v>
          </cell>
          <cell r="J632">
            <v>1</v>
          </cell>
          <cell r="K632">
            <v>40</v>
          </cell>
          <cell r="L632">
            <v>4500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polygon</v>
          </cell>
          <cell r="T632">
            <v>1</v>
          </cell>
          <cell r="U632" t="str">
            <v>NULL</v>
          </cell>
          <cell r="V632" t="str">
            <v>NULL</v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907</v>
          </cell>
          <cell r="AD632">
            <v>6</v>
          </cell>
          <cell r="AE632" t="str">
            <v>everyone</v>
          </cell>
        </row>
        <row r="633">
          <cell r="A633" t="str">
            <v>47001_1</v>
          </cell>
          <cell r="B633">
            <v>3</v>
          </cell>
          <cell r="C633">
            <v>47001</v>
          </cell>
          <cell r="D633" t="str">
            <v>彦星襲来！</v>
          </cell>
          <cell r="E633" t="str">
            <v>季節イベント</v>
          </cell>
          <cell r="F633">
            <v>1</v>
          </cell>
          <cell r="G633" t="str">
            <v>ja</v>
          </cell>
          <cell r="H633" t="str">
            <v>【超絶級】彦星襲来</v>
          </cell>
          <cell r="I633" t="str">
            <v>地獄級</v>
          </cell>
          <cell r="J633">
            <v>1043</v>
          </cell>
          <cell r="K633">
            <v>35</v>
          </cell>
          <cell r="L633">
            <v>4200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polygon</v>
          </cell>
          <cell r="T633">
            <v>1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943</v>
          </cell>
          <cell r="AD633">
            <v>6</v>
          </cell>
          <cell r="AE633" t="str">
            <v>everyone</v>
          </cell>
        </row>
        <row r="634">
          <cell r="A634" t="str">
            <v>47001_2</v>
          </cell>
          <cell r="B634">
            <v>3</v>
          </cell>
          <cell r="C634">
            <v>47001</v>
          </cell>
          <cell r="D634" t="str">
            <v>彦星襲来！</v>
          </cell>
          <cell r="E634" t="str">
            <v>季節イベント</v>
          </cell>
          <cell r="F634">
            <v>2</v>
          </cell>
          <cell r="G634" t="str">
            <v>ja</v>
          </cell>
          <cell r="H634" t="str">
            <v>【ウィザード級】彦星襲来</v>
          </cell>
          <cell r="I634" t="str">
            <v>地獄級</v>
          </cell>
          <cell r="J634">
            <v>1044</v>
          </cell>
          <cell r="K634">
            <v>40</v>
          </cell>
          <cell r="L634">
            <v>4500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polygon</v>
          </cell>
          <cell r="T634">
            <v>1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943</v>
          </cell>
          <cell r="AD634">
            <v>6</v>
          </cell>
          <cell r="AE634" t="str">
            <v>everyone</v>
          </cell>
        </row>
        <row r="635">
          <cell r="A635" t="str">
            <v>47002_1</v>
          </cell>
          <cell r="B635">
            <v>3</v>
          </cell>
          <cell r="C635">
            <v>47002</v>
          </cell>
          <cell r="D635" t="str">
            <v>夏☆襲来！</v>
          </cell>
          <cell r="E635" t="str">
            <v>季節イベント</v>
          </cell>
          <cell r="F635">
            <v>1</v>
          </cell>
          <cell r="G635" t="str">
            <v>ja</v>
          </cell>
          <cell r="H635" t="str">
            <v>【超絶級】夏☆襲来</v>
          </cell>
          <cell r="I635" t="str">
            <v>地獄級</v>
          </cell>
          <cell r="J635">
            <v>1053</v>
          </cell>
          <cell r="K635">
            <v>35</v>
          </cell>
          <cell r="L635">
            <v>4200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polygon</v>
          </cell>
          <cell r="T635">
            <v>1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5</v>
          </cell>
          <cell r="AD635">
            <v>6</v>
          </cell>
          <cell r="AE635" t="str">
            <v>everyone</v>
          </cell>
        </row>
        <row r="636">
          <cell r="A636" t="str">
            <v>47002_2</v>
          </cell>
          <cell r="B636">
            <v>3</v>
          </cell>
          <cell r="C636">
            <v>47002</v>
          </cell>
          <cell r="D636" t="str">
            <v>夏☆襲来！</v>
          </cell>
          <cell r="E636" t="str">
            <v>季節イベント</v>
          </cell>
          <cell r="F636">
            <v>2</v>
          </cell>
          <cell r="G636" t="str">
            <v>ja</v>
          </cell>
          <cell r="H636" t="str">
            <v>【ウィザード級】夏☆襲来</v>
          </cell>
          <cell r="I636" t="str">
            <v>地獄級</v>
          </cell>
          <cell r="J636">
            <v>1054</v>
          </cell>
          <cell r="K636">
            <v>40</v>
          </cell>
          <cell r="L636">
            <v>4500</v>
          </cell>
          <cell r="M636">
            <v>1</v>
          </cell>
          <cell r="N636">
            <v>1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polygon</v>
          </cell>
          <cell r="T636">
            <v>1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5</v>
          </cell>
          <cell r="AD636">
            <v>6</v>
          </cell>
          <cell r="AE636" t="str">
            <v>everyone</v>
          </cell>
        </row>
        <row r="637">
          <cell r="A637" t="str">
            <v>49001_1</v>
          </cell>
          <cell r="B637">
            <v>3</v>
          </cell>
          <cell r="C637">
            <v>49001</v>
          </cell>
          <cell r="D637" t="str">
            <v>熱唱！初音ミクV3</v>
          </cell>
          <cell r="E637" t="str">
            <v>コラボ降臨1</v>
          </cell>
          <cell r="F637">
            <v>1</v>
          </cell>
          <cell r="G637" t="str">
            <v>ja</v>
          </cell>
          <cell r="H637" t="str">
            <v>【ウィザード級】熱唱！初音ミクV3</v>
          </cell>
          <cell r="I637" t="str">
            <v>地獄級</v>
          </cell>
          <cell r="J637">
            <v>528</v>
          </cell>
          <cell r="K637">
            <v>40</v>
          </cell>
          <cell r="L637">
            <v>4200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polygon</v>
          </cell>
          <cell r="T637">
            <v>1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910</v>
          </cell>
          <cell r="AD637">
            <v>6</v>
          </cell>
          <cell r="AE637" t="str">
            <v>everyone</v>
          </cell>
        </row>
        <row r="638">
          <cell r="A638" t="str">
            <v>49002_1</v>
          </cell>
          <cell r="B638">
            <v>3</v>
          </cell>
          <cell r="C638">
            <v>49002</v>
          </cell>
          <cell r="D638" t="str">
            <v>園原杏里襲来！</v>
          </cell>
          <cell r="E638" t="str">
            <v>コラボ降臨2</v>
          </cell>
          <cell r="F638">
            <v>1</v>
          </cell>
          <cell r="G638" t="str">
            <v>ja</v>
          </cell>
          <cell r="H638" t="str">
            <v>【ウィザード級】園原杏里襲来</v>
          </cell>
          <cell r="I638" t="str">
            <v>地獄級</v>
          </cell>
          <cell r="J638">
            <v>699</v>
          </cell>
          <cell r="K638">
            <v>40</v>
          </cell>
          <cell r="L638">
            <v>4500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polygon</v>
          </cell>
          <cell r="T638">
            <v>1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917</v>
          </cell>
          <cell r="AD638">
            <v>6</v>
          </cell>
          <cell r="AE638" t="str">
            <v>everyone</v>
          </cell>
        </row>
        <row r="639">
          <cell r="A639" t="str">
            <v>49002_2</v>
          </cell>
          <cell r="B639">
            <v>3</v>
          </cell>
          <cell r="C639">
            <v>49002</v>
          </cell>
          <cell r="D639" t="str">
            <v>園原杏里襲来！</v>
          </cell>
          <cell r="E639" t="str">
            <v>コラボ降臨2</v>
          </cell>
          <cell r="F639">
            <v>2</v>
          </cell>
          <cell r="G639" t="str">
            <v>ja</v>
          </cell>
          <cell r="H639" t="str">
            <v>【ノーコンテニュー】園原杏里襲来</v>
          </cell>
          <cell r="I639" t="str">
            <v>地獄級</v>
          </cell>
          <cell r="J639">
            <v>699</v>
          </cell>
          <cell r="K639">
            <v>40</v>
          </cell>
          <cell r="L639">
            <v>4500</v>
          </cell>
          <cell r="M639">
            <v>1</v>
          </cell>
          <cell r="N639">
            <v>1</v>
          </cell>
          <cell r="O639">
            <v>1</v>
          </cell>
          <cell r="P639">
            <v>1</v>
          </cell>
          <cell r="Q639">
            <v>1</v>
          </cell>
          <cell r="R639">
            <v>3</v>
          </cell>
          <cell r="S639" t="str">
            <v>polygon</v>
          </cell>
          <cell r="T639">
            <v>1</v>
          </cell>
          <cell r="U639" t="str">
            <v>NULL</v>
          </cell>
          <cell r="V639" t="str">
            <v>NULL</v>
          </cell>
          <cell r="W639" t="str">
            <v/>
          </cell>
          <cell r="X639">
            <v>0</v>
          </cell>
          <cell r="Y639">
            <v>0</v>
          </cell>
          <cell r="Z639">
            <v>0</v>
          </cell>
          <cell r="AA639">
            <v>0</v>
          </cell>
          <cell r="AB639" t="str">
            <v>anytime</v>
          </cell>
          <cell r="AC639">
            <v>917</v>
          </cell>
          <cell r="AD639">
            <v>6</v>
          </cell>
          <cell r="AE639" t="str">
            <v>everyone</v>
          </cell>
        </row>
        <row r="640">
          <cell r="A640" t="str">
            <v>49003_1</v>
          </cell>
          <cell r="B640">
            <v>3</v>
          </cell>
          <cell r="C640">
            <v>49003</v>
          </cell>
          <cell r="D640" t="str">
            <v>折原臨也襲来！</v>
          </cell>
          <cell r="E640" t="str">
            <v>コラボ降臨3</v>
          </cell>
          <cell r="F640">
            <v>1</v>
          </cell>
          <cell r="G640" t="str">
            <v>ja</v>
          </cell>
          <cell r="H640" t="str">
            <v>【ウィザード級】折原臨也襲来</v>
          </cell>
          <cell r="I640" t="str">
            <v>地獄級</v>
          </cell>
          <cell r="J640">
            <v>701</v>
          </cell>
          <cell r="K640">
            <v>40</v>
          </cell>
          <cell r="L640">
            <v>4500</v>
          </cell>
          <cell r="M640">
            <v>1</v>
          </cell>
          <cell r="N640">
            <v>1</v>
          </cell>
          <cell r="O640">
            <v>1</v>
          </cell>
          <cell r="P640">
            <v>1</v>
          </cell>
          <cell r="Q640">
            <v>1</v>
          </cell>
          <cell r="R640">
            <v>3</v>
          </cell>
          <cell r="S640" t="str">
            <v>polygon</v>
          </cell>
          <cell r="T640">
            <v>1</v>
          </cell>
          <cell r="U640" t="str">
            <v>NULL</v>
          </cell>
          <cell r="V640" t="str">
            <v>NULL</v>
          </cell>
          <cell r="W640" t="str">
            <v/>
          </cell>
          <cell r="X640">
            <v>0</v>
          </cell>
          <cell r="Y640">
            <v>0</v>
          </cell>
          <cell r="Z640">
            <v>0</v>
          </cell>
          <cell r="AA640">
            <v>0</v>
          </cell>
          <cell r="AB640" t="str">
            <v>anytime</v>
          </cell>
          <cell r="AC640">
            <v>918</v>
          </cell>
          <cell r="AD640">
            <v>6</v>
          </cell>
          <cell r="AE640" t="str">
            <v>everyone</v>
          </cell>
        </row>
        <row r="641">
          <cell r="A641" t="str">
            <v>49003_2</v>
          </cell>
          <cell r="B641">
            <v>3</v>
          </cell>
          <cell r="C641">
            <v>49003</v>
          </cell>
          <cell r="D641" t="str">
            <v>折原臨也襲来！</v>
          </cell>
          <cell r="E641" t="str">
            <v>コラボ降臨3</v>
          </cell>
          <cell r="F641">
            <v>2</v>
          </cell>
          <cell r="G641" t="str">
            <v>ja</v>
          </cell>
          <cell r="H641" t="str">
            <v>【ノーコンテニュー】折原臨也襲来</v>
          </cell>
          <cell r="I641" t="str">
            <v>地獄級</v>
          </cell>
          <cell r="J641">
            <v>701</v>
          </cell>
          <cell r="K641">
            <v>40</v>
          </cell>
          <cell r="L641">
            <v>4500</v>
          </cell>
          <cell r="M641">
            <v>1</v>
          </cell>
          <cell r="N641">
            <v>1</v>
          </cell>
          <cell r="O641">
            <v>1</v>
          </cell>
          <cell r="P641">
            <v>1</v>
          </cell>
          <cell r="Q641">
            <v>1</v>
          </cell>
          <cell r="R641">
            <v>3</v>
          </cell>
          <cell r="S641" t="str">
            <v>polygon</v>
          </cell>
          <cell r="T641">
            <v>1</v>
          </cell>
          <cell r="U641" t="str">
            <v>NULL</v>
          </cell>
          <cell r="V641" t="str">
            <v>NULL</v>
          </cell>
          <cell r="W641" t="str">
            <v/>
          </cell>
          <cell r="X641">
            <v>0</v>
          </cell>
          <cell r="Y641">
            <v>0</v>
          </cell>
          <cell r="Z641">
            <v>0</v>
          </cell>
          <cell r="AA641">
            <v>0</v>
          </cell>
          <cell r="AB641" t="str">
            <v>anytime</v>
          </cell>
          <cell r="AC641">
            <v>918</v>
          </cell>
          <cell r="AD641">
            <v>6</v>
          </cell>
          <cell r="AE641" t="str">
            <v>everyone</v>
          </cell>
        </row>
        <row r="642">
          <cell r="A642" t="str">
            <v>49004_1</v>
          </cell>
          <cell r="B642">
            <v>3</v>
          </cell>
          <cell r="C642">
            <v>49004</v>
          </cell>
          <cell r="D642" t="str">
            <v>サンリオ好きなのだーれだ♪</v>
          </cell>
          <cell r="E642" t="str">
            <v>コラボ降臨4</v>
          </cell>
          <cell r="F642">
            <v>1</v>
          </cell>
          <cell r="G642" t="str">
            <v>ja</v>
          </cell>
          <cell r="H642" t="str">
            <v>【超絶】サンリオ好きなのだーれだ♪</v>
          </cell>
          <cell r="I642" t="str">
            <v>地獄級</v>
          </cell>
          <cell r="J642">
            <v>0</v>
          </cell>
          <cell r="K642">
            <v>35</v>
          </cell>
          <cell r="L642">
            <v>4200</v>
          </cell>
          <cell r="M642">
            <v>1</v>
          </cell>
          <cell r="N642">
            <v>1</v>
          </cell>
          <cell r="O642">
            <v>1</v>
          </cell>
          <cell r="P642">
            <v>1</v>
          </cell>
          <cell r="Q642">
            <v>1</v>
          </cell>
          <cell r="R642">
            <v>3</v>
          </cell>
          <cell r="S642" t="str">
            <v>polygon</v>
          </cell>
          <cell r="T642">
            <v>1</v>
          </cell>
          <cell r="U642" t="str">
            <v>NULL</v>
          </cell>
          <cell r="V642" t="str">
            <v>NULL</v>
          </cell>
          <cell r="W642" t="str">
            <v/>
          </cell>
          <cell r="X642">
            <v>0</v>
          </cell>
          <cell r="Y642">
            <v>0</v>
          </cell>
          <cell r="Z642">
            <v>0</v>
          </cell>
          <cell r="AA642">
            <v>0</v>
          </cell>
          <cell r="AB642" t="str">
            <v>anytime</v>
          </cell>
          <cell r="AC642">
            <v>934</v>
          </cell>
          <cell r="AD642">
            <v>6</v>
          </cell>
          <cell r="AE642" t="str">
            <v>everyone</v>
          </cell>
        </row>
        <row r="643">
          <cell r="A643" t="str">
            <v>49004_2</v>
          </cell>
          <cell r="B643">
            <v>3</v>
          </cell>
          <cell r="C643">
            <v>49004</v>
          </cell>
          <cell r="D643" t="str">
            <v>サンリオ好きなのだーれだ♪</v>
          </cell>
          <cell r="E643" t="str">
            <v>コラボ降臨4</v>
          </cell>
          <cell r="F643">
            <v>2</v>
          </cell>
          <cell r="G643" t="str">
            <v>ja</v>
          </cell>
          <cell r="H643" t="str">
            <v>【ｳｨｻﾞ】サンリオ好きなのだーれだ♪</v>
          </cell>
          <cell r="I643" t="str">
            <v>地獄級</v>
          </cell>
          <cell r="J643">
            <v>0</v>
          </cell>
          <cell r="K643">
            <v>40</v>
          </cell>
          <cell r="L643">
            <v>4500</v>
          </cell>
          <cell r="M643">
            <v>1</v>
          </cell>
          <cell r="N643">
            <v>1</v>
          </cell>
          <cell r="O643">
            <v>1</v>
          </cell>
          <cell r="P643">
            <v>1</v>
          </cell>
          <cell r="Q643">
            <v>1</v>
          </cell>
          <cell r="R643">
            <v>3</v>
          </cell>
          <cell r="S643" t="str">
            <v>polygon</v>
          </cell>
          <cell r="T643">
            <v>1</v>
          </cell>
          <cell r="U643" t="str">
            <v>NULL</v>
          </cell>
          <cell r="V643" t="str">
            <v>NULL</v>
          </cell>
          <cell r="W643" t="str">
            <v/>
          </cell>
          <cell r="X643">
            <v>0</v>
          </cell>
          <cell r="Y643">
            <v>0</v>
          </cell>
          <cell r="Z643">
            <v>0</v>
          </cell>
          <cell r="AA643">
            <v>0</v>
          </cell>
          <cell r="AB643" t="str">
            <v>anytime</v>
          </cell>
          <cell r="AC643">
            <v>934</v>
          </cell>
          <cell r="AD643">
            <v>6</v>
          </cell>
          <cell r="AE643" t="str">
            <v>everyone</v>
          </cell>
        </row>
        <row r="644">
          <cell r="A644" t="str">
            <v>49004_3</v>
          </cell>
          <cell r="B644">
            <v>3</v>
          </cell>
          <cell r="C644">
            <v>49004</v>
          </cell>
          <cell r="D644" t="str">
            <v>サンリオ好きなのだーれだ♪</v>
          </cell>
          <cell r="E644" t="str">
            <v>コラボ降臨4</v>
          </cell>
          <cell r="F644">
            <v>3</v>
          </cell>
          <cell r="G644" t="str">
            <v>ja</v>
          </cell>
          <cell r="H644" t="str">
            <v>【ﾉｰｺﾝ】サンリオ好きなのだーれだ♪</v>
          </cell>
          <cell r="I644" t="str">
            <v>地獄級</v>
          </cell>
          <cell r="J644">
            <v>0</v>
          </cell>
          <cell r="K644">
            <v>40</v>
          </cell>
          <cell r="L644">
            <v>4500</v>
          </cell>
          <cell r="M644">
            <v>1</v>
          </cell>
          <cell r="N644">
            <v>1</v>
          </cell>
          <cell r="O644">
            <v>1</v>
          </cell>
          <cell r="P644">
            <v>1</v>
          </cell>
          <cell r="Q644">
            <v>1</v>
          </cell>
          <cell r="R644">
            <v>3</v>
          </cell>
          <cell r="S644" t="str">
            <v>polygon</v>
          </cell>
          <cell r="T644">
            <v>1</v>
          </cell>
          <cell r="U644" t="str">
            <v>NULL</v>
          </cell>
          <cell r="V644" t="str">
            <v>NULL</v>
          </cell>
          <cell r="W644" t="str">
            <v/>
          </cell>
          <cell r="X644">
            <v>0</v>
          </cell>
          <cell r="Y644">
            <v>0</v>
          </cell>
          <cell r="Z644">
            <v>0</v>
          </cell>
          <cell r="AA644">
            <v>0</v>
          </cell>
          <cell r="AB644" t="str">
            <v>anytime</v>
          </cell>
          <cell r="AC644">
            <v>934</v>
          </cell>
          <cell r="AD644">
            <v>6</v>
          </cell>
          <cell r="AE644" t="str">
            <v>everyone</v>
          </cell>
        </row>
        <row r="645">
          <cell r="A645" t="str">
            <v>49005_1</v>
          </cell>
          <cell r="B645">
            <v>1</v>
          </cell>
          <cell r="C645">
            <v>49005</v>
          </cell>
          <cell r="D645" t="str">
            <v>襲来クエスト</v>
          </cell>
          <cell r="E645" t="str">
            <v>コラボ降臨5</v>
          </cell>
          <cell r="F645">
            <v>1</v>
          </cell>
          <cell r="G645" t="str">
            <v>ja</v>
          </cell>
          <cell r="H645" t="str">
            <v>【ウィザード級】襲来クエスト</v>
          </cell>
          <cell r="I645" t="str">
            <v>地獄級</v>
          </cell>
          <cell r="J645">
            <v>8013</v>
          </cell>
          <cell r="K645">
            <v>40</v>
          </cell>
          <cell r="L645">
            <v>4200</v>
          </cell>
          <cell r="M645">
            <v>1</v>
          </cell>
          <cell r="N645">
            <v>1</v>
          </cell>
          <cell r="O645">
            <v>1</v>
          </cell>
          <cell r="P645">
            <v>1</v>
          </cell>
          <cell r="Q645">
            <v>1</v>
          </cell>
          <cell r="R645">
            <v>3</v>
          </cell>
          <cell r="S645" t="str">
            <v>polygon</v>
          </cell>
          <cell r="T645">
            <v>1</v>
          </cell>
          <cell r="U645" t="str">
            <v>NULL</v>
          </cell>
          <cell r="V645" t="str">
            <v>NULL</v>
          </cell>
          <cell r="W645" t="str">
            <v/>
          </cell>
          <cell r="X645">
            <v>0</v>
          </cell>
          <cell r="Y645">
            <v>0</v>
          </cell>
          <cell r="Z645">
            <v>0</v>
          </cell>
          <cell r="AA645">
            <v>0</v>
          </cell>
          <cell r="AB645" t="str">
            <v>anytime</v>
          </cell>
          <cell r="AC645">
            <v>910</v>
          </cell>
          <cell r="AD645">
            <v>6</v>
          </cell>
          <cell r="AE645" t="str">
            <v>everyone</v>
          </cell>
        </row>
        <row r="646">
          <cell r="A646" t="str">
            <v>49006_1</v>
          </cell>
          <cell r="B646">
            <v>1</v>
          </cell>
          <cell r="C646">
            <v>49006</v>
          </cell>
          <cell r="D646" t="str">
            <v>超大型巨人襲来！</v>
          </cell>
          <cell r="E646" t="str">
            <v>コラボ降臨6</v>
          </cell>
          <cell r="F646">
            <v>1</v>
          </cell>
          <cell r="G646" t="str">
            <v>ja</v>
          </cell>
          <cell r="H646" t="str">
            <v>【超絶級】Cho襲来クエスト</v>
          </cell>
          <cell r="I646" t="str">
            <v>地獄級</v>
          </cell>
          <cell r="J646">
            <v>1</v>
          </cell>
          <cell r="K646">
            <v>35</v>
          </cell>
          <cell r="L646">
            <v>4200</v>
          </cell>
          <cell r="M646">
            <v>1</v>
          </cell>
          <cell r="N646">
            <v>1</v>
          </cell>
          <cell r="O646">
            <v>1</v>
          </cell>
          <cell r="P646">
            <v>1</v>
          </cell>
          <cell r="Q646">
            <v>1</v>
          </cell>
          <cell r="R646">
            <v>3</v>
          </cell>
          <cell r="S646" t="str">
            <v>polygon</v>
          </cell>
          <cell r="T646">
            <v>1</v>
          </cell>
          <cell r="U646" t="str">
            <v>NULL</v>
          </cell>
          <cell r="V646" t="str">
            <v>NULL</v>
          </cell>
          <cell r="W646" t="str">
            <v/>
          </cell>
          <cell r="X646">
            <v>0</v>
          </cell>
          <cell r="Y646">
            <v>0</v>
          </cell>
          <cell r="Z646">
            <v>0</v>
          </cell>
          <cell r="AA646">
            <v>0</v>
          </cell>
          <cell r="AB646" t="str">
            <v>anytime</v>
          </cell>
          <cell r="AC646">
            <v>937</v>
          </cell>
          <cell r="AD646">
            <v>6</v>
          </cell>
          <cell r="AE646" t="str">
            <v>everyone</v>
          </cell>
        </row>
        <row r="647">
          <cell r="A647" t="str">
            <v>49006_2</v>
          </cell>
          <cell r="B647">
            <v>1</v>
          </cell>
          <cell r="C647">
            <v>49006</v>
          </cell>
          <cell r="D647" t="str">
            <v>超大型巨人襲来！</v>
          </cell>
          <cell r="E647" t="str">
            <v>コラボ降臨6</v>
          </cell>
          <cell r="F647">
            <v>2</v>
          </cell>
          <cell r="G647" t="str">
            <v>ja</v>
          </cell>
          <cell r="H647" t="str">
            <v>【ウィザード級】Cho襲来クエスト</v>
          </cell>
          <cell r="I647" t="str">
            <v>地獄級</v>
          </cell>
          <cell r="J647">
            <v>1</v>
          </cell>
          <cell r="K647">
            <v>40</v>
          </cell>
          <cell r="L647">
            <v>4500</v>
          </cell>
          <cell r="M647">
            <v>1</v>
          </cell>
          <cell r="N647">
            <v>1</v>
          </cell>
          <cell r="O647">
            <v>1</v>
          </cell>
          <cell r="P647">
            <v>1</v>
          </cell>
          <cell r="Q647">
            <v>1</v>
          </cell>
          <cell r="R647">
            <v>3</v>
          </cell>
          <cell r="S647" t="str">
            <v>polygon</v>
          </cell>
          <cell r="T647">
            <v>1</v>
          </cell>
          <cell r="U647" t="str">
            <v>NULL</v>
          </cell>
          <cell r="V647" t="str">
            <v>NULL</v>
          </cell>
          <cell r="W647" t="str">
            <v/>
          </cell>
          <cell r="X647">
            <v>0</v>
          </cell>
          <cell r="Y647">
            <v>0</v>
          </cell>
          <cell r="Z647">
            <v>0</v>
          </cell>
          <cell r="AA647">
            <v>0</v>
          </cell>
          <cell r="AB647" t="str">
            <v>anytime</v>
          </cell>
          <cell r="AC647">
            <v>937</v>
          </cell>
          <cell r="AD647">
            <v>6</v>
          </cell>
          <cell r="AE647" t="str">
            <v>everyone</v>
          </cell>
        </row>
        <row r="648">
          <cell r="A648" t="str">
            <v>50001_1</v>
          </cell>
          <cell r="B648">
            <v>3</v>
          </cell>
          <cell r="C648">
            <v>50001</v>
          </cell>
          <cell r="D648" t="str">
            <v>麒麟襲来！</v>
          </cell>
          <cell r="E648" t="str">
            <v>超降臨1</v>
          </cell>
          <cell r="F648">
            <v>1</v>
          </cell>
          <cell r="G648" t="str">
            <v>ja</v>
          </cell>
          <cell r="H648" t="str">
            <v xml:space="preserve">【超ウィザード級】麒麟襲来 </v>
          </cell>
          <cell r="I648" t="str">
            <v>超地獄級</v>
          </cell>
          <cell r="J648">
            <v>329</v>
          </cell>
          <cell r="K648">
            <v>40</v>
          </cell>
          <cell r="L648">
            <v>5200</v>
          </cell>
          <cell r="M648">
            <v>1</v>
          </cell>
          <cell r="N648">
            <v>1</v>
          </cell>
          <cell r="O648">
            <v>1</v>
          </cell>
          <cell r="P648">
            <v>1</v>
          </cell>
          <cell r="Q648">
            <v>1</v>
          </cell>
          <cell r="R648">
            <v>3</v>
          </cell>
          <cell r="S648" t="str">
            <v>character</v>
          </cell>
          <cell r="T648">
            <v>432</v>
          </cell>
          <cell r="U648" t="str">
            <v>NULL</v>
          </cell>
          <cell r="V648" t="str">
            <v>NULL</v>
          </cell>
          <cell r="W648" t="str">
            <v/>
          </cell>
          <cell r="X648">
            <v>0</v>
          </cell>
          <cell r="Y648">
            <v>0</v>
          </cell>
          <cell r="Z648">
            <v>0</v>
          </cell>
          <cell r="AA648">
            <v>0</v>
          </cell>
          <cell r="AB648" t="str">
            <v>anytime</v>
          </cell>
          <cell r="AC648">
            <v>905</v>
          </cell>
          <cell r="AD648">
            <v>6</v>
          </cell>
          <cell r="AE648" t="str">
            <v>everyone</v>
          </cell>
        </row>
        <row r="649">
          <cell r="A649" t="str">
            <v>50002_1</v>
          </cell>
          <cell r="B649">
            <v>3</v>
          </cell>
          <cell r="C649">
            <v>50002</v>
          </cell>
          <cell r="D649" t="str">
            <v>オーディン襲来！</v>
          </cell>
          <cell r="E649" t="str">
            <v>超降臨2</v>
          </cell>
          <cell r="F649">
            <v>1</v>
          </cell>
          <cell r="G649" t="str">
            <v>ja</v>
          </cell>
          <cell r="H649" t="str">
            <v xml:space="preserve">【超ウィザード級】オーディン襲来 </v>
          </cell>
          <cell r="I649" t="str">
            <v>超地獄級</v>
          </cell>
          <cell r="J649">
            <v>331</v>
          </cell>
          <cell r="K649">
            <v>40</v>
          </cell>
          <cell r="L649">
            <v>5200</v>
          </cell>
          <cell r="M649">
            <v>1</v>
          </cell>
          <cell r="N649">
            <v>1</v>
          </cell>
          <cell r="O649">
            <v>1</v>
          </cell>
          <cell r="P649">
            <v>1</v>
          </cell>
          <cell r="Q649">
            <v>1</v>
          </cell>
          <cell r="R649">
            <v>3</v>
          </cell>
          <cell r="S649" t="str">
            <v>character</v>
          </cell>
          <cell r="T649">
            <v>573</v>
          </cell>
          <cell r="U649" t="str">
            <v>NULL</v>
          </cell>
          <cell r="V649" t="str">
            <v>NULL</v>
          </cell>
          <cell r="W649" t="str">
            <v/>
          </cell>
          <cell r="X649">
            <v>0</v>
          </cell>
          <cell r="Y649">
            <v>0</v>
          </cell>
          <cell r="Z649">
            <v>0</v>
          </cell>
          <cell r="AA649">
            <v>0</v>
          </cell>
          <cell r="AB649" t="str">
            <v>anytime</v>
          </cell>
          <cell r="AC649">
            <v>911</v>
          </cell>
          <cell r="AD649">
            <v>6</v>
          </cell>
          <cell r="AE649" t="str">
            <v>everyone</v>
          </cell>
        </row>
        <row r="650">
          <cell r="A650" t="str">
            <v>50003_1</v>
          </cell>
          <cell r="B650">
            <v>3</v>
          </cell>
          <cell r="C650">
            <v>50003</v>
          </cell>
          <cell r="D650" t="str">
            <v>織田信長襲来！</v>
          </cell>
          <cell r="E650" t="str">
            <v>超降臨3</v>
          </cell>
          <cell r="F650">
            <v>1</v>
          </cell>
          <cell r="G650" t="str">
            <v>ja</v>
          </cell>
          <cell r="H650" t="str">
            <v xml:space="preserve">【超ウィザード級】織田信長襲来 </v>
          </cell>
          <cell r="I650" t="str">
            <v>超地獄級</v>
          </cell>
          <cell r="J650">
            <v>0</v>
          </cell>
          <cell r="K650">
            <v>40</v>
          </cell>
          <cell r="L650">
            <v>5200</v>
          </cell>
          <cell r="M650">
            <v>1</v>
          </cell>
          <cell r="N650">
            <v>1</v>
          </cell>
          <cell r="O650">
            <v>1</v>
          </cell>
          <cell r="P650">
            <v>1</v>
          </cell>
          <cell r="Q650">
            <v>1</v>
          </cell>
          <cell r="R650">
            <v>3</v>
          </cell>
          <cell r="S650" t="str">
            <v>character</v>
          </cell>
          <cell r="T650">
            <v>726</v>
          </cell>
          <cell r="U650" t="str">
            <v>NULL</v>
          </cell>
          <cell r="V650" t="str">
            <v>NULL</v>
          </cell>
          <cell r="W650" t="str">
            <v/>
          </cell>
          <cell r="X650">
            <v>0</v>
          </cell>
          <cell r="Y650">
            <v>0</v>
          </cell>
          <cell r="Z650">
            <v>0</v>
          </cell>
          <cell r="AA650">
            <v>0</v>
          </cell>
          <cell r="AB650" t="str">
            <v>anytime</v>
          </cell>
          <cell r="AC650">
            <v>920</v>
          </cell>
          <cell r="AD650">
            <v>6</v>
          </cell>
          <cell r="AE650" t="str">
            <v>everyone</v>
          </cell>
        </row>
        <row r="651">
          <cell r="A651" t="str">
            <v>50004_1</v>
          </cell>
          <cell r="B651">
            <v>3</v>
          </cell>
          <cell r="C651">
            <v>50004</v>
          </cell>
          <cell r="D651" t="str">
            <v>ルシファー襲来！</v>
          </cell>
          <cell r="E651" t="str">
            <v>超降臨4</v>
          </cell>
          <cell r="F651">
            <v>1</v>
          </cell>
          <cell r="G651" t="str">
            <v>ja</v>
          </cell>
          <cell r="H651" t="str">
            <v xml:space="preserve">【超ウィザード級】ルシファー襲来 </v>
          </cell>
          <cell r="I651" t="str">
            <v>超地獄級</v>
          </cell>
          <cell r="J651">
            <v>0</v>
          </cell>
          <cell r="K651">
            <v>40</v>
          </cell>
          <cell r="L651">
            <v>5200</v>
          </cell>
          <cell r="M651">
            <v>1</v>
          </cell>
          <cell r="N651">
            <v>1</v>
          </cell>
          <cell r="O651">
            <v>1</v>
          </cell>
          <cell r="P651">
            <v>1</v>
          </cell>
          <cell r="Q651">
            <v>1</v>
          </cell>
          <cell r="R651">
            <v>3</v>
          </cell>
          <cell r="S651" t="str">
            <v>character</v>
          </cell>
          <cell r="T651">
            <v>846</v>
          </cell>
          <cell r="U651" t="str">
            <v>NULL</v>
          </cell>
          <cell r="V651" t="str">
            <v>NULL</v>
          </cell>
          <cell r="W651" t="str">
            <v/>
          </cell>
          <cell r="X651">
            <v>0</v>
          </cell>
          <cell r="Y651">
            <v>0</v>
          </cell>
          <cell r="Z651">
            <v>0</v>
          </cell>
          <cell r="AA651">
            <v>0</v>
          </cell>
          <cell r="AB651" t="str">
            <v>anytime</v>
          </cell>
          <cell r="AC651">
            <v>928</v>
          </cell>
          <cell r="AD651">
            <v>6</v>
          </cell>
          <cell r="AE651" t="str">
            <v>everyone</v>
          </cell>
        </row>
        <row r="652">
          <cell r="A652" t="str">
            <v>50005_1</v>
          </cell>
          <cell r="B652">
            <v>3</v>
          </cell>
          <cell r="C652">
            <v>50005</v>
          </cell>
          <cell r="D652" t="str">
            <v>ゼウス襲来！</v>
          </cell>
          <cell r="E652" t="str">
            <v>超降臨5</v>
          </cell>
          <cell r="F652">
            <v>1</v>
          </cell>
          <cell r="G652" t="str">
            <v>ja</v>
          </cell>
          <cell r="H652" t="str">
            <v>【超ウィザード級】ゼウス襲来</v>
          </cell>
          <cell r="I652" t="str">
            <v>超地獄級</v>
          </cell>
          <cell r="J652">
            <v>0</v>
          </cell>
          <cell r="K652">
            <v>40</v>
          </cell>
          <cell r="L652">
            <v>5200</v>
          </cell>
          <cell r="M652">
            <v>1</v>
          </cell>
          <cell r="N652">
            <v>1</v>
          </cell>
          <cell r="O652">
            <v>1</v>
          </cell>
          <cell r="P652">
            <v>1</v>
          </cell>
          <cell r="Q652">
            <v>1</v>
          </cell>
          <cell r="R652">
            <v>3</v>
          </cell>
          <cell r="S652" t="str">
            <v>character</v>
          </cell>
          <cell r="T652">
            <v>929</v>
          </cell>
          <cell r="U652" t="str">
            <v>NULL</v>
          </cell>
          <cell r="V652" t="str">
            <v>NULL</v>
          </cell>
          <cell r="W652" t="str">
            <v/>
          </cell>
          <cell r="X652">
            <v>0</v>
          </cell>
          <cell r="Y652">
            <v>0</v>
          </cell>
          <cell r="Z652">
            <v>0</v>
          </cell>
          <cell r="AA652">
            <v>0</v>
          </cell>
          <cell r="AB652" t="str">
            <v>anytime</v>
          </cell>
          <cell r="AC652">
            <v>935</v>
          </cell>
          <cell r="AD652">
            <v>6</v>
          </cell>
          <cell r="AE652" t="str">
            <v>everyone</v>
          </cell>
        </row>
        <row r="653">
          <cell r="A653" t="str">
            <v>50006_1</v>
          </cell>
          <cell r="B653">
            <v>1</v>
          </cell>
          <cell r="C653">
            <v>50006</v>
          </cell>
          <cell r="D653" t="str">
            <v>セト襲来！</v>
          </cell>
          <cell r="E653" t="str">
            <v>超降臨6</v>
          </cell>
          <cell r="F653">
            <v>1</v>
          </cell>
          <cell r="G653" t="str">
            <v>ja</v>
          </cell>
          <cell r="H653" t="str">
            <v>【超ウィザード級】セト襲来</v>
          </cell>
          <cell r="I653" t="str">
            <v>超地獄級</v>
          </cell>
          <cell r="J653">
            <v>0</v>
          </cell>
          <cell r="K653">
            <v>40</v>
          </cell>
          <cell r="L653">
            <v>5200</v>
          </cell>
          <cell r="M653">
            <v>1</v>
          </cell>
          <cell r="N653">
            <v>1</v>
          </cell>
          <cell r="O653">
            <v>1</v>
          </cell>
          <cell r="P653">
            <v>1</v>
          </cell>
          <cell r="Q653">
            <v>1</v>
          </cell>
          <cell r="R653">
            <v>3</v>
          </cell>
          <cell r="S653" t="str">
            <v>character</v>
          </cell>
          <cell r="T653">
            <v>1</v>
          </cell>
          <cell r="U653" t="str">
            <v>NULL</v>
          </cell>
          <cell r="V653" t="str">
            <v>NULL</v>
          </cell>
          <cell r="W653" t="str">
            <v/>
          </cell>
          <cell r="X653">
            <v>0</v>
          </cell>
          <cell r="Y653">
            <v>0</v>
          </cell>
          <cell r="Z653">
            <v>0</v>
          </cell>
          <cell r="AA653">
            <v>0</v>
          </cell>
          <cell r="AB653" t="str">
            <v>anytime</v>
          </cell>
          <cell r="AC653">
            <v>10</v>
          </cell>
          <cell r="AD653">
            <v>6</v>
          </cell>
          <cell r="AE653" t="str">
            <v>everyone</v>
          </cell>
        </row>
        <row r="654">
          <cell r="A654" t="str">
            <v>51001_1</v>
          </cell>
          <cell r="B654">
            <v>3</v>
          </cell>
          <cell r="C654">
            <v>51001</v>
          </cell>
          <cell r="D654" t="str">
            <v>麒麟襲来！</v>
          </cell>
          <cell r="E654" t="str">
            <v>超降臨1</v>
          </cell>
          <cell r="F654">
            <v>1</v>
          </cell>
          <cell r="G654" t="str">
            <v>ja</v>
          </cell>
          <cell r="H654" t="str">
            <v xml:space="preserve">【超ウィザード級】麒麟襲来 </v>
          </cell>
          <cell r="I654" t="str">
            <v>超地獄級</v>
          </cell>
          <cell r="J654">
            <v>0</v>
          </cell>
          <cell r="K654">
            <v>40</v>
          </cell>
          <cell r="L654">
            <v>5200</v>
          </cell>
          <cell r="M654">
            <v>1</v>
          </cell>
          <cell r="N654">
            <v>1</v>
          </cell>
          <cell r="O654">
            <v>1</v>
          </cell>
          <cell r="P654">
            <v>1</v>
          </cell>
          <cell r="Q654">
            <v>1</v>
          </cell>
          <cell r="R654">
            <v>3</v>
          </cell>
          <cell r="S654" t="str">
            <v>character</v>
          </cell>
          <cell r="T654">
            <v>432</v>
          </cell>
          <cell r="U654" t="str">
            <v>NULL</v>
          </cell>
          <cell r="V654" t="str">
            <v>NULL</v>
          </cell>
          <cell r="W654" t="str">
            <v/>
          </cell>
          <cell r="X654">
            <v>0</v>
          </cell>
          <cell r="Y654">
            <v>0</v>
          </cell>
          <cell r="Z654">
            <v>0</v>
          </cell>
          <cell r="AA654">
            <v>0</v>
          </cell>
          <cell r="AB654" t="str">
            <v>anytime</v>
          </cell>
          <cell r="AC654">
            <v>905</v>
          </cell>
          <cell r="AD654">
            <v>6</v>
          </cell>
          <cell r="AE654" t="str">
            <v>everyone</v>
          </cell>
        </row>
        <row r="655">
          <cell r="A655" t="str">
            <v>51002_1</v>
          </cell>
          <cell r="B655">
            <v>3</v>
          </cell>
          <cell r="C655">
            <v>51002</v>
          </cell>
          <cell r="D655" t="str">
            <v>オーディン襲来！</v>
          </cell>
          <cell r="E655" t="str">
            <v>超降臨2</v>
          </cell>
          <cell r="F655">
            <v>1</v>
          </cell>
          <cell r="G655" t="str">
            <v>ja</v>
          </cell>
          <cell r="H655" t="str">
            <v>【超ウィザード級】オーディン襲来</v>
          </cell>
          <cell r="I655" t="str">
            <v>超地獄級</v>
          </cell>
          <cell r="J655">
            <v>0</v>
          </cell>
          <cell r="K655">
            <v>40</v>
          </cell>
          <cell r="L655">
            <v>5200</v>
          </cell>
          <cell r="M655">
            <v>1</v>
          </cell>
          <cell r="N655">
            <v>1</v>
          </cell>
          <cell r="O655">
            <v>1</v>
          </cell>
          <cell r="P655">
            <v>1</v>
          </cell>
          <cell r="Q655">
            <v>1</v>
          </cell>
          <cell r="R655">
            <v>3</v>
          </cell>
          <cell r="S655" t="str">
            <v>character</v>
          </cell>
          <cell r="T655">
            <v>573</v>
          </cell>
          <cell r="U655" t="str">
            <v>NULL</v>
          </cell>
          <cell r="V655" t="str">
            <v>NULL</v>
          </cell>
          <cell r="W655" t="str">
            <v/>
          </cell>
          <cell r="X655">
            <v>0</v>
          </cell>
          <cell r="Y655">
            <v>0</v>
          </cell>
          <cell r="Z655">
            <v>0</v>
          </cell>
          <cell r="AA655">
            <v>0</v>
          </cell>
          <cell r="AB655" t="str">
            <v>anytime</v>
          </cell>
          <cell r="AC655">
            <v>911</v>
          </cell>
          <cell r="AD655">
            <v>6</v>
          </cell>
          <cell r="AE655" t="str">
            <v>everyone</v>
          </cell>
        </row>
        <row r="656">
          <cell r="A656" t="str">
            <v>60001_1</v>
          </cell>
          <cell r="B656">
            <v>1</v>
          </cell>
          <cell r="C656">
            <v>60001</v>
          </cell>
          <cell r="D656" t="str">
            <v>ヘンペルチャレンジ</v>
          </cell>
          <cell r="E656" t="str">
            <v>ランキング1</v>
          </cell>
          <cell r="F656">
            <v>1</v>
          </cell>
          <cell r="G656" t="str">
            <v>ja</v>
          </cell>
          <cell r="H656" t="str">
            <v>[ウィザード] 第一回</v>
          </cell>
          <cell r="I656" t="str">
            <v>ランキング</v>
          </cell>
          <cell r="J656">
            <v>488</v>
          </cell>
          <cell r="K656">
            <v>5</v>
          </cell>
          <cell r="L656">
            <v>0</v>
          </cell>
          <cell r="M656">
            <v>1</v>
          </cell>
          <cell r="N656">
            <v>1</v>
          </cell>
          <cell r="O656">
            <v>1</v>
          </cell>
          <cell r="P656">
            <v>1</v>
          </cell>
          <cell r="Q656">
            <v>1</v>
          </cell>
          <cell r="R656">
            <v>3</v>
          </cell>
          <cell r="S656" t="str">
            <v>none</v>
          </cell>
          <cell r="T656">
            <v>0</v>
          </cell>
          <cell r="U656" t="str">
            <v>NULL</v>
          </cell>
          <cell r="V656" t="str">
            <v>NULL</v>
          </cell>
          <cell r="W656" t="str">
            <v/>
          </cell>
          <cell r="X656">
            <v>0</v>
          </cell>
          <cell r="Y656">
            <v>0</v>
          </cell>
          <cell r="Z656">
            <v>0</v>
          </cell>
          <cell r="AA656">
            <v>0</v>
          </cell>
          <cell r="AB656" t="str">
            <v>anytime</v>
          </cell>
          <cell r="AC656">
            <v>911</v>
          </cell>
          <cell r="AD656">
            <v>6</v>
          </cell>
          <cell r="AE656" t="str">
            <v>singleonly</v>
          </cell>
        </row>
        <row r="657">
          <cell r="A657" t="str">
            <v>60002_1</v>
          </cell>
          <cell r="B657">
            <v>1</v>
          </cell>
          <cell r="C657">
            <v>60002</v>
          </cell>
          <cell r="D657" t="str">
            <v>ヘンペルチャレンジ</v>
          </cell>
          <cell r="E657" t="str">
            <v>ランキング1</v>
          </cell>
          <cell r="F657">
            <v>1</v>
          </cell>
          <cell r="G657" t="str">
            <v>ja</v>
          </cell>
          <cell r="H657" t="str">
            <v>[超級] 第2回　※Wizと難易度は同じ</v>
          </cell>
          <cell r="I657" t="str">
            <v>ランキング</v>
          </cell>
          <cell r="J657">
            <v>488</v>
          </cell>
          <cell r="K657">
            <v>5</v>
          </cell>
          <cell r="L657">
            <v>0</v>
          </cell>
          <cell r="M657">
            <v>1</v>
          </cell>
          <cell r="N657">
            <v>1</v>
          </cell>
          <cell r="O657">
            <v>1</v>
          </cell>
          <cell r="P657">
            <v>1</v>
          </cell>
          <cell r="Q657">
            <v>1</v>
          </cell>
          <cell r="R657">
            <v>3</v>
          </cell>
          <cell r="S657" t="str">
            <v>none</v>
          </cell>
          <cell r="T657">
            <v>0</v>
          </cell>
          <cell r="U657" t="str">
            <v>NULL</v>
          </cell>
          <cell r="V657" t="str">
            <v>NULL</v>
          </cell>
          <cell r="W657" t="str">
            <v/>
          </cell>
          <cell r="X657">
            <v>0</v>
          </cell>
          <cell r="Y657">
            <v>0</v>
          </cell>
          <cell r="Z657">
            <v>0</v>
          </cell>
          <cell r="AA657">
            <v>0</v>
          </cell>
          <cell r="AB657" t="str">
            <v>anytime</v>
          </cell>
          <cell r="AC657">
            <v>911</v>
          </cell>
          <cell r="AD657">
            <v>6</v>
          </cell>
          <cell r="AE657" t="str">
            <v>singleonly</v>
          </cell>
        </row>
        <row r="658">
          <cell r="A658" t="str">
            <v>60002_2</v>
          </cell>
          <cell r="B658">
            <v>1</v>
          </cell>
          <cell r="C658">
            <v>60002</v>
          </cell>
          <cell r="D658" t="str">
            <v>ヘンペルチャレンジ</v>
          </cell>
          <cell r="E658" t="str">
            <v>ランキング1</v>
          </cell>
          <cell r="F658">
            <v>2</v>
          </cell>
          <cell r="G658" t="str">
            <v>ja</v>
          </cell>
          <cell r="H658" t="str">
            <v>[ウィザード] 第2回　※Wizと難易度は同じ</v>
          </cell>
          <cell r="I658" t="str">
            <v>ランキング</v>
          </cell>
          <cell r="J658">
            <v>488</v>
          </cell>
          <cell r="K658">
            <v>5</v>
          </cell>
          <cell r="L658">
            <v>0</v>
          </cell>
          <cell r="M658">
            <v>1</v>
          </cell>
          <cell r="N658">
            <v>1</v>
          </cell>
          <cell r="O658">
            <v>1</v>
          </cell>
          <cell r="P658">
            <v>1</v>
          </cell>
          <cell r="Q658">
            <v>1</v>
          </cell>
          <cell r="R658">
            <v>3</v>
          </cell>
          <cell r="S658" t="str">
            <v>none</v>
          </cell>
          <cell r="T658">
            <v>0</v>
          </cell>
          <cell r="U658" t="str">
            <v>NULL</v>
          </cell>
          <cell r="V658" t="str">
            <v>NULL</v>
          </cell>
          <cell r="W658" t="str">
            <v/>
          </cell>
          <cell r="X658">
            <v>0</v>
          </cell>
          <cell r="Y658">
            <v>0</v>
          </cell>
          <cell r="Z658">
            <v>0</v>
          </cell>
          <cell r="AA658">
            <v>0</v>
          </cell>
          <cell r="AB658" t="str">
            <v>anytime</v>
          </cell>
          <cell r="AC658">
            <v>911</v>
          </cell>
          <cell r="AD658">
            <v>6</v>
          </cell>
          <cell r="AE658" t="str">
            <v>singleonly</v>
          </cell>
        </row>
        <row r="659">
          <cell r="A659" t="str">
            <v>60003_1</v>
          </cell>
          <cell r="B659">
            <v>1</v>
          </cell>
          <cell r="C659">
            <v>60003</v>
          </cell>
          <cell r="D659" t="str">
            <v>ヘンペルチャレンジ</v>
          </cell>
          <cell r="E659" t="str">
            <v>ランキング1</v>
          </cell>
          <cell r="F659">
            <v>1</v>
          </cell>
          <cell r="G659" t="str">
            <v>ja</v>
          </cell>
          <cell r="H659" t="str">
            <v>[中級] 第3回　</v>
          </cell>
          <cell r="I659" t="str">
            <v>ランキング</v>
          </cell>
          <cell r="J659">
            <v>488</v>
          </cell>
          <cell r="K659">
            <v>5</v>
          </cell>
          <cell r="L659">
            <v>0</v>
          </cell>
          <cell r="M659">
            <v>1</v>
          </cell>
          <cell r="N659">
            <v>1</v>
          </cell>
          <cell r="O659">
            <v>1</v>
          </cell>
          <cell r="P659">
            <v>1</v>
          </cell>
          <cell r="Q659">
            <v>1</v>
          </cell>
          <cell r="R659">
            <v>3</v>
          </cell>
          <cell r="S659" t="str">
            <v>none</v>
          </cell>
          <cell r="T659">
            <v>0</v>
          </cell>
          <cell r="U659" t="str">
            <v>NULL</v>
          </cell>
          <cell r="V659" t="str">
            <v>NULL</v>
          </cell>
          <cell r="W659" t="str">
            <v/>
          </cell>
          <cell r="X659">
            <v>0</v>
          </cell>
          <cell r="Y659">
            <v>0</v>
          </cell>
          <cell r="Z659">
            <v>0</v>
          </cell>
          <cell r="AA659">
            <v>0</v>
          </cell>
          <cell r="AB659" t="str">
            <v>anytime</v>
          </cell>
          <cell r="AC659">
            <v>911</v>
          </cell>
          <cell r="AD659">
            <v>6</v>
          </cell>
          <cell r="AE659" t="str">
            <v>singleonly</v>
          </cell>
        </row>
        <row r="660">
          <cell r="A660" t="str">
            <v>60003_2</v>
          </cell>
          <cell r="B660">
            <v>1</v>
          </cell>
          <cell r="C660">
            <v>60003</v>
          </cell>
          <cell r="D660" t="str">
            <v>ヘンペルチャレンジ</v>
          </cell>
          <cell r="E660" t="str">
            <v>ランキング1</v>
          </cell>
          <cell r="F660">
            <v>2</v>
          </cell>
          <cell r="G660" t="str">
            <v>ja</v>
          </cell>
          <cell r="H660" t="str">
            <v>[超級] 第3回　</v>
          </cell>
          <cell r="I660" t="str">
            <v>ランキング</v>
          </cell>
          <cell r="J660">
            <v>488</v>
          </cell>
          <cell r="K660">
            <v>5</v>
          </cell>
          <cell r="L660">
            <v>0</v>
          </cell>
          <cell r="M660">
            <v>1</v>
          </cell>
          <cell r="N660">
            <v>1</v>
          </cell>
          <cell r="O660">
            <v>1</v>
          </cell>
          <cell r="P660">
            <v>1</v>
          </cell>
          <cell r="Q660">
            <v>1</v>
          </cell>
          <cell r="R660">
            <v>3</v>
          </cell>
          <cell r="S660" t="str">
            <v>none</v>
          </cell>
          <cell r="T660">
            <v>0</v>
          </cell>
          <cell r="U660">
            <v>60003</v>
          </cell>
          <cell r="V660">
            <v>1</v>
          </cell>
          <cell r="W660" t="str">
            <v>[中級] 第3回　</v>
          </cell>
          <cell r="X660">
            <v>0</v>
          </cell>
          <cell r="Y660">
            <v>0</v>
          </cell>
          <cell r="Z660">
            <v>0</v>
          </cell>
          <cell r="AA660">
            <v>0</v>
          </cell>
          <cell r="AB660" t="str">
            <v>anytime</v>
          </cell>
          <cell r="AC660">
            <v>911</v>
          </cell>
          <cell r="AD660">
            <v>6</v>
          </cell>
          <cell r="AE660" t="str">
            <v>singleonly</v>
          </cell>
        </row>
        <row r="661">
          <cell r="A661" t="str">
            <v>60003_3</v>
          </cell>
          <cell r="B661">
            <v>1</v>
          </cell>
          <cell r="C661">
            <v>60003</v>
          </cell>
          <cell r="D661" t="str">
            <v>ヘンペルチャレンジ</v>
          </cell>
          <cell r="E661" t="str">
            <v>ランキング1</v>
          </cell>
          <cell r="F661">
            <v>3</v>
          </cell>
          <cell r="G661" t="str">
            <v>ja</v>
          </cell>
          <cell r="H661" t="str">
            <v>[ウィザード] 第3回　</v>
          </cell>
          <cell r="I661" t="str">
            <v>ランキング</v>
          </cell>
          <cell r="J661">
            <v>488</v>
          </cell>
          <cell r="K661">
            <v>5</v>
          </cell>
          <cell r="L661">
            <v>0</v>
          </cell>
          <cell r="M661">
            <v>1</v>
          </cell>
          <cell r="N661">
            <v>1</v>
          </cell>
          <cell r="O661">
            <v>1</v>
          </cell>
          <cell r="P661">
            <v>1</v>
          </cell>
          <cell r="Q661">
            <v>1</v>
          </cell>
          <cell r="R661">
            <v>3</v>
          </cell>
          <cell r="S661" t="str">
            <v>none</v>
          </cell>
          <cell r="T661">
            <v>0</v>
          </cell>
          <cell r="U661">
            <v>60003</v>
          </cell>
          <cell r="V661">
            <v>2</v>
          </cell>
          <cell r="W661" t="str">
            <v>[超級] 第3回　</v>
          </cell>
          <cell r="X661">
            <v>0</v>
          </cell>
          <cell r="Y661">
            <v>0</v>
          </cell>
          <cell r="Z661">
            <v>0</v>
          </cell>
          <cell r="AA661">
            <v>0</v>
          </cell>
          <cell r="AB661" t="str">
            <v>anytime</v>
          </cell>
          <cell r="AC661">
            <v>911</v>
          </cell>
          <cell r="AD661">
            <v>6</v>
          </cell>
          <cell r="AE661" t="str">
            <v>singleonly</v>
          </cell>
        </row>
        <row r="662">
          <cell r="A662" t="str">
            <v>60004_1</v>
          </cell>
          <cell r="B662">
            <v>1</v>
          </cell>
          <cell r="C662">
            <v>60004</v>
          </cell>
          <cell r="D662" t="str">
            <v>ヘンペルチャレンジ</v>
          </cell>
          <cell r="E662" t="str">
            <v>ランキング1</v>
          </cell>
          <cell r="F662">
            <v>1</v>
          </cell>
          <cell r="G662" t="str">
            <v>ja</v>
          </cell>
          <cell r="H662" t="str">
            <v>[ウィザード] 第4回　</v>
          </cell>
          <cell r="I662" t="str">
            <v>ランキング</v>
          </cell>
          <cell r="J662">
            <v>488</v>
          </cell>
          <cell r="K662">
            <v>5</v>
          </cell>
          <cell r="L662">
            <v>0</v>
          </cell>
          <cell r="M662">
            <v>1</v>
          </cell>
          <cell r="N662">
            <v>1</v>
          </cell>
          <cell r="O662">
            <v>1</v>
          </cell>
          <cell r="P662">
            <v>1</v>
          </cell>
          <cell r="Q662">
            <v>1</v>
          </cell>
          <cell r="R662">
            <v>3</v>
          </cell>
          <cell r="S662" t="str">
            <v>none</v>
          </cell>
          <cell r="T662">
            <v>0</v>
          </cell>
          <cell r="U662" t="str">
            <v>NULL</v>
          </cell>
          <cell r="V662" t="str">
            <v>NULL</v>
          </cell>
          <cell r="W662" t="str">
            <v/>
          </cell>
          <cell r="X662">
            <v>0</v>
          </cell>
          <cell r="Y662">
            <v>0</v>
          </cell>
          <cell r="Z662">
            <v>0</v>
          </cell>
          <cell r="AA662">
            <v>0</v>
          </cell>
          <cell r="AB662" t="str">
            <v>anytime</v>
          </cell>
          <cell r="AC662">
            <v>911</v>
          </cell>
          <cell r="AD662">
            <v>6</v>
          </cell>
          <cell r="AE662" t="str">
            <v>singleonly</v>
          </cell>
        </row>
        <row r="663">
          <cell r="A663" t="str">
            <v>60005_1</v>
          </cell>
          <cell r="B663">
            <v>1</v>
          </cell>
          <cell r="C663">
            <v>60005</v>
          </cell>
          <cell r="D663" t="str">
            <v>オイラーチャレンジ</v>
          </cell>
          <cell r="E663" t="str">
            <v>ランキング1</v>
          </cell>
          <cell r="F663">
            <v>1</v>
          </cell>
          <cell r="G663" t="str">
            <v>ja</v>
          </cell>
          <cell r="H663" t="str">
            <v>[ウィザード] 第5回　</v>
          </cell>
          <cell r="I663" t="str">
            <v>ランキング</v>
          </cell>
          <cell r="J663">
            <v>379</v>
          </cell>
          <cell r="K663">
            <v>5</v>
          </cell>
          <cell r="L663">
            <v>0</v>
          </cell>
          <cell r="M663">
            <v>1</v>
          </cell>
          <cell r="N663">
            <v>1</v>
          </cell>
          <cell r="O663">
            <v>1</v>
          </cell>
          <cell r="P663">
            <v>1</v>
          </cell>
          <cell r="Q663">
            <v>1</v>
          </cell>
          <cell r="R663">
            <v>3</v>
          </cell>
          <cell r="S663" t="str">
            <v>none</v>
          </cell>
          <cell r="T663">
            <v>0</v>
          </cell>
          <cell r="U663" t="str">
            <v>NULL</v>
          </cell>
          <cell r="V663" t="str">
            <v>NULL</v>
          </cell>
          <cell r="W663" t="str">
            <v/>
          </cell>
          <cell r="X663">
            <v>0</v>
          </cell>
          <cell r="Y663">
            <v>0</v>
          </cell>
          <cell r="Z663">
            <v>0</v>
          </cell>
          <cell r="AA663">
            <v>0</v>
          </cell>
          <cell r="AB663" t="str">
            <v>anytime</v>
          </cell>
          <cell r="AC663">
            <v>923</v>
          </cell>
          <cell r="AD663">
            <v>6</v>
          </cell>
          <cell r="AE663" t="str">
            <v>singleonly</v>
          </cell>
        </row>
        <row r="664">
          <cell r="A664" t="str">
            <v>60006_1</v>
          </cell>
          <cell r="B664">
            <v>0</v>
          </cell>
          <cell r="C664">
            <v>60006</v>
          </cell>
          <cell r="D664" t="str">
            <v>オイラーチャレンジ</v>
          </cell>
          <cell r="E664" t="str">
            <v>ランキング1（本番実装用）</v>
          </cell>
          <cell r="F664">
            <v>1</v>
          </cell>
          <cell r="G664" t="str">
            <v>ja</v>
          </cell>
          <cell r="H664" t="str">
            <v>【中級】オイラーチャレンジ</v>
          </cell>
          <cell r="I664" t="str">
            <v>中級</v>
          </cell>
          <cell r="J664">
            <v>378</v>
          </cell>
          <cell r="K664">
            <v>15</v>
          </cell>
          <cell r="L664">
            <v>1200</v>
          </cell>
          <cell r="M664">
            <v>1</v>
          </cell>
          <cell r="N664">
            <v>1</v>
          </cell>
          <cell r="O664">
            <v>1</v>
          </cell>
          <cell r="P664">
            <v>1</v>
          </cell>
          <cell r="Q664">
            <v>1</v>
          </cell>
          <cell r="R664">
            <v>3</v>
          </cell>
          <cell r="S664" t="str">
            <v>none</v>
          </cell>
          <cell r="T664">
            <v>0</v>
          </cell>
          <cell r="U664">
            <v>60006</v>
          </cell>
          <cell r="V664">
            <v>1</v>
          </cell>
          <cell r="W664" t="str">
            <v>【中級】オイラーチャレンジ</v>
          </cell>
          <cell r="X664">
            <v>0</v>
          </cell>
          <cell r="Y664">
            <v>0</v>
          </cell>
          <cell r="Z664">
            <v>0</v>
          </cell>
          <cell r="AA664">
            <v>0</v>
          </cell>
          <cell r="AB664" t="str">
            <v>anytime</v>
          </cell>
          <cell r="AC664">
            <v>923</v>
          </cell>
          <cell r="AD664">
            <v>6</v>
          </cell>
          <cell r="AE664" t="str">
            <v>singleonly</v>
          </cell>
        </row>
        <row r="665">
          <cell r="A665" t="str">
            <v>60006_2</v>
          </cell>
          <cell r="B665">
            <v>0</v>
          </cell>
          <cell r="C665">
            <v>60006</v>
          </cell>
          <cell r="D665" t="str">
            <v>オイラーチャレンジ</v>
          </cell>
          <cell r="E665" t="str">
            <v>ランキング1（本番実装用）</v>
          </cell>
          <cell r="F665">
            <v>2</v>
          </cell>
          <cell r="G665" t="str">
            <v>ja</v>
          </cell>
          <cell r="H665" t="str">
            <v>【超級】オイラーチャレンジ</v>
          </cell>
          <cell r="I665" t="str">
            <v>超級</v>
          </cell>
          <cell r="J665">
            <v>378</v>
          </cell>
          <cell r="K665">
            <v>30</v>
          </cell>
          <cell r="L665">
            <v>3300</v>
          </cell>
          <cell r="M665">
            <v>1</v>
          </cell>
          <cell r="N665">
            <v>1</v>
          </cell>
          <cell r="O665">
            <v>1</v>
          </cell>
          <cell r="P665">
            <v>1</v>
          </cell>
          <cell r="Q665">
            <v>1</v>
          </cell>
          <cell r="R665">
            <v>3</v>
          </cell>
          <cell r="S665" t="str">
            <v>none</v>
          </cell>
          <cell r="T665">
            <v>0</v>
          </cell>
          <cell r="U665">
            <v>60006</v>
          </cell>
          <cell r="V665">
            <v>2</v>
          </cell>
          <cell r="W665" t="str">
            <v>【超級】オイラーチャレンジ</v>
          </cell>
          <cell r="X665">
            <v>0</v>
          </cell>
          <cell r="Y665">
            <v>0</v>
          </cell>
          <cell r="Z665">
            <v>0</v>
          </cell>
          <cell r="AA665">
            <v>0</v>
          </cell>
          <cell r="AB665" t="str">
            <v>anytime</v>
          </cell>
          <cell r="AC665">
            <v>923</v>
          </cell>
          <cell r="AD665">
            <v>6</v>
          </cell>
          <cell r="AE665" t="str">
            <v>singleonly</v>
          </cell>
        </row>
        <row r="666">
          <cell r="A666" t="str">
            <v>60006_3</v>
          </cell>
          <cell r="B666">
            <v>3</v>
          </cell>
          <cell r="C666">
            <v>60006</v>
          </cell>
          <cell r="D666" t="str">
            <v>オイラーチャレンジ</v>
          </cell>
          <cell r="E666" t="str">
            <v>ランキング1（本番実装用）</v>
          </cell>
          <cell r="F666">
            <v>3</v>
          </cell>
          <cell r="G666" t="str">
            <v>ja</v>
          </cell>
          <cell r="H666" t="str">
            <v>【ウィザード級】オイラーチャレンジ</v>
          </cell>
          <cell r="I666" t="str">
            <v>ウィザード級</v>
          </cell>
          <cell r="J666">
            <v>379</v>
          </cell>
          <cell r="K666">
            <v>35</v>
          </cell>
          <cell r="L666">
            <v>4200</v>
          </cell>
          <cell r="M666">
            <v>1</v>
          </cell>
          <cell r="N666">
            <v>1</v>
          </cell>
          <cell r="O666">
            <v>1</v>
          </cell>
          <cell r="P666">
            <v>1</v>
          </cell>
          <cell r="Q666">
            <v>1</v>
          </cell>
          <cell r="R666">
            <v>3</v>
          </cell>
          <cell r="S666" t="str">
            <v>none</v>
          </cell>
          <cell r="T666">
            <v>0</v>
          </cell>
          <cell r="U666">
            <v>60006</v>
          </cell>
          <cell r="V666">
            <v>3</v>
          </cell>
          <cell r="W666" t="str">
            <v>【ウィザード級】オイラーチャレンジ</v>
          </cell>
          <cell r="X666">
            <v>0</v>
          </cell>
          <cell r="Y666">
            <v>0</v>
          </cell>
          <cell r="Z666">
            <v>0</v>
          </cell>
          <cell r="AA666">
            <v>0</v>
          </cell>
          <cell r="AB666" t="str">
            <v>anytime</v>
          </cell>
          <cell r="AC666">
            <v>923</v>
          </cell>
          <cell r="AD666">
            <v>6</v>
          </cell>
          <cell r="AE666" t="str">
            <v>singleonly</v>
          </cell>
        </row>
        <row r="667">
          <cell r="A667" t="str">
            <v>60007_1</v>
          </cell>
          <cell r="B667">
            <v>0</v>
          </cell>
          <cell r="C667">
            <v>60007</v>
          </cell>
          <cell r="D667" t="str">
            <v>オイラーチャレンジ</v>
          </cell>
          <cell r="E667" t="str">
            <v>ランキング1（改修版）</v>
          </cell>
          <cell r="F667">
            <v>1</v>
          </cell>
          <cell r="G667" t="str">
            <v>ja</v>
          </cell>
          <cell r="H667" t="str">
            <v>【中級】オイラーチャレンジ</v>
          </cell>
          <cell r="I667" t="str">
            <v>中級</v>
          </cell>
          <cell r="J667">
            <v>378</v>
          </cell>
          <cell r="K667">
            <v>15</v>
          </cell>
          <cell r="L667">
            <v>1200</v>
          </cell>
          <cell r="M667">
            <v>1</v>
          </cell>
          <cell r="N667">
            <v>1</v>
          </cell>
          <cell r="O667">
            <v>1</v>
          </cell>
          <cell r="P667">
            <v>1</v>
          </cell>
          <cell r="Q667">
            <v>1</v>
          </cell>
          <cell r="R667">
            <v>3</v>
          </cell>
          <cell r="S667" t="str">
            <v>none</v>
          </cell>
          <cell r="T667">
            <v>0</v>
          </cell>
          <cell r="U667" t="str">
            <v>NULL</v>
          </cell>
          <cell r="V667" t="str">
            <v>NULL</v>
          </cell>
          <cell r="W667" t="str">
            <v/>
          </cell>
          <cell r="X667">
            <v>0</v>
          </cell>
          <cell r="Y667">
            <v>0</v>
          </cell>
          <cell r="Z667">
            <v>0</v>
          </cell>
          <cell r="AA667">
            <v>0</v>
          </cell>
          <cell r="AB667" t="str">
            <v>anytime</v>
          </cell>
          <cell r="AC667">
            <v>923</v>
          </cell>
          <cell r="AD667">
            <v>6</v>
          </cell>
          <cell r="AE667" t="str">
            <v>singleonly</v>
          </cell>
        </row>
        <row r="668">
          <cell r="A668" t="str">
            <v>60007_2</v>
          </cell>
          <cell r="B668">
            <v>0</v>
          </cell>
          <cell r="C668">
            <v>60007</v>
          </cell>
          <cell r="D668" t="str">
            <v>オイラーチャレンジ</v>
          </cell>
          <cell r="E668" t="str">
            <v>ランキング1（改修版）</v>
          </cell>
          <cell r="F668">
            <v>2</v>
          </cell>
          <cell r="G668" t="str">
            <v>ja</v>
          </cell>
          <cell r="H668" t="str">
            <v>【超級】オイラーチャレンジ</v>
          </cell>
          <cell r="I668" t="str">
            <v>超級</v>
          </cell>
          <cell r="J668">
            <v>378</v>
          </cell>
          <cell r="K668">
            <v>30</v>
          </cell>
          <cell r="L668">
            <v>3300</v>
          </cell>
          <cell r="M668">
            <v>1</v>
          </cell>
          <cell r="N668">
            <v>1</v>
          </cell>
          <cell r="O668">
            <v>1</v>
          </cell>
          <cell r="P668">
            <v>1</v>
          </cell>
          <cell r="Q668">
            <v>1</v>
          </cell>
          <cell r="R668">
            <v>3</v>
          </cell>
          <cell r="S668" t="str">
            <v>none</v>
          </cell>
          <cell r="T668">
            <v>0</v>
          </cell>
          <cell r="U668" t="str">
            <v>NULL</v>
          </cell>
          <cell r="V668" t="str">
            <v>NULL</v>
          </cell>
          <cell r="W668" t="str">
            <v/>
          </cell>
          <cell r="X668">
            <v>0</v>
          </cell>
          <cell r="Y668">
            <v>0</v>
          </cell>
          <cell r="Z668">
            <v>0</v>
          </cell>
          <cell r="AA668">
            <v>0</v>
          </cell>
          <cell r="AB668" t="str">
            <v>anytime</v>
          </cell>
          <cell r="AC668">
            <v>923</v>
          </cell>
          <cell r="AD668">
            <v>6</v>
          </cell>
          <cell r="AE668" t="str">
            <v>singleonly</v>
          </cell>
        </row>
        <row r="669">
          <cell r="A669" t="str">
            <v>60007_3</v>
          </cell>
          <cell r="B669">
            <v>3</v>
          </cell>
          <cell r="C669">
            <v>60007</v>
          </cell>
          <cell r="D669" t="str">
            <v>オイラーチャレンジ</v>
          </cell>
          <cell r="E669" t="str">
            <v>ランキング1（改修版）</v>
          </cell>
          <cell r="F669">
            <v>3</v>
          </cell>
          <cell r="G669" t="str">
            <v>ja</v>
          </cell>
          <cell r="H669" t="str">
            <v>【ウィザード級】オイラーチャレンジ</v>
          </cell>
          <cell r="I669" t="str">
            <v>ウィザード級</v>
          </cell>
          <cell r="J669">
            <v>379</v>
          </cell>
          <cell r="K669">
            <v>35</v>
          </cell>
          <cell r="L669">
            <v>4200</v>
          </cell>
          <cell r="M669">
            <v>1</v>
          </cell>
          <cell r="N669">
            <v>1</v>
          </cell>
          <cell r="O669">
            <v>1</v>
          </cell>
          <cell r="P669">
            <v>1</v>
          </cell>
          <cell r="Q669">
            <v>1</v>
          </cell>
          <cell r="R669">
            <v>3</v>
          </cell>
          <cell r="S669" t="str">
            <v>none</v>
          </cell>
          <cell r="T669">
            <v>0</v>
          </cell>
          <cell r="U669" t="str">
            <v>NULL</v>
          </cell>
          <cell r="V669" t="str">
            <v>NULL</v>
          </cell>
          <cell r="W669" t="str">
            <v/>
          </cell>
          <cell r="X669">
            <v>0</v>
          </cell>
          <cell r="Y669">
            <v>0</v>
          </cell>
          <cell r="Z669">
            <v>0</v>
          </cell>
          <cell r="AA669">
            <v>0</v>
          </cell>
          <cell r="AB669" t="str">
            <v>anytime</v>
          </cell>
          <cell r="AC669">
            <v>923</v>
          </cell>
          <cell r="AD669">
            <v>6</v>
          </cell>
          <cell r="AE669" t="str">
            <v>singleonly</v>
          </cell>
        </row>
        <row r="670">
          <cell r="A670" t="str">
            <v>60010_1</v>
          </cell>
          <cell r="B670">
            <v>3</v>
          </cell>
          <cell r="C670">
            <v>60010</v>
          </cell>
          <cell r="D670" t="str">
            <v>ラグランジュチャレンジ</v>
          </cell>
          <cell r="E670" t="str">
            <v>ランキング2（ラグランジュ）</v>
          </cell>
          <cell r="F670">
            <v>1</v>
          </cell>
          <cell r="G670" t="str">
            <v>ja</v>
          </cell>
          <cell r="H670" t="str">
            <v>ラグランジュチャレンジ</v>
          </cell>
          <cell r="I670" t="str">
            <v>ウィザード級</v>
          </cell>
          <cell r="J670">
            <v>796</v>
          </cell>
          <cell r="K670">
            <v>35</v>
          </cell>
          <cell r="L670">
            <v>4200</v>
          </cell>
          <cell r="M670">
            <v>1</v>
          </cell>
          <cell r="N670">
            <v>1</v>
          </cell>
          <cell r="O670">
            <v>1</v>
          </cell>
          <cell r="P670">
            <v>1</v>
          </cell>
          <cell r="Q670">
            <v>1</v>
          </cell>
          <cell r="R670">
            <v>3</v>
          </cell>
          <cell r="S670" t="str">
            <v>none</v>
          </cell>
          <cell r="T670">
            <v>0</v>
          </cell>
          <cell r="U670" t="str">
            <v>NULL</v>
          </cell>
          <cell r="V670" t="str">
            <v>NULL</v>
          </cell>
          <cell r="W670" t="str">
            <v/>
          </cell>
          <cell r="X670">
            <v>0</v>
          </cell>
          <cell r="Y670">
            <v>0</v>
          </cell>
          <cell r="Z670">
            <v>0</v>
          </cell>
          <cell r="AA670">
            <v>0</v>
          </cell>
          <cell r="AB670" t="str">
            <v>anytime</v>
          </cell>
          <cell r="AC670">
            <v>922</v>
          </cell>
          <cell r="AD670">
            <v>6</v>
          </cell>
          <cell r="AE670" t="str">
            <v>singleonly</v>
          </cell>
        </row>
        <row r="671">
          <cell r="A671" t="str">
            <v>60011_1</v>
          </cell>
          <cell r="B671">
            <v>3</v>
          </cell>
          <cell r="C671">
            <v>60011</v>
          </cell>
          <cell r="D671" t="str">
            <v>ユークリッドチャレンジ</v>
          </cell>
          <cell r="E671" t="str">
            <v>ランキング3（ユークリッド）</v>
          </cell>
          <cell r="F671">
            <v>1</v>
          </cell>
          <cell r="G671" t="str">
            <v>ja</v>
          </cell>
          <cell r="H671" t="str">
            <v>ウィザード級</v>
          </cell>
          <cell r="I671" t="str">
            <v>ウィザード級</v>
          </cell>
          <cell r="J671">
            <v>690</v>
          </cell>
          <cell r="K671">
            <v>35</v>
          </cell>
          <cell r="L671">
            <v>4200</v>
          </cell>
          <cell r="M671">
            <v>1</v>
          </cell>
          <cell r="N671">
            <v>1</v>
          </cell>
          <cell r="O671">
            <v>1</v>
          </cell>
          <cell r="P671">
            <v>1</v>
          </cell>
          <cell r="Q671">
            <v>1</v>
          </cell>
          <cell r="R671">
            <v>3</v>
          </cell>
          <cell r="S671" t="str">
            <v>none</v>
          </cell>
          <cell r="T671">
            <v>0</v>
          </cell>
          <cell r="U671" t="str">
            <v>NULL</v>
          </cell>
          <cell r="V671" t="str">
            <v>NULL</v>
          </cell>
          <cell r="W671" t="str">
            <v/>
          </cell>
          <cell r="X671">
            <v>0</v>
          </cell>
          <cell r="Y671">
            <v>0</v>
          </cell>
          <cell r="Z671">
            <v>0</v>
          </cell>
          <cell r="AA671">
            <v>0</v>
          </cell>
          <cell r="AB671" t="str">
            <v>anytime</v>
          </cell>
          <cell r="AC671">
            <v>924</v>
          </cell>
          <cell r="AD671">
            <v>6</v>
          </cell>
          <cell r="AE671" t="str">
            <v>singleonly</v>
          </cell>
        </row>
        <row r="672">
          <cell r="A672" t="str">
            <v>60011_2</v>
          </cell>
          <cell r="B672">
            <v>1</v>
          </cell>
          <cell r="C672">
            <v>60011</v>
          </cell>
          <cell r="D672" t="str">
            <v>ユークリッドチャレンジ</v>
          </cell>
          <cell r="E672" t="str">
            <v>ランキング3（ユークリッド）</v>
          </cell>
          <cell r="F672">
            <v>2</v>
          </cell>
          <cell r="G672" t="str">
            <v>ja</v>
          </cell>
          <cell r="H672" t="str">
            <v>超絶級</v>
          </cell>
          <cell r="I672" t="str">
            <v>ウィザード級</v>
          </cell>
          <cell r="J672">
            <v>690</v>
          </cell>
          <cell r="K672">
            <v>30</v>
          </cell>
          <cell r="L672">
            <v>3300</v>
          </cell>
          <cell r="M672">
            <v>1</v>
          </cell>
          <cell r="N672">
            <v>1</v>
          </cell>
          <cell r="O672">
            <v>1</v>
          </cell>
          <cell r="P672">
            <v>1</v>
          </cell>
          <cell r="Q672">
            <v>1</v>
          </cell>
          <cell r="R672">
            <v>3</v>
          </cell>
          <cell r="S672" t="str">
            <v>none</v>
          </cell>
          <cell r="T672">
            <v>0</v>
          </cell>
          <cell r="U672" t="str">
            <v>NULL</v>
          </cell>
          <cell r="V672" t="str">
            <v>NULL</v>
          </cell>
          <cell r="W672" t="str">
            <v/>
          </cell>
          <cell r="X672">
            <v>0</v>
          </cell>
          <cell r="Y672">
            <v>0</v>
          </cell>
          <cell r="Z672">
            <v>0</v>
          </cell>
          <cell r="AA672">
            <v>0</v>
          </cell>
          <cell r="AB672" t="str">
            <v>anytime</v>
          </cell>
          <cell r="AC672">
            <v>924</v>
          </cell>
          <cell r="AD672">
            <v>6</v>
          </cell>
          <cell r="AE672" t="str">
            <v>singleonly</v>
          </cell>
        </row>
        <row r="673">
          <cell r="A673" t="str">
            <v>61011_1</v>
          </cell>
          <cell r="B673">
            <v>2</v>
          </cell>
          <cell r="C673">
            <v>61011</v>
          </cell>
          <cell r="D673" t="str">
            <v>ユークリッドチャレンジコピー</v>
          </cell>
          <cell r="E673" t="str">
            <v>ランキング3（ユークリッド）</v>
          </cell>
          <cell r="F673">
            <v>1</v>
          </cell>
          <cell r="G673" t="str">
            <v>ja</v>
          </cell>
          <cell r="H673" t="str">
            <v>ウィザード級コピー</v>
          </cell>
          <cell r="I673" t="str">
            <v>ウィザード級</v>
          </cell>
          <cell r="J673">
            <v>690</v>
          </cell>
          <cell r="K673">
            <v>35</v>
          </cell>
          <cell r="L673">
            <v>4200</v>
          </cell>
          <cell r="M673">
            <v>1</v>
          </cell>
          <cell r="N673">
            <v>1</v>
          </cell>
          <cell r="O673">
            <v>1</v>
          </cell>
          <cell r="P673">
            <v>1</v>
          </cell>
          <cell r="Q673">
            <v>1</v>
          </cell>
          <cell r="R673">
            <v>3</v>
          </cell>
          <cell r="S673" t="str">
            <v>none</v>
          </cell>
          <cell r="T673">
            <v>0</v>
          </cell>
          <cell r="U673" t="str">
            <v>NULL</v>
          </cell>
          <cell r="V673" t="str">
            <v>NULL</v>
          </cell>
          <cell r="W673" t="str">
            <v/>
          </cell>
          <cell r="X673">
            <v>0</v>
          </cell>
          <cell r="Y673">
            <v>0</v>
          </cell>
          <cell r="Z673">
            <v>0</v>
          </cell>
          <cell r="AA673">
            <v>0</v>
          </cell>
          <cell r="AB673" t="str">
            <v>anytime</v>
          </cell>
          <cell r="AC673">
            <v>924</v>
          </cell>
          <cell r="AD673">
            <v>6</v>
          </cell>
          <cell r="AE673" t="str">
            <v>singleonly</v>
          </cell>
        </row>
        <row r="674">
          <cell r="A674" t="str">
            <v>60012_1</v>
          </cell>
          <cell r="B674">
            <v>3</v>
          </cell>
          <cell r="C674">
            <v>60012</v>
          </cell>
          <cell r="D674" t="str">
            <v>ユークリッドチャレンジ</v>
          </cell>
          <cell r="E674" t="str">
            <v>ランキング3（ユークリッド）</v>
          </cell>
          <cell r="F674">
            <v>1</v>
          </cell>
          <cell r="G674" t="str">
            <v>ja</v>
          </cell>
          <cell r="H674" t="str">
            <v>ユークリッドチャレンジ</v>
          </cell>
          <cell r="I674" t="str">
            <v>ウィザード級</v>
          </cell>
          <cell r="J674">
            <v>690</v>
          </cell>
          <cell r="K674">
            <v>35</v>
          </cell>
          <cell r="L674">
            <v>4200</v>
          </cell>
          <cell r="M674">
            <v>1</v>
          </cell>
          <cell r="N674">
            <v>1</v>
          </cell>
          <cell r="O674">
            <v>1</v>
          </cell>
          <cell r="P674">
            <v>1</v>
          </cell>
          <cell r="Q674">
            <v>1</v>
          </cell>
          <cell r="R674">
            <v>3</v>
          </cell>
          <cell r="S674" t="str">
            <v>none</v>
          </cell>
          <cell r="T674">
            <v>0</v>
          </cell>
          <cell r="U674" t="str">
            <v>NULL</v>
          </cell>
          <cell r="V674" t="str">
            <v>NULL</v>
          </cell>
          <cell r="W674" t="str">
            <v/>
          </cell>
          <cell r="X674">
            <v>0</v>
          </cell>
          <cell r="Y674">
            <v>0</v>
          </cell>
          <cell r="Z674">
            <v>0</v>
          </cell>
          <cell r="AA674">
            <v>0</v>
          </cell>
          <cell r="AB674" t="str">
            <v>anytime</v>
          </cell>
          <cell r="AC674">
            <v>924</v>
          </cell>
          <cell r="AD674">
            <v>6</v>
          </cell>
          <cell r="AE674" t="str">
            <v>singleonly</v>
          </cell>
        </row>
        <row r="675">
          <cell r="A675" t="str">
            <v>60013_1</v>
          </cell>
          <cell r="B675">
            <v>0</v>
          </cell>
          <cell r="C675">
            <v>60013</v>
          </cell>
          <cell r="D675" t="str">
            <v>オイラーチャレンジ</v>
          </cell>
          <cell r="E675" t="str">
            <v>ランキング1（再開催版）</v>
          </cell>
          <cell r="F675">
            <v>1</v>
          </cell>
          <cell r="G675" t="str">
            <v>ja</v>
          </cell>
          <cell r="H675" t="str">
            <v>【中級】オイラーチャレンジ</v>
          </cell>
          <cell r="I675" t="str">
            <v>中級</v>
          </cell>
          <cell r="J675">
            <v>378</v>
          </cell>
          <cell r="K675">
            <v>15</v>
          </cell>
          <cell r="L675">
            <v>1200</v>
          </cell>
          <cell r="M675">
            <v>1</v>
          </cell>
          <cell r="N675">
            <v>1</v>
          </cell>
          <cell r="O675">
            <v>1</v>
          </cell>
          <cell r="P675">
            <v>1</v>
          </cell>
          <cell r="Q675">
            <v>1</v>
          </cell>
          <cell r="R675">
            <v>3</v>
          </cell>
          <cell r="S675" t="str">
            <v>none</v>
          </cell>
          <cell r="T675">
            <v>0</v>
          </cell>
          <cell r="U675" t="str">
            <v>NULL</v>
          </cell>
          <cell r="V675" t="str">
            <v>NULL</v>
          </cell>
          <cell r="W675" t="str">
            <v/>
          </cell>
          <cell r="X675">
            <v>0</v>
          </cell>
          <cell r="Y675">
            <v>0</v>
          </cell>
          <cell r="Z675">
            <v>0</v>
          </cell>
          <cell r="AA675">
            <v>0</v>
          </cell>
          <cell r="AB675" t="str">
            <v>anytime</v>
          </cell>
          <cell r="AC675">
            <v>923</v>
          </cell>
          <cell r="AD675">
            <v>6</v>
          </cell>
          <cell r="AE675" t="str">
            <v>singleonly</v>
          </cell>
        </row>
        <row r="676">
          <cell r="A676" t="str">
            <v>60013_2</v>
          </cell>
          <cell r="B676">
            <v>0</v>
          </cell>
          <cell r="C676">
            <v>60013</v>
          </cell>
          <cell r="D676" t="str">
            <v>オイラーチャレンジ</v>
          </cell>
          <cell r="E676" t="str">
            <v>ランキング1（再開催版）</v>
          </cell>
          <cell r="F676">
            <v>2</v>
          </cell>
          <cell r="G676" t="str">
            <v>ja</v>
          </cell>
          <cell r="H676" t="str">
            <v>【超級】オイラーチャレンジ</v>
          </cell>
          <cell r="I676" t="str">
            <v>超級</v>
          </cell>
          <cell r="J676">
            <v>378</v>
          </cell>
          <cell r="K676">
            <v>30</v>
          </cell>
          <cell r="L676">
            <v>3300</v>
          </cell>
          <cell r="M676">
            <v>1</v>
          </cell>
          <cell r="N676">
            <v>1</v>
          </cell>
          <cell r="O676">
            <v>1</v>
          </cell>
          <cell r="P676">
            <v>1</v>
          </cell>
          <cell r="Q676">
            <v>1</v>
          </cell>
          <cell r="R676">
            <v>3</v>
          </cell>
          <cell r="S676" t="str">
            <v>none</v>
          </cell>
          <cell r="T676">
            <v>0</v>
          </cell>
          <cell r="U676" t="str">
            <v>NULL</v>
          </cell>
          <cell r="V676" t="str">
            <v>NULL</v>
          </cell>
          <cell r="W676" t="str">
            <v/>
          </cell>
          <cell r="X676">
            <v>0</v>
          </cell>
          <cell r="Y676">
            <v>0</v>
          </cell>
          <cell r="Z676">
            <v>0</v>
          </cell>
          <cell r="AA676">
            <v>0</v>
          </cell>
          <cell r="AB676" t="str">
            <v>anytime</v>
          </cell>
          <cell r="AC676">
            <v>923</v>
          </cell>
          <cell r="AD676">
            <v>6</v>
          </cell>
          <cell r="AE676" t="str">
            <v>singleonly</v>
          </cell>
        </row>
        <row r="677">
          <cell r="A677" t="str">
            <v>60013_3</v>
          </cell>
          <cell r="B677">
            <v>3</v>
          </cell>
          <cell r="C677">
            <v>60013</v>
          </cell>
          <cell r="D677" t="str">
            <v>オイラーチャレンジ</v>
          </cell>
          <cell r="E677" t="str">
            <v>ランキング1（再開催版）</v>
          </cell>
          <cell r="F677">
            <v>3</v>
          </cell>
          <cell r="G677" t="str">
            <v>ja</v>
          </cell>
          <cell r="H677" t="str">
            <v>【ウィザード級】オイラーチャレンジ</v>
          </cell>
          <cell r="I677" t="str">
            <v>ウィザード級</v>
          </cell>
          <cell r="J677">
            <v>379</v>
          </cell>
          <cell r="K677">
            <v>35</v>
          </cell>
          <cell r="L677">
            <v>4200</v>
          </cell>
          <cell r="M677">
            <v>1</v>
          </cell>
          <cell r="N677">
            <v>1</v>
          </cell>
          <cell r="O677">
            <v>1</v>
          </cell>
          <cell r="P677">
            <v>1</v>
          </cell>
          <cell r="Q677">
            <v>1</v>
          </cell>
          <cell r="R677">
            <v>3</v>
          </cell>
          <cell r="S677" t="str">
            <v>none</v>
          </cell>
          <cell r="T677">
            <v>0</v>
          </cell>
          <cell r="U677" t="str">
            <v>NULL</v>
          </cell>
          <cell r="V677" t="str">
            <v>NULL</v>
          </cell>
          <cell r="W677" t="str">
            <v/>
          </cell>
          <cell r="X677">
            <v>0</v>
          </cell>
          <cell r="Y677">
            <v>0</v>
          </cell>
          <cell r="Z677">
            <v>0</v>
          </cell>
          <cell r="AA677">
            <v>0</v>
          </cell>
          <cell r="AB677" t="str">
            <v>anytime</v>
          </cell>
          <cell r="AC677">
            <v>923</v>
          </cell>
          <cell r="AD677">
            <v>6</v>
          </cell>
          <cell r="AE677" t="str">
            <v>singleonly</v>
          </cell>
        </row>
        <row r="678">
          <cell r="A678" t="str">
            <v>60014_1</v>
          </cell>
          <cell r="B678">
            <v>1</v>
          </cell>
          <cell r="C678">
            <v>60014</v>
          </cell>
          <cell r="D678" t="str">
            <v>クロネッカーチャレンジ</v>
          </cell>
          <cell r="E678" t="str">
            <v>ランキング4（クロネッカー）</v>
          </cell>
          <cell r="F678">
            <v>1</v>
          </cell>
          <cell r="G678" t="str">
            <v>ja</v>
          </cell>
          <cell r="H678" t="str">
            <v>【ウィザード級】クロネッカーチャレンジ</v>
          </cell>
          <cell r="I678" t="str">
            <v>ウィザード級</v>
          </cell>
          <cell r="J678">
            <v>761</v>
          </cell>
          <cell r="K678">
            <v>35</v>
          </cell>
          <cell r="L678">
            <v>4200</v>
          </cell>
          <cell r="M678">
            <v>1</v>
          </cell>
          <cell r="N678">
            <v>1</v>
          </cell>
          <cell r="O678">
            <v>1</v>
          </cell>
          <cell r="P678">
            <v>1</v>
          </cell>
          <cell r="Q678">
            <v>1</v>
          </cell>
          <cell r="R678">
            <v>3</v>
          </cell>
          <cell r="S678" t="str">
            <v>none</v>
          </cell>
          <cell r="T678">
            <v>0</v>
          </cell>
          <cell r="U678" t="str">
            <v>NULL</v>
          </cell>
          <cell r="V678" t="str">
            <v>NULL</v>
          </cell>
          <cell r="W678" t="str">
            <v/>
          </cell>
          <cell r="X678">
            <v>0</v>
          </cell>
          <cell r="Y678">
            <v>0</v>
          </cell>
          <cell r="Z678">
            <v>0</v>
          </cell>
          <cell r="AA678">
            <v>0</v>
          </cell>
          <cell r="AB678" t="str">
            <v>anytime</v>
          </cell>
          <cell r="AC678">
            <v>923</v>
          </cell>
          <cell r="AD678">
            <v>6</v>
          </cell>
          <cell r="AE678" t="str">
            <v>singleonly</v>
          </cell>
        </row>
        <row r="679">
          <cell r="A679" t="str">
            <v>65535_1</v>
          </cell>
          <cell r="B679">
            <v>1</v>
          </cell>
          <cell r="C679">
            <v>65535</v>
          </cell>
          <cell r="D679" t="str">
            <v>検証クエスト</v>
          </cell>
          <cell r="E679" t="str">
            <v>検証</v>
          </cell>
          <cell r="F679">
            <v>1</v>
          </cell>
          <cell r="G679" t="str">
            <v>ja</v>
          </cell>
          <cell r="H679" t="str">
            <v>テンプレート</v>
          </cell>
          <cell r="I679" t="str">
            <v>検証</v>
          </cell>
          <cell r="J679" t="str">
            <v>NULL</v>
          </cell>
          <cell r="K679">
            <v>1</v>
          </cell>
          <cell r="L679">
            <v>1</v>
          </cell>
          <cell r="M679">
            <v>1</v>
          </cell>
          <cell r="N679">
            <v>1</v>
          </cell>
          <cell r="O679">
            <v>1</v>
          </cell>
          <cell r="P679">
            <v>1</v>
          </cell>
          <cell r="Q679">
            <v>1</v>
          </cell>
          <cell r="R679">
            <v>3</v>
          </cell>
          <cell r="S679" t="str">
            <v>none</v>
          </cell>
          <cell r="T679">
            <v>0</v>
          </cell>
          <cell r="U679" t="str">
            <v>NULL</v>
          </cell>
          <cell r="V679" t="str">
            <v>NULL</v>
          </cell>
          <cell r="W679" t="str">
            <v/>
          </cell>
          <cell r="X679">
            <v>0</v>
          </cell>
          <cell r="Y679">
            <v>0</v>
          </cell>
          <cell r="Z679">
            <v>0</v>
          </cell>
          <cell r="AA679">
            <v>0</v>
          </cell>
          <cell r="AB679" t="str">
            <v>anytime</v>
          </cell>
          <cell r="AC679">
            <v>903</v>
          </cell>
          <cell r="AD679">
            <v>6</v>
          </cell>
          <cell r="AE679" t="str">
            <v>everyone</v>
          </cell>
        </row>
        <row r="680">
          <cell r="A680" t="str">
            <v>65535_2</v>
          </cell>
          <cell r="B680">
            <v>1</v>
          </cell>
          <cell r="C680">
            <v>65535</v>
          </cell>
          <cell r="D680" t="str">
            <v>検証クエスト</v>
          </cell>
          <cell r="E680" t="str">
            <v>検証</v>
          </cell>
          <cell r="F680">
            <v>2</v>
          </cell>
          <cell r="G680" t="str">
            <v>ja</v>
          </cell>
          <cell r="H680" t="str">
            <v>ランクアップクエスト</v>
          </cell>
          <cell r="I680" t="str">
            <v>検証</v>
          </cell>
          <cell r="J680" t="str">
            <v>NULL</v>
          </cell>
          <cell r="K680">
            <v>1</v>
          </cell>
          <cell r="L680">
            <v>65535</v>
          </cell>
          <cell r="M680">
            <v>1</v>
          </cell>
          <cell r="N680">
            <v>1</v>
          </cell>
          <cell r="O680">
            <v>1</v>
          </cell>
          <cell r="P680">
            <v>1</v>
          </cell>
          <cell r="Q680">
            <v>1</v>
          </cell>
          <cell r="R680">
            <v>3</v>
          </cell>
          <cell r="S680" t="str">
            <v>none</v>
          </cell>
          <cell r="T680">
            <v>0</v>
          </cell>
          <cell r="U680" t="str">
            <v>NULL</v>
          </cell>
          <cell r="V680" t="str">
            <v>NULL</v>
          </cell>
          <cell r="W680" t="str">
            <v/>
          </cell>
          <cell r="X680">
            <v>0</v>
          </cell>
          <cell r="Y680">
            <v>0</v>
          </cell>
          <cell r="Z680">
            <v>0</v>
          </cell>
          <cell r="AA680">
            <v>0</v>
          </cell>
          <cell r="AB680" t="str">
            <v>anytime</v>
          </cell>
          <cell r="AC680">
            <v>903</v>
          </cell>
          <cell r="AD680">
            <v>6</v>
          </cell>
          <cell r="AE680" t="str">
            <v>everyone</v>
          </cell>
        </row>
        <row r="681">
          <cell r="A681" t="str">
            <v>65535_3</v>
          </cell>
          <cell r="B681">
            <v>1</v>
          </cell>
          <cell r="C681">
            <v>65535</v>
          </cell>
          <cell r="D681" t="str">
            <v>検証クエスト</v>
          </cell>
          <cell r="E681" t="str">
            <v>検証</v>
          </cell>
          <cell r="F681">
            <v>3</v>
          </cell>
          <cell r="G681" t="str">
            <v>ja</v>
          </cell>
          <cell r="H681" t="str">
            <v>サンドボックス</v>
          </cell>
          <cell r="I681" t="str">
            <v>検証</v>
          </cell>
          <cell r="J681" t="str">
            <v>NULL</v>
          </cell>
          <cell r="K681">
            <v>1</v>
          </cell>
          <cell r="L681">
            <v>1</v>
          </cell>
          <cell r="M681">
            <v>1</v>
          </cell>
          <cell r="N681">
            <v>1</v>
          </cell>
          <cell r="O681">
            <v>1</v>
          </cell>
          <cell r="P681">
            <v>1</v>
          </cell>
          <cell r="Q681">
            <v>1</v>
          </cell>
          <cell r="R681">
            <v>3</v>
          </cell>
          <cell r="S681" t="str">
            <v>none</v>
          </cell>
          <cell r="T681">
            <v>0</v>
          </cell>
          <cell r="U681" t="str">
            <v>NULL</v>
          </cell>
          <cell r="V681" t="str">
            <v>NULL</v>
          </cell>
          <cell r="W681" t="str">
            <v/>
          </cell>
          <cell r="X681">
            <v>0</v>
          </cell>
          <cell r="Y681">
            <v>0</v>
          </cell>
          <cell r="Z681">
            <v>0</v>
          </cell>
          <cell r="AA681">
            <v>0</v>
          </cell>
          <cell r="AB681" t="str">
            <v>anytime</v>
          </cell>
          <cell r="AC681">
            <v>105</v>
          </cell>
          <cell r="AD681">
            <v>6</v>
          </cell>
          <cell r="AE681" t="str">
            <v>everyone</v>
          </cell>
        </row>
        <row r="682">
          <cell r="A682" t="str">
            <v>65535_4</v>
          </cell>
          <cell r="B682">
            <v>1</v>
          </cell>
          <cell r="C682">
            <v>65535</v>
          </cell>
          <cell r="D682" t="str">
            <v>検証クエスト</v>
          </cell>
          <cell r="E682" t="str">
            <v>検証</v>
          </cell>
          <cell r="F682">
            <v>4</v>
          </cell>
          <cell r="G682" t="str">
            <v>ja</v>
          </cell>
          <cell r="H682" t="str">
            <v>フリーズジャンヌ</v>
          </cell>
          <cell r="I682" t="str">
            <v>検証</v>
          </cell>
          <cell r="J682" t="str">
            <v>NULL</v>
          </cell>
          <cell r="K682">
            <v>1</v>
          </cell>
          <cell r="L682">
            <v>1</v>
          </cell>
          <cell r="M682">
            <v>1</v>
          </cell>
          <cell r="N682">
            <v>1</v>
          </cell>
          <cell r="O682">
            <v>1</v>
          </cell>
          <cell r="P682">
            <v>1</v>
          </cell>
          <cell r="Q682">
            <v>1</v>
          </cell>
          <cell r="R682">
            <v>3</v>
          </cell>
          <cell r="S682" t="str">
            <v>none</v>
          </cell>
          <cell r="T682">
            <v>0</v>
          </cell>
          <cell r="U682" t="str">
            <v>NULL</v>
          </cell>
          <cell r="V682" t="str">
            <v>NULL</v>
          </cell>
          <cell r="W682" t="str">
            <v/>
          </cell>
          <cell r="X682">
            <v>0</v>
          </cell>
          <cell r="Y682">
            <v>0</v>
          </cell>
          <cell r="Z682">
            <v>0</v>
          </cell>
          <cell r="AA682">
            <v>0</v>
          </cell>
          <cell r="AB682" t="str">
            <v>anytime</v>
          </cell>
          <cell r="AC682">
            <v>105</v>
          </cell>
          <cell r="AD682">
            <v>6</v>
          </cell>
          <cell r="AE682" t="str">
            <v>everyone</v>
          </cell>
        </row>
        <row r="683">
          <cell r="A683" t="str">
            <v>65535_5</v>
          </cell>
          <cell r="B683">
            <v>1</v>
          </cell>
          <cell r="C683">
            <v>65535</v>
          </cell>
          <cell r="D683" t="str">
            <v>検証クエスト</v>
          </cell>
          <cell r="E683" t="str">
            <v>検証</v>
          </cell>
          <cell r="F683">
            <v>5</v>
          </cell>
          <cell r="G683" t="str">
            <v>ja</v>
          </cell>
          <cell r="H683" t="str">
            <v>ウィルスジャンヌ</v>
          </cell>
          <cell r="I683" t="str">
            <v>検証</v>
          </cell>
          <cell r="J683" t="str">
            <v>NULL</v>
          </cell>
          <cell r="K683">
            <v>1</v>
          </cell>
          <cell r="L683">
            <v>1</v>
          </cell>
          <cell r="M683">
            <v>1</v>
          </cell>
          <cell r="N683">
            <v>1</v>
          </cell>
          <cell r="O683">
            <v>1</v>
          </cell>
          <cell r="P683">
            <v>1</v>
          </cell>
          <cell r="Q683">
            <v>1</v>
          </cell>
          <cell r="R683">
            <v>3</v>
          </cell>
          <cell r="S683" t="str">
            <v>none</v>
          </cell>
          <cell r="T683">
            <v>0</v>
          </cell>
          <cell r="U683" t="str">
            <v>NULL</v>
          </cell>
          <cell r="V683" t="str">
            <v>NULL</v>
          </cell>
          <cell r="W683" t="str">
            <v/>
          </cell>
          <cell r="X683">
            <v>0</v>
          </cell>
          <cell r="Y683">
            <v>0</v>
          </cell>
          <cell r="Z683">
            <v>0</v>
          </cell>
          <cell r="AA683">
            <v>0</v>
          </cell>
          <cell r="AB683" t="str">
            <v>anytime</v>
          </cell>
          <cell r="AC683">
            <v>105</v>
          </cell>
          <cell r="AD683">
            <v>6</v>
          </cell>
          <cell r="AE683" t="str">
            <v>everyone</v>
          </cell>
        </row>
        <row r="684">
          <cell r="A684" t="str">
            <v>65535_6</v>
          </cell>
          <cell r="B684">
            <v>1</v>
          </cell>
          <cell r="C684">
            <v>65535</v>
          </cell>
          <cell r="D684" t="str">
            <v>検証クエスト</v>
          </cell>
          <cell r="E684" t="str">
            <v>検証</v>
          </cell>
          <cell r="F684">
            <v>6</v>
          </cell>
          <cell r="G684" t="str">
            <v>ja</v>
          </cell>
          <cell r="H684" t="str">
            <v>お邪魔ジャンヌ</v>
          </cell>
          <cell r="I684" t="str">
            <v>検証</v>
          </cell>
          <cell r="J684" t="str">
            <v>NULL</v>
          </cell>
          <cell r="K684">
            <v>1</v>
          </cell>
          <cell r="L684">
            <v>1</v>
          </cell>
          <cell r="M684">
            <v>1</v>
          </cell>
          <cell r="N684">
            <v>1</v>
          </cell>
          <cell r="O684">
            <v>1</v>
          </cell>
          <cell r="P684">
            <v>1</v>
          </cell>
          <cell r="Q684">
            <v>1</v>
          </cell>
          <cell r="R684">
            <v>3</v>
          </cell>
          <cell r="S684" t="str">
            <v>none</v>
          </cell>
          <cell r="T684">
            <v>0</v>
          </cell>
          <cell r="U684" t="str">
            <v>NULL</v>
          </cell>
          <cell r="V684" t="str">
            <v>NULL</v>
          </cell>
          <cell r="W684" t="str">
            <v/>
          </cell>
          <cell r="X684">
            <v>0</v>
          </cell>
          <cell r="Y684">
            <v>0</v>
          </cell>
          <cell r="Z684">
            <v>0</v>
          </cell>
          <cell r="AA684">
            <v>0</v>
          </cell>
          <cell r="AB684" t="str">
            <v>anytime</v>
          </cell>
          <cell r="AC684">
            <v>105</v>
          </cell>
          <cell r="AD684">
            <v>6</v>
          </cell>
          <cell r="AE684" t="str">
            <v>everyone</v>
          </cell>
        </row>
        <row r="685">
          <cell r="A685" t="str">
            <v>65535_7</v>
          </cell>
          <cell r="B685">
            <v>1</v>
          </cell>
          <cell r="C685">
            <v>65535</v>
          </cell>
          <cell r="D685" t="str">
            <v>検証クエスト</v>
          </cell>
          <cell r="E685" t="str">
            <v>検証</v>
          </cell>
          <cell r="F685">
            <v>7</v>
          </cell>
          <cell r="G685" t="str">
            <v>ja</v>
          </cell>
          <cell r="H685" t="str">
            <v>爆風ジャンヌ</v>
          </cell>
          <cell r="I685" t="str">
            <v>検証</v>
          </cell>
          <cell r="J685" t="str">
            <v>NULL</v>
          </cell>
          <cell r="K685">
            <v>1</v>
          </cell>
          <cell r="L685">
            <v>1</v>
          </cell>
          <cell r="M685">
            <v>1</v>
          </cell>
          <cell r="N685">
            <v>1</v>
          </cell>
          <cell r="O685">
            <v>1</v>
          </cell>
          <cell r="P685">
            <v>1</v>
          </cell>
          <cell r="Q685">
            <v>1</v>
          </cell>
          <cell r="R685">
            <v>3</v>
          </cell>
          <cell r="S685" t="str">
            <v>none</v>
          </cell>
          <cell r="T685">
            <v>0</v>
          </cell>
          <cell r="U685" t="str">
            <v>NULL</v>
          </cell>
          <cell r="V685" t="str">
            <v>NULL</v>
          </cell>
          <cell r="W685" t="str">
            <v/>
          </cell>
          <cell r="X685">
            <v>0</v>
          </cell>
          <cell r="Y685">
            <v>0</v>
          </cell>
          <cell r="Z685">
            <v>0</v>
          </cell>
          <cell r="AA685">
            <v>0</v>
          </cell>
          <cell r="AB685" t="str">
            <v>anytime</v>
          </cell>
          <cell r="AC685">
            <v>105</v>
          </cell>
          <cell r="AD685">
            <v>6</v>
          </cell>
          <cell r="AE685" t="str">
            <v>everyone</v>
          </cell>
        </row>
        <row r="686">
          <cell r="A686" t="str">
            <v>65535_8</v>
          </cell>
          <cell r="B686">
            <v>1</v>
          </cell>
          <cell r="C686">
            <v>65535</v>
          </cell>
          <cell r="D686" t="str">
            <v>検証クエスト</v>
          </cell>
          <cell r="E686" t="str">
            <v>検証</v>
          </cell>
          <cell r="F686">
            <v>8</v>
          </cell>
          <cell r="G686" t="str">
            <v>ja</v>
          </cell>
          <cell r="H686" t="str">
            <v>テスト</v>
          </cell>
          <cell r="I686" t="str">
            <v>検証</v>
          </cell>
          <cell r="J686" t="str">
            <v>NULL</v>
          </cell>
          <cell r="K686">
            <v>1</v>
          </cell>
          <cell r="L686">
            <v>1</v>
          </cell>
          <cell r="M686">
            <v>1</v>
          </cell>
          <cell r="N686">
            <v>1</v>
          </cell>
          <cell r="O686">
            <v>1</v>
          </cell>
          <cell r="P686">
            <v>1</v>
          </cell>
          <cell r="Q686">
            <v>1</v>
          </cell>
          <cell r="R686">
            <v>3</v>
          </cell>
          <cell r="S686" t="str">
            <v>none</v>
          </cell>
          <cell r="T686">
            <v>0</v>
          </cell>
          <cell r="U686" t="str">
            <v>NULL</v>
          </cell>
          <cell r="V686" t="str">
            <v>NULL</v>
          </cell>
          <cell r="W686" t="str">
            <v/>
          </cell>
          <cell r="X686">
            <v>0</v>
          </cell>
          <cell r="Y686">
            <v>0</v>
          </cell>
          <cell r="Z686">
            <v>0</v>
          </cell>
          <cell r="AA686">
            <v>0</v>
          </cell>
          <cell r="AB686" t="str">
            <v>anytime</v>
          </cell>
          <cell r="AC686">
            <v>105</v>
          </cell>
          <cell r="AD686">
            <v>6</v>
          </cell>
          <cell r="AE686" t="str">
            <v>everyone</v>
          </cell>
        </row>
        <row r="687">
          <cell r="A687" t="str">
            <v>60021_3</v>
          </cell>
          <cell r="B687">
            <v>1</v>
          </cell>
          <cell r="C687">
            <v>60021</v>
          </cell>
          <cell r="D687" t="str">
            <v>【月曜限定】 黄の素材verハンプ検証</v>
          </cell>
          <cell r="E687" t="str">
            <v>検証</v>
          </cell>
          <cell r="F687">
            <v>3</v>
          </cell>
          <cell r="G687" t="str">
            <v>ja</v>
          </cell>
          <cell r="H687" t="str">
            <v>【上級】ハンプティ検証</v>
          </cell>
          <cell r="I687" t="str">
            <v>上級</v>
          </cell>
          <cell r="J687">
            <v>84</v>
          </cell>
          <cell r="K687">
            <v>20</v>
          </cell>
          <cell r="L687">
            <v>860</v>
          </cell>
          <cell r="M687">
            <v>1</v>
          </cell>
          <cell r="N687">
            <v>1</v>
          </cell>
          <cell r="O687">
            <v>1</v>
          </cell>
          <cell r="P687">
            <v>1</v>
          </cell>
          <cell r="Q687">
            <v>1</v>
          </cell>
          <cell r="R687">
            <v>3</v>
          </cell>
          <cell r="S687" t="str">
            <v>none</v>
          </cell>
          <cell r="T687">
            <v>0</v>
          </cell>
          <cell r="U687" t="str">
            <v>NULL</v>
          </cell>
          <cell r="V687" t="str">
            <v>NULL</v>
          </cell>
          <cell r="W687" t="str">
            <v/>
          </cell>
          <cell r="X687">
            <v>0</v>
          </cell>
          <cell r="Y687">
            <v>0</v>
          </cell>
          <cell r="Z687">
            <v>0</v>
          </cell>
          <cell r="AA687">
            <v>0</v>
          </cell>
          <cell r="AB687" t="str">
            <v>anytime</v>
          </cell>
          <cell r="AC687">
            <v>101</v>
          </cell>
          <cell r="AD687">
            <v>6</v>
          </cell>
          <cell r="AE687" t="str">
            <v>everyone</v>
          </cell>
        </row>
        <row r="688">
          <cell r="A688" t="str">
            <v>60022_3</v>
          </cell>
          <cell r="B688">
            <v>1</v>
          </cell>
          <cell r="C688">
            <v>60022</v>
          </cell>
          <cell r="D688" t="str">
            <v>【火曜限定】 赤の素材verハンプ検証</v>
          </cell>
          <cell r="E688" t="str">
            <v>検証</v>
          </cell>
          <cell r="F688">
            <v>3</v>
          </cell>
          <cell r="G688" t="str">
            <v>ja</v>
          </cell>
          <cell r="H688" t="str">
            <v>【上級】ハンプティ検証</v>
          </cell>
          <cell r="I688" t="str">
            <v>上級</v>
          </cell>
          <cell r="J688">
            <v>84</v>
          </cell>
          <cell r="K688">
            <v>20</v>
          </cell>
          <cell r="L688">
            <v>860</v>
          </cell>
          <cell r="M688">
            <v>1</v>
          </cell>
          <cell r="N688">
            <v>1</v>
          </cell>
          <cell r="O688">
            <v>1</v>
          </cell>
          <cell r="P688">
            <v>1</v>
          </cell>
          <cell r="Q688">
            <v>1</v>
          </cell>
          <cell r="R688">
            <v>3</v>
          </cell>
          <cell r="S688" t="str">
            <v>none</v>
          </cell>
          <cell r="T688">
            <v>0</v>
          </cell>
          <cell r="U688" t="str">
            <v>NULL</v>
          </cell>
          <cell r="V688" t="str">
            <v>NULL</v>
          </cell>
          <cell r="W688" t="str">
            <v/>
          </cell>
          <cell r="X688">
            <v>0</v>
          </cell>
          <cell r="Y688">
            <v>0</v>
          </cell>
          <cell r="Z688">
            <v>0</v>
          </cell>
          <cell r="AA688">
            <v>0</v>
          </cell>
          <cell r="AB688" t="str">
            <v>anytime</v>
          </cell>
          <cell r="AC688">
            <v>101</v>
          </cell>
          <cell r="AD688">
            <v>6</v>
          </cell>
          <cell r="AE688" t="str">
            <v>everyone</v>
          </cell>
        </row>
        <row r="689">
          <cell r="A689" t="str">
            <v>60023_3</v>
          </cell>
          <cell r="B689">
            <v>1</v>
          </cell>
          <cell r="C689">
            <v>60023</v>
          </cell>
          <cell r="D689" t="str">
            <v>【水曜限定】 青の素材verハンプ検証</v>
          </cell>
          <cell r="E689" t="str">
            <v>検証</v>
          </cell>
          <cell r="F689">
            <v>3</v>
          </cell>
          <cell r="G689" t="str">
            <v>ja</v>
          </cell>
          <cell r="H689" t="str">
            <v>【上級】ハンプティ検証</v>
          </cell>
          <cell r="I689" t="str">
            <v>上級</v>
          </cell>
          <cell r="J689">
            <v>84</v>
          </cell>
          <cell r="K689">
            <v>20</v>
          </cell>
          <cell r="L689">
            <v>860</v>
          </cell>
          <cell r="M689">
            <v>1</v>
          </cell>
          <cell r="N689">
            <v>1</v>
          </cell>
          <cell r="O689">
            <v>1</v>
          </cell>
          <cell r="P689">
            <v>1</v>
          </cell>
          <cell r="Q689">
            <v>1</v>
          </cell>
          <cell r="R689">
            <v>3</v>
          </cell>
          <cell r="S689" t="str">
            <v>none</v>
          </cell>
          <cell r="T689">
            <v>0</v>
          </cell>
          <cell r="U689" t="str">
            <v>NULL</v>
          </cell>
          <cell r="V689" t="str">
            <v>NULL</v>
          </cell>
          <cell r="W689" t="str">
            <v/>
          </cell>
          <cell r="X689">
            <v>0</v>
          </cell>
          <cell r="Y689">
            <v>0</v>
          </cell>
          <cell r="Z689">
            <v>0</v>
          </cell>
          <cell r="AA689">
            <v>0</v>
          </cell>
          <cell r="AB689" t="str">
            <v>anytime</v>
          </cell>
          <cell r="AC689">
            <v>101</v>
          </cell>
          <cell r="AD689">
            <v>6</v>
          </cell>
          <cell r="AE689" t="str">
            <v>everyone</v>
          </cell>
        </row>
        <row r="690">
          <cell r="A690" t="str">
            <v>60024_3</v>
          </cell>
          <cell r="B690">
            <v>1</v>
          </cell>
          <cell r="C690">
            <v>60024</v>
          </cell>
          <cell r="D690" t="str">
            <v>【木曜限定】 緑の素材verハンプ検証</v>
          </cell>
          <cell r="E690" t="str">
            <v>検証</v>
          </cell>
          <cell r="F690">
            <v>3</v>
          </cell>
          <cell r="G690" t="str">
            <v>ja</v>
          </cell>
          <cell r="H690" t="str">
            <v>【上級】ハンプティ検証</v>
          </cell>
          <cell r="I690" t="str">
            <v>上級</v>
          </cell>
          <cell r="J690">
            <v>84</v>
          </cell>
          <cell r="K690">
            <v>20</v>
          </cell>
          <cell r="L690">
            <v>860</v>
          </cell>
          <cell r="M690">
            <v>1</v>
          </cell>
          <cell r="N690">
            <v>1</v>
          </cell>
          <cell r="O690">
            <v>1</v>
          </cell>
          <cell r="P690">
            <v>1</v>
          </cell>
          <cell r="Q690">
            <v>1</v>
          </cell>
          <cell r="R690">
            <v>3</v>
          </cell>
          <cell r="S690" t="str">
            <v>none</v>
          </cell>
          <cell r="T690">
            <v>0</v>
          </cell>
          <cell r="U690" t="str">
            <v>NULL</v>
          </cell>
          <cell r="V690" t="str">
            <v>NULL</v>
          </cell>
          <cell r="W690" t="str">
            <v/>
          </cell>
          <cell r="X690">
            <v>0</v>
          </cell>
          <cell r="Y690">
            <v>0</v>
          </cell>
          <cell r="Z690">
            <v>0</v>
          </cell>
          <cell r="AA690">
            <v>0</v>
          </cell>
          <cell r="AB690" t="str">
            <v>anytime</v>
          </cell>
          <cell r="AC690">
            <v>101</v>
          </cell>
          <cell r="AD690">
            <v>6</v>
          </cell>
          <cell r="AE690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6001</v>
          </cell>
        </row>
        <row r="1131">
          <cell r="A1131">
            <v>6002</v>
          </cell>
        </row>
        <row r="1132">
          <cell r="A1132">
            <v>6003</v>
          </cell>
        </row>
        <row r="1133">
          <cell r="A1133">
            <v>6004</v>
          </cell>
        </row>
        <row r="1134">
          <cell r="A1134">
            <v>6005</v>
          </cell>
        </row>
        <row r="1135">
          <cell r="A1135">
            <v>6006</v>
          </cell>
        </row>
        <row r="1136">
          <cell r="A1136">
            <v>6007</v>
          </cell>
        </row>
        <row r="1137">
          <cell r="A1137">
            <v>6008</v>
          </cell>
        </row>
        <row r="1138">
          <cell r="A1138">
            <v>6009</v>
          </cell>
        </row>
        <row r="1139">
          <cell r="A1139">
            <v>6010</v>
          </cell>
        </row>
        <row r="1140">
          <cell r="A1140">
            <v>6011</v>
          </cell>
        </row>
        <row r="1141">
          <cell r="A1141">
            <v>6012</v>
          </cell>
        </row>
        <row r="1142">
          <cell r="A1142">
            <v>6013</v>
          </cell>
        </row>
        <row r="1143">
          <cell r="A1143">
            <v>6014</v>
          </cell>
        </row>
        <row r="1144">
          <cell r="A1144">
            <v>6015</v>
          </cell>
        </row>
        <row r="1145">
          <cell r="A1145">
            <v>6016</v>
          </cell>
        </row>
        <row r="1146">
          <cell r="A1146">
            <v>6017</v>
          </cell>
        </row>
        <row r="1147">
          <cell r="A1147">
            <v>6018</v>
          </cell>
        </row>
        <row r="1148">
          <cell r="A1148">
            <v>6019</v>
          </cell>
        </row>
        <row r="1149">
          <cell r="A1149">
            <v>6020</v>
          </cell>
        </row>
        <row r="1150">
          <cell r="A1150">
            <v>8001</v>
          </cell>
        </row>
        <row r="1151">
          <cell r="A1151">
            <v>8002</v>
          </cell>
        </row>
        <row r="1152">
          <cell r="A1152">
            <v>8003</v>
          </cell>
        </row>
        <row r="1153">
          <cell r="A1153">
            <v>8004</v>
          </cell>
        </row>
        <row r="1154">
          <cell r="A1154">
            <v>8005</v>
          </cell>
        </row>
        <row r="1155">
          <cell r="A1155">
            <v>8006</v>
          </cell>
        </row>
        <row r="1156">
          <cell r="A1156">
            <v>8007</v>
          </cell>
        </row>
        <row r="1157">
          <cell r="A1157">
            <v>8008</v>
          </cell>
        </row>
        <row r="1158">
          <cell r="A1158">
            <v>8009</v>
          </cell>
        </row>
        <row r="1159">
          <cell r="A1159">
            <v>8010</v>
          </cell>
        </row>
        <row r="1160">
          <cell r="A1160">
            <v>8011</v>
          </cell>
        </row>
        <row r="1161">
          <cell r="A1161">
            <v>8012</v>
          </cell>
        </row>
        <row r="1162">
          <cell r="A1162">
            <v>8013</v>
          </cell>
        </row>
        <row r="1163">
          <cell r="A1163">
            <v>8014</v>
          </cell>
        </row>
        <row r="1164">
          <cell r="A1164">
            <v>8015</v>
          </cell>
        </row>
        <row r="1165">
          <cell r="A1165">
            <v>8016</v>
          </cell>
        </row>
        <row r="1166">
          <cell r="A1166">
            <v>8017</v>
          </cell>
        </row>
        <row r="1167">
          <cell r="A1167">
            <v>8018</v>
          </cell>
        </row>
        <row r="1168">
          <cell r="A1168">
            <v>8019</v>
          </cell>
        </row>
        <row r="1169">
          <cell r="A1169">
            <v>8020</v>
          </cell>
        </row>
        <row r="1170">
          <cell r="A1170">
            <v>8021</v>
          </cell>
        </row>
        <row r="1171">
          <cell r="A1171">
            <v>8022</v>
          </cell>
        </row>
        <row r="1172">
          <cell r="A1172">
            <v>8023</v>
          </cell>
        </row>
        <row r="1173">
          <cell r="A1173">
            <v>8024</v>
          </cell>
        </row>
        <row r="1174">
          <cell r="A1174">
            <v>8025</v>
          </cell>
        </row>
        <row r="1175">
          <cell r="A1175">
            <v>8026</v>
          </cell>
        </row>
        <row r="1176">
          <cell r="A1176">
            <v>8027</v>
          </cell>
        </row>
        <row r="1177">
          <cell r="A1177">
            <v>8028</v>
          </cell>
        </row>
        <row r="1178">
          <cell r="A1178">
            <v>8029</v>
          </cell>
        </row>
        <row r="1179">
          <cell r="A1179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2"/>
  <sheetViews>
    <sheetView workbookViewId="0">
      <selection activeCell="B15" sqref="B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214</v>
      </c>
      <c r="B2" s="56" t="s">
        <v>107</v>
      </c>
      <c r="C2" s="61">
        <v>40014</v>
      </c>
      <c r="D2" s="56" t="s">
        <v>108</v>
      </c>
      <c r="E2" s="55" t="str">
        <f>B2&amp;C2&amp;D2</f>
        <v>floors_40014.tmp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214</v>
      </c>
      <c r="B3" s="56" t="s">
        <v>110</v>
      </c>
      <c r="C3" s="61">
        <v>40014</v>
      </c>
      <c r="D3" s="56" t="s">
        <v>108</v>
      </c>
      <c r="E3" s="55" t="str">
        <f>B3&amp;C3&amp;D3</f>
        <v>enemy_habitats_40014.tmp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179</v>
      </c>
    </row>
    <row r="4" spans="1:30" x14ac:dyDescent="0.15">
      <c r="A4" s="60" t="s">
        <v>214</v>
      </c>
      <c r="B4" s="56" t="s">
        <v>112</v>
      </c>
      <c r="C4" s="61">
        <v>40014</v>
      </c>
      <c r="D4" s="56" t="s">
        <v>108</v>
      </c>
      <c r="E4" s="55" t="str">
        <f>B4&amp;C4&amp;D4</f>
        <v>enemy_habitat_S_40014.tmp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214</v>
      </c>
      <c r="B5" s="56" t="s">
        <v>114</v>
      </c>
      <c r="C5" s="61">
        <v>40014</v>
      </c>
      <c r="D5" s="56" t="s">
        <v>108</v>
      </c>
      <c r="E5" s="55" t="str">
        <f>B5&amp;C5&amp;D5</f>
        <v>enemy_skill_sets_40014.tmp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214</v>
      </c>
      <c r="B6" s="56" t="s">
        <v>116</v>
      </c>
      <c r="C6" s="61">
        <v>40014</v>
      </c>
      <c r="D6" s="56" t="s">
        <v>117</v>
      </c>
      <c r="E6" s="55" t="str">
        <f t="shared" ref="E6:E10" si="0">B6&amp;C6&amp;D6</f>
        <v>enemy_skills_tmp_40014.tmp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214</v>
      </c>
      <c r="B7" s="56" t="s">
        <v>118</v>
      </c>
      <c r="C7" s="61">
        <v>40014</v>
      </c>
      <c r="D7" s="56" t="s">
        <v>108</v>
      </c>
      <c r="E7" s="55" t="str">
        <f>B7&amp;C7&amp;D7</f>
        <v>enemy_skills_i18n_40014.tmp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214</v>
      </c>
      <c r="B8" s="56" t="s">
        <v>120</v>
      </c>
      <c r="C8" s="61">
        <v>40014</v>
      </c>
      <c r="D8" s="56" t="s">
        <v>121</v>
      </c>
      <c r="E8" s="55" t="str">
        <f t="shared" si="0"/>
        <v>enemy_skill_triggers_40014.tmp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214</v>
      </c>
      <c r="B9" s="66" t="s">
        <v>178</v>
      </c>
      <c r="C9" s="61">
        <v>40014</v>
      </c>
      <c r="D9" s="66" t="s">
        <v>172</v>
      </c>
      <c r="E9" s="67" t="str">
        <f t="shared" si="0"/>
        <v>stage_bug_bonuses_40014.tmp</v>
      </c>
      <c r="F9" s="66" t="s">
        <v>173</v>
      </c>
      <c r="G9" s="63" t="s">
        <v>151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</row>
    <row r="10" spans="1:30" s="74" customFormat="1" x14ac:dyDescent="0.15">
      <c r="A10" s="60" t="s">
        <v>214</v>
      </c>
      <c r="B10" s="66" t="s">
        <v>202</v>
      </c>
      <c r="C10" s="61">
        <v>40014</v>
      </c>
      <c r="D10" s="66" t="s">
        <v>181</v>
      </c>
      <c r="E10" s="67" t="str">
        <f t="shared" si="0"/>
        <v>stage_hints_data_c_40014.tmp</v>
      </c>
      <c r="F10" s="66" t="s">
        <v>210</v>
      </c>
      <c r="G10" s="71" t="s">
        <v>182</v>
      </c>
      <c r="H10" s="71" t="s">
        <v>174</v>
      </c>
      <c r="I10" s="72" t="s">
        <v>183</v>
      </c>
      <c r="J10" s="65" t="s">
        <v>184</v>
      </c>
      <c r="K10" s="73" t="s">
        <v>185</v>
      </c>
    </row>
    <row r="11" spans="1:30" s="74" customFormat="1" x14ac:dyDescent="0.15">
      <c r="A11" s="60" t="s">
        <v>214</v>
      </c>
      <c r="B11" s="66" t="s">
        <v>203</v>
      </c>
      <c r="C11" s="61">
        <v>40014</v>
      </c>
      <c r="D11" s="66" t="s">
        <v>172</v>
      </c>
      <c r="E11" s="67" t="str">
        <f t="shared" ref="E11:E12" si="1">B11&amp;C11&amp;D11</f>
        <v>stage_hints_data_f_40014.tmp</v>
      </c>
      <c r="F11" s="66" t="s">
        <v>212</v>
      </c>
      <c r="G11" s="71" t="s">
        <v>182</v>
      </c>
      <c r="H11" s="71" t="s">
        <v>174</v>
      </c>
      <c r="I11" s="72" t="s">
        <v>183</v>
      </c>
      <c r="J11" s="65" t="s">
        <v>184</v>
      </c>
      <c r="K11" s="73" t="s">
        <v>185</v>
      </c>
    </row>
    <row r="12" spans="1:30" s="74" customFormat="1" x14ac:dyDescent="0.15">
      <c r="A12" s="60" t="s">
        <v>214</v>
      </c>
      <c r="B12" s="66" t="s">
        <v>204</v>
      </c>
      <c r="C12" s="61">
        <v>40014</v>
      </c>
      <c r="D12" s="66" t="s">
        <v>172</v>
      </c>
      <c r="E12" s="67" t="str">
        <f t="shared" si="1"/>
        <v>stage_hints_i18n_40014.tmp</v>
      </c>
      <c r="F12" s="66" t="s">
        <v>213</v>
      </c>
      <c r="G12" s="72" t="s">
        <v>205</v>
      </c>
      <c r="H12" s="94" t="s">
        <v>206</v>
      </c>
      <c r="I12" s="71" t="s">
        <v>207</v>
      </c>
      <c r="J12" s="95" t="s">
        <v>208</v>
      </c>
      <c r="K12" s="73" t="s">
        <v>209</v>
      </c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tabSelected="1" workbookViewId="0">
      <pane ySplit="1" topLeftCell="A2" activePane="bottomLeft" state="frozen"/>
      <selection activeCell="V2" sqref="V2:X34"/>
      <selection pane="bottomLeft" activeCell="K4" sqref="K4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40014_1-1</v>
      </c>
      <c r="B2" s="16" t="str">
        <f>IF(COUNTIF(enemy_habitats!$H:$H,A2),"OK","NG")</f>
        <v>OK</v>
      </c>
      <c r="C2" s="7">
        <v>40014</v>
      </c>
      <c r="D2" s="11" t="str">
        <f ca="1">VLOOKUP($C2,OFFSET([2]quests!$A$1,0,0,COUNTA([2]quests!$A:$A),MATCH(D$1,[2]quests!$1:$1,0)-MATCH($C$1,[2]quests!$1:$1,0)+1),MATCH(D$1,[2]quests!$1:$1,0)-MATCH($C$1,[2]quests!$1:$1,0)+1,FALSE)</f>
        <v>シヴァ襲来！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降臨14</v>
      </c>
      <c r="F2" s="21">
        <v>1</v>
      </c>
      <c r="G2" s="22" t="str">
        <f>C2&amp;"_"&amp;F2</f>
        <v>40014_1</v>
      </c>
      <c r="H2" s="15" t="str">
        <f ca="1">VLOOKUP($G2,OFFSET([2]stages!$A$1,0,0,COUNTA([2]stages!$A:$A),MATCH(H$1,[2]stages!$2:$2,0)-MATCH($G$1,[2]stages!$2:$2,0)+1),MATCH(H$1,[2]stages!$2:$2,0)-MATCH($G$1,[2]stages!$2:$2,0)+1,FALSE)</f>
        <v xml:space="preserve">【ウィザード級】シヴァ襲来 </v>
      </c>
      <c r="I2" s="21">
        <v>1</v>
      </c>
      <c r="J2" s="12">
        <v>45</v>
      </c>
      <c r="K2" s="12">
        <v>45</v>
      </c>
    </row>
    <row r="3" spans="1:11" ht="21" customHeight="1" x14ac:dyDescent="0.15">
      <c r="A3" s="16" t="str">
        <f t="shared" ref="A3:A5" si="0">G3&amp;"-"&amp;I3</f>
        <v>40014_1-2</v>
      </c>
      <c r="B3" s="16" t="str">
        <f>IF(COUNTIF(enemy_habitats!$H:$H,A3),"OK","NG")</f>
        <v>OK</v>
      </c>
      <c r="C3" s="7">
        <v>40014</v>
      </c>
      <c r="D3" s="11" t="str">
        <f ca="1">VLOOKUP($C3,OFFSET([2]quests!$A$1,0,0,COUNTA([2]quests!$A:$A),MATCH(D$1,[2]quests!$1:$1,0)-MATCH($C$1,[2]quests!$1:$1,0)+1),MATCH(D$1,[2]quests!$1:$1,0)-MATCH($C$1,[2]quests!$1:$1,0)+1,FALSE)</f>
        <v>シヴァ襲来！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降臨14</v>
      </c>
      <c r="F3" s="21">
        <v>1</v>
      </c>
      <c r="G3" s="22" t="str">
        <f t="shared" ref="G3:G5" si="1">C3&amp;"_"&amp;F3</f>
        <v>40014_1</v>
      </c>
      <c r="H3" s="15" t="str">
        <f ca="1">VLOOKUP($G3,OFFSET([2]stages!$A$1,0,0,COUNTA([2]stages!$A:$A),MATCH(H$1,[2]stages!$2:$2,0)-MATCH($G$1,[2]stages!$2:$2,0)+1),MATCH(H$1,[2]stages!$2:$2,0)-MATCH($G$1,[2]stages!$2:$2,0)+1,FALSE)</f>
        <v xml:space="preserve">【ウィザード級】シヴァ襲来 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40014_1-3</v>
      </c>
      <c r="B4" s="16" t="str">
        <f>IF(COUNTIF(enemy_habitats!$H:$H,A4),"OK","NG")</f>
        <v>OK</v>
      </c>
      <c r="C4" s="7">
        <v>40014</v>
      </c>
      <c r="D4" s="11" t="str">
        <f ca="1">VLOOKUP($C4,OFFSET([2]quests!$A$1,0,0,COUNTA([2]quests!$A:$A),MATCH(D$1,[2]quests!$1:$1,0)-MATCH($C$1,[2]quests!$1:$1,0)+1),MATCH(D$1,[2]quests!$1:$1,0)-MATCH($C$1,[2]quests!$1:$1,0)+1,FALSE)</f>
        <v>シヴァ襲来！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降臨14</v>
      </c>
      <c r="F4" s="21">
        <v>1</v>
      </c>
      <c r="G4" s="22" t="str">
        <f t="shared" si="1"/>
        <v>40014_1</v>
      </c>
      <c r="H4" s="15" t="str">
        <f ca="1">VLOOKUP($G4,OFFSET([2]stages!$A$1,0,0,COUNTA([2]stages!$A:$A),MATCH(H$1,[2]stages!$2:$2,0)-MATCH($G$1,[2]stages!$2:$2,0)+1),MATCH(H$1,[2]stages!$2:$2,0)-MATCH($G$1,[2]stages!$2:$2,0)+1,FALSE)</f>
        <v xml:space="preserve">【ウィザード級】シヴァ襲来 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40014_1-4</v>
      </c>
      <c r="B5" s="16" t="str">
        <f>IF(COUNTIF(enemy_habitats!$H:$H,A5),"OK","NG")</f>
        <v>OK</v>
      </c>
      <c r="C5" s="7">
        <v>40014</v>
      </c>
      <c r="D5" s="11" t="str">
        <f ca="1">VLOOKUP($C5,OFFSET([2]quests!$A$1,0,0,COUNTA([2]quests!$A:$A),MATCH(D$1,[2]quests!$1:$1,0)-MATCH($C$1,[2]quests!$1:$1,0)+1),MATCH(D$1,[2]quests!$1:$1,0)-MATCH($C$1,[2]quests!$1:$1,0)+1,FALSE)</f>
        <v>シヴァ襲来！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降臨14</v>
      </c>
      <c r="F5" s="21">
        <v>1</v>
      </c>
      <c r="G5" s="22" t="str">
        <f t="shared" si="1"/>
        <v>40014_1</v>
      </c>
      <c r="H5" s="15" t="str">
        <f ca="1">VLOOKUP($G5,OFFSET([2]stages!$A$1,0,0,COUNTA([2]stages!$A:$A),MATCH(H$1,[2]stages!$2:$2,0)-MATCH($G$1,[2]stages!$2:$2,0)+1),MATCH(H$1,[2]stages!$2:$2,0)-MATCH($G$1,[2]stages!$2:$2,0)+1,FALSE)</f>
        <v xml:space="preserve">【ウィザード級】シヴァ襲来 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8"/>
  <sheetViews>
    <sheetView showGridLines="0" workbookViewId="0">
      <pane xSplit="17" ySplit="1" topLeftCell="AD2" activePane="bottomRight" state="frozen"/>
      <selection pane="topRight" activeCell="N1" sqref="N1"/>
      <selection pane="bottomLeft" activeCell="A2" sqref="A2"/>
      <selection pane="bottomRight" activeCell="Q3" sqref="Q3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180</v>
      </c>
    </row>
    <row r="2" spans="1:40" ht="21" customHeight="1" x14ac:dyDescent="0.15">
      <c r="A2" s="16" t="str">
        <f>B2&amp;"_"&amp;C2&amp;"-"&amp;G2&amp;"/"&amp;L2&amp;"&lt;lv"&amp;R2&amp;"&gt;s"&amp;AA2</f>
        <v>40014_1-1/27&lt;lv60&gt;s2</v>
      </c>
      <c r="B2" s="7">
        <v>40014</v>
      </c>
      <c r="C2" s="21">
        <v>1</v>
      </c>
      <c r="D2" s="2" t="str">
        <f>B2&amp;"_"&amp;C2</f>
        <v>40014_1</v>
      </c>
      <c r="E2" s="4" t="str">
        <f ca="1">VLOOKUP($B2,OFFSET([2]quests!$A$1,0,0,COUNTA([2]quests!$A:$A),MATCH(E$1,[2]quests!$1:$1,0)-MATCH($B$1,[2]quests!$1:$1,0)+1),MATCH(E$1,[2]quests!$1:$1,0)-MATCH($B$1,[2]quests!$1:$1,0)+1,FALSE)</f>
        <v>シヴァ襲来！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2" s="21">
        <v>1</v>
      </c>
      <c r="H2" s="15" t="str">
        <f>B2&amp;"_"&amp;C2&amp;"-"&amp;G2</f>
        <v>40014_1-1</v>
      </c>
      <c r="I2" s="4">
        <f ca="1">VLOOKUP($H2,OFFSET(floors!$A$1,0,0,COUNTA(floors!$A:$A),MATCH(I$1,floors!$1:$1,0)-MATCH($H$1,floors!$1:$1,0)+1),MATCH(I$1,floors!$1:$1,0)-MATCH($H$1,floors!$1:$1,0)+1,FALSE)</f>
        <v>45</v>
      </c>
      <c r="J2" s="4">
        <f ca="1">VLOOKUP($H2,OFFSET(floors!$A$1,0,0,COUNTA(floors!$A:$A),MATCH(J$1,floors!$1:$1,0)-MATCH($H$1,floors!$1:$1,0)+1),MATCH(J$1,floors!$1:$1,0)-MATCH($H$1,floors!$1:$1,0)+1,FALSE)</f>
        <v>45</v>
      </c>
      <c r="K2" s="37" t="s">
        <v>53</v>
      </c>
      <c r="L2" s="20">
        <v>27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パトライン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machine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4">
        <v>1.5</v>
      </c>
      <c r="T2" s="24">
        <v>1.5</v>
      </c>
      <c r="U2" s="5">
        <v>0</v>
      </c>
      <c r="V2" s="4" t="e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2" s="4">
        <v>40014000</v>
      </c>
      <c r="X2" s="6">
        <v>1</v>
      </c>
      <c r="Y2" s="6">
        <v>100</v>
      </c>
      <c r="Z2" s="6">
        <v>1</v>
      </c>
      <c r="AA2" s="17">
        <v>2</v>
      </c>
      <c r="AB2" s="23">
        <f>L2</f>
        <v>27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パトライン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1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Drop1N</v>
      </c>
      <c r="AF2" s="7">
        <v>1</v>
      </c>
      <c r="AG2" s="23">
        <f ca="1">AD2</f>
        <v>1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>B3&amp;"_"&amp;C3&amp;"-"&amp;G3&amp;"/"&amp;L3&amp;"&lt;lv"&amp;R3&amp;"&gt;s"&amp;AA3</f>
        <v>40014_1-1/35&lt;lv55&gt;s3</v>
      </c>
      <c r="B3" s="7">
        <v>40014</v>
      </c>
      <c r="C3" s="21">
        <v>1</v>
      </c>
      <c r="D3" s="2" t="str">
        <f>B3&amp;"_"&amp;C3</f>
        <v>40014_1</v>
      </c>
      <c r="E3" s="4" t="str">
        <f ca="1">VLOOKUP($B3,OFFSET([2]quests!$A$1,0,0,COUNTA([2]quests!$A:$A),MATCH(E$1,[2]quests!$1:$1,0)-MATCH($B$1,[2]quests!$1:$1,0)+1),MATCH(E$1,[2]quests!$1:$1,0)-MATCH($B$1,[2]quests!$1:$1,0)+1,FALSE)</f>
        <v>シヴァ襲来！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3" s="21">
        <v>1</v>
      </c>
      <c r="H3" s="15" t="str">
        <f>B3&amp;"_"&amp;C3&amp;"-"&amp;G3</f>
        <v>40014_1-1</v>
      </c>
      <c r="I3" s="4">
        <f ca="1">VLOOKUP($H3,OFFSET(floors!$A$1,0,0,COUNTA(floors!$A:$A),MATCH(I$1,floors!$1:$1,0)-MATCH($H$1,floors!$1:$1,0)+1),MATCH(I$1,floors!$1:$1,0)-MATCH($H$1,floors!$1:$1,0)+1,FALSE)</f>
        <v>45</v>
      </c>
      <c r="J3" s="4">
        <f ca="1">VLOOKUP($H3,OFFSET(floors!$A$1,0,0,COUNTA(floors!$A:$A),MATCH(J$1,floors!$1:$1,0)-MATCH($H$1,floors!$1:$1,0)+1),MATCH(J$1,floors!$1:$1,0)-MATCH($H$1,floors!$1:$1,0)+1,FALSE)</f>
        <v>45</v>
      </c>
      <c r="K3" s="37" t="s">
        <v>53</v>
      </c>
      <c r="L3" s="20">
        <v>35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F2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55</v>
      </c>
      <c r="S3" s="24">
        <v>1.5</v>
      </c>
      <c r="T3" s="24">
        <v>0.6</v>
      </c>
      <c r="U3" s="5">
        <v>0</v>
      </c>
      <c r="V3" s="4" t="e">
        <f ca="1">VLOOKUP($W3,OFFSET([5]enemy_skill_sets!$B$1,0,0,COUNTA([5]enemy_skill_sets!$B:$B),MATCH(M$1,[5]enemy_skill_sets!$1:$1,0)-MATCH($W$1,[5]enemy_skill_sets!$1:$1,0)+2),MATCH(M$1,[5]enemy_skill_sets!$1:$1,0)-MATCH($W$1,[5]enemy_skill_sets!$1:$1,0)+2,FALSE)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3" s="4">
        <v>40014001</v>
      </c>
      <c r="X3" s="6">
        <v>2</v>
      </c>
      <c r="Y3" s="6">
        <v>100</v>
      </c>
      <c r="Z3" s="6">
        <v>0</v>
      </c>
      <c r="AA3" s="17">
        <v>3</v>
      </c>
      <c r="AB3" s="23">
        <f>L3</f>
        <v>35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F2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Drop1S</v>
      </c>
      <c r="AF3" s="7">
        <v>1</v>
      </c>
      <c r="AG3" s="23">
        <f ca="1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 t="shared" ref="A4:A8" ca="1" si="0">B4&amp;"_"&amp;C4&amp;"-"&amp;G4&amp;"/"&amp;L4&amp;"&lt;lv"&amp;R4&amp;"&gt;s"&amp;AA4</f>
        <v>40014_1-2/672&lt;lv45&gt;s3</v>
      </c>
      <c r="B4" s="7">
        <v>40014</v>
      </c>
      <c r="C4" s="21">
        <v>1</v>
      </c>
      <c r="D4" s="2" t="str">
        <f t="shared" ref="D4:D8" si="1">B4&amp;"_"&amp;C4</f>
        <v>40014_1</v>
      </c>
      <c r="E4" s="4" t="str">
        <f ca="1">VLOOKUP($B4,OFFSET([2]quests!$A$1,0,0,COUNTA([2]quests!$A:$A),MATCH(E$1,[2]quests!$1:$1,0)-MATCH($B$1,[2]quests!$1:$1,0)+1),MATCH(E$1,[2]quests!$1:$1,0)-MATCH($B$1,[2]quests!$1:$1,0)+1,FALSE)</f>
        <v>シヴァ襲来！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4" s="21">
        <v>2</v>
      </c>
      <c r="H4" s="15" t="str">
        <f t="shared" ref="H4:H8" si="2">B4&amp;"_"&amp;C4&amp;"-"&amp;G4</f>
        <v>40014_1-2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1</v>
      </c>
      <c r="L4" s="20">
        <v>672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西遊韋駄天 ハヌマーン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45</v>
      </c>
      <c r="S4" s="24">
        <v>1.5</v>
      </c>
      <c r="T4" s="24">
        <v>0.8</v>
      </c>
      <c r="U4" s="5">
        <v>0</v>
      </c>
      <c r="V4" s="4" t="e">
        <f ca="1">VLOOKUP($W4,OFFSET([5]enemy_skill_sets!$B$1,0,0,COUNTA([5]enemy_skill_sets!$B:$B),MATCH(M$1,[5]enemy_skill_sets!$1:$1,0)-MATCH($W$1,[5]enemy_skill_sets!$1:$1,0)+2),MATCH(M$1,[5]enemy_skill_sets!$1:$1,0)-MATCH($W$1,[5]enemy_skill_sets!$1:$1,0)+2,FALSE)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4" s="4">
        <v>40014002</v>
      </c>
      <c r="X4" s="6">
        <v>1</v>
      </c>
      <c r="Y4" s="6">
        <v>100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3</v>
      </c>
      <c r="AB4" s="23">
        <f t="shared" ref="AB4:AB8" si="3">L4</f>
        <v>672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西遊韋駄天 ハヌマーン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4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4" s="7">
        <v>1</v>
      </c>
      <c r="AG4" s="23">
        <f t="shared" ref="AG4:AG8" ca="1" si="4">AD4</f>
        <v>4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 t="shared" ref="A5" ca="1" si="5">B5&amp;"_"&amp;C5&amp;"-"&amp;G5&amp;"/"&amp;L5&amp;"&lt;lv"&amp;R5&amp;"&gt;s"&amp;AA5</f>
        <v>40014_1-2/33&lt;lv53&gt;s2</v>
      </c>
      <c r="B5" s="7">
        <v>40014</v>
      </c>
      <c r="C5" s="21">
        <v>1</v>
      </c>
      <c r="D5" s="2" t="str">
        <f t="shared" ref="D5" si="6">B5&amp;"_"&amp;C5</f>
        <v>40014_1</v>
      </c>
      <c r="E5" s="4" t="str">
        <f ca="1">VLOOKUP($B5,OFFSET([2]quests!$A$1,0,0,COUNTA([2]quests!$A:$A),MATCH(E$1,[2]quests!$1:$1,0)-MATCH($B$1,[2]quests!$1:$1,0)+1),MATCH(E$1,[2]quests!$1:$1,0)-MATCH($B$1,[2]quests!$1:$1,0)+1,FALSE)</f>
        <v>シヴァ襲来！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5" s="21">
        <v>2</v>
      </c>
      <c r="H5" s="15" t="str">
        <f t="shared" ref="H5" si="7">B5&amp;"_"&amp;C5&amp;"-"&amp;G5</f>
        <v>40014_1-2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20">
        <v>33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ゴクウ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53</v>
      </c>
      <c r="S5" s="24">
        <v>2</v>
      </c>
      <c r="T5" s="24">
        <v>1</v>
      </c>
      <c r="U5" s="5">
        <v>0</v>
      </c>
      <c r="V5" s="4" t="e">
        <f ca="1">VLOOKUP($W5,OFFSET([5]enemy_skill_sets!$B$1,0,0,COUNTA([5]enemy_skill_sets!$B:$B),MATCH(M$1,[5]enemy_skill_sets!$1:$1,0)-MATCH($W$1,[5]enemy_skill_sets!$1:$1,0)+2),MATCH(M$1,[5]enemy_skill_sets!$1:$1,0)-MATCH($W$1,[5]enemy_skill_sets!$1:$1,0)+2,FALSE)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5" s="4">
        <v>40014004</v>
      </c>
      <c r="X5" s="6">
        <v>2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2</v>
      </c>
      <c r="AB5" s="23">
        <f t="shared" ref="AB5" si="8">L5</f>
        <v>33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ゴクウ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Drop1S</v>
      </c>
      <c r="AF5" s="7">
        <v>1</v>
      </c>
      <c r="AG5" s="23">
        <f t="shared" ref="AG5" ca="1" si="9">AD5</f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si="0"/>
        <v>40014_1-3/45&lt;lv65&gt;s2</v>
      </c>
      <c r="B6" s="7">
        <v>40014</v>
      </c>
      <c r="C6" s="21">
        <v>1</v>
      </c>
      <c r="D6" s="2" t="str">
        <f t="shared" si="1"/>
        <v>40014_1</v>
      </c>
      <c r="E6" s="4" t="str">
        <f ca="1">VLOOKUP($B6,OFFSET([2]quests!$A$1,0,0,COUNTA([2]quests!$A:$A),MATCH(E$1,[2]quests!$1:$1,0)-MATCH($B$1,[2]quests!$1:$1,0)+1),MATCH(E$1,[2]quests!$1:$1,0)-MATCH($B$1,[2]quests!$1:$1,0)+1,FALSE)</f>
        <v>シヴァ襲来！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6" s="21">
        <v>3</v>
      </c>
      <c r="H6" s="15" t="str">
        <f t="shared" si="2"/>
        <v>40014_1-3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20">
        <v>45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ショウイン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Drop1N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65</v>
      </c>
      <c r="S6" s="24">
        <v>1.5</v>
      </c>
      <c r="T6" s="24">
        <v>2</v>
      </c>
      <c r="U6" s="5">
        <v>0</v>
      </c>
      <c r="V6" s="4" t="e">
        <f ca="1">VLOOKUP($W6,OFFSET([5]enemy_skill_sets!$B$1,0,0,COUNTA([5]enemy_skill_sets!$B:$B),MATCH(M$1,[5]enemy_skill_sets!$1:$1,0)-MATCH($W$1,[5]enemy_skill_sets!$1:$1,0)+2),MATCH(M$1,[5]enemy_skill_sets!$1:$1,0)-MATCH($W$1,[5]enemy_skill_sets!$1:$1,0)+2,FALSE)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6" s="4">
        <v>40014005</v>
      </c>
      <c r="X6" s="6">
        <v>2</v>
      </c>
      <c r="Y6" s="6">
        <v>100</v>
      </c>
      <c r="Z6" s="6">
        <v>1</v>
      </c>
      <c r="AA6" s="17">
        <v>2</v>
      </c>
      <c r="AB6" s="23">
        <f t="shared" si="3"/>
        <v>45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ショウイン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2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Drop1N</v>
      </c>
      <c r="AF6" s="7">
        <v>1</v>
      </c>
      <c r="AG6" s="23">
        <f t="shared" ca="1" si="4"/>
        <v>2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ref="A7" si="10">B7&amp;"_"&amp;C7&amp;"-"&amp;G7&amp;"/"&amp;L7&amp;"&lt;lv"&amp;R7&amp;"&gt;s"&amp;AA7</f>
        <v>40014_1-3/61&lt;lv55&gt;s1</v>
      </c>
      <c r="B7" s="7">
        <v>40014</v>
      </c>
      <c r="C7" s="21">
        <v>1</v>
      </c>
      <c r="D7" s="2" t="str">
        <f t="shared" ref="D7" si="11">B7&amp;"_"&amp;C7</f>
        <v>40014_1</v>
      </c>
      <c r="E7" s="4" t="str">
        <f ca="1">VLOOKUP($B7,OFFSET([2]quests!$A$1,0,0,COUNTA([2]quests!$A:$A),MATCH(E$1,[2]quests!$1:$1,0)-MATCH($B$1,[2]quests!$1:$1,0)+1),MATCH(E$1,[2]quests!$1:$1,0)-MATCH($B$1,[2]quests!$1:$1,0)+1,FALSE)</f>
        <v>シヴァ襲来！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7" s="21">
        <v>3</v>
      </c>
      <c r="H7" s="15" t="str">
        <f t="shared" ref="H7" si="12">B7&amp;"_"&amp;C7&amp;"-"&amp;G7</f>
        <v>40014_1-3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 t="s">
        <v>53</v>
      </c>
      <c r="L7" s="20">
        <v>61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クロウ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Drop1N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15</v>
      </c>
      <c r="R7" s="5">
        <v>55</v>
      </c>
      <c r="S7" s="24">
        <v>1.5</v>
      </c>
      <c r="T7" s="24">
        <v>0.8</v>
      </c>
      <c r="U7" s="5">
        <v>0</v>
      </c>
      <c r="V7" s="4" t="e">
        <f ca="1">VLOOKUP($W7,OFFSET([5]enemy_skill_sets!$B$1,0,0,COUNTA([5]enemy_skill_sets!$B:$B),MATCH(M$1,[5]enemy_skill_sets!$1:$1,0)-MATCH($W$1,[5]enemy_skill_sets!$1:$1,0)+2),MATCH(M$1,[5]enemy_skill_sets!$1:$1,0)-MATCH($W$1,[5]enemy_skill_sets!$1:$1,0)+2,FALSE)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7" s="4">
        <v>40014006</v>
      </c>
      <c r="X7" s="6">
        <v>2</v>
      </c>
      <c r="Y7" s="6">
        <v>100</v>
      </c>
      <c r="Z7" s="6">
        <v>0</v>
      </c>
      <c r="AA7" s="17">
        <v>1</v>
      </c>
      <c r="AB7" s="23">
        <f t="shared" ref="AB7" si="13">L7</f>
        <v>61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クロウ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2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Drop1N</v>
      </c>
      <c r="AF7" s="7">
        <v>1</v>
      </c>
      <c r="AG7" s="23">
        <f t="shared" ref="AG7" ca="1" si="14">AD7</f>
        <v>2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si="0"/>
        <v>40014_1-4/656&lt;lv65&gt;s2</v>
      </c>
      <c r="B8" s="7">
        <v>40014</v>
      </c>
      <c r="C8" s="21">
        <v>1</v>
      </c>
      <c r="D8" s="2" t="str">
        <f t="shared" si="1"/>
        <v>40014_1</v>
      </c>
      <c r="E8" s="4" t="str">
        <f ca="1">VLOOKUP($B8,OFFSET([2]quests!$A$1,0,0,COUNTA([2]quests!$A:$A),MATCH(E$1,[2]quests!$1:$1,0)-MATCH($B$1,[2]quests!$1:$1,0)+1),MATCH(E$1,[2]quests!$1:$1,0)-MATCH($B$1,[2]quests!$1:$1,0)+1,FALSE)</f>
        <v>シヴァ襲来！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8" s="21">
        <v>4</v>
      </c>
      <c r="H8" s="15" t="str">
        <f t="shared" si="2"/>
        <v>40014_1-4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>
        <v>2</v>
      </c>
      <c r="L8" s="20">
        <v>656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シヴァ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DropWizS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god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65</v>
      </c>
      <c r="S8" s="24">
        <v>3</v>
      </c>
      <c r="T8" s="24">
        <v>1</v>
      </c>
      <c r="U8" s="5">
        <v>0</v>
      </c>
      <c r="V8" s="4" t="e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#N/A</v>
      </c>
      <c r="W8" s="4">
        <v>40014007</v>
      </c>
      <c r="X8" s="6">
        <v>1</v>
      </c>
      <c r="Y8" s="6">
        <v>100</v>
      </c>
      <c r="Z8" s="6">
        <v>1</v>
      </c>
      <c r="AA8" s="17">
        <v>2</v>
      </c>
      <c r="AB8" s="23">
        <f t="shared" si="3"/>
        <v>656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シヴァ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DropWizS</v>
      </c>
      <c r="AF8" s="7">
        <v>1</v>
      </c>
      <c r="AG8" s="23">
        <f t="shared" ca="1" si="4"/>
        <v>4</v>
      </c>
      <c r="AH8" s="8">
        <v>30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</sheetData>
  <sheetProtection selectLockedCells="1" selectUnlockedCells="1"/>
  <autoFilter ref="B1:AH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Q14" sqref="Q1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130</v>
      </c>
      <c r="X1" s="28" t="s">
        <v>129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40014_1-2/672&lt;lv45&gt;sq1st2</v>
      </c>
      <c r="B2" s="7">
        <v>40014</v>
      </c>
      <c r="C2" s="21">
        <v>1</v>
      </c>
      <c r="D2" s="2" t="str">
        <f>B2&amp;"_"&amp;C2</f>
        <v>40014_1</v>
      </c>
      <c r="E2" s="4" t="str">
        <f ca="1">VLOOKUP($B2,OFFSET([2]quests!$A$1,0,0,COUNTA([2]quests!$A:$A),MATCH(E$1,[2]quests!$1:$1,0)-MATCH($B$1,[2]quests!$1:$1,0)+1),MATCH(E$1,[2]quests!$1:$1,0)-MATCH($B$1,[2]quests!$1:$1,0)+1,FALSE)</f>
        <v>シヴァ襲来！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2" s="21">
        <v>2</v>
      </c>
      <c r="H2" s="15" t="str">
        <f>B2&amp;"_"&amp;C2&amp;"-"&amp;G2</f>
        <v>40014_1-2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20">
        <v>672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西遊韋駄天 ハヌマーン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45</v>
      </c>
      <c r="T2" s="24">
        <v>1.5</v>
      </c>
      <c r="U2" s="24">
        <v>0.9</v>
      </c>
      <c r="V2" s="5">
        <v>0</v>
      </c>
      <c r="W2" s="4" t="e">
        <f ca="1">VLOOKUP($X2,OFFSET([5]enemy_skill_sets!$B$1,0,0,COUNTA([5]enemy_skill_sets!$B:$B),MATCH(N$1,[5]enemy_skill_sets!$1:$1,0)-MATCH($X$1,[5]enemy_skill_sets!$1:$1,0)+2),MATCH(N$1,[5]enemy_skill_sets!$1:$1,0)-MATCH($X$1,[5]enemy_skill_sets!$1:$1,0)+2,FALSE)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2" s="4">
        <v>40014003</v>
      </c>
      <c r="Y2" s="69">
        <v>3</v>
      </c>
    </row>
    <row r="3" spans="1:25" ht="21" customHeight="1" x14ac:dyDescent="0.15">
      <c r="A3" s="16" t="str">
        <f>B3&amp;"_"&amp;C3&amp;"-"&amp;G3&amp;"/"&amp;M3&amp;"&lt;lv"&amp;S3&amp;"&gt;sq"&amp;K3&amp;"st"&amp;L3</f>
        <v>40014_1-4/657&lt;lv70&gt;sq2st2</v>
      </c>
      <c r="B3" s="7">
        <v>40014</v>
      </c>
      <c r="C3" s="21">
        <v>1</v>
      </c>
      <c r="D3" s="2" t="str">
        <f>B3&amp;"_"&amp;C3</f>
        <v>40014_1</v>
      </c>
      <c r="E3" s="4" t="str">
        <f ca="1">VLOOKUP($B3,OFFSET([2]quests!$A$1,0,0,COUNTA([2]quests!$A:$A),MATCH(E$1,[2]quests!$1:$1,0)-MATCH($B$1,[2]quests!$1:$1,0)+1),MATCH(E$1,[2]quests!$1:$1,0)-MATCH($B$1,[2]quests!$1:$1,0)+1,FALSE)</f>
        <v>シヴァ襲来！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3" s="21">
        <v>4</v>
      </c>
      <c r="H3" s="15" t="str">
        <f>B3&amp;"_"&amp;C3&amp;"-"&amp;G3</f>
        <v>40014_1-4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20">
        <v>657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解滅の裁神 シヴァ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70</v>
      </c>
      <c r="T3" s="24">
        <v>3</v>
      </c>
      <c r="U3" s="24">
        <v>1</v>
      </c>
      <c r="V3" s="5">
        <v>0</v>
      </c>
      <c r="W3" s="4" t="e">
        <f ca="1">VLOOKUP($X3,OFFSET([5]enemy_skill_sets!$B$1,0,0,COUNTA([5]enemy_skill_sets!$B:$B),MATCH(N$1,[5]enemy_skill_sets!$1:$1,0)-MATCH($X$1,[5]enemy_skill_sets!$1:$1,0)+2),MATCH(N$1,[5]enemy_skill_sets!$1:$1,0)-MATCH($X$1,[5]enemy_skill_sets!$1:$1,0)+2,FALSE)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3" s="4">
        <v>40014008</v>
      </c>
      <c r="Y3" s="69">
        <v>1</v>
      </c>
    </row>
    <row r="4" spans="1:25" ht="21" customHeight="1" x14ac:dyDescent="0.15">
      <c r="A4" s="16" t="str">
        <f>B4&amp;"_"&amp;C4&amp;"-"&amp;G4&amp;"/"&amp;M4&amp;"&lt;lv"&amp;S4&amp;"&gt;sq"&amp;K4&amp;"st"&amp;L4</f>
        <v>40014_1-4/657&lt;lv70&gt;sq2st3</v>
      </c>
      <c r="B4" s="7">
        <v>40014</v>
      </c>
      <c r="C4" s="21">
        <v>1</v>
      </c>
      <c r="D4" s="2" t="str">
        <f>B4&amp;"_"&amp;C4</f>
        <v>40014_1</v>
      </c>
      <c r="E4" s="4" t="str">
        <f ca="1">VLOOKUP($B4,OFFSET([2]quests!$A$1,0,0,COUNTA([2]quests!$A:$A),MATCH(E$1,[2]quests!$1:$1,0)-MATCH($B$1,[2]quests!$1:$1,0)+1),MATCH(E$1,[2]quests!$1:$1,0)-MATCH($B$1,[2]quests!$1:$1,0)+1,FALSE)</f>
        <v>シヴァ襲来！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 xml:space="preserve">【ウィザード級】シヴァ襲来 </v>
      </c>
      <c r="G4" s="21">
        <v>4</v>
      </c>
      <c r="H4" s="15" t="str">
        <f>B4&amp;"_"&amp;C4&amp;"-"&amp;G4</f>
        <v>40014_1-4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20">
        <v>657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解滅の裁神 シヴァ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70</v>
      </c>
      <c r="T4" s="24">
        <v>2</v>
      </c>
      <c r="U4" s="24">
        <v>1</v>
      </c>
      <c r="V4" s="5">
        <v>0</v>
      </c>
      <c r="W4" s="4" t="e">
        <f ca="1">VLOOKUP($X4,OFFSET([5]enemy_skill_sets!$B$1,0,0,COUNTA([5]enemy_skill_sets!$B:$B),MATCH(N$1,[5]enemy_skill_sets!$1:$1,0)-MATCH($X$1,[5]enemy_skill_sets!$1:$1,0)+2),MATCH(N$1,[5]enemy_skill_sets!$1:$1,0)-MATCH($X$1,[5]enemy_skill_sets!$1:$1,0)+2,FALSE)</f>
        <v>#N/A</v>
      </c>
      <c r="X4" s="4">
        <v>40014009</v>
      </c>
      <c r="Y4" s="69">
        <v>1</v>
      </c>
    </row>
  </sheetData>
  <sheetProtection selectLockedCells="1" selectUnlockedCells="1"/>
  <autoFilter ref="B1:Y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workbookViewId="0">
      <pane xSplit="5" ySplit="1" topLeftCell="F12" activePane="bottomRight" state="frozen"/>
      <selection pane="topRight"/>
      <selection pane="bottomLeft"/>
      <selection pane="bottomRight" activeCell="F27" sqref="F27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40014000_40014000</v>
      </c>
      <c r="B2" s="46">
        <v>40014000</v>
      </c>
      <c r="C2" s="46">
        <v>40014000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グリーンプロテクト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3ターン防御力アップ</v>
      </c>
      <c r="F2" s="46">
        <v>40014000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27" si="1">B3&amp;"_"&amp;C3</f>
        <v>40014001_40014005</v>
      </c>
      <c r="B3" s="46">
        <v>40014001</v>
      </c>
      <c r="C3" s="46">
        <v>40014005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ピッ…ガガガッ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様子がおかしい！</v>
      </c>
      <c r="F3" s="46">
        <v>40014005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40014001_40014006</v>
      </c>
      <c r="B4" s="46">
        <v>40014001</v>
      </c>
      <c r="C4" s="46">
        <v>40014006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自爆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全体に強力な攻撃</v>
      </c>
      <c r="F4" s="46">
        <v>40014006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40014002_40014010</v>
      </c>
      <c r="B5" s="46">
        <v>40014002</v>
      </c>
      <c r="C5" s="46">
        <v>40014010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五行封印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1ターンカウンター＋ユニット1体に3ターンスキルバインド</v>
      </c>
      <c r="F5" s="46">
        <v>40014010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47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40014002_40014012</v>
      </c>
      <c r="B6" s="46">
        <v>40014002</v>
      </c>
      <c r="C6" s="46">
        <v>40014012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分身一斉撃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6" s="46">
        <v>40014012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6" s="46"/>
      <c r="Q6" s="46"/>
      <c r="R6" s="46"/>
    </row>
    <row r="7" spans="1:18" ht="21" customHeight="1" x14ac:dyDescent="0.15">
      <c r="A7" s="38" t="str">
        <f t="shared" si="1"/>
        <v>40014002_40014013</v>
      </c>
      <c r="B7" s="46">
        <v>40014002</v>
      </c>
      <c r="C7" s="46">
        <v>40014013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激昂の連撃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全体攻撃</v>
      </c>
      <c r="F7" s="46">
        <v>40014013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33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40014003_40014015</v>
      </c>
      <c r="B8" s="46">
        <v>40014003</v>
      </c>
      <c r="C8" s="46">
        <v>40014015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五行封印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最大ユニット2体に3ターンスキルバインド</v>
      </c>
      <c r="F8" s="46">
        <v>40014015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7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40014003_40014017</v>
      </c>
      <c r="B9" s="46">
        <v>40014003</v>
      </c>
      <c r="C9" s="46">
        <v>40014017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分身一斉撃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9" s="46">
        <v>40014017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9" s="46"/>
      <c r="Q9" s="46"/>
      <c r="R9" s="46"/>
    </row>
    <row r="10" spans="1:18" ht="21" customHeight="1" x14ac:dyDescent="0.15">
      <c r="A10" s="38" t="str">
        <f t="shared" si="1"/>
        <v>40014003_40014018</v>
      </c>
      <c r="B10" s="46">
        <v>40014003</v>
      </c>
      <c r="C10" s="46">
        <v>40014018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激昂の連撃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" s="46">
        <v>40014018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10" s="4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7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33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40014004_40014020</v>
      </c>
      <c r="B11" s="46">
        <v>40014004</v>
      </c>
      <c r="C11" s="46">
        <v>40014020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如意棒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11" s="46">
        <v>40014020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1" s="46"/>
      <c r="Q11" s="46"/>
      <c r="R11" s="46"/>
    </row>
    <row r="12" spans="1:18" ht="21" customHeight="1" x14ac:dyDescent="0.15">
      <c r="A12" s="38" t="str">
        <f t="shared" si="1"/>
        <v>40014006_40014030</v>
      </c>
      <c r="B12" s="46">
        <v>40014006</v>
      </c>
      <c r="C12" s="46">
        <v>40014030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ヒール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HPを回復</v>
      </c>
      <c r="F12" s="46">
        <v>40014030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2" s="46"/>
      <c r="Q12" s="46"/>
      <c r="R12" s="46"/>
    </row>
    <row r="13" spans="1:18" ht="21" customHeight="1" x14ac:dyDescent="0.15">
      <c r="A13" s="38" t="str">
        <f t="shared" si="1"/>
        <v>40014007_40014035</v>
      </c>
      <c r="B13" s="46">
        <v>40014007</v>
      </c>
      <c r="C13" s="46">
        <v>40014035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…悪いがここは通せない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3" s="46">
        <v>40014035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7" t="str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40014007_40014036</v>
      </c>
      <c r="B14" s="46">
        <v>40014007</v>
      </c>
      <c r="C14" s="46">
        <v>40014036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4" s="46">
        <v>40014036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 t="str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4" s="46"/>
      <c r="Q14" s="46"/>
      <c r="R14" s="46"/>
    </row>
    <row r="15" spans="1:18" ht="21" customHeight="1" x14ac:dyDescent="0.15">
      <c r="A15" s="38" t="str">
        <f t="shared" si="1"/>
        <v>40014007_40014037</v>
      </c>
      <c r="B15" s="46">
        <v>40014007</v>
      </c>
      <c r="C15" s="46">
        <v>40014037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ピナーカ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15" s="46">
        <v>40014037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5" s="46"/>
      <c r="Q15" s="46"/>
      <c r="R15" s="46"/>
    </row>
    <row r="16" spans="1:18" ht="21" customHeight="1" x14ac:dyDescent="0.15">
      <c r="A16" s="38" t="str">
        <f t="shared" si="1"/>
        <v>40014007_40014038</v>
      </c>
      <c r="B16" s="46">
        <v>40014007</v>
      </c>
      <c r="C16" s="46">
        <v>40014038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黒い稲妻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16" s="46">
        <v>40014038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6" s="46"/>
      <c r="Q16" s="46"/>
      <c r="R16" s="46"/>
    </row>
    <row r="17" spans="1:18" ht="21" customHeight="1" x14ac:dyDescent="0.15">
      <c r="A17" s="38" t="str">
        <f t="shared" si="1"/>
        <v>40014007_40014039</v>
      </c>
      <c r="B17" s="46">
        <v>40014007</v>
      </c>
      <c r="C17" s="46">
        <v>40014039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黄パネルをプロテクト状態にする</v>
      </c>
      <c r="F17" s="46">
        <v>40014039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40014008_40014045</v>
      </c>
      <c r="B18" s="46">
        <v>40014008</v>
      </c>
      <c r="C18" s="46">
        <v>40014045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…あまり私を怒らせない方がいい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8" s="46">
        <v>40014045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7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40014008_40014046</v>
      </c>
      <c r="B19" s="46">
        <v>40014008</v>
      </c>
      <c r="C19" s="46">
        <v>40014046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連続攻撃</v>
      </c>
      <c r="F19" s="46">
        <v>40014046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9" s="46"/>
      <c r="Q19" s="46"/>
      <c r="R19" s="46"/>
    </row>
    <row r="20" spans="1:18" ht="21" customHeight="1" x14ac:dyDescent="0.15">
      <c r="A20" s="38" t="str">
        <f t="shared" si="1"/>
        <v>40014008_40014047</v>
      </c>
      <c r="B20" s="46">
        <v>40014008</v>
      </c>
      <c r="C20" s="46">
        <v>40014047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ピナーカ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20" s="46">
        <v>40014047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0" s="46"/>
      <c r="Q20" s="46"/>
      <c r="R20" s="46"/>
    </row>
    <row r="21" spans="1:18" ht="21" customHeight="1" x14ac:dyDescent="0.15">
      <c r="A21" s="38" t="str">
        <f t="shared" si="1"/>
        <v>40014008_40014048</v>
      </c>
      <c r="B21" s="46">
        <v>40014008</v>
      </c>
      <c r="C21" s="46">
        <v>40014048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黒い稲妻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青属性に対して大ダメージの全体攻撃</v>
      </c>
      <c r="F21" s="46">
        <v>40014048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1" s="46"/>
      <c r="Q21" s="46"/>
      <c r="R21" s="46"/>
    </row>
    <row r="22" spans="1:18" ht="21" customHeight="1" x14ac:dyDescent="0.15">
      <c r="A22" s="38" t="str">
        <f t="shared" si="1"/>
        <v>40014008_40014049</v>
      </c>
      <c r="B22" s="46">
        <v>40014008</v>
      </c>
      <c r="C22" s="46">
        <v>40014049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マハーカーラ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黄パネルをプロテクト状態にする</v>
      </c>
      <c r="F22" s="46">
        <v>40014049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40014009_40014055</v>
      </c>
      <c r="B23" s="46">
        <v>40014009</v>
      </c>
      <c r="C23" s="46">
        <v>40014055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炎神覚醒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シヴァの属性が赤に変わる！</v>
      </c>
      <c r="F23" s="46">
        <v>40014055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40014009_40014056</v>
      </c>
      <c r="B24" s="46">
        <v>40014009</v>
      </c>
      <c r="C24" s="46">
        <v>40014056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トリシューラ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連続攻撃</v>
      </c>
      <c r="F24" s="46">
        <v>40014056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4" s="46"/>
      <c r="Q24" s="46"/>
      <c r="R24" s="46"/>
    </row>
    <row r="25" spans="1:18" ht="21" customHeight="1" x14ac:dyDescent="0.15">
      <c r="A25" s="38" t="str">
        <f t="shared" si="1"/>
        <v>40014009_40014057</v>
      </c>
      <c r="B25" s="46">
        <v>40014009</v>
      </c>
      <c r="C25" s="46">
        <v>40014057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ピナーカ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クリティカル攻撃</v>
      </c>
      <c r="F25" s="46">
        <v>40014057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5" s="46"/>
      <c r="Q25" s="46"/>
      <c r="R25" s="46"/>
    </row>
    <row r="26" spans="1:18" ht="21" customHeight="1" x14ac:dyDescent="0.15">
      <c r="A26" s="38" t="str">
        <f t="shared" si="1"/>
        <v>40014009_40014058</v>
      </c>
      <c r="B26" s="46">
        <v>40014009</v>
      </c>
      <c r="C26" s="46">
        <v>40014058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激怒の炎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赤属性に対して大ダメージの全体攻撃</v>
      </c>
      <c r="F26" s="46">
        <v>40014058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26" s="46"/>
      <c r="Q26" s="46"/>
      <c r="R26" s="46"/>
    </row>
    <row r="27" spans="1:18" ht="21" customHeight="1" x14ac:dyDescent="0.15">
      <c r="A27" s="38" t="str">
        <f t="shared" si="1"/>
        <v>40014009_40014059</v>
      </c>
      <c r="B27" s="46">
        <v>40014009</v>
      </c>
      <c r="C27" s="46">
        <v>40014059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第三の目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黄パネルを破壊して大ダメージ攻撃</v>
      </c>
      <c r="F27" s="46">
        <v>40014059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65"/>
  <sheetViews>
    <sheetView showGridLines="0" workbookViewId="0">
      <pane ySplit="1" topLeftCell="A58" activePane="bottomLeft" state="frozenSplit"/>
      <selection pane="bottomLeft" activeCell="C67" sqref="C67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127</v>
      </c>
      <c r="E1" s="39" t="s">
        <v>82</v>
      </c>
      <c r="F1" s="39" t="s">
        <v>83</v>
      </c>
      <c r="G1" s="40" t="s">
        <v>133</v>
      </c>
      <c r="H1" s="40" t="s">
        <v>139</v>
      </c>
      <c r="I1" s="40" t="s">
        <v>141</v>
      </c>
      <c r="J1" s="40" t="s">
        <v>140</v>
      </c>
      <c r="K1" s="40" t="s">
        <v>142</v>
      </c>
      <c r="L1" s="40" t="s">
        <v>134</v>
      </c>
      <c r="M1" s="40" t="s">
        <v>132</v>
      </c>
      <c r="N1" s="40" t="s">
        <v>135</v>
      </c>
      <c r="O1" s="40" t="s">
        <v>143</v>
      </c>
      <c r="P1" s="40" t="s">
        <v>144</v>
      </c>
      <c r="Q1" s="40" t="s">
        <v>145</v>
      </c>
      <c r="R1" s="40" t="s">
        <v>146</v>
      </c>
      <c r="S1" s="40" t="s">
        <v>136</v>
      </c>
      <c r="T1" s="40" t="s">
        <v>137</v>
      </c>
      <c r="U1" s="40" t="s">
        <v>147</v>
      </c>
      <c r="V1" s="40" t="s">
        <v>148</v>
      </c>
      <c r="W1" s="40" t="s">
        <v>149</v>
      </c>
      <c r="X1" s="40" t="s">
        <v>150</v>
      </c>
      <c r="Y1" s="40" t="s">
        <v>138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40014000</v>
      </c>
      <c r="B2" s="46" t="s">
        <v>291</v>
      </c>
      <c r="C2" s="49">
        <v>3</v>
      </c>
      <c r="D2" s="49" t="s">
        <v>128</v>
      </c>
      <c r="E2" s="50" t="s">
        <v>254</v>
      </c>
      <c r="F2" s="50" t="s">
        <v>255</v>
      </c>
      <c r="G2" s="62" t="str">
        <f>IFERROR(LEFT(B2,FIND("],",B2)),B2)</f>
        <v>[effect:enhance_enemy, target:enemy_all, turn:3, status:defense, val:3000, animation:enemy_enhance_defense]</v>
      </c>
      <c r="H2" s="62">
        <f>FIND("effect:",G2)+7</f>
        <v>9</v>
      </c>
      <c r="I2" s="62">
        <f>IFERROR(FIND(",",G2),LEN(G2))</f>
        <v>22</v>
      </c>
      <c r="J2" s="62">
        <f>FIND("target:",G2)+7</f>
        <v>31</v>
      </c>
      <c r="K2" s="62">
        <f>FIND(",",G2,I2+1)</f>
        <v>40</v>
      </c>
      <c r="L2" s="62" t="str">
        <f>IFERROR(VLOOKUP(MID(G2,J2,K2-J2),[6]skilldef!$C:$D,2,FALSE),"-") &amp; " / " &amp; IFERROR(VLOOKUP(MID(G2,H2,I2-H2),[6]skilldef!$A:$B,2,FALSE),"-")</f>
        <v>敵全体に / ステータス強化</v>
      </c>
      <c r="M2" s="62" t="str">
        <f>IFERROR(RIGHT(B2,LEN(B2)-FIND("],",B2)-1),"none")</f>
        <v>none</v>
      </c>
      <c r="N2" s="47" t="str">
        <f>IFERROR(LEFT(M2,FIND("],",M2)+S12),M2)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/>
      <c r="AA2" s="51"/>
      <c r="AB2" s="49"/>
    </row>
    <row r="3" spans="1:28" ht="21" customHeight="1" x14ac:dyDescent="0.15">
      <c r="A3" s="46">
        <v>40014001</v>
      </c>
      <c r="B3" s="46" t="s">
        <v>215</v>
      </c>
      <c r="C3" s="49">
        <v>3</v>
      </c>
      <c r="D3" s="49" t="s">
        <v>128</v>
      </c>
      <c r="E3" s="50" t="s">
        <v>216</v>
      </c>
      <c r="F3" s="50" t="s">
        <v>217</v>
      </c>
      <c r="G3" s="62" t="str">
        <f t="shared" ref="G3:G60" si="0">IFERROR(LEFT(B3,FIND("],",B3)),B3)</f>
        <v>[effect:nothing]</v>
      </c>
      <c r="H3" s="62">
        <f t="shared" ref="H3:H62" si="1">FIND("effect:",G3)+7</f>
        <v>9</v>
      </c>
      <c r="I3" s="62">
        <f t="shared" ref="I3:I60" si="2">IFERROR(FIND(",",G3),LEN(G3))</f>
        <v>16</v>
      </c>
      <c r="J3" s="62" t="e">
        <f t="shared" ref="J3:J60" si="3">FIND("target:",G3)+7</f>
        <v>#VALUE!</v>
      </c>
      <c r="K3" s="62" t="e">
        <f t="shared" ref="K3:K60" si="4">FIND(",",G3,I3+1)</f>
        <v>#VALUE!</v>
      </c>
      <c r="L3" s="62" t="str">
        <f>IFERROR(VLOOKUP(MID(G3,J3,K3-J3),[6]skilldef!$C:$D,2,FALSE),"-") &amp; " / " &amp; IFERROR(VLOOKUP(MID(G3,H3,I3-H3),[6]skilldef!$A:$B,2,FALSE),"-")</f>
        <v>- / 何もしない</v>
      </c>
      <c r="M3" s="62" t="str">
        <f t="shared" ref="M3:M60" si="5">IFERROR(RIGHT(B3,LEN(B3)-FIND("],",B3)-1),"none")</f>
        <v>none</v>
      </c>
      <c r="N3" s="47" t="str">
        <f t="shared" ref="N3:N50" si="6">IFERROR(LEFT(M3,FIND("],",M3)+S13),M3)</f>
        <v>none</v>
      </c>
      <c r="O3" s="62" t="e">
        <f t="shared" ref="O3:O62" si="7">FIND("effect:",N3)+7</f>
        <v>#VALUE!</v>
      </c>
      <c r="P3" s="62">
        <f t="shared" ref="P3:P60" si="8">IFERROR(FIND(",",N3),LEN(N3))</f>
        <v>4</v>
      </c>
      <c r="Q3" s="62" t="e">
        <f t="shared" ref="Q3:Q60" si="9">FIND("target:",N3)+7</f>
        <v>#VALUE!</v>
      </c>
      <c r="R3" s="62" t="e">
        <f t="shared" ref="R3:R60" si="10">FIND(",",N3,P3+1)</f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7" t="str">
        <f t="shared" ref="T3:T60" si="11">IFERROR(RIGHT(M3,LEN(M3)-FIND("],",M3)-1),"none")</f>
        <v>none</v>
      </c>
      <c r="U3" s="62" t="e">
        <f t="shared" ref="U3:U62" si="12">FIND("effect:",T3)+7</f>
        <v>#VALUE!</v>
      </c>
      <c r="V3" s="62">
        <f t="shared" ref="V3:V60" si="13">IFERROR(FIND(",",T3),LEN(T3))</f>
        <v>4</v>
      </c>
      <c r="W3" s="62" t="e">
        <f t="shared" ref="W3:W60" si="14">FIND("target:",T3)+7</f>
        <v>#VALUE!</v>
      </c>
      <c r="X3" s="62" t="e">
        <f t="shared" ref="X3:X60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/>
      <c r="AA3" s="51"/>
      <c r="AB3" s="49"/>
    </row>
    <row r="4" spans="1:28" ht="21" customHeight="1" x14ac:dyDescent="0.15">
      <c r="A4" s="46">
        <v>40014002</v>
      </c>
      <c r="B4" s="46" t="s">
        <v>215</v>
      </c>
      <c r="C4" s="49">
        <v>3</v>
      </c>
      <c r="D4" s="49" t="s">
        <v>128</v>
      </c>
      <c r="E4" s="50" t="s">
        <v>216</v>
      </c>
      <c r="F4" s="50" t="s">
        <v>217</v>
      </c>
      <c r="G4" s="62" t="str">
        <f t="shared" si="0"/>
        <v>[effect:nothing]</v>
      </c>
      <c r="H4" s="62">
        <f t="shared" si="1"/>
        <v>9</v>
      </c>
      <c r="I4" s="62">
        <f t="shared" si="2"/>
        <v>16</v>
      </c>
      <c r="J4" s="62" t="e">
        <f t="shared" si="3"/>
        <v>#VALUE!</v>
      </c>
      <c r="K4" s="62" t="e">
        <f t="shared" si="4"/>
        <v>#VALUE!</v>
      </c>
      <c r="L4" s="62" t="str">
        <f>IFERROR(VLOOKUP(MID(G4,J4,K4-J4),[6]skilldef!$C:$D,2,FALSE),"-") &amp; " / " &amp; IFERROR(VLOOKUP(MID(G4,H4,I4-H4),[6]skilldef!$A:$B,2,FALSE),"-")</f>
        <v>- / 何もしない</v>
      </c>
      <c r="M4" s="62" t="str">
        <f t="shared" si="5"/>
        <v>none</v>
      </c>
      <c r="N4" s="47" t="str">
        <f t="shared" si="6"/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IFERROR(VLOOKUP(MID(N4,Q4,R4-Q4),[6]skilldef!$C:$D,2,FALSE),"-") &amp; " / " &amp; IFERROR(VLOOKUP(MID(N4,O4,P4-O4),[6]skilldef!$A:$B,2,FALSE),"-")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/>
      <c r="AA4" s="51"/>
      <c r="AB4" s="49"/>
    </row>
    <row r="5" spans="1:28" ht="21" customHeight="1" x14ac:dyDescent="0.15">
      <c r="A5" s="46">
        <v>40014003</v>
      </c>
      <c r="B5" s="46" t="s">
        <v>215</v>
      </c>
      <c r="C5" s="49">
        <v>3</v>
      </c>
      <c r="D5" s="49" t="s">
        <v>128</v>
      </c>
      <c r="E5" s="50" t="s">
        <v>216</v>
      </c>
      <c r="F5" s="50" t="s">
        <v>217</v>
      </c>
      <c r="G5" s="62" t="str">
        <f t="shared" si="0"/>
        <v>[effect:nothing]</v>
      </c>
      <c r="H5" s="62">
        <f t="shared" si="1"/>
        <v>9</v>
      </c>
      <c r="I5" s="62">
        <f t="shared" si="2"/>
        <v>16</v>
      </c>
      <c r="J5" s="62" t="e">
        <f t="shared" si="3"/>
        <v>#VALUE!</v>
      </c>
      <c r="K5" s="62" t="e">
        <f t="shared" si="4"/>
        <v>#VALUE!</v>
      </c>
      <c r="L5" s="62" t="str">
        <f>IFERROR(VLOOKUP(MID(G5,J5,K5-J5),[6]skilldef!$C:$D,2,FALSE),"-") &amp; " / " &amp; IFERROR(VLOOKUP(MID(G5,H5,I5-H5),[6]skilldef!$A:$B,2,FALSE),"-")</f>
        <v>- / 何もしない</v>
      </c>
      <c r="M5" s="62" t="str">
        <f t="shared" si="5"/>
        <v>none</v>
      </c>
      <c r="N5" s="47" t="str">
        <f t="shared" si="6"/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IFERROR(VLOOKUP(MID(N5,Q5,R5-Q5),[6]skilldef!$C:$D,2,FALSE),"-") &amp; " / " &amp; IFERROR(VLOOKUP(MID(N5,O5,P5-O5),[6]skilldef!$A:$B,2,FALSE),"-")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/>
      <c r="AA5" s="51"/>
      <c r="AB5" s="49"/>
    </row>
    <row r="6" spans="1:28" ht="21" customHeight="1" x14ac:dyDescent="0.15">
      <c r="A6" s="46">
        <v>40014004</v>
      </c>
      <c r="B6" s="46" t="s">
        <v>215</v>
      </c>
      <c r="C6" s="49">
        <v>3</v>
      </c>
      <c r="D6" s="49" t="s">
        <v>128</v>
      </c>
      <c r="E6" s="50" t="s">
        <v>216</v>
      </c>
      <c r="F6" s="50" t="s">
        <v>217</v>
      </c>
      <c r="G6" s="62" t="str">
        <f t="shared" si="0"/>
        <v>[effect:nothing]</v>
      </c>
      <c r="H6" s="62">
        <f t="shared" si="1"/>
        <v>9</v>
      </c>
      <c r="I6" s="62">
        <f t="shared" si="2"/>
        <v>16</v>
      </c>
      <c r="J6" s="62" t="e">
        <f t="shared" si="3"/>
        <v>#VALUE!</v>
      </c>
      <c r="K6" s="62" t="e">
        <f t="shared" si="4"/>
        <v>#VALUE!</v>
      </c>
      <c r="L6" s="62" t="str">
        <f>IFERROR(VLOOKUP(MID(G6,J6,K6-J6),[6]skilldef!$C:$D,2,FALSE),"-") &amp; " / " &amp; IFERROR(VLOOKUP(MID(G6,H6,I6-H6),[6]skilldef!$A:$B,2,FALSE),"-")</f>
        <v>- / 何もしない</v>
      </c>
      <c r="M6" s="62" t="str">
        <f t="shared" si="5"/>
        <v>none</v>
      </c>
      <c r="N6" s="47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/>
      <c r="AA6" s="51"/>
      <c r="AB6" s="49"/>
    </row>
    <row r="7" spans="1:28" ht="21" customHeight="1" x14ac:dyDescent="0.15">
      <c r="A7" s="46">
        <v>40014005</v>
      </c>
      <c r="B7" s="46" t="s">
        <v>215</v>
      </c>
      <c r="C7" s="49">
        <v>3</v>
      </c>
      <c r="D7" s="49" t="s">
        <v>128</v>
      </c>
      <c r="E7" s="50" t="s">
        <v>256</v>
      </c>
      <c r="F7" s="50" t="s">
        <v>257</v>
      </c>
      <c r="G7" s="62" t="str">
        <f t="shared" si="0"/>
        <v>[effect:nothing]</v>
      </c>
      <c r="H7" s="62">
        <f t="shared" si="1"/>
        <v>9</v>
      </c>
      <c r="I7" s="62">
        <f t="shared" si="2"/>
        <v>16</v>
      </c>
      <c r="J7" s="62" t="e">
        <f t="shared" si="3"/>
        <v>#VALUE!</v>
      </c>
      <c r="K7" s="62" t="e">
        <f t="shared" si="4"/>
        <v>#VALUE!</v>
      </c>
      <c r="L7" s="62" t="str">
        <f>IFERROR(VLOOKUP(MID(G7,J7,K7-J7),[6]skilldef!$C:$D,2,FALSE),"-") &amp; " / " &amp; IFERROR(VLOOKUP(MID(G7,H7,I7-H7),[6]skilldef!$A:$B,2,FALSE),"-")</f>
        <v>- / 何もしない</v>
      </c>
      <c r="M7" s="62" t="str">
        <f t="shared" si="5"/>
        <v>none</v>
      </c>
      <c r="N7" s="47" t="str">
        <f t="shared" si="6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/>
      <c r="AA7" s="51"/>
      <c r="AB7" s="49"/>
    </row>
    <row r="8" spans="1:28" ht="21" customHeight="1" x14ac:dyDescent="0.15">
      <c r="A8" s="46">
        <v>40014006</v>
      </c>
      <c r="B8" s="46" t="s">
        <v>241</v>
      </c>
      <c r="C8" s="49">
        <v>3</v>
      </c>
      <c r="D8" s="49" t="s">
        <v>128</v>
      </c>
      <c r="E8" s="50" t="s">
        <v>227</v>
      </c>
      <c r="F8" s="50" t="s">
        <v>258</v>
      </c>
      <c r="G8" s="62" t="str">
        <f t="shared" si="0"/>
        <v>[effect:kamikaze, val:1]</v>
      </c>
      <c r="H8" s="62">
        <f t="shared" si="1"/>
        <v>9</v>
      </c>
      <c r="I8" s="62">
        <f t="shared" si="2"/>
        <v>17</v>
      </c>
      <c r="J8" s="62" t="e">
        <f t="shared" si="3"/>
        <v>#VALUE!</v>
      </c>
      <c r="K8" s="62" t="e">
        <f t="shared" si="4"/>
        <v>#VALUE!</v>
      </c>
      <c r="L8" s="62" t="str">
        <f>IFERROR(VLOOKUP(MID(G8,J8,K8-J8),[6]skilldef!$C:$D,2,FALSE),"-") &amp; " / " &amp; IFERROR(VLOOKUP(MID(G8,H8,I8-H8),[6]skilldef!$A:$B,2,FALSE),"-")</f>
        <v>- / 自爆</v>
      </c>
      <c r="M8" s="62" t="str">
        <f t="shared" si="5"/>
        <v>none</v>
      </c>
      <c r="N8" s="47" t="str">
        <f t="shared" si="6"/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/>
      <c r="AA8" s="51"/>
      <c r="AB8" s="49"/>
    </row>
    <row r="9" spans="1:28" ht="21" customHeight="1" x14ac:dyDescent="0.15">
      <c r="A9" s="46">
        <v>40014007</v>
      </c>
      <c r="B9" s="46" t="s">
        <v>215</v>
      </c>
      <c r="C9" s="49">
        <v>3</v>
      </c>
      <c r="D9" s="49" t="s">
        <v>128</v>
      </c>
      <c r="E9" s="50" t="s">
        <v>218</v>
      </c>
      <c r="F9" s="50" t="s">
        <v>217</v>
      </c>
      <c r="G9" s="62" t="str">
        <f t="shared" si="0"/>
        <v>[effect:nothing]</v>
      </c>
      <c r="H9" s="62">
        <f t="shared" si="1"/>
        <v>9</v>
      </c>
      <c r="I9" s="62">
        <f t="shared" si="2"/>
        <v>16</v>
      </c>
      <c r="J9" s="62" t="e">
        <f t="shared" si="3"/>
        <v>#VALUE!</v>
      </c>
      <c r="K9" s="62" t="e">
        <f t="shared" si="4"/>
        <v>#VALUE!</v>
      </c>
      <c r="L9" s="62" t="str">
        <f>IFERROR(VLOOKUP(MID(G9,J9,K9-J9),[6]skilldef!$C:$D,2,FALSE),"-") &amp; " / " &amp; IFERROR(VLOOKUP(MID(G9,H9,I9-H9),[6]skilldef!$A:$B,2,FALSE),"-")</f>
        <v>- / 何もしない</v>
      </c>
      <c r="M9" s="62" t="str">
        <f t="shared" si="5"/>
        <v>none</v>
      </c>
      <c r="N9" s="47" t="str">
        <f t="shared" si="6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/>
      <c r="AA9" s="51"/>
      <c r="AB9" s="49"/>
    </row>
    <row r="10" spans="1:28" ht="21" customHeight="1" x14ac:dyDescent="0.15">
      <c r="A10" s="46">
        <v>40014008</v>
      </c>
      <c r="B10" s="46" t="s">
        <v>215</v>
      </c>
      <c r="C10" s="49">
        <v>3</v>
      </c>
      <c r="D10" s="49" t="s">
        <v>128</v>
      </c>
      <c r="E10" s="50" t="s">
        <v>218</v>
      </c>
      <c r="F10" s="50" t="s">
        <v>217</v>
      </c>
      <c r="G10" s="62" t="str">
        <f t="shared" si="0"/>
        <v>[effect:nothing]</v>
      </c>
      <c r="H10" s="62">
        <f t="shared" si="1"/>
        <v>9</v>
      </c>
      <c r="I10" s="62">
        <f t="shared" si="2"/>
        <v>16</v>
      </c>
      <c r="J10" s="62" t="e">
        <f t="shared" si="3"/>
        <v>#VALUE!</v>
      </c>
      <c r="K10" s="62" t="e">
        <f t="shared" si="4"/>
        <v>#VALUE!</v>
      </c>
      <c r="L10" s="62" t="str">
        <f>IFERROR(VLOOKUP(MID(G10,J10,K10-J10),[6]skilldef!$C:$D,2,FALSE),"-") &amp; " / " &amp; IFERROR(VLOOKUP(MID(G10,H10,I10-H10),[6]skilldef!$A:$B,2,FALSE),"-")</f>
        <v>- / 何もしない</v>
      </c>
      <c r="M10" s="62" t="str">
        <f t="shared" si="5"/>
        <v>none</v>
      </c>
      <c r="N10" s="47" t="str">
        <f t="shared" si="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/>
      <c r="AA10" s="51"/>
      <c r="AB10" s="49"/>
    </row>
    <row r="11" spans="1:28" ht="21" customHeight="1" x14ac:dyDescent="0.15">
      <c r="A11" s="46">
        <v>40014009</v>
      </c>
      <c r="B11" s="46" t="s">
        <v>215</v>
      </c>
      <c r="C11" s="49">
        <v>3</v>
      </c>
      <c r="D11" s="49" t="s">
        <v>128</v>
      </c>
      <c r="E11" s="50" t="s">
        <v>218</v>
      </c>
      <c r="F11" s="50" t="s">
        <v>217</v>
      </c>
      <c r="G11" s="62" t="str">
        <f t="shared" si="0"/>
        <v>[effect:nothing]</v>
      </c>
      <c r="H11" s="62">
        <f t="shared" si="1"/>
        <v>9</v>
      </c>
      <c r="I11" s="62">
        <f t="shared" si="2"/>
        <v>16</v>
      </c>
      <c r="J11" s="62" t="e">
        <f t="shared" si="3"/>
        <v>#VALUE!</v>
      </c>
      <c r="K11" s="62" t="e">
        <f t="shared" si="4"/>
        <v>#VALUE!</v>
      </c>
      <c r="L11" s="62" t="str">
        <f>IFERROR(VLOOKUP(MID(G11,J11,K11-J11),[6]skilldef!$C:$D,2,FALSE),"-") &amp; " / " &amp; IFERROR(VLOOKUP(MID(G11,H11,I11-H11),[6]skilldef!$A:$B,2,FALSE),"-")</f>
        <v>- / 何もしない</v>
      </c>
      <c r="M11" s="62" t="str">
        <f t="shared" si="5"/>
        <v>none</v>
      </c>
      <c r="N11" s="47" t="str">
        <f t="shared" si="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/>
      <c r="AA11" s="51"/>
      <c r="AB11" s="49"/>
    </row>
    <row r="12" spans="1:28" ht="21" customHeight="1" x14ac:dyDescent="0.15">
      <c r="A12" s="46">
        <v>40014010</v>
      </c>
      <c r="B12" s="46" t="s">
        <v>244</v>
      </c>
      <c r="C12" s="49">
        <v>3</v>
      </c>
      <c r="D12" s="49" t="s">
        <v>128</v>
      </c>
      <c r="E12" s="50" t="s">
        <v>262</v>
      </c>
      <c r="F12" s="50" t="s">
        <v>282</v>
      </c>
      <c r="G12" s="62" t="str">
        <f t="shared" si="0"/>
        <v>[effect:hungup, target:unit_one, turn:3, rate:1, animation:hungup01]</v>
      </c>
      <c r="H12" s="62">
        <f t="shared" si="1"/>
        <v>9</v>
      </c>
      <c r="I12" s="62">
        <f t="shared" si="2"/>
        <v>15</v>
      </c>
      <c r="J12" s="62">
        <f t="shared" si="3"/>
        <v>24</v>
      </c>
      <c r="K12" s="62">
        <f t="shared" si="4"/>
        <v>32</v>
      </c>
      <c r="L12" s="62" t="str">
        <f>IFERROR(VLOOKUP(MID(G12,J12,K12-J12),[6]skilldef!$C:$D,2,FALSE),"-") &amp; " / " &amp; IFERROR(VLOOKUP(MID(G12,H12,I12-H12),[6]skilldef!$A:$B,2,FALSE),"-")</f>
        <v>味方単体に / ハングアップ</v>
      </c>
      <c r="M12" s="62" t="str">
        <f t="shared" si="5"/>
        <v>[effect:enemy_counter, target:myself, invoke_condition:unit_all, counter_target:unit_one, turn:1, val:1, animation:enemy_counter]</v>
      </c>
      <c r="N12" s="47" t="str">
        <f t="shared" si="6"/>
        <v>[effect:enemy_counter, target:myself, invoke_condition:unit_all, counter_target:unit_one, turn:1, val:1, animation:enemy_counter]</v>
      </c>
      <c r="O12" s="62">
        <f t="shared" si="7"/>
        <v>9</v>
      </c>
      <c r="P12" s="62">
        <f t="shared" si="8"/>
        <v>22</v>
      </c>
      <c r="Q12" s="62">
        <f t="shared" si="9"/>
        <v>31</v>
      </c>
      <c r="R12" s="62">
        <f t="shared" si="10"/>
        <v>37</v>
      </c>
      <c r="S12" s="62" t="str">
        <f>IFERROR(VLOOKUP(MID(N12,Q12,R12-Q12),[6]skilldef!$C:$D,2,FALSE),"-") &amp; " / " &amp; IFERROR(VLOOKUP(MID(N12,O12,P12-O12),[6]skilldef!$A:$B,2,FALSE),"-")</f>
        <v>自分自身に / カウンター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/>
      <c r="AA12" s="51"/>
      <c r="AB12" s="49"/>
    </row>
    <row r="13" spans="1:28" ht="21" customHeight="1" x14ac:dyDescent="0.15">
      <c r="A13" s="46">
        <v>40014011</v>
      </c>
      <c r="B13" s="46" t="s">
        <v>243</v>
      </c>
      <c r="C13" s="49">
        <v>3</v>
      </c>
      <c r="D13" s="49" t="s">
        <v>128</v>
      </c>
      <c r="E13" s="50" t="s">
        <v>219</v>
      </c>
      <c r="F13" s="50" t="s">
        <v>245</v>
      </c>
      <c r="G13" s="62" t="str">
        <f t="shared" si="0"/>
        <v>[effect:enemy_counter, target:myself, invoke_condition:unit_all, counter_target:unit_one, turn:1, val:1, animation:enemy_counter]</v>
      </c>
      <c r="H13" s="62">
        <f t="shared" si="1"/>
        <v>9</v>
      </c>
      <c r="I13" s="62">
        <f t="shared" si="2"/>
        <v>22</v>
      </c>
      <c r="J13" s="62">
        <f t="shared" si="3"/>
        <v>31</v>
      </c>
      <c r="K13" s="62">
        <f t="shared" si="4"/>
        <v>37</v>
      </c>
      <c r="L13" s="62" t="str">
        <f>IFERROR(VLOOKUP(MID(G13,J13,K13-J13),[6]skilldef!$C:$D,2,FALSE),"-") &amp; " / " &amp; IFERROR(VLOOKUP(MID(G13,H13,I13-H13),[6]skilldef!$A:$B,2,FALSE),"-")</f>
        <v>自分自身に / カウンター</v>
      </c>
      <c r="M13" s="62" t="str">
        <f t="shared" si="5"/>
        <v>none</v>
      </c>
      <c r="N13" s="47" t="str">
        <f t="shared" si="6"/>
        <v>none</v>
      </c>
      <c r="O13" s="62" t="e">
        <f t="shared" si="7"/>
        <v>#VALUE!</v>
      </c>
      <c r="P13" s="62">
        <f t="shared" si="8"/>
        <v>4</v>
      </c>
      <c r="Q13" s="62" t="e">
        <f t="shared" si="9"/>
        <v>#VALUE!</v>
      </c>
      <c r="R13" s="62" t="e">
        <f t="shared" si="10"/>
        <v>#VALUE!</v>
      </c>
      <c r="S13" s="62" t="str">
        <f>IFERROR(VLOOKUP(MID(N13,Q13,R13-Q13),[6]skilldef!$C:$D,2,FALSE),"-") &amp; " / " &amp; IFERROR(VLOOKUP(MID(N13,O13,P13-O13),[6]skilldef!$A:$B,2,FALSE),"-")</f>
        <v>- / -</v>
      </c>
      <c r="T13" s="47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/>
      <c r="AA13" s="51"/>
      <c r="AB13" s="49"/>
    </row>
    <row r="14" spans="1:28" ht="21" customHeight="1" x14ac:dyDescent="0.15">
      <c r="A14" s="46">
        <v>40014012</v>
      </c>
      <c r="B14" s="46" t="s">
        <v>247</v>
      </c>
      <c r="C14" s="49">
        <v>3</v>
      </c>
      <c r="D14" s="49" t="s">
        <v>128</v>
      </c>
      <c r="E14" s="50" t="s">
        <v>263</v>
      </c>
      <c r="F14" s="50" t="s">
        <v>264</v>
      </c>
      <c r="G14" s="62" t="str">
        <f t="shared" si="0"/>
        <v>[effect:critical, val:1.2]</v>
      </c>
      <c r="H14" s="62">
        <f t="shared" si="1"/>
        <v>9</v>
      </c>
      <c r="I14" s="62">
        <f t="shared" si="2"/>
        <v>17</v>
      </c>
      <c r="J14" s="62" t="e">
        <f t="shared" si="3"/>
        <v>#VALUE!</v>
      </c>
      <c r="K14" s="62" t="e">
        <f t="shared" si="4"/>
        <v>#VALUE!</v>
      </c>
      <c r="L14" s="62" t="str">
        <f>IFERROR(VLOOKUP(MID(G14,J14,K14-J14),[6]skilldef!$C:$D,2,FALSE),"-") &amp; " / " &amp; IFERROR(VLOOKUP(MID(G14,H14,I14-H14),[6]skilldef!$A:$B,2,FALSE),"-")</f>
        <v>- / 大攻撃</v>
      </c>
      <c r="M14" s="62" t="str">
        <f t="shared" si="5"/>
        <v>none</v>
      </c>
      <c r="N14" s="47" t="str">
        <f t="shared" si="6"/>
        <v>none</v>
      </c>
      <c r="O14" s="62" t="e">
        <f t="shared" si="7"/>
        <v>#VALUE!</v>
      </c>
      <c r="P14" s="62">
        <f t="shared" si="8"/>
        <v>4</v>
      </c>
      <c r="Q14" s="62" t="e">
        <f t="shared" si="9"/>
        <v>#VALUE!</v>
      </c>
      <c r="R14" s="62" t="e">
        <f t="shared" si="10"/>
        <v>#VALUE!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/>
      <c r="AA14" s="51"/>
      <c r="AB14" s="49"/>
    </row>
    <row r="15" spans="1:28" ht="21" customHeight="1" x14ac:dyDescent="0.15">
      <c r="A15" s="46">
        <v>40014013</v>
      </c>
      <c r="B15" s="46" t="s">
        <v>242</v>
      </c>
      <c r="C15" s="49">
        <v>3</v>
      </c>
      <c r="D15" s="49" t="s">
        <v>128</v>
      </c>
      <c r="E15" s="50" t="s">
        <v>284</v>
      </c>
      <c r="F15" s="50" t="s">
        <v>260</v>
      </c>
      <c r="G15" s="62" t="str">
        <f t="shared" si="0"/>
        <v>[effect:spread, val:0.3]</v>
      </c>
      <c r="H15" s="62">
        <f t="shared" si="1"/>
        <v>9</v>
      </c>
      <c r="I15" s="62">
        <f t="shared" si="2"/>
        <v>15</v>
      </c>
      <c r="J15" s="62" t="e">
        <f t="shared" si="3"/>
        <v>#VALUE!</v>
      </c>
      <c r="K15" s="62" t="e">
        <f t="shared" si="4"/>
        <v>#VALUE!</v>
      </c>
      <c r="L15" s="62" t="str">
        <f>IFERROR(VLOOKUP(MID(G15,J15,K15-J15),[6]skilldef!$C:$D,2,FALSE),"-") &amp; " / " &amp; IFERROR(VLOOKUP(MID(G15,H15,I15-H15),[6]skilldef!$A:$B,2,FALSE),"-")</f>
        <v>- / 全体攻撃</v>
      </c>
      <c r="M15" s="62" t="str">
        <f t="shared" si="5"/>
        <v>none</v>
      </c>
      <c r="N15" s="47" t="str">
        <f t="shared" si="6"/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/>
      <c r="AA15" s="51"/>
      <c r="AB15" s="49"/>
    </row>
    <row r="16" spans="1:28" ht="21" customHeight="1" x14ac:dyDescent="0.15">
      <c r="A16" s="46">
        <v>40014014</v>
      </c>
      <c r="B16" s="46" t="s">
        <v>215</v>
      </c>
      <c r="C16" s="49">
        <v>3</v>
      </c>
      <c r="D16" s="49" t="s">
        <v>128</v>
      </c>
      <c r="E16" s="50" t="s">
        <v>219</v>
      </c>
      <c r="F16" s="50" t="s">
        <v>217</v>
      </c>
      <c r="G16" s="62" t="str">
        <f t="shared" si="0"/>
        <v>[effect:nothing]</v>
      </c>
      <c r="H16" s="62">
        <f t="shared" si="1"/>
        <v>9</v>
      </c>
      <c r="I16" s="62">
        <f t="shared" si="2"/>
        <v>16</v>
      </c>
      <c r="J16" s="62" t="e">
        <f t="shared" si="3"/>
        <v>#VALUE!</v>
      </c>
      <c r="K16" s="62" t="e">
        <f t="shared" si="4"/>
        <v>#VALUE!</v>
      </c>
      <c r="L16" s="62" t="str">
        <f>IFERROR(VLOOKUP(MID(G16,J16,K16-J16),[6]skilldef!$C:$D,2,FALSE),"-") &amp; " / " &amp; IFERROR(VLOOKUP(MID(G16,H16,I16-H16),[6]skilldef!$A:$B,2,FALSE),"-")</f>
        <v>- / 何もしない</v>
      </c>
      <c r="M16" s="62" t="str">
        <f t="shared" si="5"/>
        <v>none</v>
      </c>
      <c r="N16" s="47" t="str">
        <f t="shared" si="6"/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IFERROR(VLOOKUP(MID(N16,Q16,R16-Q16),[6]skilldef!$C:$D,2,FALSE),"-") &amp; " / " &amp; IFERROR(VLOOKUP(MID(N16,O16,P16-O16),[6]skilldef!$A:$B,2,FALSE),"-")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/>
      <c r="AA16" s="51"/>
      <c r="AB16" s="49"/>
    </row>
    <row r="17" spans="1:28" ht="21" customHeight="1" x14ac:dyDescent="0.15">
      <c r="A17" s="46">
        <v>40014015</v>
      </c>
      <c r="B17" s="46" t="s">
        <v>237</v>
      </c>
      <c r="C17" s="49">
        <v>3</v>
      </c>
      <c r="D17" s="49" t="s">
        <v>128</v>
      </c>
      <c r="E17" s="50" t="s">
        <v>262</v>
      </c>
      <c r="F17" s="50" t="s">
        <v>259</v>
      </c>
      <c r="G17" s="62" t="str">
        <f t="shared" si="0"/>
        <v>[effect:hungup, target:unit_one, turn:3, rate:1, animation:hungup01]</v>
      </c>
      <c r="H17" s="62">
        <f t="shared" si="1"/>
        <v>9</v>
      </c>
      <c r="I17" s="62">
        <f t="shared" si="2"/>
        <v>15</v>
      </c>
      <c r="J17" s="62">
        <f t="shared" si="3"/>
        <v>24</v>
      </c>
      <c r="K17" s="62">
        <f t="shared" si="4"/>
        <v>32</v>
      </c>
      <c r="L17" s="62" t="str">
        <f>IFERROR(VLOOKUP(MID(G17,J17,K17-J17),[6]skilldef!$C:$D,2,FALSE),"-") &amp; " / " &amp; IFERROR(VLOOKUP(MID(G17,H17,I17-H17),[6]skilldef!$A:$B,2,FALSE),"-")</f>
        <v>味方単体に / ハングアップ</v>
      </c>
      <c r="M17" s="62" t="str">
        <f t="shared" si="5"/>
        <v>[effect:hungup, target:unit_one, turn:3, rate:1, animation:hungup01]</v>
      </c>
      <c r="N17" s="47" t="str">
        <f t="shared" si="6"/>
        <v>[effect:hungup, target:unit_one, turn:3, rate:1, animation:hungup01]</v>
      </c>
      <c r="O17" s="62">
        <f t="shared" si="7"/>
        <v>9</v>
      </c>
      <c r="P17" s="62">
        <f t="shared" si="8"/>
        <v>15</v>
      </c>
      <c r="Q17" s="62">
        <f t="shared" si="9"/>
        <v>24</v>
      </c>
      <c r="R17" s="62">
        <f t="shared" si="10"/>
        <v>32</v>
      </c>
      <c r="S17" s="62" t="str">
        <f>IFERROR(VLOOKUP(MID(N17,Q17,R17-Q17),[6]skilldef!$C:$D,2,FALSE),"-") &amp; " / " &amp; IFERROR(VLOOKUP(MID(N17,O17,P17-O17),[6]skilldef!$A:$B,2,FALSE),"-")</f>
        <v>味方単体に / ハングアップ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/>
      <c r="AA17" s="51"/>
      <c r="AB17" s="49"/>
    </row>
    <row r="18" spans="1:28" ht="21" customHeight="1" x14ac:dyDescent="0.15">
      <c r="A18" s="46">
        <v>40014016</v>
      </c>
      <c r="B18" s="46" t="s">
        <v>232</v>
      </c>
      <c r="C18" s="49">
        <v>3</v>
      </c>
      <c r="D18" s="49" t="s">
        <v>128</v>
      </c>
      <c r="E18" s="50" t="s">
        <v>220</v>
      </c>
      <c r="F18" s="50" t="s">
        <v>228</v>
      </c>
      <c r="G18" s="62" t="str">
        <f t="shared" si="0"/>
        <v>[effect:enemy_counter, target:myself, invoke_condition:unit_all, counter_target:unit_one, turn:3, val:1, animation:enemy_counter]</v>
      </c>
      <c r="H18" s="62">
        <f t="shared" si="1"/>
        <v>9</v>
      </c>
      <c r="I18" s="62">
        <f t="shared" si="2"/>
        <v>22</v>
      </c>
      <c r="J18" s="62">
        <f t="shared" si="3"/>
        <v>31</v>
      </c>
      <c r="K18" s="62">
        <f t="shared" si="4"/>
        <v>37</v>
      </c>
      <c r="L18" s="62" t="str">
        <f>IFERROR(VLOOKUP(MID(G18,J18,K18-J18),[6]skilldef!$C:$D,2,FALSE),"-") &amp; " / " &amp; IFERROR(VLOOKUP(MID(G18,H18,I18-H18),[6]skilldef!$A:$B,2,FALSE),"-")</f>
        <v>自分自身に / カウンター</v>
      </c>
      <c r="M18" s="62" t="str">
        <f t="shared" si="5"/>
        <v>none</v>
      </c>
      <c r="N18" s="47" t="str">
        <f t="shared" si="6"/>
        <v>none</v>
      </c>
      <c r="O18" s="62" t="e">
        <f t="shared" si="7"/>
        <v>#VALUE!</v>
      </c>
      <c r="P18" s="62">
        <f t="shared" si="8"/>
        <v>4</v>
      </c>
      <c r="Q18" s="62" t="e">
        <f t="shared" si="9"/>
        <v>#VALUE!</v>
      </c>
      <c r="R18" s="62" t="e">
        <f t="shared" si="10"/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si="11"/>
        <v>none</v>
      </c>
      <c r="U18" s="62" t="e">
        <f t="shared" si="12"/>
        <v>#VALUE!</v>
      </c>
      <c r="V18" s="62">
        <f t="shared" si="13"/>
        <v>4</v>
      </c>
      <c r="W18" s="62" t="e">
        <f t="shared" si="14"/>
        <v>#VALUE!</v>
      </c>
      <c r="X18" s="62" t="e">
        <f t="shared" si="15"/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/>
      <c r="AA18" s="51"/>
      <c r="AB18" s="49"/>
    </row>
    <row r="19" spans="1:28" ht="21" customHeight="1" x14ac:dyDescent="0.15">
      <c r="A19" s="46">
        <v>40014017</v>
      </c>
      <c r="B19" s="46" t="s">
        <v>246</v>
      </c>
      <c r="C19" s="49">
        <v>3</v>
      </c>
      <c r="D19" s="49" t="s">
        <v>128</v>
      </c>
      <c r="E19" s="50" t="s">
        <v>263</v>
      </c>
      <c r="F19" s="50" t="s">
        <v>264</v>
      </c>
      <c r="G19" s="62" t="str">
        <f t="shared" si="0"/>
        <v>[effect:critical, val:1.2]</v>
      </c>
      <c r="H19" s="62">
        <f t="shared" si="1"/>
        <v>9</v>
      </c>
      <c r="I19" s="62">
        <f t="shared" si="2"/>
        <v>17</v>
      </c>
      <c r="J19" s="62" t="e">
        <f t="shared" si="3"/>
        <v>#VALUE!</v>
      </c>
      <c r="K19" s="62" t="e">
        <f t="shared" si="4"/>
        <v>#VALUE!</v>
      </c>
      <c r="L19" s="62" t="str">
        <f>IFERROR(VLOOKUP(MID(G19,J19,K19-J19),[6]skilldef!$C:$D,2,FALSE),"-") &amp; " / " &amp; IFERROR(VLOOKUP(MID(G19,H19,I19-H19),[6]skilldef!$A:$B,2,FALSE),"-")</f>
        <v>- / 大攻撃</v>
      </c>
      <c r="M19" s="62" t="str">
        <f t="shared" si="5"/>
        <v>none</v>
      </c>
      <c r="N19" s="47" t="str">
        <f t="shared" si="6"/>
        <v>none</v>
      </c>
      <c r="O19" s="62" t="e">
        <f t="shared" si="7"/>
        <v>#VALUE!</v>
      </c>
      <c r="P19" s="62">
        <f t="shared" si="8"/>
        <v>4</v>
      </c>
      <c r="Q19" s="62" t="e">
        <f t="shared" si="9"/>
        <v>#VALUE!</v>
      </c>
      <c r="R19" s="62" t="e">
        <f t="shared" si="10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/>
      <c r="AA19" s="51"/>
      <c r="AB19" s="49"/>
    </row>
    <row r="20" spans="1:28" ht="21" customHeight="1" x14ac:dyDescent="0.15">
      <c r="A20" s="46">
        <v>40014018</v>
      </c>
      <c r="B20" s="46" t="s">
        <v>242</v>
      </c>
      <c r="C20" s="49">
        <v>3</v>
      </c>
      <c r="D20" s="49" t="s">
        <v>128</v>
      </c>
      <c r="E20" s="50" t="s">
        <v>261</v>
      </c>
      <c r="F20" s="50" t="s">
        <v>260</v>
      </c>
      <c r="G20" s="62" t="str">
        <f t="shared" si="0"/>
        <v>[effect:spread, val:0.3]</v>
      </c>
      <c r="H20" s="62">
        <f t="shared" si="1"/>
        <v>9</v>
      </c>
      <c r="I20" s="62">
        <f t="shared" si="2"/>
        <v>15</v>
      </c>
      <c r="J20" s="62" t="e">
        <f t="shared" si="3"/>
        <v>#VALUE!</v>
      </c>
      <c r="K20" s="62" t="e">
        <f t="shared" si="4"/>
        <v>#VALUE!</v>
      </c>
      <c r="L20" s="62" t="str">
        <f>IFERROR(VLOOKUP(MID(G20,J20,K20-J20),[6]skilldef!$C:$D,2,FALSE),"-") &amp; " / " &amp; IFERROR(VLOOKUP(MID(G20,H20,I20-H20),[6]skilldef!$A:$B,2,FALSE),"-")</f>
        <v>- / 全体攻撃</v>
      </c>
      <c r="M20" s="62" t="str">
        <f t="shared" si="5"/>
        <v>none</v>
      </c>
      <c r="N20" s="47" t="str">
        <f t="shared" si="6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/>
      <c r="AA20" s="51"/>
      <c r="AB20" s="49"/>
    </row>
    <row r="21" spans="1:28" ht="21" customHeight="1" x14ac:dyDescent="0.15">
      <c r="A21" s="46">
        <v>40014019</v>
      </c>
      <c r="B21" s="46" t="s">
        <v>215</v>
      </c>
      <c r="C21" s="49">
        <v>3</v>
      </c>
      <c r="D21" s="49" t="s">
        <v>128</v>
      </c>
      <c r="E21" s="50" t="s">
        <v>220</v>
      </c>
      <c r="F21" s="50" t="s">
        <v>217</v>
      </c>
      <c r="G21" s="62" t="str">
        <f t="shared" si="0"/>
        <v>[effect:nothing]</v>
      </c>
      <c r="H21" s="62">
        <f t="shared" si="1"/>
        <v>9</v>
      </c>
      <c r="I21" s="62">
        <f t="shared" si="2"/>
        <v>16</v>
      </c>
      <c r="J21" s="62" t="e">
        <f t="shared" si="3"/>
        <v>#VALUE!</v>
      </c>
      <c r="K21" s="62" t="e">
        <f t="shared" si="4"/>
        <v>#VALUE!</v>
      </c>
      <c r="L21" s="62" t="str">
        <f>IFERROR(VLOOKUP(MID(G21,J21,K21-J21),[6]skilldef!$C:$D,2,FALSE),"-") &amp; " / " &amp; IFERROR(VLOOKUP(MID(G21,H21,I21-H21),[6]skilldef!$A:$B,2,FALSE),"-")</f>
        <v>- / 何もしない</v>
      </c>
      <c r="M21" s="62" t="str">
        <f t="shared" si="5"/>
        <v>none</v>
      </c>
      <c r="N21" s="47" t="str">
        <f t="shared" si="6"/>
        <v>none</v>
      </c>
      <c r="O21" s="62" t="e">
        <f t="shared" si="7"/>
        <v>#VALUE!</v>
      </c>
      <c r="P21" s="62">
        <f t="shared" si="8"/>
        <v>4</v>
      </c>
      <c r="Q21" s="62" t="e">
        <f t="shared" si="9"/>
        <v>#VALUE!</v>
      </c>
      <c r="R21" s="62" t="e">
        <f t="shared" si="10"/>
        <v>#VALUE!</v>
      </c>
      <c r="S21" s="62" t="str">
        <f>IFERROR(VLOOKUP(MID(N21,Q21,R21-Q21),[6]skilldef!$C:$D,2,FALSE),"-") &amp; " / " &amp; IFERROR(VLOOKUP(MID(N21,O21,P21-O21),[6]skilldef!$A:$B,2,FALSE),"-")</f>
        <v>- / -</v>
      </c>
      <c r="T21" s="47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/>
      <c r="AA21" s="51"/>
      <c r="AB21" s="49"/>
    </row>
    <row r="22" spans="1:28" ht="21" customHeight="1" x14ac:dyDescent="0.15">
      <c r="A22" s="46">
        <v>40014020</v>
      </c>
      <c r="B22" s="46" t="s">
        <v>231</v>
      </c>
      <c r="C22" s="49">
        <v>3</v>
      </c>
      <c r="D22" s="49" t="s">
        <v>128</v>
      </c>
      <c r="E22" s="50" t="s">
        <v>265</v>
      </c>
      <c r="F22" s="50" t="s">
        <v>264</v>
      </c>
      <c r="G22" s="62" t="str">
        <f t="shared" si="0"/>
        <v>[effect:critical, val:1.5]</v>
      </c>
      <c r="H22" s="62">
        <f t="shared" si="1"/>
        <v>9</v>
      </c>
      <c r="I22" s="62">
        <f t="shared" si="2"/>
        <v>17</v>
      </c>
      <c r="J22" s="62" t="e">
        <f t="shared" si="3"/>
        <v>#VALUE!</v>
      </c>
      <c r="K22" s="62" t="e">
        <f t="shared" si="4"/>
        <v>#VALUE!</v>
      </c>
      <c r="L22" s="62" t="str">
        <f>IFERROR(VLOOKUP(MID(G22,J22,K22-J22),[6]skilldef!$C:$D,2,FALSE),"-") &amp; " / " &amp; IFERROR(VLOOKUP(MID(G22,H22,I22-H22),[6]skilldef!$A:$B,2,FALSE),"-")</f>
        <v>- / 大攻撃</v>
      </c>
      <c r="M22" s="62" t="str">
        <f t="shared" si="5"/>
        <v>none</v>
      </c>
      <c r="N22" s="47" t="str">
        <f t="shared" si="6"/>
        <v>none</v>
      </c>
      <c r="O22" s="62" t="e">
        <f t="shared" si="7"/>
        <v>#VALUE!</v>
      </c>
      <c r="P22" s="62">
        <f t="shared" si="8"/>
        <v>4</v>
      </c>
      <c r="Q22" s="62" t="e">
        <f t="shared" si="9"/>
        <v>#VALUE!</v>
      </c>
      <c r="R22" s="62" t="e">
        <f t="shared" si="10"/>
        <v>#VALUE!</v>
      </c>
      <c r="S22" s="62" t="str">
        <f>IFERROR(VLOOKUP(MID(N22,Q22,R22-Q22),[6]skilldef!$C:$D,2,FALSE),"-") &amp; " / " &amp; IFERROR(VLOOKUP(MID(N22,O22,P22-O22),[6]skilldef!$A:$B,2,FALSE),"-")</f>
        <v>- / -</v>
      </c>
      <c r="T22" s="47" t="str">
        <f t="shared" si="11"/>
        <v>none</v>
      </c>
      <c r="U22" s="62" t="e">
        <f t="shared" si="12"/>
        <v>#VALUE!</v>
      </c>
      <c r="V22" s="62">
        <f t="shared" si="13"/>
        <v>4</v>
      </c>
      <c r="W22" s="62" t="e">
        <f t="shared" si="14"/>
        <v>#VALUE!</v>
      </c>
      <c r="X22" s="62" t="e">
        <f t="shared" si="15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/>
      <c r="AA22" s="51"/>
      <c r="AB22" s="49"/>
    </row>
    <row r="23" spans="1:28" ht="21" customHeight="1" x14ac:dyDescent="0.15">
      <c r="A23" s="46">
        <v>40014021</v>
      </c>
      <c r="B23" s="46" t="s">
        <v>215</v>
      </c>
      <c r="C23" s="49">
        <v>3</v>
      </c>
      <c r="D23" s="49" t="s">
        <v>128</v>
      </c>
      <c r="E23" s="50" t="s">
        <v>221</v>
      </c>
      <c r="F23" s="50" t="s">
        <v>217</v>
      </c>
      <c r="G23" s="62" t="str">
        <f t="shared" si="0"/>
        <v>[effect:nothing]</v>
      </c>
      <c r="H23" s="62">
        <f t="shared" si="1"/>
        <v>9</v>
      </c>
      <c r="I23" s="62">
        <f t="shared" si="2"/>
        <v>16</v>
      </c>
      <c r="J23" s="62" t="e">
        <f t="shared" si="3"/>
        <v>#VALUE!</v>
      </c>
      <c r="K23" s="62" t="e">
        <f t="shared" si="4"/>
        <v>#VALUE!</v>
      </c>
      <c r="L23" s="62" t="str">
        <f>IFERROR(VLOOKUP(MID(G23,J23,K23-J23),[6]skilldef!$C:$D,2,FALSE),"-") &amp; " / " &amp; IFERROR(VLOOKUP(MID(G23,H23,I23-H23),[6]skilldef!$A:$B,2,FALSE),"-")</f>
        <v>- / 何もしない</v>
      </c>
      <c r="M23" s="62" t="str">
        <f t="shared" si="5"/>
        <v>none</v>
      </c>
      <c r="N23" s="47" t="str">
        <f t="shared" si="6"/>
        <v>none</v>
      </c>
      <c r="O23" s="62" t="e">
        <f t="shared" si="7"/>
        <v>#VALUE!</v>
      </c>
      <c r="P23" s="62">
        <f t="shared" si="8"/>
        <v>4</v>
      </c>
      <c r="Q23" s="62" t="e">
        <f t="shared" si="9"/>
        <v>#VALUE!</v>
      </c>
      <c r="R23" s="62" t="e">
        <f t="shared" si="10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11"/>
        <v>none</v>
      </c>
      <c r="U23" s="62" t="e">
        <f t="shared" si="12"/>
        <v>#VALUE!</v>
      </c>
      <c r="V23" s="62">
        <f t="shared" si="13"/>
        <v>4</v>
      </c>
      <c r="W23" s="62" t="e">
        <f t="shared" si="14"/>
        <v>#VALUE!</v>
      </c>
      <c r="X23" s="62" t="e">
        <f t="shared" si="15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/>
      <c r="AA23" s="51"/>
      <c r="AB23" s="49"/>
    </row>
    <row r="24" spans="1:28" ht="21" customHeight="1" x14ac:dyDescent="0.15">
      <c r="A24" s="46">
        <v>40014022</v>
      </c>
      <c r="B24" s="46" t="s">
        <v>215</v>
      </c>
      <c r="C24" s="49">
        <v>3</v>
      </c>
      <c r="D24" s="49" t="s">
        <v>128</v>
      </c>
      <c r="E24" s="50" t="s">
        <v>221</v>
      </c>
      <c r="F24" s="50" t="s">
        <v>217</v>
      </c>
      <c r="G24" s="62" t="str">
        <f t="shared" si="0"/>
        <v>[effect:nothing]</v>
      </c>
      <c r="H24" s="62">
        <f t="shared" si="1"/>
        <v>9</v>
      </c>
      <c r="I24" s="62">
        <f t="shared" si="2"/>
        <v>16</v>
      </c>
      <c r="J24" s="62" t="e">
        <f t="shared" si="3"/>
        <v>#VALUE!</v>
      </c>
      <c r="K24" s="62" t="e">
        <f t="shared" si="4"/>
        <v>#VALUE!</v>
      </c>
      <c r="L24" s="62" t="str">
        <f>IFERROR(VLOOKUP(MID(G24,J24,K24-J24),[6]skilldef!$C:$D,2,FALSE),"-") &amp; " / " &amp; IFERROR(VLOOKUP(MID(G24,H24,I24-H24),[6]skilldef!$A:$B,2,FALSE),"-")</f>
        <v>- / 何もしない</v>
      </c>
      <c r="M24" s="62" t="str">
        <f t="shared" si="5"/>
        <v>none</v>
      </c>
      <c r="N24" s="47" t="str">
        <f t="shared" si="6"/>
        <v>none</v>
      </c>
      <c r="O24" s="62" t="e">
        <f t="shared" si="7"/>
        <v>#VALUE!</v>
      </c>
      <c r="P24" s="62">
        <f t="shared" si="8"/>
        <v>4</v>
      </c>
      <c r="Q24" s="62" t="e">
        <f t="shared" si="9"/>
        <v>#VALUE!</v>
      </c>
      <c r="R24" s="62" t="e">
        <f t="shared" si="10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/>
      <c r="AA24" s="51"/>
      <c r="AB24" s="49"/>
    </row>
    <row r="25" spans="1:28" ht="21" customHeight="1" x14ac:dyDescent="0.15">
      <c r="A25" s="46">
        <v>40014023</v>
      </c>
      <c r="B25" s="46" t="s">
        <v>215</v>
      </c>
      <c r="C25" s="49">
        <v>3</v>
      </c>
      <c r="D25" s="49" t="s">
        <v>128</v>
      </c>
      <c r="E25" s="50" t="s">
        <v>221</v>
      </c>
      <c r="F25" s="50" t="s">
        <v>217</v>
      </c>
      <c r="G25" s="62" t="str">
        <f t="shared" si="0"/>
        <v>[effect:nothing]</v>
      </c>
      <c r="H25" s="62">
        <f t="shared" si="1"/>
        <v>9</v>
      </c>
      <c r="I25" s="62">
        <f t="shared" si="2"/>
        <v>16</v>
      </c>
      <c r="J25" s="62" t="e">
        <f t="shared" si="3"/>
        <v>#VALUE!</v>
      </c>
      <c r="K25" s="62" t="e">
        <f t="shared" si="4"/>
        <v>#VALUE!</v>
      </c>
      <c r="L25" s="62" t="str">
        <f>IFERROR(VLOOKUP(MID(G25,J25,K25-J25),[6]skilldef!$C:$D,2,FALSE),"-") &amp; " / " &amp; IFERROR(VLOOKUP(MID(G25,H25,I25-H25),[6]skilldef!$A:$B,2,FALSE),"-")</f>
        <v>- / 何もしない</v>
      </c>
      <c r="M25" s="62" t="str">
        <f t="shared" si="5"/>
        <v>none</v>
      </c>
      <c r="N25" s="47" t="str">
        <f t="shared" si="6"/>
        <v>none</v>
      </c>
      <c r="O25" s="62" t="e">
        <f t="shared" si="7"/>
        <v>#VALUE!</v>
      </c>
      <c r="P25" s="62">
        <f t="shared" si="8"/>
        <v>4</v>
      </c>
      <c r="Q25" s="62" t="e">
        <f t="shared" si="9"/>
        <v>#VALUE!</v>
      </c>
      <c r="R25" s="62" t="e">
        <f t="shared" si="10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/>
      <c r="AA25" s="51"/>
      <c r="AB25" s="49"/>
    </row>
    <row r="26" spans="1:28" ht="21" customHeight="1" x14ac:dyDescent="0.15">
      <c r="A26" s="46">
        <v>40014024</v>
      </c>
      <c r="B26" s="46" t="s">
        <v>215</v>
      </c>
      <c r="C26" s="49">
        <v>3</v>
      </c>
      <c r="D26" s="49" t="s">
        <v>128</v>
      </c>
      <c r="E26" s="50" t="s">
        <v>221</v>
      </c>
      <c r="F26" s="50" t="s">
        <v>217</v>
      </c>
      <c r="G26" s="62" t="str">
        <f t="shared" si="0"/>
        <v>[effect:nothing]</v>
      </c>
      <c r="H26" s="62">
        <f t="shared" si="1"/>
        <v>9</v>
      </c>
      <c r="I26" s="62">
        <f t="shared" si="2"/>
        <v>16</v>
      </c>
      <c r="J26" s="62" t="e">
        <f t="shared" si="3"/>
        <v>#VALUE!</v>
      </c>
      <c r="K26" s="62" t="e">
        <f t="shared" si="4"/>
        <v>#VALUE!</v>
      </c>
      <c r="L26" s="62" t="str">
        <f>IFERROR(VLOOKUP(MID(G26,J26,K26-J26),[6]skilldef!$C:$D,2,FALSE),"-") &amp; " / " &amp; IFERROR(VLOOKUP(MID(G26,H26,I26-H26),[6]skilldef!$A:$B,2,FALSE),"-")</f>
        <v>- / 何もしない</v>
      </c>
      <c r="M26" s="62" t="str">
        <f t="shared" si="5"/>
        <v>none</v>
      </c>
      <c r="N26" s="47" t="str">
        <f t="shared" si="6"/>
        <v>none</v>
      </c>
      <c r="O26" s="62" t="e">
        <f t="shared" si="7"/>
        <v>#VALUE!</v>
      </c>
      <c r="P26" s="62">
        <f t="shared" si="8"/>
        <v>4</v>
      </c>
      <c r="Q26" s="62" t="e">
        <f t="shared" si="9"/>
        <v>#VALUE!</v>
      </c>
      <c r="R26" s="62" t="e">
        <f t="shared" si="10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/>
      <c r="AA26" s="51"/>
      <c r="AB26" s="49"/>
    </row>
    <row r="27" spans="1:28" ht="21" customHeight="1" x14ac:dyDescent="0.15">
      <c r="A27" s="46">
        <v>40014025</v>
      </c>
      <c r="B27" s="46" t="s">
        <v>215</v>
      </c>
      <c r="C27" s="49">
        <v>3</v>
      </c>
      <c r="D27" s="49" t="s">
        <v>128</v>
      </c>
      <c r="E27" s="50" t="s">
        <v>222</v>
      </c>
      <c r="F27" s="50" t="s">
        <v>217</v>
      </c>
      <c r="G27" s="62" t="str">
        <f t="shared" si="0"/>
        <v>[effect:nothing]</v>
      </c>
      <c r="H27" s="62">
        <f t="shared" si="1"/>
        <v>9</v>
      </c>
      <c r="I27" s="62">
        <f t="shared" si="2"/>
        <v>16</v>
      </c>
      <c r="J27" s="62" t="e">
        <f t="shared" si="3"/>
        <v>#VALUE!</v>
      </c>
      <c r="K27" s="62" t="e">
        <f t="shared" si="4"/>
        <v>#VALUE!</v>
      </c>
      <c r="L27" s="62" t="str">
        <f>IFERROR(VLOOKUP(MID(G27,J27,K27-J27),[6]skilldef!$C:$D,2,FALSE),"-") &amp; " / " &amp; IFERROR(VLOOKUP(MID(G27,H27,I27-H27),[6]skilldef!$A:$B,2,FALSE),"-")</f>
        <v>- / 何もしない</v>
      </c>
      <c r="M27" s="62" t="str">
        <f t="shared" si="5"/>
        <v>none</v>
      </c>
      <c r="N27" s="47" t="str">
        <f t="shared" si="6"/>
        <v>none</v>
      </c>
      <c r="O27" s="62" t="e">
        <f t="shared" si="7"/>
        <v>#VALUE!</v>
      </c>
      <c r="P27" s="62">
        <f t="shared" si="8"/>
        <v>4</v>
      </c>
      <c r="Q27" s="62" t="e">
        <f t="shared" si="9"/>
        <v>#VALUE!</v>
      </c>
      <c r="R27" s="62" t="e">
        <f t="shared" si="10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none</v>
      </c>
      <c r="U27" s="62" t="e">
        <f t="shared" si="12"/>
        <v>#VALUE!</v>
      </c>
      <c r="V27" s="62">
        <f t="shared" si="13"/>
        <v>4</v>
      </c>
      <c r="W27" s="62" t="e">
        <f t="shared" si="14"/>
        <v>#VALUE!</v>
      </c>
      <c r="X27" s="62" t="e">
        <f t="shared" si="15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/>
      <c r="AA27" s="51"/>
      <c r="AB27" s="49"/>
    </row>
    <row r="28" spans="1:28" ht="21" customHeight="1" x14ac:dyDescent="0.15">
      <c r="A28" s="46">
        <v>40014026</v>
      </c>
      <c r="B28" s="46" t="s">
        <v>215</v>
      </c>
      <c r="C28" s="49">
        <v>3</v>
      </c>
      <c r="D28" s="49" t="s">
        <v>128</v>
      </c>
      <c r="E28" s="50" t="s">
        <v>222</v>
      </c>
      <c r="F28" s="50" t="s">
        <v>217</v>
      </c>
      <c r="G28" s="62" t="str">
        <f t="shared" si="0"/>
        <v>[effect:nothing]</v>
      </c>
      <c r="H28" s="62">
        <f t="shared" si="1"/>
        <v>9</v>
      </c>
      <c r="I28" s="62">
        <f t="shared" si="2"/>
        <v>16</v>
      </c>
      <c r="J28" s="62" t="e">
        <f t="shared" si="3"/>
        <v>#VALUE!</v>
      </c>
      <c r="K28" s="62" t="e">
        <f t="shared" si="4"/>
        <v>#VALUE!</v>
      </c>
      <c r="L28" s="62" t="str">
        <f>IFERROR(VLOOKUP(MID(G28,J28,K28-J28),[6]skilldef!$C:$D,2,FALSE),"-") &amp; " / " &amp; IFERROR(VLOOKUP(MID(G28,H28,I28-H28),[6]skilldef!$A:$B,2,FALSE),"-")</f>
        <v>- / 何もしない</v>
      </c>
      <c r="M28" s="62" t="str">
        <f t="shared" si="5"/>
        <v>none</v>
      </c>
      <c r="N28" s="47" t="str">
        <f t="shared" si="6"/>
        <v>none</v>
      </c>
      <c r="O28" s="62" t="e">
        <f t="shared" si="7"/>
        <v>#VALUE!</v>
      </c>
      <c r="P28" s="62">
        <f t="shared" si="8"/>
        <v>4</v>
      </c>
      <c r="Q28" s="62" t="e">
        <f t="shared" si="9"/>
        <v>#VALUE!</v>
      </c>
      <c r="R28" s="62" t="e">
        <f t="shared" si="10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/>
      <c r="AA28" s="51"/>
      <c r="AB28" s="49"/>
    </row>
    <row r="29" spans="1:28" ht="21" customHeight="1" x14ac:dyDescent="0.15">
      <c r="A29" s="46">
        <v>40014027</v>
      </c>
      <c r="B29" s="46" t="s">
        <v>215</v>
      </c>
      <c r="C29" s="49">
        <v>3</v>
      </c>
      <c r="D29" s="49" t="s">
        <v>128</v>
      </c>
      <c r="E29" s="50" t="s">
        <v>222</v>
      </c>
      <c r="F29" s="50" t="s">
        <v>217</v>
      </c>
      <c r="G29" s="62" t="str">
        <f t="shared" si="0"/>
        <v>[effect:nothing]</v>
      </c>
      <c r="H29" s="62">
        <f t="shared" si="1"/>
        <v>9</v>
      </c>
      <c r="I29" s="62">
        <f t="shared" si="2"/>
        <v>16</v>
      </c>
      <c r="J29" s="62" t="e">
        <f t="shared" si="3"/>
        <v>#VALUE!</v>
      </c>
      <c r="K29" s="62" t="e">
        <f t="shared" si="4"/>
        <v>#VALUE!</v>
      </c>
      <c r="L29" s="62" t="str">
        <f>IFERROR(VLOOKUP(MID(G29,J29,K29-J29),[6]skilldef!$C:$D,2,FALSE),"-") &amp; " / " &amp; IFERROR(VLOOKUP(MID(G29,H29,I29-H29),[6]skilldef!$A:$B,2,FALSE),"-")</f>
        <v>- / 何もしない</v>
      </c>
      <c r="M29" s="62" t="str">
        <f t="shared" si="5"/>
        <v>none</v>
      </c>
      <c r="N29" s="47" t="str">
        <f t="shared" si="6"/>
        <v>none</v>
      </c>
      <c r="O29" s="62" t="e">
        <f t="shared" si="7"/>
        <v>#VALUE!</v>
      </c>
      <c r="P29" s="62">
        <f t="shared" si="8"/>
        <v>4</v>
      </c>
      <c r="Q29" s="62" t="e">
        <f t="shared" si="9"/>
        <v>#VALUE!</v>
      </c>
      <c r="R29" s="62" t="e">
        <f t="shared" si="10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/>
      <c r="AA29" s="51"/>
      <c r="AB29" s="49"/>
    </row>
    <row r="30" spans="1:28" ht="21" customHeight="1" x14ac:dyDescent="0.15">
      <c r="A30" s="46">
        <v>40014028</v>
      </c>
      <c r="B30" s="46" t="s">
        <v>215</v>
      </c>
      <c r="C30" s="49">
        <v>3</v>
      </c>
      <c r="D30" s="49" t="s">
        <v>128</v>
      </c>
      <c r="E30" s="50" t="s">
        <v>222</v>
      </c>
      <c r="F30" s="50" t="s">
        <v>217</v>
      </c>
      <c r="G30" s="62" t="str">
        <f t="shared" si="0"/>
        <v>[effect:nothing]</v>
      </c>
      <c r="H30" s="62">
        <f t="shared" si="1"/>
        <v>9</v>
      </c>
      <c r="I30" s="62">
        <f t="shared" si="2"/>
        <v>16</v>
      </c>
      <c r="J30" s="62" t="e">
        <f t="shared" si="3"/>
        <v>#VALUE!</v>
      </c>
      <c r="K30" s="62" t="e">
        <f t="shared" si="4"/>
        <v>#VALUE!</v>
      </c>
      <c r="L30" s="62" t="str">
        <f>IFERROR(VLOOKUP(MID(G30,J30,K30-J30),[6]skilldef!$C:$D,2,FALSE),"-") &amp; " / " &amp; IFERROR(VLOOKUP(MID(G30,H30,I30-H30),[6]skilldef!$A:$B,2,FALSE),"-")</f>
        <v>- / 何もしない</v>
      </c>
      <c r="M30" s="62" t="str">
        <f t="shared" si="5"/>
        <v>none</v>
      </c>
      <c r="N30" s="47" t="str">
        <f t="shared" si="6"/>
        <v>none</v>
      </c>
      <c r="O30" s="62" t="e">
        <f t="shared" si="7"/>
        <v>#VALUE!</v>
      </c>
      <c r="P30" s="62">
        <f t="shared" si="8"/>
        <v>4</v>
      </c>
      <c r="Q30" s="62" t="e">
        <f t="shared" si="9"/>
        <v>#VALUE!</v>
      </c>
      <c r="R30" s="62" t="e">
        <f t="shared" si="10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/>
      <c r="AA30" s="51"/>
      <c r="AB30" s="49"/>
    </row>
    <row r="31" spans="1:28" ht="21" customHeight="1" x14ac:dyDescent="0.15">
      <c r="A31" s="46">
        <v>40014029</v>
      </c>
      <c r="B31" s="46" t="s">
        <v>215</v>
      </c>
      <c r="C31" s="49">
        <v>3</v>
      </c>
      <c r="D31" s="49" t="s">
        <v>128</v>
      </c>
      <c r="E31" s="50" t="s">
        <v>222</v>
      </c>
      <c r="F31" s="50" t="s">
        <v>217</v>
      </c>
      <c r="G31" s="62" t="str">
        <f t="shared" si="0"/>
        <v>[effect:nothing]</v>
      </c>
      <c r="H31" s="62">
        <f t="shared" si="1"/>
        <v>9</v>
      </c>
      <c r="I31" s="62">
        <f t="shared" si="2"/>
        <v>16</v>
      </c>
      <c r="J31" s="62" t="e">
        <f t="shared" si="3"/>
        <v>#VALUE!</v>
      </c>
      <c r="K31" s="62" t="e">
        <f t="shared" si="4"/>
        <v>#VALUE!</v>
      </c>
      <c r="L31" s="62" t="str">
        <f>IFERROR(VLOOKUP(MID(G31,J31,K31-J31),[6]skilldef!$C:$D,2,FALSE),"-") &amp; " / " &amp; IFERROR(VLOOKUP(MID(G31,H31,I31-H31),[6]skilldef!$A:$B,2,FALSE),"-")</f>
        <v>- / 何もしない</v>
      </c>
      <c r="M31" s="62" t="str">
        <f t="shared" si="5"/>
        <v>none</v>
      </c>
      <c r="N31" s="47" t="str">
        <f t="shared" si="6"/>
        <v>none</v>
      </c>
      <c r="O31" s="62" t="e">
        <f t="shared" si="7"/>
        <v>#VALUE!</v>
      </c>
      <c r="P31" s="62">
        <f t="shared" si="8"/>
        <v>4</v>
      </c>
      <c r="Q31" s="62" t="e">
        <f t="shared" si="9"/>
        <v>#VALUE!</v>
      </c>
      <c r="R31" s="62" t="e">
        <f t="shared" si="10"/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si="11"/>
        <v>none</v>
      </c>
      <c r="U31" s="62" t="e">
        <f t="shared" si="12"/>
        <v>#VALUE!</v>
      </c>
      <c r="V31" s="62">
        <f t="shared" si="13"/>
        <v>4</v>
      </c>
      <c r="W31" s="62" t="e">
        <f t="shared" si="14"/>
        <v>#VALUE!</v>
      </c>
      <c r="X31" s="62" t="e">
        <f t="shared" si="15"/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/>
      <c r="AA31" s="51"/>
      <c r="AB31" s="49"/>
    </row>
    <row r="32" spans="1:28" ht="21" customHeight="1" x14ac:dyDescent="0.15">
      <c r="A32" s="46">
        <v>40014030</v>
      </c>
      <c r="B32" s="46" t="s">
        <v>229</v>
      </c>
      <c r="C32" s="49">
        <v>3</v>
      </c>
      <c r="D32" s="49" t="s">
        <v>128</v>
      </c>
      <c r="E32" s="50" t="s">
        <v>266</v>
      </c>
      <c r="F32" s="50" t="s">
        <v>267</v>
      </c>
      <c r="G32" s="62" t="str">
        <f t="shared" si="0"/>
        <v>[effect:heal, target:enemy_all, val:0.3, animation:enemy_heal]</v>
      </c>
      <c r="H32" s="62">
        <f t="shared" si="1"/>
        <v>9</v>
      </c>
      <c r="I32" s="62">
        <f t="shared" si="2"/>
        <v>13</v>
      </c>
      <c r="J32" s="62">
        <f t="shared" si="3"/>
        <v>22</v>
      </c>
      <c r="K32" s="62">
        <f t="shared" si="4"/>
        <v>31</v>
      </c>
      <c r="L32" s="62" t="str">
        <f>IFERROR(VLOOKUP(MID(G32,J32,K32-J32),[6]skilldef!$C:$D,2,FALSE),"-") &amp; " / " &amp; IFERROR(VLOOKUP(MID(G32,H32,I32-H32),[6]skilldef!$A:$B,2,FALSE),"-")</f>
        <v>敵全体に / 回復</v>
      </c>
      <c r="M32" s="62" t="str">
        <f t="shared" si="5"/>
        <v>none</v>
      </c>
      <c r="N32" s="47" t="str">
        <f t="shared" si="6"/>
        <v>none</v>
      </c>
      <c r="O32" s="62" t="e">
        <f t="shared" si="7"/>
        <v>#VALUE!</v>
      </c>
      <c r="P32" s="62">
        <f t="shared" si="8"/>
        <v>4</v>
      </c>
      <c r="Q32" s="62" t="e">
        <f t="shared" si="9"/>
        <v>#VALUE!</v>
      </c>
      <c r="R32" s="62" t="e">
        <f t="shared" si="10"/>
        <v>#VALUE!</v>
      </c>
      <c r="S32" s="62" t="str">
        <f>IFERROR(VLOOKUP(MID(N32,Q32,R32-Q32),[6]skilldef!$C:$D,2,FALSE),"-") &amp; " / " &amp; IFERROR(VLOOKUP(MID(N32,O32,P32-O32),[6]skilldef!$A:$B,2,FALSE),"-")</f>
        <v>- / -</v>
      </c>
      <c r="T32" s="47" t="str">
        <f t="shared" si="11"/>
        <v>none</v>
      </c>
      <c r="U32" s="62" t="e">
        <f t="shared" si="12"/>
        <v>#VALUE!</v>
      </c>
      <c r="V32" s="62">
        <f t="shared" si="13"/>
        <v>4</v>
      </c>
      <c r="W32" s="62" t="e">
        <f t="shared" si="14"/>
        <v>#VALUE!</v>
      </c>
      <c r="X32" s="62" t="e">
        <f t="shared" si="15"/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/>
      <c r="AA32" s="51"/>
      <c r="AB32" s="49"/>
    </row>
    <row r="33" spans="1:28" ht="21" customHeight="1" x14ac:dyDescent="0.15">
      <c r="A33" s="46">
        <v>40014031</v>
      </c>
      <c r="B33" s="46" t="s">
        <v>215</v>
      </c>
      <c r="C33" s="49">
        <v>3</v>
      </c>
      <c r="D33" s="49" t="s">
        <v>128</v>
      </c>
      <c r="E33" s="50" t="s">
        <v>223</v>
      </c>
      <c r="F33" s="50" t="s">
        <v>217</v>
      </c>
      <c r="G33" s="62" t="str">
        <f t="shared" si="0"/>
        <v>[effect:nothing]</v>
      </c>
      <c r="H33" s="62">
        <f t="shared" si="1"/>
        <v>9</v>
      </c>
      <c r="I33" s="62">
        <f t="shared" si="2"/>
        <v>16</v>
      </c>
      <c r="J33" s="62" t="e">
        <f t="shared" si="3"/>
        <v>#VALUE!</v>
      </c>
      <c r="K33" s="62" t="e">
        <f t="shared" si="4"/>
        <v>#VALUE!</v>
      </c>
      <c r="L33" s="62" t="str">
        <f>IFERROR(VLOOKUP(MID(G33,J33,K33-J33),[6]skilldef!$C:$D,2,FALSE),"-") &amp; " / " &amp; IFERROR(VLOOKUP(MID(G33,H33,I33-H33),[6]skilldef!$A:$B,2,FALSE),"-")</f>
        <v>- / 何もしない</v>
      </c>
      <c r="M33" s="62" t="str">
        <f t="shared" si="5"/>
        <v>none</v>
      </c>
      <c r="N33" s="47" t="str">
        <f t="shared" si="6"/>
        <v>none</v>
      </c>
      <c r="O33" s="62" t="e">
        <f t="shared" si="7"/>
        <v>#VALUE!</v>
      </c>
      <c r="P33" s="62">
        <f t="shared" si="8"/>
        <v>4</v>
      </c>
      <c r="Q33" s="62" t="e">
        <f t="shared" si="9"/>
        <v>#VALUE!</v>
      </c>
      <c r="R33" s="62" t="e">
        <f t="shared" si="10"/>
        <v>#VALUE!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11"/>
        <v>none</v>
      </c>
      <c r="U33" s="62" t="e">
        <f t="shared" si="12"/>
        <v>#VALUE!</v>
      </c>
      <c r="V33" s="62">
        <f t="shared" si="13"/>
        <v>4</v>
      </c>
      <c r="W33" s="62" t="e">
        <f t="shared" si="14"/>
        <v>#VALUE!</v>
      </c>
      <c r="X33" s="62" t="e">
        <f t="shared" si="15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/>
      <c r="AA33" s="51"/>
      <c r="AB33" s="49"/>
    </row>
    <row r="34" spans="1:28" ht="21" customHeight="1" x14ac:dyDescent="0.15">
      <c r="A34" s="46">
        <v>40014032</v>
      </c>
      <c r="B34" s="46" t="s">
        <v>215</v>
      </c>
      <c r="C34" s="49">
        <v>3</v>
      </c>
      <c r="D34" s="49" t="s">
        <v>128</v>
      </c>
      <c r="E34" s="50" t="s">
        <v>223</v>
      </c>
      <c r="F34" s="50" t="s">
        <v>217</v>
      </c>
      <c r="G34" s="62" t="str">
        <f t="shared" si="0"/>
        <v>[effect:nothing]</v>
      </c>
      <c r="H34" s="62">
        <f t="shared" si="1"/>
        <v>9</v>
      </c>
      <c r="I34" s="62">
        <f t="shared" si="2"/>
        <v>16</v>
      </c>
      <c r="J34" s="62" t="e">
        <f t="shared" si="3"/>
        <v>#VALUE!</v>
      </c>
      <c r="K34" s="62" t="e">
        <f t="shared" si="4"/>
        <v>#VALUE!</v>
      </c>
      <c r="L34" s="62" t="str">
        <f>IFERROR(VLOOKUP(MID(G34,J34,K34-J34),[6]skilldef!$C:$D,2,FALSE),"-") &amp; " / " &amp; IFERROR(VLOOKUP(MID(G34,H34,I34-H34),[6]skilldef!$A:$B,2,FALSE),"-")</f>
        <v>- / 何もしない</v>
      </c>
      <c r="M34" s="62" t="str">
        <f t="shared" si="5"/>
        <v>none</v>
      </c>
      <c r="N34" s="47" t="str">
        <f t="shared" si="6"/>
        <v>none</v>
      </c>
      <c r="O34" s="62" t="e">
        <f t="shared" si="7"/>
        <v>#VALUE!</v>
      </c>
      <c r="P34" s="62">
        <f t="shared" si="8"/>
        <v>4</v>
      </c>
      <c r="Q34" s="62" t="e">
        <f t="shared" si="9"/>
        <v>#VALUE!</v>
      </c>
      <c r="R34" s="62" t="e">
        <f t="shared" si="10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11"/>
        <v>none</v>
      </c>
      <c r="U34" s="62" t="e">
        <f t="shared" si="12"/>
        <v>#VALUE!</v>
      </c>
      <c r="V34" s="62">
        <f t="shared" si="13"/>
        <v>4</v>
      </c>
      <c r="W34" s="62" t="e">
        <f t="shared" si="14"/>
        <v>#VALUE!</v>
      </c>
      <c r="X34" s="62" t="e">
        <f t="shared" si="15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/>
      <c r="AA34" s="51"/>
      <c r="AB34" s="49"/>
    </row>
    <row r="35" spans="1:28" ht="21" customHeight="1" x14ac:dyDescent="0.15">
      <c r="A35" s="46">
        <v>40014033</v>
      </c>
      <c r="B35" s="46" t="s">
        <v>215</v>
      </c>
      <c r="C35" s="49">
        <v>3</v>
      </c>
      <c r="D35" s="49" t="s">
        <v>128</v>
      </c>
      <c r="E35" s="50" t="s">
        <v>223</v>
      </c>
      <c r="F35" s="50" t="s">
        <v>217</v>
      </c>
      <c r="G35" s="62" t="str">
        <f t="shared" si="0"/>
        <v>[effect:nothing]</v>
      </c>
      <c r="H35" s="62">
        <f t="shared" si="1"/>
        <v>9</v>
      </c>
      <c r="I35" s="62">
        <f t="shared" si="2"/>
        <v>16</v>
      </c>
      <c r="J35" s="62" t="e">
        <f t="shared" si="3"/>
        <v>#VALUE!</v>
      </c>
      <c r="K35" s="62" t="e">
        <f t="shared" si="4"/>
        <v>#VALUE!</v>
      </c>
      <c r="L35" s="62" t="str">
        <f>IFERROR(VLOOKUP(MID(G35,J35,K35-J35),[6]skilldef!$C:$D,2,FALSE),"-") &amp; " / " &amp; IFERROR(VLOOKUP(MID(G35,H35,I35-H35),[6]skilldef!$A:$B,2,FALSE),"-")</f>
        <v>- / 何もしない</v>
      </c>
      <c r="M35" s="62" t="str">
        <f t="shared" si="5"/>
        <v>none</v>
      </c>
      <c r="N35" s="47" t="str">
        <f t="shared" si="6"/>
        <v>none</v>
      </c>
      <c r="O35" s="62" t="e">
        <f t="shared" si="7"/>
        <v>#VALUE!</v>
      </c>
      <c r="P35" s="62">
        <f t="shared" si="8"/>
        <v>4</v>
      </c>
      <c r="Q35" s="62" t="e">
        <f t="shared" si="9"/>
        <v>#VALUE!</v>
      </c>
      <c r="R35" s="62" t="e">
        <f t="shared" si="10"/>
        <v>#VALUE!</v>
      </c>
      <c r="S35" s="62" t="str">
        <f>IFERROR(VLOOKUP(MID(N35,Q35,R35-Q35),[6]skilldef!$C:$D,2,FALSE),"-") &amp; " / " &amp; IFERROR(VLOOKUP(MID(N35,O35,P35-O35),[6]skilldef!$A:$B,2,FALSE),"-")</f>
        <v>- / -</v>
      </c>
      <c r="T35" s="47" t="str">
        <f t="shared" si="11"/>
        <v>none</v>
      </c>
      <c r="U35" s="62" t="e">
        <f t="shared" si="12"/>
        <v>#VALUE!</v>
      </c>
      <c r="V35" s="62">
        <f t="shared" si="13"/>
        <v>4</v>
      </c>
      <c r="W35" s="62" t="e">
        <f t="shared" si="14"/>
        <v>#VALUE!</v>
      </c>
      <c r="X35" s="62" t="e">
        <f t="shared" si="15"/>
        <v>#VALUE!</v>
      </c>
      <c r="Y35" s="62" t="str">
        <f>IFERROR(VLOOKUP(MID(T35,W35,X35-W35),[6]skilldef!$C:$D,2,FALSE),"-") &amp; " / " &amp; IFERROR(VLOOKUP(MID(T35,U35,V35-U35),[6]skilldef!$A:$B,2,FALSE),"-")</f>
        <v>- / -</v>
      </c>
      <c r="Z35" s="49"/>
      <c r="AA35" s="51"/>
      <c r="AB35" s="49"/>
    </row>
    <row r="36" spans="1:28" ht="21" customHeight="1" x14ac:dyDescent="0.15">
      <c r="A36" s="46">
        <v>40014034</v>
      </c>
      <c r="B36" s="46" t="s">
        <v>215</v>
      </c>
      <c r="C36" s="49">
        <v>3</v>
      </c>
      <c r="D36" s="49" t="s">
        <v>128</v>
      </c>
      <c r="E36" s="50" t="s">
        <v>223</v>
      </c>
      <c r="F36" s="50" t="s">
        <v>217</v>
      </c>
      <c r="G36" s="62" t="str">
        <f t="shared" si="0"/>
        <v>[effect:nothing]</v>
      </c>
      <c r="H36" s="62">
        <f t="shared" si="1"/>
        <v>9</v>
      </c>
      <c r="I36" s="62">
        <f t="shared" si="2"/>
        <v>16</v>
      </c>
      <c r="J36" s="62" t="e">
        <f t="shared" si="3"/>
        <v>#VALUE!</v>
      </c>
      <c r="K36" s="62" t="e">
        <f t="shared" si="4"/>
        <v>#VALUE!</v>
      </c>
      <c r="L36" s="62" t="str">
        <f>IFERROR(VLOOKUP(MID(G36,J36,K36-J36),[6]skilldef!$C:$D,2,FALSE),"-") &amp; " / " &amp; IFERROR(VLOOKUP(MID(G36,H36,I36-H36),[6]skilldef!$A:$B,2,FALSE),"-")</f>
        <v>- / 何もしない</v>
      </c>
      <c r="M36" s="62" t="str">
        <f t="shared" si="5"/>
        <v>none</v>
      </c>
      <c r="N36" s="47" t="str">
        <f t="shared" si="6"/>
        <v>none</v>
      </c>
      <c r="O36" s="62" t="e">
        <f t="shared" si="7"/>
        <v>#VALUE!</v>
      </c>
      <c r="P36" s="62">
        <f t="shared" si="8"/>
        <v>4</v>
      </c>
      <c r="Q36" s="62" t="e">
        <f t="shared" si="9"/>
        <v>#VALUE!</v>
      </c>
      <c r="R36" s="62" t="e">
        <f t="shared" si="10"/>
        <v>#VALUE!</v>
      </c>
      <c r="S36" s="62" t="str">
        <f>IFERROR(VLOOKUP(MID(N36,Q36,R36-Q36),[6]skilldef!$C:$D,2,FALSE),"-") &amp; " / " &amp; IFERROR(VLOOKUP(MID(N36,O36,P36-O36),[6]skilldef!$A:$B,2,FALSE),"-")</f>
        <v>- / -</v>
      </c>
      <c r="T36" s="47" t="str">
        <f t="shared" si="11"/>
        <v>none</v>
      </c>
      <c r="U36" s="62" t="e">
        <f t="shared" si="12"/>
        <v>#VALUE!</v>
      </c>
      <c r="V36" s="62">
        <f t="shared" si="13"/>
        <v>4</v>
      </c>
      <c r="W36" s="62" t="e">
        <f t="shared" si="14"/>
        <v>#VALUE!</v>
      </c>
      <c r="X36" s="62" t="e">
        <f t="shared" si="15"/>
        <v>#VALUE!</v>
      </c>
      <c r="Y36" s="62" t="str">
        <f>IFERROR(VLOOKUP(MID(T36,W36,X36-W36),[6]skilldef!$C:$D,2,FALSE),"-") &amp; " / " &amp; IFERROR(VLOOKUP(MID(T36,U36,V36-U36),[6]skilldef!$A:$B,2,FALSE),"-")</f>
        <v>- / -</v>
      </c>
      <c r="Z36" s="49"/>
      <c r="AA36" s="51"/>
      <c r="AB36" s="49"/>
    </row>
    <row r="37" spans="1:28" ht="21" customHeight="1" x14ac:dyDescent="0.15">
      <c r="A37" s="46">
        <v>40014035</v>
      </c>
      <c r="B37" s="46" t="s">
        <v>230</v>
      </c>
      <c r="C37" s="49">
        <v>3</v>
      </c>
      <c r="D37" s="49" t="s">
        <v>128</v>
      </c>
      <c r="E37" s="50" t="s">
        <v>280</v>
      </c>
      <c r="F37" s="50" t="s">
        <v>268</v>
      </c>
      <c r="G37" s="62" t="str">
        <f t="shared" si="0"/>
        <v>[effect:tolerance, target:myself, turn:-1, tolerance_effect:sleep, count:-1]</v>
      </c>
      <c r="H37" s="62">
        <f t="shared" si="1"/>
        <v>9</v>
      </c>
      <c r="I37" s="62">
        <f t="shared" si="2"/>
        <v>18</v>
      </c>
      <c r="J37" s="62">
        <f t="shared" si="3"/>
        <v>27</v>
      </c>
      <c r="K37" s="62">
        <f t="shared" si="4"/>
        <v>33</v>
      </c>
      <c r="L37" s="62" t="str">
        <f>IFERROR(VLOOKUP(MID(G37,J37,K37-J37),[6]skilldef!$C:$D,2,FALSE),"-") &amp; " / " &amp; IFERROR(VLOOKUP(MID(G37,H37,I37-H37),[6]skilldef!$A:$B,2,FALSE),"-")</f>
        <v>自分自身に / 状態異常耐性</v>
      </c>
      <c r="M37" s="62" t="str">
        <f t="shared" si="5"/>
        <v>[effect:tolerance, target:myself, turn:-1, tolerance_effect:virus, count:-1],[effect:tolerance, target:myself, turn:-1, tolerance_effect:hungup, count:-1, animation:enemy_tolerance]</v>
      </c>
      <c r="N37" s="47" t="str">
        <f t="shared" si="6"/>
        <v>[effect:tolerance, target:myself, turn:-1, tolerance_effect:virus, count:-1],[effect:tolerance, target:myself, turn:-1, tolerance_effect:hungup, count:-1, animation:enemy_tolerance]</v>
      </c>
      <c r="O37" s="62">
        <f t="shared" si="7"/>
        <v>9</v>
      </c>
      <c r="P37" s="62">
        <f t="shared" si="8"/>
        <v>18</v>
      </c>
      <c r="Q37" s="62">
        <f t="shared" si="9"/>
        <v>27</v>
      </c>
      <c r="R37" s="62">
        <f t="shared" si="10"/>
        <v>33</v>
      </c>
      <c r="S37" s="62" t="str">
        <f>IFERROR(VLOOKUP(MID(N37,Q37,R37-Q37),[6]skilldef!$C:$D,2,FALSE),"-") &amp; " / " &amp; IFERROR(VLOOKUP(MID(N37,O37,P37-O37),[6]skilldef!$A:$B,2,FALSE),"-")</f>
        <v>自分自身に / 状態異常耐性</v>
      </c>
      <c r="T37" s="47" t="str">
        <f t="shared" si="11"/>
        <v>[effect:tolerance, target:myself, turn:-1, tolerance_effect:hungup, count:-1, animation:enemy_tolerance]</v>
      </c>
      <c r="U37" s="62">
        <f t="shared" si="12"/>
        <v>9</v>
      </c>
      <c r="V37" s="62">
        <f t="shared" si="13"/>
        <v>18</v>
      </c>
      <c r="W37" s="62">
        <f t="shared" si="14"/>
        <v>27</v>
      </c>
      <c r="X37" s="62">
        <f t="shared" si="15"/>
        <v>33</v>
      </c>
      <c r="Y37" s="62" t="str">
        <f>IFERROR(VLOOKUP(MID(T37,W37,X37-W37),[6]skilldef!$C:$D,2,FALSE),"-") &amp; " / " &amp; IFERROR(VLOOKUP(MID(T37,U37,V37-U37),[6]skilldef!$A:$B,2,FALSE),"-")</f>
        <v>自分自身に / 状態異常耐性</v>
      </c>
      <c r="Z37" s="49"/>
      <c r="AA37" s="51"/>
      <c r="AB37" s="49"/>
    </row>
    <row r="38" spans="1:28" ht="21" customHeight="1" x14ac:dyDescent="0.15">
      <c r="A38" s="46">
        <v>40014036</v>
      </c>
      <c r="B38" s="46" t="s">
        <v>249</v>
      </c>
      <c r="C38" s="49">
        <v>3</v>
      </c>
      <c r="D38" s="49" t="s">
        <v>128</v>
      </c>
      <c r="E38" s="50" t="s">
        <v>271</v>
      </c>
      <c r="F38" s="50" t="s">
        <v>272</v>
      </c>
      <c r="G38" s="62" t="str">
        <f t="shared" si="0"/>
        <v>[effect:rush, count:3, val:0.4]</v>
      </c>
      <c r="H38" s="62">
        <f t="shared" si="1"/>
        <v>9</v>
      </c>
      <c r="I38" s="62">
        <f t="shared" si="2"/>
        <v>13</v>
      </c>
      <c r="J38" s="62" t="e">
        <f t="shared" si="3"/>
        <v>#VALUE!</v>
      </c>
      <c r="K38" s="62">
        <f t="shared" si="4"/>
        <v>22</v>
      </c>
      <c r="L38" s="62" t="str">
        <f>IFERROR(VLOOKUP(MID(G38,J38,K38-J38),[6]skilldef!$C:$D,2,FALSE),"-") &amp; " / " &amp; IFERROR(VLOOKUP(MID(G38,H38,I38-H38),[6]skilldef!$A:$B,2,FALSE),"-")</f>
        <v>- / 連続攻撃</v>
      </c>
      <c r="M38" s="62" t="str">
        <f t="shared" si="5"/>
        <v>none</v>
      </c>
      <c r="N38" s="47" t="str">
        <f t="shared" si="6"/>
        <v>none</v>
      </c>
      <c r="O38" s="62" t="e">
        <f t="shared" si="7"/>
        <v>#VALUE!</v>
      </c>
      <c r="P38" s="62">
        <f t="shared" si="8"/>
        <v>4</v>
      </c>
      <c r="Q38" s="62" t="e">
        <f t="shared" si="9"/>
        <v>#VALUE!</v>
      </c>
      <c r="R38" s="62" t="e">
        <f t="shared" si="10"/>
        <v>#VALUE!</v>
      </c>
      <c r="S38" s="62" t="str">
        <f>IFERROR(VLOOKUP(MID(N38,Q38,R38-Q38),[6]skilldef!$C:$D,2,FALSE),"-") &amp; " / " &amp; IFERROR(VLOOKUP(MID(N38,O38,P38-O38),[6]skilldef!$A:$B,2,FALSE),"-")</f>
        <v>- / -</v>
      </c>
      <c r="T38" s="47" t="str">
        <f t="shared" si="11"/>
        <v>none</v>
      </c>
      <c r="U38" s="62" t="e">
        <f t="shared" si="12"/>
        <v>#VALUE!</v>
      </c>
      <c r="V38" s="62">
        <f t="shared" si="13"/>
        <v>4</v>
      </c>
      <c r="W38" s="62" t="e">
        <f t="shared" si="14"/>
        <v>#VALUE!</v>
      </c>
      <c r="X38" s="62" t="e">
        <f t="shared" si="15"/>
        <v>#VALUE!</v>
      </c>
      <c r="Y38" s="62" t="str">
        <f>IFERROR(VLOOKUP(MID(T38,W38,X38-W38),[6]skilldef!$C:$D,2,FALSE),"-") &amp; " / " &amp; IFERROR(VLOOKUP(MID(T38,U38,V38-U38),[6]skilldef!$A:$B,2,FALSE),"-")</f>
        <v>- / -</v>
      </c>
      <c r="Z38" s="49"/>
      <c r="AA38" s="51"/>
      <c r="AB38" s="49"/>
    </row>
    <row r="39" spans="1:28" ht="21" customHeight="1" x14ac:dyDescent="0.15">
      <c r="A39" s="46">
        <v>40014037</v>
      </c>
      <c r="B39" s="46" t="s">
        <v>236</v>
      </c>
      <c r="C39" s="49">
        <v>3</v>
      </c>
      <c r="D39" s="49" t="s">
        <v>128</v>
      </c>
      <c r="E39" s="50" t="s">
        <v>273</v>
      </c>
      <c r="F39" s="50" t="s">
        <v>264</v>
      </c>
      <c r="G39" s="62" t="str">
        <f t="shared" si="0"/>
        <v>[effect:critical, val:1.5]</v>
      </c>
      <c r="H39" s="62">
        <f t="shared" si="1"/>
        <v>9</v>
      </c>
      <c r="I39" s="62">
        <f t="shared" si="2"/>
        <v>17</v>
      </c>
      <c r="J39" s="62" t="e">
        <f t="shared" si="3"/>
        <v>#VALUE!</v>
      </c>
      <c r="K39" s="62" t="e">
        <f t="shared" si="4"/>
        <v>#VALUE!</v>
      </c>
      <c r="L39" s="62" t="str">
        <f>IFERROR(VLOOKUP(MID(G39,J39,K39-J39),[6]skilldef!$C:$D,2,FALSE),"-") &amp; " / " &amp; IFERROR(VLOOKUP(MID(G39,H39,I39-H39),[6]skilldef!$A:$B,2,FALSE),"-")</f>
        <v>- / 大攻撃</v>
      </c>
      <c r="M39" s="62" t="str">
        <f t="shared" si="5"/>
        <v>none</v>
      </c>
      <c r="N39" s="47" t="str">
        <f t="shared" si="6"/>
        <v>none</v>
      </c>
      <c r="O39" s="62" t="e">
        <f t="shared" si="7"/>
        <v>#VALUE!</v>
      </c>
      <c r="P39" s="62">
        <f t="shared" si="8"/>
        <v>4</v>
      </c>
      <c r="Q39" s="62" t="e">
        <f t="shared" si="9"/>
        <v>#VALUE!</v>
      </c>
      <c r="R39" s="62" t="e">
        <f t="shared" si="10"/>
        <v>#VALUE!</v>
      </c>
      <c r="S39" s="62" t="str">
        <f>IFERROR(VLOOKUP(MID(N39,Q39,R39-Q39),[6]skilldef!$C:$D,2,FALSE),"-") &amp; " / " &amp; IFERROR(VLOOKUP(MID(N39,O39,P39-O39),[6]skilldef!$A:$B,2,FALSE),"-")</f>
        <v>- / -</v>
      </c>
      <c r="T39" s="47" t="str">
        <f t="shared" si="11"/>
        <v>none</v>
      </c>
      <c r="U39" s="62" t="e">
        <f t="shared" si="12"/>
        <v>#VALUE!</v>
      </c>
      <c r="V39" s="62">
        <f t="shared" si="13"/>
        <v>4</v>
      </c>
      <c r="W39" s="62" t="e">
        <f t="shared" si="14"/>
        <v>#VALUE!</v>
      </c>
      <c r="X39" s="62" t="e">
        <f t="shared" si="15"/>
        <v>#VALUE!</v>
      </c>
      <c r="Y39" s="62" t="str">
        <f>IFERROR(VLOOKUP(MID(T39,W39,X39-W39),[6]skilldef!$C:$D,2,FALSE),"-") &amp; " / " &amp; IFERROR(VLOOKUP(MID(T39,U39,V39-U39),[6]skilldef!$A:$B,2,FALSE),"-")</f>
        <v>- / -</v>
      </c>
      <c r="Z39" s="49"/>
      <c r="AA39" s="51"/>
      <c r="AB39" s="49"/>
    </row>
    <row r="40" spans="1:28" ht="21" customHeight="1" x14ac:dyDescent="0.15">
      <c r="A40" s="46">
        <v>40014038</v>
      </c>
      <c r="B40" s="46" t="s">
        <v>238</v>
      </c>
      <c r="C40" s="49">
        <v>3</v>
      </c>
      <c r="D40" s="49" t="s">
        <v>128</v>
      </c>
      <c r="E40" s="50" t="s">
        <v>278</v>
      </c>
      <c r="F40" s="50" t="s">
        <v>269</v>
      </c>
      <c r="G40" s="62" t="str">
        <f t="shared" si="0"/>
        <v>[effect:damage_anti_color, target:unit_all, color:blue, val1:0.4, val2:0.1]</v>
      </c>
      <c r="H40" s="62">
        <f t="shared" si="1"/>
        <v>9</v>
      </c>
      <c r="I40" s="62">
        <f t="shared" si="2"/>
        <v>26</v>
      </c>
      <c r="J40" s="62">
        <f t="shared" si="3"/>
        <v>35</v>
      </c>
      <c r="K40" s="62">
        <f t="shared" si="4"/>
        <v>43</v>
      </c>
      <c r="L40" s="62" t="str">
        <f>IFERROR(VLOOKUP(MID(G40,J40,K40-J40),[6]skilldef!$C:$D,2,FALSE),"-") &amp; " / " &amp; IFERROR(VLOOKUP(MID(G40,H40,I40-H40),[6]skilldef!$A:$B,2,FALSE),"-")</f>
        <v>味方全体に / 属性キラー</v>
      </c>
      <c r="M40" s="62" t="str">
        <f t="shared" si="5"/>
        <v>none</v>
      </c>
      <c r="N40" s="47" t="str">
        <f t="shared" si="6"/>
        <v>none</v>
      </c>
      <c r="O40" s="62" t="e">
        <f t="shared" si="7"/>
        <v>#VALUE!</v>
      </c>
      <c r="P40" s="62">
        <f t="shared" si="8"/>
        <v>4</v>
      </c>
      <c r="Q40" s="62" t="e">
        <f t="shared" si="9"/>
        <v>#VALUE!</v>
      </c>
      <c r="R40" s="62" t="e">
        <f t="shared" si="10"/>
        <v>#VALUE!</v>
      </c>
      <c r="S40" s="62" t="str">
        <f>IFERROR(VLOOKUP(MID(N40,Q40,R40-Q40),[6]skilldef!$C:$D,2,FALSE),"-") &amp; " / " &amp; IFERROR(VLOOKUP(MID(N40,O40,P40-O40),[6]skilldef!$A:$B,2,FALSE),"-")</f>
        <v>- / -</v>
      </c>
      <c r="T40" s="47" t="str">
        <f t="shared" si="11"/>
        <v>none</v>
      </c>
      <c r="U40" s="62" t="e">
        <f t="shared" si="12"/>
        <v>#VALUE!</v>
      </c>
      <c r="V40" s="62">
        <f t="shared" si="13"/>
        <v>4</v>
      </c>
      <c r="W40" s="62" t="e">
        <f t="shared" si="14"/>
        <v>#VALUE!</v>
      </c>
      <c r="X40" s="62" t="e">
        <f t="shared" si="15"/>
        <v>#VALUE!</v>
      </c>
      <c r="Y40" s="62" t="str">
        <f>IFERROR(VLOOKUP(MID(T40,W40,X40-W40),[6]skilldef!$C:$D,2,FALSE),"-") &amp; " / " &amp; IFERROR(VLOOKUP(MID(T40,U40,V40-U40),[6]skilldef!$A:$B,2,FALSE),"-")</f>
        <v>- / -</v>
      </c>
      <c r="Z40" s="49"/>
      <c r="AA40" s="51"/>
      <c r="AB40" s="49"/>
    </row>
    <row r="41" spans="1:28" ht="21" customHeight="1" x14ac:dyDescent="0.15">
      <c r="A41" s="46">
        <v>40014039</v>
      </c>
      <c r="B41" s="46" t="s">
        <v>233</v>
      </c>
      <c r="C41" s="49">
        <v>3</v>
      </c>
      <c r="D41" s="49" t="s">
        <v>128</v>
      </c>
      <c r="E41" s="50" t="s">
        <v>281</v>
      </c>
      <c r="F41" s="50" t="s">
        <v>283</v>
      </c>
      <c r="G41" s="62" t="str">
        <f t="shared" si="0"/>
        <v>[effect:panel_freeze, target:block_all, color:block_yellow, count:-1, break_count:1]</v>
      </c>
      <c r="H41" s="62">
        <f t="shared" si="1"/>
        <v>9</v>
      </c>
      <c r="I41" s="62">
        <f t="shared" si="2"/>
        <v>21</v>
      </c>
      <c r="J41" s="62">
        <f t="shared" si="3"/>
        <v>30</v>
      </c>
      <c r="K41" s="62">
        <f t="shared" si="4"/>
        <v>39</v>
      </c>
      <c r="L41" s="62" t="str">
        <f>IFERROR(VLOOKUP(MID(G41,J41,K41-J41),[6]skilldef!$C:$D,2,FALSE),"-") &amp; " / " &amp; IFERROR(VLOOKUP(MID(G41,H41,I41-H41),[6]skilldef!$A:$B,2,FALSE),"-")</f>
        <v>- / -</v>
      </c>
      <c r="M41" s="62" t="str">
        <f t="shared" si="5"/>
        <v>none</v>
      </c>
      <c r="N41" s="47" t="str">
        <f t="shared" si="6"/>
        <v>none</v>
      </c>
      <c r="O41" s="62" t="e">
        <f t="shared" si="7"/>
        <v>#VALUE!</v>
      </c>
      <c r="P41" s="62">
        <f t="shared" si="8"/>
        <v>4</v>
      </c>
      <c r="Q41" s="62" t="e">
        <f t="shared" si="9"/>
        <v>#VALUE!</v>
      </c>
      <c r="R41" s="62" t="e">
        <f t="shared" si="10"/>
        <v>#VALUE!</v>
      </c>
      <c r="S41" s="62" t="str">
        <f>IFERROR(VLOOKUP(MID(N41,Q41,R41-Q41),[6]skilldef!$C:$D,2,FALSE),"-") &amp; " / " &amp; IFERROR(VLOOKUP(MID(N41,O41,P41-O41),[6]skilldef!$A:$B,2,FALSE),"-")</f>
        <v>- / -</v>
      </c>
      <c r="T41" s="47" t="str">
        <f t="shared" si="11"/>
        <v>none</v>
      </c>
      <c r="U41" s="62" t="e">
        <f t="shared" si="12"/>
        <v>#VALUE!</v>
      </c>
      <c r="V41" s="62">
        <f t="shared" si="13"/>
        <v>4</v>
      </c>
      <c r="W41" s="62" t="e">
        <f t="shared" si="14"/>
        <v>#VALUE!</v>
      </c>
      <c r="X41" s="62" t="e">
        <f t="shared" si="15"/>
        <v>#VALUE!</v>
      </c>
      <c r="Y41" s="62" t="str">
        <f>IFERROR(VLOOKUP(MID(T41,W41,X41-W41),[6]skilldef!$C:$D,2,FALSE),"-") &amp; " / " &amp; IFERROR(VLOOKUP(MID(T41,U41,V41-U41),[6]skilldef!$A:$B,2,FALSE),"-")</f>
        <v>- / -</v>
      </c>
      <c r="Z41" s="49"/>
      <c r="AA41" s="51"/>
      <c r="AB41" s="49"/>
    </row>
    <row r="42" spans="1:28" ht="21" customHeight="1" x14ac:dyDescent="0.15">
      <c r="A42" s="46">
        <v>40014040</v>
      </c>
      <c r="B42" s="46" t="s">
        <v>215</v>
      </c>
      <c r="C42" s="49">
        <v>3</v>
      </c>
      <c r="D42" s="49" t="s">
        <v>128</v>
      </c>
      <c r="E42" s="50" t="s">
        <v>224</v>
      </c>
      <c r="F42" s="50" t="s">
        <v>217</v>
      </c>
      <c r="G42" s="62" t="str">
        <f t="shared" si="0"/>
        <v>[effect:nothing]</v>
      </c>
      <c r="H42" s="62">
        <f t="shared" si="1"/>
        <v>9</v>
      </c>
      <c r="I42" s="62">
        <f t="shared" si="2"/>
        <v>16</v>
      </c>
      <c r="J42" s="62" t="e">
        <f t="shared" si="3"/>
        <v>#VALUE!</v>
      </c>
      <c r="K42" s="62" t="e">
        <f t="shared" si="4"/>
        <v>#VALUE!</v>
      </c>
      <c r="L42" s="62" t="str">
        <f>IFERROR(VLOOKUP(MID(G42,J42,K42-J42),[6]skilldef!$C:$D,2,FALSE),"-") &amp; " / " &amp; IFERROR(VLOOKUP(MID(G42,H42,I42-H42),[6]skilldef!$A:$B,2,FALSE),"-")</f>
        <v>- / 何もしない</v>
      </c>
      <c r="M42" s="62" t="str">
        <f t="shared" si="5"/>
        <v>none</v>
      </c>
      <c r="N42" s="47" t="str">
        <f t="shared" si="6"/>
        <v>none</v>
      </c>
      <c r="O42" s="62" t="e">
        <f t="shared" si="7"/>
        <v>#VALUE!</v>
      </c>
      <c r="P42" s="62">
        <f t="shared" si="8"/>
        <v>4</v>
      </c>
      <c r="Q42" s="62" t="e">
        <f t="shared" si="9"/>
        <v>#VALUE!</v>
      </c>
      <c r="R42" s="62" t="e">
        <f t="shared" si="10"/>
        <v>#VALUE!</v>
      </c>
      <c r="S42" s="62" t="str">
        <f>IFERROR(VLOOKUP(MID(N42,Q42,R42-Q42),[6]skilldef!$C:$D,2,FALSE),"-") &amp; " / " &amp; IFERROR(VLOOKUP(MID(N42,O42,P42-O42),[6]skilldef!$A:$B,2,FALSE),"-")</f>
        <v>- / -</v>
      </c>
      <c r="T42" s="47" t="str">
        <f t="shared" si="11"/>
        <v>none</v>
      </c>
      <c r="U42" s="62" t="e">
        <f t="shared" si="12"/>
        <v>#VALUE!</v>
      </c>
      <c r="V42" s="62">
        <f t="shared" si="13"/>
        <v>4</v>
      </c>
      <c r="W42" s="62" t="e">
        <f t="shared" si="14"/>
        <v>#VALUE!</v>
      </c>
      <c r="X42" s="62" t="e">
        <f t="shared" si="15"/>
        <v>#VALUE!</v>
      </c>
      <c r="Y42" s="62" t="str">
        <f>IFERROR(VLOOKUP(MID(T42,W42,X42-W42),[6]skilldef!$C:$D,2,FALSE),"-") &amp; " / " &amp; IFERROR(VLOOKUP(MID(T42,U42,V42-U42),[6]skilldef!$A:$B,2,FALSE),"-")</f>
        <v>- / -</v>
      </c>
      <c r="Z42" s="49"/>
      <c r="AA42" s="51"/>
      <c r="AB42" s="49"/>
    </row>
    <row r="43" spans="1:28" ht="21" customHeight="1" x14ac:dyDescent="0.15">
      <c r="A43" s="46">
        <v>40014041</v>
      </c>
      <c r="B43" s="46" t="s">
        <v>215</v>
      </c>
      <c r="C43" s="49">
        <v>3</v>
      </c>
      <c r="D43" s="49" t="s">
        <v>128</v>
      </c>
      <c r="E43" s="50" t="s">
        <v>224</v>
      </c>
      <c r="F43" s="50" t="s">
        <v>217</v>
      </c>
      <c r="G43" s="62" t="str">
        <f t="shared" si="0"/>
        <v>[effect:nothing]</v>
      </c>
      <c r="H43" s="62">
        <f t="shared" si="1"/>
        <v>9</v>
      </c>
      <c r="I43" s="62">
        <f t="shared" si="2"/>
        <v>16</v>
      </c>
      <c r="J43" s="62" t="e">
        <f t="shared" si="3"/>
        <v>#VALUE!</v>
      </c>
      <c r="K43" s="62" t="e">
        <f t="shared" si="4"/>
        <v>#VALUE!</v>
      </c>
      <c r="L43" s="62" t="str">
        <f>IFERROR(VLOOKUP(MID(G43,J43,K43-J43),[6]skilldef!$C:$D,2,FALSE),"-") &amp; " / " &amp; IFERROR(VLOOKUP(MID(G43,H43,I43-H43),[6]skilldef!$A:$B,2,FALSE),"-")</f>
        <v>- / 何もしない</v>
      </c>
      <c r="M43" s="62" t="str">
        <f t="shared" si="5"/>
        <v>none</v>
      </c>
      <c r="N43" s="47" t="str">
        <f t="shared" si="6"/>
        <v>none</v>
      </c>
      <c r="O43" s="62" t="e">
        <f t="shared" si="7"/>
        <v>#VALUE!</v>
      </c>
      <c r="P43" s="62">
        <f t="shared" si="8"/>
        <v>4</v>
      </c>
      <c r="Q43" s="62" t="e">
        <f t="shared" si="9"/>
        <v>#VALUE!</v>
      </c>
      <c r="R43" s="62" t="e">
        <f t="shared" si="10"/>
        <v>#VALUE!</v>
      </c>
      <c r="S43" s="62" t="str">
        <f>IFERROR(VLOOKUP(MID(N43,Q43,R43-Q43),[6]skilldef!$C:$D,2,FALSE),"-") &amp; " / " &amp; IFERROR(VLOOKUP(MID(N43,O43,P43-O43),[6]skilldef!$A:$B,2,FALSE),"-")</f>
        <v>- / -</v>
      </c>
      <c r="T43" s="47" t="str">
        <f t="shared" si="11"/>
        <v>none</v>
      </c>
      <c r="U43" s="62" t="e">
        <f t="shared" si="12"/>
        <v>#VALUE!</v>
      </c>
      <c r="V43" s="62">
        <f t="shared" si="13"/>
        <v>4</v>
      </c>
      <c r="W43" s="62" t="e">
        <f t="shared" si="14"/>
        <v>#VALUE!</v>
      </c>
      <c r="X43" s="62" t="e">
        <f t="shared" si="15"/>
        <v>#VALUE!</v>
      </c>
      <c r="Y43" s="62" t="str">
        <f>IFERROR(VLOOKUP(MID(T43,W43,X43-W43),[6]skilldef!$C:$D,2,FALSE),"-") &amp; " / " &amp; IFERROR(VLOOKUP(MID(T43,U43,V43-U43),[6]skilldef!$A:$B,2,FALSE),"-")</f>
        <v>- / -</v>
      </c>
      <c r="Z43" s="49"/>
      <c r="AA43" s="51"/>
      <c r="AB43" s="49"/>
    </row>
    <row r="44" spans="1:28" ht="21" customHeight="1" x14ac:dyDescent="0.15">
      <c r="A44" s="46">
        <v>40014042</v>
      </c>
      <c r="B44" s="46" t="s">
        <v>215</v>
      </c>
      <c r="C44" s="49">
        <v>3</v>
      </c>
      <c r="D44" s="49" t="s">
        <v>128</v>
      </c>
      <c r="E44" s="50" t="s">
        <v>224</v>
      </c>
      <c r="F44" s="50" t="s">
        <v>217</v>
      </c>
      <c r="G44" s="62" t="str">
        <f t="shared" si="0"/>
        <v>[effect:nothing]</v>
      </c>
      <c r="H44" s="62">
        <f t="shared" si="1"/>
        <v>9</v>
      </c>
      <c r="I44" s="62">
        <f t="shared" si="2"/>
        <v>16</v>
      </c>
      <c r="J44" s="62" t="e">
        <f t="shared" si="3"/>
        <v>#VALUE!</v>
      </c>
      <c r="K44" s="62" t="e">
        <f t="shared" si="4"/>
        <v>#VALUE!</v>
      </c>
      <c r="L44" s="62" t="str">
        <f>IFERROR(VLOOKUP(MID(G44,J44,K44-J44),[6]skilldef!$C:$D,2,FALSE),"-") &amp; " / " &amp; IFERROR(VLOOKUP(MID(G44,H44,I44-H44),[6]skilldef!$A:$B,2,FALSE),"-")</f>
        <v>- / 何もしない</v>
      </c>
      <c r="M44" s="62" t="str">
        <f t="shared" si="5"/>
        <v>none</v>
      </c>
      <c r="N44" s="47" t="str">
        <f t="shared" si="6"/>
        <v>none</v>
      </c>
      <c r="O44" s="62" t="e">
        <f t="shared" si="7"/>
        <v>#VALUE!</v>
      </c>
      <c r="P44" s="62">
        <f t="shared" si="8"/>
        <v>4</v>
      </c>
      <c r="Q44" s="62" t="e">
        <f t="shared" si="9"/>
        <v>#VALUE!</v>
      </c>
      <c r="R44" s="62" t="e">
        <f t="shared" si="10"/>
        <v>#VALUE!</v>
      </c>
      <c r="S44" s="62" t="str">
        <f>IFERROR(VLOOKUP(MID(N44,Q44,R44-Q44),[6]skilldef!$C:$D,2,FALSE),"-") &amp; " / " &amp; IFERROR(VLOOKUP(MID(N44,O44,P44-O44),[6]skilldef!$A:$B,2,FALSE),"-")</f>
        <v>- / -</v>
      </c>
      <c r="T44" s="47" t="str">
        <f t="shared" si="11"/>
        <v>none</v>
      </c>
      <c r="U44" s="62" t="e">
        <f t="shared" si="12"/>
        <v>#VALUE!</v>
      </c>
      <c r="V44" s="62">
        <f t="shared" si="13"/>
        <v>4</v>
      </c>
      <c r="W44" s="62" t="e">
        <f t="shared" si="14"/>
        <v>#VALUE!</v>
      </c>
      <c r="X44" s="62" t="e">
        <f t="shared" si="15"/>
        <v>#VALUE!</v>
      </c>
      <c r="Y44" s="62" t="str">
        <f>IFERROR(VLOOKUP(MID(T44,W44,X44-W44),[6]skilldef!$C:$D,2,FALSE),"-") &amp; " / " &amp; IFERROR(VLOOKUP(MID(T44,U44,V44-U44),[6]skilldef!$A:$B,2,FALSE),"-")</f>
        <v>- / -</v>
      </c>
      <c r="Z44" s="49"/>
      <c r="AA44" s="51"/>
      <c r="AB44" s="49"/>
    </row>
    <row r="45" spans="1:28" ht="21" customHeight="1" x14ac:dyDescent="0.15">
      <c r="A45" s="46">
        <v>40014043</v>
      </c>
      <c r="B45" s="46" t="s">
        <v>215</v>
      </c>
      <c r="C45" s="49">
        <v>3</v>
      </c>
      <c r="D45" s="49" t="s">
        <v>128</v>
      </c>
      <c r="E45" s="50" t="s">
        <v>224</v>
      </c>
      <c r="F45" s="50" t="s">
        <v>217</v>
      </c>
      <c r="G45" s="62" t="str">
        <f t="shared" si="0"/>
        <v>[effect:nothing]</v>
      </c>
      <c r="H45" s="62">
        <f t="shared" si="1"/>
        <v>9</v>
      </c>
      <c r="I45" s="62">
        <f t="shared" si="2"/>
        <v>16</v>
      </c>
      <c r="J45" s="62" t="e">
        <f t="shared" si="3"/>
        <v>#VALUE!</v>
      </c>
      <c r="K45" s="62" t="e">
        <f t="shared" si="4"/>
        <v>#VALUE!</v>
      </c>
      <c r="L45" s="62" t="str">
        <f>IFERROR(VLOOKUP(MID(G45,J45,K45-J45),[6]skilldef!$C:$D,2,FALSE),"-") &amp; " / " &amp; IFERROR(VLOOKUP(MID(G45,H45,I45-H45),[6]skilldef!$A:$B,2,FALSE),"-")</f>
        <v>- / 何もしない</v>
      </c>
      <c r="M45" s="62" t="str">
        <f t="shared" si="5"/>
        <v>none</v>
      </c>
      <c r="N45" s="47" t="str">
        <f t="shared" si="6"/>
        <v>none</v>
      </c>
      <c r="O45" s="62" t="e">
        <f t="shared" si="7"/>
        <v>#VALUE!</v>
      </c>
      <c r="P45" s="62">
        <f t="shared" si="8"/>
        <v>4</v>
      </c>
      <c r="Q45" s="62" t="e">
        <f t="shared" si="9"/>
        <v>#VALUE!</v>
      </c>
      <c r="R45" s="62" t="e">
        <f t="shared" si="10"/>
        <v>#VALUE!</v>
      </c>
      <c r="S45" s="62" t="str">
        <f>IFERROR(VLOOKUP(MID(N45,Q45,R45-Q45),[6]skilldef!$C:$D,2,FALSE),"-") &amp; " / " &amp; IFERROR(VLOOKUP(MID(N45,O45,P45-O45),[6]skilldef!$A:$B,2,FALSE),"-")</f>
        <v>- / -</v>
      </c>
      <c r="T45" s="47" t="str">
        <f t="shared" si="11"/>
        <v>none</v>
      </c>
      <c r="U45" s="62" t="e">
        <f t="shared" si="12"/>
        <v>#VALUE!</v>
      </c>
      <c r="V45" s="62">
        <f t="shared" si="13"/>
        <v>4</v>
      </c>
      <c r="W45" s="62" t="e">
        <f t="shared" si="14"/>
        <v>#VALUE!</v>
      </c>
      <c r="X45" s="62" t="e">
        <f t="shared" si="15"/>
        <v>#VALUE!</v>
      </c>
      <c r="Y45" s="62" t="str">
        <f>IFERROR(VLOOKUP(MID(T45,W45,X45-W45),[6]skilldef!$C:$D,2,FALSE),"-") &amp; " / " &amp; IFERROR(VLOOKUP(MID(T45,U45,V45-U45),[6]skilldef!$A:$B,2,FALSE),"-")</f>
        <v>- / -</v>
      </c>
      <c r="Z45" s="49"/>
      <c r="AA45" s="51"/>
      <c r="AB45" s="49"/>
    </row>
    <row r="46" spans="1:28" ht="21" customHeight="1" x14ac:dyDescent="0.15">
      <c r="A46" s="46">
        <v>40014044</v>
      </c>
      <c r="B46" s="46" t="s">
        <v>215</v>
      </c>
      <c r="C46" s="49">
        <v>3</v>
      </c>
      <c r="D46" s="49" t="s">
        <v>128</v>
      </c>
      <c r="E46" s="50" t="s">
        <v>224</v>
      </c>
      <c r="F46" s="50" t="s">
        <v>217</v>
      </c>
      <c r="G46" s="62" t="str">
        <f t="shared" si="0"/>
        <v>[effect:nothing]</v>
      </c>
      <c r="H46" s="62">
        <f t="shared" si="1"/>
        <v>9</v>
      </c>
      <c r="I46" s="62">
        <f t="shared" si="2"/>
        <v>16</v>
      </c>
      <c r="J46" s="62" t="e">
        <f t="shared" si="3"/>
        <v>#VALUE!</v>
      </c>
      <c r="K46" s="62" t="e">
        <f t="shared" si="4"/>
        <v>#VALUE!</v>
      </c>
      <c r="L46" s="62" t="str">
        <f>IFERROR(VLOOKUP(MID(G46,J46,K46-J46),[6]skilldef!$C:$D,2,FALSE),"-") &amp; " / " &amp; IFERROR(VLOOKUP(MID(G46,H46,I46-H46),[6]skilldef!$A:$B,2,FALSE),"-")</f>
        <v>- / 何もしない</v>
      </c>
      <c r="M46" s="62" t="str">
        <f t="shared" si="5"/>
        <v>none</v>
      </c>
      <c r="N46" s="47" t="str">
        <f t="shared" si="6"/>
        <v>none</v>
      </c>
      <c r="O46" s="62" t="e">
        <f t="shared" si="7"/>
        <v>#VALUE!</v>
      </c>
      <c r="P46" s="62">
        <f t="shared" si="8"/>
        <v>4</v>
      </c>
      <c r="Q46" s="62" t="e">
        <f t="shared" si="9"/>
        <v>#VALUE!</v>
      </c>
      <c r="R46" s="62" t="e">
        <f t="shared" si="10"/>
        <v>#VALUE!</v>
      </c>
      <c r="S46" s="62" t="str">
        <f>IFERROR(VLOOKUP(MID(N46,Q46,R46-Q46),[6]skilldef!$C:$D,2,FALSE),"-") &amp; " / " &amp; IFERROR(VLOOKUP(MID(N46,O46,P46-O46),[6]skilldef!$A:$B,2,FALSE),"-")</f>
        <v>- / -</v>
      </c>
      <c r="T46" s="47" t="str">
        <f t="shared" si="11"/>
        <v>none</v>
      </c>
      <c r="U46" s="62" t="e">
        <f t="shared" si="12"/>
        <v>#VALUE!</v>
      </c>
      <c r="V46" s="62">
        <f t="shared" si="13"/>
        <v>4</v>
      </c>
      <c r="W46" s="62" t="e">
        <f t="shared" si="14"/>
        <v>#VALUE!</v>
      </c>
      <c r="X46" s="62" t="e">
        <f t="shared" si="15"/>
        <v>#VALUE!</v>
      </c>
      <c r="Y46" s="62" t="str">
        <f>IFERROR(VLOOKUP(MID(T46,W46,X46-W46),[6]skilldef!$C:$D,2,FALSE),"-") &amp; " / " &amp; IFERROR(VLOOKUP(MID(T46,U46,V46-U46),[6]skilldef!$A:$B,2,FALSE),"-")</f>
        <v>- / -</v>
      </c>
      <c r="Z46" s="49"/>
      <c r="AA46" s="51"/>
      <c r="AB46" s="49"/>
    </row>
    <row r="47" spans="1:28" ht="21" customHeight="1" x14ac:dyDescent="0.15">
      <c r="A47" s="46">
        <v>40014045</v>
      </c>
      <c r="B47" s="46" t="s">
        <v>239</v>
      </c>
      <c r="C47" s="49">
        <v>3</v>
      </c>
      <c r="D47" s="49" t="s">
        <v>128</v>
      </c>
      <c r="E47" s="50" t="s">
        <v>279</v>
      </c>
      <c r="F47" s="50" t="s">
        <v>268</v>
      </c>
      <c r="G47" s="62" t="str">
        <f t="shared" si="0"/>
        <v>[effect:tolerance, target:myself, turn:-1, tolerance_effect:sleep, count:-1]</v>
      </c>
      <c r="H47" s="62">
        <f t="shared" si="1"/>
        <v>9</v>
      </c>
      <c r="I47" s="62">
        <f t="shared" si="2"/>
        <v>18</v>
      </c>
      <c r="J47" s="62">
        <f t="shared" si="3"/>
        <v>27</v>
      </c>
      <c r="K47" s="62">
        <f t="shared" si="4"/>
        <v>33</v>
      </c>
      <c r="L47" s="62" t="str">
        <f>IFERROR(VLOOKUP(MID(G47,J47,K47-J47),[6]skilldef!$C:$D,2,FALSE),"-") &amp; " / " &amp; IFERROR(VLOOKUP(MID(G47,H47,I47-H47),[6]skilldef!$A:$B,2,FALSE),"-")</f>
        <v>自分自身に / 状態異常耐性</v>
      </c>
      <c r="M47" s="62" t="str">
        <f t="shared" si="5"/>
        <v>[effect:tolerance, target:myself, turn:-1, tolerance_effect:virus, count:-1],[effect:tolerance, target:myself, turn:-1, tolerance_effect:hungup, count:-1, animation:enemy_tolerance]</v>
      </c>
      <c r="N47" s="47" t="str">
        <f t="shared" si="6"/>
        <v>[effect:tolerance, target:myself, turn:-1, tolerance_effect:virus, count:-1],[effect:tolerance, target:myself, turn:-1, tolerance_effect:hungup, count:-1, animation:enemy_tolerance]</v>
      </c>
      <c r="O47" s="62">
        <f t="shared" si="7"/>
        <v>9</v>
      </c>
      <c r="P47" s="62">
        <f t="shared" si="8"/>
        <v>18</v>
      </c>
      <c r="Q47" s="62">
        <f t="shared" si="9"/>
        <v>27</v>
      </c>
      <c r="R47" s="62">
        <f t="shared" si="10"/>
        <v>33</v>
      </c>
      <c r="S47" s="62" t="str">
        <f>IFERROR(VLOOKUP(MID(N47,Q47,R47-Q47),[6]skilldef!$C:$D,2,FALSE),"-") &amp; " / " &amp; IFERROR(VLOOKUP(MID(N47,O47,P47-O47),[6]skilldef!$A:$B,2,FALSE),"-")</f>
        <v>自分自身に / 状態異常耐性</v>
      </c>
      <c r="T47" s="47" t="str">
        <f t="shared" si="11"/>
        <v>[effect:tolerance, target:myself, turn:-1, tolerance_effect:hungup, count:-1, animation:enemy_tolerance]</v>
      </c>
      <c r="U47" s="62">
        <f t="shared" si="12"/>
        <v>9</v>
      </c>
      <c r="V47" s="62">
        <f t="shared" si="13"/>
        <v>18</v>
      </c>
      <c r="W47" s="62">
        <f t="shared" si="14"/>
        <v>27</v>
      </c>
      <c r="X47" s="62">
        <f t="shared" si="15"/>
        <v>33</v>
      </c>
      <c r="Y47" s="62" t="str">
        <f>IFERROR(VLOOKUP(MID(T47,W47,X47-W47),[6]skilldef!$C:$D,2,FALSE),"-") &amp; " / " &amp; IFERROR(VLOOKUP(MID(T47,U47,V47-U47),[6]skilldef!$A:$B,2,FALSE),"-")</f>
        <v>自分自身に / 状態異常耐性</v>
      </c>
      <c r="Z47" s="49"/>
      <c r="AA47" s="51"/>
      <c r="AB47" s="49"/>
    </row>
    <row r="48" spans="1:28" ht="21" customHeight="1" x14ac:dyDescent="0.15">
      <c r="A48" s="46">
        <v>40014046</v>
      </c>
      <c r="B48" s="46" t="s">
        <v>249</v>
      </c>
      <c r="C48" s="49">
        <v>3</v>
      </c>
      <c r="D48" s="49" t="s">
        <v>128</v>
      </c>
      <c r="E48" s="50" t="s">
        <v>271</v>
      </c>
      <c r="F48" s="50" t="s">
        <v>272</v>
      </c>
      <c r="G48" s="62" t="str">
        <f t="shared" si="0"/>
        <v>[effect:rush, count:3, val:0.4]</v>
      </c>
      <c r="H48" s="62">
        <f t="shared" si="1"/>
        <v>9</v>
      </c>
      <c r="I48" s="62">
        <f t="shared" si="2"/>
        <v>13</v>
      </c>
      <c r="J48" s="62" t="e">
        <f t="shared" si="3"/>
        <v>#VALUE!</v>
      </c>
      <c r="K48" s="62">
        <f t="shared" si="4"/>
        <v>22</v>
      </c>
      <c r="L48" s="62" t="str">
        <f>IFERROR(VLOOKUP(MID(G48,J48,K48-J48),[6]skilldef!$C:$D,2,FALSE),"-") &amp; " / " &amp; IFERROR(VLOOKUP(MID(G48,H48,I48-H48),[6]skilldef!$A:$B,2,FALSE),"-")</f>
        <v>- / 連続攻撃</v>
      </c>
      <c r="M48" s="62" t="str">
        <f t="shared" si="5"/>
        <v>none</v>
      </c>
      <c r="N48" s="47" t="str">
        <f t="shared" si="6"/>
        <v>none</v>
      </c>
      <c r="O48" s="62" t="e">
        <f t="shared" si="7"/>
        <v>#VALUE!</v>
      </c>
      <c r="P48" s="62">
        <f t="shared" si="8"/>
        <v>4</v>
      </c>
      <c r="Q48" s="62" t="e">
        <f t="shared" si="9"/>
        <v>#VALUE!</v>
      </c>
      <c r="R48" s="62" t="e">
        <f t="shared" si="10"/>
        <v>#VALUE!</v>
      </c>
      <c r="S48" s="62" t="str">
        <f>IFERROR(VLOOKUP(MID(N48,Q48,R48-Q48),[6]skilldef!$C:$D,2,FALSE),"-") &amp; " / " &amp; IFERROR(VLOOKUP(MID(N48,O48,P48-O48),[6]skilldef!$A:$B,2,FALSE),"-")</f>
        <v>- / -</v>
      </c>
      <c r="T48" s="47" t="str">
        <f t="shared" si="11"/>
        <v>none</v>
      </c>
      <c r="U48" s="62" t="e">
        <f t="shared" si="12"/>
        <v>#VALUE!</v>
      </c>
      <c r="V48" s="62">
        <f t="shared" si="13"/>
        <v>4</v>
      </c>
      <c r="W48" s="62" t="e">
        <f t="shared" si="14"/>
        <v>#VALUE!</v>
      </c>
      <c r="X48" s="62" t="e">
        <f t="shared" si="15"/>
        <v>#VALUE!</v>
      </c>
      <c r="Y48" s="62" t="str">
        <f>IFERROR(VLOOKUP(MID(T48,W48,X48-W48),[6]skilldef!$C:$D,2,FALSE),"-") &amp; " / " &amp; IFERROR(VLOOKUP(MID(T48,U48,V48-U48),[6]skilldef!$A:$B,2,FALSE),"-")</f>
        <v>- / -</v>
      </c>
      <c r="Z48" s="49"/>
      <c r="AA48" s="51"/>
      <c r="AB48" s="49"/>
    </row>
    <row r="49" spans="1:28" ht="21" customHeight="1" x14ac:dyDescent="0.15">
      <c r="A49" s="46">
        <v>40014047</v>
      </c>
      <c r="B49" s="46" t="s">
        <v>236</v>
      </c>
      <c r="C49" s="49">
        <v>3</v>
      </c>
      <c r="D49" s="49" t="s">
        <v>128</v>
      </c>
      <c r="E49" s="50" t="s">
        <v>273</v>
      </c>
      <c r="F49" s="50" t="s">
        <v>264</v>
      </c>
      <c r="G49" s="62" t="str">
        <f t="shared" si="0"/>
        <v>[effect:critical, val:1.5]</v>
      </c>
      <c r="H49" s="62">
        <f t="shared" si="1"/>
        <v>9</v>
      </c>
      <c r="I49" s="62">
        <f t="shared" si="2"/>
        <v>17</v>
      </c>
      <c r="J49" s="62" t="e">
        <f t="shared" si="3"/>
        <v>#VALUE!</v>
      </c>
      <c r="K49" s="62" t="e">
        <f t="shared" si="4"/>
        <v>#VALUE!</v>
      </c>
      <c r="L49" s="62" t="str">
        <f>IFERROR(VLOOKUP(MID(G49,J49,K49-J49),[6]skilldef!$C:$D,2,FALSE),"-") &amp; " / " &amp; IFERROR(VLOOKUP(MID(G49,H49,I49-H49),[6]skilldef!$A:$B,2,FALSE),"-")</f>
        <v>- / 大攻撃</v>
      </c>
      <c r="M49" s="62" t="str">
        <f t="shared" si="5"/>
        <v>none</v>
      </c>
      <c r="N49" s="47" t="str">
        <f t="shared" si="6"/>
        <v>none</v>
      </c>
      <c r="O49" s="62" t="e">
        <f t="shared" si="7"/>
        <v>#VALUE!</v>
      </c>
      <c r="P49" s="62">
        <f t="shared" si="8"/>
        <v>4</v>
      </c>
      <c r="Q49" s="62" t="e">
        <f t="shared" si="9"/>
        <v>#VALUE!</v>
      </c>
      <c r="R49" s="62" t="e">
        <f t="shared" si="10"/>
        <v>#VALUE!</v>
      </c>
      <c r="S49" s="62" t="str">
        <f>IFERROR(VLOOKUP(MID(N49,Q49,R49-Q49),[6]skilldef!$C:$D,2,FALSE),"-") &amp; " / " &amp; IFERROR(VLOOKUP(MID(N49,O49,P49-O49),[6]skilldef!$A:$B,2,FALSE),"-")</f>
        <v>- / -</v>
      </c>
      <c r="T49" s="47" t="str">
        <f t="shared" si="11"/>
        <v>none</v>
      </c>
      <c r="U49" s="62" t="e">
        <f t="shared" si="12"/>
        <v>#VALUE!</v>
      </c>
      <c r="V49" s="62">
        <f t="shared" si="13"/>
        <v>4</v>
      </c>
      <c r="W49" s="62" t="e">
        <f t="shared" si="14"/>
        <v>#VALUE!</v>
      </c>
      <c r="X49" s="62" t="e">
        <f t="shared" si="15"/>
        <v>#VALUE!</v>
      </c>
      <c r="Y49" s="62" t="str">
        <f>IFERROR(VLOOKUP(MID(T49,W49,X49-W49),[6]skilldef!$C:$D,2,FALSE),"-") &amp; " / " &amp; IFERROR(VLOOKUP(MID(T49,U49,V49-U49),[6]skilldef!$A:$B,2,FALSE),"-")</f>
        <v>- / -</v>
      </c>
      <c r="Z49" s="49"/>
      <c r="AA49" s="51"/>
      <c r="AB49" s="49"/>
    </row>
    <row r="50" spans="1:28" ht="21" customHeight="1" x14ac:dyDescent="0.15">
      <c r="A50" s="46">
        <v>40014048</v>
      </c>
      <c r="B50" s="46" t="s">
        <v>238</v>
      </c>
      <c r="C50" s="49">
        <v>3</v>
      </c>
      <c r="D50" s="49" t="s">
        <v>128</v>
      </c>
      <c r="E50" s="50" t="s">
        <v>278</v>
      </c>
      <c r="F50" s="50" t="s">
        <v>269</v>
      </c>
      <c r="G50" s="62" t="str">
        <f t="shared" si="0"/>
        <v>[effect:damage_anti_color, target:unit_all, color:blue, val1:0.4, val2:0.1]</v>
      </c>
      <c r="H50" s="62">
        <f t="shared" si="1"/>
        <v>9</v>
      </c>
      <c r="I50" s="62">
        <f t="shared" si="2"/>
        <v>26</v>
      </c>
      <c r="J50" s="62">
        <f t="shared" si="3"/>
        <v>35</v>
      </c>
      <c r="K50" s="62">
        <f t="shared" si="4"/>
        <v>43</v>
      </c>
      <c r="L50" s="62" t="str">
        <f>IFERROR(VLOOKUP(MID(G50,J50,K50-J50),[6]skilldef!$C:$D,2,FALSE),"-") &amp; " / " &amp; IFERROR(VLOOKUP(MID(G50,H50,I50-H50),[6]skilldef!$A:$B,2,FALSE),"-")</f>
        <v>味方全体に / 属性キラー</v>
      </c>
      <c r="M50" s="62" t="str">
        <f t="shared" si="5"/>
        <v>none</v>
      </c>
      <c r="N50" s="47" t="str">
        <f t="shared" si="6"/>
        <v>none</v>
      </c>
      <c r="O50" s="62" t="e">
        <f t="shared" si="7"/>
        <v>#VALUE!</v>
      </c>
      <c r="P50" s="62">
        <f t="shared" si="8"/>
        <v>4</v>
      </c>
      <c r="Q50" s="62" t="e">
        <f t="shared" si="9"/>
        <v>#VALUE!</v>
      </c>
      <c r="R50" s="62" t="e">
        <f t="shared" si="10"/>
        <v>#VALUE!</v>
      </c>
      <c r="S50" s="62" t="str">
        <f>IFERROR(VLOOKUP(MID(N50,Q50,R50-Q50),[6]skilldef!$C:$D,2,FALSE),"-") &amp; " / " &amp; IFERROR(VLOOKUP(MID(N50,O50,P50-O50),[6]skilldef!$A:$B,2,FALSE),"-")</f>
        <v>- / -</v>
      </c>
      <c r="T50" s="47" t="str">
        <f t="shared" si="11"/>
        <v>none</v>
      </c>
      <c r="U50" s="62" t="e">
        <f t="shared" si="12"/>
        <v>#VALUE!</v>
      </c>
      <c r="V50" s="62">
        <f t="shared" si="13"/>
        <v>4</v>
      </c>
      <c r="W50" s="62" t="e">
        <f t="shared" si="14"/>
        <v>#VALUE!</v>
      </c>
      <c r="X50" s="62" t="e">
        <f t="shared" si="15"/>
        <v>#VALUE!</v>
      </c>
      <c r="Y50" s="62" t="str">
        <f>IFERROR(VLOOKUP(MID(T50,W50,X50-W50),[6]skilldef!$C:$D,2,FALSE),"-") &amp; " / " &amp; IFERROR(VLOOKUP(MID(T50,U50,V50-U50),[6]skilldef!$A:$B,2,FALSE),"-")</f>
        <v>- / -</v>
      </c>
      <c r="Z50" s="49"/>
      <c r="AA50" s="51"/>
      <c r="AB50" s="49"/>
    </row>
    <row r="51" spans="1:28" ht="21" customHeight="1" x14ac:dyDescent="0.15">
      <c r="A51" s="46">
        <v>40014049</v>
      </c>
      <c r="B51" s="46" t="s">
        <v>233</v>
      </c>
      <c r="C51" s="49">
        <v>3</v>
      </c>
      <c r="D51" s="49" t="s">
        <v>128</v>
      </c>
      <c r="E51" s="50" t="s">
        <v>281</v>
      </c>
      <c r="F51" s="50" t="s">
        <v>283</v>
      </c>
      <c r="G51" s="62" t="str">
        <f t="shared" si="0"/>
        <v>[effect:panel_freeze, target:block_all, color:block_yellow, count:-1, break_count:1]</v>
      </c>
      <c r="H51" s="62">
        <f t="shared" si="1"/>
        <v>9</v>
      </c>
      <c r="I51" s="62">
        <f t="shared" si="2"/>
        <v>21</v>
      </c>
      <c r="J51" s="62">
        <f t="shared" si="3"/>
        <v>30</v>
      </c>
      <c r="K51" s="62">
        <f t="shared" si="4"/>
        <v>39</v>
      </c>
      <c r="L51" s="62" t="str">
        <f>IFERROR(VLOOKUP(MID(G51,J51,K51-J51),[6]skilldef!$C:$D,2,FALSE),"-") &amp; " / " &amp; IFERROR(VLOOKUP(MID(G51,H51,I51-H51),[6]skilldef!$A:$B,2,FALSE),"-")</f>
        <v>- / -</v>
      </c>
      <c r="M51" s="62" t="str">
        <f t="shared" si="5"/>
        <v>none</v>
      </c>
      <c r="N51" s="47" t="str">
        <f>IFERROR(LEFT(M51,FIND("],",M51)+S62),M51)</f>
        <v>none</v>
      </c>
      <c r="O51" s="62" t="e">
        <f t="shared" si="7"/>
        <v>#VALUE!</v>
      </c>
      <c r="P51" s="62">
        <f t="shared" si="8"/>
        <v>4</v>
      </c>
      <c r="Q51" s="62" t="e">
        <f t="shared" si="9"/>
        <v>#VALUE!</v>
      </c>
      <c r="R51" s="62" t="e">
        <f t="shared" si="10"/>
        <v>#VALUE!</v>
      </c>
      <c r="S51" s="62" t="str">
        <f>IFERROR(VLOOKUP(MID(N51,Q51,R51-Q51),[6]skilldef!$C:$D,2,FALSE),"-") &amp; " / " &amp; IFERROR(VLOOKUP(MID(N51,O51,P51-O51),[6]skilldef!$A:$B,2,FALSE),"-")</f>
        <v>- / -</v>
      </c>
      <c r="T51" s="47" t="str">
        <f t="shared" si="11"/>
        <v>none</v>
      </c>
      <c r="U51" s="62" t="e">
        <f t="shared" si="12"/>
        <v>#VALUE!</v>
      </c>
      <c r="V51" s="62">
        <f t="shared" si="13"/>
        <v>4</v>
      </c>
      <c r="W51" s="62" t="e">
        <f t="shared" si="14"/>
        <v>#VALUE!</v>
      </c>
      <c r="X51" s="62" t="e">
        <f t="shared" si="15"/>
        <v>#VALUE!</v>
      </c>
      <c r="Y51" s="62" t="str">
        <f>IFERROR(VLOOKUP(MID(T51,W51,X51-W51),[6]skilldef!$C:$D,2,FALSE),"-") &amp; " / " &amp; IFERROR(VLOOKUP(MID(T51,U51,V51-U51),[6]skilldef!$A:$B,2,FALSE),"-")</f>
        <v>- / -</v>
      </c>
      <c r="Z51" s="49"/>
      <c r="AA51" s="51"/>
      <c r="AB51" s="49"/>
    </row>
    <row r="52" spans="1:28" ht="21" customHeight="1" x14ac:dyDescent="0.15">
      <c r="A52" s="46">
        <v>40014050</v>
      </c>
      <c r="B52" s="46" t="s">
        <v>215</v>
      </c>
      <c r="C52" s="49">
        <v>3</v>
      </c>
      <c r="D52" s="49" t="s">
        <v>128</v>
      </c>
      <c r="E52" s="50" t="s">
        <v>225</v>
      </c>
      <c r="F52" s="50" t="s">
        <v>217</v>
      </c>
      <c r="G52" s="62" t="str">
        <f t="shared" si="0"/>
        <v>[effect:nothing]</v>
      </c>
      <c r="H52" s="62">
        <f t="shared" si="1"/>
        <v>9</v>
      </c>
      <c r="I52" s="62">
        <f t="shared" si="2"/>
        <v>16</v>
      </c>
      <c r="J52" s="62" t="e">
        <f t="shared" si="3"/>
        <v>#VALUE!</v>
      </c>
      <c r="K52" s="62" t="e">
        <f t="shared" si="4"/>
        <v>#VALUE!</v>
      </c>
      <c r="L52" s="62" t="str">
        <f>IFERROR(VLOOKUP(MID(G52,J52,K52-J52),[6]skilldef!$C:$D,2,FALSE),"-") &amp; " / " &amp; IFERROR(VLOOKUP(MID(G52,H52,I52-H52),[6]skilldef!$A:$B,2,FALSE),"-")</f>
        <v>- / 何もしない</v>
      </c>
      <c r="M52" s="62" t="str">
        <f t="shared" si="5"/>
        <v>none</v>
      </c>
      <c r="N52" s="47" t="str">
        <f>IFERROR(LEFT(M52,FIND("],",M52)+#REF!),M52)</f>
        <v>none</v>
      </c>
      <c r="O52" s="62" t="e">
        <f t="shared" si="7"/>
        <v>#VALUE!</v>
      </c>
      <c r="P52" s="62">
        <f t="shared" si="8"/>
        <v>4</v>
      </c>
      <c r="Q52" s="62" t="e">
        <f t="shared" si="9"/>
        <v>#VALUE!</v>
      </c>
      <c r="R52" s="62" t="e">
        <f t="shared" si="10"/>
        <v>#VALUE!</v>
      </c>
      <c r="S52" s="62" t="str">
        <f>IFERROR(VLOOKUP(MID(N52,Q52,R52-Q52),[6]skilldef!$C:$D,2,FALSE),"-") &amp; " / " &amp; IFERROR(VLOOKUP(MID(N52,O52,P52-O52),[6]skilldef!$A:$B,2,FALSE),"-")</f>
        <v>- / -</v>
      </c>
      <c r="T52" s="47" t="str">
        <f t="shared" si="11"/>
        <v>none</v>
      </c>
      <c r="U52" s="62" t="e">
        <f t="shared" si="12"/>
        <v>#VALUE!</v>
      </c>
      <c r="V52" s="62">
        <f t="shared" si="13"/>
        <v>4</v>
      </c>
      <c r="W52" s="62" t="e">
        <f t="shared" si="14"/>
        <v>#VALUE!</v>
      </c>
      <c r="X52" s="62" t="e">
        <f t="shared" si="15"/>
        <v>#VALUE!</v>
      </c>
      <c r="Y52" s="62" t="str">
        <f>IFERROR(VLOOKUP(MID(T52,W52,X52-W52),[6]skilldef!$C:$D,2,FALSE),"-") &amp; " / " &amp; IFERROR(VLOOKUP(MID(T52,U52,V52-U52),[6]skilldef!$A:$B,2,FALSE),"-")</f>
        <v>- / -</v>
      </c>
      <c r="Z52" s="49"/>
      <c r="AA52" s="51"/>
      <c r="AB52" s="49"/>
    </row>
    <row r="53" spans="1:28" ht="21" customHeight="1" x14ac:dyDescent="0.15">
      <c r="A53" s="46">
        <v>40014051</v>
      </c>
      <c r="B53" s="46" t="s">
        <v>215</v>
      </c>
      <c r="C53" s="49">
        <v>3</v>
      </c>
      <c r="D53" s="49" t="s">
        <v>128</v>
      </c>
      <c r="E53" s="50" t="s">
        <v>225</v>
      </c>
      <c r="F53" s="50" t="s">
        <v>217</v>
      </c>
      <c r="G53" s="62" t="str">
        <f t="shared" si="0"/>
        <v>[effect:nothing]</v>
      </c>
      <c r="H53" s="62">
        <f t="shared" si="1"/>
        <v>9</v>
      </c>
      <c r="I53" s="62">
        <f t="shared" si="2"/>
        <v>16</v>
      </c>
      <c r="J53" s="62" t="e">
        <f t="shared" si="3"/>
        <v>#VALUE!</v>
      </c>
      <c r="K53" s="62" t="e">
        <f t="shared" si="4"/>
        <v>#VALUE!</v>
      </c>
      <c r="L53" s="62" t="str">
        <f>IFERROR(VLOOKUP(MID(G53,J53,K53-J53),[6]skilldef!$C:$D,2,FALSE),"-") &amp; " / " &amp; IFERROR(VLOOKUP(MID(G53,H53,I53-H53),[6]skilldef!$A:$B,2,FALSE),"-")</f>
        <v>- / 何もしない</v>
      </c>
      <c r="M53" s="62" t="str">
        <f t="shared" si="5"/>
        <v>none</v>
      </c>
      <c r="N53" s="47" t="str">
        <f>IFERROR(LEFT(M53,FIND("],",M53)+S63),M53)</f>
        <v>none</v>
      </c>
      <c r="O53" s="62" t="e">
        <f t="shared" si="7"/>
        <v>#VALUE!</v>
      </c>
      <c r="P53" s="62">
        <f t="shared" si="8"/>
        <v>4</v>
      </c>
      <c r="Q53" s="62" t="e">
        <f t="shared" si="9"/>
        <v>#VALUE!</v>
      </c>
      <c r="R53" s="62" t="e">
        <f t="shared" si="10"/>
        <v>#VALUE!</v>
      </c>
      <c r="S53" s="62" t="str">
        <f>IFERROR(VLOOKUP(MID(N53,Q53,R53-Q53),[6]skilldef!$C:$D,2,FALSE),"-") &amp; " / " &amp; IFERROR(VLOOKUP(MID(N53,O53,P53-O53),[6]skilldef!$A:$B,2,FALSE),"-")</f>
        <v>- / -</v>
      </c>
      <c r="T53" s="47" t="str">
        <f t="shared" si="11"/>
        <v>none</v>
      </c>
      <c r="U53" s="62" t="e">
        <f t="shared" si="12"/>
        <v>#VALUE!</v>
      </c>
      <c r="V53" s="62">
        <f t="shared" si="13"/>
        <v>4</v>
      </c>
      <c r="W53" s="62" t="e">
        <f t="shared" si="14"/>
        <v>#VALUE!</v>
      </c>
      <c r="X53" s="62" t="e">
        <f t="shared" si="15"/>
        <v>#VALUE!</v>
      </c>
      <c r="Y53" s="62" t="str">
        <f>IFERROR(VLOOKUP(MID(T53,W53,X53-W53),[6]skilldef!$C:$D,2,FALSE),"-") &amp; " / " &amp; IFERROR(VLOOKUP(MID(T53,U53,V53-U53),[6]skilldef!$A:$B,2,FALSE),"-")</f>
        <v>- / -</v>
      </c>
      <c r="Z53" s="49"/>
      <c r="AA53" s="51"/>
      <c r="AB53" s="49"/>
    </row>
    <row r="54" spans="1:28" ht="21" customHeight="1" x14ac:dyDescent="0.15">
      <c r="A54" s="46">
        <v>40014052</v>
      </c>
      <c r="B54" s="46" t="s">
        <v>215</v>
      </c>
      <c r="C54" s="49">
        <v>3</v>
      </c>
      <c r="D54" s="49" t="s">
        <v>128</v>
      </c>
      <c r="E54" s="50" t="s">
        <v>225</v>
      </c>
      <c r="F54" s="50" t="s">
        <v>217</v>
      </c>
      <c r="G54" s="62" t="str">
        <f t="shared" si="0"/>
        <v>[effect:nothing]</v>
      </c>
      <c r="H54" s="62">
        <f t="shared" si="1"/>
        <v>9</v>
      </c>
      <c r="I54" s="62">
        <f t="shared" si="2"/>
        <v>16</v>
      </c>
      <c r="J54" s="62" t="e">
        <f t="shared" si="3"/>
        <v>#VALUE!</v>
      </c>
      <c r="K54" s="62" t="e">
        <f t="shared" si="4"/>
        <v>#VALUE!</v>
      </c>
      <c r="L54" s="62" t="str">
        <f>IFERROR(VLOOKUP(MID(G54,J54,K54-J54),[6]skilldef!$C:$D,2,FALSE),"-") &amp; " / " &amp; IFERROR(VLOOKUP(MID(G54,H54,I54-H54),[6]skilldef!$A:$B,2,FALSE),"-")</f>
        <v>- / 何もしない</v>
      </c>
      <c r="M54" s="62" t="str">
        <f t="shared" si="5"/>
        <v>none</v>
      </c>
      <c r="N54" s="47" t="str">
        <f>IFERROR(LEFT(M54,FIND("],",M54)+S64),M54)</f>
        <v>none</v>
      </c>
      <c r="O54" s="62" t="e">
        <f t="shared" si="7"/>
        <v>#VALUE!</v>
      </c>
      <c r="P54" s="62">
        <f t="shared" si="8"/>
        <v>4</v>
      </c>
      <c r="Q54" s="62" t="e">
        <f t="shared" si="9"/>
        <v>#VALUE!</v>
      </c>
      <c r="R54" s="62" t="e">
        <f t="shared" si="10"/>
        <v>#VALUE!</v>
      </c>
      <c r="S54" s="62" t="str">
        <f>IFERROR(VLOOKUP(MID(N54,Q54,R54-Q54),[6]skilldef!$C:$D,2,FALSE),"-") &amp; " / " &amp; IFERROR(VLOOKUP(MID(N54,O54,P54-O54),[6]skilldef!$A:$B,2,FALSE),"-")</f>
        <v>- / -</v>
      </c>
      <c r="T54" s="47" t="str">
        <f t="shared" si="11"/>
        <v>none</v>
      </c>
      <c r="U54" s="62" t="e">
        <f t="shared" si="12"/>
        <v>#VALUE!</v>
      </c>
      <c r="V54" s="62">
        <f t="shared" si="13"/>
        <v>4</v>
      </c>
      <c r="W54" s="62" t="e">
        <f t="shared" si="14"/>
        <v>#VALUE!</v>
      </c>
      <c r="X54" s="62" t="e">
        <f t="shared" si="15"/>
        <v>#VALUE!</v>
      </c>
      <c r="Y54" s="62" t="str">
        <f>IFERROR(VLOOKUP(MID(T54,W54,X54-W54),[6]skilldef!$C:$D,2,FALSE),"-") &amp; " / " &amp; IFERROR(VLOOKUP(MID(T54,U54,V54-U54),[6]skilldef!$A:$B,2,FALSE),"-")</f>
        <v>- / -</v>
      </c>
      <c r="Z54" s="49"/>
      <c r="AA54" s="51"/>
      <c r="AB54" s="49"/>
    </row>
    <row r="55" spans="1:28" ht="21" customHeight="1" x14ac:dyDescent="0.15">
      <c r="A55" s="46">
        <v>40014053</v>
      </c>
      <c r="B55" s="46" t="s">
        <v>215</v>
      </c>
      <c r="C55" s="49">
        <v>3</v>
      </c>
      <c r="D55" s="49" t="s">
        <v>128</v>
      </c>
      <c r="E55" s="50" t="s">
        <v>225</v>
      </c>
      <c r="F55" s="50" t="s">
        <v>217</v>
      </c>
      <c r="G55" s="62" t="str">
        <f t="shared" si="0"/>
        <v>[effect:nothing]</v>
      </c>
      <c r="H55" s="62">
        <f t="shared" si="1"/>
        <v>9</v>
      </c>
      <c r="I55" s="62">
        <f t="shared" si="2"/>
        <v>16</v>
      </c>
      <c r="J55" s="62" t="e">
        <f t="shared" si="3"/>
        <v>#VALUE!</v>
      </c>
      <c r="K55" s="62" t="e">
        <f t="shared" si="4"/>
        <v>#VALUE!</v>
      </c>
      <c r="L55" s="62" t="str">
        <f>IFERROR(VLOOKUP(MID(G55,J55,K55-J55),[6]skilldef!$C:$D,2,FALSE),"-") &amp; " / " &amp; IFERROR(VLOOKUP(MID(G55,H55,I55-H55),[6]skilldef!$A:$B,2,FALSE),"-")</f>
        <v>- / 何もしない</v>
      </c>
      <c r="M55" s="62" t="str">
        <f t="shared" si="5"/>
        <v>none</v>
      </c>
      <c r="N55" s="47" t="str">
        <f>IFERROR(LEFT(M55,FIND("],",M55)+S65),M55)</f>
        <v>none</v>
      </c>
      <c r="O55" s="62" t="e">
        <f t="shared" si="7"/>
        <v>#VALUE!</v>
      </c>
      <c r="P55" s="62">
        <f t="shared" si="8"/>
        <v>4</v>
      </c>
      <c r="Q55" s="62" t="e">
        <f t="shared" si="9"/>
        <v>#VALUE!</v>
      </c>
      <c r="R55" s="62" t="e">
        <f t="shared" si="10"/>
        <v>#VALUE!</v>
      </c>
      <c r="S55" s="62" t="str">
        <f>IFERROR(VLOOKUP(MID(N55,Q55,R55-Q55),[6]skilldef!$C:$D,2,FALSE),"-") &amp; " / " &amp; IFERROR(VLOOKUP(MID(N55,O55,P55-O55),[6]skilldef!$A:$B,2,FALSE),"-")</f>
        <v>- / -</v>
      </c>
      <c r="T55" s="47" t="str">
        <f t="shared" si="11"/>
        <v>none</v>
      </c>
      <c r="U55" s="62" t="e">
        <f t="shared" si="12"/>
        <v>#VALUE!</v>
      </c>
      <c r="V55" s="62">
        <f t="shared" si="13"/>
        <v>4</v>
      </c>
      <c r="W55" s="62" t="e">
        <f t="shared" si="14"/>
        <v>#VALUE!</v>
      </c>
      <c r="X55" s="62" t="e">
        <f t="shared" si="15"/>
        <v>#VALUE!</v>
      </c>
      <c r="Y55" s="62" t="str">
        <f>IFERROR(VLOOKUP(MID(T55,W55,X55-W55),[6]skilldef!$C:$D,2,FALSE),"-") &amp; " / " &amp; IFERROR(VLOOKUP(MID(T55,U55,V55-U55),[6]skilldef!$A:$B,2,FALSE),"-")</f>
        <v>- / -</v>
      </c>
      <c r="Z55" s="49"/>
      <c r="AA55" s="51"/>
      <c r="AB55" s="49"/>
    </row>
    <row r="56" spans="1:28" ht="21" customHeight="1" x14ac:dyDescent="0.15">
      <c r="A56" s="46">
        <v>40014054</v>
      </c>
      <c r="B56" s="46" t="s">
        <v>215</v>
      </c>
      <c r="C56" s="49">
        <v>3</v>
      </c>
      <c r="D56" s="49" t="s">
        <v>128</v>
      </c>
      <c r="E56" s="50" t="s">
        <v>225</v>
      </c>
      <c r="F56" s="50" t="s">
        <v>217</v>
      </c>
      <c r="G56" s="62" t="str">
        <f t="shared" si="0"/>
        <v>[effect:nothing]</v>
      </c>
      <c r="H56" s="62">
        <f t="shared" si="1"/>
        <v>9</v>
      </c>
      <c r="I56" s="62">
        <f t="shared" si="2"/>
        <v>16</v>
      </c>
      <c r="J56" s="62" t="e">
        <f t="shared" si="3"/>
        <v>#VALUE!</v>
      </c>
      <c r="K56" s="62" t="e">
        <f t="shared" si="4"/>
        <v>#VALUE!</v>
      </c>
      <c r="L56" s="62" t="str">
        <f>IFERROR(VLOOKUP(MID(G56,J56,K56-J56),[6]skilldef!$C:$D,2,FALSE),"-") &amp; " / " &amp; IFERROR(VLOOKUP(MID(G56,H56,I56-H56),[6]skilldef!$A:$B,2,FALSE),"-")</f>
        <v>- / 何もしない</v>
      </c>
      <c r="M56" s="62" t="str">
        <f t="shared" si="5"/>
        <v>none</v>
      </c>
      <c r="N56" s="47" t="str">
        <f>IFERROR(LEFT(M56,FIND("],",M56)+#REF!),M56)</f>
        <v>none</v>
      </c>
      <c r="O56" s="62" t="e">
        <f t="shared" si="7"/>
        <v>#VALUE!</v>
      </c>
      <c r="P56" s="62">
        <f t="shared" si="8"/>
        <v>4</v>
      </c>
      <c r="Q56" s="62" t="e">
        <f t="shared" si="9"/>
        <v>#VALUE!</v>
      </c>
      <c r="R56" s="62" t="e">
        <f t="shared" si="10"/>
        <v>#VALUE!</v>
      </c>
      <c r="S56" s="62" t="str">
        <f>IFERROR(VLOOKUP(MID(N56,Q56,R56-Q56),[6]skilldef!$C:$D,2,FALSE),"-") &amp; " / " &amp; IFERROR(VLOOKUP(MID(N56,O56,P56-O56),[6]skilldef!$A:$B,2,FALSE),"-")</f>
        <v>- / -</v>
      </c>
      <c r="T56" s="47" t="str">
        <f t="shared" si="11"/>
        <v>none</v>
      </c>
      <c r="U56" s="62" t="e">
        <f t="shared" si="12"/>
        <v>#VALUE!</v>
      </c>
      <c r="V56" s="62">
        <f t="shared" si="13"/>
        <v>4</v>
      </c>
      <c r="W56" s="62" t="e">
        <f t="shared" si="14"/>
        <v>#VALUE!</v>
      </c>
      <c r="X56" s="62" t="e">
        <f t="shared" si="15"/>
        <v>#VALUE!</v>
      </c>
      <c r="Y56" s="62" t="str">
        <f>IFERROR(VLOOKUP(MID(T56,W56,X56-W56),[6]skilldef!$C:$D,2,FALSE),"-") &amp; " / " &amp; IFERROR(VLOOKUP(MID(T56,U56,V56-U56),[6]skilldef!$A:$B,2,FALSE),"-")</f>
        <v>- / -</v>
      </c>
      <c r="Z56" s="49"/>
      <c r="AA56" s="51"/>
      <c r="AB56" s="49"/>
    </row>
    <row r="57" spans="1:28" ht="21" customHeight="1" x14ac:dyDescent="0.15">
      <c r="A57" s="46">
        <v>40014055</v>
      </c>
      <c r="B57" s="46" t="s">
        <v>234</v>
      </c>
      <c r="C57" s="49">
        <v>3</v>
      </c>
      <c r="D57" s="49" t="s">
        <v>128</v>
      </c>
      <c r="E57" s="50" t="s">
        <v>277</v>
      </c>
      <c r="F57" s="50" t="s">
        <v>275</v>
      </c>
      <c r="G57" s="62" t="str">
        <f t="shared" si="0"/>
        <v>[effect:tolerance, target:myself, turn:-1, tolerance_effect:sleep, count:-1]</v>
      </c>
      <c r="H57" s="62">
        <f t="shared" si="1"/>
        <v>9</v>
      </c>
      <c r="I57" s="62">
        <f t="shared" si="2"/>
        <v>18</v>
      </c>
      <c r="J57" s="62">
        <f t="shared" si="3"/>
        <v>27</v>
      </c>
      <c r="K57" s="62">
        <f t="shared" si="4"/>
        <v>33</v>
      </c>
      <c r="L57" s="62" t="str">
        <f>IFERROR(VLOOKUP(MID(G57,J57,K57-J57),[6]skilldef!$C:$D,2,FALSE),"-") &amp; " / " &amp; IFERROR(VLOOKUP(MID(G57,H57,I57-H57),[6]skilldef!$A:$B,2,FALSE),"-")</f>
        <v>自分自身に / 状態異常耐性</v>
      </c>
      <c r="M57" s="62" t="str">
        <f t="shared" si="5"/>
        <v>[effect:tolerance, target:myself, turn:-1, tolerance_effect:virus, count:-1],[effect:tolerance, target:myself, turn:-1, tolerance_effect:hungup, count:-1, animation:enemy_tolerance],[effect:change_attribute, target:myself, color:red, turn:-1, animation:change_attribute_red]</v>
      </c>
      <c r="N57" s="47" t="str">
        <f>IFERROR(LEFT(M57,FIND("],",M57)+S66),M57)</f>
        <v>[effect:tolerance, target:myself, turn:-1, tolerance_effect:virus, count:-1]</v>
      </c>
      <c r="O57" s="62">
        <f t="shared" si="7"/>
        <v>9</v>
      </c>
      <c r="P57" s="62">
        <f t="shared" si="8"/>
        <v>18</v>
      </c>
      <c r="Q57" s="62">
        <f t="shared" si="9"/>
        <v>27</v>
      </c>
      <c r="R57" s="62">
        <f t="shared" si="10"/>
        <v>33</v>
      </c>
      <c r="S57" s="62" t="str">
        <f>IFERROR(VLOOKUP(MID(N57,Q57,R57-Q57),[6]skilldef!$C:$D,2,FALSE),"-") &amp; " / " &amp; IFERROR(VLOOKUP(MID(N57,O57,P57-O57),[6]skilldef!$A:$B,2,FALSE),"-")</f>
        <v>自分自身に / 状態異常耐性</v>
      </c>
      <c r="T57" s="47" t="str">
        <f t="shared" si="11"/>
        <v>[effect:tolerance, target:myself, turn:-1, tolerance_effect:hungup, count:-1, animation:enemy_tolerance],[effect:change_attribute, target:myself, color:red, turn:-1, animation:change_attribute_red]</v>
      </c>
      <c r="U57" s="62">
        <f t="shared" si="12"/>
        <v>9</v>
      </c>
      <c r="V57" s="62">
        <f t="shared" si="13"/>
        <v>18</v>
      </c>
      <c r="W57" s="62">
        <f t="shared" si="14"/>
        <v>27</v>
      </c>
      <c r="X57" s="62">
        <f t="shared" si="15"/>
        <v>33</v>
      </c>
      <c r="Y57" s="62" t="str">
        <f>IFERROR(VLOOKUP(MID(T57,W57,X57-W57),[6]skilldef!$C:$D,2,FALSE),"-") &amp; " / " &amp; IFERROR(VLOOKUP(MID(T57,U57,V57-U57),[6]skilldef!$A:$B,2,FALSE),"-")</f>
        <v>自分自身に / 状態異常耐性</v>
      </c>
      <c r="Z57" s="49"/>
      <c r="AA57" s="51"/>
      <c r="AB57" s="49"/>
    </row>
    <row r="58" spans="1:28" ht="21" customHeight="1" x14ac:dyDescent="0.15">
      <c r="A58" s="46">
        <v>40014056</v>
      </c>
      <c r="B58" s="46" t="s">
        <v>249</v>
      </c>
      <c r="C58" s="49">
        <v>3</v>
      </c>
      <c r="D58" s="49" t="s">
        <v>128</v>
      </c>
      <c r="E58" s="50" t="s">
        <v>271</v>
      </c>
      <c r="F58" s="50" t="s">
        <v>272</v>
      </c>
      <c r="G58" s="62" t="str">
        <f t="shared" si="0"/>
        <v>[effect:rush, count:3, val:0.4]</v>
      </c>
      <c r="H58" s="62">
        <f t="shared" si="1"/>
        <v>9</v>
      </c>
      <c r="I58" s="62">
        <f t="shared" si="2"/>
        <v>13</v>
      </c>
      <c r="J58" s="62" t="e">
        <f t="shared" si="3"/>
        <v>#VALUE!</v>
      </c>
      <c r="K58" s="62">
        <f t="shared" si="4"/>
        <v>22</v>
      </c>
      <c r="L58" s="62" t="str">
        <f>IFERROR(VLOOKUP(MID(G58,J58,K58-J58),[6]skilldef!$C:$D,2,FALSE),"-") &amp; " / " &amp; IFERROR(VLOOKUP(MID(G58,H58,I58-H58),[6]skilldef!$A:$B,2,FALSE),"-")</f>
        <v>- / 連続攻撃</v>
      </c>
      <c r="M58" s="62" t="str">
        <f t="shared" si="5"/>
        <v>none</v>
      </c>
      <c r="N58" s="47" t="str">
        <f>IFERROR(LEFT(M58,FIND("],",M58)+S67),M58)</f>
        <v>none</v>
      </c>
      <c r="O58" s="62" t="e">
        <f t="shared" si="7"/>
        <v>#VALUE!</v>
      </c>
      <c r="P58" s="62">
        <f t="shared" si="8"/>
        <v>4</v>
      </c>
      <c r="Q58" s="62" t="e">
        <f t="shared" si="9"/>
        <v>#VALUE!</v>
      </c>
      <c r="R58" s="62" t="e">
        <f t="shared" si="10"/>
        <v>#VALUE!</v>
      </c>
      <c r="S58" s="62" t="str">
        <f>IFERROR(VLOOKUP(MID(N58,Q58,R58-Q58),[6]skilldef!$C:$D,2,FALSE),"-") &amp; " / " &amp; IFERROR(VLOOKUP(MID(N58,O58,P58-O58),[6]skilldef!$A:$B,2,FALSE),"-")</f>
        <v>- / -</v>
      </c>
      <c r="T58" s="47" t="str">
        <f t="shared" si="11"/>
        <v>none</v>
      </c>
      <c r="U58" s="62" t="e">
        <f t="shared" si="12"/>
        <v>#VALUE!</v>
      </c>
      <c r="V58" s="62">
        <f t="shared" si="13"/>
        <v>4</v>
      </c>
      <c r="W58" s="62" t="e">
        <f t="shared" si="14"/>
        <v>#VALUE!</v>
      </c>
      <c r="X58" s="62" t="e">
        <f t="shared" si="15"/>
        <v>#VALUE!</v>
      </c>
      <c r="Y58" s="62" t="str">
        <f>IFERROR(VLOOKUP(MID(T58,W58,X58-W58),[6]skilldef!$C:$D,2,FALSE),"-") &amp; " / " &amp; IFERROR(VLOOKUP(MID(T58,U58,V58-U58),[6]skilldef!$A:$B,2,FALSE),"-")</f>
        <v>- / -</v>
      </c>
      <c r="Z58" s="49"/>
      <c r="AA58" s="51"/>
      <c r="AB58" s="49"/>
    </row>
    <row r="59" spans="1:28" ht="21" customHeight="1" x14ac:dyDescent="0.15">
      <c r="A59" s="46">
        <v>40014057</v>
      </c>
      <c r="B59" s="46" t="s">
        <v>248</v>
      </c>
      <c r="C59" s="49">
        <v>3</v>
      </c>
      <c r="D59" s="49" t="s">
        <v>128</v>
      </c>
      <c r="E59" s="50" t="s">
        <v>273</v>
      </c>
      <c r="F59" s="50" t="s">
        <v>264</v>
      </c>
      <c r="G59" s="62" t="str">
        <f t="shared" si="0"/>
        <v>[effect:critical, val:1.5]</v>
      </c>
      <c r="H59" s="62">
        <f t="shared" si="1"/>
        <v>9</v>
      </c>
      <c r="I59" s="62">
        <f t="shared" si="2"/>
        <v>17</v>
      </c>
      <c r="J59" s="62" t="e">
        <f t="shared" si="3"/>
        <v>#VALUE!</v>
      </c>
      <c r="K59" s="62" t="e">
        <f t="shared" si="4"/>
        <v>#VALUE!</v>
      </c>
      <c r="L59" s="62" t="str">
        <f>IFERROR(VLOOKUP(MID(G59,J59,K59-J59),[6]skilldef!$C:$D,2,FALSE),"-") &amp; " / " &amp; IFERROR(VLOOKUP(MID(G59,H59,I59-H59),[6]skilldef!$A:$B,2,FALSE),"-")</f>
        <v>- / 大攻撃</v>
      </c>
      <c r="M59" s="62" t="str">
        <f t="shared" si="5"/>
        <v>none</v>
      </c>
      <c r="N59" s="47" t="str">
        <f>IFERROR(LEFT(M59,FIND("],",M59)+S68),M59)</f>
        <v>none</v>
      </c>
      <c r="O59" s="62" t="e">
        <f t="shared" si="7"/>
        <v>#VALUE!</v>
      </c>
      <c r="P59" s="62">
        <f t="shared" si="8"/>
        <v>4</v>
      </c>
      <c r="Q59" s="62" t="e">
        <f t="shared" si="9"/>
        <v>#VALUE!</v>
      </c>
      <c r="R59" s="62" t="e">
        <f t="shared" si="10"/>
        <v>#VALUE!</v>
      </c>
      <c r="S59" s="62" t="str">
        <f>IFERROR(VLOOKUP(MID(N59,Q59,R59-Q59),[6]skilldef!$C:$D,2,FALSE),"-") &amp; " / " &amp; IFERROR(VLOOKUP(MID(N59,O59,P59-O59),[6]skilldef!$A:$B,2,FALSE),"-")</f>
        <v>- / -</v>
      </c>
      <c r="T59" s="47" t="str">
        <f t="shared" si="11"/>
        <v>none</v>
      </c>
      <c r="U59" s="62" t="e">
        <f t="shared" si="12"/>
        <v>#VALUE!</v>
      </c>
      <c r="V59" s="62">
        <f t="shared" si="13"/>
        <v>4</v>
      </c>
      <c r="W59" s="62" t="e">
        <f t="shared" si="14"/>
        <v>#VALUE!</v>
      </c>
      <c r="X59" s="62" t="e">
        <f t="shared" si="15"/>
        <v>#VALUE!</v>
      </c>
      <c r="Y59" s="62" t="str">
        <f>IFERROR(VLOOKUP(MID(T59,W59,X59-W59),[6]skilldef!$C:$D,2,FALSE),"-") &amp; " / " &amp; IFERROR(VLOOKUP(MID(T59,U59,V59-U59),[6]skilldef!$A:$B,2,FALSE),"-")</f>
        <v>- / -</v>
      </c>
      <c r="Z59" s="49"/>
      <c r="AA59" s="51"/>
      <c r="AB59" s="49"/>
    </row>
    <row r="60" spans="1:28" ht="21" customHeight="1" x14ac:dyDescent="0.15">
      <c r="A60" s="46">
        <v>40014058</v>
      </c>
      <c r="B60" s="46" t="s">
        <v>240</v>
      </c>
      <c r="C60" s="49">
        <v>3</v>
      </c>
      <c r="D60" s="49" t="s">
        <v>128</v>
      </c>
      <c r="E60" s="50" t="s">
        <v>276</v>
      </c>
      <c r="F60" s="50" t="s">
        <v>270</v>
      </c>
      <c r="G60" s="62" t="str">
        <f t="shared" si="0"/>
        <v>[effect:damage_anti_color, target:unit_all, color:red, val1:0.5, val2:0.2]</v>
      </c>
      <c r="H60" s="62">
        <f t="shared" si="1"/>
        <v>9</v>
      </c>
      <c r="I60" s="62">
        <f t="shared" si="2"/>
        <v>26</v>
      </c>
      <c r="J60" s="62">
        <f t="shared" si="3"/>
        <v>35</v>
      </c>
      <c r="K60" s="62">
        <f t="shared" si="4"/>
        <v>43</v>
      </c>
      <c r="L60" s="62" t="str">
        <f>IFERROR(VLOOKUP(MID(G60,J60,K60-J60),[6]skilldef!$C:$D,2,FALSE),"-") &amp; " / " &amp; IFERROR(VLOOKUP(MID(G60,H60,I60-H60),[6]skilldef!$A:$B,2,FALSE),"-")</f>
        <v>味方全体に / 属性キラー</v>
      </c>
      <c r="M60" s="62" t="str">
        <f t="shared" si="5"/>
        <v>none</v>
      </c>
      <c r="N60" s="47" t="str">
        <f>IFERROR(LEFT(M60,FIND("],",M60)+S69),M60)</f>
        <v>none</v>
      </c>
      <c r="O60" s="62" t="e">
        <f t="shared" si="7"/>
        <v>#VALUE!</v>
      </c>
      <c r="P60" s="62">
        <f t="shared" si="8"/>
        <v>4</v>
      </c>
      <c r="Q60" s="62" t="e">
        <f t="shared" si="9"/>
        <v>#VALUE!</v>
      </c>
      <c r="R60" s="62" t="e">
        <f t="shared" si="10"/>
        <v>#VALUE!</v>
      </c>
      <c r="S60" s="62" t="str">
        <f>IFERROR(VLOOKUP(MID(N60,Q60,R60-Q60),[6]skilldef!$C:$D,2,FALSE),"-") &amp; " / " &amp; IFERROR(VLOOKUP(MID(N60,O60,P60-O60),[6]skilldef!$A:$B,2,FALSE),"-")</f>
        <v>- / -</v>
      </c>
      <c r="T60" s="47" t="str">
        <f t="shared" si="11"/>
        <v>none</v>
      </c>
      <c r="U60" s="62" t="e">
        <f t="shared" si="12"/>
        <v>#VALUE!</v>
      </c>
      <c r="V60" s="62">
        <f t="shared" si="13"/>
        <v>4</v>
      </c>
      <c r="W60" s="62" t="e">
        <f t="shared" si="14"/>
        <v>#VALUE!</v>
      </c>
      <c r="X60" s="62" t="e">
        <f t="shared" si="15"/>
        <v>#VALUE!</v>
      </c>
      <c r="Y60" s="62" t="str">
        <f>IFERROR(VLOOKUP(MID(T60,W60,X60-W60),[6]skilldef!$C:$D,2,FALSE),"-") &amp; " / " &amp; IFERROR(VLOOKUP(MID(T60,U60,V60-U60),[6]skilldef!$A:$B,2,FALSE),"-")</f>
        <v>- / -</v>
      </c>
      <c r="Z60" s="49"/>
      <c r="AA60" s="51"/>
      <c r="AB60" s="49"/>
    </row>
    <row r="61" spans="1:28" ht="21" customHeight="1" x14ac:dyDescent="0.15">
      <c r="A61" s="46">
        <v>40014059</v>
      </c>
      <c r="B61" s="46" t="s">
        <v>292</v>
      </c>
      <c r="C61" s="49">
        <v>3</v>
      </c>
      <c r="D61" s="49" t="s">
        <v>128</v>
      </c>
      <c r="E61" s="50" t="s">
        <v>274</v>
      </c>
      <c r="F61" s="50" t="s">
        <v>290</v>
      </c>
      <c r="G61" s="62" t="str">
        <f t="shared" ref="G61" si="16">IFERROR(LEFT(B61,FIND("],",B61)),B61)</f>
        <v>[effect:break_attack, val:0.05, lowest_val:5190, count:0, block:block_yellow, target:unit_one]</v>
      </c>
      <c r="H61" s="62">
        <f t="shared" ref="H61" si="17">FIND("effect:",G61)+7</f>
        <v>9</v>
      </c>
      <c r="I61" s="62">
        <f t="shared" ref="I61" si="18">IFERROR(FIND(",",G61),LEN(G61))</f>
        <v>21</v>
      </c>
      <c r="J61" s="62">
        <f t="shared" ref="J61" si="19">FIND("target:",G61)+7</f>
        <v>86</v>
      </c>
      <c r="K61" s="62">
        <f t="shared" ref="K61" si="20">FIND(",",G61,I61+1)</f>
        <v>31</v>
      </c>
      <c r="L61" s="62" t="str">
        <f>IFERROR(VLOOKUP(MID(G61,J61,K61-J61),[6]skilldef!$C:$D,2,FALSE),"-") &amp; " / " &amp; IFERROR(VLOOKUP(MID(G61,H61,I61-H61),[6]skilldef!$A:$B,2,FALSE),"-")</f>
        <v>- / -</v>
      </c>
      <c r="M61" s="62" t="str">
        <f t="shared" ref="M61" si="21">IFERROR(RIGHT(B61,LEN(B61)-FIND("],",B61)-1),"none")</f>
        <v>none</v>
      </c>
      <c r="N61" s="47" t="str">
        <f>IFERROR(LEFT(M61,FIND("],",M61)+S70),M61)</f>
        <v>none</v>
      </c>
      <c r="O61" s="62" t="e">
        <f t="shared" ref="O61" si="22">FIND("effect:",N61)+7</f>
        <v>#VALUE!</v>
      </c>
      <c r="P61" s="62">
        <f t="shared" ref="P61" si="23">IFERROR(FIND(",",N61),LEN(N61))</f>
        <v>4</v>
      </c>
      <c r="Q61" s="62" t="e">
        <f t="shared" ref="Q61" si="24">FIND("target:",N61)+7</f>
        <v>#VALUE!</v>
      </c>
      <c r="R61" s="62" t="e">
        <f t="shared" ref="R61" si="25">FIND(",",N61,P61+1)</f>
        <v>#VALUE!</v>
      </c>
      <c r="S61" s="62" t="str">
        <f>IFERROR(VLOOKUP(MID(N61,Q61,R61-Q61),[6]skilldef!$C:$D,2,FALSE),"-") &amp; " / " &amp; IFERROR(VLOOKUP(MID(N61,O61,P61-O61),[6]skilldef!$A:$B,2,FALSE),"-")</f>
        <v>- / -</v>
      </c>
      <c r="T61" s="47" t="str">
        <f t="shared" ref="T61" si="26">IFERROR(RIGHT(M61,LEN(M61)-FIND("],",M61)-1),"none")</f>
        <v>none</v>
      </c>
      <c r="U61" s="62" t="e">
        <f t="shared" ref="U61" si="27">FIND("effect:",T61)+7</f>
        <v>#VALUE!</v>
      </c>
      <c r="V61" s="62">
        <f t="shared" ref="V61" si="28">IFERROR(FIND(",",T61),LEN(T61))</f>
        <v>4</v>
      </c>
      <c r="W61" s="62" t="e">
        <f t="shared" ref="W61" si="29">FIND("target:",T61)+7</f>
        <v>#VALUE!</v>
      </c>
      <c r="X61" s="62" t="e">
        <f t="shared" ref="X61" si="30">FIND(",",T61,V61+1)</f>
        <v>#VALUE!</v>
      </c>
      <c r="Y61" s="62" t="str">
        <f>IFERROR(VLOOKUP(MID(T61,W61,X61-W61),[6]skilldef!$C:$D,2,FALSE),"-") &amp; " / " &amp; IFERROR(VLOOKUP(MID(T61,U61,V61-U61),[6]skilldef!$A:$B,2,FALSE),"-")</f>
        <v>- / -</v>
      </c>
      <c r="Z61" s="49"/>
      <c r="AA61" s="51"/>
      <c r="AB61" s="49"/>
    </row>
    <row r="62" spans="1:28" ht="21" customHeight="1" x14ac:dyDescent="0.15">
      <c r="A62" s="46">
        <v>40014060</v>
      </c>
      <c r="B62" s="46" t="s">
        <v>215</v>
      </c>
      <c r="C62" s="49">
        <v>3</v>
      </c>
      <c r="D62" s="49" t="s">
        <v>128</v>
      </c>
      <c r="E62" s="50" t="s">
        <v>226</v>
      </c>
      <c r="F62" s="50" t="s">
        <v>217</v>
      </c>
      <c r="G62" s="62" t="str">
        <f t="shared" ref="G62" si="31">IFERROR(LEFT(B62,FIND("],",B62)),B62)</f>
        <v>[effect:nothing]</v>
      </c>
      <c r="H62" s="62">
        <f t="shared" si="1"/>
        <v>9</v>
      </c>
      <c r="I62" s="62">
        <f t="shared" ref="I62" si="32">IFERROR(FIND(",",G62),LEN(G62))</f>
        <v>16</v>
      </c>
      <c r="J62" s="62" t="e">
        <f t="shared" ref="J62" si="33">FIND("target:",G62)+7</f>
        <v>#VALUE!</v>
      </c>
      <c r="K62" s="62" t="e">
        <f t="shared" ref="K62" si="34">FIND(",",G62,I62+1)</f>
        <v>#VALUE!</v>
      </c>
      <c r="L62" s="62" t="str">
        <f>IFERROR(VLOOKUP(MID(G62,J62,K62-J62),[6]skilldef!$C:$D,2,FALSE),"-") &amp; " / " &amp; IFERROR(VLOOKUP(MID(G62,H62,I62-H62),[6]skilldef!$A:$B,2,FALSE),"-")</f>
        <v>- / 何もしない</v>
      </c>
      <c r="M62" s="62" t="str">
        <f t="shared" ref="M62" si="35">IFERROR(RIGHT(B62,LEN(B62)-FIND("],",B62)-1),"none")</f>
        <v>none</v>
      </c>
      <c r="N62" s="47" t="str">
        <f>IFERROR(LEFT(M62,FIND("],",M62)+S70),M62)</f>
        <v>none</v>
      </c>
      <c r="O62" s="62" t="e">
        <f t="shared" si="7"/>
        <v>#VALUE!</v>
      </c>
      <c r="P62" s="62">
        <f t="shared" ref="P62" si="36">IFERROR(FIND(",",N62),LEN(N62))</f>
        <v>4</v>
      </c>
      <c r="Q62" s="62" t="e">
        <f t="shared" ref="Q62" si="37">FIND("target:",N62)+7</f>
        <v>#VALUE!</v>
      </c>
      <c r="R62" s="62" t="e">
        <f t="shared" ref="R62" si="38">FIND(",",N62,P62+1)</f>
        <v>#VALUE!</v>
      </c>
      <c r="S62" s="62" t="str">
        <f>IFERROR(VLOOKUP(MID(N62,Q62,R62-Q62),[6]skilldef!$C:$D,2,FALSE),"-") &amp; " / " &amp; IFERROR(VLOOKUP(MID(N62,O62,P62-O62),[6]skilldef!$A:$B,2,FALSE),"-")</f>
        <v>- / -</v>
      </c>
      <c r="T62" s="47" t="str">
        <f t="shared" ref="T62" si="39">IFERROR(RIGHT(M62,LEN(M62)-FIND("],",M62)-1),"none")</f>
        <v>none</v>
      </c>
      <c r="U62" s="62" t="e">
        <f t="shared" si="12"/>
        <v>#VALUE!</v>
      </c>
      <c r="V62" s="62">
        <f t="shared" ref="V62" si="40">IFERROR(FIND(",",T62),LEN(T62))</f>
        <v>4</v>
      </c>
      <c r="W62" s="62" t="e">
        <f t="shared" ref="W62" si="41">FIND("target:",T62)+7</f>
        <v>#VALUE!</v>
      </c>
      <c r="X62" s="62" t="e">
        <f t="shared" ref="X62" si="42">FIND(",",T62,V62+1)</f>
        <v>#VALUE!</v>
      </c>
      <c r="Y62" s="62" t="str">
        <f>IFERROR(VLOOKUP(MID(T62,W62,X62-W62),[6]skilldef!$C:$D,2,FALSE),"-") &amp; " / " &amp; IFERROR(VLOOKUP(MID(T62,U62,V62-U62),[6]skilldef!$A:$B,2,FALSE),"-")</f>
        <v>- / -</v>
      </c>
      <c r="Z62" s="49"/>
      <c r="AA62" s="51"/>
      <c r="AB62" s="49"/>
    </row>
    <row r="63" spans="1:28" ht="21" customHeight="1" x14ac:dyDescent="0.15">
      <c r="A63" s="46">
        <v>40014061</v>
      </c>
      <c r="B63" s="46" t="s">
        <v>215</v>
      </c>
      <c r="C63" s="49">
        <v>3</v>
      </c>
      <c r="D63" s="49" t="s">
        <v>128</v>
      </c>
      <c r="E63" s="50" t="s">
        <v>226</v>
      </c>
      <c r="F63" s="50" t="s">
        <v>217</v>
      </c>
      <c r="G63" s="62" t="str">
        <f t="shared" ref="G63:G65" si="43">IFERROR(LEFT(B63,FIND("],",B63)),B63)</f>
        <v>[effect:nothing]</v>
      </c>
      <c r="H63" s="62">
        <f t="shared" ref="H63:H65" si="44">FIND("effect:",G63)+7</f>
        <v>9</v>
      </c>
      <c r="I63" s="62">
        <f t="shared" ref="I63:I65" si="45">IFERROR(FIND(",",G63),LEN(G63))</f>
        <v>16</v>
      </c>
      <c r="J63" s="62" t="e">
        <f t="shared" ref="J63:J65" si="46">FIND("target:",G63)+7</f>
        <v>#VALUE!</v>
      </c>
      <c r="K63" s="62" t="e">
        <f t="shared" ref="K63:K65" si="47">FIND(",",G63,I63+1)</f>
        <v>#VALUE!</v>
      </c>
      <c r="L63" s="62" t="str">
        <f>IFERROR(VLOOKUP(MID(G63,J63,K63-J63),[6]skilldef!$C:$D,2,FALSE),"-") &amp; " / " &amp; IFERROR(VLOOKUP(MID(G63,H63,I63-H63),[6]skilldef!$A:$B,2,FALSE),"-")</f>
        <v>- / 何もしない</v>
      </c>
      <c r="M63" s="62" t="str">
        <f t="shared" ref="M63:M65" si="48">IFERROR(RIGHT(B63,LEN(B63)-FIND("],",B63)-1),"none")</f>
        <v>none</v>
      </c>
      <c r="N63" s="47" t="str">
        <f>IFERROR(LEFT(M63,FIND("],",M63)+S72),M63)</f>
        <v>none</v>
      </c>
      <c r="O63" s="62" t="e">
        <f t="shared" ref="O63:O65" si="49">FIND("effect:",N63)+7</f>
        <v>#VALUE!</v>
      </c>
      <c r="P63" s="62">
        <f t="shared" ref="P63:P65" si="50">IFERROR(FIND(",",N63),LEN(N63))</f>
        <v>4</v>
      </c>
      <c r="Q63" s="62" t="e">
        <f t="shared" ref="Q63:Q65" si="51">FIND("target:",N63)+7</f>
        <v>#VALUE!</v>
      </c>
      <c r="R63" s="62" t="e">
        <f t="shared" ref="R63:R65" si="52">FIND(",",N63,P63+1)</f>
        <v>#VALUE!</v>
      </c>
      <c r="S63" s="62" t="str">
        <f>IFERROR(VLOOKUP(MID(N63,Q63,R63-Q63),[6]skilldef!$C:$D,2,FALSE),"-") &amp; " / " &amp; IFERROR(VLOOKUP(MID(N63,O63,P63-O63),[6]skilldef!$A:$B,2,FALSE),"-")</f>
        <v>- / -</v>
      </c>
      <c r="T63" s="47" t="str">
        <f t="shared" ref="T63:T65" si="53">IFERROR(RIGHT(M63,LEN(M63)-FIND("],",M63)-1),"none")</f>
        <v>none</v>
      </c>
      <c r="U63" s="62" t="e">
        <f t="shared" ref="U63:U65" si="54">FIND("effect:",T63)+7</f>
        <v>#VALUE!</v>
      </c>
      <c r="V63" s="62">
        <f t="shared" ref="V63:V65" si="55">IFERROR(FIND(",",T63),LEN(T63))</f>
        <v>4</v>
      </c>
      <c r="W63" s="62" t="e">
        <f t="shared" ref="W63:W65" si="56">FIND("target:",T63)+7</f>
        <v>#VALUE!</v>
      </c>
      <c r="X63" s="62" t="e">
        <f t="shared" ref="X63:X65" si="57">FIND(",",T63,V63+1)</f>
        <v>#VALUE!</v>
      </c>
      <c r="Y63" s="62" t="str">
        <f>IFERROR(VLOOKUP(MID(T63,W63,X63-W63),[6]skilldef!$C:$D,2,FALSE),"-") &amp; " / " &amp; IFERROR(VLOOKUP(MID(T63,U63,V63-U63),[6]skilldef!$A:$B,2,FALSE),"-")</f>
        <v>- / -</v>
      </c>
      <c r="Z63" s="49"/>
      <c r="AA63" s="51"/>
      <c r="AB63" s="49"/>
    </row>
    <row r="64" spans="1:28" ht="21" customHeight="1" x14ac:dyDescent="0.15">
      <c r="A64" s="46">
        <v>40014062</v>
      </c>
      <c r="B64" s="46" t="s">
        <v>215</v>
      </c>
      <c r="C64" s="49">
        <v>3</v>
      </c>
      <c r="D64" s="49" t="s">
        <v>128</v>
      </c>
      <c r="E64" s="50" t="s">
        <v>226</v>
      </c>
      <c r="F64" s="50" t="s">
        <v>217</v>
      </c>
      <c r="G64" s="62" t="str">
        <f t="shared" si="43"/>
        <v>[effect:nothing]</v>
      </c>
      <c r="H64" s="62">
        <f t="shared" si="44"/>
        <v>9</v>
      </c>
      <c r="I64" s="62">
        <f t="shared" si="45"/>
        <v>16</v>
      </c>
      <c r="J64" s="62" t="e">
        <f t="shared" si="46"/>
        <v>#VALUE!</v>
      </c>
      <c r="K64" s="62" t="e">
        <f t="shared" si="47"/>
        <v>#VALUE!</v>
      </c>
      <c r="L64" s="62" t="str">
        <f>IFERROR(VLOOKUP(MID(G64,J64,K64-J64),[6]skilldef!$C:$D,2,FALSE),"-") &amp; " / " &amp; IFERROR(VLOOKUP(MID(G64,H64,I64-H64),[6]skilldef!$A:$B,2,FALSE),"-")</f>
        <v>- / 何もしない</v>
      </c>
      <c r="M64" s="62" t="str">
        <f t="shared" si="48"/>
        <v>none</v>
      </c>
      <c r="N64" s="47" t="str">
        <f>IFERROR(LEFT(M64,FIND("],",M64)+S73),M64)</f>
        <v>none</v>
      </c>
      <c r="O64" s="62" t="e">
        <f t="shared" si="49"/>
        <v>#VALUE!</v>
      </c>
      <c r="P64" s="62">
        <f t="shared" si="50"/>
        <v>4</v>
      </c>
      <c r="Q64" s="62" t="e">
        <f t="shared" si="51"/>
        <v>#VALUE!</v>
      </c>
      <c r="R64" s="62" t="e">
        <f t="shared" si="52"/>
        <v>#VALUE!</v>
      </c>
      <c r="S64" s="62" t="str">
        <f>IFERROR(VLOOKUP(MID(N64,Q64,R64-Q64),[6]skilldef!$C:$D,2,FALSE),"-") &amp; " / " &amp; IFERROR(VLOOKUP(MID(N64,O64,P64-O64),[6]skilldef!$A:$B,2,FALSE),"-")</f>
        <v>- / -</v>
      </c>
      <c r="T64" s="47" t="str">
        <f t="shared" si="53"/>
        <v>none</v>
      </c>
      <c r="U64" s="62" t="e">
        <f t="shared" si="54"/>
        <v>#VALUE!</v>
      </c>
      <c r="V64" s="62">
        <f t="shared" si="55"/>
        <v>4</v>
      </c>
      <c r="W64" s="62" t="e">
        <f t="shared" si="56"/>
        <v>#VALUE!</v>
      </c>
      <c r="X64" s="62" t="e">
        <f t="shared" si="57"/>
        <v>#VALUE!</v>
      </c>
      <c r="Y64" s="62" t="str">
        <f>IFERROR(VLOOKUP(MID(T64,W64,X64-W64),[6]skilldef!$C:$D,2,FALSE),"-") &amp; " / " &amp; IFERROR(VLOOKUP(MID(T64,U64,V64-U64),[6]skilldef!$A:$B,2,FALSE),"-")</f>
        <v>- / -</v>
      </c>
      <c r="Z64" s="49"/>
      <c r="AA64" s="51"/>
      <c r="AB64" s="49"/>
    </row>
    <row r="65" spans="1:28" ht="21" customHeight="1" x14ac:dyDescent="0.15">
      <c r="A65" s="46">
        <v>40014063</v>
      </c>
      <c r="B65" s="46" t="s">
        <v>215</v>
      </c>
      <c r="C65" s="49">
        <v>3</v>
      </c>
      <c r="D65" s="49" t="s">
        <v>128</v>
      </c>
      <c r="E65" s="50" t="s">
        <v>226</v>
      </c>
      <c r="F65" s="50" t="s">
        <v>217</v>
      </c>
      <c r="G65" s="62" t="str">
        <f t="shared" si="43"/>
        <v>[effect:nothing]</v>
      </c>
      <c r="H65" s="62">
        <f t="shared" si="44"/>
        <v>9</v>
      </c>
      <c r="I65" s="62">
        <f t="shared" si="45"/>
        <v>16</v>
      </c>
      <c r="J65" s="62" t="e">
        <f t="shared" si="46"/>
        <v>#VALUE!</v>
      </c>
      <c r="K65" s="62" t="e">
        <f t="shared" si="47"/>
        <v>#VALUE!</v>
      </c>
      <c r="L65" s="62" t="str">
        <f>IFERROR(VLOOKUP(MID(G65,J65,K65-J65),[6]skilldef!$C:$D,2,FALSE),"-") &amp; " / " &amp; IFERROR(VLOOKUP(MID(G65,H65,I65-H65),[6]skilldef!$A:$B,2,FALSE),"-")</f>
        <v>- / 何もしない</v>
      </c>
      <c r="M65" s="62" t="str">
        <f t="shared" si="48"/>
        <v>none</v>
      </c>
      <c r="N65" s="47" t="str">
        <f>IFERROR(LEFT(M65,FIND("],",M65)+S74),M65)</f>
        <v>none</v>
      </c>
      <c r="O65" s="62" t="e">
        <f t="shared" si="49"/>
        <v>#VALUE!</v>
      </c>
      <c r="P65" s="62">
        <f t="shared" si="50"/>
        <v>4</v>
      </c>
      <c r="Q65" s="62" t="e">
        <f t="shared" si="51"/>
        <v>#VALUE!</v>
      </c>
      <c r="R65" s="62" t="e">
        <f t="shared" si="52"/>
        <v>#VALUE!</v>
      </c>
      <c r="S65" s="62" t="str">
        <f>IFERROR(VLOOKUP(MID(N65,Q65,R65-Q65),[6]skilldef!$C:$D,2,FALSE),"-") &amp; " / " &amp; IFERROR(VLOOKUP(MID(N65,O65,P65-O65),[6]skilldef!$A:$B,2,FALSE),"-")</f>
        <v>- / -</v>
      </c>
      <c r="T65" s="47" t="str">
        <f t="shared" si="53"/>
        <v>none</v>
      </c>
      <c r="U65" s="62" t="e">
        <f t="shared" si="54"/>
        <v>#VALUE!</v>
      </c>
      <c r="V65" s="62">
        <f t="shared" si="55"/>
        <v>4</v>
      </c>
      <c r="W65" s="62" t="e">
        <f t="shared" si="56"/>
        <v>#VALUE!</v>
      </c>
      <c r="X65" s="62" t="e">
        <f t="shared" si="57"/>
        <v>#VALUE!</v>
      </c>
      <c r="Y65" s="62" t="str">
        <f>IFERROR(VLOOKUP(MID(T65,W65,X65-W65),[6]skilldef!$C:$D,2,FALSE),"-") &amp; " / " &amp; IFERROR(VLOOKUP(MID(T65,U65,V65-U65),[6]skilldef!$A:$B,2,FALSE),"-")</f>
        <v>- / -</v>
      </c>
      <c r="Z65" s="49"/>
      <c r="AA65" s="51"/>
      <c r="AB65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5"/>
  <sheetViews>
    <sheetView showGridLines="0" zoomScale="115" zoomScaleNormal="115" zoomScalePageLayoutView="115" workbookViewId="0">
      <pane ySplit="1" topLeftCell="A45" activePane="bottomLeft" state="frozenSplit"/>
      <selection pane="bottomLeft" activeCell="E58" sqref="E58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40014000</v>
      </c>
      <c r="B2" s="46">
        <v>1</v>
      </c>
      <c r="C2" s="46" t="s">
        <v>89</v>
      </c>
      <c r="D2" s="46">
        <v>100</v>
      </c>
      <c r="E2" s="46" t="s">
        <v>89</v>
      </c>
      <c r="F2" s="46" t="s">
        <v>90</v>
      </c>
      <c r="G2" s="46">
        <v>1</v>
      </c>
      <c r="H2" s="46" t="s">
        <v>90</v>
      </c>
      <c r="I2" s="46" t="s">
        <v>90</v>
      </c>
      <c r="J2" s="47">
        <f t="shared" ref="J2" si="0">D2</f>
        <v>100</v>
      </c>
    </row>
    <row r="3" spans="1:11" ht="21" customHeight="1" x14ac:dyDescent="0.15">
      <c r="A3" s="46">
        <v>40014001</v>
      </c>
      <c r="B3" s="46">
        <v>0</v>
      </c>
      <c r="C3" s="46" t="s">
        <v>89</v>
      </c>
      <c r="D3" s="46">
        <v>100</v>
      </c>
      <c r="E3" s="46" t="s">
        <v>89</v>
      </c>
      <c r="F3" s="46" t="s">
        <v>89</v>
      </c>
      <c r="G3" s="46" t="s">
        <v>89</v>
      </c>
      <c r="H3" s="46" t="s">
        <v>89</v>
      </c>
      <c r="I3" s="46" t="s">
        <v>89</v>
      </c>
      <c r="J3" s="47">
        <f t="shared" ref="J3:J62" si="1">D3</f>
        <v>100</v>
      </c>
    </row>
    <row r="4" spans="1:11" ht="21" customHeight="1" x14ac:dyDescent="0.15">
      <c r="A4" s="46">
        <v>40014002</v>
      </c>
      <c r="B4" s="46">
        <v>0</v>
      </c>
      <c r="C4" s="46" t="s">
        <v>89</v>
      </c>
      <c r="D4" s="46">
        <v>100</v>
      </c>
      <c r="E4" s="46" t="s">
        <v>89</v>
      </c>
      <c r="F4" s="46" t="s">
        <v>89</v>
      </c>
      <c r="G4" s="46" t="s">
        <v>89</v>
      </c>
      <c r="H4" s="46" t="s">
        <v>89</v>
      </c>
      <c r="I4" s="46" t="s">
        <v>89</v>
      </c>
      <c r="J4" s="47">
        <f t="shared" si="1"/>
        <v>100</v>
      </c>
    </row>
    <row r="5" spans="1:11" ht="21" customHeight="1" x14ac:dyDescent="0.15">
      <c r="A5" s="46">
        <v>40014003</v>
      </c>
      <c r="B5" s="46">
        <v>0</v>
      </c>
      <c r="C5" s="46" t="s">
        <v>89</v>
      </c>
      <c r="D5" s="46">
        <v>100</v>
      </c>
      <c r="E5" s="46" t="s">
        <v>89</v>
      </c>
      <c r="F5" s="46" t="s">
        <v>89</v>
      </c>
      <c r="G5" s="46" t="s">
        <v>89</v>
      </c>
      <c r="H5" s="46" t="s">
        <v>89</v>
      </c>
      <c r="I5" s="46" t="s">
        <v>89</v>
      </c>
      <c r="J5" s="47">
        <f t="shared" si="1"/>
        <v>100</v>
      </c>
    </row>
    <row r="6" spans="1:11" ht="21" customHeight="1" x14ac:dyDescent="0.15">
      <c r="A6" s="46">
        <v>40014004</v>
      </c>
      <c r="B6" s="46">
        <v>0</v>
      </c>
      <c r="C6" s="46" t="s">
        <v>89</v>
      </c>
      <c r="D6" s="46">
        <v>100</v>
      </c>
      <c r="E6" s="46" t="s">
        <v>89</v>
      </c>
      <c r="F6" s="46" t="s">
        <v>89</v>
      </c>
      <c r="G6" s="46" t="s">
        <v>89</v>
      </c>
      <c r="H6" s="46" t="s">
        <v>89</v>
      </c>
      <c r="I6" s="46" t="s">
        <v>89</v>
      </c>
      <c r="J6" s="47">
        <f t="shared" si="1"/>
        <v>100</v>
      </c>
    </row>
    <row r="7" spans="1:11" ht="21" customHeight="1" x14ac:dyDescent="0.15">
      <c r="A7" s="46">
        <v>40014005</v>
      </c>
      <c r="B7" s="46">
        <v>1</v>
      </c>
      <c r="C7" s="46" t="s">
        <v>89</v>
      </c>
      <c r="D7" s="46">
        <v>100</v>
      </c>
      <c r="E7" s="46" t="s">
        <v>53</v>
      </c>
      <c r="F7" s="46" t="s">
        <v>89</v>
      </c>
      <c r="G7" s="46">
        <v>1</v>
      </c>
      <c r="H7" s="46" t="s">
        <v>89</v>
      </c>
      <c r="I7" s="46" t="s">
        <v>89</v>
      </c>
      <c r="J7" s="47">
        <f t="shared" si="1"/>
        <v>100</v>
      </c>
    </row>
    <row r="8" spans="1:11" ht="21" customHeight="1" x14ac:dyDescent="0.15">
      <c r="A8" s="46">
        <v>40014006</v>
      </c>
      <c r="B8" s="46">
        <v>0</v>
      </c>
      <c r="C8" s="46" t="s">
        <v>89</v>
      </c>
      <c r="D8" s="46">
        <v>100</v>
      </c>
      <c r="E8" s="46" t="s">
        <v>89</v>
      </c>
      <c r="F8" s="46" t="s">
        <v>89</v>
      </c>
      <c r="G8" s="46" t="s">
        <v>89</v>
      </c>
      <c r="H8" s="46">
        <v>2</v>
      </c>
      <c r="I8" s="46" t="s">
        <v>89</v>
      </c>
      <c r="J8" s="47">
        <f t="shared" si="1"/>
        <v>100</v>
      </c>
    </row>
    <row r="9" spans="1:11" ht="21" customHeight="1" x14ac:dyDescent="0.15">
      <c r="A9" s="46">
        <v>40014007</v>
      </c>
      <c r="B9" s="46">
        <v>0</v>
      </c>
      <c r="C9" s="46" t="s">
        <v>89</v>
      </c>
      <c r="D9" s="46">
        <v>100</v>
      </c>
      <c r="E9" s="46" t="s">
        <v>89</v>
      </c>
      <c r="F9" s="46" t="s">
        <v>89</v>
      </c>
      <c r="G9" s="46" t="s">
        <v>89</v>
      </c>
      <c r="H9" s="46" t="s">
        <v>89</v>
      </c>
      <c r="I9" s="46" t="s">
        <v>89</v>
      </c>
      <c r="J9" s="47">
        <f t="shared" si="1"/>
        <v>100</v>
      </c>
    </row>
    <row r="10" spans="1:11" ht="21" customHeight="1" x14ac:dyDescent="0.15">
      <c r="A10" s="46">
        <v>40014008</v>
      </c>
      <c r="B10" s="46">
        <v>0</v>
      </c>
      <c r="C10" s="46" t="s">
        <v>89</v>
      </c>
      <c r="D10" s="46">
        <v>100</v>
      </c>
      <c r="E10" s="46" t="s">
        <v>89</v>
      </c>
      <c r="F10" s="46" t="s">
        <v>89</v>
      </c>
      <c r="G10" s="46" t="s">
        <v>89</v>
      </c>
      <c r="H10" s="46" t="s">
        <v>89</v>
      </c>
      <c r="I10" s="46" t="s">
        <v>89</v>
      </c>
      <c r="J10" s="47">
        <f t="shared" si="1"/>
        <v>100</v>
      </c>
    </row>
    <row r="11" spans="1:11" ht="21" customHeight="1" x14ac:dyDescent="0.15">
      <c r="A11" s="46">
        <v>40014009</v>
      </c>
      <c r="B11" s="46">
        <v>0</v>
      </c>
      <c r="C11" s="46" t="s">
        <v>89</v>
      </c>
      <c r="D11" s="46">
        <v>100</v>
      </c>
      <c r="E11" s="46" t="s">
        <v>89</v>
      </c>
      <c r="F11" s="46" t="s">
        <v>89</v>
      </c>
      <c r="G11" s="46" t="s">
        <v>89</v>
      </c>
      <c r="H11" s="46" t="s">
        <v>89</v>
      </c>
      <c r="I11" s="46" t="s">
        <v>89</v>
      </c>
      <c r="J11" s="47">
        <f t="shared" si="1"/>
        <v>100</v>
      </c>
    </row>
    <row r="12" spans="1:11" ht="21" customHeight="1" x14ac:dyDescent="0.15">
      <c r="A12" s="46">
        <v>40014010</v>
      </c>
      <c r="B12" s="46">
        <v>1</v>
      </c>
      <c r="C12" s="46" t="s">
        <v>89</v>
      </c>
      <c r="D12" s="46">
        <v>100</v>
      </c>
      <c r="E12" s="46" t="s">
        <v>89</v>
      </c>
      <c r="F12" s="46" t="s">
        <v>89</v>
      </c>
      <c r="G12" s="46">
        <v>1</v>
      </c>
      <c r="H12" s="46" t="s">
        <v>89</v>
      </c>
      <c r="I12" s="46" t="s">
        <v>89</v>
      </c>
      <c r="J12" s="47">
        <f t="shared" si="1"/>
        <v>100</v>
      </c>
    </row>
    <row r="13" spans="1:11" ht="21" customHeight="1" x14ac:dyDescent="0.15">
      <c r="A13" s="46">
        <v>40014011</v>
      </c>
      <c r="B13" s="46">
        <v>0</v>
      </c>
      <c r="C13" s="46" t="s">
        <v>89</v>
      </c>
      <c r="D13" s="46">
        <v>20</v>
      </c>
      <c r="E13" s="46" t="s">
        <v>89</v>
      </c>
      <c r="F13" s="46" t="s">
        <v>89</v>
      </c>
      <c r="G13" s="46">
        <v>1</v>
      </c>
      <c r="H13" s="46" t="s">
        <v>89</v>
      </c>
      <c r="I13" s="46" t="s">
        <v>89</v>
      </c>
      <c r="J13" s="47">
        <f t="shared" si="1"/>
        <v>20</v>
      </c>
    </row>
    <row r="14" spans="1:11" ht="21" customHeight="1" x14ac:dyDescent="0.15">
      <c r="A14" s="46">
        <v>40014012</v>
      </c>
      <c r="B14" s="46">
        <v>0</v>
      </c>
      <c r="C14" s="46" t="s">
        <v>89</v>
      </c>
      <c r="D14" s="46">
        <v>20</v>
      </c>
      <c r="E14" s="46" t="s">
        <v>89</v>
      </c>
      <c r="F14" s="46" t="s">
        <v>89</v>
      </c>
      <c r="G14" s="46" t="s">
        <v>89</v>
      </c>
      <c r="H14" s="46" t="s">
        <v>89</v>
      </c>
      <c r="I14" s="46" t="s">
        <v>89</v>
      </c>
      <c r="J14" s="47">
        <f t="shared" si="1"/>
        <v>20</v>
      </c>
    </row>
    <row r="15" spans="1:11" ht="21" customHeight="1" x14ac:dyDescent="0.15">
      <c r="A15" s="46">
        <v>40014013</v>
      </c>
      <c r="B15" s="46">
        <v>0</v>
      </c>
      <c r="C15" s="46" t="s">
        <v>89</v>
      </c>
      <c r="D15" s="46">
        <v>100</v>
      </c>
      <c r="E15" s="46" t="s">
        <v>89</v>
      </c>
      <c r="F15" s="46" t="s">
        <v>89</v>
      </c>
      <c r="G15" s="46">
        <v>2</v>
      </c>
      <c r="H15" s="46" t="s">
        <v>53</v>
      </c>
      <c r="I15" s="46">
        <v>33</v>
      </c>
      <c r="J15" s="47">
        <f t="shared" si="1"/>
        <v>100</v>
      </c>
    </row>
    <row r="16" spans="1:11" ht="21" customHeight="1" x14ac:dyDescent="0.15">
      <c r="A16" s="46">
        <v>40014014</v>
      </c>
      <c r="B16" s="46">
        <v>0</v>
      </c>
      <c r="C16" s="46" t="s">
        <v>89</v>
      </c>
      <c r="D16" s="46">
        <v>100</v>
      </c>
      <c r="E16" s="46" t="s">
        <v>89</v>
      </c>
      <c r="F16" s="46" t="s">
        <v>89</v>
      </c>
      <c r="G16" s="46" t="s">
        <v>53</v>
      </c>
      <c r="H16" s="46" t="s">
        <v>53</v>
      </c>
      <c r="I16" s="46" t="s">
        <v>53</v>
      </c>
      <c r="J16" s="47">
        <f t="shared" si="1"/>
        <v>100</v>
      </c>
    </row>
    <row r="17" spans="1:10" ht="21" customHeight="1" x14ac:dyDescent="0.15">
      <c r="A17" s="46">
        <v>40014015</v>
      </c>
      <c r="B17" s="46">
        <v>1</v>
      </c>
      <c r="C17" s="46" t="s">
        <v>53</v>
      </c>
      <c r="D17" s="46">
        <v>100</v>
      </c>
      <c r="E17" s="46" t="s">
        <v>53</v>
      </c>
      <c r="F17" s="46" t="s">
        <v>53</v>
      </c>
      <c r="G17" s="46">
        <v>1</v>
      </c>
      <c r="H17" s="46" t="s">
        <v>53</v>
      </c>
      <c r="I17" s="46" t="s">
        <v>53</v>
      </c>
      <c r="J17" s="47">
        <f t="shared" si="1"/>
        <v>100</v>
      </c>
    </row>
    <row r="18" spans="1:10" ht="21" customHeight="1" x14ac:dyDescent="0.15">
      <c r="A18" s="46">
        <v>40014016</v>
      </c>
      <c r="B18" s="46">
        <v>0</v>
      </c>
      <c r="C18" s="46" t="s">
        <v>53</v>
      </c>
      <c r="D18" s="46">
        <v>20</v>
      </c>
      <c r="E18" s="46" t="s">
        <v>53</v>
      </c>
      <c r="F18" s="46" t="s">
        <v>235</v>
      </c>
      <c r="G18" s="46">
        <v>1</v>
      </c>
      <c r="H18" s="46" t="s">
        <v>53</v>
      </c>
      <c r="I18" s="46" t="s">
        <v>53</v>
      </c>
      <c r="J18" s="47">
        <f t="shared" si="1"/>
        <v>20</v>
      </c>
    </row>
    <row r="19" spans="1:10" ht="21" customHeight="1" x14ac:dyDescent="0.15">
      <c r="A19" s="46">
        <v>40014017</v>
      </c>
      <c r="B19" s="46">
        <v>0</v>
      </c>
      <c r="C19" s="46" t="s">
        <v>53</v>
      </c>
      <c r="D19" s="46">
        <v>20</v>
      </c>
      <c r="E19" s="46" t="s">
        <v>53</v>
      </c>
      <c r="F19" s="46" t="s">
        <v>53</v>
      </c>
      <c r="G19" s="46" t="s">
        <v>53</v>
      </c>
      <c r="H19" s="46" t="s">
        <v>53</v>
      </c>
      <c r="I19" s="46" t="s">
        <v>53</v>
      </c>
      <c r="J19" s="47">
        <f t="shared" si="1"/>
        <v>20</v>
      </c>
    </row>
    <row r="20" spans="1:10" ht="21" customHeight="1" x14ac:dyDescent="0.15">
      <c r="A20" s="46">
        <v>40014018</v>
      </c>
      <c r="B20" s="46">
        <v>0</v>
      </c>
      <c r="C20" s="46" t="s">
        <v>53</v>
      </c>
      <c r="D20" s="46">
        <v>100</v>
      </c>
      <c r="E20" s="46" t="s">
        <v>53</v>
      </c>
      <c r="F20" s="46" t="s">
        <v>53</v>
      </c>
      <c r="G20" s="46">
        <v>2</v>
      </c>
      <c r="H20" s="46" t="s">
        <v>53</v>
      </c>
      <c r="I20" s="46">
        <v>33</v>
      </c>
      <c r="J20" s="47">
        <f t="shared" si="1"/>
        <v>100</v>
      </c>
    </row>
    <row r="21" spans="1:10" ht="21" customHeight="1" x14ac:dyDescent="0.15">
      <c r="A21" s="46">
        <v>40014019</v>
      </c>
      <c r="B21" s="46">
        <v>0</v>
      </c>
      <c r="C21" s="46" t="s">
        <v>53</v>
      </c>
      <c r="D21" s="46">
        <v>100</v>
      </c>
      <c r="E21" s="46" t="s">
        <v>53</v>
      </c>
      <c r="F21" s="46" t="s">
        <v>53</v>
      </c>
      <c r="G21" s="46" t="s">
        <v>53</v>
      </c>
      <c r="H21" s="46" t="s">
        <v>53</v>
      </c>
      <c r="I21" s="46" t="s">
        <v>53</v>
      </c>
      <c r="J21" s="47">
        <f t="shared" si="1"/>
        <v>100</v>
      </c>
    </row>
    <row r="22" spans="1:10" ht="21" customHeight="1" x14ac:dyDescent="0.15">
      <c r="A22" s="46">
        <v>40014020</v>
      </c>
      <c r="B22" s="46">
        <v>0</v>
      </c>
      <c r="C22" s="46" t="s">
        <v>89</v>
      </c>
      <c r="D22" s="46">
        <v>20</v>
      </c>
      <c r="E22" s="46" t="s">
        <v>89</v>
      </c>
      <c r="F22" s="46" t="s">
        <v>89</v>
      </c>
      <c r="G22" s="46" t="s">
        <v>89</v>
      </c>
      <c r="H22" s="46" t="s">
        <v>89</v>
      </c>
      <c r="I22" s="46" t="s">
        <v>89</v>
      </c>
      <c r="J22" s="47">
        <f t="shared" si="1"/>
        <v>20</v>
      </c>
    </row>
    <row r="23" spans="1:10" ht="21" customHeight="1" x14ac:dyDescent="0.15">
      <c r="A23" s="46">
        <v>40014021</v>
      </c>
      <c r="B23" s="46">
        <v>0</v>
      </c>
      <c r="C23" s="46" t="s">
        <v>89</v>
      </c>
      <c r="D23" s="46">
        <v>100</v>
      </c>
      <c r="E23" s="46" t="s">
        <v>89</v>
      </c>
      <c r="F23" s="46" t="s">
        <v>89</v>
      </c>
      <c r="G23" s="46" t="s">
        <v>89</v>
      </c>
      <c r="H23" s="46" t="s">
        <v>89</v>
      </c>
      <c r="I23" s="46" t="s">
        <v>89</v>
      </c>
      <c r="J23" s="47">
        <f t="shared" si="1"/>
        <v>100</v>
      </c>
    </row>
    <row r="24" spans="1:10" ht="21" customHeight="1" x14ac:dyDescent="0.15">
      <c r="A24" s="46">
        <v>40014022</v>
      </c>
      <c r="B24" s="46">
        <v>0</v>
      </c>
      <c r="C24" s="46" t="s">
        <v>89</v>
      </c>
      <c r="D24" s="46">
        <v>100</v>
      </c>
      <c r="E24" s="46" t="s">
        <v>89</v>
      </c>
      <c r="F24" s="46" t="s">
        <v>89</v>
      </c>
      <c r="G24" s="46" t="s">
        <v>89</v>
      </c>
      <c r="H24" s="46" t="s">
        <v>89</v>
      </c>
      <c r="I24" s="46" t="s">
        <v>89</v>
      </c>
      <c r="J24" s="47">
        <f t="shared" si="1"/>
        <v>100</v>
      </c>
    </row>
    <row r="25" spans="1:10" ht="21" customHeight="1" x14ac:dyDescent="0.15">
      <c r="A25" s="46">
        <v>40014023</v>
      </c>
      <c r="B25" s="46">
        <v>0</v>
      </c>
      <c r="C25" s="46" t="s">
        <v>89</v>
      </c>
      <c r="D25" s="46">
        <v>100</v>
      </c>
      <c r="E25" s="46" t="s">
        <v>89</v>
      </c>
      <c r="F25" s="46" t="s">
        <v>89</v>
      </c>
      <c r="G25" s="46" t="s">
        <v>89</v>
      </c>
      <c r="H25" s="46" t="s">
        <v>89</v>
      </c>
      <c r="I25" s="46" t="s">
        <v>89</v>
      </c>
      <c r="J25" s="47">
        <f t="shared" si="1"/>
        <v>100</v>
      </c>
    </row>
    <row r="26" spans="1:10" ht="21" customHeight="1" x14ac:dyDescent="0.15">
      <c r="A26" s="46">
        <v>40014024</v>
      </c>
      <c r="B26" s="46">
        <v>0</v>
      </c>
      <c r="C26" s="46" t="s">
        <v>89</v>
      </c>
      <c r="D26" s="46">
        <v>100</v>
      </c>
      <c r="E26" s="46" t="s">
        <v>89</v>
      </c>
      <c r="F26" s="46" t="s">
        <v>89</v>
      </c>
      <c r="G26" s="46" t="s">
        <v>89</v>
      </c>
      <c r="H26" s="46" t="s">
        <v>89</v>
      </c>
      <c r="I26" s="46" t="s">
        <v>89</v>
      </c>
      <c r="J26" s="47">
        <f t="shared" si="1"/>
        <v>100</v>
      </c>
    </row>
    <row r="27" spans="1:10" ht="21" customHeight="1" x14ac:dyDescent="0.15">
      <c r="A27" s="46">
        <v>40014025</v>
      </c>
      <c r="B27" s="46">
        <v>0</v>
      </c>
      <c r="C27" s="46" t="s">
        <v>89</v>
      </c>
      <c r="D27" s="46">
        <v>100</v>
      </c>
      <c r="E27" s="46" t="s">
        <v>89</v>
      </c>
      <c r="F27" s="46" t="s">
        <v>89</v>
      </c>
      <c r="G27" s="46" t="s">
        <v>89</v>
      </c>
      <c r="H27" s="46" t="s">
        <v>89</v>
      </c>
      <c r="I27" s="46" t="s">
        <v>89</v>
      </c>
      <c r="J27" s="47">
        <f t="shared" si="1"/>
        <v>100</v>
      </c>
    </row>
    <row r="28" spans="1:10" ht="21" customHeight="1" x14ac:dyDescent="0.15">
      <c r="A28" s="46">
        <v>40014026</v>
      </c>
      <c r="B28" s="46">
        <v>0</v>
      </c>
      <c r="C28" s="46" t="s">
        <v>89</v>
      </c>
      <c r="D28" s="46">
        <v>100</v>
      </c>
      <c r="E28" s="46" t="s">
        <v>89</v>
      </c>
      <c r="F28" s="46" t="s">
        <v>89</v>
      </c>
      <c r="G28" s="46" t="s">
        <v>89</v>
      </c>
      <c r="H28" s="46" t="s">
        <v>89</v>
      </c>
      <c r="I28" s="46" t="s">
        <v>89</v>
      </c>
      <c r="J28" s="47">
        <f t="shared" si="1"/>
        <v>100</v>
      </c>
    </row>
    <row r="29" spans="1:10" ht="21" customHeight="1" x14ac:dyDescent="0.15">
      <c r="A29" s="46">
        <v>40014027</v>
      </c>
      <c r="B29" s="46">
        <v>0</v>
      </c>
      <c r="C29" s="46" t="s">
        <v>89</v>
      </c>
      <c r="D29" s="46">
        <v>100</v>
      </c>
      <c r="E29" s="46" t="s">
        <v>89</v>
      </c>
      <c r="F29" s="46" t="s">
        <v>89</v>
      </c>
      <c r="G29" s="46" t="s">
        <v>89</v>
      </c>
      <c r="H29" s="46" t="s">
        <v>89</v>
      </c>
      <c r="I29" s="46" t="s">
        <v>89</v>
      </c>
      <c r="J29" s="47">
        <f t="shared" si="1"/>
        <v>100</v>
      </c>
    </row>
    <row r="30" spans="1:10" ht="21" customHeight="1" x14ac:dyDescent="0.15">
      <c r="A30" s="46">
        <v>40014028</v>
      </c>
      <c r="B30" s="46">
        <v>0</v>
      </c>
      <c r="C30" s="46" t="s">
        <v>89</v>
      </c>
      <c r="D30" s="46">
        <v>100</v>
      </c>
      <c r="E30" s="46" t="s">
        <v>89</v>
      </c>
      <c r="F30" s="46" t="s">
        <v>89</v>
      </c>
      <c r="G30" s="46" t="s">
        <v>89</v>
      </c>
      <c r="H30" s="46" t="s">
        <v>89</v>
      </c>
      <c r="I30" s="46" t="s">
        <v>89</v>
      </c>
      <c r="J30" s="47">
        <f t="shared" si="1"/>
        <v>100</v>
      </c>
    </row>
    <row r="31" spans="1:10" ht="21" customHeight="1" x14ac:dyDescent="0.15">
      <c r="A31" s="46">
        <v>40014029</v>
      </c>
      <c r="B31" s="46">
        <v>0</v>
      </c>
      <c r="C31" s="46" t="s">
        <v>89</v>
      </c>
      <c r="D31" s="46">
        <v>100</v>
      </c>
      <c r="E31" s="46" t="s">
        <v>89</v>
      </c>
      <c r="F31" s="46" t="s">
        <v>89</v>
      </c>
      <c r="G31" s="46" t="s">
        <v>89</v>
      </c>
      <c r="H31" s="46" t="s">
        <v>89</v>
      </c>
      <c r="I31" s="46" t="s">
        <v>89</v>
      </c>
      <c r="J31" s="47">
        <f t="shared" si="1"/>
        <v>100</v>
      </c>
    </row>
    <row r="32" spans="1:10" ht="21" customHeight="1" x14ac:dyDescent="0.15">
      <c r="A32" s="46">
        <v>40014030</v>
      </c>
      <c r="B32" s="46">
        <v>0</v>
      </c>
      <c r="C32" s="46" t="s">
        <v>89</v>
      </c>
      <c r="D32" s="46">
        <v>20</v>
      </c>
      <c r="E32" s="46" t="s">
        <v>89</v>
      </c>
      <c r="F32" s="46" t="s">
        <v>89</v>
      </c>
      <c r="G32" s="46" t="s">
        <v>89</v>
      </c>
      <c r="H32" s="46" t="s">
        <v>89</v>
      </c>
      <c r="I32" s="46" t="s">
        <v>89</v>
      </c>
      <c r="J32" s="47">
        <f t="shared" si="1"/>
        <v>20</v>
      </c>
    </row>
    <row r="33" spans="1:10" ht="21" customHeight="1" x14ac:dyDescent="0.15">
      <c r="A33" s="46">
        <v>40014031</v>
      </c>
      <c r="B33" s="46">
        <v>0</v>
      </c>
      <c r="C33" s="46" t="s">
        <v>89</v>
      </c>
      <c r="D33" s="46">
        <v>100</v>
      </c>
      <c r="E33" s="46" t="s">
        <v>89</v>
      </c>
      <c r="F33" s="46" t="s">
        <v>89</v>
      </c>
      <c r="G33" s="46" t="s">
        <v>89</v>
      </c>
      <c r="H33" s="46" t="s">
        <v>89</v>
      </c>
      <c r="I33" s="46" t="s">
        <v>89</v>
      </c>
      <c r="J33" s="47">
        <f t="shared" si="1"/>
        <v>100</v>
      </c>
    </row>
    <row r="34" spans="1:10" ht="21" customHeight="1" x14ac:dyDescent="0.15">
      <c r="A34" s="46">
        <v>40014032</v>
      </c>
      <c r="B34" s="46">
        <v>0</v>
      </c>
      <c r="C34" s="46" t="s">
        <v>89</v>
      </c>
      <c r="D34" s="46">
        <v>100</v>
      </c>
      <c r="E34" s="46" t="s">
        <v>89</v>
      </c>
      <c r="F34" s="46" t="s">
        <v>89</v>
      </c>
      <c r="G34" s="46" t="s">
        <v>89</v>
      </c>
      <c r="H34" s="46" t="s">
        <v>89</v>
      </c>
      <c r="I34" s="46" t="s">
        <v>89</v>
      </c>
      <c r="J34" s="47">
        <f t="shared" si="1"/>
        <v>100</v>
      </c>
    </row>
    <row r="35" spans="1:10" ht="21" customHeight="1" x14ac:dyDescent="0.15">
      <c r="A35" s="46">
        <v>40014033</v>
      </c>
      <c r="B35" s="46">
        <v>0</v>
      </c>
      <c r="C35" s="46" t="s">
        <v>89</v>
      </c>
      <c r="D35" s="46">
        <v>100</v>
      </c>
      <c r="E35" s="46" t="s">
        <v>89</v>
      </c>
      <c r="F35" s="46" t="s">
        <v>89</v>
      </c>
      <c r="G35" s="46" t="s">
        <v>89</v>
      </c>
      <c r="H35" s="46" t="s">
        <v>89</v>
      </c>
      <c r="I35" s="46" t="s">
        <v>89</v>
      </c>
      <c r="J35" s="47">
        <f t="shared" si="1"/>
        <v>100</v>
      </c>
    </row>
    <row r="36" spans="1:10" ht="21" customHeight="1" x14ac:dyDescent="0.15">
      <c r="A36" s="46">
        <v>40014034</v>
      </c>
      <c r="B36" s="46">
        <v>0</v>
      </c>
      <c r="C36" s="46" t="s">
        <v>89</v>
      </c>
      <c r="D36" s="46">
        <v>100</v>
      </c>
      <c r="E36" s="46" t="s">
        <v>89</v>
      </c>
      <c r="F36" s="46" t="s">
        <v>89</v>
      </c>
      <c r="G36" s="46" t="s">
        <v>89</v>
      </c>
      <c r="H36" s="46" t="s">
        <v>89</v>
      </c>
      <c r="I36" s="46" t="s">
        <v>89</v>
      </c>
      <c r="J36" s="47">
        <f t="shared" si="1"/>
        <v>100</v>
      </c>
    </row>
    <row r="37" spans="1:10" ht="21" customHeight="1" x14ac:dyDescent="0.15">
      <c r="A37" s="46">
        <v>40014035</v>
      </c>
      <c r="B37" s="46">
        <v>1</v>
      </c>
      <c r="C37" s="46" t="s">
        <v>89</v>
      </c>
      <c r="D37" s="46">
        <v>100</v>
      </c>
      <c r="E37" s="46" t="s">
        <v>89</v>
      </c>
      <c r="F37" s="46" t="s">
        <v>89</v>
      </c>
      <c r="G37" s="46">
        <v>1</v>
      </c>
      <c r="H37" s="46" t="s">
        <v>89</v>
      </c>
      <c r="I37" s="46" t="s">
        <v>89</v>
      </c>
      <c r="J37" s="47">
        <f t="shared" si="1"/>
        <v>100</v>
      </c>
    </row>
    <row r="38" spans="1:10" ht="21" customHeight="1" x14ac:dyDescent="0.15">
      <c r="A38" s="46">
        <v>40014036</v>
      </c>
      <c r="B38" s="46">
        <v>0</v>
      </c>
      <c r="C38" s="46" t="s">
        <v>89</v>
      </c>
      <c r="D38" s="46">
        <v>20</v>
      </c>
      <c r="E38" s="46" t="s">
        <v>89</v>
      </c>
      <c r="F38" s="46" t="s">
        <v>89</v>
      </c>
      <c r="G38" s="46" t="s">
        <v>89</v>
      </c>
      <c r="H38" s="46" t="s">
        <v>89</v>
      </c>
      <c r="I38" s="46" t="s">
        <v>89</v>
      </c>
      <c r="J38" s="47">
        <f t="shared" si="1"/>
        <v>20</v>
      </c>
    </row>
    <row r="39" spans="1:10" ht="21" customHeight="1" x14ac:dyDescent="0.15">
      <c r="A39" s="46">
        <v>40014037</v>
      </c>
      <c r="B39" s="46">
        <v>0</v>
      </c>
      <c r="C39" s="46" t="s">
        <v>89</v>
      </c>
      <c r="D39" s="46">
        <v>20</v>
      </c>
      <c r="E39" s="46" t="s">
        <v>89</v>
      </c>
      <c r="F39" s="46" t="s">
        <v>89</v>
      </c>
      <c r="G39" s="46" t="s">
        <v>89</v>
      </c>
      <c r="H39" s="46" t="s">
        <v>89</v>
      </c>
      <c r="I39" s="46" t="s">
        <v>89</v>
      </c>
      <c r="J39" s="47">
        <f t="shared" si="1"/>
        <v>20</v>
      </c>
    </row>
    <row r="40" spans="1:10" ht="21" customHeight="1" x14ac:dyDescent="0.15">
      <c r="A40" s="46">
        <v>40014038</v>
      </c>
      <c r="B40" s="46">
        <v>0</v>
      </c>
      <c r="C40" s="46" t="s">
        <v>89</v>
      </c>
      <c r="D40" s="46">
        <v>20</v>
      </c>
      <c r="E40" s="46" t="s">
        <v>89</v>
      </c>
      <c r="F40" s="46" t="s">
        <v>89</v>
      </c>
      <c r="G40" s="46" t="s">
        <v>89</v>
      </c>
      <c r="H40" s="46" t="s">
        <v>89</v>
      </c>
      <c r="I40" s="46" t="s">
        <v>89</v>
      </c>
      <c r="J40" s="47">
        <f t="shared" si="1"/>
        <v>20</v>
      </c>
    </row>
    <row r="41" spans="1:10" ht="21" customHeight="1" x14ac:dyDescent="0.15">
      <c r="A41" s="46">
        <v>40014039</v>
      </c>
      <c r="B41" s="46">
        <v>0</v>
      </c>
      <c r="C41" s="46" t="s">
        <v>89</v>
      </c>
      <c r="D41" s="46">
        <v>100</v>
      </c>
      <c r="E41" s="46" t="s">
        <v>89</v>
      </c>
      <c r="F41" s="46" t="s">
        <v>89</v>
      </c>
      <c r="G41" s="46" t="s">
        <v>89</v>
      </c>
      <c r="H41" s="46">
        <v>2</v>
      </c>
      <c r="I41" s="46" t="s">
        <v>89</v>
      </c>
      <c r="J41" s="47">
        <f t="shared" si="1"/>
        <v>100</v>
      </c>
    </row>
    <row r="42" spans="1:10" ht="21" customHeight="1" x14ac:dyDescent="0.15">
      <c r="A42" s="46">
        <v>40014040</v>
      </c>
      <c r="B42" s="46">
        <v>0</v>
      </c>
      <c r="C42" s="46" t="s">
        <v>89</v>
      </c>
      <c r="D42" s="46">
        <v>100</v>
      </c>
      <c r="E42" s="46" t="s">
        <v>89</v>
      </c>
      <c r="F42" s="46" t="s">
        <v>89</v>
      </c>
      <c r="G42" s="46" t="s">
        <v>89</v>
      </c>
      <c r="H42" s="46" t="s">
        <v>89</v>
      </c>
      <c r="I42" s="46" t="s">
        <v>89</v>
      </c>
      <c r="J42" s="47">
        <f t="shared" si="1"/>
        <v>100</v>
      </c>
    </row>
    <row r="43" spans="1:10" ht="21" customHeight="1" x14ac:dyDescent="0.15">
      <c r="A43" s="46">
        <v>40014041</v>
      </c>
      <c r="B43" s="46">
        <v>0</v>
      </c>
      <c r="C43" s="46" t="s">
        <v>89</v>
      </c>
      <c r="D43" s="46">
        <v>100</v>
      </c>
      <c r="E43" s="46" t="s">
        <v>89</v>
      </c>
      <c r="F43" s="46" t="s">
        <v>89</v>
      </c>
      <c r="G43" s="46" t="s">
        <v>89</v>
      </c>
      <c r="H43" s="46" t="s">
        <v>89</v>
      </c>
      <c r="I43" s="46" t="s">
        <v>89</v>
      </c>
      <c r="J43" s="47">
        <f t="shared" si="1"/>
        <v>100</v>
      </c>
    </row>
    <row r="44" spans="1:10" ht="21" customHeight="1" x14ac:dyDescent="0.15">
      <c r="A44" s="46">
        <v>40014042</v>
      </c>
      <c r="B44" s="46">
        <v>0</v>
      </c>
      <c r="C44" s="46" t="s">
        <v>89</v>
      </c>
      <c r="D44" s="46">
        <v>100</v>
      </c>
      <c r="E44" s="46" t="s">
        <v>89</v>
      </c>
      <c r="F44" s="46" t="s">
        <v>89</v>
      </c>
      <c r="G44" s="46" t="s">
        <v>89</v>
      </c>
      <c r="H44" s="46" t="s">
        <v>89</v>
      </c>
      <c r="I44" s="46" t="s">
        <v>89</v>
      </c>
      <c r="J44" s="47">
        <f t="shared" si="1"/>
        <v>100</v>
      </c>
    </row>
    <row r="45" spans="1:10" ht="21" customHeight="1" x14ac:dyDescent="0.15">
      <c r="A45" s="46">
        <v>40014043</v>
      </c>
      <c r="B45" s="46">
        <v>0</v>
      </c>
      <c r="C45" s="46" t="s">
        <v>89</v>
      </c>
      <c r="D45" s="46">
        <v>100</v>
      </c>
      <c r="E45" s="46" t="s">
        <v>89</v>
      </c>
      <c r="F45" s="46" t="s">
        <v>89</v>
      </c>
      <c r="G45" s="46" t="s">
        <v>89</v>
      </c>
      <c r="H45" s="46" t="s">
        <v>89</v>
      </c>
      <c r="I45" s="46" t="s">
        <v>89</v>
      </c>
      <c r="J45" s="47">
        <f t="shared" si="1"/>
        <v>100</v>
      </c>
    </row>
    <row r="46" spans="1:10" ht="21" customHeight="1" x14ac:dyDescent="0.15">
      <c r="A46" s="46">
        <v>40014044</v>
      </c>
      <c r="B46" s="46">
        <v>0</v>
      </c>
      <c r="C46" s="46" t="s">
        <v>89</v>
      </c>
      <c r="D46" s="46">
        <v>100</v>
      </c>
      <c r="E46" s="46" t="s">
        <v>89</v>
      </c>
      <c r="F46" s="46" t="s">
        <v>89</v>
      </c>
      <c r="G46" s="46" t="s">
        <v>89</v>
      </c>
      <c r="H46" s="46" t="s">
        <v>89</v>
      </c>
      <c r="I46" s="46" t="s">
        <v>89</v>
      </c>
      <c r="J46" s="47">
        <f t="shared" si="1"/>
        <v>100</v>
      </c>
    </row>
    <row r="47" spans="1:10" ht="21" customHeight="1" x14ac:dyDescent="0.15">
      <c r="A47" s="46">
        <v>40014045</v>
      </c>
      <c r="B47" s="46">
        <v>1</v>
      </c>
      <c r="C47" s="46" t="s">
        <v>53</v>
      </c>
      <c r="D47" s="46">
        <v>100</v>
      </c>
      <c r="E47" s="46" t="s">
        <v>53</v>
      </c>
      <c r="F47" s="46" t="s">
        <v>53</v>
      </c>
      <c r="G47" s="46">
        <v>1</v>
      </c>
      <c r="H47" s="46" t="s">
        <v>53</v>
      </c>
      <c r="I47" s="46" t="s">
        <v>89</v>
      </c>
      <c r="J47" s="47">
        <f t="shared" si="1"/>
        <v>100</v>
      </c>
    </row>
    <row r="48" spans="1:10" ht="21" customHeight="1" x14ac:dyDescent="0.15">
      <c r="A48" s="46">
        <v>40014046</v>
      </c>
      <c r="B48" s="46">
        <v>0</v>
      </c>
      <c r="C48" s="46" t="s">
        <v>53</v>
      </c>
      <c r="D48" s="46">
        <v>20</v>
      </c>
      <c r="E48" s="46" t="s">
        <v>53</v>
      </c>
      <c r="F48" s="46" t="s">
        <v>53</v>
      </c>
      <c r="G48" s="46" t="s">
        <v>53</v>
      </c>
      <c r="H48" s="46" t="s">
        <v>53</v>
      </c>
      <c r="I48" s="46" t="s">
        <v>89</v>
      </c>
      <c r="J48" s="47">
        <f t="shared" si="1"/>
        <v>20</v>
      </c>
    </row>
    <row r="49" spans="1:10" ht="21" customHeight="1" x14ac:dyDescent="0.15">
      <c r="A49" s="46">
        <v>40014047</v>
      </c>
      <c r="B49" s="46">
        <v>0</v>
      </c>
      <c r="C49" s="46" t="s">
        <v>53</v>
      </c>
      <c r="D49" s="46">
        <v>20</v>
      </c>
      <c r="E49" s="46" t="s">
        <v>53</v>
      </c>
      <c r="F49" s="46" t="s">
        <v>53</v>
      </c>
      <c r="G49" s="46" t="s">
        <v>53</v>
      </c>
      <c r="H49" s="46" t="s">
        <v>53</v>
      </c>
      <c r="I49" s="46" t="s">
        <v>89</v>
      </c>
      <c r="J49" s="47">
        <f t="shared" si="1"/>
        <v>20</v>
      </c>
    </row>
    <row r="50" spans="1:10" ht="21" customHeight="1" x14ac:dyDescent="0.15">
      <c r="A50" s="46">
        <v>40014048</v>
      </c>
      <c r="B50" s="46">
        <v>0</v>
      </c>
      <c r="C50" s="46" t="s">
        <v>53</v>
      </c>
      <c r="D50" s="46">
        <v>20</v>
      </c>
      <c r="E50" s="46" t="s">
        <v>53</v>
      </c>
      <c r="F50" s="46" t="s">
        <v>53</v>
      </c>
      <c r="G50" s="46" t="s">
        <v>53</v>
      </c>
      <c r="H50" s="46" t="s">
        <v>53</v>
      </c>
      <c r="I50" s="46" t="s">
        <v>89</v>
      </c>
      <c r="J50" s="47">
        <f t="shared" si="1"/>
        <v>20</v>
      </c>
    </row>
    <row r="51" spans="1:10" ht="21" customHeight="1" x14ac:dyDescent="0.15">
      <c r="A51" s="46">
        <v>40014049</v>
      </c>
      <c r="B51" s="46">
        <v>0</v>
      </c>
      <c r="C51" s="46" t="s">
        <v>53</v>
      </c>
      <c r="D51" s="46">
        <v>100</v>
      </c>
      <c r="E51" s="46" t="s">
        <v>53</v>
      </c>
      <c r="F51" s="46" t="s">
        <v>53</v>
      </c>
      <c r="G51" s="46" t="s">
        <v>53</v>
      </c>
      <c r="H51" s="46">
        <v>4</v>
      </c>
      <c r="I51" s="46" t="s">
        <v>89</v>
      </c>
      <c r="J51" s="47">
        <f t="shared" si="1"/>
        <v>100</v>
      </c>
    </row>
    <row r="52" spans="1:10" ht="21" customHeight="1" x14ac:dyDescent="0.15">
      <c r="A52" s="46">
        <v>40014050</v>
      </c>
      <c r="B52" s="46">
        <v>0</v>
      </c>
      <c r="C52" s="46" t="s">
        <v>89</v>
      </c>
      <c r="D52" s="46">
        <v>100</v>
      </c>
      <c r="E52" s="46" t="s">
        <v>89</v>
      </c>
      <c r="F52" s="46" t="s">
        <v>89</v>
      </c>
      <c r="G52" s="46" t="s">
        <v>89</v>
      </c>
      <c r="H52" s="46" t="s">
        <v>89</v>
      </c>
      <c r="I52" s="46" t="s">
        <v>89</v>
      </c>
      <c r="J52" s="47">
        <f t="shared" si="1"/>
        <v>100</v>
      </c>
    </row>
    <row r="53" spans="1:10" ht="21" customHeight="1" x14ac:dyDescent="0.15">
      <c r="A53" s="46">
        <v>40014051</v>
      </c>
      <c r="B53" s="46">
        <v>0</v>
      </c>
      <c r="C53" s="46" t="s">
        <v>89</v>
      </c>
      <c r="D53" s="46">
        <v>100</v>
      </c>
      <c r="E53" s="46" t="s">
        <v>89</v>
      </c>
      <c r="F53" s="46" t="s">
        <v>89</v>
      </c>
      <c r="G53" s="46" t="s">
        <v>89</v>
      </c>
      <c r="H53" s="46" t="s">
        <v>89</v>
      </c>
      <c r="I53" s="46" t="s">
        <v>89</v>
      </c>
      <c r="J53" s="47">
        <f t="shared" si="1"/>
        <v>100</v>
      </c>
    </row>
    <row r="54" spans="1:10" ht="21" customHeight="1" x14ac:dyDescent="0.15">
      <c r="A54" s="46">
        <v>40014052</v>
      </c>
      <c r="B54" s="46">
        <v>0</v>
      </c>
      <c r="C54" s="46" t="s">
        <v>89</v>
      </c>
      <c r="D54" s="46">
        <v>100</v>
      </c>
      <c r="E54" s="46" t="s">
        <v>89</v>
      </c>
      <c r="F54" s="46" t="s">
        <v>89</v>
      </c>
      <c r="G54" s="46" t="s">
        <v>89</v>
      </c>
      <c r="H54" s="46" t="s">
        <v>89</v>
      </c>
      <c r="I54" s="46" t="s">
        <v>89</v>
      </c>
      <c r="J54" s="47">
        <f t="shared" si="1"/>
        <v>100</v>
      </c>
    </row>
    <row r="55" spans="1:10" ht="21" customHeight="1" x14ac:dyDescent="0.15">
      <c r="A55" s="46">
        <v>40014053</v>
      </c>
      <c r="B55" s="46">
        <v>0</v>
      </c>
      <c r="C55" s="46" t="s">
        <v>89</v>
      </c>
      <c r="D55" s="46">
        <v>100</v>
      </c>
      <c r="E55" s="46" t="s">
        <v>89</v>
      </c>
      <c r="F55" s="46" t="s">
        <v>89</v>
      </c>
      <c r="G55" s="46" t="s">
        <v>89</v>
      </c>
      <c r="H55" s="46" t="s">
        <v>89</v>
      </c>
      <c r="I55" s="46" t="s">
        <v>89</v>
      </c>
      <c r="J55" s="47">
        <f t="shared" si="1"/>
        <v>100</v>
      </c>
    </row>
    <row r="56" spans="1:10" ht="21" customHeight="1" x14ac:dyDescent="0.15">
      <c r="A56" s="46">
        <v>40014054</v>
      </c>
      <c r="B56" s="46">
        <v>0</v>
      </c>
      <c r="C56" s="46" t="s">
        <v>89</v>
      </c>
      <c r="D56" s="46">
        <v>100</v>
      </c>
      <c r="E56" s="46" t="s">
        <v>89</v>
      </c>
      <c r="F56" s="46" t="s">
        <v>89</v>
      </c>
      <c r="G56" s="46" t="s">
        <v>89</v>
      </c>
      <c r="H56" s="46" t="s">
        <v>89</v>
      </c>
      <c r="I56" s="46" t="s">
        <v>89</v>
      </c>
      <c r="J56" s="47">
        <f t="shared" si="1"/>
        <v>100</v>
      </c>
    </row>
    <row r="57" spans="1:10" ht="21" customHeight="1" x14ac:dyDescent="0.15">
      <c r="A57" s="46">
        <v>40014055</v>
      </c>
      <c r="B57" s="46">
        <v>1</v>
      </c>
      <c r="C57" s="46" t="s">
        <v>89</v>
      </c>
      <c r="D57" s="46">
        <v>100</v>
      </c>
      <c r="E57" s="46" t="s">
        <v>89</v>
      </c>
      <c r="F57" s="46" t="s">
        <v>89</v>
      </c>
      <c r="G57" s="46">
        <v>1</v>
      </c>
      <c r="H57" s="46" t="s">
        <v>89</v>
      </c>
      <c r="I57" s="46" t="s">
        <v>89</v>
      </c>
      <c r="J57" s="47">
        <f t="shared" si="1"/>
        <v>100</v>
      </c>
    </row>
    <row r="58" spans="1:10" ht="21" customHeight="1" x14ac:dyDescent="0.15">
      <c r="A58" s="46">
        <v>40014056</v>
      </c>
      <c r="B58" s="46">
        <v>0</v>
      </c>
      <c r="C58" s="46" t="s">
        <v>89</v>
      </c>
      <c r="D58" s="46">
        <v>20</v>
      </c>
      <c r="E58" s="46" t="s">
        <v>89</v>
      </c>
      <c r="F58" s="46" t="s">
        <v>89</v>
      </c>
      <c r="G58" s="46" t="s">
        <v>89</v>
      </c>
      <c r="H58" s="46" t="s">
        <v>89</v>
      </c>
      <c r="I58" s="46" t="s">
        <v>89</v>
      </c>
      <c r="J58" s="47">
        <f t="shared" si="1"/>
        <v>20</v>
      </c>
    </row>
    <row r="59" spans="1:10" ht="21" customHeight="1" x14ac:dyDescent="0.15">
      <c r="A59" s="46">
        <v>40014057</v>
      </c>
      <c r="B59" s="46">
        <v>0</v>
      </c>
      <c r="C59" s="46" t="s">
        <v>89</v>
      </c>
      <c r="D59" s="46">
        <v>20</v>
      </c>
      <c r="E59" s="46" t="s">
        <v>89</v>
      </c>
      <c r="F59" s="46" t="s">
        <v>89</v>
      </c>
      <c r="G59" s="46" t="s">
        <v>89</v>
      </c>
      <c r="H59" s="46" t="s">
        <v>89</v>
      </c>
      <c r="I59" s="46" t="s">
        <v>89</v>
      </c>
      <c r="J59" s="47">
        <f t="shared" si="1"/>
        <v>20</v>
      </c>
    </row>
    <row r="60" spans="1:10" ht="21" customHeight="1" x14ac:dyDescent="0.15">
      <c r="A60" s="46">
        <v>40014058</v>
      </c>
      <c r="B60" s="46">
        <v>0</v>
      </c>
      <c r="C60" s="46" t="s">
        <v>89</v>
      </c>
      <c r="D60" s="46">
        <v>20</v>
      </c>
      <c r="E60" s="46" t="s">
        <v>89</v>
      </c>
      <c r="F60" s="46" t="s">
        <v>89</v>
      </c>
      <c r="G60" s="46" t="s">
        <v>89</v>
      </c>
      <c r="H60" s="46" t="s">
        <v>89</v>
      </c>
      <c r="I60" s="46" t="s">
        <v>89</v>
      </c>
      <c r="J60" s="47">
        <f t="shared" si="1"/>
        <v>20</v>
      </c>
    </row>
    <row r="61" spans="1:10" ht="21" customHeight="1" x14ac:dyDescent="0.15">
      <c r="A61" s="46">
        <v>40014059</v>
      </c>
      <c r="B61" s="46">
        <v>0</v>
      </c>
      <c r="C61" s="46">
        <v>100</v>
      </c>
      <c r="D61" s="46">
        <v>100</v>
      </c>
      <c r="E61" s="46">
        <v>80</v>
      </c>
      <c r="F61" s="46" t="s">
        <v>89</v>
      </c>
      <c r="G61" s="46" t="s">
        <v>89</v>
      </c>
      <c r="H61" s="46" t="s">
        <v>89</v>
      </c>
      <c r="I61" s="46" t="s">
        <v>89</v>
      </c>
      <c r="J61" s="47">
        <f t="shared" si="1"/>
        <v>100</v>
      </c>
    </row>
    <row r="62" spans="1:10" ht="21" customHeight="1" x14ac:dyDescent="0.15">
      <c r="A62" s="46">
        <v>40014060</v>
      </c>
      <c r="B62" s="46">
        <v>0</v>
      </c>
      <c r="C62" s="46" t="s">
        <v>89</v>
      </c>
      <c r="D62" s="46">
        <v>100</v>
      </c>
      <c r="E62" s="46" t="s">
        <v>89</v>
      </c>
      <c r="F62" s="46" t="s">
        <v>89</v>
      </c>
      <c r="G62" s="46" t="s">
        <v>89</v>
      </c>
      <c r="H62" s="46" t="s">
        <v>89</v>
      </c>
      <c r="I62" s="46" t="s">
        <v>89</v>
      </c>
      <c r="J62" s="47">
        <f t="shared" si="1"/>
        <v>100</v>
      </c>
    </row>
    <row r="63" spans="1:10" ht="21" customHeight="1" x14ac:dyDescent="0.15">
      <c r="A63" s="46">
        <v>40014061</v>
      </c>
      <c r="B63" s="46">
        <v>0</v>
      </c>
      <c r="C63" s="46" t="s">
        <v>89</v>
      </c>
      <c r="D63" s="46">
        <v>100</v>
      </c>
      <c r="E63" s="46" t="s">
        <v>89</v>
      </c>
      <c r="F63" s="46" t="s">
        <v>89</v>
      </c>
      <c r="G63" s="46" t="s">
        <v>89</v>
      </c>
      <c r="H63" s="46" t="s">
        <v>89</v>
      </c>
      <c r="I63" s="46" t="s">
        <v>89</v>
      </c>
      <c r="J63" s="47">
        <f t="shared" ref="J63:J65" si="2">D63</f>
        <v>100</v>
      </c>
    </row>
    <row r="64" spans="1:10" ht="21" customHeight="1" x14ac:dyDescent="0.15">
      <c r="A64" s="46">
        <v>40014062</v>
      </c>
      <c r="B64" s="46">
        <v>0</v>
      </c>
      <c r="C64" s="46" t="s">
        <v>89</v>
      </c>
      <c r="D64" s="46">
        <v>100</v>
      </c>
      <c r="E64" s="46" t="s">
        <v>89</v>
      </c>
      <c r="F64" s="46" t="s">
        <v>89</v>
      </c>
      <c r="G64" s="46" t="s">
        <v>89</v>
      </c>
      <c r="H64" s="46" t="s">
        <v>89</v>
      </c>
      <c r="I64" s="46" t="s">
        <v>89</v>
      </c>
      <c r="J64" s="47">
        <f t="shared" si="2"/>
        <v>100</v>
      </c>
    </row>
    <row r="65" spans="1:10" ht="21" customHeight="1" x14ac:dyDescent="0.15">
      <c r="A65" s="46">
        <v>40014063</v>
      </c>
      <c r="B65" s="46">
        <v>0</v>
      </c>
      <c r="C65" s="46" t="s">
        <v>89</v>
      </c>
      <c r="D65" s="46">
        <v>100</v>
      </c>
      <c r="E65" s="46" t="s">
        <v>89</v>
      </c>
      <c r="F65" s="46" t="s">
        <v>89</v>
      </c>
      <c r="G65" s="46" t="s">
        <v>89</v>
      </c>
      <c r="H65" s="46" t="s">
        <v>89</v>
      </c>
      <c r="I65" s="46" t="s">
        <v>89</v>
      </c>
      <c r="J65" s="47">
        <f t="shared" si="2"/>
        <v>100</v>
      </c>
    </row>
  </sheetData>
  <autoFilter ref="A1:G1"/>
  <phoneticPr fontId="5"/>
  <conditionalFormatting sqref="K66:K1048576 K1:K2">
    <cfRule type="duplicateValues" dxfId="2" priority="3"/>
  </conditionalFormatting>
  <conditionalFormatting sqref="K3:K62">
    <cfRule type="duplicateValues" dxfId="1" priority="2"/>
  </conditionalFormatting>
  <conditionalFormatting sqref="K63:K65">
    <cfRule type="duplicateValues" dxfId="0" priority="5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1"/>
  <sheetViews>
    <sheetView workbookViewId="0">
      <selection activeCell="K27" sqref="K2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151</v>
      </c>
      <c r="B1" s="63" t="s">
        <v>152</v>
      </c>
      <c r="C1" s="64" t="s">
        <v>153</v>
      </c>
      <c r="D1" s="70" t="s">
        <v>154</v>
      </c>
      <c r="E1" s="65" t="s">
        <v>155</v>
      </c>
      <c r="F1" s="63" t="s">
        <v>156</v>
      </c>
      <c r="G1" s="63" t="s">
        <v>157</v>
      </c>
      <c r="H1" s="63" t="s">
        <v>158</v>
      </c>
      <c r="I1" s="63" t="s">
        <v>159</v>
      </c>
      <c r="J1" s="63" t="s">
        <v>160</v>
      </c>
      <c r="K1" s="63" t="s">
        <v>161</v>
      </c>
      <c r="L1" s="63" t="s">
        <v>162</v>
      </c>
      <c r="M1" s="63" t="s">
        <v>163</v>
      </c>
      <c r="N1" s="63" t="s">
        <v>164</v>
      </c>
      <c r="O1" s="63" t="s">
        <v>165</v>
      </c>
      <c r="P1" s="63" t="s">
        <v>166</v>
      </c>
      <c r="Q1" s="63" t="s">
        <v>167</v>
      </c>
      <c r="R1" s="63" t="s">
        <v>168</v>
      </c>
    </row>
    <row r="2" spans="1:18" x14ac:dyDescent="0.15">
      <c r="A2" s="96">
        <v>40014</v>
      </c>
      <c r="B2" s="96">
        <v>1</v>
      </c>
      <c r="C2" s="97" t="str">
        <f t="shared" ref="C2:C11" si="0">A2&amp; "_"&amp;B2</f>
        <v>40014_1</v>
      </c>
      <c r="D2" s="97" t="str">
        <f>VLOOKUP(C2,[2]stages!$A:$AE,31,FALSE)</f>
        <v>everyone</v>
      </c>
      <c r="E2" s="96">
        <v>1</v>
      </c>
      <c r="F2" s="96" t="s">
        <v>169</v>
      </c>
      <c r="G2" s="96">
        <v>40000</v>
      </c>
      <c r="H2" s="96" t="s">
        <v>250</v>
      </c>
      <c r="I2" s="96">
        <v>1</v>
      </c>
      <c r="J2" s="96">
        <v>1</v>
      </c>
      <c r="K2" s="96">
        <v>0</v>
      </c>
      <c r="L2" s="96">
        <v>0</v>
      </c>
      <c r="M2" s="96">
        <v>0</v>
      </c>
      <c r="N2" s="96">
        <v>0</v>
      </c>
      <c r="O2" s="96">
        <v>1</v>
      </c>
      <c r="P2" s="96">
        <v>150</v>
      </c>
      <c r="Q2" s="96" t="s">
        <v>170</v>
      </c>
      <c r="R2" s="96" t="s">
        <v>171</v>
      </c>
    </row>
    <row r="3" spans="1:18" x14ac:dyDescent="0.15">
      <c r="A3" s="96">
        <v>40014</v>
      </c>
      <c r="B3" s="96">
        <v>1</v>
      </c>
      <c r="C3" s="97" t="str">
        <f t="shared" si="0"/>
        <v>40014_1</v>
      </c>
      <c r="D3" s="97" t="str">
        <f>VLOOKUP(C3,[2]stages!$A:$AE,31,FALSE)</f>
        <v>everyone</v>
      </c>
      <c r="E3" s="96">
        <v>2</v>
      </c>
      <c r="F3" s="96" t="s">
        <v>251</v>
      </c>
      <c r="G3" s="96">
        <v>30</v>
      </c>
      <c r="H3" s="96" t="s">
        <v>250</v>
      </c>
      <c r="I3" s="96">
        <v>1</v>
      </c>
      <c r="J3" s="96">
        <v>1</v>
      </c>
      <c r="K3" s="96">
        <v>0</v>
      </c>
      <c r="L3" s="96">
        <v>0</v>
      </c>
      <c r="M3" s="96">
        <v>0</v>
      </c>
      <c r="N3" s="96">
        <v>0</v>
      </c>
      <c r="O3" s="96">
        <v>1</v>
      </c>
      <c r="P3" s="96">
        <v>150</v>
      </c>
      <c r="Q3" s="96" t="s">
        <v>170</v>
      </c>
      <c r="R3" s="96" t="s">
        <v>171</v>
      </c>
    </row>
    <row r="4" spans="1:18" x14ac:dyDescent="0.15">
      <c r="A4" s="96">
        <v>40014</v>
      </c>
      <c r="B4" s="96">
        <v>1</v>
      </c>
      <c r="C4" s="97" t="str">
        <f t="shared" si="0"/>
        <v>40014_1</v>
      </c>
      <c r="D4" s="97" t="str">
        <f>VLOOKUP(C4,[2]stages!$A:$AE,31,FALSE)</f>
        <v>everyone</v>
      </c>
      <c r="E4" s="96">
        <v>3</v>
      </c>
      <c r="F4" s="96" t="s">
        <v>253</v>
      </c>
      <c r="G4" s="96">
        <v>341</v>
      </c>
      <c r="H4" s="96">
        <v>1</v>
      </c>
      <c r="I4" s="96">
        <v>1</v>
      </c>
      <c r="J4" s="96">
        <v>1</v>
      </c>
      <c r="K4" s="96">
        <v>0</v>
      </c>
      <c r="L4" s="96">
        <v>0</v>
      </c>
      <c r="M4" s="96">
        <v>0</v>
      </c>
      <c r="N4" s="96">
        <v>0</v>
      </c>
      <c r="O4" s="96">
        <v>1</v>
      </c>
      <c r="P4" s="96">
        <v>28</v>
      </c>
      <c r="Q4" s="96" t="s">
        <v>170</v>
      </c>
      <c r="R4" s="96" t="s">
        <v>171</v>
      </c>
    </row>
    <row r="5" spans="1:18" x14ac:dyDescent="0.15">
      <c r="A5" s="96">
        <v>40014</v>
      </c>
      <c r="B5" s="96">
        <v>1</v>
      </c>
      <c r="C5" s="97" t="str">
        <f t="shared" si="0"/>
        <v>40014_1</v>
      </c>
      <c r="D5" s="97" t="str">
        <f>VLOOKUP(C5,[2]stages!$A:$AE,31,FALSE)</f>
        <v>everyone</v>
      </c>
      <c r="E5" s="96">
        <v>4</v>
      </c>
      <c r="F5" s="96" t="s">
        <v>253</v>
      </c>
      <c r="G5" s="96">
        <v>342</v>
      </c>
      <c r="H5" s="96">
        <v>1</v>
      </c>
      <c r="I5" s="96">
        <v>1</v>
      </c>
      <c r="J5" s="96">
        <v>1</v>
      </c>
      <c r="K5" s="96">
        <v>0</v>
      </c>
      <c r="L5" s="96">
        <v>0</v>
      </c>
      <c r="M5" s="96">
        <v>0</v>
      </c>
      <c r="N5" s="96">
        <v>0</v>
      </c>
      <c r="O5" s="96">
        <v>1</v>
      </c>
      <c r="P5" s="96">
        <v>112</v>
      </c>
      <c r="Q5" s="96" t="s">
        <v>170</v>
      </c>
      <c r="R5" s="96" t="s">
        <v>171</v>
      </c>
    </row>
    <row r="6" spans="1:18" x14ac:dyDescent="0.15">
      <c r="A6" s="96">
        <v>40014</v>
      </c>
      <c r="B6" s="96">
        <v>1</v>
      </c>
      <c r="C6" s="97" t="str">
        <f t="shared" si="0"/>
        <v>40014_1</v>
      </c>
      <c r="D6" s="97" t="str">
        <f>VLOOKUP(C6,[2]stages!$A:$AE,31,FALSE)</f>
        <v>everyone</v>
      </c>
      <c r="E6" s="96">
        <v>5</v>
      </c>
      <c r="F6" s="96" t="s">
        <v>253</v>
      </c>
      <c r="G6" s="96">
        <v>121</v>
      </c>
      <c r="H6" s="96">
        <v>1</v>
      </c>
      <c r="I6" s="96">
        <v>1</v>
      </c>
      <c r="J6" s="96">
        <v>1</v>
      </c>
      <c r="K6" s="96">
        <v>0</v>
      </c>
      <c r="L6" s="96">
        <v>0</v>
      </c>
      <c r="M6" s="96">
        <v>0</v>
      </c>
      <c r="N6" s="96">
        <v>0</v>
      </c>
      <c r="O6" s="96">
        <v>1</v>
      </c>
      <c r="P6" s="96">
        <v>50</v>
      </c>
      <c r="Q6" s="96" t="s">
        <v>170</v>
      </c>
      <c r="R6" s="96" t="s">
        <v>171</v>
      </c>
    </row>
    <row r="7" spans="1:18" x14ac:dyDescent="0.15">
      <c r="A7" s="96">
        <v>40014</v>
      </c>
      <c r="B7" s="96">
        <v>1</v>
      </c>
      <c r="C7" s="97" t="str">
        <f t="shared" si="0"/>
        <v>40014_1</v>
      </c>
      <c r="D7" s="97" t="str">
        <f>VLOOKUP(C7,[2]stages!$A:$AE,31,FALSE)</f>
        <v>everyone</v>
      </c>
      <c r="E7" s="96">
        <v>6</v>
      </c>
      <c r="F7" s="96" t="s">
        <v>252</v>
      </c>
      <c r="G7" s="96">
        <v>122</v>
      </c>
      <c r="H7" s="96">
        <v>1</v>
      </c>
      <c r="I7" s="96">
        <v>1</v>
      </c>
      <c r="J7" s="96">
        <v>1</v>
      </c>
      <c r="K7" s="96">
        <v>0</v>
      </c>
      <c r="L7" s="96">
        <v>0</v>
      </c>
      <c r="M7" s="96">
        <v>0</v>
      </c>
      <c r="N7" s="96">
        <v>0</v>
      </c>
      <c r="O7" s="96">
        <v>1</v>
      </c>
      <c r="P7" s="96">
        <v>50</v>
      </c>
      <c r="Q7" s="96" t="s">
        <v>170</v>
      </c>
      <c r="R7" s="96" t="s">
        <v>171</v>
      </c>
    </row>
    <row r="8" spans="1:18" x14ac:dyDescent="0.15">
      <c r="A8" s="96">
        <v>40014</v>
      </c>
      <c r="B8" s="96">
        <v>1</v>
      </c>
      <c r="C8" s="97" t="str">
        <f t="shared" si="0"/>
        <v>40014_1</v>
      </c>
      <c r="D8" s="97" t="str">
        <f>VLOOKUP(C8,[2]stages!$A:$AE,31,FALSE)</f>
        <v>everyone</v>
      </c>
      <c r="E8" s="96">
        <v>7</v>
      </c>
      <c r="F8" s="96" t="s">
        <v>253</v>
      </c>
      <c r="G8" s="96">
        <v>123</v>
      </c>
      <c r="H8" s="96">
        <v>1</v>
      </c>
      <c r="I8" s="96">
        <v>1</v>
      </c>
      <c r="J8" s="96">
        <v>1</v>
      </c>
      <c r="K8" s="96">
        <v>0</v>
      </c>
      <c r="L8" s="96">
        <v>0</v>
      </c>
      <c r="M8" s="96">
        <v>0</v>
      </c>
      <c r="N8" s="96">
        <v>0</v>
      </c>
      <c r="O8" s="96">
        <v>1</v>
      </c>
      <c r="P8" s="96">
        <v>50</v>
      </c>
      <c r="Q8" s="96" t="s">
        <v>170</v>
      </c>
      <c r="R8" s="96" t="s">
        <v>171</v>
      </c>
    </row>
    <row r="9" spans="1:18" x14ac:dyDescent="0.15">
      <c r="A9" s="96">
        <v>40014</v>
      </c>
      <c r="B9" s="96">
        <v>1</v>
      </c>
      <c r="C9" s="97" t="str">
        <f t="shared" si="0"/>
        <v>40014_1</v>
      </c>
      <c r="D9" s="97" t="str">
        <f>VLOOKUP(C9,[2]stages!$A:$AE,31,FALSE)</f>
        <v>everyone</v>
      </c>
      <c r="E9" s="96">
        <v>8</v>
      </c>
      <c r="F9" s="96" t="s">
        <v>253</v>
      </c>
      <c r="G9" s="96">
        <v>125</v>
      </c>
      <c r="H9" s="96">
        <v>1</v>
      </c>
      <c r="I9" s="96">
        <v>1</v>
      </c>
      <c r="J9" s="96">
        <v>1</v>
      </c>
      <c r="K9" s="96">
        <v>0</v>
      </c>
      <c r="L9" s="96">
        <v>0</v>
      </c>
      <c r="M9" s="96">
        <v>0</v>
      </c>
      <c r="N9" s="96">
        <v>0</v>
      </c>
      <c r="O9" s="96">
        <v>1</v>
      </c>
      <c r="P9" s="96">
        <v>10</v>
      </c>
      <c r="Q9" s="96" t="s">
        <v>170</v>
      </c>
      <c r="R9" s="96" t="s">
        <v>171</v>
      </c>
    </row>
    <row r="10" spans="1:18" x14ac:dyDescent="0.15">
      <c r="A10" s="96">
        <v>40014</v>
      </c>
      <c r="B10" s="96">
        <v>1</v>
      </c>
      <c r="C10" s="97" t="str">
        <f t="shared" si="0"/>
        <v>40014_1</v>
      </c>
      <c r="D10" s="97" t="str">
        <f>VLOOKUP(C10,[2]stages!$A:$AE,31,FALSE)</f>
        <v>everyone</v>
      </c>
      <c r="E10" s="96">
        <v>9</v>
      </c>
      <c r="F10" s="96" t="s">
        <v>253</v>
      </c>
      <c r="G10" s="96">
        <v>656</v>
      </c>
      <c r="H10" s="96">
        <v>1</v>
      </c>
      <c r="I10" s="96">
        <v>1</v>
      </c>
      <c r="J10" s="96">
        <v>1</v>
      </c>
      <c r="K10" s="96">
        <v>0</v>
      </c>
      <c r="L10" s="96">
        <v>0</v>
      </c>
      <c r="M10" s="96">
        <v>0</v>
      </c>
      <c r="N10" s="96">
        <v>0</v>
      </c>
      <c r="O10" s="96">
        <v>1</v>
      </c>
      <c r="P10" s="96">
        <v>250</v>
      </c>
      <c r="Q10" s="96" t="s">
        <v>170</v>
      </c>
      <c r="R10" s="96" t="s">
        <v>171</v>
      </c>
    </row>
    <row r="11" spans="1:18" x14ac:dyDescent="0.15">
      <c r="A11" s="96">
        <v>40014</v>
      </c>
      <c r="B11" s="96">
        <v>1</v>
      </c>
      <c r="C11" s="97" t="str">
        <f t="shared" si="0"/>
        <v>40014_1</v>
      </c>
      <c r="D11" s="97" t="str">
        <f>VLOOKUP(C11,[2]stages!$A:$AE,31,FALSE)</f>
        <v>everyone</v>
      </c>
      <c r="E11" s="96">
        <v>10</v>
      </c>
      <c r="F11" s="96" t="s">
        <v>253</v>
      </c>
      <c r="G11" s="96">
        <v>352</v>
      </c>
      <c r="H11" s="96">
        <v>1</v>
      </c>
      <c r="I11" s="96">
        <v>1</v>
      </c>
      <c r="J11" s="96">
        <v>1</v>
      </c>
      <c r="K11" s="96">
        <v>0</v>
      </c>
      <c r="L11" s="96">
        <v>0</v>
      </c>
      <c r="M11" s="96">
        <v>0</v>
      </c>
      <c r="N11" s="96">
        <v>0</v>
      </c>
      <c r="O11" s="96">
        <v>1</v>
      </c>
      <c r="P11" s="96">
        <v>150</v>
      </c>
      <c r="Q11" s="96" t="s">
        <v>170</v>
      </c>
      <c r="R11" s="96" t="s">
        <v>171</v>
      </c>
    </row>
  </sheetData>
  <phoneticPr fontId="5"/>
  <dataValidations count="1">
    <dataValidation type="list" allowBlank="1" showInputMessage="1" showErrorMessage="1" sqref="F2:F11">
      <formula1>"bit,link,polygon,unit"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K18" sqref="K1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188</v>
      </c>
      <c r="B1" s="71" t="s">
        <v>189</v>
      </c>
      <c r="C1" s="76" t="s">
        <v>190</v>
      </c>
      <c r="D1" s="76" t="s">
        <v>33</v>
      </c>
      <c r="E1" s="71" t="s">
        <v>191</v>
      </c>
      <c r="F1" s="76" t="s">
        <v>192</v>
      </c>
      <c r="G1" s="76" t="s">
        <v>33</v>
      </c>
      <c r="H1" s="71" t="s">
        <v>193</v>
      </c>
      <c r="I1" s="90" t="s">
        <v>195</v>
      </c>
      <c r="J1" s="78" t="s">
        <v>127</v>
      </c>
      <c r="K1" s="77" t="s">
        <v>187</v>
      </c>
      <c r="L1" s="91" t="s">
        <v>186</v>
      </c>
      <c r="M1" s="79" t="s">
        <v>196</v>
      </c>
    </row>
    <row r="2" spans="1:13" x14ac:dyDescent="0.15">
      <c r="A2" s="80" t="s">
        <v>201</v>
      </c>
      <c r="B2" s="81">
        <f>floors!$C$2</f>
        <v>40014</v>
      </c>
      <c r="C2" s="82" t="str">
        <f ca="1">VLOOKUP($B2,OFFSET([2]quests!$A$1,0,0,COUNTA([2]quests!$A:$A),MATCH(C$1,[2]quests!$1:$1,0)-MATCH($B$1,[2]quests!$1:$1,0)+1),MATCH(C$1,[2]quests!$1:$1,0)-MATCH($B$1,[2]quests!$1:$1,0)+1,FALSE)</f>
        <v>シヴァ襲来！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降臨14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降臨14</v>
      </c>
      <c r="H2" s="84">
        <v>0</v>
      </c>
      <c r="I2">
        <v>12</v>
      </c>
      <c r="J2" s="83" t="s">
        <v>198</v>
      </c>
      <c r="K2" s="92" t="str">
        <f>VLOOKUP(I2,[7]stage_hints!$A:$C,3,FALSE)</f>
        <v>ユニットのお気に入り登録</v>
      </c>
      <c r="L2" s="93" t="str">
        <f>VLOOKUP(I2,[7]stage_hints!$A:$D,4,FALSE)</f>
        <v>大事なユニットを誤って消さないように_x000D_フォルダから「お気に入り登録」しましょう</v>
      </c>
      <c r="M2" s="56" t="s">
        <v>211</v>
      </c>
    </row>
    <row r="3" spans="1:13" x14ac:dyDescent="0.15">
      <c r="A3" s="80" t="s">
        <v>201</v>
      </c>
      <c r="B3" s="81">
        <f>floors!$C$2</f>
        <v>40014</v>
      </c>
      <c r="C3" s="82" t="str">
        <f ca="1">VLOOKUP($B3,OFFSET([2]quests!$A$1,0,0,COUNTA([2]quests!$A:$A),MATCH(C$1,[2]quests!$1:$1,0)-MATCH($B$1,[2]quests!$1:$1,0)+1),MATCH(C$1,[2]quests!$1:$1,0)-MATCH($B$1,[2]quests!$1:$1,0)+1,FALSE)</f>
        <v>シヴァ襲来！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降臨14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降臨14</v>
      </c>
      <c r="H3" s="84">
        <v>0</v>
      </c>
      <c r="I3">
        <v>17</v>
      </c>
      <c r="J3" s="83" t="s">
        <v>198</v>
      </c>
      <c r="K3" s="92" t="str">
        <f>VLOOKUP(I3,[7]stage_hints!$A:$C,3,FALSE)</f>
        <v>リンクガチャ</v>
      </c>
      <c r="L3" s="93" t="str">
        <f>VLOOKUP(I3,[7]stage_hints!$A:$D,4,FALSE)</f>
        <v>無料のリンクガチャを回して_x000D_経験値素材や売却素材を獲得しましょう</v>
      </c>
      <c r="M3" s="56" t="s">
        <v>211</v>
      </c>
    </row>
    <row r="4" spans="1:13" x14ac:dyDescent="0.15">
      <c r="A4" s="80" t="s">
        <v>201</v>
      </c>
      <c r="B4" s="81">
        <f>floors!$C$2</f>
        <v>40014</v>
      </c>
      <c r="C4" s="82" t="str">
        <f ca="1">VLOOKUP($B4,OFFSET([2]quests!$A$1,0,0,COUNTA([2]quests!$A:$A),MATCH(C$1,[2]quests!$1:$1,0)-MATCH($B$1,[2]quests!$1:$1,0)+1),MATCH(C$1,[2]quests!$1:$1,0)-MATCH($B$1,[2]quests!$1:$1,0)+1,FALSE)</f>
        <v>シヴァ襲来！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降臨14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降臨14</v>
      </c>
      <c r="H4" s="84">
        <v>0</v>
      </c>
      <c r="I4">
        <v>19</v>
      </c>
      <c r="J4" s="83" t="s">
        <v>198</v>
      </c>
      <c r="K4" s="92" t="str">
        <f>VLOOKUP(I4,[7]stage_hints!$A:$C,3,FALSE)</f>
        <v>ソロ専用チャレンジタワー</v>
      </c>
      <c r="L4" s="93" t="str">
        <f>VLOOKUP(I4,[7]stage_hints!$A:$D,4,FALSE)</f>
        <v>ソロ専用の「チャレンジタワー」では_x000D_各フロアごとにクリア報酬がもらえます</v>
      </c>
      <c r="M4" s="56" t="s">
        <v>211</v>
      </c>
    </row>
    <row r="5" spans="1:13" x14ac:dyDescent="0.15">
      <c r="A5" s="80" t="s">
        <v>201</v>
      </c>
      <c r="B5" s="81">
        <f>floors!$C$2</f>
        <v>40014</v>
      </c>
      <c r="C5" s="82" t="str">
        <f ca="1">VLOOKUP($B5,OFFSET([2]quests!$A$1,0,0,COUNTA([2]quests!$A:$A),MATCH(C$1,[2]quests!$1:$1,0)-MATCH($B$1,[2]quests!$1:$1,0)+1),MATCH(C$1,[2]quests!$1:$1,0)-MATCH($B$1,[2]quests!$1:$1,0)+1,FALSE)</f>
        <v>シヴァ襲来！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降臨14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降臨14</v>
      </c>
      <c r="H5" s="84">
        <v>0</v>
      </c>
      <c r="I5">
        <v>21</v>
      </c>
      <c r="J5" s="83" t="s">
        <v>198</v>
      </c>
      <c r="K5" s="92" t="str">
        <f>VLOOKUP(I5,[7]stage_hints!$A:$C,3,FALSE)</f>
        <v>スキルを有効に</v>
      </c>
      <c r="L5" s="93" t="str">
        <f>VLOOKUP(I5,[7]stage_hints!$A:$D,4,FALSE)</f>
        <v>ターン経過でユニットのスキルが使えます_x000D_強力スキルでバトルを有利に進めましょう</v>
      </c>
      <c r="M5" s="56" t="s">
        <v>211</v>
      </c>
    </row>
    <row r="6" spans="1:13" x14ac:dyDescent="0.15">
      <c r="A6" s="80" t="s">
        <v>201</v>
      </c>
      <c r="B6" s="81">
        <f>floors!$C$2</f>
        <v>40014</v>
      </c>
      <c r="C6" s="82" t="str">
        <f ca="1">VLOOKUP($B6,OFFSET([2]quests!$A$1,0,0,COUNTA([2]quests!$A:$A),MATCH(C$1,[2]quests!$1:$1,0)-MATCH($B$1,[2]quests!$1:$1,0)+1),MATCH(C$1,[2]quests!$1:$1,0)-MATCH($B$1,[2]quests!$1:$1,0)+1,FALSE)</f>
        <v>シヴァ襲来！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降臨14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降臨14</v>
      </c>
      <c r="H6" s="84">
        <v>0</v>
      </c>
      <c r="I6">
        <v>29</v>
      </c>
      <c r="J6" s="83" t="s">
        <v>198</v>
      </c>
      <c r="K6" s="92" t="str">
        <f>VLOOKUP(I6,[7]stage_hints!$A:$C,3,FALSE)</f>
        <v>「バグ」のメリット</v>
      </c>
      <c r="L6" s="93" t="str">
        <f>VLOOKUP(I6,[7]stage_hints!$A:$D,4,FALSE)</f>
        <v>ユニットの「バグ」を増やすと_x000D_報酬をもらえる確率がアップします</v>
      </c>
      <c r="M6" s="56" t="s">
        <v>211</v>
      </c>
    </row>
    <row r="7" spans="1:13" x14ac:dyDescent="0.15">
      <c r="A7" s="80" t="s">
        <v>201</v>
      </c>
      <c r="B7" s="81">
        <f>floors!$C$2</f>
        <v>40014</v>
      </c>
      <c r="C7" s="82" t="str">
        <f ca="1">VLOOKUP($B7,OFFSET([2]quests!$A$1,0,0,COUNTA([2]quests!$A:$A),MATCH(C$1,[2]quests!$1:$1,0)-MATCH($B$1,[2]quests!$1:$1,0)+1),MATCH(C$1,[2]quests!$1:$1,0)-MATCH($B$1,[2]quests!$1:$1,0)+1,FALSE)</f>
        <v>シヴァ襲来！</v>
      </c>
      <c r="D7" s="82" t="str">
        <f ca="1">VLOOKUP($B7,OFFSET([2]quests!$A$1,0,0,COUNTA([2]quests!$A:$A),MATCH(D$1,[2]quests!$1:$1,0)-MATCH($B$1,[2]quests!$1:$1,0)+1),MATCH(D$1,[2]quests!$1:$1,0)-MATCH($B$1,[2]quests!$1:$1,0)+1,FALSE)</f>
        <v>降臨14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降臨14</v>
      </c>
      <c r="H7" s="84">
        <v>0</v>
      </c>
      <c r="I7">
        <v>30</v>
      </c>
      <c r="J7" s="83" t="s">
        <v>198</v>
      </c>
      <c r="K7" s="92" t="str">
        <f>VLOOKUP(I7,[7]stage_hints!$A:$C,3,FALSE)</f>
        <v>「バグ」の増やし方</v>
      </c>
      <c r="L7" s="93" t="str">
        <f>VLOOKUP(I7,[7]stage_hints!$A:$D,4,FALSE)</f>
        <v>同じユニット同士を強化で合成すると_x000D_「バグ」を増やすことができます</v>
      </c>
      <c r="M7" s="56" t="s">
        <v>211</v>
      </c>
    </row>
    <row r="8" spans="1:13" x14ac:dyDescent="0.15">
      <c r="A8" s="80" t="s">
        <v>201</v>
      </c>
      <c r="B8" s="81">
        <f>floors!$C$2</f>
        <v>40014</v>
      </c>
      <c r="C8" s="82" t="str">
        <f ca="1">VLOOKUP($B8,OFFSET([2]quests!$A$1,0,0,COUNTA([2]quests!$A:$A),MATCH(C$1,[2]quests!$1:$1,0)-MATCH($B$1,[2]quests!$1:$1,0)+1),MATCH(C$1,[2]quests!$1:$1,0)-MATCH($B$1,[2]quests!$1:$1,0)+1,FALSE)</f>
        <v>シヴァ襲来！</v>
      </c>
      <c r="D8" s="82" t="str">
        <f ca="1">VLOOKUP($B8,OFFSET([2]quests!$A$1,0,0,COUNTA([2]quests!$A:$A),MATCH(D$1,[2]quests!$1:$1,0)-MATCH($B$1,[2]quests!$1:$1,0)+1),MATCH(D$1,[2]quests!$1:$1,0)-MATCH($B$1,[2]quests!$1:$1,0)+1,FALSE)</f>
        <v>降臨14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降臨14</v>
      </c>
      <c r="H8" s="84">
        <v>0</v>
      </c>
      <c r="I8">
        <v>32</v>
      </c>
      <c r="J8" s="83" t="s">
        <v>198</v>
      </c>
      <c r="K8" s="92" t="str">
        <f>VLOOKUP(I8,[7]stage_hints!$A:$C,3,FALSE)</f>
        <v>敵の連続攻撃には</v>
      </c>
      <c r="L8" s="93" t="str">
        <f>VLOOKUP(I8,[7]stage_hints!$A:$D,4,FALSE)</f>
        <v>カウンタースキルを持つユニットがいれば_x000D_ダメージ回数分の反撃ができます</v>
      </c>
      <c r="M8" s="56" t="s">
        <v>211</v>
      </c>
    </row>
    <row r="9" spans="1:13" x14ac:dyDescent="0.15">
      <c r="A9" s="80" t="s">
        <v>201</v>
      </c>
      <c r="B9" s="81">
        <f>floors!$C$2</f>
        <v>40014</v>
      </c>
      <c r="C9" s="82" t="str">
        <f ca="1">VLOOKUP($B9,OFFSET([2]quests!$A$1,0,0,COUNTA([2]quests!$A:$A),MATCH(C$1,[2]quests!$1:$1,0)-MATCH($B$1,[2]quests!$1:$1,0)+1),MATCH(C$1,[2]quests!$1:$1,0)-MATCH($B$1,[2]quests!$1:$1,0)+1,FALSE)</f>
        <v>シヴァ襲来！</v>
      </c>
      <c r="D9" s="82" t="str">
        <f ca="1">VLOOKUP($B9,OFFSET([2]quests!$A$1,0,0,COUNTA([2]quests!$A:$A),MATCH(D$1,[2]quests!$1:$1,0)-MATCH($B$1,[2]quests!$1:$1,0)+1),MATCH(D$1,[2]quests!$1:$1,0)-MATCH($B$1,[2]quests!$1:$1,0)+1,FALSE)</f>
        <v>降臨14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降臨14</v>
      </c>
      <c r="H9" s="84">
        <v>0</v>
      </c>
      <c r="I9">
        <v>33</v>
      </c>
      <c r="J9" s="83" t="s">
        <v>198</v>
      </c>
      <c r="K9" s="92" t="str">
        <f>VLOOKUP(I9,[7]stage_hints!$A:$C,3,FALSE)</f>
        <v>敵のカウンター攻撃には</v>
      </c>
      <c r="L9" s="93" t="str">
        <f>VLOOKUP(I9,[7]stage_hints!$A:$D,4,FALSE)</f>
        <v>カウンターブレイクスキルを持っていれば_x000D_敵のカウンターを解除して攻撃ができます</v>
      </c>
      <c r="M9" s="56" t="s">
        <v>211</v>
      </c>
    </row>
    <row r="10" spans="1:13" x14ac:dyDescent="0.15">
      <c r="A10" s="80" t="s">
        <v>201</v>
      </c>
      <c r="B10" s="81">
        <f>floors!$C$2</f>
        <v>40014</v>
      </c>
      <c r="C10" s="82" t="str">
        <f ca="1">VLOOKUP($B10,OFFSET([2]quests!$A$1,0,0,COUNTA([2]quests!$A:$A),MATCH(C$1,[2]quests!$1:$1,0)-MATCH($B$1,[2]quests!$1:$1,0)+1),MATCH(C$1,[2]quests!$1:$1,0)-MATCH($B$1,[2]quests!$1:$1,0)+1,FALSE)</f>
        <v>シヴァ襲来！</v>
      </c>
      <c r="D10" s="82" t="str">
        <f ca="1">VLOOKUP($B10,OFFSET([2]quests!$A$1,0,0,COUNTA([2]quests!$A:$A),MATCH(D$1,[2]quests!$1:$1,0)-MATCH($B$1,[2]quests!$1:$1,0)+1),MATCH(D$1,[2]quests!$1:$1,0)-MATCH($B$1,[2]quests!$1:$1,0)+1,FALSE)</f>
        <v>降臨14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降臨14</v>
      </c>
      <c r="H10" s="84">
        <v>0</v>
      </c>
      <c r="I10">
        <v>34</v>
      </c>
      <c r="J10" s="83" t="s">
        <v>198</v>
      </c>
      <c r="K10" s="92" t="str">
        <f>VLOOKUP(I10,[7]stage_hints!$A:$C,3,FALSE)</f>
        <v>ステータスをスキルで下げられたら</v>
      </c>
      <c r="L10" s="93" t="str">
        <f>VLOOKUP(I10,[7]stage_hints!$A:$D,4,FALSE)</f>
        <v>ステータスダウンのスキルを受けたら_x000D_ステータスアップスキルで上書きしましょう</v>
      </c>
      <c r="M10" s="56" t="s">
        <v>211</v>
      </c>
    </row>
    <row r="11" spans="1:13" x14ac:dyDescent="0.15">
      <c r="A11" s="80" t="s">
        <v>201</v>
      </c>
      <c r="B11" s="81">
        <f>floors!$C$2</f>
        <v>40014</v>
      </c>
      <c r="C11" s="82" t="str">
        <f ca="1">VLOOKUP($B11,OFFSET([2]quests!$A$1,0,0,COUNTA([2]quests!$A:$A),MATCH(C$1,[2]quests!$1:$1,0)-MATCH($B$1,[2]quests!$1:$1,0)+1),MATCH(C$1,[2]quests!$1:$1,0)-MATCH($B$1,[2]quests!$1:$1,0)+1,FALSE)</f>
        <v>シヴァ襲来！</v>
      </c>
      <c r="D11" s="82" t="str">
        <f ca="1">VLOOKUP($B11,OFFSET([2]quests!$A$1,0,0,COUNTA([2]quests!$A:$A),MATCH(D$1,[2]quests!$1:$1,0)-MATCH($B$1,[2]quests!$1:$1,0)+1),MATCH(D$1,[2]quests!$1:$1,0)-MATCH($B$1,[2]quests!$1:$1,0)+1,FALSE)</f>
        <v>降臨14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降臨14</v>
      </c>
      <c r="H11" s="84">
        <v>0</v>
      </c>
      <c r="I11">
        <v>35</v>
      </c>
      <c r="J11" s="83" t="s">
        <v>198</v>
      </c>
      <c r="K11" s="92" t="str">
        <f>VLOOKUP(I11,[7]stage_hints!$A:$C,3,FALSE)</f>
        <v>敵のステータスがスキルで上がったら</v>
      </c>
      <c r="L11" s="93" t="str">
        <f>VLOOKUP(I11,[7]stage_hints!$A:$D,4,FALSE)</f>
        <v>敵のステータスがスキルでアップしたときは_x000D_ステータスダウンスキルで上書きしましょう</v>
      </c>
      <c r="M11" s="56" t="s">
        <v>211</v>
      </c>
    </row>
    <row r="12" spans="1:13" x14ac:dyDescent="0.15">
      <c r="A12" s="80" t="s">
        <v>201</v>
      </c>
      <c r="B12" s="81">
        <f>floors!$C$2</f>
        <v>40014</v>
      </c>
      <c r="C12" s="82" t="str">
        <f ca="1">VLOOKUP($B12,OFFSET([2]quests!$A$1,0,0,COUNTA([2]quests!$A:$A),MATCH(C$1,[2]quests!$1:$1,0)-MATCH($B$1,[2]quests!$1:$1,0)+1),MATCH(C$1,[2]quests!$1:$1,0)-MATCH($B$1,[2]quests!$1:$1,0)+1,FALSE)</f>
        <v>シヴァ襲来！</v>
      </c>
      <c r="D12" s="82" t="str">
        <f ca="1">VLOOKUP($B12,OFFSET([2]quests!$A$1,0,0,COUNTA([2]quests!$A:$A),MATCH(D$1,[2]quests!$1:$1,0)-MATCH($B$1,[2]quests!$1:$1,0)+1),MATCH(D$1,[2]quests!$1:$1,0)-MATCH($B$1,[2]quests!$1:$1,0)+1,FALSE)</f>
        <v>降臨14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降臨14</v>
      </c>
      <c r="H12" s="84">
        <v>0</v>
      </c>
      <c r="I12">
        <v>36</v>
      </c>
      <c r="J12" s="83" t="s">
        <v>198</v>
      </c>
      <c r="K12" s="92" t="str">
        <f>VLOOKUP(I12,[7]stage_hints!$A:$C,3,FALSE)</f>
        <v>チャレンジタワーのボス</v>
      </c>
      <c r="L12" s="93" t="str">
        <f>VLOOKUP(I12,[7]stage_hints!$A:$D,4,FALSE)</f>
        <v>チャレンジタワーでのみ登場するボスは_x000D_一定確率で獲得することができます</v>
      </c>
      <c r="M12" s="56" t="s">
        <v>211</v>
      </c>
    </row>
    <row r="13" spans="1:13" x14ac:dyDescent="0.15">
      <c r="A13" s="80" t="s">
        <v>201</v>
      </c>
      <c r="B13" s="81">
        <f>floors!$C$2</f>
        <v>40014</v>
      </c>
      <c r="C13" s="82" t="str">
        <f ca="1">VLOOKUP($B13,OFFSET([2]quests!$A$1,0,0,COUNTA([2]quests!$A:$A),MATCH(C$1,[2]quests!$1:$1,0)-MATCH($B$1,[2]quests!$1:$1,0)+1),MATCH(C$1,[2]quests!$1:$1,0)-MATCH($B$1,[2]quests!$1:$1,0)+1,FALSE)</f>
        <v>シヴァ襲来！</v>
      </c>
      <c r="D13" s="82" t="str">
        <f ca="1">VLOOKUP($B13,OFFSET([2]quests!$A$1,0,0,COUNTA([2]quests!$A:$A),MATCH(D$1,[2]quests!$1:$1,0)-MATCH($B$1,[2]quests!$1:$1,0)+1),MATCH(D$1,[2]quests!$1:$1,0)-MATCH($B$1,[2]quests!$1:$1,0)+1,FALSE)</f>
        <v>降臨14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降臨14</v>
      </c>
      <c r="H13" s="84">
        <v>0</v>
      </c>
      <c r="I13">
        <v>37</v>
      </c>
      <c r="J13" s="83" t="s">
        <v>198</v>
      </c>
      <c r="K13" s="92" t="str">
        <f>VLOOKUP(I13,[7]stage_hints!$A:$C,3,FALSE)</f>
        <v>限界突破値の引き継ぎ</v>
      </c>
      <c r="L13" s="93" t="str">
        <f>VLOOKUP(I13,[7]stage_hints!$A:$D,4,FALSE)</f>
        <v>同じユニットを強化で合成すると_x000D_限界突破値を引き継げます（覚醒前後も可）</v>
      </c>
      <c r="M13" s="56" t="s">
        <v>211</v>
      </c>
    </row>
    <row r="14" spans="1:13" x14ac:dyDescent="0.15">
      <c r="A14" s="80" t="s">
        <v>201</v>
      </c>
      <c r="B14" s="81">
        <f>floors!$C$2</f>
        <v>40014</v>
      </c>
      <c r="C14" s="82" t="str">
        <f ca="1">VLOOKUP($B14,OFFSET([2]quests!$A$1,0,0,COUNTA([2]quests!$A:$A),MATCH(C$1,[2]quests!$1:$1,0)-MATCH($B$1,[2]quests!$1:$1,0)+1),MATCH(C$1,[2]quests!$1:$1,0)-MATCH($B$1,[2]quests!$1:$1,0)+1,FALSE)</f>
        <v>シヴァ襲来！</v>
      </c>
      <c r="D14" s="82" t="str">
        <f ca="1">VLOOKUP($B14,OFFSET([2]quests!$A$1,0,0,COUNTA([2]quests!$A:$A),MATCH(D$1,[2]quests!$1:$1,0)-MATCH($B$1,[2]quests!$1:$1,0)+1),MATCH(D$1,[2]quests!$1:$1,0)-MATCH($B$1,[2]quests!$1:$1,0)+1,FALSE)</f>
        <v>降臨14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降臨14</v>
      </c>
      <c r="H14" s="84">
        <v>0</v>
      </c>
      <c r="I14">
        <v>39</v>
      </c>
      <c r="J14" s="83" t="s">
        <v>198</v>
      </c>
      <c r="K14" s="92" t="str">
        <f>VLOOKUP(I14,[7]stage_hints!$A:$C,3,FALSE)</f>
        <v>システム適合者を確認</v>
      </c>
      <c r="L14" s="93" t="str">
        <f>VLOOKUP(I14,[7]stage_hints!$A:$D,4,FALSE)</f>
        <v>ALICEが 「アナタ」を呼んでいます</v>
      </c>
      <c r="M14" s="56" t="s">
        <v>211</v>
      </c>
    </row>
  </sheetData>
  <phoneticPr fontId="5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2"/>
  <sheetViews>
    <sheetView showGridLines="0" workbookViewId="0">
      <pane ySplit="1" topLeftCell="A2" activePane="bottomLeft" state="frozen"/>
      <selection pane="bottomLeft" activeCell="A11" sqref="A11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188</v>
      </c>
      <c r="B1" s="71" t="s">
        <v>151</v>
      </c>
      <c r="C1" s="76" t="s">
        <v>190</v>
      </c>
      <c r="D1" s="76" t="s">
        <v>33</v>
      </c>
      <c r="E1" s="71" t="s">
        <v>191</v>
      </c>
      <c r="F1" s="76" t="s">
        <v>18</v>
      </c>
      <c r="G1" s="76" t="s">
        <v>33</v>
      </c>
      <c r="H1" s="71" t="s">
        <v>193</v>
      </c>
      <c r="I1" s="88" t="s">
        <v>194</v>
      </c>
      <c r="J1" s="90" t="s">
        <v>195</v>
      </c>
      <c r="K1" s="78" t="s">
        <v>127</v>
      </c>
      <c r="L1" s="77" t="s">
        <v>187</v>
      </c>
      <c r="M1" s="91" t="s">
        <v>186</v>
      </c>
      <c r="N1" s="79" t="s">
        <v>196</v>
      </c>
    </row>
    <row r="2" spans="1:14" ht="42" x14ac:dyDescent="0.15">
      <c r="A2" s="80" t="s">
        <v>197</v>
      </c>
      <c r="B2" s="81">
        <f>floors!$C$2</f>
        <v>40014</v>
      </c>
      <c r="C2" s="82" t="str">
        <f ca="1">VLOOKUP($B2,OFFSET([2]quests!$A$1,0,0,COUNTA([2]quests!$A:$A),MATCH(C$1,[2]quests!$1:$1,0)-MATCH($B$1,[2]quests!$1:$1,0)+1),MATCH(C$1,[2]quests!$1:$1,0)-MATCH($B$1,[2]quests!$1:$1,0)+1,FALSE)</f>
        <v>シヴァ襲来！</v>
      </c>
      <c r="D2" s="82" t="str">
        <f ca="1">VLOOKUP($B2,OFFSET([2]quests!$A$1,0,0,COUNTA([2]quests!$A:$A),MATCH(D$1,[2]quests!$1:$1,0)-MATCH($B$1,[2]quests!$1:$1,0)+1),MATCH(D$1,[2]quests!$1:$1,0)-MATCH($B$1,[2]quests!$1:$1,0)+1,FALSE)</f>
        <v>降臨14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降臨14</v>
      </c>
      <c r="H2" s="84">
        <v>1</v>
      </c>
      <c r="I2" s="89">
        <f>ROW()-1</f>
        <v>1</v>
      </c>
      <c r="J2" s="85" t="str">
        <f>B2&amp;TEXT(I2,"00")</f>
        <v>4001401</v>
      </c>
      <c r="K2" s="83" t="s">
        <v>198</v>
      </c>
      <c r="L2" s="86" t="s">
        <v>199</v>
      </c>
      <c r="M2" s="98" t="s">
        <v>285</v>
      </c>
      <c r="N2" s="56" t="s">
        <v>200</v>
      </c>
    </row>
    <row r="3" spans="1:14" ht="56" x14ac:dyDescent="0.15">
      <c r="A3" s="80" t="s">
        <v>197</v>
      </c>
      <c r="B3" s="81">
        <f>floors!$C$2</f>
        <v>40014</v>
      </c>
      <c r="C3" s="82" t="str">
        <f ca="1">VLOOKUP($B3,OFFSET([2]quests!$A$1,0,0,COUNTA([2]quests!$A:$A),MATCH(C$1,[2]quests!$1:$1,0)-MATCH($B$1,[2]quests!$1:$1,0)+1),MATCH(C$1,[2]quests!$1:$1,0)-MATCH($B$1,[2]quests!$1:$1,0)+1,FALSE)</f>
        <v>シヴァ襲来！</v>
      </c>
      <c r="D3" s="82" t="str">
        <f ca="1">VLOOKUP($B3,OFFSET([2]quests!$A$1,0,0,COUNTA([2]quests!$A:$A),MATCH(D$1,[2]quests!$1:$1,0)-MATCH($B$1,[2]quests!$1:$1,0)+1),MATCH(D$1,[2]quests!$1:$1,0)-MATCH($B$1,[2]quests!$1:$1,0)+1,FALSE)</f>
        <v>降臨14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降臨14</v>
      </c>
      <c r="H3" s="84">
        <v>2</v>
      </c>
      <c r="I3" s="89">
        <f t="shared" ref="I3:I6" si="0">ROW()-1</f>
        <v>2</v>
      </c>
      <c r="J3" s="85" t="str">
        <f t="shared" ref="J3:J6" si="1">B3&amp;TEXT(I3,"00")</f>
        <v>4001402</v>
      </c>
      <c r="K3" s="83" t="s">
        <v>128</v>
      </c>
      <c r="L3" s="86" t="s">
        <v>199</v>
      </c>
      <c r="M3" s="98" t="s">
        <v>286</v>
      </c>
      <c r="N3" s="56" t="s">
        <v>200</v>
      </c>
    </row>
    <row r="4" spans="1:14" ht="42" x14ac:dyDescent="0.15">
      <c r="A4" s="80" t="s">
        <v>197</v>
      </c>
      <c r="B4" s="81">
        <f>floors!$C$2</f>
        <v>40014</v>
      </c>
      <c r="C4" s="82" t="str">
        <f ca="1">VLOOKUP($B4,OFFSET([2]quests!$A$1,0,0,COUNTA([2]quests!$A:$A),MATCH(C$1,[2]quests!$1:$1,0)-MATCH($B$1,[2]quests!$1:$1,0)+1),MATCH(C$1,[2]quests!$1:$1,0)-MATCH($B$1,[2]quests!$1:$1,0)+1,FALSE)</f>
        <v>シヴァ襲来！</v>
      </c>
      <c r="D4" s="82" t="str">
        <f ca="1">VLOOKUP($B4,OFFSET([2]quests!$A$1,0,0,COUNTA([2]quests!$A:$A),MATCH(D$1,[2]quests!$1:$1,0)-MATCH($B$1,[2]quests!$1:$1,0)+1),MATCH(D$1,[2]quests!$1:$1,0)-MATCH($B$1,[2]quests!$1:$1,0)+1,FALSE)</f>
        <v>降臨14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降臨14</v>
      </c>
      <c r="H4" s="84">
        <v>4</v>
      </c>
      <c r="I4" s="89">
        <f t="shared" si="0"/>
        <v>3</v>
      </c>
      <c r="J4" s="85" t="str">
        <f t="shared" si="1"/>
        <v>4001403</v>
      </c>
      <c r="K4" s="83" t="s">
        <v>128</v>
      </c>
      <c r="L4" s="86" t="s">
        <v>199</v>
      </c>
      <c r="M4" s="98" t="s">
        <v>287</v>
      </c>
      <c r="N4" s="56" t="s">
        <v>200</v>
      </c>
    </row>
    <row r="5" spans="1:14" ht="42" x14ac:dyDescent="0.15">
      <c r="A5" s="80" t="s">
        <v>197</v>
      </c>
      <c r="B5" s="81">
        <f>floors!$C$2</f>
        <v>40014</v>
      </c>
      <c r="C5" s="82" t="str">
        <f ca="1">VLOOKUP($B5,OFFSET([2]quests!$A$1,0,0,COUNTA([2]quests!$A:$A),MATCH(C$1,[2]quests!$1:$1,0)-MATCH($B$1,[2]quests!$1:$1,0)+1),MATCH(C$1,[2]quests!$1:$1,0)-MATCH($B$1,[2]quests!$1:$1,0)+1,FALSE)</f>
        <v>シヴァ襲来！</v>
      </c>
      <c r="D5" s="82" t="str">
        <f ca="1">VLOOKUP($B5,OFFSET([2]quests!$A$1,0,0,COUNTA([2]quests!$A:$A),MATCH(D$1,[2]quests!$1:$1,0)-MATCH($B$1,[2]quests!$1:$1,0)+1),MATCH(D$1,[2]quests!$1:$1,0)-MATCH($B$1,[2]quests!$1:$1,0)+1,FALSE)</f>
        <v>降臨14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降臨14</v>
      </c>
      <c r="H5" s="84">
        <v>4</v>
      </c>
      <c r="I5" s="89">
        <f t="shared" si="0"/>
        <v>4</v>
      </c>
      <c r="J5" s="85" t="str">
        <f t="shared" si="1"/>
        <v>4001404</v>
      </c>
      <c r="K5" s="83" t="s">
        <v>128</v>
      </c>
      <c r="L5" s="86" t="s">
        <v>199</v>
      </c>
      <c r="M5" s="98" t="s">
        <v>288</v>
      </c>
      <c r="N5" s="56" t="s">
        <v>200</v>
      </c>
    </row>
    <row r="6" spans="1:14" ht="42" x14ac:dyDescent="0.15">
      <c r="A6" s="80" t="s">
        <v>197</v>
      </c>
      <c r="B6" s="81">
        <f>floors!$C$2</f>
        <v>40014</v>
      </c>
      <c r="C6" s="82" t="str">
        <f ca="1">VLOOKUP($B6,OFFSET([2]quests!$A$1,0,0,COUNTA([2]quests!$A:$A),MATCH(C$1,[2]quests!$1:$1,0)-MATCH($B$1,[2]quests!$1:$1,0)+1),MATCH(C$1,[2]quests!$1:$1,0)-MATCH($B$1,[2]quests!$1:$1,0)+1,FALSE)</f>
        <v>シヴァ襲来！</v>
      </c>
      <c r="D6" s="82" t="str">
        <f ca="1">VLOOKUP($B6,OFFSET([2]quests!$A$1,0,0,COUNTA([2]quests!$A:$A),MATCH(D$1,[2]quests!$1:$1,0)-MATCH($B$1,[2]quests!$1:$1,0)+1),MATCH(D$1,[2]quests!$1:$1,0)-MATCH($B$1,[2]quests!$1:$1,0)+1,FALSE)</f>
        <v>降臨14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 xml:space="preserve">【ウィザード級】シヴァ襲来 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降臨14</v>
      </c>
      <c r="H6" s="84">
        <v>4</v>
      </c>
      <c r="I6" s="89">
        <f t="shared" si="0"/>
        <v>5</v>
      </c>
      <c r="J6" s="85" t="str">
        <f t="shared" si="1"/>
        <v>4001405</v>
      </c>
      <c r="K6" s="83" t="s">
        <v>128</v>
      </c>
      <c r="L6" s="86" t="s">
        <v>199</v>
      </c>
      <c r="M6" s="98" t="s">
        <v>289</v>
      </c>
      <c r="N6" s="56" t="s">
        <v>200</v>
      </c>
    </row>
    <row r="12" spans="1:14" x14ac:dyDescent="0.15">
      <c r="M12" s="99"/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2016-08-02T06:15:46Z</dcterms:modified>
</cp:coreProperties>
</file>