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codeName="ThisWorkbook" autoCompressPictures="0"/>
  <bookViews>
    <workbookView xWindow="1140" yWindow="460" windowWidth="22140" windowHeight="13620" tabRatio="740" firstSheet="2" activeTab="8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7" i="1" l="1"/>
  <c r="W8" i="1"/>
  <c r="W9" i="1"/>
  <c r="G8" i="9"/>
  <c r="C3" i="18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A3" i="9"/>
  <c r="D3" i="9"/>
  <c r="E3" i="9"/>
  <c r="G3" i="9"/>
  <c r="H3" i="9"/>
  <c r="I3" i="9"/>
  <c r="J3" i="9"/>
  <c r="K3" i="9"/>
  <c r="L3" i="9"/>
  <c r="M3" i="9"/>
  <c r="N3" i="9"/>
  <c r="O3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E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A7" i="9"/>
  <c r="D7" i="9"/>
  <c r="E7" i="9"/>
  <c r="G7" i="9"/>
  <c r="H7" i="9"/>
  <c r="I7" i="9"/>
  <c r="J7" i="9"/>
  <c r="K7" i="9"/>
  <c r="L7" i="9"/>
  <c r="M7" i="9"/>
  <c r="N7" i="9"/>
  <c r="O7" i="9"/>
  <c r="A8" i="9"/>
  <c r="D8" i="9"/>
  <c r="E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J3" i="11"/>
  <c r="J4" i="11"/>
  <c r="J5" i="11"/>
  <c r="J6" i="11"/>
  <c r="J7" i="11"/>
  <c r="J8" i="11"/>
  <c r="J9" i="11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AB41" i="1"/>
  <c r="AD41" i="1"/>
  <c r="AG41" i="1"/>
  <c r="AE41" i="1"/>
  <c r="AC41" i="1"/>
  <c r="V41" i="1"/>
  <c r="Q41" i="1"/>
  <c r="P41" i="1"/>
  <c r="O41" i="1"/>
  <c r="N41" i="1"/>
  <c r="M41" i="1"/>
  <c r="H41" i="1"/>
  <c r="G3" i="2"/>
  <c r="A3" i="2"/>
  <c r="G4" i="2"/>
  <c r="A4" i="2"/>
  <c r="G5" i="2"/>
  <c r="A5" i="2"/>
  <c r="G2" i="2"/>
  <c r="A2" i="2"/>
  <c r="J41" i="1"/>
  <c r="I41" i="1"/>
  <c r="D41" i="1"/>
  <c r="F41" i="1"/>
  <c r="E41" i="1"/>
  <c r="A41" i="1"/>
  <c r="AB40" i="1"/>
  <c r="AD40" i="1"/>
  <c r="AG40" i="1"/>
  <c r="AE40" i="1"/>
  <c r="AC40" i="1"/>
  <c r="V40" i="1"/>
  <c r="Q40" i="1"/>
  <c r="P40" i="1"/>
  <c r="O40" i="1"/>
  <c r="N40" i="1"/>
  <c r="M40" i="1"/>
  <c r="H40" i="1"/>
  <c r="J40" i="1"/>
  <c r="I40" i="1"/>
  <c r="D40" i="1"/>
  <c r="F40" i="1"/>
  <c r="E40" i="1"/>
  <c r="A40" i="1"/>
  <c r="AB39" i="1"/>
  <c r="AD39" i="1"/>
  <c r="AG39" i="1"/>
  <c r="AE39" i="1"/>
  <c r="AC39" i="1"/>
  <c r="V39" i="1"/>
  <c r="Q39" i="1"/>
  <c r="P39" i="1"/>
  <c r="O39" i="1"/>
  <c r="N39" i="1"/>
  <c r="M39" i="1"/>
  <c r="H39" i="1"/>
  <c r="J39" i="1"/>
  <c r="I39" i="1"/>
  <c r="D39" i="1"/>
  <c r="F39" i="1"/>
  <c r="E39" i="1"/>
  <c r="A39" i="1"/>
  <c r="AB38" i="1"/>
  <c r="AD38" i="1"/>
  <c r="AG38" i="1"/>
  <c r="AE38" i="1"/>
  <c r="AC38" i="1"/>
  <c r="V38" i="1"/>
  <c r="Q38" i="1"/>
  <c r="P38" i="1"/>
  <c r="O38" i="1"/>
  <c r="N38" i="1"/>
  <c r="M38" i="1"/>
  <c r="H38" i="1"/>
  <c r="J38" i="1"/>
  <c r="I38" i="1"/>
  <c r="D38" i="1"/>
  <c r="F38" i="1"/>
  <c r="E38" i="1"/>
  <c r="A38" i="1"/>
  <c r="AB37" i="1"/>
  <c r="AD37" i="1"/>
  <c r="AG37" i="1"/>
  <c r="AE37" i="1"/>
  <c r="AC37" i="1"/>
  <c r="W37" i="1"/>
  <c r="V37" i="1"/>
  <c r="Q37" i="1"/>
  <c r="P37" i="1"/>
  <c r="O37" i="1"/>
  <c r="N37" i="1"/>
  <c r="M37" i="1"/>
  <c r="H37" i="1"/>
  <c r="J37" i="1"/>
  <c r="I37" i="1"/>
  <c r="D37" i="1"/>
  <c r="F37" i="1"/>
  <c r="E37" i="1"/>
  <c r="A37" i="1"/>
  <c r="AB36" i="1"/>
  <c r="AD36" i="1"/>
  <c r="AG36" i="1"/>
  <c r="AE36" i="1"/>
  <c r="AC36" i="1"/>
  <c r="W36" i="1"/>
  <c r="V36" i="1"/>
  <c r="Q36" i="1"/>
  <c r="P36" i="1"/>
  <c r="O36" i="1"/>
  <c r="N36" i="1"/>
  <c r="M36" i="1"/>
  <c r="H36" i="1"/>
  <c r="J36" i="1"/>
  <c r="I36" i="1"/>
  <c r="D36" i="1"/>
  <c r="F36" i="1"/>
  <c r="E36" i="1"/>
  <c r="A36" i="1"/>
  <c r="AB35" i="1"/>
  <c r="AD35" i="1"/>
  <c r="AG35" i="1"/>
  <c r="AE35" i="1"/>
  <c r="AC35" i="1"/>
  <c r="W35" i="1"/>
  <c r="V35" i="1"/>
  <c r="Q35" i="1"/>
  <c r="P35" i="1"/>
  <c r="O35" i="1"/>
  <c r="N35" i="1"/>
  <c r="M35" i="1"/>
  <c r="H35" i="1"/>
  <c r="J35" i="1"/>
  <c r="I35" i="1"/>
  <c r="D35" i="1"/>
  <c r="F35" i="1"/>
  <c r="E35" i="1"/>
  <c r="A35" i="1"/>
  <c r="AB34" i="1"/>
  <c r="AD34" i="1"/>
  <c r="AG34" i="1"/>
  <c r="AE34" i="1"/>
  <c r="AC34" i="1"/>
  <c r="W34" i="1"/>
  <c r="V34" i="1"/>
  <c r="Q34" i="1"/>
  <c r="P34" i="1"/>
  <c r="O34" i="1"/>
  <c r="N34" i="1"/>
  <c r="M34" i="1"/>
  <c r="H34" i="1"/>
  <c r="J34" i="1"/>
  <c r="I34" i="1"/>
  <c r="D34" i="1"/>
  <c r="F34" i="1"/>
  <c r="E34" i="1"/>
  <c r="A34" i="1"/>
  <c r="AB21" i="1"/>
  <c r="AD21" i="1"/>
  <c r="AG21" i="1"/>
  <c r="AE21" i="1"/>
  <c r="AC21" i="1"/>
  <c r="V21" i="1"/>
  <c r="Q21" i="1"/>
  <c r="P21" i="1"/>
  <c r="O21" i="1"/>
  <c r="N21" i="1"/>
  <c r="M21" i="1"/>
  <c r="H21" i="1"/>
  <c r="J21" i="1"/>
  <c r="I21" i="1"/>
  <c r="D21" i="1"/>
  <c r="F21" i="1"/>
  <c r="E21" i="1"/>
  <c r="A21" i="1"/>
  <c r="AB20" i="1"/>
  <c r="AD20" i="1"/>
  <c r="AG20" i="1"/>
  <c r="AE20" i="1"/>
  <c r="AC20" i="1"/>
  <c r="V20" i="1"/>
  <c r="Q20" i="1"/>
  <c r="P20" i="1"/>
  <c r="O20" i="1"/>
  <c r="N20" i="1"/>
  <c r="M20" i="1"/>
  <c r="H20" i="1"/>
  <c r="J20" i="1"/>
  <c r="I20" i="1"/>
  <c r="D20" i="1"/>
  <c r="F20" i="1"/>
  <c r="E20" i="1"/>
  <c r="A20" i="1"/>
  <c r="AB19" i="1"/>
  <c r="AD19" i="1"/>
  <c r="AG19" i="1"/>
  <c r="AE19" i="1"/>
  <c r="AC19" i="1"/>
  <c r="V19" i="1"/>
  <c r="Q19" i="1"/>
  <c r="P19" i="1"/>
  <c r="O19" i="1"/>
  <c r="N19" i="1"/>
  <c r="M19" i="1"/>
  <c r="H19" i="1"/>
  <c r="J19" i="1"/>
  <c r="I19" i="1"/>
  <c r="D19" i="1"/>
  <c r="F19" i="1"/>
  <c r="E19" i="1"/>
  <c r="A19" i="1"/>
  <c r="AB18" i="1"/>
  <c r="AD18" i="1"/>
  <c r="AG18" i="1"/>
  <c r="AE18" i="1"/>
  <c r="AC18" i="1"/>
  <c r="V18" i="1"/>
  <c r="Q18" i="1"/>
  <c r="P18" i="1"/>
  <c r="O18" i="1"/>
  <c r="N18" i="1"/>
  <c r="M18" i="1"/>
  <c r="H18" i="1"/>
  <c r="J18" i="1"/>
  <c r="I18" i="1"/>
  <c r="D18" i="1"/>
  <c r="F18" i="1"/>
  <c r="E18" i="1"/>
  <c r="A18" i="1"/>
  <c r="AB17" i="1"/>
  <c r="AD17" i="1"/>
  <c r="AG17" i="1"/>
  <c r="AE17" i="1"/>
  <c r="AC17" i="1"/>
  <c r="W17" i="1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W16" i="1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AB15" i="1"/>
  <c r="AD15" i="1"/>
  <c r="AG15" i="1"/>
  <c r="AE15" i="1"/>
  <c r="AC15" i="1"/>
  <c r="W15" i="1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W14" i="1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AB53" i="1"/>
  <c r="AD53" i="1"/>
  <c r="AG53" i="1"/>
  <c r="AE53" i="1"/>
  <c r="AC53" i="1"/>
  <c r="V53" i="1"/>
  <c r="Q53" i="1"/>
  <c r="P53" i="1"/>
  <c r="O53" i="1"/>
  <c r="N53" i="1"/>
  <c r="M53" i="1"/>
  <c r="H53" i="1"/>
  <c r="J53" i="1"/>
  <c r="I53" i="1"/>
  <c r="D53" i="1"/>
  <c r="F53" i="1"/>
  <c r="E53" i="1"/>
  <c r="A53" i="1"/>
  <c r="AB52" i="1"/>
  <c r="AD52" i="1"/>
  <c r="AG52" i="1"/>
  <c r="AE52" i="1"/>
  <c r="AC52" i="1"/>
  <c r="V52" i="1"/>
  <c r="Q52" i="1"/>
  <c r="P52" i="1"/>
  <c r="O52" i="1"/>
  <c r="N52" i="1"/>
  <c r="M52" i="1"/>
  <c r="H52" i="1"/>
  <c r="J52" i="1"/>
  <c r="I52" i="1"/>
  <c r="D52" i="1"/>
  <c r="F52" i="1"/>
  <c r="E52" i="1"/>
  <c r="A52" i="1"/>
  <c r="AB51" i="1"/>
  <c r="AD51" i="1"/>
  <c r="AG51" i="1"/>
  <c r="AE51" i="1"/>
  <c r="AC51" i="1"/>
  <c r="V51" i="1"/>
  <c r="Q51" i="1"/>
  <c r="P51" i="1"/>
  <c r="O51" i="1"/>
  <c r="N51" i="1"/>
  <c r="M51" i="1"/>
  <c r="H51" i="1"/>
  <c r="J51" i="1"/>
  <c r="I51" i="1"/>
  <c r="D51" i="1"/>
  <c r="F51" i="1"/>
  <c r="E51" i="1"/>
  <c r="A51" i="1"/>
  <c r="AB50" i="1"/>
  <c r="AD50" i="1"/>
  <c r="AG50" i="1"/>
  <c r="AE50" i="1"/>
  <c r="AC50" i="1"/>
  <c r="V50" i="1"/>
  <c r="Q50" i="1"/>
  <c r="P50" i="1"/>
  <c r="O50" i="1"/>
  <c r="N50" i="1"/>
  <c r="M50" i="1"/>
  <c r="H50" i="1"/>
  <c r="J50" i="1"/>
  <c r="I50" i="1"/>
  <c r="D50" i="1"/>
  <c r="F50" i="1"/>
  <c r="E50" i="1"/>
  <c r="A50" i="1"/>
  <c r="AB49" i="1"/>
  <c r="AD49" i="1"/>
  <c r="AG49" i="1"/>
  <c r="AE49" i="1"/>
  <c r="AC49" i="1"/>
  <c r="V49" i="1"/>
  <c r="Q49" i="1"/>
  <c r="P49" i="1"/>
  <c r="O49" i="1"/>
  <c r="N49" i="1"/>
  <c r="M49" i="1"/>
  <c r="H49" i="1"/>
  <c r="J49" i="1"/>
  <c r="I49" i="1"/>
  <c r="D49" i="1"/>
  <c r="F49" i="1"/>
  <c r="E49" i="1"/>
  <c r="A49" i="1"/>
  <c r="AB48" i="1"/>
  <c r="AD48" i="1"/>
  <c r="AG48" i="1"/>
  <c r="AE48" i="1"/>
  <c r="AC48" i="1"/>
  <c r="V48" i="1"/>
  <c r="Q48" i="1"/>
  <c r="P48" i="1"/>
  <c r="O48" i="1"/>
  <c r="N48" i="1"/>
  <c r="M48" i="1"/>
  <c r="H48" i="1"/>
  <c r="J48" i="1"/>
  <c r="I48" i="1"/>
  <c r="D48" i="1"/>
  <c r="F48" i="1"/>
  <c r="E48" i="1"/>
  <c r="A48" i="1"/>
  <c r="AB47" i="1"/>
  <c r="AD47" i="1"/>
  <c r="AG47" i="1"/>
  <c r="AE47" i="1"/>
  <c r="AC47" i="1"/>
  <c r="V47" i="1"/>
  <c r="Q47" i="1"/>
  <c r="P47" i="1"/>
  <c r="O47" i="1"/>
  <c r="N47" i="1"/>
  <c r="M47" i="1"/>
  <c r="H47" i="1"/>
  <c r="J47" i="1"/>
  <c r="I47" i="1"/>
  <c r="D47" i="1"/>
  <c r="F47" i="1"/>
  <c r="E47" i="1"/>
  <c r="A47" i="1"/>
  <c r="AB46" i="1"/>
  <c r="AD46" i="1"/>
  <c r="AG46" i="1"/>
  <c r="AE46" i="1"/>
  <c r="AC46" i="1"/>
  <c r="V46" i="1"/>
  <c r="Q46" i="1"/>
  <c r="P46" i="1"/>
  <c r="O46" i="1"/>
  <c r="N46" i="1"/>
  <c r="M46" i="1"/>
  <c r="H46" i="1"/>
  <c r="J46" i="1"/>
  <c r="I46" i="1"/>
  <c r="D46" i="1"/>
  <c r="F46" i="1"/>
  <c r="E46" i="1"/>
  <c r="A46" i="1"/>
  <c r="AB45" i="1"/>
  <c r="AD45" i="1"/>
  <c r="AG45" i="1"/>
  <c r="AE45" i="1"/>
  <c r="AC45" i="1"/>
  <c r="V45" i="1"/>
  <c r="Q45" i="1"/>
  <c r="P45" i="1"/>
  <c r="O45" i="1"/>
  <c r="N45" i="1"/>
  <c r="M45" i="1"/>
  <c r="H45" i="1"/>
  <c r="J45" i="1"/>
  <c r="I45" i="1"/>
  <c r="D45" i="1"/>
  <c r="F45" i="1"/>
  <c r="E45" i="1"/>
  <c r="A45" i="1"/>
  <c r="AB44" i="1"/>
  <c r="AD44" i="1"/>
  <c r="AG44" i="1"/>
  <c r="AE44" i="1"/>
  <c r="AC44" i="1"/>
  <c r="V44" i="1"/>
  <c r="Q44" i="1"/>
  <c r="P44" i="1"/>
  <c r="O44" i="1"/>
  <c r="N44" i="1"/>
  <c r="M44" i="1"/>
  <c r="H44" i="1"/>
  <c r="J44" i="1"/>
  <c r="I44" i="1"/>
  <c r="D44" i="1"/>
  <c r="F44" i="1"/>
  <c r="E44" i="1"/>
  <c r="A44" i="1"/>
  <c r="AB43" i="1"/>
  <c r="AD43" i="1"/>
  <c r="AG43" i="1"/>
  <c r="AE43" i="1"/>
  <c r="AC43" i="1"/>
  <c r="V43" i="1"/>
  <c r="Q43" i="1"/>
  <c r="P43" i="1"/>
  <c r="O43" i="1"/>
  <c r="N43" i="1"/>
  <c r="M43" i="1"/>
  <c r="H43" i="1"/>
  <c r="J43" i="1"/>
  <c r="I43" i="1"/>
  <c r="D43" i="1"/>
  <c r="F43" i="1"/>
  <c r="E43" i="1"/>
  <c r="A43" i="1"/>
  <c r="AB42" i="1"/>
  <c r="AD42" i="1"/>
  <c r="AG42" i="1"/>
  <c r="AE42" i="1"/>
  <c r="AC42" i="1"/>
  <c r="V42" i="1"/>
  <c r="Q42" i="1"/>
  <c r="P42" i="1"/>
  <c r="O42" i="1"/>
  <c r="N42" i="1"/>
  <c r="M42" i="1"/>
  <c r="H42" i="1"/>
  <c r="J42" i="1"/>
  <c r="I42" i="1"/>
  <c r="D42" i="1"/>
  <c r="F42" i="1"/>
  <c r="E42" i="1"/>
  <c r="A42" i="1"/>
  <c r="AB33" i="1"/>
  <c r="AD33" i="1"/>
  <c r="AG33" i="1"/>
  <c r="AE33" i="1"/>
  <c r="AC33" i="1"/>
  <c r="V33" i="1"/>
  <c r="Q33" i="1"/>
  <c r="P33" i="1"/>
  <c r="O33" i="1"/>
  <c r="N33" i="1"/>
  <c r="M33" i="1"/>
  <c r="H33" i="1"/>
  <c r="J33" i="1"/>
  <c r="I33" i="1"/>
  <c r="D33" i="1"/>
  <c r="F33" i="1"/>
  <c r="E33" i="1"/>
  <c r="A33" i="1"/>
  <c r="AB32" i="1"/>
  <c r="AD32" i="1"/>
  <c r="AG32" i="1"/>
  <c r="AE32" i="1"/>
  <c r="AC32" i="1"/>
  <c r="V32" i="1"/>
  <c r="Q32" i="1"/>
  <c r="P32" i="1"/>
  <c r="O32" i="1"/>
  <c r="N32" i="1"/>
  <c r="M32" i="1"/>
  <c r="H32" i="1"/>
  <c r="J32" i="1"/>
  <c r="I32" i="1"/>
  <c r="D32" i="1"/>
  <c r="F32" i="1"/>
  <c r="E32" i="1"/>
  <c r="A32" i="1"/>
  <c r="AB31" i="1"/>
  <c r="AD31" i="1"/>
  <c r="AG31" i="1"/>
  <c r="AE31" i="1"/>
  <c r="AC31" i="1"/>
  <c r="V31" i="1"/>
  <c r="Q31" i="1"/>
  <c r="P31" i="1"/>
  <c r="O31" i="1"/>
  <c r="N31" i="1"/>
  <c r="M31" i="1"/>
  <c r="H31" i="1"/>
  <c r="J31" i="1"/>
  <c r="I31" i="1"/>
  <c r="D31" i="1"/>
  <c r="F31" i="1"/>
  <c r="E31" i="1"/>
  <c r="A31" i="1"/>
  <c r="AB30" i="1"/>
  <c r="AD30" i="1"/>
  <c r="AG30" i="1"/>
  <c r="AE30" i="1"/>
  <c r="AC30" i="1"/>
  <c r="V30" i="1"/>
  <c r="Q30" i="1"/>
  <c r="P30" i="1"/>
  <c r="O30" i="1"/>
  <c r="N30" i="1"/>
  <c r="M30" i="1"/>
  <c r="H30" i="1"/>
  <c r="J30" i="1"/>
  <c r="I30" i="1"/>
  <c r="D30" i="1"/>
  <c r="F30" i="1"/>
  <c r="E30" i="1"/>
  <c r="A30" i="1"/>
  <c r="AB29" i="1"/>
  <c r="AD29" i="1"/>
  <c r="AG29" i="1"/>
  <c r="AE29" i="1"/>
  <c r="AC29" i="1"/>
  <c r="W29" i="1"/>
  <c r="V29" i="1"/>
  <c r="Q29" i="1"/>
  <c r="P29" i="1"/>
  <c r="O29" i="1"/>
  <c r="N29" i="1"/>
  <c r="M29" i="1"/>
  <c r="H29" i="1"/>
  <c r="J29" i="1"/>
  <c r="I29" i="1"/>
  <c r="D29" i="1"/>
  <c r="F29" i="1"/>
  <c r="E29" i="1"/>
  <c r="A29" i="1"/>
  <c r="AB28" i="1"/>
  <c r="AD28" i="1"/>
  <c r="AG28" i="1"/>
  <c r="AE28" i="1"/>
  <c r="AC28" i="1"/>
  <c r="W28" i="1"/>
  <c r="V28" i="1"/>
  <c r="Q28" i="1"/>
  <c r="P28" i="1"/>
  <c r="O28" i="1"/>
  <c r="N28" i="1"/>
  <c r="M28" i="1"/>
  <c r="H28" i="1"/>
  <c r="J28" i="1"/>
  <c r="I28" i="1"/>
  <c r="D28" i="1"/>
  <c r="F28" i="1"/>
  <c r="E28" i="1"/>
  <c r="A28" i="1"/>
  <c r="AB27" i="1"/>
  <c r="AD27" i="1"/>
  <c r="AG27" i="1"/>
  <c r="AE27" i="1"/>
  <c r="AC27" i="1"/>
  <c r="W27" i="1"/>
  <c r="V27" i="1"/>
  <c r="Q27" i="1"/>
  <c r="P27" i="1"/>
  <c r="O27" i="1"/>
  <c r="N27" i="1"/>
  <c r="M27" i="1"/>
  <c r="H27" i="1"/>
  <c r="J27" i="1"/>
  <c r="I27" i="1"/>
  <c r="D27" i="1"/>
  <c r="F27" i="1"/>
  <c r="E27" i="1"/>
  <c r="A27" i="1"/>
  <c r="AB26" i="1"/>
  <c r="AD26" i="1"/>
  <c r="AG26" i="1"/>
  <c r="AE26" i="1"/>
  <c r="AC26" i="1"/>
  <c r="W26" i="1"/>
  <c r="V26" i="1"/>
  <c r="Q26" i="1"/>
  <c r="P26" i="1"/>
  <c r="O26" i="1"/>
  <c r="N26" i="1"/>
  <c r="M26" i="1"/>
  <c r="H26" i="1"/>
  <c r="J26" i="1"/>
  <c r="I26" i="1"/>
  <c r="D26" i="1"/>
  <c r="F26" i="1"/>
  <c r="E26" i="1"/>
  <c r="A26" i="1"/>
  <c r="A25" i="1"/>
  <c r="D25" i="1"/>
  <c r="E25" i="1"/>
  <c r="F25" i="1"/>
  <c r="H25" i="1"/>
  <c r="I25" i="1"/>
  <c r="J25" i="1"/>
  <c r="M25" i="1"/>
  <c r="N25" i="1"/>
  <c r="O25" i="1"/>
  <c r="P25" i="1"/>
  <c r="Q25" i="1"/>
  <c r="V25" i="1"/>
  <c r="AB25" i="1"/>
  <c r="AC25" i="1"/>
  <c r="AD25" i="1"/>
  <c r="AE25" i="1"/>
  <c r="AG25" i="1"/>
  <c r="A22" i="1"/>
  <c r="D22" i="1"/>
  <c r="E22" i="1"/>
  <c r="F22" i="1"/>
  <c r="H22" i="1"/>
  <c r="I22" i="1"/>
  <c r="J22" i="1"/>
  <c r="M22" i="1"/>
  <c r="N22" i="1"/>
  <c r="O22" i="1"/>
  <c r="P22" i="1"/>
  <c r="Q22" i="1"/>
  <c r="V22" i="1"/>
  <c r="AB22" i="1"/>
  <c r="AC22" i="1"/>
  <c r="AD22" i="1"/>
  <c r="AE22" i="1"/>
  <c r="AG22" i="1"/>
  <c r="A23" i="1"/>
  <c r="D23" i="1"/>
  <c r="E23" i="1"/>
  <c r="F23" i="1"/>
  <c r="H23" i="1"/>
  <c r="I23" i="1"/>
  <c r="J23" i="1"/>
  <c r="M23" i="1"/>
  <c r="N23" i="1"/>
  <c r="O23" i="1"/>
  <c r="P23" i="1"/>
  <c r="Q23" i="1"/>
  <c r="V23" i="1"/>
  <c r="AB23" i="1"/>
  <c r="AC23" i="1"/>
  <c r="AD23" i="1"/>
  <c r="AE23" i="1"/>
  <c r="AG23" i="1"/>
  <c r="A24" i="1"/>
  <c r="D24" i="1"/>
  <c r="E24" i="1"/>
  <c r="F24" i="1"/>
  <c r="H24" i="1"/>
  <c r="I24" i="1"/>
  <c r="J24" i="1"/>
  <c r="M24" i="1"/>
  <c r="N24" i="1"/>
  <c r="O24" i="1"/>
  <c r="P24" i="1"/>
  <c r="Q24" i="1"/>
  <c r="V24" i="1"/>
  <c r="AB24" i="1"/>
  <c r="AC24" i="1"/>
  <c r="AD24" i="1"/>
  <c r="AE24" i="1"/>
  <c r="AG24" i="1"/>
  <c r="A3" i="1"/>
  <c r="D3" i="1"/>
  <c r="E3" i="1"/>
  <c r="F3" i="1"/>
  <c r="H3" i="1"/>
  <c r="I3" i="1"/>
  <c r="J3" i="1"/>
  <c r="M3" i="1"/>
  <c r="N3" i="1"/>
  <c r="O3" i="1"/>
  <c r="P3" i="1"/>
  <c r="Q3" i="1"/>
  <c r="V3" i="1"/>
  <c r="AB3" i="1"/>
  <c r="AC3" i="1"/>
  <c r="AD3" i="1"/>
  <c r="AE3" i="1"/>
  <c r="AG3" i="1"/>
  <c r="A4" i="1"/>
  <c r="D4" i="1"/>
  <c r="E4" i="1"/>
  <c r="F4" i="1"/>
  <c r="H4" i="1"/>
  <c r="I4" i="1"/>
  <c r="J4" i="1"/>
  <c r="M4" i="1"/>
  <c r="N4" i="1"/>
  <c r="O4" i="1"/>
  <c r="P4" i="1"/>
  <c r="Q4" i="1"/>
  <c r="V4" i="1"/>
  <c r="AB4" i="1"/>
  <c r="AC4" i="1"/>
  <c r="AD4" i="1"/>
  <c r="AE4" i="1"/>
  <c r="AG4" i="1"/>
  <c r="A5" i="1"/>
  <c r="D5" i="1"/>
  <c r="E5" i="1"/>
  <c r="F5" i="1"/>
  <c r="H5" i="1"/>
  <c r="I5" i="1"/>
  <c r="J5" i="1"/>
  <c r="M5" i="1"/>
  <c r="N5" i="1"/>
  <c r="O5" i="1"/>
  <c r="P5" i="1"/>
  <c r="Q5" i="1"/>
  <c r="V5" i="1"/>
  <c r="AB5" i="1"/>
  <c r="AC5" i="1"/>
  <c r="AD5" i="1"/>
  <c r="AE5" i="1"/>
  <c r="AG5" i="1"/>
  <c r="A6" i="1"/>
  <c r="D6" i="1"/>
  <c r="E6" i="1"/>
  <c r="F6" i="1"/>
  <c r="H6" i="1"/>
  <c r="I6" i="1"/>
  <c r="J6" i="1"/>
  <c r="M6" i="1"/>
  <c r="N6" i="1"/>
  <c r="O6" i="1"/>
  <c r="P6" i="1"/>
  <c r="Q6" i="1"/>
  <c r="W6" i="1"/>
  <c r="V6" i="1"/>
  <c r="AB6" i="1"/>
  <c r="AC6" i="1"/>
  <c r="AD6" i="1"/>
  <c r="AE6" i="1"/>
  <c r="AG6" i="1"/>
  <c r="A7" i="1"/>
  <c r="D7" i="1"/>
  <c r="E7" i="1"/>
  <c r="F7" i="1"/>
  <c r="H7" i="1"/>
  <c r="I7" i="1"/>
  <c r="J7" i="1"/>
  <c r="M7" i="1"/>
  <c r="N7" i="1"/>
  <c r="O7" i="1"/>
  <c r="P7" i="1"/>
  <c r="Q7" i="1"/>
  <c r="V7" i="1"/>
  <c r="AB7" i="1"/>
  <c r="AC7" i="1"/>
  <c r="AD7" i="1"/>
  <c r="AE7" i="1"/>
  <c r="AG7" i="1"/>
  <c r="A8" i="1"/>
  <c r="D8" i="1"/>
  <c r="E8" i="1"/>
  <c r="F8" i="1"/>
  <c r="H8" i="1"/>
  <c r="I8" i="1"/>
  <c r="J8" i="1"/>
  <c r="M8" i="1"/>
  <c r="N8" i="1"/>
  <c r="O8" i="1"/>
  <c r="P8" i="1"/>
  <c r="Q8" i="1"/>
  <c r="AB8" i="1"/>
  <c r="AC8" i="1"/>
  <c r="AD8" i="1"/>
  <c r="AE8" i="1"/>
  <c r="AG8" i="1"/>
  <c r="A9" i="1"/>
  <c r="D9" i="1"/>
  <c r="E9" i="1"/>
  <c r="F9" i="1"/>
  <c r="H9" i="1"/>
  <c r="I9" i="1"/>
  <c r="J9" i="1"/>
  <c r="M9" i="1"/>
  <c r="N9" i="1"/>
  <c r="O9" i="1"/>
  <c r="P9" i="1"/>
  <c r="Q9" i="1"/>
  <c r="V9" i="1"/>
  <c r="AB9" i="1"/>
  <c r="AC9" i="1"/>
  <c r="AD9" i="1"/>
  <c r="AE9" i="1"/>
  <c r="AG9" i="1"/>
  <c r="A10" i="1"/>
  <c r="D10" i="1"/>
  <c r="E10" i="1"/>
  <c r="F10" i="1"/>
  <c r="H10" i="1"/>
  <c r="I10" i="1"/>
  <c r="J10" i="1"/>
  <c r="M10" i="1"/>
  <c r="N10" i="1"/>
  <c r="O10" i="1"/>
  <c r="P10" i="1"/>
  <c r="Q10" i="1"/>
  <c r="V10" i="1"/>
  <c r="AB10" i="1"/>
  <c r="AC10" i="1"/>
  <c r="AD10" i="1"/>
  <c r="AE10" i="1"/>
  <c r="AG10" i="1"/>
  <c r="A11" i="1"/>
  <c r="D11" i="1"/>
  <c r="E11" i="1"/>
  <c r="F11" i="1"/>
  <c r="H11" i="1"/>
  <c r="I11" i="1"/>
  <c r="J11" i="1"/>
  <c r="M11" i="1"/>
  <c r="N11" i="1"/>
  <c r="O11" i="1"/>
  <c r="P11" i="1"/>
  <c r="Q11" i="1"/>
  <c r="V11" i="1"/>
  <c r="AB11" i="1"/>
  <c r="AC11" i="1"/>
  <c r="AD11" i="1"/>
  <c r="AE11" i="1"/>
  <c r="AG11" i="1"/>
  <c r="A12" i="1"/>
  <c r="D12" i="1"/>
  <c r="E12" i="1"/>
  <c r="F12" i="1"/>
  <c r="H12" i="1"/>
  <c r="I12" i="1"/>
  <c r="J12" i="1"/>
  <c r="M12" i="1"/>
  <c r="N12" i="1"/>
  <c r="O12" i="1"/>
  <c r="P12" i="1"/>
  <c r="Q12" i="1"/>
  <c r="V12" i="1"/>
  <c r="AB12" i="1"/>
  <c r="AC12" i="1"/>
  <c r="AD12" i="1"/>
  <c r="AE12" i="1"/>
  <c r="AG12" i="1"/>
  <c r="A13" i="1"/>
  <c r="D13" i="1"/>
  <c r="E13" i="1"/>
  <c r="F13" i="1"/>
  <c r="H13" i="1"/>
  <c r="I13" i="1"/>
  <c r="J13" i="1"/>
  <c r="M13" i="1"/>
  <c r="N13" i="1"/>
  <c r="O13" i="1"/>
  <c r="P13" i="1"/>
  <c r="Q13" i="1"/>
  <c r="V13" i="1"/>
  <c r="AB13" i="1"/>
  <c r="AC13" i="1"/>
  <c r="AD13" i="1"/>
  <c r="AE13" i="1"/>
  <c r="AG13" i="1"/>
  <c r="H2" i="1"/>
  <c r="B3" i="2"/>
  <c r="D3" i="2"/>
  <c r="E3" i="2"/>
  <c r="H3" i="2"/>
  <c r="B4" i="2"/>
  <c r="D4" i="2"/>
  <c r="E4" i="2"/>
  <c r="H4" i="2"/>
  <c r="B5" i="2"/>
  <c r="D5" i="2"/>
  <c r="E5" i="2"/>
  <c r="H5" i="2"/>
  <c r="C3" i="16"/>
  <c r="K2" i="19"/>
  <c r="C12" i="16"/>
  <c r="L2" i="19"/>
  <c r="B2" i="21"/>
  <c r="I2" i="21"/>
  <c r="J2" i="21"/>
  <c r="G2" i="21"/>
  <c r="F2" i="21"/>
  <c r="D2" i="21"/>
  <c r="C2" i="21"/>
  <c r="E12" i="16"/>
  <c r="C10" i="16"/>
  <c r="C11" i="16"/>
  <c r="E11" i="16"/>
  <c r="B2" i="19"/>
  <c r="G2" i="19"/>
  <c r="F2" i="19"/>
  <c r="D2" i="19"/>
  <c r="C2" i="19"/>
  <c r="E10" i="16"/>
  <c r="C2" i="18"/>
  <c r="D2" i="18"/>
  <c r="O2" i="9"/>
  <c r="N2" i="9"/>
  <c r="M2" i="9"/>
  <c r="L2" i="9"/>
  <c r="K2" i="9"/>
  <c r="J2" i="9"/>
  <c r="I2" i="9"/>
  <c r="H2" i="9"/>
  <c r="G2" i="9"/>
  <c r="E2" i="9"/>
  <c r="D2" i="9"/>
  <c r="C4" i="16"/>
  <c r="C5" i="16"/>
  <c r="C6" i="16"/>
  <c r="C7" i="16"/>
  <c r="C8" i="16"/>
  <c r="C9" i="16"/>
  <c r="E9" i="16"/>
  <c r="V2" i="1"/>
  <c r="AB2" i="1"/>
  <c r="AE2" i="1"/>
  <c r="AD2" i="1"/>
  <c r="AC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E8" i="16"/>
  <c r="E7" i="16"/>
  <c r="E6" i="16"/>
  <c r="E5" i="16"/>
  <c r="E4" i="16"/>
  <c r="E3" i="16"/>
  <c r="E2" i="16"/>
  <c r="A2" i="1"/>
  <c r="J2" i="11"/>
  <c r="A2" i="9"/>
  <c r="J2" i="1"/>
  <c r="I2" i="1"/>
  <c r="D2" i="2"/>
  <c r="E2" i="2"/>
  <c r="H2" i="2"/>
  <c r="D2" i="1"/>
  <c r="E2" i="1"/>
  <c r="F2" i="1"/>
  <c r="B2" i="2"/>
  <c r="V8" i="1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<sst xmlns="http://schemas.openxmlformats.org/spreadsheetml/2006/main" count="486" uniqueCount="244">
  <si>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</si>
  <si>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</si>
  <si>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</si>
  <si>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</si>
  <si>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</si>
  <si>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</si>
  <si>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</si>
  <si>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</si>
  <si>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</si>
  <si>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</si>
  <si>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</si>
  <si>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</si>
  <si>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</si>
  <si>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</si>
  <si>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</si>
  <si>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</si>
  <si>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</si>
  <si>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</si>
  <si>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</si>
  <si>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</si>
  <si>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</si>
  <si>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</si>
  <si>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</si>
  <si>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</si>
  <si>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</si>
  <si>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</si>
  <si>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</si>
  <si>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</si>
  <si>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</si>
  <si>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</si>
  <si>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</si>
  <si>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</si>
  <si>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</si>
  <si>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</si>
  <si>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</si>
  <si>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</si>
  <si>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</si>
  <si>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</si>
  <si>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</si>
  <si>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</si>
  <si>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</si>
  <si>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</si>
  <si>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</si>
  <si>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</si>
  <si>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</si>
  <si>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</si>
  <si>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</si>
  <si>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</si>
  <si>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</si>
  <si>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</si>
  <si>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</si>
  <si>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</si>
  <si>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</si>
  <si>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</si>
  <si>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</si>
  <si>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</si>
  <si>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</si>
  <si>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</si>
  <si>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</si>
  <si>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</si>
  <si>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</si>
  <si>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</si>
  <si>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</si>
  <si>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</si>
  <si>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</si>
  <si>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</si>
  <si>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</si>
  <si>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</si>
  <si>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</si>
  <si>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</si>
  <si>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</si>
  <si>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</si>
  <si>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</si>
  <si>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</si>
  <si>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</si>
  <si>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</si>
  <si>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</si>
  <si>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</si>
  <si>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</si>
  <si>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</si>
  <si>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</si>
  <si>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</si>
  <si>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</si>
  <si>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</si>
  <si>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</si>
  <si>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</si>
  <si>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</si>
  <si>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</si>
  <si>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</si>
  <si>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</si>
  <si>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</si>
  <si>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</si>
  <si>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</si>
  <si>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</si>
  <si>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</si>
  <si>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</si>
  <si>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</si>
  <si>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</si>
  <si>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</si>
  <si>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</si>
  <si>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</si>
  <si>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</si>
  <si>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</si>
  <si>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</si>
  <si>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</si>
  <si>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</si>
  <si>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</si>
  <si>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</si>
  <si>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</si>
  <si>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</si>
  <si>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</si>
  <si>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</si>
  <si>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</si>
  <si>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</si>
  <si>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</si>
  <si>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</si>
  <si>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</si>
  <si>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</si>
  <si>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</si>
  <si>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</si>
  <si>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</si>
  <si>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</si>
  <si>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</si>
  <si>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</si>
  <si>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</si>
  <si>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</si>
  <si>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</si>
  <si>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</si>
  <si>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</si>
  <si>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</si>
  <si>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</si>
  <si>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</si>
  <si>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</si>
  <si>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</si>
  <si>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</si>
  <si>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</si>
  <si>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</si>
  <si>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</si>
  <si>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</si>
  <si>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</si>
  <si>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</si>
  <si>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</si>
  <si>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</si>
  <si>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</si>
  <si>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</si>
  <si>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</si>
  <si>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</si>
  <si>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</si>
  <si>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</si>
  <si>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</si>
  <si>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</si>
  <si>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</si>
  <si>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</si>
  <si>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</si>
  <si>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</si>
  <si>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</si>
  <si>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</si>
  <si>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</si>
  <si>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</si>
  <si>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</si>
  <si>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</si>
  <si>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</si>
  <si>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</si>
  <si>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</si>
  <si>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</si>
  <si>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</si>
  <si>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</si>
  <si>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</si>
  <si>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</si>
  <si>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</si>
  <si>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</si>
  <si>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</si>
  <si>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</si>
  <si>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</si>
  <si>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</si>
  <si>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</si>
  <si>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</si>
  <si>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</si>
  <si>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</si>
  <si>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</si>
  <si>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</si>
  <si>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</si>
  <si>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</si>
  <si>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</si>
  <si>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</si>
  <si>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</si>
  <si>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</si>
  <si>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</si>
  <si>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</si>
  <si>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</si>
  <si>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</si>
  <si>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</si>
  <si>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</si>
  <si>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</si>
  <si>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</si>
  <si>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</si>
  <si>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</si>
  <si>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</si>
  <si>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</si>
  <si>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</si>
  <si>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</si>
  <si>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</si>
  <si>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</si>
  <si>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敵が強すぎます</t>
    <rPh sb="0" eb="2">
      <t>テk</t>
    </rPh>
    <rPh sb="2" eb="7">
      <t>ツヨs</t>
    </rPh>
    <phoneticPr fontId="5"/>
  </si>
  <si>
    <t>stage_hints_data_c_</t>
    <phoneticPr fontId="5"/>
  </si>
  <si>
    <t>stage_hints_data_f_</t>
    <phoneticPr fontId="5"/>
  </si>
  <si>
    <t>skip</t>
    <phoneticPr fontId="7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</si>
  <si>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</si>
  <si>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</si>
  <si>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</si>
  <si>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</si>
  <si>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</si>
  <si>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</si>
  <si>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</si>
  <si>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</si>
  <si>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</si>
  <si>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</si>
  <si>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[effect:dis_panel, target:block_red, turn:2, animation:enemy_dis_red]</t>
  </si>
  <si>
    <t>ja</t>
  </si>
  <si>
    <t>2ターン赤パネルが使えない！</t>
  </si>
  <si>
    <t>[effect:dis_panel, target:block_green, turn:2, animation:enemy_dis_green]</t>
  </si>
  <si>
    <t>2ターン緑パネルが使えない！</t>
  </si>
  <si>
    <t>[effect:dis_panel, target:block_blue, turn:2, animation:enemy_dis_blue]</t>
  </si>
  <si>
    <t>2ターン青パネルが使えない！</t>
  </si>
  <si>
    <t>[effect:dis_panel, target:block_yellow, turn:2, animation:enemy_dis_yellow]</t>
  </si>
  <si>
    <t>2ターン黄パネルが使えない！</t>
  </si>
  <si>
    <t>null</t>
    <phoneticPr fontId="5"/>
  </si>
  <si>
    <t>old</t>
  </si>
  <si>
    <t>link</t>
    <phoneticPr fontId="5"/>
  </si>
  <si>
    <t>unit</t>
    <phoneticPr fontId="5"/>
  </si>
  <si>
    <t>unit</t>
    <phoneticPr fontId="5"/>
  </si>
  <si>
    <t>old</t>
    <phoneticPr fontId="5"/>
  </si>
  <si>
    <t>ja</t>
    <phoneticPr fontId="5"/>
  </si>
  <si>
    <t>時限式ダメージパネル出現</t>
    <rPh sb="0" eb="3">
      <t>ジゲンシキ</t>
    </rPh>
    <rPh sb="10" eb="12">
      <t>シュツゲン</t>
    </rPh>
    <phoneticPr fontId="5"/>
  </si>
  <si>
    <t>ゲッコー♪</t>
    <phoneticPr fontId="5"/>
  </si>
  <si>
    <t>ゲコゲコ？</t>
    <phoneticPr fontId="5"/>
  </si>
  <si>
    <t>ゲコッ！</t>
    <phoneticPr fontId="5"/>
  </si>
  <si>
    <t>ゲコゲコー</t>
    <phoneticPr fontId="5"/>
  </si>
  <si>
    <t>ケロッ！</t>
    <phoneticPr fontId="5"/>
  </si>
  <si>
    <t>ケロケーロ</t>
    <phoneticPr fontId="5"/>
  </si>
  <si>
    <t>ケロケロ？</t>
    <phoneticPr fontId="5"/>
  </si>
  <si>
    <t>ケロ♪</t>
    <phoneticPr fontId="5"/>
  </si>
  <si>
    <t>[effect:change_block, new_block:time_bomb, target:block_all, count:3, val:0.1, animation:change_block]</t>
    <phoneticPr fontId="5"/>
  </si>
  <si>
    <t>old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</si>
</sst>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74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38" fontId="16" fillId="0" borderId="7" xfId="628" applyFont="1" applyFill="1" applyBorder="1" applyAlignment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6" fillId="0" borderId="0" xfId="0" applyFont="1"/>
    <xf numFmtId="0" fontId="4" fillId="31" borderId="1" xfId="0" applyFont="1" applyFill="1" applyBorder="1" applyAlignment="1">
      <alignment horizontal="center" vertical="center"/>
    </xf>
    <xf numFmtId="0" fontId="4" fillId="32" borderId="1" xfId="0" applyFont="1" applyFill="1" applyBorder="1" applyAlignment="1">
      <alignment horizontal="center" vertical="center"/>
    </xf>
    <xf numFmtId="0" fontId="4" fillId="33" borderId="1" xfId="0" applyFont="1" applyFill="1" applyBorder="1" applyAlignment="1">
      <alignment horizontal="center" vertical="center"/>
    </xf>
    <xf numFmtId="0" fontId="11" fillId="0" borderId="7" xfId="0" applyFont="1" applyBorder="1" applyAlignment="1">
      <alignment vertical="center"/>
    </xf>
    <xf numFmtId="0" fontId="11" fillId="0" borderId="10" xfId="0" applyFont="1" applyBorder="1" applyAlignment="1">
      <alignment vertical="center"/>
    </xf>
    <xf numFmtId="0" fontId="11" fillId="0" borderId="10" xfId="0" applyFont="1" applyBorder="1" applyAlignment="1">
      <alignment horizontal="left" vertical="center"/>
    </xf>
    <xf numFmtId="0" fontId="11" fillId="0" borderId="10" xfId="0" applyFont="1" applyBorder="1" applyAlignment="1">
      <alignment horizontal="left" vertical="center" wrapText="1"/>
    </xf>
    <xf numFmtId="0" fontId="11" fillId="0" borderId="23" xfId="0" applyFont="1" applyBorder="1" applyAlignment="1">
      <alignment vertical="center"/>
    </xf>
    <xf numFmtId="0" fontId="11" fillId="0" borderId="23" xfId="0" applyFont="1" applyBorder="1" applyAlignment="1">
      <alignment horizontal="left" vertical="center"/>
    </xf>
    <xf numFmtId="0" fontId="11" fillId="0" borderId="23" xfId="0" applyFont="1" applyBorder="1" applyAlignment="1">
      <alignment horizontal="left" vertical="center" wrapText="1"/>
    </xf>
  </cellXfs>
  <cellStyles count="744">
    <cellStyle name="" xfId="629"/>
    <cellStyle name="_" xfId="630"/>
    <cellStyle name="__" xfId="631"/>
    <cellStyle name="__÷" xfId="632"/>
    <cellStyle name="«¢" xfId="633"/>
    <cellStyle name="`FbN Z" xfId="634"/>
    <cellStyle name="^Cg" xfId="635"/>
    <cellStyle name="©oµ 1" xfId="636"/>
    <cellStyle name="©oµ 2" xfId="637"/>
    <cellStyle name="©oµ 3" xfId="638"/>
    <cellStyle name="©oµ 4" xfId="639"/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à¾¶" xfId="658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Ç¢" xfId="665"/>
    <cellStyle name="Ê" xfId="666"/>
    <cellStyle name="Excel Built-in Normal" xfId="428"/>
    <cellStyle name="N Z" xfId="667"/>
    <cellStyle name="o_" xfId="668"/>
    <cellStyle name="oÍ" xfId="669"/>
    <cellStyle name="üÍ" xfId="670"/>
    <cellStyle name="v" xfId="671"/>
    <cellStyle name="vZ" xfId="672"/>
    <cellStyle name="x¶" xfId="673"/>
    <cellStyle name="x÷" xfId="674"/>
    <cellStyle name="ýo_ 1" xfId="67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桁区切り 2" xfId="429"/>
    <cellStyle name="桁区切り 2 2" xfId="628"/>
    <cellStyle name="青字強調" xfId="430"/>
    <cellStyle name="赤字強調" xfId="431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無題1" xfId="43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12001</v>
          </cell>
        </row>
        <row r="77">
          <cell r="A77">
            <v>12002</v>
          </cell>
        </row>
        <row r="78">
          <cell r="A78">
            <v>12003</v>
          </cell>
        </row>
        <row r="79">
          <cell r="A79">
            <v>12004</v>
          </cell>
        </row>
        <row r="80">
          <cell r="A80">
            <v>13001</v>
          </cell>
        </row>
        <row r="81">
          <cell r="A81">
            <v>14001</v>
          </cell>
        </row>
        <row r="82">
          <cell r="A82">
            <v>14002</v>
          </cell>
        </row>
        <row r="83">
          <cell r="A83">
            <v>14003</v>
          </cell>
        </row>
        <row r="84">
          <cell r="A84">
            <v>14004</v>
          </cell>
        </row>
        <row r="85">
          <cell r="A85">
            <v>14005</v>
          </cell>
        </row>
        <row r="86">
          <cell r="A86">
            <v>14006</v>
          </cell>
        </row>
        <row r="87">
          <cell r="A87">
            <v>20001</v>
          </cell>
        </row>
        <row r="88">
          <cell r="A88">
            <v>20002</v>
          </cell>
        </row>
        <row r="89">
          <cell r="A89">
            <v>20003</v>
          </cell>
        </row>
        <row r="90">
          <cell r="A90">
            <v>20004</v>
          </cell>
        </row>
        <row r="91">
          <cell r="A91">
            <v>20005</v>
          </cell>
        </row>
        <row r="92">
          <cell r="A92">
            <v>20006</v>
          </cell>
        </row>
        <row r="93">
          <cell r="A93">
            <v>20007</v>
          </cell>
        </row>
        <row r="94">
          <cell r="A94">
            <v>20008</v>
          </cell>
        </row>
        <row r="95">
          <cell r="A95">
            <v>20009</v>
          </cell>
        </row>
        <row r="96">
          <cell r="A96">
            <v>20010</v>
          </cell>
        </row>
        <row r="97">
          <cell r="A97">
            <v>20011</v>
          </cell>
        </row>
        <row r="98">
          <cell r="A98">
            <v>20012</v>
          </cell>
        </row>
        <row r="99">
          <cell r="A99">
            <v>30001</v>
          </cell>
        </row>
        <row r="100">
          <cell r="A100">
            <v>30002</v>
          </cell>
        </row>
        <row r="101">
          <cell r="A101">
            <v>30003</v>
          </cell>
        </row>
        <row r="102">
          <cell r="A102">
            <v>30004</v>
          </cell>
        </row>
        <row r="103">
          <cell r="A103">
            <v>30005</v>
          </cell>
        </row>
        <row r="104">
          <cell r="A104">
            <v>30006</v>
          </cell>
        </row>
        <row r="105">
          <cell r="A105">
            <v>30007</v>
          </cell>
        </row>
        <row r="106">
          <cell r="A106">
            <v>30008</v>
          </cell>
        </row>
        <row r="107">
          <cell r="A107">
            <v>30009</v>
          </cell>
        </row>
        <row r="108">
          <cell r="A108">
            <v>30010</v>
          </cell>
        </row>
        <row r="109">
          <cell r="A109">
            <v>30011</v>
          </cell>
        </row>
        <row r="110">
          <cell r="A110">
            <v>30012</v>
          </cell>
        </row>
        <row r="111">
          <cell r="A111">
            <v>30013</v>
          </cell>
        </row>
        <row r="112">
          <cell r="A112">
            <v>30014</v>
          </cell>
        </row>
        <row r="113">
          <cell r="A113">
            <v>30015</v>
          </cell>
        </row>
        <row r="114">
          <cell r="A114">
            <v>30016</v>
          </cell>
        </row>
        <row r="115">
          <cell r="A115">
            <v>30017</v>
          </cell>
        </row>
        <row r="116">
          <cell r="A116">
            <v>30018</v>
          </cell>
        </row>
        <row r="117">
          <cell r="A117">
            <v>30019</v>
          </cell>
        </row>
        <row r="118">
          <cell r="A118">
            <v>30020</v>
          </cell>
        </row>
        <row r="119">
          <cell r="A119">
            <v>30021</v>
          </cell>
        </row>
        <row r="120">
          <cell r="A120">
            <v>30022</v>
          </cell>
        </row>
        <row r="121">
          <cell r="A121">
            <v>30023</v>
          </cell>
        </row>
        <row r="122">
          <cell r="A122">
            <v>30024</v>
          </cell>
        </row>
        <row r="123">
          <cell r="A123">
            <v>30025</v>
          </cell>
        </row>
        <row r="124">
          <cell r="A124">
            <v>30026</v>
          </cell>
        </row>
        <row r="125">
          <cell r="A125">
            <v>30027</v>
          </cell>
        </row>
        <row r="126">
          <cell r="A126">
            <v>39001</v>
          </cell>
        </row>
        <row r="127">
          <cell r="A127">
            <v>40001</v>
          </cell>
        </row>
        <row r="128">
          <cell r="A128">
            <v>40002</v>
          </cell>
        </row>
        <row r="129">
          <cell r="A129">
            <v>40003</v>
          </cell>
        </row>
        <row r="130">
          <cell r="A130">
            <v>40004</v>
          </cell>
        </row>
        <row r="131">
          <cell r="A131">
            <v>40005</v>
          </cell>
        </row>
        <row r="132">
          <cell r="A132">
            <v>40006</v>
          </cell>
        </row>
        <row r="133">
          <cell r="A133">
            <v>40007</v>
          </cell>
        </row>
        <row r="134">
          <cell r="A134">
            <v>40008</v>
          </cell>
        </row>
        <row r="135">
          <cell r="A135">
            <v>40009</v>
          </cell>
        </row>
        <row r="136">
          <cell r="A136">
            <v>40010</v>
          </cell>
        </row>
        <row r="137">
          <cell r="A137">
            <v>40011</v>
          </cell>
        </row>
        <row r="138">
          <cell r="A138">
            <v>40012</v>
          </cell>
        </row>
        <row r="139">
          <cell r="A139">
            <v>49001</v>
          </cell>
        </row>
        <row r="140">
          <cell r="A140">
            <v>50001</v>
          </cell>
        </row>
        <row r="141">
          <cell r="A141">
            <v>50002</v>
          </cell>
        </row>
        <row r="142">
          <cell r="A142">
            <v>60001</v>
          </cell>
        </row>
        <row r="143">
          <cell r="A143">
            <v>65535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11101_1</v>
          </cell>
        </row>
        <row r="216">
          <cell r="A216" t="str">
            <v>11101_2</v>
          </cell>
        </row>
        <row r="217">
          <cell r="A217" t="str">
            <v>11101_3</v>
          </cell>
        </row>
        <row r="218">
          <cell r="A218" t="str">
            <v>11102_1</v>
          </cell>
        </row>
        <row r="219">
          <cell r="A219" t="str">
            <v>11102_2</v>
          </cell>
        </row>
        <row r="220">
          <cell r="A220" t="str">
            <v>11102_3</v>
          </cell>
        </row>
        <row r="221">
          <cell r="A221" t="str">
            <v>11103_1</v>
          </cell>
        </row>
        <row r="222">
          <cell r="A222" t="str">
            <v>11103_2</v>
          </cell>
        </row>
        <row r="223">
          <cell r="A223" t="str">
            <v>11103_3</v>
          </cell>
        </row>
        <row r="224">
          <cell r="A224" t="str">
            <v>11104_1</v>
          </cell>
        </row>
        <row r="225">
          <cell r="A225" t="str">
            <v>11104_2</v>
          </cell>
        </row>
        <row r="226">
          <cell r="A226" t="str">
            <v>11104_3</v>
          </cell>
        </row>
        <row r="227">
          <cell r="A227" t="str">
            <v>11105_1</v>
          </cell>
        </row>
        <row r="228">
          <cell r="A228" t="str">
            <v>11105_2</v>
          </cell>
        </row>
        <row r="229">
          <cell r="A229" t="str">
            <v>11105_3</v>
          </cell>
        </row>
        <row r="230">
          <cell r="A230" t="str">
            <v>11105_4</v>
          </cell>
        </row>
        <row r="231">
          <cell r="A231" t="str">
            <v>11106_1</v>
          </cell>
        </row>
        <row r="232">
          <cell r="A232" t="str">
            <v>11106_2</v>
          </cell>
        </row>
        <row r="233">
          <cell r="A233" t="str">
            <v>11106_3</v>
          </cell>
        </row>
        <row r="234">
          <cell r="A234" t="str">
            <v>11206_1</v>
          </cell>
        </row>
        <row r="235">
          <cell r="A235" t="str">
            <v>11206_2</v>
          </cell>
        </row>
        <row r="236">
          <cell r="A236" t="str">
            <v>11206_3</v>
          </cell>
        </row>
        <row r="237">
          <cell r="A237" t="str">
            <v>11016_1</v>
          </cell>
        </row>
        <row r="238">
          <cell r="A238" t="str">
            <v>11207_1</v>
          </cell>
        </row>
        <row r="239">
          <cell r="A239" t="str">
            <v>11207_2</v>
          </cell>
        </row>
        <row r="240">
          <cell r="A240" t="str">
            <v>11208_1</v>
          </cell>
        </row>
        <row r="241">
          <cell r="A241" t="str">
            <v>11208_2</v>
          </cell>
        </row>
        <row r="242">
          <cell r="A242" t="str">
            <v>11209_1</v>
          </cell>
        </row>
        <row r="243">
          <cell r="A243" t="str">
            <v>11209_2</v>
          </cell>
        </row>
        <row r="244">
          <cell r="A244" t="str">
            <v>11210_1</v>
          </cell>
        </row>
        <row r="245">
          <cell r="A245" t="str">
            <v>11210_2</v>
          </cell>
        </row>
        <row r="246">
          <cell r="A246" t="str">
            <v>11210_3</v>
          </cell>
        </row>
        <row r="247">
          <cell r="A247" t="str">
            <v>11210_4</v>
          </cell>
        </row>
        <row r="248">
          <cell r="A248" t="str">
            <v>11211_1</v>
          </cell>
        </row>
        <row r="249">
          <cell r="A249" t="str">
            <v>11211_2</v>
          </cell>
        </row>
        <row r="250">
          <cell r="A250" t="str">
            <v>11211_3</v>
          </cell>
        </row>
        <row r="251">
          <cell r="A251" t="str">
            <v>11211_4</v>
          </cell>
        </row>
        <row r="252">
          <cell r="A252" t="str">
            <v>11212_1</v>
          </cell>
        </row>
        <row r="253">
          <cell r="A253" t="str">
            <v>11213_1</v>
          </cell>
        </row>
        <row r="254">
          <cell r="A254" t="str">
            <v>11214_1</v>
          </cell>
        </row>
        <row r="255">
          <cell r="A255" t="str">
            <v>11214_2</v>
          </cell>
        </row>
        <row r="256">
          <cell r="A256" t="str">
            <v>11214_3</v>
          </cell>
        </row>
        <row r="257">
          <cell r="A257" t="str">
            <v>11215_1</v>
          </cell>
        </row>
        <row r="258">
          <cell r="A258" t="str">
            <v>11216_1</v>
          </cell>
        </row>
        <row r="259">
          <cell r="A259" t="str">
            <v>11217_1</v>
          </cell>
        </row>
        <row r="260">
          <cell r="A260" t="str">
            <v>11218_1</v>
          </cell>
        </row>
        <row r="261">
          <cell r="A261" t="str">
            <v>11219_1</v>
          </cell>
        </row>
        <row r="262">
          <cell r="A262" t="str">
            <v>12001_1</v>
          </cell>
        </row>
        <row r="263">
          <cell r="A263" t="str">
            <v>12001_2</v>
          </cell>
        </row>
        <row r="264">
          <cell r="A264" t="str">
            <v>12001_3</v>
          </cell>
        </row>
        <row r="265">
          <cell r="A265" t="str">
            <v>12002_3</v>
          </cell>
        </row>
        <row r="266">
          <cell r="A266" t="str">
            <v>12002_2</v>
          </cell>
        </row>
        <row r="267">
          <cell r="A267" t="str">
            <v>12002_1</v>
          </cell>
        </row>
        <row r="268">
          <cell r="A268" t="str">
            <v>12003_1</v>
          </cell>
        </row>
        <row r="269">
          <cell r="A269" t="str">
            <v>12003_2</v>
          </cell>
        </row>
        <row r="270">
          <cell r="A270" t="str">
            <v>12003_3</v>
          </cell>
        </row>
        <row r="271">
          <cell r="A271" t="str">
            <v>12003_4</v>
          </cell>
        </row>
        <row r="272">
          <cell r="A272" t="str">
            <v>12004_1</v>
          </cell>
        </row>
        <row r="273">
          <cell r="A273" t="str">
            <v>13001_1</v>
          </cell>
        </row>
        <row r="274">
          <cell r="A274" t="str">
            <v>13001_2</v>
          </cell>
        </row>
        <row r="275">
          <cell r="A275" t="str">
            <v>13001_3</v>
          </cell>
        </row>
        <row r="276">
          <cell r="A276" t="str">
            <v>13001_4</v>
          </cell>
        </row>
        <row r="277">
          <cell r="A277" t="str">
            <v>13001_5</v>
          </cell>
        </row>
        <row r="278">
          <cell r="A278" t="str">
            <v>13001_6</v>
          </cell>
        </row>
        <row r="279">
          <cell r="A279" t="str">
            <v>13001_7</v>
          </cell>
        </row>
        <row r="280">
          <cell r="A280" t="str">
            <v>13001_8</v>
          </cell>
        </row>
        <row r="281">
          <cell r="A281" t="str">
            <v>13001_9</v>
          </cell>
        </row>
        <row r="282">
          <cell r="A282" t="str">
            <v>13001_10</v>
          </cell>
        </row>
        <row r="283">
          <cell r="A283" t="str">
            <v>13001_11</v>
          </cell>
        </row>
        <row r="284">
          <cell r="A284" t="str">
            <v>13001_12</v>
          </cell>
        </row>
        <row r="285">
          <cell r="A285" t="str">
            <v>13001_13</v>
          </cell>
        </row>
        <row r="286">
          <cell r="A286" t="str">
            <v>13001_14</v>
          </cell>
        </row>
        <row r="287">
          <cell r="A287" t="str">
            <v>13001_15</v>
          </cell>
        </row>
        <row r="288">
          <cell r="A288" t="str">
            <v>13001_16</v>
          </cell>
        </row>
        <row r="289">
          <cell r="A289" t="str">
            <v>13001_17</v>
          </cell>
        </row>
        <row r="290">
          <cell r="A290" t="str">
            <v>13001_18</v>
          </cell>
        </row>
        <row r="291">
          <cell r="A291" t="str">
            <v>13001_19</v>
          </cell>
        </row>
        <row r="292">
          <cell r="A292" t="str">
            <v>13001_20</v>
          </cell>
        </row>
        <row r="293">
          <cell r="A293" t="str">
            <v>13001_21</v>
          </cell>
        </row>
        <row r="294">
          <cell r="A294" t="str">
            <v>13001_22</v>
          </cell>
        </row>
        <row r="295">
          <cell r="A295" t="str">
            <v>13001_23</v>
          </cell>
        </row>
        <row r="296">
          <cell r="A296" t="str">
            <v>13001_24</v>
          </cell>
        </row>
        <row r="297">
          <cell r="A297" t="str">
            <v>13001_25</v>
          </cell>
        </row>
        <row r="298">
          <cell r="A298" t="str">
            <v>14001_1</v>
          </cell>
        </row>
        <row r="299">
          <cell r="A299" t="str">
            <v>14001_2</v>
          </cell>
        </row>
        <row r="300">
          <cell r="A300" t="str">
            <v>14001_3</v>
          </cell>
        </row>
        <row r="301">
          <cell r="A301" t="str">
            <v>14001_4</v>
          </cell>
        </row>
        <row r="302">
          <cell r="A302" t="str">
            <v>14002_1</v>
          </cell>
        </row>
        <row r="303">
          <cell r="A303" t="str">
            <v>14003_1</v>
          </cell>
        </row>
        <row r="304">
          <cell r="A304" t="str">
            <v>14004_1</v>
          </cell>
        </row>
        <row r="305">
          <cell r="A305" t="str">
            <v>14004_2</v>
          </cell>
        </row>
        <row r="306">
          <cell r="A306" t="str">
            <v>14004_3</v>
          </cell>
        </row>
        <row r="307">
          <cell r="A307" t="str">
            <v>14004_4</v>
          </cell>
        </row>
        <row r="308">
          <cell r="A308" t="str">
            <v>14005_1</v>
          </cell>
        </row>
        <row r="309">
          <cell r="A309" t="str">
            <v>14006_1</v>
          </cell>
        </row>
        <row r="310">
          <cell r="A310" t="str">
            <v>20001_1</v>
          </cell>
        </row>
        <row r="311">
          <cell r="A311" t="str">
            <v>20001_2</v>
          </cell>
        </row>
        <row r="312">
          <cell r="A312" t="str">
            <v>20001_3</v>
          </cell>
        </row>
        <row r="313">
          <cell r="A313" t="str">
            <v>20002_1</v>
          </cell>
        </row>
        <row r="314">
          <cell r="A314" t="str">
            <v>20002_2</v>
          </cell>
        </row>
        <row r="315">
          <cell r="A315" t="str">
            <v>20002_3</v>
          </cell>
        </row>
        <row r="316">
          <cell r="A316" t="str">
            <v>20003_1</v>
          </cell>
        </row>
        <row r="317">
          <cell r="A317" t="str">
            <v>20003_2</v>
          </cell>
        </row>
        <row r="318">
          <cell r="A318" t="str">
            <v>20003_3</v>
          </cell>
        </row>
        <row r="319">
          <cell r="A319" t="str">
            <v>20004_1</v>
          </cell>
        </row>
        <row r="320">
          <cell r="A320" t="str">
            <v>20004_2</v>
          </cell>
        </row>
        <row r="321">
          <cell r="A321" t="str">
            <v>20004_3</v>
          </cell>
        </row>
        <row r="322">
          <cell r="A322" t="str">
            <v>20005_1</v>
          </cell>
        </row>
        <row r="323">
          <cell r="A323" t="str">
            <v>20005_2</v>
          </cell>
        </row>
        <row r="324">
          <cell r="A324" t="str">
            <v>20005_3</v>
          </cell>
        </row>
        <row r="325">
          <cell r="A325" t="str">
            <v>20006_1</v>
          </cell>
        </row>
        <row r="326">
          <cell r="A326" t="str">
            <v>20006_2</v>
          </cell>
        </row>
        <row r="327">
          <cell r="A327" t="str">
            <v>20006_3</v>
          </cell>
        </row>
        <row r="328">
          <cell r="A328" t="str">
            <v>20007_1</v>
          </cell>
        </row>
        <row r="329">
          <cell r="A329" t="str">
            <v>20007_2</v>
          </cell>
        </row>
        <row r="330">
          <cell r="A330" t="str">
            <v>20007_3</v>
          </cell>
        </row>
        <row r="331">
          <cell r="A331" t="str">
            <v>20008_1</v>
          </cell>
        </row>
        <row r="332">
          <cell r="A332" t="str">
            <v>20008_2</v>
          </cell>
        </row>
        <row r="333">
          <cell r="A333" t="str">
            <v>20008_3</v>
          </cell>
        </row>
        <row r="334">
          <cell r="A334" t="str">
            <v>20009_1</v>
          </cell>
        </row>
        <row r="335">
          <cell r="A335" t="str">
            <v>20009_2</v>
          </cell>
        </row>
        <row r="336">
          <cell r="A336" t="str">
            <v>20009_3</v>
          </cell>
        </row>
        <row r="337">
          <cell r="A337" t="str">
            <v>20010_1</v>
          </cell>
        </row>
        <row r="338">
          <cell r="A338" t="str">
            <v>20010_2</v>
          </cell>
        </row>
        <row r="339">
          <cell r="A339" t="str">
            <v>20010_3</v>
          </cell>
        </row>
        <row r="340">
          <cell r="A340" t="str">
            <v>20011_1</v>
          </cell>
        </row>
        <row r="341">
          <cell r="A341" t="str">
            <v>20011_2</v>
          </cell>
        </row>
        <row r="342">
          <cell r="A342" t="str">
            <v>20011_3</v>
          </cell>
        </row>
        <row r="343">
          <cell r="A343" t="str">
            <v>20012_1</v>
          </cell>
        </row>
        <row r="344">
          <cell r="A344" t="str">
            <v>20012_2</v>
          </cell>
        </row>
        <row r="345">
          <cell r="A345" t="str">
            <v>20012_3</v>
          </cell>
        </row>
        <row r="346">
          <cell r="A346" t="str">
            <v>30001_1</v>
          </cell>
        </row>
        <row r="347">
          <cell r="A347" t="str">
            <v>30001_2</v>
          </cell>
        </row>
        <row r="348">
          <cell r="A348" t="str">
            <v>30001_3</v>
          </cell>
        </row>
        <row r="349">
          <cell r="A349" t="str">
            <v>30002_1</v>
          </cell>
        </row>
        <row r="350">
          <cell r="A350" t="str">
            <v>30002_2</v>
          </cell>
        </row>
        <row r="351">
          <cell r="A351" t="str">
            <v>30002_3</v>
          </cell>
        </row>
        <row r="352">
          <cell r="A352" t="str">
            <v>30003_1</v>
          </cell>
        </row>
        <row r="353">
          <cell r="A353" t="str">
            <v>30003_2</v>
          </cell>
        </row>
        <row r="354">
          <cell r="A354" t="str">
            <v>30003_3</v>
          </cell>
        </row>
        <row r="355">
          <cell r="A355" t="str">
            <v>30004_1</v>
          </cell>
        </row>
        <row r="356">
          <cell r="A356" t="str">
            <v>30004_2</v>
          </cell>
        </row>
        <row r="357">
          <cell r="A357" t="str">
            <v>30004_3</v>
          </cell>
        </row>
        <row r="358">
          <cell r="A358" t="str">
            <v>30005_1</v>
          </cell>
        </row>
        <row r="359">
          <cell r="A359" t="str">
            <v>30005_2</v>
          </cell>
        </row>
        <row r="360">
          <cell r="A360" t="str">
            <v>30005_3</v>
          </cell>
        </row>
        <row r="361">
          <cell r="A361" t="str">
            <v>30006_1</v>
          </cell>
        </row>
        <row r="362">
          <cell r="A362" t="str">
            <v>30006_2</v>
          </cell>
        </row>
        <row r="363">
          <cell r="A363" t="str">
            <v>30006_3</v>
          </cell>
        </row>
        <row r="364">
          <cell r="A364" t="str">
            <v>30007_1</v>
          </cell>
        </row>
        <row r="365">
          <cell r="A365" t="str">
            <v>30007_2</v>
          </cell>
        </row>
        <row r="366">
          <cell r="A366" t="str">
            <v>30007_3</v>
          </cell>
        </row>
        <row r="367">
          <cell r="A367" t="str">
            <v>30008_1</v>
          </cell>
        </row>
        <row r="368">
          <cell r="A368" t="str">
            <v>30008_2</v>
          </cell>
        </row>
        <row r="369">
          <cell r="A369" t="str">
            <v>30008_3</v>
          </cell>
        </row>
        <row r="370">
          <cell r="A370" t="str">
            <v>30009_3</v>
          </cell>
        </row>
        <row r="371">
          <cell r="A371" t="str">
            <v>30009_1</v>
          </cell>
        </row>
        <row r="372">
          <cell r="A372" t="str">
            <v>30009_2</v>
          </cell>
        </row>
        <row r="373">
          <cell r="A373" t="str">
            <v>30010_1</v>
          </cell>
        </row>
        <row r="374">
          <cell r="A374" t="str">
            <v>30010_2</v>
          </cell>
        </row>
        <row r="375">
          <cell r="A375" t="str">
            <v>30010_3</v>
          </cell>
        </row>
        <row r="376">
          <cell r="A376" t="str">
            <v>30011_1</v>
          </cell>
        </row>
        <row r="377">
          <cell r="A377" t="str">
            <v>30011_2</v>
          </cell>
        </row>
        <row r="378">
          <cell r="A378" t="str">
            <v>30011_3</v>
          </cell>
        </row>
        <row r="379">
          <cell r="A379" t="str">
            <v>30012_1</v>
          </cell>
        </row>
        <row r="380">
          <cell r="A380" t="str">
            <v>30012_2</v>
          </cell>
        </row>
        <row r="381">
          <cell r="A381" t="str">
            <v>30012_3</v>
          </cell>
        </row>
        <row r="382">
          <cell r="A382" t="str">
            <v>30013_1</v>
          </cell>
        </row>
        <row r="383">
          <cell r="A383" t="str">
            <v>30013_2</v>
          </cell>
        </row>
        <row r="384">
          <cell r="A384" t="str">
            <v>30014_1</v>
          </cell>
        </row>
        <row r="385">
          <cell r="A385" t="str">
            <v>30014_2</v>
          </cell>
        </row>
        <row r="386">
          <cell r="A386" t="str">
            <v>30015_1</v>
          </cell>
        </row>
        <row r="387">
          <cell r="A387" t="str">
            <v>30015_2</v>
          </cell>
        </row>
        <row r="388">
          <cell r="A388" t="str">
            <v>30016_1</v>
          </cell>
        </row>
        <row r="389">
          <cell r="A389" t="str">
            <v>30016_2</v>
          </cell>
        </row>
        <row r="390">
          <cell r="A390" t="str">
            <v>30017_1</v>
          </cell>
        </row>
        <row r="391">
          <cell r="A391" t="str">
            <v>30017_2</v>
          </cell>
        </row>
        <row r="392">
          <cell r="A392" t="str">
            <v>30018_1</v>
          </cell>
        </row>
        <row r="393">
          <cell r="A393" t="str">
            <v>30018_2</v>
          </cell>
        </row>
        <row r="394">
          <cell r="A394" t="str">
            <v>30019_1</v>
          </cell>
        </row>
        <row r="395">
          <cell r="A395" t="str">
            <v>30019_2</v>
          </cell>
        </row>
        <row r="396">
          <cell r="A396" t="str">
            <v>30020_1</v>
          </cell>
        </row>
        <row r="397">
          <cell r="A397" t="str">
            <v>30020_2</v>
          </cell>
        </row>
        <row r="398">
          <cell r="A398" t="str">
            <v>30021_1</v>
          </cell>
        </row>
        <row r="399">
          <cell r="A399" t="str">
            <v>30021_2</v>
          </cell>
        </row>
        <row r="400">
          <cell r="A400" t="str">
            <v>30021_3</v>
          </cell>
        </row>
        <row r="401">
          <cell r="A401" t="str">
            <v>30022_1</v>
          </cell>
        </row>
        <row r="402">
          <cell r="A402" t="str">
            <v>30022_2</v>
          </cell>
        </row>
        <row r="403">
          <cell r="A403" t="str">
            <v>30023_1</v>
          </cell>
        </row>
        <row r="404">
          <cell r="A404" t="str">
            <v>30023_2</v>
          </cell>
        </row>
        <row r="405">
          <cell r="A405" t="str">
            <v>30023_3</v>
          </cell>
        </row>
        <row r="406">
          <cell r="A406" t="str">
            <v>30024_1</v>
          </cell>
        </row>
        <row r="407">
          <cell r="A407" t="str">
            <v>30024_2</v>
          </cell>
        </row>
        <row r="408">
          <cell r="A408" t="str">
            <v>30024_3</v>
          </cell>
        </row>
        <row r="409">
          <cell r="A409" t="str">
            <v>30025_1</v>
          </cell>
        </row>
        <row r="410">
          <cell r="A410" t="str">
            <v>30025_2</v>
          </cell>
        </row>
        <row r="411">
          <cell r="A411" t="str">
            <v>30025_3</v>
          </cell>
        </row>
        <row r="412">
          <cell r="A412" t="str">
            <v>30026_1</v>
          </cell>
        </row>
        <row r="413">
          <cell r="A413" t="str">
            <v>30026_2</v>
          </cell>
        </row>
        <row r="414">
          <cell r="A414" t="str">
            <v>30026_3</v>
          </cell>
        </row>
        <row r="415">
          <cell r="A415" t="str">
            <v>30027_1</v>
          </cell>
        </row>
        <row r="416">
          <cell r="A416" t="str">
            <v>30027_2</v>
          </cell>
        </row>
        <row r="417">
          <cell r="A417" t="str">
            <v>30027_3</v>
          </cell>
        </row>
        <row r="418">
          <cell r="A418" t="str">
            <v>39001_1</v>
          </cell>
        </row>
        <row r="419">
          <cell r="A419" t="str">
            <v>39001_2</v>
          </cell>
        </row>
        <row r="420">
          <cell r="A420" t="str">
            <v>39001_3</v>
          </cell>
        </row>
        <row r="421">
          <cell r="A421" t="str">
            <v>39001_4</v>
          </cell>
        </row>
        <row r="422">
          <cell r="A422" t="str">
            <v>39001_5</v>
          </cell>
        </row>
        <row r="423">
          <cell r="A423" t="str">
            <v>40001_1</v>
          </cell>
        </row>
        <row r="424">
          <cell r="A424" t="str">
            <v>40002_1</v>
          </cell>
        </row>
        <row r="425">
          <cell r="A425" t="str">
            <v>40002_2</v>
          </cell>
        </row>
        <row r="426">
          <cell r="A426" t="str">
            <v>40002_3</v>
          </cell>
        </row>
        <row r="427">
          <cell r="A427" t="str">
            <v>40003_1</v>
          </cell>
        </row>
        <row r="428">
          <cell r="A428" t="str">
            <v>40004_1</v>
          </cell>
        </row>
        <row r="429">
          <cell r="A429" t="str">
            <v>40005_1</v>
          </cell>
        </row>
        <row r="430">
          <cell r="A430" t="str">
            <v>40006_1</v>
          </cell>
        </row>
        <row r="431">
          <cell r="A431" t="str">
            <v>40007_1</v>
          </cell>
        </row>
        <row r="432">
          <cell r="A432" t="str">
            <v>40008_1</v>
          </cell>
        </row>
        <row r="433">
          <cell r="A433" t="str">
            <v>40009_1</v>
          </cell>
        </row>
        <row r="434">
          <cell r="A434" t="str">
            <v>40010_1</v>
          </cell>
        </row>
        <row r="435">
          <cell r="A435" t="str">
            <v>40011_1</v>
          </cell>
        </row>
        <row r="436">
          <cell r="A436" t="str">
            <v>40012_1</v>
          </cell>
        </row>
        <row r="437">
          <cell r="A437" t="str">
            <v>49001_1</v>
          </cell>
        </row>
        <row r="438">
          <cell r="A438" t="str">
            <v>50001_1</v>
          </cell>
        </row>
        <row r="439">
          <cell r="A439" t="str">
            <v>50002_1</v>
          </cell>
        </row>
        <row r="440">
          <cell r="A440" t="str">
            <v>60001_1</v>
          </cell>
        </row>
        <row r="441">
          <cell r="A441" t="str">
            <v>65535_1</v>
          </cell>
        </row>
        <row r="442">
          <cell r="A442" t="str">
            <v>65535_2</v>
          </cell>
        </row>
        <row r="443">
          <cell r="A443" t="str">
            <v>65535_3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B20" sqref="B20"/>
    </sheetView>
  </sheetViews>
  <sheetFormatPr baseColWidth="12" defaultRowHeight="18" x14ac:dyDescent="0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>
      <c r="A1" s="60" t="s">
        <v>130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>
      <c r="A2" s="61" t="s">
        <v>227</v>
      </c>
      <c r="B2" s="57" t="s">
        <v>107</v>
      </c>
      <c r="C2" s="62">
        <v>12004</v>
      </c>
      <c r="D2" s="57" t="s">
        <v>108</v>
      </c>
      <c r="E2" s="56" t="str">
        <f>B2&amp;C2&amp;D2</f>
        <v>floors_12004.tmp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>
      <c r="A3" s="61" t="s">
        <v>227</v>
      </c>
      <c r="B3" s="57" t="s">
        <v>110</v>
      </c>
      <c r="C3" s="62">
        <f t="shared" ref="C3:C12" si="0">C$2</f>
        <v>12004</v>
      </c>
      <c r="D3" s="57" t="s">
        <v>108</v>
      </c>
      <c r="E3" s="56" t="str">
        <f>B3&amp;C3&amp;D3</f>
        <v>enemy_habitats_12004.tmp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>
      <c r="A4" s="61" t="s">
        <v>227</v>
      </c>
      <c r="B4" s="57" t="s">
        <v>112</v>
      </c>
      <c r="C4" s="62">
        <f t="shared" si="0"/>
        <v>12004</v>
      </c>
      <c r="D4" s="57" t="s">
        <v>108</v>
      </c>
      <c r="E4" s="56" t="str">
        <f>B4&amp;C4&amp;D4</f>
        <v>enemy_habitat_S_12004.tmp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>
      <c r="A5" s="61" t="s">
        <v>227</v>
      </c>
      <c r="B5" s="57" t="s">
        <v>114</v>
      </c>
      <c r="C5" s="62">
        <f t="shared" si="0"/>
        <v>12004</v>
      </c>
      <c r="D5" s="57" t="s">
        <v>108</v>
      </c>
      <c r="E5" s="56" t="str">
        <f>B5&amp;C5&amp;D5</f>
        <v>enemy_skill_sets_12004.tmp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>
      <c r="A6" s="61" t="s">
        <v>227</v>
      </c>
      <c r="B6" s="57" t="s">
        <v>116</v>
      </c>
      <c r="C6" s="62">
        <f t="shared" si="0"/>
        <v>12004</v>
      </c>
      <c r="D6" s="57" t="s">
        <v>117</v>
      </c>
      <c r="E6" s="56" t="str">
        <f t="shared" ref="E6:E10" si="1">B6&amp;C6&amp;D6</f>
        <v>enemy_skills_tmp_12004.tmp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>
      <c r="A7" s="61" t="s">
        <v>227</v>
      </c>
      <c r="B7" s="57" t="s">
        <v>118</v>
      </c>
      <c r="C7" s="62">
        <f t="shared" si="0"/>
        <v>12004</v>
      </c>
      <c r="D7" s="57" t="s">
        <v>108</v>
      </c>
      <c r="E7" s="56" t="str">
        <f>B7&amp;C7&amp;D7</f>
        <v>enemy_skills_i18n_12004.tmp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>
      <c r="A8" s="61" t="s">
        <v>227</v>
      </c>
      <c r="B8" s="57" t="s">
        <v>120</v>
      </c>
      <c r="C8" s="62">
        <f t="shared" si="0"/>
        <v>12004</v>
      </c>
      <c r="D8" s="57" t="s">
        <v>121</v>
      </c>
      <c r="E8" s="56" t="str">
        <f t="shared" si="1"/>
        <v>enemy_skill_triggers_12004.tmp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>
      <c r="A9" s="61" t="s">
        <v>231</v>
      </c>
      <c r="B9" s="67" t="s">
        <v>178</v>
      </c>
      <c r="C9" s="62">
        <f t="shared" si="0"/>
        <v>12004</v>
      </c>
      <c r="D9" s="67" t="s">
        <v>172</v>
      </c>
      <c r="E9" s="68" t="str">
        <f t="shared" si="1"/>
        <v>stage_bug_bonuses_12004.tmp</v>
      </c>
      <c r="F9" s="67" t="s">
        <v>173</v>
      </c>
      <c r="G9" s="64" t="s">
        <v>150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</row>
    <row r="10" spans="1:30" s="76" customFormat="1">
      <c r="A10" s="61" t="s">
        <v>243</v>
      </c>
      <c r="B10" s="67" t="s">
        <v>204</v>
      </c>
      <c r="C10" s="62">
        <f>C$2</f>
        <v>12004</v>
      </c>
      <c r="D10" s="67" t="s">
        <v>181</v>
      </c>
      <c r="E10" s="68" t="str">
        <f t="shared" si="1"/>
        <v>stage_hints_data_c_12004.tmp</v>
      </c>
      <c r="F10" s="67" t="s">
        <v>213</v>
      </c>
      <c r="G10" s="73" t="s">
        <v>182</v>
      </c>
      <c r="H10" s="73" t="s">
        <v>174</v>
      </c>
      <c r="I10" s="74" t="s">
        <v>183</v>
      </c>
      <c r="J10" s="66" t="s">
        <v>184</v>
      </c>
      <c r="K10" s="75" t="s">
        <v>185</v>
      </c>
    </row>
    <row r="11" spans="1:30" s="76" customFormat="1">
      <c r="A11" s="61" t="s">
        <v>188</v>
      </c>
      <c r="B11" s="67" t="s">
        <v>205</v>
      </c>
      <c r="C11" s="62">
        <f t="shared" si="0"/>
        <v>12004</v>
      </c>
      <c r="D11" s="67" t="s">
        <v>172</v>
      </c>
      <c r="E11" s="68" t="str">
        <f t="shared" ref="E11:E12" si="2">B11&amp;C11&amp;D11</f>
        <v>stage_hints_data_f_12004.tmp</v>
      </c>
      <c r="F11" s="67" t="s">
        <v>215</v>
      </c>
      <c r="G11" s="73" t="s">
        <v>182</v>
      </c>
      <c r="H11" s="73" t="s">
        <v>174</v>
      </c>
      <c r="I11" s="74" t="s">
        <v>183</v>
      </c>
      <c r="J11" s="66" t="s">
        <v>184</v>
      </c>
      <c r="K11" s="75" t="s">
        <v>185</v>
      </c>
    </row>
    <row r="12" spans="1:30" s="76" customFormat="1">
      <c r="A12" s="67" t="s">
        <v>206</v>
      </c>
      <c r="B12" s="67" t="s">
        <v>207</v>
      </c>
      <c r="C12" s="62">
        <f t="shared" si="0"/>
        <v>12004</v>
      </c>
      <c r="D12" s="67" t="s">
        <v>172</v>
      </c>
      <c r="E12" s="68" t="str">
        <f t="shared" si="2"/>
        <v>stage_hints_i18n_12004.tmp</v>
      </c>
      <c r="F12" s="67" t="s">
        <v>216</v>
      </c>
      <c r="G12" s="74" t="s">
        <v>208</v>
      </c>
      <c r="H12" s="97" t="s">
        <v>209</v>
      </c>
      <c r="I12" s="73" t="s">
        <v>210</v>
      </c>
      <c r="J12" s="98" t="s">
        <v>211</v>
      </c>
      <c r="K12" s="75" t="s">
        <v>212</v>
      </c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D11" sqref="D11"/>
    </sheetView>
  </sheetViews>
  <sheetFormatPr baseColWidth="12" defaultColWidth="13" defaultRowHeight="21" customHeight="1" outlineLevelCol="1" x14ac:dyDescent="0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>
      <c r="A2" s="16" t="str">
        <f>G2&amp;"-"&amp;I2</f>
        <v>12004_1-1</v>
      </c>
      <c r="B2" s="16" t="str">
        <f>IF(COUNTIF(enemy_habitats!$H:$H,A2),"OK","NG")</f>
        <v>OK</v>
      </c>
      <c r="C2" s="7">
        <v>12004</v>
      </c>
      <c r="D2" s="11" t="str">
        <f ca="1">VLOOKUP($C2,OFFSET([2]quests!$A$1,0,0,COUNTA([2]quests!$A:$A),MATCH(D$1,[2]quests!$1:$1,0)-MATCH($C$1,[2]quests!$1:$1,0)+1),MATCH(D$1,[2]quests!$1:$1,0)-MATCH($C$1,[2]quests!$1:$1,0)+1,FALSE)</f>
        <v>メタルフロッグをもとめて</v>
      </c>
      <c r="E2" s="18" t="str">
        <f ca="1">VLOOKUP($C2,OFFSET([2]quests!$A$1,0,0,COUNTA([2]quests!$A:$A),MATCH(E$1,[2]quests!$1:$1,0)-MATCH($C$1,[2]quests!$1:$1,0)+1),MATCH(E$1,[2]quests!$1:$1,0)-MATCH($C$1,[2]quests!$1:$1,0)+1,FALSE)</f>
        <v>イベントクエスト</v>
      </c>
      <c r="F2" s="21">
        <v>1</v>
      </c>
      <c r="G2" s="23" t="str">
        <f>C2&amp;"_"&amp;F2</f>
        <v>12004_1</v>
      </c>
      <c r="H2" s="15" t="str">
        <f ca="1">VLOOKUP($G2,OFFSET([2]stages!$A$1,0,0,COUNTA([2]stages!$A:$A),MATCH(H$1,[2]stages!$2:$2,0)-MATCH($G$1,[2]stages!$2:$2,0)+1),MATCH(H$1,[2]stages!$2:$2,0)-MATCH($G$1,[2]stages!$2:$2,0)+1,FALSE)</f>
        <v>【上級】メタルフロッグをもとめて</v>
      </c>
      <c r="I2" s="21">
        <v>1</v>
      </c>
      <c r="J2" s="12">
        <v>30</v>
      </c>
      <c r="K2" s="12">
        <v>30</v>
      </c>
    </row>
    <row r="3" spans="1:11" ht="21" customHeight="1">
      <c r="A3" s="16" t="str">
        <f t="shared" ref="A3:A5" si="0">G3&amp;"-"&amp;I3</f>
        <v>12004_1-2</v>
      </c>
      <c r="B3" s="16" t="str">
        <f>IF(COUNTIF(enemy_habitats!$H:$H,A3),"OK","NG")</f>
        <v>OK</v>
      </c>
      <c r="C3" s="7">
        <v>12004</v>
      </c>
      <c r="D3" s="11" t="str">
        <f ca="1">VLOOKUP($C3,OFFSET([2]quests!$A$1,0,0,COUNTA([2]quests!$A:$A),MATCH(D$1,[2]quests!$1:$1,0)-MATCH($C$1,[2]quests!$1:$1,0)+1),MATCH(D$1,[2]quests!$1:$1,0)-MATCH($C$1,[2]quests!$1:$1,0)+1,FALSE)</f>
        <v>メタルフロッグをもとめて</v>
      </c>
      <c r="E3" s="18" t="str">
        <f ca="1">VLOOKUP($C3,OFFSET([2]quests!$A$1,0,0,COUNTA([2]quests!$A:$A),MATCH(E$1,[2]quests!$1:$1,0)-MATCH($C$1,[2]quests!$1:$1,0)+1),MATCH(E$1,[2]quests!$1:$1,0)-MATCH($C$1,[2]quests!$1:$1,0)+1,FALSE)</f>
        <v>イベントクエスト</v>
      </c>
      <c r="F3" s="21">
        <v>1</v>
      </c>
      <c r="G3" s="23" t="str">
        <f t="shared" ref="G3:G5" si="1">C3&amp;"_"&amp;F3</f>
        <v>12004_1</v>
      </c>
      <c r="H3" s="15" t="str">
        <f ca="1">VLOOKUP($G3,OFFSET([2]stages!$A$1,0,0,COUNTA([2]stages!$A:$A),MATCH(H$1,[2]stages!$2:$2,0)-MATCH($G$1,[2]stages!$2:$2,0)+1),MATCH(H$1,[2]stages!$2:$2,0)-MATCH($G$1,[2]stages!$2:$2,0)+1,FALSE)</f>
        <v>【上級】メタルフロッグをもとめて</v>
      </c>
      <c r="I3" s="21">
        <v>2</v>
      </c>
      <c r="J3" s="12">
        <v>45</v>
      </c>
      <c r="K3" s="12">
        <v>45</v>
      </c>
    </row>
    <row r="4" spans="1:11" ht="21" customHeight="1">
      <c r="A4" s="16" t="str">
        <f t="shared" si="0"/>
        <v>12004_1-3</v>
      </c>
      <c r="B4" s="16" t="str">
        <f>IF(COUNTIF(enemy_habitats!$H:$H,A4),"OK","NG")</f>
        <v>OK</v>
      </c>
      <c r="C4" s="7">
        <v>12004</v>
      </c>
      <c r="D4" s="11" t="str">
        <f ca="1">VLOOKUP($C4,OFFSET([2]quests!$A$1,0,0,COUNTA([2]quests!$A:$A),MATCH(D$1,[2]quests!$1:$1,0)-MATCH($C$1,[2]quests!$1:$1,0)+1),MATCH(D$1,[2]quests!$1:$1,0)-MATCH($C$1,[2]quests!$1:$1,0)+1,FALSE)</f>
        <v>メタルフロッグをもとめて</v>
      </c>
      <c r="E4" s="18" t="str">
        <f ca="1">VLOOKUP($C4,OFFSET([2]quests!$A$1,0,0,COUNTA([2]quests!$A:$A),MATCH(E$1,[2]quests!$1:$1,0)-MATCH($C$1,[2]quests!$1:$1,0)+1),MATCH(E$1,[2]quests!$1:$1,0)-MATCH($C$1,[2]quests!$1:$1,0)+1,FALSE)</f>
        <v>イベントクエスト</v>
      </c>
      <c r="F4" s="21">
        <v>1</v>
      </c>
      <c r="G4" s="23" t="str">
        <f t="shared" si="1"/>
        <v>12004_1</v>
      </c>
      <c r="H4" s="15" t="str">
        <f ca="1">VLOOKUP($G4,OFFSET([2]stages!$A$1,0,0,COUNTA([2]stages!$A:$A),MATCH(H$1,[2]stages!$2:$2,0)-MATCH($G$1,[2]stages!$2:$2,0)+1),MATCH(H$1,[2]stages!$2:$2,0)-MATCH($G$1,[2]stages!$2:$2,0)+1,FALSE)</f>
        <v>【上級】メタルフロッグをもとめて</v>
      </c>
      <c r="I4" s="21">
        <v>3</v>
      </c>
      <c r="J4" s="12">
        <v>45</v>
      </c>
      <c r="K4" s="12">
        <v>45</v>
      </c>
    </row>
    <row r="5" spans="1:11" ht="21" customHeight="1">
      <c r="A5" s="16" t="str">
        <f t="shared" si="0"/>
        <v>12004_1-4</v>
      </c>
      <c r="B5" s="16" t="str">
        <f>IF(COUNTIF(enemy_habitats!$H:$H,A5),"OK","NG")</f>
        <v>OK</v>
      </c>
      <c r="C5" s="7">
        <v>12004</v>
      </c>
      <c r="D5" s="11" t="str">
        <f ca="1">VLOOKUP($C5,OFFSET([2]quests!$A$1,0,0,COUNTA([2]quests!$A:$A),MATCH(D$1,[2]quests!$1:$1,0)-MATCH($C$1,[2]quests!$1:$1,0)+1),MATCH(D$1,[2]quests!$1:$1,0)-MATCH($C$1,[2]quests!$1:$1,0)+1,FALSE)</f>
        <v>メタルフロッグをもとめて</v>
      </c>
      <c r="E5" s="18" t="str">
        <f ca="1">VLOOKUP($C5,OFFSET([2]quests!$A$1,0,0,COUNTA([2]quests!$A:$A),MATCH(E$1,[2]quests!$1:$1,0)-MATCH($C$1,[2]quests!$1:$1,0)+1),MATCH(E$1,[2]quests!$1:$1,0)-MATCH($C$1,[2]quests!$1:$1,0)+1,FALSE)</f>
        <v>イベントクエスト</v>
      </c>
      <c r="F5" s="21">
        <v>1</v>
      </c>
      <c r="G5" s="23" t="str">
        <f t="shared" si="1"/>
        <v>12004_1</v>
      </c>
      <c r="H5" s="15" t="str">
        <f ca="1">VLOOKUP($G5,OFFSET([2]stages!$A$1,0,0,COUNTA([2]stages!$A:$A),MATCH(H$1,[2]stages!$2:$2,0)-MATCH($G$1,[2]stages!$2:$2,0)+1),MATCH(H$1,[2]stages!$2:$2,0)-MATCH($G$1,[2]stages!$2:$2,0)+1,FALSE)</f>
        <v>【上級】メタルフロッグをもとめて</v>
      </c>
      <c r="I5" s="21">
        <v>4</v>
      </c>
      <c r="J5" s="12">
        <v>45</v>
      </c>
      <c r="K5" s="12">
        <v>45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53"/>
  <sheetViews>
    <sheetView showGridLines="0" zoomScale="75" zoomScaleNormal="75" zoomScalePageLayoutView="75" workbookViewId="0">
      <pane xSplit="17" ySplit="1" topLeftCell="Z2" activePane="bottomRight" state="frozen"/>
      <selection pane="topRight" activeCell="N1" sqref="N1"/>
      <selection pane="bottomLeft" activeCell="A2" sqref="A2"/>
      <selection pane="bottomRight" activeCell="AH10" sqref="AH10"/>
    </sheetView>
  </sheetViews>
  <sheetFormatPr baseColWidth="12" defaultColWidth="13" defaultRowHeight="21" customHeight="1" outlineLevelCol="1" x14ac:dyDescent="0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180</v>
      </c>
    </row>
    <row r="2" spans="1:40" ht="21" customHeight="1">
      <c r="A2" s="16" t="str">
        <f>B2&amp;"_"&amp;C2&amp;"-"&amp;G2&amp;"/"&amp;L2&amp;"&lt;lv"&amp;R2&amp;"&gt;s"&amp;AA2</f>
        <v>12004_1-1/348&lt;lv20&gt;s2</v>
      </c>
      <c r="B2" s="22">
        <v>12004</v>
      </c>
      <c r="C2" s="21">
        <v>1</v>
      </c>
      <c r="D2" s="2" t="str">
        <f>B2&amp;"_"&amp;C2</f>
        <v>12004_1</v>
      </c>
      <c r="E2" s="4" t="str">
        <f ca="1">VLOOKUP($B2,OFFSET([2]quests!$A$1,0,0,COUNTA([2]quests!$A:$A),MATCH(E$1,[2]quests!$1:$1,0)-MATCH($B$1,[2]quests!$1:$1,0)+1),MATCH(E$1,[2]quests!$1:$1,0)-MATCH($B$1,[2]quests!$1:$1,0)+1,FALSE)</f>
        <v>メタルフロッグをもとめて</v>
      </c>
      <c r="F2" s="4" t="str">
        <f ca="1">VLOOKUP($D2,OFFSET([2]stages!$A$1,0,0,COUNTA([2]stages!$A:$A),MATCH(F$1,[2]stages!$2:$2,0)-MATCH($D$1,[2]stages!$2:$2,0)+1),MATCH(F$1,[2]stages!$2:$2,0)-MATCH($D$1,[2]stages!$2:$2,0)+1,FALSE)</f>
        <v>【上級】メタルフロッグをもとめて</v>
      </c>
      <c r="G2" s="1">
        <v>1</v>
      </c>
      <c r="H2" s="15" t="str">
        <f>B2&amp;"_"&amp;C2&amp;"-"&amp;G2</f>
        <v>12004_1-1</v>
      </c>
      <c r="I2" s="4">
        <f ca="1">VLOOKUP($H2,OFFSET(floors!$A$1,0,0,COUNTA(floors!$A:$A),MATCH(I$1,floors!$1:$1,0)-MATCH($H$1,floors!$1:$1,0)+1),MATCH(I$1,floors!$1:$1,0)-MATCH($H$1,floors!$1:$1,0)+1,FALSE)</f>
        <v>30</v>
      </c>
      <c r="J2" s="4">
        <f ca="1">VLOOKUP($H2,OFFSET(floors!$A$1,0,0,COUNTA(floors!$A:$A),MATCH(J$1,floors!$1:$1,0)-MATCH($H$1,floors!$1:$1,0)+1),MATCH(J$1,floors!$1:$1,0)-MATCH($H$1,floors!$1:$1,0)+1,FALSE)</f>
        <v>30</v>
      </c>
      <c r="K2" s="38" t="s">
        <v>53</v>
      </c>
      <c r="L2" s="20">
        <v>348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炎のケロケロ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20</v>
      </c>
      <c r="S2" s="25">
        <v>1</v>
      </c>
      <c r="T2" s="25">
        <v>1.2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103">
        <v>12004001</v>
      </c>
      <c r="X2" s="6">
        <v>0</v>
      </c>
      <c r="Y2" s="6">
        <v>100</v>
      </c>
      <c r="Z2" s="6">
        <v>0</v>
      </c>
      <c r="AA2" s="17">
        <v>2</v>
      </c>
      <c r="AB2" s="24">
        <f>L2</f>
        <v>348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" s="7">
        <v>1</v>
      </c>
      <c r="AG2" s="24">
        <f ca="1">AD2</f>
        <v>2</v>
      </c>
      <c r="AH2" s="8">
        <v>100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>
      <c r="A3" s="16" t="str">
        <f t="shared" ref="A3:A13" si="0">B3&amp;"_"&amp;C3&amp;"-"&amp;G3&amp;"/"&amp;L3&amp;"&lt;lv"&amp;R3&amp;"&gt;s"&amp;AA3</f>
        <v>12004_1-1/350&lt;lv20&gt;s2</v>
      </c>
      <c r="B3" s="22">
        <v>12004</v>
      </c>
      <c r="C3" s="21">
        <v>1</v>
      </c>
      <c r="D3" s="2" t="str">
        <f t="shared" ref="D3:D13" si="1">B3&amp;"_"&amp;C3</f>
        <v>12004_1</v>
      </c>
      <c r="E3" s="4" t="str">
        <f ca="1">VLOOKUP($B3,OFFSET([2]quests!$A$1,0,0,COUNTA([2]quests!$A:$A),MATCH(E$1,[2]quests!$1:$1,0)-MATCH($B$1,[2]quests!$1:$1,0)+1),MATCH(E$1,[2]quests!$1:$1,0)-MATCH($B$1,[2]quests!$1:$1,0)+1,FALSE)</f>
        <v>メタルフロッグをもとめて</v>
      </c>
      <c r="F3" s="4" t="str">
        <f ca="1">VLOOKUP($D3,OFFSET([2]stages!$A$1,0,0,COUNTA([2]stages!$A:$A),MATCH(F$1,[2]stages!$2:$2,0)-MATCH($D$1,[2]stages!$2:$2,0)+1),MATCH(F$1,[2]stages!$2:$2,0)-MATCH($D$1,[2]stages!$2:$2,0)+1,FALSE)</f>
        <v>【上級】メタルフロッグをもとめて</v>
      </c>
      <c r="G3" s="1">
        <v>1</v>
      </c>
      <c r="H3" s="15" t="str">
        <f t="shared" ref="H3:H13" si="2">B3&amp;"_"&amp;C3&amp;"-"&amp;G3</f>
        <v>12004_1-1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8" t="s">
        <v>53</v>
      </c>
      <c r="L3" s="20">
        <v>350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森のケロケロ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Material</v>
      </c>
      <c r="P3" s="17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20</v>
      </c>
      <c r="S3" s="25">
        <v>1</v>
      </c>
      <c r="T3" s="25">
        <v>1.2</v>
      </c>
      <c r="U3" s="5">
        <v>0</v>
      </c>
      <c r="V3" s="4" t="e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" s="103">
        <v>12004002</v>
      </c>
      <c r="X3" s="6">
        <v>0</v>
      </c>
      <c r="Y3" s="6">
        <v>100</v>
      </c>
      <c r="Z3" s="6">
        <v>0</v>
      </c>
      <c r="AA3" s="17">
        <v>2</v>
      </c>
      <c r="AB3" s="24">
        <f t="shared" ref="AB3:AB13" si="3">L3</f>
        <v>350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" s="7">
        <v>1</v>
      </c>
      <c r="AG3" s="24">
        <f t="shared" ref="AG3:AG13" ca="1" si="4">AD3</f>
        <v>2</v>
      </c>
      <c r="AH3" s="8">
        <v>100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>
      <c r="A4" s="16" t="str">
        <f t="shared" si="0"/>
        <v>12004_1-1/352&lt;lv20&gt;s2</v>
      </c>
      <c r="B4" s="22">
        <v>12004</v>
      </c>
      <c r="C4" s="21">
        <v>1</v>
      </c>
      <c r="D4" s="2" t="str">
        <f t="shared" si="1"/>
        <v>12004_1</v>
      </c>
      <c r="E4" s="4" t="str">
        <f ca="1">VLOOKUP($B4,OFFSET([2]quests!$A$1,0,0,COUNTA([2]quests!$A:$A),MATCH(E$1,[2]quests!$1:$1,0)-MATCH($B$1,[2]quests!$1:$1,0)+1),MATCH(E$1,[2]quests!$1:$1,0)-MATCH($B$1,[2]quests!$1:$1,0)+1,FALSE)</f>
        <v>メタルフロッグをもとめて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【上級】メタルフロッグをもとめて</v>
      </c>
      <c r="G4" s="1">
        <v>1</v>
      </c>
      <c r="H4" s="15" t="str">
        <f t="shared" si="2"/>
        <v>12004_1-1</v>
      </c>
      <c r="I4" s="4">
        <f ca="1">VLOOKUP($H4,OFFSET(floors!$A$1,0,0,COUNTA(floors!$A:$A),MATCH(I$1,floors!$1:$1,0)-MATCH($H$1,floors!$1:$1,0)+1),MATCH(I$1,floors!$1:$1,0)-MATCH($H$1,floors!$1:$1,0)+1,FALSE)</f>
        <v>30</v>
      </c>
      <c r="J4" s="4">
        <f ca="1">VLOOKUP($H4,OFFSET(floors!$A$1,0,0,COUNTA(floors!$A:$A),MATCH(J$1,floors!$1:$1,0)-MATCH($H$1,floors!$1:$1,0)+1),MATCH(J$1,floors!$1:$1,0)-MATCH($H$1,floors!$1:$1,0)+1,FALSE)</f>
        <v>30</v>
      </c>
      <c r="K4" s="38" t="s">
        <v>53</v>
      </c>
      <c r="L4" s="20">
        <v>352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水のケロケロ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Material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20</v>
      </c>
      <c r="S4" s="25">
        <v>1</v>
      </c>
      <c r="T4" s="25">
        <v>1.2</v>
      </c>
      <c r="U4" s="5">
        <v>0</v>
      </c>
      <c r="V4" s="4" t="e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" s="103">
        <v>12004003</v>
      </c>
      <c r="X4" s="6">
        <v>0</v>
      </c>
      <c r="Y4" s="6">
        <v>100</v>
      </c>
      <c r="Z4" s="6">
        <v>0</v>
      </c>
      <c r="AA4" s="17">
        <v>2</v>
      </c>
      <c r="AB4" s="24">
        <f t="shared" si="3"/>
        <v>352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水のケロケロ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" s="7">
        <v>1</v>
      </c>
      <c r="AG4" s="24">
        <f t="shared" ca="1" si="4"/>
        <v>2</v>
      </c>
      <c r="AH4" s="8">
        <v>100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>
      <c r="A5" s="16" t="str">
        <f t="shared" si="0"/>
        <v>12004_1-1/354&lt;lv20&gt;s2</v>
      </c>
      <c r="B5" s="22">
        <v>12004</v>
      </c>
      <c r="C5" s="21">
        <v>1</v>
      </c>
      <c r="D5" s="2" t="str">
        <f t="shared" si="1"/>
        <v>12004_1</v>
      </c>
      <c r="E5" s="4" t="str">
        <f ca="1">VLOOKUP($B5,OFFSET([2]quests!$A$1,0,0,COUNTA([2]quests!$A:$A),MATCH(E$1,[2]quests!$1:$1,0)-MATCH($B$1,[2]quests!$1:$1,0)+1),MATCH(E$1,[2]quests!$1:$1,0)-MATCH($B$1,[2]quests!$1:$1,0)+1,FALSE)</f>
        <v>メタルフロッグをもとめて</v>
      </c>
      <c r="F5" s="4" t="str">
        <f ca="1">VLOOKUP($D5,OFFSET([2]stages!$A$1,0,0,COUNTA([2]stages!$A:$A),MATCH(F$1,[2]stages!$2:$2,0)-MATCH($D$1,[2]stages!$2:$2,0)+1),MATCH(F$1,[2]stages!$2:$2,0)-MATCH($D$1,[2]stages!$2:$2,0)+1,FALSE)</f>
        <v>【上級】メタルフロッグをもとめて</v>
      </c>
      <c r="G5" s="1">
        <v>1</v>
      </c>
      <c r="H5" s="15" t="str">
        <f t="shared" si="2"/>
        <v>12004_1-1</v>
      </c>
      <c r="I5" s="4">
        <f ca="1">VLOOKUP($H5,OFFSET(floors!$A$1,0,0,COUNTA(floors!$A:$A),MATCH(I$1,floors!$1:$1,0)-MATCH($H$1,floors!$1:$1,0)+1),MATCH(I$1,floors!$1:$1,0)-MATCH($H$1,floors!$1:$1,0)+1,FALSE)</f>
        <v>30</v>
      </c>
      <c r="J5" s="4">
        <f ca="1">VLOOKUP($H5,OFFSET(floors!$A$1,0,0,COUNTA(floors!$A:$A),MATCH(J$1,floors!$1:$1,0)-MATCH($H$1,floors!$1:$1,0)+1),MATCH(J$1,floors!$1:$1,0)-MATCH($H$1,floors!$1:$1,0)+1,FALSE)</f>
        <v>30</v>
      </c>
      <c r="K5" s="38" t="s">
        <v>53</v>
      </c>
      <c r="L5" s="20">
        <v>354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雷のケロケロ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Material</v>
      </c>
      <c r="P5" s="17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20</v>
      </c>
      <c r="S5" s="25">
        <v>1</v>
      </c>
      <c r="T5" s="25">
        <v>1.2</v>
      </c>
      <c r="U5" s="5">
        <v>0</v>
      </c>
      <c r="V5" s="4" t="e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5" s="103">
        <v>12004004</v>
      </c>
      <c r="X5" s="6">
        <v>0</v>
      </c>
      <c r="Y5" s="6">
        <v>100</v>
      </c>
      <c r="Z5" s="6">
        <v>0</v>
      </c>
      <c r="AA5" s="17">
        <v>2</v>
      </c>
      <c r="AB5" s="24">
        <f t="shared" si="3"/>
        <v>354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雷のケロケロ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" s="7">
        <v>1</v>
      </c>
      <c r="AG5" s="24">
        <f t="shared" ca="1" si="4"/>
        <v>2</v>
      </c>
      <c r="AH5" s="8">
        <v>100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>
      <c r="A6" s="16" t="str">
        <f t="shared" si="0"/>
        <v>12004_1-2/333&lt;lv3&gt;s2</v>
      </c>
      <c r="B6" s="22">
        <v>12004</v>
      </c>
      <c r="C6" s="21">
        <v>1</v>
      </c>
      <c r="D6" s="2" t="str">
        <f t="shared" si="1"/>
        <v>12004_1</v>
      </c>
      <c r="E6" s="4" t="str">
        <f ca="1">VLOOKUP($B6,OFFSET([2]quests!$A$1,0,0,COUNTA([2]quests!$A:$A),MATCH(E$1,[2]quests!$1:$1,0)-MATCH($B$1,[2]quests!$1:$1,0)+1),MATCH(E$1,[2]quests!$1:$1,0)-MATCH($B$1,[2]quests!$1:$1,0)+1,FALSE)</f>
        <v>メタルフロッグをもとめて</v>
      </c>
      <c r="F6" s="4" t="str">
        <f ca="1">VLOOKUP($D6,OFFSET([2]stages!$A$1,0,0,COUNTA([2]stages!$A:$A),MATCH(F$1,[2]stages!$2:$2,0)-MATCH($D$1,[2]stages!$2:$2,0)+1),MATCH(F$1,[2]stages!$2:$2,0)-MATCH($D$1,[2]stages!$2:$2,0)+1,FALSE)</f>
        <v>【上級】メタルフロッグをもとめて</v>
      </c>
      <c r="G6" s="100">
        <v>2</v>
      </c>
      <c r="H6" s="15" t="str">
        <f t="shared" si="2"/>
        <v>12004_1-2</v>
      </c>
      <c r="I6" s="4">
        <f ca="1">VLOOKUP($H6,OFFSET(floors!$A$1,0,0,COUNTA(floors!$A:$A),MATCH(I$1,floors!$1:$1,0)-MATCH($H$1,floors!$1:$1,0)+1),MATCH(I$1,floors!$1:$1,0)-MATCH($H$1,floors!$1:$1,0)+1,FALSE)</f>
        <v>45</v>
      </c>
      <c r="J6" s="4">
        <f ca="1">VLOOKUP($H6,OFFSET(floors!$A$1,0,0,COUNTA(floors!$A:$A),MATCH(J$1,floors!$1:$1,0)-MATCH($H$1,floors!$1:$1,0)+1),MATCH(J$1,floors!$1:$1,0)-MATCH($H$1,floors!$1:$1,0)+1,FALSE)</f>
        <v>45</v>
      </c>
      <c r="K6" s="38" t="s">
        <v>53</v>
      </c>
      <c r="L6" s="20">
        <v>333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炎のメタルチック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Material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3</v>
      </c>
      <c r="S6" s="25">
        <v>1</v>
      </c>
      <c r="T6" s="25">
        <v>1.2</v>
      </c>
      <c r="U6" s="5">
        <v>-1000</v>
      </c>
      <c r="V6" s="4" t="str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6" s="4">
        <f ca="1">VLOOKUP($L6,OFFSET([3]enemies!$A$1,0,0,COUNTA([3]enemies!$A:$A),MATCH(W$1,[3]enemies!$1:$1,0)-MATCH($L$1,[3]enemies!$1:$1,0)+1),MATCH(W$1,[3]enemies!$1:$1,0)-MATCH($L$1,[3]enemies!$1:$1,0)+1,FALSE)</f>
        <v>0</v>
      </c>
      <c r="X6" s="6">
        <v>0</v>
      </c>
      <c r="Y6" s="6">
        <v>100</v>
      </c>
      <c r="Z6" s="6">
        <v>0</v>
      </c>
      <c r="AA6" s="17">
        <v>2</v>
      </c>
      <c r="AB6" s="24">
        <f t="shared" si="3"/>
        <v>333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" s="7">
        <v>1</v>
      </c>
      <c r="AG6" s="24">
        <f t="shared" ca="1" si="4"/>
        <v>4</v>
      </c>
      <c r="AH6" s="8">
        <v>15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>
      <c r="A7" s="16" t="str">
        <f t="shared" si="0"/>
        <v>12004_1-2/337&lt;lv3&gt;s2</v>
      </c>
      <c r="B7" s="22">
        <v>12004</v>
      </c>
      <c r="C7" s="21">
        <v>1</v>
      </c>
      <c r="D7" s="2" t="str">
        <f t="shared" si="1"/>
        <v>12004_1</v>
      </c>
      <c r="E7" s="4" t="str">
        <f ca="1">VLOOKUP($B7,OFFSET([2]quests!$A$1,0,0,COUNTA([2]quests!$A:$A),MATCH(E$1,[2]quests!$1:$1,0)-MATCH($B$1,[2]quests!$1:$1,0)+1),MATCH(E$1,[2]quests!$1:$1,0)-MATCH($B$1,[2]quests!$1:$1,0)+1,FALSE)</f>
        <v>メタルフロッグをもとめて</v>
      </c>
      <c r="F7" s="4" t="str">
        <f ca="1">VLOOKUP($D7,OFFSET([2]stages!$A$1,0,0,COUNTA([2]stages!$A:$A),MATCH(F$1,[2]stages!$2:$2,0)-MATCH($D$1,[2]stages!$2:$2,0)+1),MATCH(F$1,[2]stages!$2:$2,0)-MATCH($D$1,[2]stages!$2:$2,0)+1,FALSE)</f>
        <v>【上級】メタルフロッグをもとめて</v>
      </c>
      <c r="G7" s="100">
        <v>2</v>
      </c>
      <c r="H7" s="15" t="str">
        <f t="shared" si="2"/>
        <v>12004_1-2</v>
      </c>
      <c r="I7" s="4">
        <f ca="1">VLOOKUP($H7,OFFSET(floors!$A$1,0,0,COUNTA(floors!$A:$A),MATCH(I$1,floors!$1:$1,0)-MATCH($H$1,floors!$1:$1,0)+1),MATCH(I$1,floors!$1:$1,0)-MATCH($H$1,floors!$1:$1,0)+1,FALSE)</f>
        <v>45</v>
      </c>
      <c r="J7" s="4">
        <f ca="1">VLOOKUP($H7,OFFSET(floors!$A$1,0,0,COUNTA(floors!$A:$A),MATCH(J$1,floors!$1:$1,0)-MATCH($H$1,floors!$1:$1,0)+1),MATCH(J$1,floors!$1:$1,0)-MATCH($H$1,floors!$1:$1,0)+1,FALSE)</f>
        <v>45</v>
      </c>
      <c r="K7" s="38" t="s">
        <v>53</v>
      </c>
      <c r="L7" s="20">
        <v>337</v>
      </c>
      <c r="M7" s="17" t="str">
        <f ca="1">VLOOKUP($L7,OFFSET([3]enemies!$A$1,0,0,COUNTA([3]enemies!$A:$A),MATCH(M$1,[3]enemies!$1:$1,0)-MATCH($L$1,[3]enemies!$1:$1,0)+1),MATCH(M$1,[3]enemies!$1:$1,0)-MATCH($L$1,[3]enemies!$1:$1,0)+1,FALSE)</f>
        <v>森のメタルチック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Material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3</v>
      </c>
      <c r="S7" s="25">
        <v>1</v>
      </c>
      <c r="T7" s="25">
        <v>1.2</v>
      </c>
      <c r="U7" s="5">
        <v>-1000</v>
      </c>
      <c r="V7" s="4" t="str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7" s="4">
        <f ca="1">VLOOKUP($L7,OFFSET([3]enemies!$A$1,0,0,COUNTA([3]enemies!$A:$A),MATCH(W$1,[3]enemies!$1:$1,0)-MATCH($L$1,[3]enemies!$1:$1,0)+1),MATCH(W$1,[3]enemies!$1:$1,0)-MATCH($L$1,[3]enemies!$1:$1,0)+1,FALSE)</f>
        <v>0</v>
      </c>
      <c r="X7" s="6">
        <v>0</v>
      </c>
      <c r="Y7" s="6">
        <v>100</v>
      </c>
      <c r="Z7" s="6">
        <v>0</v>
      </c>
      <c r="AA7" s="17">
        <v>2</v>
      </c>
      <c r="AB7" s="24">
        <f t="shared" si="3"/>
        <v>337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" s="7">
        <v>1</v>
      </c>
      <c r="AG7" s="24">
        <f t="shared" ca="1" si="4"/>
        <v>4</v>
      </c>
      <c r="AH7" s="8">
        <v>15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>
      <c r="A8" s="16" t="str">
        <f t="shared" si="0"/>
        <v>12004_1-2/341&lt;lv3&gt;s2</v>
      </c>
      <c r="B8" s="22">
        <v>12004</v>
      </c>
      <c r="C8" s="21">
        <v>1</v>
      </c>
      <c r="D8" s="2" t="str">
        <f t="shared" si="1"/>
        <v>12004_1</v>
      </c>
      <c r="E8" s="4" t="str">
        <f ca="1">VLOOKUP($B8,OFFSET([2]quests!$A$1,0,0,COUNTA([2]quests!$A:$A),MATCH(E$1,[2]quests!$1:$1,0)-MATCH($B$1,[2]quests!$1:$1,0)+1),MATCH(E$1,[2]quests!$1:$1,0)-MATCH($B$1,[2]quests!$1:$1,0)+1,FALSE)</f>
        <v>メタルフロッグをもとめて</v>
      </c>
      <c r="F8" s="4" t="str">
        <f ca="1">VLOOKUP($D8,OFFSET([2]stages!$A$1,0,0,COUNTA([2]stages!$A:$A),MATCH(F$1,[2]stages!$2:$2,0)-MATCH($D$1,[2]stages!$2:$2,0)+1),MATCH(F$1,[2]stages!$2:$2,0)-MATCH($D$1,[2]stages!$2:$2,0)+1,FALSE)</f>
        <v>【上級】メタルフロッグをもとめて</v>
      </c>
      <c r="G8" s="100">
        <v>2</v>
      </c>
      <c r="H8" s="15" t="str">
        <f t="shared" si="2"/>
        <v>12004_1-2</v>
      </c>
      <c r="I8" s="4">
        <f ca="1">VLOOKUP($H8,OFFSET(floors!$A$1,0,0,COUNTA(floors!$A:$A),MATCH(I$1,floors!$1:$1,0)-MATCH($H$1,floors!$1:$1,0)+1),MATCH(I$1,floors!$1:$1,0)-MATCH($H$1,floors!$1:$1,0)+1,FALSE)</f>
        <v>45</v>
      </c>
      <c r="J8" s="4">
        <f ca="1">VLOOKUP($H8,OFFSET(floors!$A$1,0,0,COUNTA(floors!$A:$A),MATCH(J$1,floors!$1:$1,0)-MATCH($H$1,floors!$1:$1,0)+1),MATCH(J$1,floors!$1:$1,0)-MATCH($H$1,floors!$1:$1,0)+1,FALSE)</f>
        <v>45</v>
      </c>
      <c r="K8" s="38" t="s">
        <v>53</v>
      </c>
      <c r="L8" s="20">
        <v>341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水のメタルチック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Material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3</v>
      </c>
      <c r="S8" s="25">
        <v>1</v>
      </c>
      <c r="T8" s="25">
        <v>1.2</v>
      </c>
      <c r="U8" s="5">
        <v>-1000</v>
      </c>
      <c r="V8" s="4" t="str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" s="4">
        <f ca="1">VLOOKUP($L8,OFFSET([3]enemies!$A$1,0,0,COUNTA([3]enemies!$A:$A),MATCH(W$1,[3]enemies!$1:$1,0)-MATCH($L$1,[3]enemies!$1:$1,0)+1),MATCH(W$1,[3]enemies!$1:$1,0)-MATCH($L$1,[3]enemies!$1:$1,0)+1,FALSE)</f>
        <v>0</v>
      </c>
      <c r="X8" s="6">
        <v>0</v>
      </c>
      <c r="Y8" s="6">
        <v>100</v>
      </c>
      <c r="Z8" s="6">
        <v>0</v>
      </c>
      <c r="AA8" s="17">
        <v>2</v>
      </c>
      <c r="AB8" s="24">
        <f t="shared" si="3"/>
        <v>341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" s="7">
        <v>1</v>
      </c>
      <c r="AG8" s="24">
        <f t="shared" ca="1" si="4"/>
        <v>4</v>
      </c>
      <c r="AH8" s="8">
        <v>15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>
      <c r="A9" s="16" t="str">
        <f t="shared" si="0"/>
        <v>12004_1-2/345&lt;lv3&gt;s2</v>
      </c>
      <c r="B9" s="22">
        <v>12004</v>
      </c>
      <c r="C9" s="21">
        <v>1</v>
      </c>
      <c r="D9" s="2" t="str">
        <f t="shared" si="1"/>
        <v>12004_1</v>
      </c>
      <c r="E9" s="4" t="str">
        <f ca="1">VLOOKUP($B9,OFFSET([2]quests!$A$1,0,0,COUNTA([2]quests!$A:$A),MATCH(E$1,[2]quests!$1:$1,0)-MATCH($B$1,[2]quests!$1:$1,0)+1),MATCH(E$1,[2]quests!$1:$1,0)-MATCH($B$1,[2]quests!$1:$1,0)+1,FALSE)</f>
        <v>メタルフロッグをもとめて</v>
      </c>
      <c r="F9" s="4" t="str">
        <f ca="1">VLOOKUP($D9,OFFSET([2]stages!$A$1,0,0,COUNTA([2]stages!$A:$A),MATCH(F$1,[2]stages!$2:$2,0)-MATCH($D$1,[2]stages!$2:$2,0)+1),MATCH(F$1,[2]stages!$2:$2,0)-MATCH($D$1,[2]stages!$2:$2,0)+1,FALSE)</f>
        <v>【上級】メタルフロッグをもとめて</v>
      </c>
      <c r="G9" s="100">
        <v>2</v>
      </c>
      <c r="H9" s="15" t="str">
        <f t="shared" si="2"/>
        <v>12004_1-2</v>
      </c>
      <c r="I9" s="4">
        <f ca="1">VLOOKUP($H9,OFFSET(floors!$A$1,0,0,COUNTA(floors!$A:$A),MATCH(I$1,floors!$1:$1,0)-MATCH($H$1,floors!$1:$1,0)+1),MATCH(I$1,floors!$1:$1,0)-MATCH($H$1,floors!$1:$1,0)+1,FALSE)</f>
        <v>45</v>
      </c>
      <c r="J9" s="4">
        <f ca="1">VLOOKUP($H9,OFFSET(floors!$A$1,0,0,COUNTA(floors!$A:$A),MATCH(J$1,floors!$1:$1,0)-MATCH($H$1,floors!$1:$1,0)+1),MATCH(J$1,floors!$1:$1,0)-MATCH($H$1,floors!$1:$1,0)+1,FALSE)</f>
        <v>45</v>
      </c>
      <c r="K9" s="38" t="s">
        <v>53</v>
      </c>
      <c r="L9" s="20">
        <v>345</v>
      </c>
      <c r="M9" s="17" t="str">
        <f ca="1">VLOOKUP($L9,OFFSET([3]enemies!$A$1,0,0,COUNTA([3]enemies!$A:$A),MATCH(M$1,[3]enemies!$1:$1,0)-MATCH($L$1,[3]enemies!$1:$1,0)+1),MATCH(M$1,[3]enemies!$1:$1,0)-MATCH($L$1,[3]enemies!$1:$1,0)+1,FALSE)</f>
        <v>雷のメタルチック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Material</v>
      </c>
      <c r="P9" s="17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3</v>
      </c>
      <c r="S9" s="25">
        <v>1</v>
      </c>
      <c r="T9" s="25">
        <v>1.2</v>
      </c>
      <c r="U9" s="5">
        <v>-1000</v>
      </c>
      <c r="V9" s="4" t="str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" s="4">
        <f ca="1">VLOOKUP($L9,OFFSET([3]enemies!$A$1,0,0,COUNTA([3]enemies!$A:$A),MATCH(W$1,[3]enemies!$1:$1,0)-MATCH($L$1,[3]enemies!$1:$1,0)+1),MATCH(W$1,[3]enemies!$1:$1,0)-MATCH($L$1,[3]enemies!$1:$1,0)+1,FALSE)</f>
        <v>0</v>
      </c>
      <c r="X9" s="6">
        <v>0</v>
      </c>
      <c r="Y9" s="6">
        <v>100</v>
      </c>
      <c r="Z9" s="6">
        <v>0</v>
      </c>
      <c r="AA9" s="17">
        <v>2</v>
      </c>
      <c r="AB9" s="24">
        <f t="shared" si="3"/>
        <v>345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" s="7">
        <v>1</v>
      </c>
      <c r="AG9" s="24">
        <f t="shared" ca="1" si="4"/>
        <v>4</v>
      </c>
      <c r="AH9" s="8">
        <v>15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ht="21" customHeight="1">
      <c r="A10" s="16" t="str">
        <f t="shared" si="0"/>
        <v>12004_1-2/348&lt;lv19&gt;s2</v>
      </c>
      <c r="B10" s="22">
        <v>12004</v>
      </c>
      <c r="C10" s="21">
        <v>1</v>
      </c>
      <c r="D10" s="2" t="str">
        <f t="shared" si="1"/>
        <v>12004_1</v>
      </c>
      <c r="E10" s="4" t="str">
        <f ca="1">VLOOKUP($B10,OFFSET([2]quests!$A$1,0,0,COUNTA([2]quests!$A:$A),MATCH(E$1,[2]quests!$1:$1,0)-MATCH($B$1,[2]quests!$1:$1,0)+1),MATCH(E$1,[2]quests!$1:$1,0)-MATCH($B$1,[2]quests!$1:$1,0)+1,FALSE)</f>
        <v>メタルフロッグをもとめて</v>
      </c>
      <c r="F10" s="4" t="str">
        <f ca="1">VLOOKUP($D10,OFFSET([2]stages!$A$1,0,0,COUNTA([2]stages!$A:$A),MATCH(F$1,[2]stages!$2:$2,0)-MATCH($D$1,[2]stages!$2:$2,0)+1),MATCH(F$1,[2]stages!$2:$2,0)-MATCH($D$1,[2]stages!$2:$2,0)+1,FALSE)</f>
        <v>【上級】メタルフロッグをもとめて</v>
      </c>
      <c r="G10" s="100">
        <v>2</v>
      </c>
      <c r="H10" s="15" t="str">
        <f t="shared" si="2"/>
        <v>12004_1-2</v>
      </c>
      <c r="I10" s="4">
        <f ca="1">VLOOKUP($H10,OFFSET(floors!$A$1,0,0,COUNTA(floors!$A:$A),MATCH(I$1,floors!$1:$1,0)-MATCH($H$1,floors!$1:$1,0)+1),MATCH(I$1,floors!$1:$1,0)-MATCH($H$1,floors!$1:$1,0)+1,FALSE)</f>
        <v>45</v>
      </c>
      <c r="J10" s="4">
        <f ca="1">VLOOKUP($H10,OFFSET(floors!$A$1,0,0,COUNTA(floors!$A:$A),MATCH(J$1,floors!$1:$1,0)-MATCH($H$1,floors!$1:$1,0)+1),MATCH(J$1,floors!$1:$1,0)-MATCH($H$1,floors!$1:$1,0)+1,FALSE)</f>
        <v>45</v>
      </c>
      <c r="K10" s="38" t="s">
        <v>53</v>
      </c>
      <c r="L10" s="20">
        <v>348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炎のケロケロ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Material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19</v>
      </c>
      <c r="S10" s="25">
        <v>1</v>
      </c>
      <c r="T10" s="25">
        <v>1.2</v>
      </c>
      <c r="U10" s="5">
        <v>0</v>
      </c>
      <c r="V10" s="4" t="e">
        <f ca="1">VLOOKUP($W10,OFFSET([5]enemy_skill_sets!$B$1,0,0,COUNTA([5]enemy_skill_sets!$B:$B),MATCH(M$1,[5]enemy_skill_sets!$1:$1,0)-MATCH($W$1,[5]enemy_skill_sets!$1:$1,0)+2),MATCH(M$1,[5]enemy_skill_sets!$1:$1,0)-MATCH($W$1,[5]enemy_skill_sets!$1:$1,0)+2,FALSE)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0" s="103">
        <v>12004001</v>
      </c>
      <c r="X10" s="6">
        <v>0</v>
      </c>
      <c r="Y10" s="6">
        <v>100</v>
      </c>
      <c r="Z10" s="6">
        <v>0</v>
      </c>
      <c r="AA10" s="17">
        <v>2</v>
      </c>
      <c r="AB10" s="24">
        <f t="shared" si="3"/>
        <v>348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2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" s="7">
        <v>1</v>
      </c>
      <c r="AG10" s="24">
        <f t="shared" ca="1" si="4"/>
        <v>2</v>
      </c>
      <c r="AH10" s="8">
        <v>70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9">
        <v>1</v>
      </c>
    </row>
    <row r="11" spans="1:40" ht="21" customHeight="1">
      <c r="A11" s="16" t="str">
        <f t="shared" si="0"/>
        <v>12004_1-2/350&lt;lv19&gt;s2</v>
      </c>
      <c r="B11" s="22">
        <v>12004</v>
      </c>
      <c r="C11" s="21">
        <v>1</v>
      </c>
      <c r="D11" s="2" t="str">
        <f t="shared" si="1"/>
        <v>12004_1</v>
      </c>
      <c r="E11" s="4" t="str">
        <f ca="1">VLOOKUP($B11,OFFSET([2]quests!$A$1,0,0,COUNTA([2]quests!$A:$A),MATCH(E$1,[2]quests!$1:$1,0)-MATCH($B$1,[2]quests!$1:$1,0)+1),MATCH(E$1,[2]quests!$1:$1,0)-MATCH($B$1,[2]quests!$1:$1,0)+1,FALSE)</f>
        <v>メタルフロッグをもとめて</v>
      </c>
      <c r="F11" s="4" t="str">
        <f ca="1">VLOOKUP($D11,OFFSET([2]stages!$A$1,0,0,COUNTA([2]stages!$A:$A),MATCH(F$1,[2]stages!$2:$2,0)-MATCH($D$1,[2]stages!$2:$2,0)+1),MATCH(F$1,[2]stages!$2:$2,0)-MATCH($D$1,[2]stages!$2:$2,0)+1,FALSE)</f>
        <v>【上級】メタルフロッグをもとめて</v>
      </c>
      <c r="G11" s="100">
        <v>2</v>
      </c>
      <c r="H11" s="15" t="str">
        <f t="shared" si="2"/>
        <v>12004_1-2</v>
      </c>
      <c r="I11" s="4">
        <f ca="1">VLOOKUP($H11,OFFSET(floors!$A$1,0,0,COUNTA(floors!$A:$A),MATCH(I$1,floors!$1:$1,0)-MATCH($H$1,floors!$1:$1,0)+1),MATCH(I$1,floors!$1:$1,0)-MATCH($H$1,floors!$1:$1,0)+1,FALSE)</f>
        <v>45</v>
      </c>
      <c r="J11" s="4">
        <f ca="1">VLOOKUP($H11,OFFSET(floors!$A$1,0,0,COUNTA(floors!$A:$A),MATCH(J$1,floors!$1:$1,0)-MATCH($H$1,floors!$1:$1,0)+1),MATCH(J$1,floors!$1:$1,0)-MATCH($H$1,floors!$1:$1,0)+1,FALSE)</f>
        <v>45</v>
      </c>
      <c r="K11" s="38" t="s">
        <v>53</v>
      </c>
      <c r="L11" s="20">
        <v>350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森のケロケロ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Material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19</v>
      </c>
      <c r="S11" s="25">
        <v>1</v>
      </c>
      <c r="T11" s="25">
        <v>1.2</v>
      </c>
      <c r="U11" s="5">
        <v>0</v>
      </c>
      <c r="V11" s="4" t="e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1" s="103">
        <v>12004002</v>
      </c>
      <c r="X11" s="6">
        <v>0</v>
      </c>
      <c r="Y11" s="6">
        <v>100</v>
      </c>
      <c r="Z11" s="6">
        <v>0</v>
      </c>
      <c r="AA11" s="17">
        <v>2</v>
      </c>
      <c r="AB11" s="24">
        <f t="shared" si="3"/>
        <v>350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2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1" s="7">
        <v>1</v>
      </c>
      <c r="AG11" s="24">
        <f t="shared" ca="1" si="4"/>
        <v>2</v>
      </c>
      <c r="AH11" s="8">
        <v>70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9">
        <v>1</v>
      </c>
    </row>
    <row r="12" spans="1:40" ht="21" customHeight="1">
      <c r="A12" s="16" t="str">
        <f t="shared" si="0"/>
        <v>12004_1-2/352&lt;lv19&gt;s2</v>
      </c>
      <c r="B12" s="22">
        <v>12004</v>
      </c>
      <c r="C12" s="21">
        <v>1</v>
      </c>
      <c r="D12" s="2" t="str">
        <f t="shared" si="1"/>
        <v>12004_1</v>
      </c>
      <c r="E12" s="4" t="str">
        <f ca="1">VLOOKUP($B12,OFFSET([2]quests!$A$1,0,0,COUNTA([2]quests!$A:$A),MATCH(E$1,[2]quests!$1:$1,0)-MATCH($B$1,[2]quests!$1:$1,0)+1),MATCH(E$1,[2]quests!$1:$1,0)-MATCH($B$1,[2]quests!$1:$1,0)+1,FALSE)</f>
        <v>メタルフロッグをもとめて</v>
      </c>
      <c r="F12" s="4" t="str">
        <f ca="1">VLOOKUP($D12,OFFSET([2]stages!$A$1,0,0,COUNTA([2]stages!$A:$A),MATCH(F$1,[2]stages!$2:$2,0)-MATCH($D$1,[2]stages!$2:$2,0)+1),MATCH(F$1,[2]stages!$2:$2,0)-MATCH($D$1,[2]stages!$2:$2,0)+1,FALSE)</f>
        <v>【上級】メタルフロッグをもとめて</v>
      </c>
      <c r="G12" s="100">
        <v>2</v>
      </c>
      <c r="H12" s="15" t="str">
        <f t="shared" si="2"/>
        <v>12004_1-2</v>
      </c>
      <c r="I12" s="4">
        <f ca="1">VLOOKUP($H12,OFFSET(floors!$A$1,0,0,COUNTA(floors!$A:$A),MATCH(I$1,floors!$1:$1,0)-MATCH($H$1,floors!$1:$1,0)+1),MATCH(I$1,floors!$1:$1,0)-MATCH($H$1,floors!$1:$1,0)+1,FALSE)</f>
        <v>45</v>
      </c>
      <c r="J12" s="4">
        <f ca="1">VLOOKUP($H12,OFFSET(floors!$A$1,0,0,COUNTA(floors!$A:$A),MATCH(J$1,floors!$1:$1,0)-MATCH($H$1,floors!$1:$1,0)+1),MATCH(J$1,floors!$1:$1,0)-MATCH($H$1,floors!$1:$1,0)+1,FALSE)</f>
        <v>45</v>
      </c>
      <c r="K12" s="38" t="s">
        <v>53</v>
      </c>
      <c r="L12" s="20">
        <v>352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水のケロケロ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Material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19</v>
      </c>
      <c r="S12" s="25">
        <v>1</v>
      </c>
      <c r="T12" s="25">
        <v>1.2</v>
      </c>
      <c r="U12" s="5">
        <v>0</v>
      </c>
      <c r="V12" s="4" t="e">
        <f ca="1">VLOOKUP($W12,OFFSET([5]enemy_skill_sets!$B$1,0,0,COUNTA([5]enemy_skill_sets!$B:$B),MATCH(M$1,[5]enemy_skill_sets!$1:$1,0)-MATCH($W$1,[5]enemy_skill_sets!$1:$1,0)+2),MATCH(M$1,[5]enemy_skill_sets!$1:$1,0)-MATCH($W$1,[5]enemy_skill_sets!$1:$1,0)+2,FALSE)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2" s="103">
        <v>12004003</v>
      </c>
      <c r="X12" s="6">
        <v>0</v>
      </c>
      <c r="Y12" s="6">
        <v>100</v>
      </c>
      <c r="Z12" s="6">
        <v>0</v>
      </c>
      <c r="AA12" s="17">
        <v>2</v>
      </c>
      <c r="AB12" s="24">
        <f t="shared" si="3"/>
        <v>352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水のケロケロ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2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2" s="7">
        <v>1</v>
      </c>
      <c r="AG12" s="24">
        <f t="shared" ca="1" si="4"/>
        <v>2</v>
      </c>
      <c r="AH12" s="8">
        <v>70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9">
        <v>1</v>
      </c>
    </row>
    <row r="13" spans="1:40" ht="21" customHeight="1">
      <c r="A13" s="16" t="str">
        <f t="shared" si="0"/>
        <v>12004_1-2/354&lt;lv19&gt;s2</v>
      </c>
      <c r="B13" s="22">
        <v>12004</v>
      </c>
      <c r="C13" s="21">
        <v>1</v>
      </c>
      <c r="D13" s="2" t="str">
        <f t="shared" si="1"/>
        <v>12004_1</v>
      </c>
      <c r="E13" s="4" t="str">
        <f ca="1">VLOOKUP($B13,OFFSET([2]quests!$A$1,0,0,COUNTA([2]quests!$A:$A),MATCH(E$1,[2]quests!$1:$1,0)-MATCH($B$1,[2]quests!$1:$1,0)+1),MATCH(E$1,[2]quests!$1:$1,0)-MATCH($B$1,[2]quests!$1:$1,0)+1,FALSE)</f>
        <v>メタルフロッグをもとめて</v>
      </c>
      <c r="F13" s="4" t="str">
        <f ca="1">VLOOKUP($D13,OFFSET([2]stages!$A$1,0,0,COUNTA([2]stages!$A:$A),MATCH(F$1,[2]stages!$2:$2,0)-MATCH($D$1,[2]stages!$2:$2,0)+1),MATCH(F$1,[2]stages!$2:$2,0)-MATCH($D$1,[2]stages!$2:$2,0)+1,FALSE)</f>
        <v>【上級】メタルフロッグをもとめて</v>
      </c>
      <c r="G13" s="100">
        <v>2</v>
      </c>
      <c r="H13" s="15" t="str">
        <f t="shared" si="2"/>
        <v>12004_1-2</v>
      </c>
      <c r="I13" s="4">
        <f ca="1">VLOOKUP($H13,OFFSET(floors!$A$1,0,0,COUNTA(floors!$A:$A),MATCH(I$1,floors!$1:$1,0)-MATCH($H$1,floors!$1:$1,0)+1),MATCH(I$1,floors!$1:$1,0)-MATCH($H$1,floors!$1:$1,0)+1,FALSE)</f>
        <v>45</v>
      </c>
      <c r="J13" s="4">
        <f ca="1">VLOOKUP($H13,OFFSET(floors!$A$1,0,0,COUNTA(floors!$A:$A),MATCH(J$1,floors!$1:$1,0)-MATCH($H$1,floors!$1:$1,0)+1),MATCH(J$1,floors!$1:$1,0)-MATCH($H$1,floors!$1:$1,0)+1,FALSE)</f>
        <v>45</v>
      </c>
      <c r="K13" s="38" t="s">
        <v>53</v>
      </c>
      <c r="L13" s="20">
        <v>354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雷のケロケロ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Material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19</v>
      </c>
      <c r="S13" s="25">
        <v>1</v>
      </c>
      <c r="T13" s="25">
        <v>1.2</v>
      </c>
      <c r="U13" s="5">
        <v>0</v>
      </c>
      <c r="V13" s="4" t="e">
        <f ca="1">VLOOKUP($W13,OFFSET([5]enemy_skill_sets!$B$1,0,0,COUNTA([5]enemy_skill_sets!$B:$B),MATCH(M$1,[5]enemy_skill_sets!$1:$1,0)-MATCH($W$1,[5]enemy_skill_sets!$1:$1,0)+2),MATCH(M$1,[5]enemy_skill_sets!$1:$1,0)-MATCH($W$1,[5]enemy_skill_sets!$1:$1,0)+2,FALSE)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3" s="103">
        <v>12004004</v>
      </c>
      <c r="X13" s="6">
        <v>0</v>
      </c>
      <c r="Y13" s="6">
        <v>100</v>
      </c>
      <c r="Z13" s="6">
        <v>0</v>
      </c>
      <c r="AA13" s="17">
        <v>2</v>
      </c>
      <c r="AB13" s="24">
        <f t="shared" si="3"/>
        <v>354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雷のケロケロ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2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3" s="7">
        <v>1</v>
      </c>
      <c r="AG13" s="24">
        <f t="shared" ca="1" si="4"/>
        <v>2</v>
      </c>
      <c r="AH13" s="8">
        <v>70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9">
        <v>1</v>
      </c>
    </row>
    <row r="14" spans="1:40" ht="21" customHeight="1">
      <c r="A14" s="16" t="str">
        <f t="shared" ref="A14:A21" si="5">B14&amp;"_"&amp;C14&amp;"-"&amp;G14&amp;"/"&amp;L14&amp;"&lt;lv"&amp;R14&amp;"&gt;s"&amp;AA14</f>
        <v>12004_1-2/333&lt;lv4&gt;s2</v>
      </c>
      <c r="B14" s="22">
        <v>12004</v>
      </c>
      <c r="C14" s="21">
        <v>1</v>
      </c>
      <c r="D14" s="2" t="str">
        <f t="shared" ref="D14:D21" si="6">B14&amp;"_"&amp;C14</f>
        <v>12004_1</v>
      </c>
      <c r="E14" s="4" t="str">
        <f ca="1">VLOOKUP($B14,OFFSET([2]quests!$A$1,0,0,COUNTA([2]quests!$A:$A),MATCH(E$1,[2]quests!$1:$1,0)-MATCH($B$1,[2]quests!$1:$1,0)+1),MATCH(E$1,[2]quests!$1:$1,0)-MATCH($B$1,[2]quests!$1:$1,0)+1,FALSE)</f>
        <v>メタルフロッグをもとめて</v>
      </c>
      <c r="F14" s="4" t="str">
        <f ca="1">VLOOKUP($D14,OFFSET([2]stages!$A$1,0,0,COUNTA([2]stages!$A:$A),MATCH(F$1,[2]stages!$2:$2,0)-MATCH($D$1,[2]stages!$2:$2,0)+1),MATCH(F$1,[2]stages!$2:$2,0)-MATCH($D$1,[2]stages!$2:$2,0)+1,FALSE)</f>
        <v>【上級】メタルフロッグをもとめて</v>
      </c>
      <c r="G14" s="100">
        <v>2</v>
      </c>
      <c r="H14" s="15" t="str">
        <f t="shared" ref="H14:H21" si="7">B14&amp;"_"&amp;C14&amp;"-"&amp;G14</f>
        <v>12004_1-2</v>
      </c>
      <c r="I14" s="4">
        <f ca="1">VLOOKUP($H14,OFFSET(floors!$A$1,0,0,COUNTA(floors!$A:$A),MATCH(I$1,floors!$1:$1,0)-MATCH($H$1,floors!$1:$1,0)+1),MATCH(I$1,floors!$1:$1,0)-MATCH($H$1,floors!$1:$1,0)+1,FALSE)</f>
        <v>45</v>
      </c>
      <c r="J14" s="4">
        <f ca="1">VLOOKUP($H14,OFFSET(floors!$A$1,0,0,COUNTA(floors!$A:$A),MATCH(J$1,floors!$1:$1,0)-MATCH($H$1,floors!$1:$1,0)+1),MATCH(J$1,floors!$1:$1,0)-MATCH($H$1,floors!$1:$1,0)+1,FALSE)</f>
        <v>45</v>
      </c>
      <c r="K14" s="38" t="s">
        <v>53</v>
      </c>
      <c r="L14" s="20">
        <v>333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炎のメタルチック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Material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4</v>
      </c>
      <c r="S14" s="25">
        <v>1</v>
      </c>
      <c r="T14" s="25">
        <v>1.2</v>
      </c>
      <c r="U14" s="5">
        <v>-1000</v>
      </c>
      <c r="V14" s="4" t="str">
        <f ca="1">VLOOKUP($W14,OFFSET([5]enemy_skill_sets!$B$1,0,0,COUNTA([5]enemy_skill_sets!$B:$B),MATCH(M$1,[5]enemy_skill_sets!$1:$1,0)-MATCH($W$1,[5]enemy_skill_sets!$1:$1,0)+2),MATCH(M$1,[5]enemy_skill_sets!$1:$1,0)-MATCH($W$1,[5]enemy_skill_sets!$1:$1,0)+2,FALSE)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4" s="4">
        <f ca="1">VLOOKUP($L14,OFFSET([3]enemies!$A$1,0,0,COUNTA([3]enemies!$A:$A),MATCH(W$1,[3]enemies!$1:$1,0)-MATCH($L$1,[3]enemies!$1:$1,0)+1),MATCH(W$1,[3]enemies!$1:$1,0)-MATCH($L$1,[3]enemies!$1:$1,0)+1,FALSE)</f>
        <v>0</v>
      </c>
      <c r="X14" s="6">
        <v>0</v>
      </c>
      <c r="Y14" s="6">
        <v>100</v>
      </c>
      <c r="Z14" s="6">
        <v>1</v>
      </c>
      <c r="AA14" s="17">
        <v>2</v>
      </c>
      <c r="AB14" s="24">
        <f t="shared" ref="AB14:AB21" si="8">L14</f>
        <v>333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4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4" s="7">
        <v>1</v>
      </c>
      <c r="AG14" s="24">
        <f t="shared" ref="AG14:AG21" ca="1" si="9">AD14</f>
        <v>4</v>
      </c>
      <c r="AH14" s="8">
        <v>15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69">
        <v>1</v>
      </c>
    </row>
    <row r="15" spans="1:40" ht="21" customHeight="1">
      <c r="A15" s="16" t="str">
        <f t="shared" si="5"/>
        <v>12004_1-2/337&lt;lv4&gt;s2</v>
      </c>
      <c r="B15" s="22">
        <v>12004</v>
      </c>
      <c r="C15" s="21">
        <v>1</v>
      </c>
      <c r="D15" s="2" t="str">
        <f t="shared" si="6"/>
        <v>12004_1</v>
      </c>
      <c r="E15" s="4" t="str">
        <f ca="1">VLOOKUP($B15,OFFSET([2]quests!$A$1,0,0,COUNTA([2]quests!$A:$A),MATCH(E$1,[2]quests!$1:$1,0)-MATCH($B$1,[2]quests!$1:$1,0)+1),MATCH(E$1,[2]quests!$1:$1,0)-MATCH($B$1,[2]quests!$1:$1,0)+1,FALSE)</f>
        <v>メタルフロッグをもとめて</v>
      </c>
      <c r="F15" s="4" t="str">
        <f ca="1">VLOOKUP($D15,OFFSET([2]stages!$A$1,0,0,COUNTA([2]stages!$A:$A),MATCH(F$1,[2]stages!$2:$2,0)-MATCH($D$1,[2]stages!$2:$2,0)+1),MATCH(F$1,[2]stages!$2:$2,0)-MATCH($D$1,[2]stages!$2:$2,0)+1,FALSE)</f>
        <v>【上級】メタルフロッグをもとめて</v>
      </c>
      <c r="G15" s="100">
        <v>2</v>
      </c>
      <c r="H15" s="15" t="str">
        <f t="shared" si="7"/>
        <v>12004_1-2</v>
      </c>
      <c r="I15" s="4">
        <f ca="1">VLOOKUP($H15,OFFSET(floors!$A$1,0,0,COUNTA(floors!$A:$A),MATCH(I$1,floors!$1:$1,0)-MATCH($H$1,floors!$1:$1,0)+1),MATCH(I$1,floors!$1:$1,0)-MATCH($H$1,floors!$1:$1,0)+1,FALSE)</f>
        <v>45</v>
      </c>
      <c r="J15" s="4">
        <f ca="1">VLOOKUP($H15,OFFSET(floors!$A$1,0,0,COUNTA(floors!$A:$A),MATCH(J$1,floors!$1:$1,0)-MATCH($H$1,floors!$1:$1,0)+1),MATCH(J$1,floors!$1:$1,0)-MATCH($H$1,floors!$1:$1,0)+1,FALSE)</f>
        <v>45</v>
      </c>
      <c r="K15" s="38" t="s">
        <v>53</v>
      </c>
      <c r="L15" s="20">
        <v>337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森のメタルチック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Material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17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4</v>
      </c>
      <c r="S15" s="25">
        <v>1</v>
      </c>
      <c r="T15" s="25">
        <v>1.2</v>
      </c>
      <c r="U15" s="5">
        <v>-1000</v>
      </c>
      <c r="V15" s="4" t="str">
        <f ca="1">VLOOKUP($W15,OFFSET([5]enemy_skill_sets!$B$1,0,0,COUNTA([5]enemy_skill_sets!$B:$B),MATCH(M$1,[5]enemy_skill_sets!$1:$1,0)-MATCH($W$1,[5]enemy_skill_sets!$1:$1,0)+2),MATCH(M$1,[5]enemy_skill_sets!$1:$1,0)-MATCH($W$1,[5]enemy_skill_sets!$1:$1,0)+2,FALSE)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5" s="4">
        <f ca="1">VLOOKUP($L15,OFFSET([3]enemies!$A$1,0,0,COUNTA([3]enemies!$A:$A),MATCH(W$1,[3]enemies!$1:$1,0)-MATCH($L$1,[3]enemies!$1:$1,0)+1),MATCH(W$1,[3]enemies!$1:$1,0)-MATCH($L$1,[3]enemies!$1:$1,0)+1,FALSE)</f>
        <v>0</v>
      </c>
      <c r="X15" s="6">
        <v>0</v>
      </c>
      <c r="Y15" s="6">
        <v>100</v>
      </c>
      <c r="Z15" s="6">
        <v>1</v>
      </c>
      <c r="AA15" s="17">
        <v>2</v>
      </c>
      <c r="AB15" s="24">
        <f t="shared" si="8"/>
        <v>337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4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5" s="7">
        <v>1</v>
      </c>
      <c r="AG15" s="24">
        <f t="shared" ca="1" si="9"/>
        <v>4</v>
      </c>
      <c r="AH15" s="8">
        <v>15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9">
        <v>1</v>
      </c>
    </row>
    <row r="16" spans="1:40" ht="21" customHeight="1">
      <c r="A16" s="16" t="str">
        <f t="shared" si="5"/>
        <v>12004_1-2/341&lt;lv4&gt;s2</v>
      </c>
      <c r="B16" s="22">
        <v>12004</v>
      </c>
      <c r="C16" s="21">
        <v>1</v>
      </c>
      <c r="D16" s="2" t="str">
        <f t="shared" si="6"/>
        <v>12004_1</v>
      </c>
      <c r="E16" s="4" t="str">
        <f ca="1">VLOOKUP($B16,OFFSET([2]quests!$A$1,0,0,COUNTA([2]quests!$A:$A),MATCH(E$1,[2]quests!$1:$1,0)-MATCH($B$1,[2]quests!$1:$1,0)+1),MATCH(E$1,[2]quests!$1:$1,0)-MATCH($B$1,[2]quests!$1:$1,0)+1,FALSE)</f>
        <v>メタルフロッグをもとめて</v>
      </c>
      <c r="F16" s="4" t="str">
        <f ca="1">VLOOKUP($D16,OFFSET([2]stages!$A$1,0,0,COUNTA([2]stages!$A:$A),MATCH(F$1,[2]stages!$2:$2,0)-MATCH($D$1,[2]stages!$2:$2,0)+1),MATCH(F$1,[2]stages!$2:$2,0)-MATCH($D$1,[2]stages!$2:$2,0)+1,FALSE)</f>
        <v>【上級】メタルフロッグをもとめて</v>
      </c>
      <c r="G16" s="100">
        <v>2</v>
      </c>
      <c r="H16" s="15" t="str">
        <f t="shared" si="7"/>
        <v>12004_1-2</v>
      </c>
      <c r="I16" s="4">
        <f ca="1">VLOOKUP($H16,OFFSET(floors!$A$1,0,0,COUNTA(floors!$A:$A),MATCH(I$1,floors!$1:$1,0)-MATCH($H$1,floors!$1:$1,0)+1),MATCH(I$1,floors!$1:$1,0)-MATCH($H$1,floors!$1:$1,0)+1,FALSE)</f>
        <v>45</v>
      </c>
      <c r="J16" s="4">
        <f ca="1">VLOOKUP($H16,OFFSET(floors!$A$1,0,0,COUNTA(floors!$A:$A),MATCH(J$1,floors!$1:$1,0)-MATCH($H$1,floors!$1:$1,0)+1),MATCH(J$1,floors!$1:$1,0)-MATCH($H$1,floors!$1:$1,0)+1,FALSE)</f>
        <v>45</v>
      </c>
      <c r="K16" s="38" t="s">
        <v>53</v>
      </c>
      <c r="L16" s="20">
        <v>341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水のメタルチック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Material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17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4</v>
      </c>
      <c r="S16" s="25">
        <v>1</v>
      </c>
      <c r="T16" s="25">
        <v>1.2</v>
      </c>
      <c r="U16" s="5">
        <v>-1000</v>
      </c>
      <c r="V16" s="4" t="str">
        <f ca="1">VLOOKUP($W16,OFFSET([5]enemy_skill_sets!$B$1,0,0,COUNTA([5]enemy_skill_sets!$B:$B),MATCH(M$1,[5]enemy_skill_sets!$1:$1,0)-MATCH($W$1,[5]enemy_skill_sets!$1:$1,0)+2),MATCH(M$1,[5]enemy_skill_sets!$1:$1,0)-MATCH($W$1,[5]enemy_skill_sets!$1:$1,0)+2,FALSE)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6" s="4">
        <f ca="1">VLOOKUP($L16,OFFSET([3]enemies!$A$1,0,0,COUNTA([3]enemies!$A:$A),MATCH(W$1,[3]enemies!$1:$1,0)-MATCH($L$1,[3]enemies!$1:$1,0)+1),MATCH(W$1,[3]enemies!$1:$1,0)-MATCH($L$1,[3]enemies!$1:$1,0)+1,FALSE)</f>
        <v>0</v>
      </c>
      <c r="X16" s="6">
        <v>0</v>
      </c>
      <c r="Y16" s="6">
        <v>100</v>
      </c>
      <c r="Z16" s="6">
        <v>1</v>
      </c>
      <c r="AA16" s="17">
        <v>2</v>
      </c>
      <c r="AB16" s="24">
        <f t="shared" si="8"/>
        <v>341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4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6" s="7">
        <v>1</v>
      </c>
      <c r="AG16" s="24">
        <f t="shared" ca="1" si="9"/>
        <v>4</v>
      </c>
      <c r="AH16" s="8">
        <v>15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9">
        <v>1</v>
      </c>
    </row>
    <row r="17" spans="1:40" ht="21" customHeight="1">
      <c r="A17" s="16" t="str">
        <f t="shared" si="5"/>
        <v>12004_1-2/345&lt;lv4&gt;s2</v>
      </c>
      <c r="B17" s="22">
        <v>12004</v>
      </c>
      <c r="C17" s="21">
        <v>1</v>
      </c>
      <c r="D17" s="2" t="str">
        <f t="shared" si="6"/>
        <v>12004_1</v>
      </c>
      <c r="E17" s="4" t="str">
        <f ca="1">VLOOKUP($B17,OFFSET([2]quests!$A$1,0,0,COUNTA([2]quests!$A:$A),MATCH(E$1,[2]quests!$1:$1,0)-MATCH($B$1,[2]quests!$1:$1,0)+1),MATCH(E$1,[2]quests!$1:$1,0)-MATCH($B$1,[2]quests!$1:$1,0)+1,FALSE)</f>
        <v>メタルフロッグをもとめて</v>
      </c>
      <c r="F17" s="4" t="str">
        <f ca="1">VLOOKUP($D17,OFFSET([2]stages!$A$1,0,0,COUNTA([2]stages!$A:$A),MATCH(F$1,[2]stages!$2:$2,0)-MATCH($D$1,[2]stages!$2:$2,0)+1),MATCH(F$1,[2]stages!$2:$2,0)-MATCH($D$1,[2]stages!$2:$2,0)+1,FALSE)</f>
        <v>【上級】メタルフロッグをもとめて</v>
      </c>
      <c r="G17" s="100">
        <v>2</v>
      </c>
      <c r="H17" s="15" t="str">
        <f t="shared" si="7"/>
        <v>12004_1-2</v>
      </c>
      <c r="I17" s="4">
        <f ca="1">VLOOKUP($H17,OFFSET(floors!$A$1,0,0,COUNTA(floors!$A:$A),MATCH(I$1,floors!$1:$1,0)-MATCH($H$1,floors!$1:$1,0)+1),MATCH(I$1,floors!$1:$1,0)-MATCH($H$1,floors!$1:$1,0)+1,FALSE)</f>
        <v>45</v>
      </c>
      <c r="J17" s="4">
        <f ca="1">VLOOKUP($H17,OFFSET(floors!$A$1,0,0,COUNTA(floors!$A:$A),MATCH(J$1,floors!$1:$1,0)-MATCH($H$1,floors!$1:$1,0)+1),MATCH(J$1,floors!$1:$1,0)-MATCH($H$1,floors!$1:$1,0)+1,FALSE)</f>
        <v>45</v>
      </c>
      <c r="K17" s="38" t="s">
        <v>53</v>
      </c>
      <c r="L17" s="20">
        <v>345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雷のメタルチック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yellow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Material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unknown</v>
      </c>
      <c r="Q17" s="17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4</v>
      </c>
      <c r="S17" s="25">
        <v>1</v>
      </c>
      <c r="T17" s="25">
        <v>1.2</v>
      </c>
      <c r="U17" s="5">
        <v>-1000</v>
      </c>
      <c r="V17" s="4" t="str">
        <f ca="1">VLOOKUP($W17,OFFSET([5]enemy_skill_sets!$B$1,0,0,COUNTA([5]enemy_skill_sets!$B:$B),MATCH(M$1,[5]enemy_skill_sets!$1:$1,0)-MATCH($W$1,[5]enemy_skill_sets!$1:$1,0)+2),MATCH(M$1,[5]enemy_skill_sets!$1:$1,0)-MATCH($W$1,[5]enemy_skill_sets!$1:$1,0)+2,FALSE)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7" s="4">
        <f ca="1">VLOOKUP($L17,OFFSET([3]enemies!$A$1,0,0,COUNTA([3]enemies!$A:$A),MATCH(W$1,[3]enemies!$1:$1,0)-MATCH($L$1,[3]enemies!$1:$1,0)+1),MATCH(W$1,[3]enemies!$1:$1,0)-MATCH($L$1,[3]enemies!$1:$1,0)+1,FALSE)</f>
        <v>0</v>
      </c>
      <c r="X17" s="6">
        <v>0</v>
      </c>
      <c r="Y17" s="6">
        <v>100</v>
      </c>
      <c r="Z17" s="6">
        <v>1</v>
      </c>
      <c r="AA17" s="17">
        <v>2</v>
      </c>
      <c r="AB17" s="24">
        <f t="shared" si="8"/>
        <v>345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4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7" s="7">
        <v>1</v>
      </c>
      <c r="AG17" s="24">
        <f t="shared" ca="1" si="9"/>
        <v>4</v>
      </c>
      <c r="AH17" s="8">
        <v>15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9">
        <v>1</v>
      </c>
    </row>
    <row r="18" spans="1:40" ht="21" customHeight="1">
      <c r="A18" s="16" t="str">
        <f t="shared" si="5"/>
        <v>12004_1-2/348&lt;lv20&gt;s2</v>
      </c>
      <c r="B18" s="22">
        <v>12004</v>
      </c>
      <c r="C18" s="21">
        <v>1</v>
      </c>
      <c r="D18" s="2" t="str">
        <f t="shared" si="6"/>
        <v>12004_1</v>
      </c>
      <c r="E18" s="4" t="str">
        <f ca="1">VLOOKUP($B18,OFFSET([2]quests!$A$1,0,0,COUNTA([2]quests!$A:$A),MATCH(E$1,[2]quests!$1:$1,0)-MATCH($B$1,[2]quests!$1:$1,0)+1),MATCH(E$1,[2]quests!$1:$1,0)-MATCH($B$1,[2]quests!$1:$1,0)+1,FALSE)</f>
        <v>メタルフロッグをもとめて</v>
      </c>
      <c r="F18" s="4" t="str">
        <f ca="1">VLOOKUP($D18,OFFSET([2]stages!$A$1,0,0,COUNTA([2]stages!$A:$A),MATCH(F$1,[2]stages!$2:$2,0)-MATCH($D$1,[2]stages!$2:$2,0)+1),MATCH(F$1,[2]stages!$2:$2,0)-MATCH($D$1,[2]stages!$2:$2,0)+1,FALSE)</f>
        <v>【上級】メタルフロッグをもとめて</v>
      </c>
      <c r="G18" s="100">
        <v>2</v>
      </c>
      <c r="H18" s="15" t="str">
        <f t="shared" si="7"/>
        <v>12004_1-2</v>
      </c>
      <c r="I18" s="4">
        <f ca="1">VLOOKUP($H18,OFFSET(floors!$A$1,0,0,COUNTA(floors!$A:$A),MATCH(I$1,floors!$1:$1,0)-MATCH($H$1,floors!$1:$1,0)+1),MATCH(I$1,floors!$1:$1,0)-MATCH($H$1,floors!$1:$1,0)+1,FALSE)</f>
        <v>45</v>
      </c>
      <c r="J18" s="4">
        <f ca="1">VLOOKUP($H18,OFFSET(floors!$A$1,0,0,COUNTA(floors!$A:$A),MATCH(J$1,floors!$1:$1,0)-MATCH($H$1,floors!$1:$1,0)+1),MATCH(J$1,floors!$1:$1,0)-MATCH($H$1,floors!$1:$1,0)+1,FALSE)</f>
        <v>45</v>
      </c>
      <c r="K18" s="38" t="s">
        <v>53</v>
      </c>
      <c r="L18" s="20">
        <v>348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炎のケロケロ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red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Material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unknown</v>
      </c>
      <c r="Q18" s="17">
        <f ca="1">VLOOKUP($L18,OFFSET([3]enemies!$A$1,0,0,COUNTA([3]enemies!$A:$A),MATCH(Q$1,[3]enemies!$1:$1,0)-MATCH($L$1,[3]enemies!$1:$1,0)+1),MATCH(Q$1,[3]enemies!$1:$1,0)-MATCH($L$1,[3]enemies!$1:$1,0)+1,FALSE)</f>
        <v>15</v>
      </c>
      <c r="R18" s="5">
        <v>20</v>
      </c>
      <c r="S18" s="25">
        <v>1</v>
      </c>
      <c r="T18" s="25">
        <v>1.2</v>
      </c>
      <c r="U18" s="5">
        <v>0</v>
      </c>
      <c r="V18" s="4" t="e">
        <f ca="1">VLOOKUP($W18,OFFSET([5]enemy_skill_sets!$B$1,0,0,COUNTA([5]enemy_skill_sets!$B:$B),MATCH(M$1,[5]enemy_skill_sets!$1:$1,0)-MATCH($W$1,[5]enemy_skill_sets!$1:$1,0)+2),MATCH(M$1,[5]enemy_skill_sets!$1:$1,0)-MATCH($W$1,[5]enemy_skill_sets!$1:$1,0)+2,FALSE)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8" s="103">
        <v>12004001</v>
      </c>
      <c r="X18" s="6">
        <v>0</v>
      </c>
      <c r="Y18" s="6">
        <v>100</v>
      </c>
      <c r="Z18" s="6">
        <v>1</v>
      </c>
      <c r="AA18" s="17">
        <v>2</v>
      </c>
      <c r="AB18" s="24">
        <f t="shared" si="8"/>
        <v>348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2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8" s="7">
        <v>1</v>
      </c>
      <c r="AG18" s="24">
        <f t="shared" ca="1" si="9"/>
        <v>2</v>
      </c>
      <c r="AH18" s="8">
        <v>70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69">
        <v>1</v>
      </c>
    </row>
    <row r="19" spans="1:40" ht="21" customHeight="1">
      <c r="A19" s="16" t="str">
        <f t="shared" si="5"/>
        <v>12004_1-2/350&lt;lv20&gt;s2</v>
      </c>
      <c r="B19" s="22">
        <v>12004</v>
      </c>
      <c r="C19" s="21">
        <v>1</v>
      </c>
      <c r="D19" s="2" t="str">
        <f t="shared" si="6"/>
        <v>12004_1</v>
      </c>
      <c r="E19" s="4" t="str">
        <f ca="1">VLOOKUP($B19,OFFSET([2]quests!$A$1,0,0,COUNTA([2]quests!$A:$A),MATCH(E$1,[2]quests!$1:$1,0)-MATCH($B$1,[2]quests!$1:$1,0)+1),MATCH(E$1,[2]quests!$1:$1,0)-MATCH($B$1,[2]quests!$1:$1,0)+1,FALSE)</f>
        <v>メタルフロッグをもとめて</v>
      </c>
      <c r="F19" s="4" t="str">
        <f ca="1">VLOOKUP($D19,OFFSET([2]stages!$A$1,0,0,COUNTA([2]stages!$A:$A),MATCH(F$1,[2]stages!$2:$2,0)-MATCH($D$1,[2]stages!$2:$2,0)+1),MATCH(F$1,[2]stages!$2:$2,0)-MATCH($D$1,[2]stages!$2:$2,0)+1,FALSE)</f>
        <v>【上級】メタルフロッグをもとめて</v>
      </c>
      <c r="G19" s="100">
        <v>2</v>
      </c>
      <c r="H19" s="15" t="str">
        <f t="shared" si="7"/>
        <v>12004_1-2</v>
      </c>
      <c r="I19" s="4">
        <f ca="1">VLOOKUP($H19,OFFSET(floors!$A$1,0,0,COUNTA(floors!$A:$A),MATCH(I$1,floors!$1:$1,0)-MATCH($H$1,floors!$1:$1,0)+1),MATCH(I$1,floors!$1:$1,0)-MATCH($H$1,floors!$1:$1,0)+1,FALSE)</f>
        <v>45</v>
      </c>
      <c r="J19" s="4">
        <f ca="1">VLOOKUP($H19,OFFSET(floors!$A$1,0,0,COUNTA(floors!$A:$A),MATCH(J$1,floors!$1:$1,0)-MATCH($H$1,floors!$1:$1,0)+1),MATCH(J$1,floors!$1:$1,0)-MATCH($H$1,floors!$1:$1,0)+1,FALSE)</f>
        <v>45</v>
      </c>
      <c r="K19" s="38" t="s">
        <v>53</v>
      </c>
      <c r="L19" s="20">
        <v>350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森のケロケロ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Material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17">
        <f ca="1">VLOOKUP($L19,OFFSET([3]enemies!$A$1,0,0,COUNTA([3]enemies!$A:$A),MATCH(Q$1,[3]enemies!$1:$1,0)-MATCH($L$1,[3]enemies!$1:$1,0)+1),MATCH(Q$1,[3]enemies!$1:$1,0)-MATCH($L$1,[3]enemies!$1:$1,0)+1,FALSE)</f>
        <v>15</v>
      </c>
      <c r="R19" s="5">
        <v>20</v>
      </c>
      <c r="S19" s="25">
        <v>1</v>
      </c>
      <c r="T19" s="25">
        <v>1.2</v>
      </c>
      <c r="U19" s="5">
        <v>0</v>
      </c>
      <c r="V19" s="4" t="e">
        <f ca="1">VLOOKUP($W19,OFFSET([5]enemy_skill_sets!$B$1,0,0,COUNTA([5]enemy_skill_sets!$B:$B),MATCH(M$1,[5]enemy_skill_sets!$1:$1,0)-MATCH($W$1,[5]enemy_skill_sets!$1:$1,0)+2),MATCH(M$1,[5]enemy_skill_sets!$1:$1,0)-MATCH($W$1,[5]enemy_skill_sets!$1:$1,0)+2,FALSE)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19" s="103">
        <v>12004002</v>
      </c>
      <c r="X19" s="6">
        <v>0</v>
      </c>
      <c r="Y19" s="6">
        <v>100</v>
      </c>
      <c r="Z19" s="6">
        <v>1</v>
      </c>
      <c r="AA19" s="17">
        <v>2</v>
      </c>
      <c r="AB19" s="24">
        <f t="shared" si="8"/>
        <v>350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2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9" s="7">
        <v>1</v>
      </c>
      <c r="AG19" s="24">
        <f t="shared" ca="1" si="9"/>
        <v>2</v>
      </c>
      <c r="AH19" s="8">
        <v>70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69">
        <v>1</v>
      </c>
    </row>
    <row r="20" spans="1:40" ht="21" customHeight="1">
      <c r="A20" s="16" t="str">
        <f t="shared" si="5"/>
        <v>12004_1-2/352&lt;lv20&gt;s2</v>
      </c>
      <c r="B20" s="22">
        <v>12004</v>
      </c>
      <c r="C20" s="21">
        <v>1</v>
      </c>
      <c r="D20" s="2" t="str">
        <f t="shared" si="6"/>
        <v>12004_1</v>
      </c>
      <c r="E20" s="4" t="str">
        <f ca="1">VLOOKUP($B20,OFFSET([2]quests!$A$1,0,0,COUNTA([2]quests!$A:$A),MATCH(E$1,[2]quests!$1:$1,0)-MATCH($B$1,[2]quests!$1:$1,0)+1),MATCH(E$1,[2]quests!$1:$1,0)-MATCH($B$1,[2]quests!$1:$1,0)+1,FALSE)</f>
        <v>メタルフロッグをもとめて</v>
      </c>
      <c r="F20" s="4" t="str">
        <f ca="1">VLOOKUP($D20,OFFSET([2]stages!$A$1,0,0,COUNTA([2]stages!$A:$A),MATCH(F$1,[2]stages!$2:$2,0)-MATCH($D$1,[2]stages!$2:$2,0)+1),MATCH(F$1,[2]stages!$2:$2,0)-MATCH($D$1,[2]stages!$2:$2,0)+1,FALSE)</f>
        <v>【上級】メタルフロッグをもとめて</v>
      </c>
      <c r="G20" s="100">
        <v>2</v>
      </c>
      <c r="H20" s="15" t="str">
        <f t="shared" si="7"/>
        <v>12004_1-2</v>
      </c>
      <c r="I20" s="4">
        <f ca="1">VLOOKUP($H20,OFFSET(floors!$A$1,0,0,COUNTA(floors!$A:$A),MATCH(I$1,floors!$1:$1,0)-MATCH($H$1,floors!$1:$1,0)+1),MATCH(I$1,floors!$1:$1,0)-MATCH($H$1,floors!$1:$1,0)+1,FALSE)</f>
        <v>45</v>
      </c>
      <c r="J20" s="4">
        <f ca="1">VLOOKUP($H20,OFFSET(floors!$A$1,0,0,COUNTA(floors!$A:$A),MATCH(J$1,floors!$1:$1,0)-MATCH($H$1,floors!$1:$1,0)+1),MATCH(J$1,floors!$1:$1,0)-MATCH($H$1,floors!$1:$1,0)+1,FALSE)</f>
        <v>45</v>
      </c>
      <c r="K20" s="38" t="s">
        <v>53</v>
      </c>
      <c r="L20" s="20">
        <v>352</v>
      </c>
      <c r="M20" s="17" t="str">
        <f ca="1">VLOOKUP($L20,OFFSET([3]enemies!$A$1,0,0,COUNTA([3]enemies!$A:$A),MATCH(M$1,[3]enemies!$1:$1,0)-MATCH($L$1,[3]enemies!$1:$1,0)+1),MATCH(M$1,[3]enemies!$1:$1,0)-MATCH($L$1,[3]enemies!$1:$1,0)+1,FALSE)</f>
        <v>水のケロケロ</v>
      </c>
      <c r="N20" s="17" t="str">
        <f ca="1">VLOOKUP($L20,OFFSET([3]enemies!$A$1,0,0,COUNTA([3]enemies!$A:$A),MATCH(N$1,[3]enemies!$1:$1,0)-MATCH($L$1,[3]enemies!$1:$1,0)+1),MATCH(N$1,[3]enemies!$1:$1,0)-MATCH($L$1,[3]enemies!$1:$1,0)+1,FALSE)</f>
        <v>blue</v>
      </c>
      <c r="O20" s="17" t="str">
        <f ca="1">VLOOKUP($L20,OFFSET([4]characters!$A$1,0,0,COUNTA([4]characters!$A:$A),MATCH(O$1,[4]characters!$1:$1,0)-MATCH($L$1,[4]characters!$1:$1,0)+1),MATCH(O$1,[4]characters!$1:$1,0)-MATCH($L$1,[4]characters!$1:$1,0)+1,FALSE)</f>
        <v>Material</v>
      </c>
      <c r="P20" s="17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17">
        <f ca="1">VLOOKUP($L20,OFFSET([3]enemies!$A$1,0,0,COUNTA([3]enemies!$A:$A),MATCH(Q$1,[3]enemies!$1:$1,0)-MATCH($L$1,[3]enemies!$1:$1,0)+1),MATCH(Q$1,[3]enemies!$1:$1,0)-MATCH($L$1,[3]enemies!$1:$1,0)+1,FALSE)</f>
        <v>15</v>
      </c>
      <c r="R20" s="5">
        <v>20</v>
      </c>
      <c r="S20" s="25">
        <v>1</v>
      </c>
      <c r="T20" s="25">
        <v>1.2</v>
      </c>
      <c r="U20" s="5">
        <v>0</v>
      </c>
      <c r="V20" s="4" t="e">
        <f ca="1">VLOOKUP($W20,OFFSET([5]enemy_skill_sets!$B$1,0,0,COUNTA([5]enemy_skill_sets!$B:$B),MATCH(M$1,[5]enemy_skill_sets!$1:$1,0)-MATCH($W$1,[5]enemy_skill_sets!$1:$1,0)+2),MATCH(M$1,[5]enemy_skill_sets!$1:$1,0)-MATCH($W$1,[5]enemy_skill_sets!$1:$1,0)+2,FALSE)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0" s="103">
        <v>12004003</v>
      </c>
      <c r="X20" s="6">
        <v>0</v>
      </c>
      <c r="Y20" s="6">
        <v>100</v>
      </c>
      <c r="Z20" s="6">
        <v>1</v>
      </c>
      <c r="AA20" s="17">
        <v>2</v>
      </c>
      <c r="AB20" s="24">
        <f t="shared" si="8"/>
        <v>352</v>
      </c>
      <c r="AC20" s="4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水のケロケロ</v>
      </c>
      <c r="AD20" s="4">
        <f ca="1">VLOOKUP($AB20,OFFSET([4]characters!$A$1,0,0,COUNTA([4]characters!$A:$A),MATCH(AD$1,[4]characters!$1:$1,0)-MATCH("character_id",[4]characters!$1:$1,0)+1),MATCH(AD$1,[4]characters!$1:$1,0)-MATCH("character_id",[4]characters!$1:$1,0)+1,FALSE)</f>
        <v>2</v>
      </c>
      <c r="AE20" s="4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0" s="7">
        <v>1</v>
      </c>
      <c r="AG20" s="24">
        <f t="shared" ca="1" si="9"/>
        <v>2</v>
      </c>
      <c r="AH20" s="8">
        <v>70</v>
      </c>
      <c r="AI20" s="7">
        <v>0</v>
      </c>
      <c r="AJ20" s="7">
        <v>0</v>
      </c>
      <c r="AK20" s="7">
        <v>0</v>
      </c>
      <c r="AL20" s="7">
        <v>0</v>
      </c>
      <c r="AM20" s="7">
        <v>1</v>
      </c>
      <c r="AN20" s="69">
        <v>1</v>
      </c>
    </row>
    <row r="21" spans="1:40" ht="21" customHeight="1">
      <c r="A21" s="16" t="str">
        <f t="shared" si="5"/>
        <v>12004_1-2/354&lt;lv20&gt;s2</v>
      </c>
      <c r="B21" s="22">
        <v>12004</v>
      </c>
      <c r="C21" s="21">
        <v>1</v>
      </c>
      <c r="D21" s="2" t="str">
        <f t="shared" si="6"/>
        <v>12004_1</v>
      </c>
      <c r="E21" s="4" t="str">
        <f ca="1">VLOOKUP($B21,OFFSET([2]quests!$A$1,0,0,COUNTA([2]quests!$A:$A),MATCH(E$1,[2]quests!$1:$1,0)-MATCH($B$1,[2]quests!$1:$1,0)+1),MATCH(E$1,[2]quests!$1:$1,0)-MATCH($B$1,[2]quests!$1:$1,0)+1,FALSE)</f>
        <v>メタルフロッグをもとめて</v>
      </c>
      <c r="F21" s="4" t="str">
        <f ca="1">VLOOKUP($D21,OFFSET([2]stages!$A$1,0,0,COUNTA([2]stages!$A:$A),MATCH(F$1,[2]stages!$2:$2,0)-MATCH($D$1,[2]stages!$2:$2,0)+1),MATCH(F$1,[2]stages!$2:$2,0)-MATCH($D$1,[2]stages!$2:$2,0)+1,FALSE)</f>
        <v>【上級】メタルフロッグをもとめて</v>
      </c>
      <c r="G21" s="100">
        <v>2</v>
      </c>
      <c r="H21" s="15" t="str">
        <f t="shared" si="7"/>
        <v>12004_1-2</v>
      </c>
      <c r="I21" s="4">
        <f ca="1">VLOOKUP($H21,OFFSET(floors!$A$1,0,0,COUNTA(floors!$A:$A),MATCH(I$1,floors!$1:$1,0)-MATCH($H$1,floors!$1:$1,0)+1),MATCH(I$1,floors!$1:$1,0)-MATCH($H$1,floors!$1:$1,0)+1,FALSE)</f>
        <v>45</v>
      </c>
      <c r="J21" s="4">
        <f ca="1">VLOOKUP($H21,OFFSET(floors!$A$1,0,0,COUNTA(floors!$A:$A),MATCH(J$1,floors!$1:$1,0)-MATCH($H$1,floors!$1:$1,0)+1),MATCH(J$1,floors!$1:$1,0)-MATCH($H$1,floors!$1:$1,0)+1,FALSE)</f>
        <v>45</v>
      </c>
      <c r="K21" s="38" t="s">
        <v>53</v>
      </c>
      <c r="L21" s="20">
        <v>354</v>
      </c>
      <c r="M21" s="17" t="str">
        <f ca="1">VLOOKUP($L21,OFFSET([3]enemies!$A$1,0,0,COUNTA([3]enemies!$A:$A),MATCH(M$1,[3]enemies!$1:$1,0)-MATCH($L$1,[3]enemies!$1:$1,0)+1),MATCH(M$1,[3]enemies!$1:$1,0)-MATCH($L$1,[3]enemies!$1:$1,0)+1,FALSE)</f>
        <v>雷のケロケロ</v>
      </c>
      <c r="N21" s="17" t="str">
        <f ca="1">VLOOKUP($L21,OFFSET([3]enemies!$A$1,0,0,COUNTA([3]enemies!$A:$A),MATCH(N$1,[3]enemies!$1:$1,0)-MATCH($L$1,[3]enemies!$1:$1,0)+1),MATCH(N$1,[3]enemies!$1:$1,0)-MATCH($L$1,[3]enemies!$1:$1,0)+1,FALSE)</f>
        <v>yellow</v>
      </c>
      <c r="O21" s="17" t="str">
        <f ca="1">VLOOKUP($L21,OFFSET([4]characters!$A$1,0,0,COUNTA([4]characters!$A:$A),MATCH(O$1,[4]characters!$1:$1,0)-MATCH($L$1,[4]characters!$1:$1,0)+1),MATCH(O$1,[4]characters!$1:$1,0)-MATCH($L$1,[4]characters!$1:$1,0)+1,FALSE)</f>
        <v>Material</v>
      </c>
      <c r="P21" s="17" t="str">
        <f ca="1">VLOOKUP($L21,OFFSET([3]enemies!$A$1,0,0,COUNTA([3]enemies!$A:$A),MATCH(P$1,[3]enemies!$1:$1,0)-MATCH($L$1,[3]enemies!$1:$1,0)+1),MATCH(P$1,[3]enemies!$1:$1,0)-MATCH($L$1,[3]enemies!$1:$1,0)+1,FALSE)</f>
        <v>unknown</v>
      </c>
      <c r="Q21" s="17">
        <f ca="1">VLOOKUP($L21,OFFSET([3]enemies!$A$1,0,0,COUNTA([3]enemies!$A:$A),MATCH(Q$1,[3]enemies!$1:$1,0)-MATCH($L$1,[3]enemies!$1:$1,0)+1),MATCH(Q$1,[3]enemies!$1:$1,0)-MATCH($L$1,[3]enemies!$1:$1,0)+1,FALSE)</f>
        <v>15</v>
      </c>
      <c r="R21" s="5">
        <v>20</v>
      </c>
      <c r="S21" s="25">
        <v>1</v>
      </c>
      <c r="T21" s="25">
        <v>1.2</v>
      </c>
      <c r="U21" s="5">
        <v>0</v>
      </c>
      <c r="V21" s="4" t="e">
        <f ca="1">VLOOKUP($W21,OFFSET([5]enemy_skill_sets!$B$1,0,0,COUNTA([5]enemy_skill_sets!$B:$B),MATCH(M$1,[5]enemy_skill_sets!$1:$1,0)-MATCH($W$1,[5]enemy_skill_sets!$1:$1,0)+2),MATCH(M$1,[5]enemy_skill_sets!$1:$1,0)-MATCH($W$1,[5]enemy_skill_sets!$1:$1,0)+2,FALSE)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1" s="103">
        <v>12004004</v>
      </c>
      <c r="X21" s="6">
        <v>0</v>
      </c>
      <c r="Y21" s="6">
        <v>100</v>
      </c>
      <c r="Z21" s="6">
        <v>1</v>
      </c>
      <c r="AA21" s="17">
        <v>2</v>
      </c>
      <c r="AB21" s="24">
        <f t="shared" si="8"/>
        <v>354</v>
      </c>
      <c r="AC21" s="4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雷のケロケロ</v>
      </c>
      <c r="AD21" s="4">
        <f ca="1">VLOOKUP($AB21,OFFSET([4]characters!$A$1,0,0,COUNTA([4]characters!$A:$A),MATCH(AD$1,[4]characters!$1:$1,0)-MATCH("character_id",[4]characters!$1:$1,0)+1),MATCH(AD$1,[4]characters!$1:$1,0)-MATCH("character_id",[4]characters!$1:$1,0)+1,FALSE)</f>
        <v>2</v>
      </c>
      <c r="AE21" s="4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1" s="7">
        <v>1</v>
      </c>
      <c r="AG21" s="24">
        <f t="shared" ca="1" si="9"/>
        <v>2</v>
      </c>
      <c r="AH21" s="8">
        <v>70</v>
      </c>
      <c r="AI21" s="7">
        <v>0</v>
      </c>
      <c r="AJ21" s="7">
        <v>0</v>
      </c>
      <c r="AK21" s="7">
        <v>0</v>
      </c>
      <c r="AL21" s="7">
        <v>0</v>
      </c>
      <c r="AM21" s="7">
        <v>1</v>
      </c>
      <c r="AN21" s="69">
        <v>1</v>
      </c>
    </row>
    <row r="22" spans="1:40" ht="21" customHeight="1">
      <c r="A22" s="16" t="str">
        <f t="shared" ref="A22:A24" si="10">B22&amp;"_"&amp;C22&amp;"-"&amp;G22&amp;"/"&amp;L22&amp;"&lt;lv"&amp;R22&amp;"&gt;s"&amp;AA22</f>
        <v>12004_1-2/349&lt;lv20&gt;s2</v>
      </c>
      <c r="B22" s="22">
        <v>12004</v>
      </c>
      <c r="C22" s="21">
        <v>1</v>
      </c>
      <c r="D22" s="2" t="str">
        <f t="shared" ref="D22:D24" si="11">B22&amp;"_"&amp;C22</f>
        <v>12004_1</v>
      </c>
      <c r="E22" s="4" t="str">
        <f ca="1">VLOOKUP($B22,OFFSET([2]quests!$A$1,0,0,COUNTA([2]quests!$A:$A),MATCH(E$1,[2]quests!$1:$1,0)-MATCH($B$1,[2]quests!$1:$1,0)+1),MATCH(E$1,[2]quests!$1:$1,0)-MATCH($B$1,[2]quests!$1:$1,0)+1,FALSE)</f>
        <v>メタルフロッグをもとめて</v>
      </c>
      <c r="F22" s="4" t="str">
        <f ca="1">VLOOKUP($D22,OFFSET([2]stages!$A$1,0,0,COUNTA([2]stages!$A:$A),MATCH(F$1,[2]stages!$2:$2,0)-MATCH($D$1,[2]stages!$2:$2,0)+1),MATCH(F$1,[2]stages!$2:$2,0)-MATCH($D$1,[2]stages!$2:$2,0)+1,FALSE)</f>
        <v>【上級】メタルフロッグをもとめて</v>
      </c>
      <c r="G22" s="100">
        <v>2</v>
      </c>
      <c r="H22" s="15" t="str">
        <f t="shared" ref="H22:H24" si="12">B22&amp;"_"&amp;C22&amp;"-"&amp;G22</f>
        <v>12004_1-2</v>
      </c>
      <c r="I22" s="4">
        <f ca="1">VLOOKUP($H22,OFFSET(floors!$A$1,0,0,COUNTA(floors!$A:$A),MATCH(I$1,floors!$1:$1,0)-MATCH($H$1,floors!$1:$1,0)+1),MATCH(I$1,floors!$1:$1,0)-MATCH($H$1,floors!$1:$1,0)+1,FALSE)</f>
        <v>45</v>
      </c>
      <c r="J22" s="4">
        <f ca="1">VLOOKUP($H22,OFFSET(floors!$A$1,0,0,COUNTA(floors!$A:$A),MATCH(J$1,floors!$1:$1,0)-MATCH($H$1,floors!$1:$1,0)+1),MATCH(J$1,floors!$1:$1,0)-MATCH($H$1,floors!$1:$1,0)+1,FALSE)</f>
        <v>45</v>
      </c>
      <c r="K22" s="38" t="s">
        <v>53</v>
      </c>
      <c r="L22" s="20">
        <v>349</v>
      </c>
      <c r="M22" s="17" t="str">
        <f ca="1">VLOOKUP($L22,OFFSET([3]enemies!$A$1,0,0,COUNTA([3]enemies!$A:$A),MATCH(M$1,[3]enemies!$1:$1,0)-MATCH($L$1,[3]enemies!$1:$1,0)+1),MATCH(M$1,[3]enemies!$1:$1,0)-MATCH($L$1,[3]enemies!$1:$1,0)+1,FALSE)</f>
        <v>炎のメタルフロッグ</v>
      </c>
      <c r="N22" s="17" t="str">
        <f ca="1">VLOOKUP($L22,OFFSET([3]enemies!$A$1,0,0,COUNTA([3]enemies!$A:$A),MATCH(N$1,[3]enemies!$1:$1,0)-MATCH($L$1,[3]enemies!$1:$1,0)+1),MATCH(N$1,[3]enemies!$1:$1,0)-MATCH($L$1,[3]enemies!$1:$1,0)+1,FALSE)</f>
        <v>red</v>
      </c>
      <c r="O22" s="17" t="str">
        <f ca="1">VLOOKUP($L22,OFFSET([4]characters!$A$1,0,0,COUNTA([4]characters!$A:$A),MATCH(O$1,[4]characters!$1:$1,0)-MATCH($L$1,[4]characters!$1:$1,0)+1),MATCH(O$1,[4]characters!$1:$1,0)-MATCH($L$1,[4]characters!$1:$1,0)+1,FALSE)</f>
        <v>Material</v>
      </c>
      <c r="P22" s="17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17">
        <f ca="1">VLOOKUP($L22,OFFSET([3]enemies!$A$1,0,0,COUNTA([3]enemies!$A:$A),MATCH(Q$1,[3]enemies!$1:$1,0)-MATCH($L$1,[3]enemies!$1:$1,0)+1),MATCH(Q$1,[3]enemies!$1:$1,0)-MATCH($L$1,[3]enemies!$1:$1,0)+1,FALSE)</f>
        <v>15</v>
      </c>
      <c r="R22" s="5">
        <v>20</v>
      </c>
      <c r="S22" s="25">
        <v>1</v>
      </c>
      <c r="T22" s="25">
        <v>1.2</v>
      </c>
      <c r="U22" s="5">
        <v>0</v>
      </c>
      <c r="V22" s="4" t="e">
        <f ca="1">VLOOKUP($W22,OFFSET([5]enemy_skill_sets!$B$1,0,0,COUNTA([5]enemy_skill_sets!$B:$B),MATCH(M$1,[5]enemy_skill_sets!$1:$1,0)-MATCH($W$1,[5]enemy_skill_sets!$1:$1,0)+2),MATCH(M$1,[5]enemy_skill_sets!$1:$1,0)-MATCH($W$1,[5]enemy_skill_sets!$1:$1,0)+2,FALSE)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2" s="103">
        <v>12004005</v>
      </c>
      <c r="X22" s="6">
        <v>0</v>
      </c>
      <c r="Y22" s="6">
        <v>30</v>
      </c>
      <c r="Z22" s="6">
        <v>1</v>
      </c>
      <c r="AA22" s="17">
        <v>2</v>
      </c>
      <c r="AB22" s="24">
        <f t="shared" ref="AB22:AB24" si="13">L22</f>
        <v>349</v>
      </c>
      <c r="AC22" s="4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炎のメタルフロッグ</v>
      </c>
      <c r="AD22" s="4">
        <f ca="1">VLOOKUP($AB22,OFFSET([4]characters!$A$1,0,0,COUNTA([4]characters!$A:$A),MATCH(AD$1,[4]characters!$1:$1,0)-MATCH("character_id",[4]characters!$1:$1,0)+1),MATCH(AD$1,[4]characters!$1:$1,0)-MATCH("character_id",[4]characters!$1:$1,0)+1,FALSE)</f>
        <v>4</v>
      </c>
      <c r="AE22" s="4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2" s="7">
        <v>1</v>
      </c>
      <c r="AG22" s="24">
        <f t="shared" ref="AG22:AG24" ca="1" si="14">AD22</f>
        <v>4</v>
      </c>
      <c r="AH22" s="8">
        <v>5</v>
      </c>
      <c r="AI22" s="7">
        <v>0</v>
      </c>
      <c r="AJ22" s="7">
        <v>0</v>
      </c>
      <c r="AK22" s="7">
        <v>0</v>
      </c>
      <c r="AL22" s="7">
        <v>0</v>
      </c>
      <c r="AM22" s="7">
        <v>1</v>
      </c>
      <c r="AN22" s="69">
        <v>1</v>
      </c>
    </row>
    <row r="23" spans="1:40" ht="21" customHeight="1">
      <c r="A23" s="16" t="str">
        <f t="shared" si="10"/>
        <v>12004_1-2/351&lt;lv20&gt;s2</v>
      </c>
      <c r="B23" s="22">
        <v>12004</v>
      </c>
      <c r="C23" s="21">
        <v>1</v>
      </c>
      <c r="D23" s="2" t="str">
        <f t="shared" si="11"/>
        <v>12004_1</v>
      </c>
      <c r="E23" s="4" t="str">
        <f ca="1">VLOOKUP($B23,OFFSET([2]quests!$A$1,0,0,COUNTA([2]quests!$A:$A),MATCH(E$1,[2]quests!$1:$1,0)-MATCH($B$1,[2]quests!$1:$1,0)+1),MATCH(E$1,[2]quests!$1:$1,0)-MATCH($B$1,[2]quests!$1:$1,0)+1,FALSE)</f>
        <v>メタルフロッグをもとめて</v>
      </c>
      <c r="F23" s="4" t="str">
        <f ca="1">VLOOKUP($D23,OFFSET([2]stages!$A$1,0,0,COUNTA([2]stages!$A:$A),MATCH(F$1,[2]stages!$2:$2,0)-MATCH($D$1,[2]stages!$2:$2,0)+1),MATCH(F$1,[2]stages!$2:$2,0)-MATCH($D$1,[2]stages!$2:$2,0)+1,FALSE)</f>
        <v>【上級】メタルフロッグをもとめて</v>
      </c>
      <c r="G23" s="100">
        <v>2</v>
      </c>
      <c r="H23" s="15" t="str">
        <f t="shared" si="12"/>
        <v>12004_1-2</v>
      </c>
      <c r="I23" s="4">
        <f ca="1">VLOOKUP($H23,OFFSET(floors!$A$1,0,0,COUNTA(floors!$A:$A),MATCH(I$1,floors!$1:$1,0)-MATCH($H$1,floors!$1:$1,0)+1),MATCH(I$1,floors!$1:$1,0)-MATCH($H$1,floors!$1:$1,0)+1,FALSE)</f>
        <v>45</v>
      </c>
      <c r="J23" s="4">
        <f ca="1">VLOOKUP($H23,OFFSET(floors!$A$1,0,0,COUNTA(floors!$A:$A),MATCH(J$1,floors!$1:$1,0)-MATCH($H$1,floors!$1:$1,0)+1),MATCH(J$1,floors!$1:$1,0)-MATCH($H$1,floors!$1:$1,0)+1,FALSE)</f>
        <v>45</v>
      </c>
      <c r="K23" s="38" t="s">
        <v>53</v>
      </c>
      <c r="L23" s="20">
        <v>351</v>
      </c>
      <c r="M23" s="17" t="str">
        <f ca="1">VLOOKUP($L23,OFFSET([3]enemies!$A$1,0,0,COUNTA([3]enemies!$A:$A),MATCH(M$1,[3]enemies!$1:$1,0)-MATCH($L$1,[3]enemies!$1:$1,0)+1),MATCH(M$1,[3]enemies!$1:$1,0)-MATCH($L$1,[3]enemies!$1:$1,0)+1,FALSE)</f>
        <v>森のメタルフロッグ</v>
      </c>
      <c r="N23" s="17" t="str">
        <f ca="1">VLOOKUP($L23,OFFSET([3]enemies!$A$1,0,0,COUNTA([3]enemies!$A:$A),MATCH(N$1,[3]enemies!$1:$1,0)-MATCH($L$1,[3]enemies!$1:$1,0)+1),MATCH(N$1,[3]enemies!$1:$1,0)-MATCH($L$1,[3]enemies!$1:$1,0)+1,FALSE)</f>
        <v>green</v>
      </c>
      <c r="O23" s="17" t="str">
        <f ca="1">VLOOKUP($L23,OFFSET([4]characters!$A$1,0,0,COUNTA([4]characters!$A:$A),MATCH(O$1,[4]characters!$1:$1,0)-MATCH($L$1,[4]characters!$1:$1,0)+1),MATCH(O$1,[4]characters!$1:$1,0)-MATCH($L$1,[4]characters!$1:$1,0)+1,FALSE)</f>
        <v>Material</v>
      </c>
      <c r="P23" s="17" t="str">
        <f ca="1">VLOOKUP($L23,OFFSET([3]enemies!$A$1,0,0,COUNTA([3]enemies!$A:$A),MATCH(P$1,[3]enemies!$1:$1,0)-MATCH($L$1,[3]enemies!$1:$1,0)+1),MATCH(P$1,[3]enemies!$1:$1,0)-MATCH($L$1,[3]enemies!$1:$1,0)+1,FALSE)</f>
        <v>unknown</v>
      </c>
      <c r="Q23" s="17">
        <f ca="1">VLOOKUP($L23,OFFSET([3]enemies!$A$1,0,0,COUNTA([3]enemies!$A:$A),MATCH(Q$1,[3]enemies!$1:$1,0)-MATCH($L$1,[3]enemies!$1:$1,0)+1),MATCH(Q$1,[3]enemies!$1:$1,0)-MATCH($L$1,[3]enemies!$1:$1,0)+1,FALSE)</f>
        <v>15</v>
      </c>
      <c r="R23" s="5">
        <v>20</v>
      </c>
      <c r="S23" s="25">
        <v>1</v>
      </c>
      <c r="T23" s="25">
        <v>1.2</v>
      </c>
      <c r="U23" s="5">
        <v>0</v>
      </c>
      <c r="V23" s="4" t="e">
        <f ca="1">VLOOKUP($W23,OFFSET([5]enemy_skill_sets!$B$1,0,0,COUNTA([5]enemy_skill_sets!$B:$B),MATCH(M$1,[5]enemy_skill_sets!$1:$1,0)-MATCH($W$1,[5]enemy_skill_sets!$1:$1,0)+2),MATCH(M$1,[5]enemy_skill_sets!$1:$1,0)-MATCH($W$1,[5]enemy_skill_sets!$1:$1,0)+2,FALSE)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3" s="103">
        <v>12004006</v>
      </c>
      <c r="X23" s="6">
        <v>0</v>
      </c>
      <c r="Y23" s="6">
        <v>30</v>
      </c>
      <c r="Z23" s="6">
        <v>1</v>
      </c>
      <c r="AA23" s="17">
        <v>2</v>
      </c>
      <c r="AB23" s="24">
        <f t="shared" si="13"/>
        <v>351</v>
      </c>
      <c r="AC23" s="4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森のメタルフロッグ</v>
      </c>
      <c r="AD23" s="4">
        <f ca="1">VLOOKUP($AB23,OFFSET([4]characters!$A$1,0,0,COUNTA([4]characters!$A:$A),MATCH(AD$1,[4]characters!$1:$1,0)-MATCH("character_id",[4]characters!$1:$1,0)+1),MATCH(AD$1,[4]characters!$1:$1,0)-MATCH("character_id",[4]characters!$1:$1,0)+1,FALSE)</f>
        <v>4</v>
      </c>
      <c r="AE23" s="4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3" s="7">
        <v>1</v>
      </c>
      <c r="AG23" s="24">
        <f t="shared" ca="1" si="14"/>
        <v>4</v>
      </c>
      <c r="AH23" s="8">
        <v>5</v>
      </c>
      <c r="AI23" s="7">
        <v>0</v>
      </c>
      <c r="AJ23" s="7">
        <v>0</v>
      </c>
      <c r="AK23" s="7">
        <v>0</v>
      </c>
      <c r="AL23" s="7">
        <v>0</v>
      </c>
      <c r="AM23" s="7">
        <v>1</v>
      </c>
      <c r="AN23" s="69">
        <v>1</v>
      </c>
    </row>
    <row r="24" spans="1:40" ht="21" customHeight="1">
      <c r="A24" s="16" t="str">
        <f t="shared" si="10"/>
        <v>12004_1-2/353&lt;lv20&gt;s2</v>
      </c>
      <c r="B24" s="22">
        <v>12004</v>
      </c>
      <c r="C24" s="21">
        <v>1</v>
      </c>
      <c r="D24" s="2" t="str">
        <f t="shared" si="11"/>
        <v>12004_1</v>
      </c>
      <c r="E24" s="4" t="str">
        <f ca="1">VLOOKUP($B24,OFFSET([2]quests!$A$1,0,0,COUNTA([2]quests!$A:$A),MATCH(E$1,[2]quests!$1:$1,0)-MATCH($B$1,[2]quests!$1:$1,0)+1),MATCH(E$1,[2]quests!$1:$1,0)-MATCH($B$1,[2]quests!$1:$1,0)+1,FALSE)</f>
        <v>メタルフロッグをもとめて</v>
      </c>
      <c r="F24" s="4" t="str">
        <f ca="1">VLOOKUP($D24,OFFSET([2]stages!$A$1,0,0,COUNTA([2]stages!$A:$A),MATCH(F$1,[2]stages!$2:$2,0)-MATCH($D$1,[2]stages!$2:$2,0)+1),MATCH(F$1,[2]stages!$2:$2,0)-MATCH($D$1,[2]stages!$2:$2,0)+1,FALSE)</f>
        <v>【上級】メタルフロッグをもとめて</v>
      </c>
      <c r="G24" s="100">
        <v>2</v>
      </c>
      <c r="H24" s="15" t="str">
        <f t="shared" si="12"/>
        <v>12004_1-2</v>
      </c>
      <c r="I24" s="4">
        <f ca="1">VLOOKUP($H24,OFFSET(floors!$A$1,0,0,COUNTA(floors!$A:$A),MATCH(I$1,floors!$1:$1,0)-MATCH($H$1,floors!$1:$1,0)+1),MATCH(I$1,floors!$1:$1,0)-MATCH($H$1,floors!$1:$1,0)+1,FALSE)</f>
        <v>45</v>
      </c>
      <c r="J24" s="4">
        <f ca="1">VLOOKUP($H24,OFFSET(floors!$A$1,0,0,COUNTA(floors!$A:$A),MATCH(J$1,floors!$1:$1,0)-MATCH($H$1,floors!$1:$1,0)+1),MATCH(J$1,floors!$1:$1,0)-MATCH($H$1,floors!$1:$1,0)+1,FALSE)</f>
        <v>45</v>
      </c>
      <c r="K24" s="38" t="s">
        <v>53</v>
      </c>
      <c r="L24" s="20">
        <v>353</v>
      </c>
      <c r="M24" s="17" t="str">
        <f ca="1">VLOOKUP($L24,OFFSET([3]enemies!$A$1,0,0,COUNTA([3]enemies!$A:$A),MATCH(M$1,[3]enemies!$1:$1,0)-MATCH($L$1,[3]enemies!$1:$1,0)+1),MATCH(M$1,[3]enemies!$1:$1,0)-MATCH($L$1,[3]enemies!$1:$1,0)+1,FALSE)</f>
        <v>水のメタルフロッグ</v>
      </c>
      <c r="N24" s="17" t="str">
        <f ca="1">VLOOKUP($L24,OFFSET([3]enemies!$A$1,0,0,COUNTA([3]enemies!$A:$A),MATCH(N$1,[3]enemies!$1:$1,0)-MATCH($L$1,[3]enemies!$1:$1,0)+1),MATCH(N$1,[3]enemies!$1:$1,0)-MATCH($L$1,[3]enemies!$1:$1,0)+1,FALSE)</f>
        <v>blue</v>
      </c>
      <c r="O24" s="17" t="str">
        <f ca="1">VLOOKUP($L24,OFFSET([4]characters!$A$1,0,0,COUNTA([4]characters!$A:$A),MATCH(O$1,[4]characters!$1:$1,0)-MATCH($L$1,[4]characters!$1:$1,0)+1),MATCH(O$1,[4]characters!$1:$1,0)-MATCH($L$1,[4]characters!$1:$1,0)+1,FALSE)</f>
        <v>Material</v>
      </c>
      <c r="P24" s="17" t="str">
        <f ca="1">VLOOKUP($L24,OFFSET([3]enemies!$A$1,0,0,COUNTA([3]enemies!$A:$A),MATCH(P$1,[3]enemies!$1:$1,0)-MATCH($L$1,[3]enemies!$1:$1,0)+1),MATCH(P$1,[3]enemies!$1:$1,0)-MATCH($L$1,[3]enemies!$1:$1,0)+1,FALSE)</f>
        <v>unknown</v>
      </c>
      <c r="Q24" s="17">
        <f ca="1">VLOOKUP($L24,OFFSET([3]enemies!$A$1,0,0,COUNTA([3]enemies!$A:$A),MATCH(Q$1,[3]enemies!$1:$1,0)-MATCH($L$1,[3]enemies!$1:$1,0)+1),MATCH(Q$1,[3]enemies!$1:$1,0)-MATCH($L$1,[3]enemies!$1:$1,0)+1,FALSE)</f>
        <v>15</v>
      </c>
      <c r="R24" s="5">
        <v>20</v>
      </c>
      <c r="S24" s="25">
        <v>1</v>
      </c>
      <c r="T24" s="25">
        <v>1.2</v>
      </c>
      <c r="U24" s="5">
        <v>0</v>
      </c>
      <c r="V24" s="4" t="e">
        <f ca="1">VLOOKUP($W24,OFFSET([5]enemy_skill_sets!$B$1,0,0,COUNTA([5]enemy_skill_sets!$B:$B),MATCH(M$1,[5]enemy_skill_sets!$1:$1,0)-MATCH($W$1,[5]enemy_skill_sets!$1:$1,0)+2),MATCH(M$1,[5]enemy_skill_sets!$1:$1,0)-MATCH($W$1,[5]enemy_skill_sets!$1:$1,0)+2,FALSE)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4" s="103">
        <v>12004007</v>
      </c>
      <c r="X24" s="6">
        <v>0</v>
      </c>
      <c r="Y24" s="6">
        <v>30</v>
      </c>
      <c r="Z24" s="6">
        <v>1</v>
      </c>
      <c r="AA24" s="17">
        <v>2</v>
      </c>
      <c r="AB24" s="24">
        <f t="shared" si="13"/>
        <v>353</v>
      </c>
      <c r="AC24" s="4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水のメタルフロッグ</v>
      </c>
      <c r="AD24" s="4">
        <f ca="1">VLOOKUP($AB24,OFFSET([4]characters!$A$1,0,0,COUNTA([4]characters!$A:$A),MATCH(AD$1,[4]characters!$1:$1,0)-MATCH("character_id",[4]characters!$1:$1,0)+1),MATCH(AD$1,[4]characters!$1:$1,0)-MATCH("character_id",[4]characters!$1:$1,0)+1,FALSE)</f>
        <v>4</v>
      </c>
      <c r="AE24" s="4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4" s="7">
        <v>1</v>
      </c>
      <c r="AG24" s="24">
        <f t="shared" ca="1" si="14"/>
        <v>4</v>
      </c>
      <c r="AH24" s="8">
        <v>5</v>
      </c>
      <c r="AI24" s="7">
        <v>0</v>
      </c>
      <c r="AJ24" s="7">
        <v>0</v>
      </c>
      <c r="AK24" s="7">
        <v>0</v>
      </c>
      <c r="AL24" s="7">
        <v>0</v>
      </c>
      <c r="AM24" s="7">
        <v>1</v>
      </c>
      <c r="AN24" s="69">
        <v>1</v>
      </c>
    </row>
    <row r="25" spans="1:40" ht="21" customHeight="1">
      <c r="A25" s="16" t="str">
        <f t="shared" ref="A25:A44" si="15">B25&amp;"_"&amp;C25&amp;"-"&amp;G25&amp;"/"&amp;L25&amp;"&lt;lv"&amp;R25&amp;"&gt;s"&amp;AA25</f>
        <v>12004_1-2/355&lt;lv20&gt;s2</v>
      </c>
      <c r="B25" s="22">
        <v>12004</v>
      </c>
      <c r="C25" s="21">
        <v>1</v>
      </c>
      <c r="D25" s="2" t="str">
        <f t="shared" ref="D25:D44" si="16">B25&amp;"_"&amp;C25</f>
        <v>12004_1</v>
      </c>
      <c r="E25" s="4" t="str">
        <f ca="1">VLOOKUP($B25,OFFSET([2]quests!$A$1,0,0,COUNTA([2]quests!$A:$A),MATCH(E$1,[2]quests!$1:$1,0)-MATCH($B$1,[2]quests!$1:$1,0)+1),MATCH(E$1,[2]quests!$1:$1,0)-MATCH($B$1,[2]quests!$1:$1,0)+1,FALSE)</f>
        <v>メタルフロッグをもとめて</v>
      </c>
      <c r="F25" s="4" t="str">
        <f ca="1">VLOOKUP($D25,OFFSET([2]stages!$A$1,0,0,COUNTA([2]stages!$A:$A),MATCH(F$1,[2]stages!$2:$2,0)-MATCH($D$1,[2]stages!$2:$2,0)+1),MATCH(F$1,[2]stages!$2:$2,0)-MATCH($D$1,[2]stages!$2:$2,0)+1,FALSE)</f>
        <v>【上級】メタルフロッグをもとめて</v>
      </c>
      <c r="G25" s="100">
        <v>2</v>
      </c>
      <c r="H25" s="15" t="str">
        <f t="shared" ref="H25:H44" si="17">B25&amp;"_"&amp;C25&amp;"-"&amp;G25</f>
        <v>12004_1-2</v>
      </c>
      <c r="I25" s="4">
        <f ca="1">VLOOKUP($H25,OFFSET(floors!$A$1,0,0,COUNTA(floors!$A:$A),MATCH(I$1,floors!$1:$1,0)-MATCH($H$1,floors!$1:$1,0)+1),MATCH(I$1,floors!$1:$1,0)-MATCH($H$1,floors!$1:$1,0)+1,FALSE)</f>
        <v>45</v>
      </c>
      <c r="J25" s="4">
        <f ca="1">VLOOKUP($H25,OFFSET(floors!$A$1,0,0,COUNTA(floors!$A:$A),MATCH(J$1,floors!$1:$1,0)-MATCH($H$1,floors!$1:$1,0)+1),MATCH(J$1,floors!$1:$1,0)-MATCH($H$1,floors!$1:$1,0)+1,FALSE)</f>
        <v>45</v>
      </c>
      <c r="K25" s="38" t="s">
        <v>53</v>
      </c>
      <c r="L25" s="20">
        <v>355</v>
      </c>
      <c r="M25" s="17" t="str">
        <f ca="1">VLOOKUP($L25,OFFSET([3]enemies!$A$1,0,0,COUNTA([3]enemies!$A:$A),MATCH(M$1,[3]enemies!$1:$1,0)-MATCH($L$1,[3]enemies!$1:$1,0)+1),MATCH(M$1,[3]enemies!$1:$1,0)-MATCH($L$1,[3]enemies!$1:$1,0)+1,FALSE)</f>
        <v>雷のメタルフロッグ</v>
      </c>
      <c r="N25" s="17" t="str">
        <f ca="1">VLOOKUP($L25,OFFSET([3]enemies!$A$1,0,0,COUNTA([3]enemies!$A:$A),MATCH(N$1,[3]enemies!$1:$1,0)-MATCH($L$1,[3]enemies!$1:$1,0)+1),MATCH(N$1,[3]enemies!$1:$1,0)-MATCH($L$1,[3]enemies!$1:$1,0)+1,FALSE)</f>
        <v>yellow</v>
      </c>
      <c r="O25" s="17" t="str">
        <f ca="1">VLOOKUP($L25,OFFSET([4]characters!$A$1,0,0,COUNTA([4]characters!$A:$A),MATCH(O$1,[4]characters!$1:$1,0)-MATCH($L$1,[4]characters!$1:$1,0)+1),MATCH(O$1,[4]characters!$1:$1,0)-MATCH($L$1,[4]characters!$1:$1,0)+1,FALSE)</f>
        <v>Material</v>
      </c>
      <c r="P25" s="17" t="str">
        <f ca="1">VLOOKUP($L25,OFFSET([3]enemies!$A$1,0,0,COUNTA([3]enemies!$A:$A),MATCH(P$1,[3]enemies!$1:$1,0)-MATCH($L$1,[3]enemies!$1:$1,0)+1),MATCH(P$1,[3]enemies!$1:$1,0)-MATCH($L$1,[3]enemies!$1:$1,0)+1,FALSE)</f>
        <v>unknown</v>
      </c>
      <c r="Q25" s="17">
        <f ca="1">VLOOKUP($L25,OFFSET([3]enemies!$A$1,0,0,COUNTA([3]enemies!$A:$A),MATCH(Q$1,[3]enemies!$1:$1,0)-MATCH($L$1,[3]enemies!$1:$1,0)+1),MATCH(Q$1,[3]enemies!$1:$1,0)-MATCH($L$1,[3]enemies!$1:$1,0)+1,FALSE)</f>
        <v>15</v>
      </c>
      <c r="R25" s="5">
        <v>20</v>
      </c>
      <c r="S25" s="25">
        <v>1</v>
      </c>
      <c r="T25" s="25">
        <v>1.2</v>
      </c>
      <c r="U25" s="5">
        <v>0</v>
      </c>
      <c r="V25" s="4" t="e">
        <f ca="1">VLOOKUP($W25,OFFSET([5]enemy_skill_sets!$B$1,0,0,COUNTA([5]enemy_skill_sets!$B:$B),MATCH(M$1,[5]enemy_skill_sets!$1:$1,0)-MATCH($W$1,[5]enemy_skill_sets!$1:$1,0)+2),MATCH(M$1,[5]enemy_skill_sets!$1:$1,0)-MATCH($W$1,[5]enemy_skill_sets!$1:$1,0)+2,FALSE)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5" s="103">
        <v>12004008</v>
      </c>
      <c r="X25" s="6">
        <v>0</v>
      </c>
      <c r="Y25" s="6">
        <v>30</v>
      </c>
      <c r="Z25" s="6">
        <v>1</v>
      </c>
      <c r="AA25" s="17">
        <v>2</v>
      </c>
      <c r="AB25" s="24">
        <f t="shared" ref="AB25:AB44" si="18">L25</f>
        <v>355</v>
      </c>
      <c r="AC25" s="4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雷のメタルフロッグ</v>
      </c>
      <c r="AD25" s="4">
        <f ca="1">VLOOKUP($AB25,OFFSET([4]characters!$A$1,0,0,COUNTA([4]characters!$A:$A),MATCH(AD$1,[4]characters!$1:$1,0)-MATCH("character_id",[4]characters!$1:$1,0)+1),MATCH(AD$1,[4]characters!$1:$1,0)-MATCH("character_id",[4]characters!$1:$1,0)+1,FALSE)</f>
        <v>4</v>
      </c>
      <c r="AE25" s="4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5" s="7">
        <v>1</v>
      </c>
      <c r="AG25" s="24">
        <f t="shared" ref="AG25:AG44" ca="1" si="19">AD25</f>
        <v>4</v>
      </c>
      <c r="AH25" s="8">
        <v>5</v>
      </c>
      <c r="AI25" s="7">
        <v>0</v>
      </c>
      <c r="AJ25" s="7">
        <v>0</v>
      </c>
      <c r="AK25" s="7">
        <v>0</v>
      </c>
      <c r="AL25" s="7">
        <v>0</v>
      </c>
      <c r="AM25" s="7">
        <v>1</v>
      </c>
      <c r="AN25" s="69">
        <v>1</v>
      </c>
    </row>
    <row r="26" spans="1:40" ht="21" customHeight="1">
      <c r="A26" s="16" t="str">
        <f t="shared" si="15"/>
        <v>12004_1-3/333&lt;lv3&gt;s2</v>
      </c>
      <c r="B26" s="22">
        <v>12004</v>
      </c>
      <c r="C26" s="21">
        <v>1</v>
      </c>
      <c r="D26" s="2" t="str">
        <f t="shared" si="16"/>
        <v>12004_1</v>
      </c>
      <c r="E26" s="4" t="str">
        <f ca="1">VLOOKUP($B26,OFFSET([2]quests!$A$1,0,0,COUNTA([2]quests!$A:$A),MATCH(E$1,[2]quests!$1:$1,0)-MATCH($B$1,[2]quests!$1:$1,0)+1),MATCH(E$1,[2]quests!$1:$1,0)-MATCH($B$1,[2]quests!$1:$1,0)+1,FALSE)</f>
        <v>メタルフロッグをもとめて</v>
      </c>
      <c r="F26" s="4" t="str">
        <f ca="1">VLOOKUP($D26,OFFSET([2]stages!$A$1,0,0,COUNTA([2]stages!$A:$A),MATCH(F$1,[2]stages!$2:$2,0)-MATCH($D$1,[2]stages!$2:$2,0)+1),MATCH(F$1,[2]stages!$2:$2,0)-MATCH($D$1,[2]stages!$2:$2,0)+1,FALSE)</f>
        <v>【上級】メタルフロッグをもとめて</v>
      </c>
      <c r="G26" s="101">
        <v>3</v>
      </c>
      <c r="H26" s="15" t="str">
        <f t="shared" si="17"/>
        <v>12004_1-3</v>
      </c>
      <c r="I26" s="4">
        <f ca="1">VLOOKUP($H26,OFFSET(floors!$A$1,0,0,COUNTA(floors!$A:$A),MATCH(I$1,floors!$1:$1,0)-MATCH($H$1,floors!$1:$1,0)+1),MATCH(I$1,floors!$1:$1,0)-MATCH($H$1,floors!$1:$1,0)+1,FALSE)</f>
        <v>45</v>
      </c>
      <c r="J26" s="4">
        <f ca="1">VLOOKUP($H26,OFFSET(floors!$A$1,0,0,COUNTA(floors!$A:$A),MATCH(J$1,floors!$1:$1,0)-MATCH($H$1,floors!$1:$1,0)+1),MATCH(J$1,floors!$1:$1,0)-MATCH($H$1,floors!$1:$1,0)+1,FALSE)</f>
        <v>45</v>
      </c>
      <c r="K26" s="38" t="s">
        <v>53</v>
      </c>
      <c r="L26" s="20">
        <v>333</v>
      </c>
      <c r="M26" s="17" t="str">
        <f ca="1">VLOOKUP($L26,OFFSET([3]enemies!$A$1,0,0,COUNTA([3]enemies!$A:$A),MATCH(M$1,[3]enemies!$1:$1,0)-MATCH($L$1,[3]enemies!$1:$1,0)+1),MATCH(M$1,[3]enemies!$1:$1,0)-MATCH($L$1,[3]enemies!$1:$1,0)+1,FALSE)</f>
        <v>炎のメタルチック</v>
      </c>
      <c r="N26" s="17" t="str">
        <f ca="1">VLOOKUP($L26,OFFSET([3]enemies!$A$1,0,0,COUNTA([3]enemies!$A:$A),MATCH(N$1,[3]enemies!$1:$1,0)-MATCH($L$1,[3]enemies!$1:$1,0)+1),MATCH(N$1,[3]enemies!$1:$1,0)-MATCH($L$1,[3]enemies!$1:$1,0)+1,FALSE)</f>
        <v>red</v>
      </c>
      <c r="O26" s="17" t="str">
        <f ca="1">VLOOKUP($L26,OFFSET([4]characters!$A$1,0,0,COUNTA([4]characters!$A:$A),MATCH(O$1,[4]characters!$1:$1,0)-MATCH($L$1,[4]characters!$1:$1,0)+1),MATCH(O$1,[4]characters!$1:$1,0)-MATCH($L$1,[4]characters!$1:$1,0)+1,FALSE)</f>
        <v>Material</v>
      </c>
      <c r="P26" s="17" t="str">
        <f ca="1">VLOOKUP($L26,OFFSET([3]enemies!$A$1,0,0,COUNTA([3]enemies!$A:$A),MATCH(P$1,[3]enemies!$1:$1,0)-MATCH($L$1,[3]enemies!$1:$1,0)+1),MATCH(P$1,[3]enemies!$1:$1,0)-MATCH($L$1,[3]enemies!$1:$1,0)+1,FALSE)</f>
        <v>unknown</v>
      </c>
      <c r="Q26" s="17">
        <f ca="1">VLOOKUP($L26,OFFSET([3]enemies!$A$1,0,0,COUNTA([3]enemies!$A:$A),MATCH(Q$1,[3]enemies!$1:$1,0)-MATCH($L$1,[3]enemies!$1:$1,0)+1),MATCH(Q$1,[3]enemies!$1:$1,0)-MATCH($L$1,[3]enemies!$1:$1,0)+1,FALSE)</f>
        <v>15</v>
      </c>
      <c r="R26" s="5">
        <v>3</v>
      </c>
      <c r="S26" s="25">
        <v>1</v>
      </c>
      <c r="T26" s="25">
        <v>1.2</v>
      </c>
      <c r="U26" s="5">
        <v>-1000</v>
      </c>
      <c r="V26" s="4" t="str">
        <f ca="1">VLOOKUP($W26,OFFSET([5]enemy_skill_sets!$B$1,0,0,COUNTA([5]enemy_skill_sets!$B:$B),MATCH(M$1,[5]enemy_skill_sets!$1:$1,0)-MATCH($W$1,[5]enemy_skill_sets!$1:$1,0)+2),MATCH(M$1,[5]enemy_skill_sets!$1:$1,0)-MATCH($W$1,[5]enemy_skill_sets!$1:$1,0)+2,FALSE)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" s="4">
        <f ca="1">VLOOKUP($L26,OFFSET([3]enemies!$A$1,0,0,COUNTA([3]enemies!$A:$A),MATCH(W$1,[3]enemies!$1:$1,0)-MATCH($L$1,[3]enemies!$1:$1,0)+1),MATCH(W$1,[3]enemies!$1:$1,0)-MATCH($L$1,[3]enemies!$1:$1,0)+1,FALSE)</f>
        <v>0</v>
      </c>
      <c r="X26" s="6">
        <v>0</v>
      </c>
      <c r="Y26" s="6">
        <v>100</v>
      </c>
      <c r="Z26" s="6">
        <v>0</v>
      </c>
      <c r="AA26" s="17">
        <v>2</v>
      </c>
      <c r="AB26" s="24">
        <f t="shared" si="18"/>
        <v>333</v>
      </c>
      <c r="AC26" s="4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26" s="4">
        <f ca="1">VLOOKUP($AB26,OFFSET([4]characters!$A$1,0,0,COUNTA([4]characters!$A:$A),MATCH(AD$1,[4]characters!$1:$1,0)-MATCH("character_id",[4]characters!$1:$1,0)+1),MATCH(AD$1,[4]characters!$1:$1,0)-MATCH("character_id",[4]characters!$1:$1,0)+1,FALSE)</f>
        <v>4</v>
      </c>
      <c r="AE26" s="4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6" s="7">
        <v>1</v>
      </c>
      <c r="AG26" s="24">
        <f t="shared" ca="1" si="19"/>
        <v>4</v>
      </c>
      <c r="AH26" s="8">
        <v>15</v>
      </c>
      <c r="AI26" s="7">
        <v>0</v>
      </c>
      <c r="AJ26" s="7">
        <v>0</v>
      </c>
      <c r="AK26" s="7">
        <v>0</v>
      </c>
      <c r="AL26" s="7">
        <v>0</v>
      </c>
      <c r="AM26" s="7">
        <v>1</v>
      </c>
      <c r="AN26" s="69">
        <v>1</v>
      </c>
    </row>
    <row r="27" spans="1:40" ht="21" customHeight="1">
      <c r="A27" s="16" t="str">
        <f t="shared" si="15"/>
        <v>12004_1-3/337&lt;lv3&gt;s2</v>
      </c>
      <c r="B27" s="22">
        <v>12004</v>
      </c>
      <c r="C27" s="21">
        <v>1</v>
      </c>
      <c r="D27" s="2" t="str">
        <f t="shared" si="16"/>
        <v>12004_1</v>
      </c>
      <c r="E27" s="4" t="str">
        <f ca="1">VLOOKUP($B27,OFFSET([2]quests!$A$1,0,0,COUNTA([2]quests!$A:$A),MATCH(E$1,[2]quests!$1:$1,0)-MATCH($B$1,[2]quests!$1:$1,0)+1),MATCH(E$1,[2]quests!$1:$1,0)-MATCH($B$1,[2]quests!$1:$1,0)+1,FALSE)</f>
        <v>メタルフロッグをもとめて</v>
      </c>
      <c r="F27" s="4" t="str">
        <f ca="1">VLOOKUP($D27,OFFSET([2]stages!$A$1,0,0,COUNTA([2]stages!$A:$A),MATCH(F$1,[2]stages!$2:$2,0)-MATCH($D$1,[2]stages!$2:$2,0)+1),MATCH(F$1,[2]stages!$2:$2,0)-MATCH($D$1,[2]stages!$2:$2,0)+1,FALSE)</f>
        <v>【上級】メタルフロッグをもとめて</v>
      </c>
      <c r="G27" s="101">
        <v>3</v>
      </c>
      <c r="H27" s="15" t="str">
        <f t="shared" si="17"/>
        <v>12004_1-3</v>
      </c>
      <c r="I27" s="4">
        <f ca="1">VLOOKUP($H27,OFFSET(floors!$A$1,0,0,COUNTA(floors!$A:$A),MATCH(I$1,floors!$1:$1,0)-MATCH($H$1,floors!$1:$1,0)+1),MATCH(I$1,floors!$1:$1,0)-MATCH($H$1,floors!$1:$1,0)+1,FALSE)</f>
        <v>45</v>
      </c>
      <c r="J27" s="4">
        <f ca="1">VLOOKUP($H27,OFFSET(floors!$A$1,0,0,COUNTA(floors!$A:$A),MATCH(J$1,floors!$1:$1,0)-MATCH($H$1,floors!$1:$1,0)+1),MATCH(J$1,floors!$1:$1,0)-MATCH($H$1,floors!$1:$1,0)+1,FALSE)</f>
        <v>45</v>
      </c>
      <c r="K27" s="38" t="s">
        <v>53</v>
      </c>
      <c r="L27" s="20">
        <v>337</v>
      </c>
      <c r="M27" s="17" t="str">
        <f ca="1">VLOOKUP($L27,OFFSET([3]enemies!$A$1,0,0,COUNTA([3]enemies!$A:$A),MATCH(M$1,[3]enemies!$1:$1,0)-MATCH($L$1,[3]enemies!$1:$1,0)+1),MATCH(M$1,[3]enemies!$1:$1,0)-MATCH($L$1,[3]enemies!$1:$1,0)+1,FALSE)</f>
        <v>森のメタルチック</v>
      </c>
      <c r="N27" s="17" t="str">
        <f ca="1">VLOOKUP($L27,OFFSET([3]enemies!$A$1,0,0,COUNTA([3]enemies!$A:$A),MATCH(N$1,[3]enemies!$1:$1,0)-MATCH($L$1,[3]enemies!$1:$1,0)+1),MATCH(N$1,[3]enemies!$1:$1,0)-MATCH($L$1,[3]enemies!$1:$1,0)+1,FALSE)</f>
        <v>green</v>
      </c>
      <c r="O27" s="17" t="str">
        <f ca="1">VLOOKUP($L27,OFFSET([4]characters!$A$1,0,0,COUNTA([4]characters!$A:$A),MATCH(O$1,[4]characters!$1:$1,0)-MATCH($L$1,[4]characters!$1:$1,0)+1),MATCH(O$1,[4]characters!$1:$1,0)-MATCH($L$1,[4]characters!$1:$1,0)+1,FALSE)</f>
        <v>Material</v>
      </c>
      <c r="P27" s="17" t="str">
        <f ca="1">VLOOKUP($L27,OFFSET([3]enemies!$A$1,0,0,COUNTA([3]enemies!$A:$A),MATCH(P$1,[3]enemies!$1:$1,0)-MATCH($L$1,[3]enemies!$1:$1,0)+1),MATCH(P$1,[3]enemies!$1:$1,0)-MATCH($L$1,[3]enemies!$1:$1,0)+1,FALSE)</f>
        <v>unknown</v>
      </c>
      <c r="Q27" s="17">
        <f ca="1">VLOOKUP($L27,OFFSET([3]enemies!$A$1,0,0,COUNTA([3]enemies!$A:$A),MATCH(Q$1,[3]enemies!$1:$1,0)-MATCH($L$1,[3]enemies!$1:$1,0)+1),MATCH(Q$1,[3]enemies!$1:$1,0)-MATCH($L$1,[3]enemies!$1:$1,0)+1,FALSE)</f>
        <v>15</v>
      </c>
      <c r="R27" s="5">
        <v>3</v>
      </c>
      <c r="S27" s="25">
        <v>1</v>
      </c>
      <c r="T27" s="25">
        <v>1.2</v>
      </c>
      <c r="U27" s="5">
        <v>-1000</v>
      </c>
      <c r="V27" s="4" t="str">
        <f ca="1">VLOOKUP($W27,OFFSET([5]enemy_skill_sets!$B$1,0,0,COUNTA([5]enemy_skill_sets!$B:$B),MATCH(M$1,[5]enemy_skill_sets!$1:$1,0)-MATCH($W$1,[5]enemy_skill_sets!$1:$1,0)+2),MATCH(M$1,[5]enemy_skill_sets!$1:$1,0)-MATCH($W$1,[5]enemy_skill_sets!$1:$1,0)+2,FALSE)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" s="4">
        <f ca="1">VLOOKUP($L27,OFFSET([3]enemies!$A$1,0,0,COUNTA([3]enemies!$A:$A),MATCH(W$1,[3]enemies!$1:$1,0)-MATCH($L$1,[3]enemies!$1:$1,0)+1),MATCH(W$1,[3]enemies!$1:$1,0)-MATCH($L$1,[3]enemies!$1:$1,0)+1,FALSE)</f>
        <v>0</v>
      </c>
      <c r="X27" s="6">
        <v>0</v>
      </c>
      <c r="Y27" s="6">
        <v>100</v>
      </c>
      <c r="Z27" s="6">
        <v>0</v>
      </c>
      <c r="AA27" s="17">
        <v>2</v>
      </c>
      <c r="AB27" s="24">
        <f t="shared" si="18"/>
        <v>337</v>
      </c>
      <c r="AC27" s="4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27" s="4">
        <f ca="1">VLOOKUP($AB27,OFFSET([4]characters!$A$1,0,0,COUNTA([4]characters!$A:$A),MATCH(AD$1,[4]characters!$1:$1,0)-MATCH("character_id",[4]characters!$1:$1,0)+1),MATCH(AD$1,[4]characters!$1:$1,0)-MATCH("character_id",[4]characters!$1:$1,0)+1,FALSE)</f>
        <v>4</v>
      </c>
      <c r="AE27" s="4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7" s="7">
        <v>1</v>
      </c>
      <c r="AG27" s="24">
        <f t="shared" ca="1" si="19"/>
        <v>4</v>
      </c>
      <c r="AH27" s="8">
        <v>15</v>
      </c>
      <c r="AI27" s="7">
        <v>0</v>
      </c>
      <c r="AJ27" s="7">
        <v>0</v>
      </c>
      <c r="AK27" s="7">
        <v>0</v>
      </c>
      <c r="AL27" s="7">
        <v>0</v>
      </c>
      <c r="AM27" s="7">
        <v>1</v>
      </c>
      <c r="AN27" s="69">
        <v>1</v>
      </c>
    </row>
    <row r="28" spans="1:40" ht="21" customHeight="1">
      <c r="A28" s="16" t="str">
        <f t="shared" si="15"/>
        <v>12004_1-3/341&lt;lv3&gt;s2</v>
      </c>
      <c r="B28" s="22">
        <v>12004</v>
      </c>
      <c r="C28" s="21">
        <v>1</v>
      </c>
      <c r="D28" s="2" t="str">
        <f t="shared" si="16"/>
        <v>12004_1</v>
      </c>
      <c r="E28" s="4" t="str">
        <f ca="1">VLOOKUP($B28,OFFSET([2]quests!$A$1,0,0,COUNTA([2]quests!$A:$A),MATCH(E$1,[2]quests!$1:$1,0)-MATCH($B$1,[2]quests!$1:$1,0)+1),MATCH(E$1,[2]quests!$1:$1,0)-MATCH($B$1,[2]quests!$1:$1,0)+1,FALSE)</f>
        <v>メタルフロッグをもとめて</v>
      </c>
      <c r="F28" s="4" t="str">
        <f ca="1">VLOOKUP($D28,OFFSET([2]stages!$A$1,0,0,COUNTA([2]stages!$A:$A),MATCH(F$1,[2]stages!$2:$2,0)-MATCH($D$1,[2]stages!$2:$2,0)+1),MATCH(F$1,[2]stages!$2:$2,0)-MATCH($D$1,[2]stages!$2:$2,0)+1,FALSE)</f>
        <v>【上級】メタルフロッグをもとめて</v>
      </c>
      <c r="G28" s="101">
        <v>3</v>
      </c>
      <c r="H28" s="15" t="str">
        <f t="shared" si="17"/>
        <v>12004_1-3</v>
      </c>
      <c r="I28" s="4">
        <f ca="1">VLOOKUP($H28,OFFSET(floors!$A$1,0,0,COUNTA(floors!$A:$A),MATCH(I$1,floors!$1:$1,0)-MATCH($H$1,floors!$1:$1,0)+1),MATCH(I$1,floors!$1:$1,0)-MATCH($H$1,floors!$1:$1,0)+1,FALSE)</f>
        <v>45</v>
      </c>
      <c r="J28" s="4">
        <f ca="1">VLOOKUP($H28,OFFSET(floors!$A$1,0,0,COUNTA(floors!$A:$A),MATCH(J$1,floors!$1:$1,0)-MATCH($H$1,floors!$1:$1,0)+1),MATCH(J$1,floors!$1:$1,0)-MATCH($H$1,floors!$1:$1,0)+1,FALSE)</f>
        <v>45</v>
      </c>
      <c r="K28" s="38" t="s">
        <v>53</v>
      </c>
      <c r="L28" s="20">
        <v>341</v>
      </c>
      <c r="M28" s="17" t="str">
        <f ca="1">VLOOKUP($L28,OFFSET([3]enemies!$A$1,0,0,COUNTA([3]enemies!$A:$A),MATCH(M$1,[3]enemies!$1:$1,0)-MATCH($L$1,[3]enemies!$1:$1,0)+1),MATCH(M$1,[3]enemies!$1:$1,0)-MATCH($L$1,[3]enemies!$1:$1,0)+1,FALSE)</f>
        <v>水のメタルチック</v>
      </c>
      <c r="N28" s="17" t="str">
        <f ca="1">VLOOKUP($L28,OFFSET([3]enemies!$A$1,0,0,COUNTA([3]enemies!$A:$A),MATCH(N$1,[3]enemies!$1:$1,0)-MATCH($L$1,[3]enemies!$1:$1,0)+1),MATCH(N$1,[3]enemies!$1:$1,0)-MATCH($L$1,[3]enemies!$1:$1,0)+1,FALSE)</f>
        <v>blue</v>
      </c>
      <c r="O28" s="17" t="str">
        <f ca="1">VLOOKUP($L28,OFFSET([4]characters!$A$1,0,0,COUNTA([4]characters!$A:$A),MATCH(O$1,[4]characters!$1:$1,0)-MATCH($L$1,[4]characters!$1:$1,0)+1),MATCH(O$1,[4]characters!$1:$1,0)-MATCH($L$1,[4]characters!$1:$1,0)+1,FALSE)</f>
        <v>Material</v>
      </c>
      <c r="P28" s="17" t="str">
        <f ca="1">VLOOKUP($L28,OFFSET([3]enemies!$A$1,0,0,COUNTA([3]enemies!$A:$A),MATCH(P$1,[3]enemies!$1:$1,0)-MATCH($L$1,[3]enemies!$1:$1,0)+1),MATCH(P$1,[3]enemies!$1:$1,0)-MATCH($L$1,[3]enemies!$1:$1,0)+1,FALSE)</f>
        <v>unknown</v>
      </c>
      <c r="Q28" s="17">
        <f ca="1">VLOOKUP($L28,OFFSET([3]enemies!$A$1,0,0,COUNTA([3]enemies!$A:$A),MATCH(Q$1,[3]enemies!$1:$1,0)-MATCH($L$1,[3]enemies!$1:$1,0)+1),MATCH(Q$1,[3]enemies!$1:$1,0)-MATCH($L$1,[3]enemies!$1:$1,0)+1,FALSE)</f>
        <v>15</v>
      </c>
      <c r="R28" s="5">
        <v>3</v>
      </c>
      <c r="S28" s="25">
        <v>1</v>
      </c>
      <c r="T28" s="25">
        <v>1.2</v>
      </c>
      <c r="U28" s="5">
        <v>-1000</v>
      </c>
      <c r="V28" s="4" t="str">
        <f ca="1">VLOOKUP($W28,OFFSET([5]enemy_skill_sets!$B$1,0,0,COUNTA([5]enemy_skill_sets!$B:$B),MATCH(M$1,[5]enemy_skill_sets!$1:$1,0)-MATCH($W$1,[5]enemy_skill_sets!$1:$1,0)+2),MATCH(M$1,[5]enemy_skill_sets!$1:$1,0)-MATCH($W$1,[5]enemy_skill_sets!$1:$1,0)+2,FALSE)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8" s="4">
        <f ca="1">VLOOKUP($L28,OFFSET([3]enemies!$A$1,0,0,COUNTA([3]enemies!$A:$A),MATCH(W$1,[3]enemies!$1:$1,0)-MATCH($L$1,[3]enemies!$1:$1,0)+1),MATCH(W$1,[3]enemies!$1:$1,0)-MATCH($L$1,[3]enemies!$1:$1,0)+1,FALSE)</f>
        <v>0</v>
      </c>
      <c r="X28" s="6">
        <v>0</v>
      </c>
      <c r="Y28" s="6">
        <v>100</v>
      </c>
      <c r="Z28" s="6">
        <v>0</v>
      </c>
      <c r="AA28" s="17">
        <v>2</v>
      </c>
      <c r="AB28" s="24">
        <f t="shared" si="18"/>
        <v>341</v>
      </c>
      <c r="AC28" s="4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28" s="4">
        <f ca="1">VLOOKUP($AB28,OFFSET([4]characters!$A$1,0,0,COUNTA([4]characters!$A:$A),MATCH(AD$1,[4]characters!$1:$1,0)-MATCH("character_id",[4]characters!$1:$1,0)+1),MATCH(AD$1,[4]characters!$1:$1,0)-MATCH("character_id",[4]characters!$1:$1,0)+1,FALSE)</f>
        <v>4</v>
      </c>
      <c r="AE28" s="4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8" s="7">
        <v>1</v>
      </c>
      <c r="AG28" s="24">
        <f t="shared" ca="1" si="19"/>
        <v>4</v>
      </c>
      <c r="AH28" s="8">
        <v>15</v>
      </c>
      <c r="AI28" s="7">
        <v>0</v>
      </c>
      <c r="AJ28" s="7">
        <v>0</v>
      </c>
      <c r="AK28" s="7">
        <v>0</v>
      </c>
      <c r="AL28" s="7">
        <v>0</v>
      </c>
      <c r="AM28" s="7">
        <v>1</v>
      </c>
      <c r="AN28" s="69">
        <v>1</v>
      </c>
    </row>
    <row r="29" spans="1:40" ht="21" customHeight="1">
      <c r="A29" s="16" t="str">
        <f t="shared" si="15"/>
        <v>12004_1-3/345&lt;lv3&gt;s2</v>
      </c>
      <c r="B29" s="22">
        <v>12004</v>
      </c>
      <c r="C29" s="21">
        <v>1</v>
      </c>
      <c r="D29" s="2" t="str">
        <f t="shared" si="16"/>
        <v>12004_1</v>
      </c>
      <c r="E29" s="4" t="str">
        <f ca="1">VLOOKUP($B29,OFFSET([2]quests!$A$1,0,0,COUNTA([2]quests!$A:$A),MATCH(E$1,[2]quests!$1:$1,0)-MATCH($B$1,[2]quests!$1:$1,0)+1),MATCH(E$1,[2]quests!$1:$1,0)-MATCH($B$1,[2]quests!$1:$1,0)+1,FALSE)</f>
        <v>メタルフロッグをもとめて</v>
      </c>
      <c r="F29" s="4" t="str">
        <f ca="1">VLOOKUP($D29,OFFSET([2]stages!$A$1,0,0,COUNTA([2]stages!$A:$A),MATCH(F$1,[2]stages!$2:$2,0)-MATCH($D$1,[2]stages!$2:$2,0)+1),MATCH(F$1,[2]stages!$2:$2,0)-MATCH($D$1,[2]stages!$2:$2,0)+1,FALSE)</f>
        <v>【上級】メタルフロッグをもとめて</v>
      </c>
      <c r="G29" s="101">
        <v>3</v>
      </c>
      <c r="H29" s="15" t="str">
        <f t="shared" si="17"/>
        <v>12004_1-3</v>
      </c>
      <c r="I29" s="4">
        <f ca="1">VLOOKUP($H29,OFFSET(floors!$A$1,0,0,COUNTA(floors!$A:$A),MATCH(I$1,floors!$1:$1,0)-MATCH($H$1,floors!$1:$1,0)+1),MATCH(I$1,floors!$1:$1,0)-MATCH($H$1,floors!$1:$1,0)+1,FALSE)</f>
        <v>45</v>
      </c>
      <c r="J29" s="4">
        <f ca="1">VLOOKUP($H29,OFFSET(floors!$A$1,0,0,COUNTA(floors!$A:$A),MATCH(J$1,floors!$1:$1,0)-MATCH($H$1,floors!$1:$1,0)+1),MATCH(J$1,floors!$1:$1,0)-MATCH($H$1,floors!$1:$1,0)+1,FALSE)</f>
        <v>45</v>
      </c>
      <c r="K29" s="38" t="s">
        <v>53</v>
      </c>
      <c r="L29" s="20">
        <v>345</v>
      </c>
      <c r="M29" s="17" t="str">
        <f ca="1">VLOOKUP($L29,OFFSET([3]enemies!$A$1,0,0,COUNTA([3]enemies!$A:$A),MATCH(M$1,[3]enemies!$1:$1,0)-MATCH($L$1,[3]enemies!$1:$1,0)+1),MATCH(M$1,[3]enemies!$1:$1,0)-MATCH($L$1,[3]enemies!$1:$1,0)+1,FALSE)</f>
        <v>雷のメタルチック</v>
      </c>
      <c r="N29" s="17" t="str">
        <f ca="1">VLOOKUP($L29,OFFSET([3]enemies!$A$1,0,0,COUNTA([3]enemies!$A:$A),MATCH(N$1,[3]enemies!$1:$1,0)-MATCH($L$1,[3]enemies!$1:$1,0)+1),MATCH(N$1,[3]enemies!$1:$1,0)-MATCH($L$1,[3]enemies!$1:$1,0)+1,FALSE)</f>
        <v>yellow</v>
      </c>
      <c r="O29" s="17" t="str">
        <f ca="1">VLOOKUP($L29,OFFSET([4]characters!$A$1,0,0,COUNTA([4]characters!$A:$A),MATCH(O$1,[4]characters!$1:$1,0)-MATCH($L$1,[4]characters!$1:$1,0)+1),MATCH(O$1,[4]characters!$1:$1,0)-MATCH($L$1,[4]characters!$1:$1,0)+1,FALSE)</f>
        <v>Material</v>
      </c>
      <c r="P29" s="17" t="str">
        <f ca="1">VLOOKUP($L29,OFFSET([3]enemies!$A$1,0,0,COUNTA([3]enemies!$A:$A),MATCH(P$1,[3]enemies!$1:$1,0)-MATCH($L$1,[3]enemies!$1:$1,0)+1),MATCH(P$1,[3]enemies!$1:$1,0)-MATCH($L$1,[3]enemies!$1:$1,0)+1,FALSE)</f>
        <v>unknown</v>
      </c>
      <c r="Q29" s="17">
        <f ca="1">VLOOKUP($L29,OFFSET([3]enemies!$A$1,0,0,COUNTA([3]enemies!$A:$A),MATCH(Q$1,[3]enemies!$1:$1,0)-MATCH($L$1,[3]enemies!$1:$1,0)+1),MATCH(Q$1,[3]enemies!$1:$1,0)-MATCH($L$1,[3]enemies!$1:$1,0)+1,FALSE)</f>
        <v>15</v>
      </c>
      <c r="R29" s="5">
        <v>3</v>
      </c>
      <c r="S29" s="25">
        <v>1</v>
      </c>
      <c r="T29" s="25">
        <v>1.2</v>
      </c>
      <c r="U29" s="5">
        <v>-1000</v>
      </c>
      <c r="V29" s="4" t="str">
        <f ca="1">VLOOKUP($W29,OFFSET([5]enemy_skill_sets!$B$1,0,0,COUNTA([5]enemy_skill_sets!$B:$B),MATCH(M$1,[5]enemy_skill_sets!$1:$1,0)-MATCH($W$1,[5]enemy_skill_sets!$1:$1,0)+2),MATCH(M$1,[5]enemy_skill_sets!$1:$1,0)-MATCH($W$1,[5]enemy_skill_sets!$1:$1,0)+2,FALSE)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9" s="4">
        <f ca="1">VLOOKUP($L29,OFFSET([3]enemies!$A$1,0,0,COUNTA([3]enemies!$A:$A),MATCH(W$1,[3]enemies!$1:$1,0)-MATCH($L$1,[3]enemies!$1:$1,0)+1),MATCH(W$1,[3]enemies!$1:$1,0)-MATCH($L$1,[3]enemies!$1:$1,0)+1,FALSE)</f>
        <v>0</v>
      </c>
      <c r="X29" s="6">
        <v>0</v>
      </c>
      <c r="Y29" s="6">
        <v>100</v>
      </c>
      <c r="Z29" s="6">
        <v>0</v>
      </c>
      <c r="AA29" s="17">
        <v>2</v>
      </c>
      <c r="AB29" s="24">
        <f t="shared" si="18"/>
        <v>345</v>
      </c>
      <c r="AC29" s="4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29" s="4">
        <f ca="1">VLOOKUP($AB29,OFFSET([4]characters!$A$1,0,0,COUNTA([4]characters!$A:$A),MATCH(AD$1,[4]characters!$1:$1,0)-MATCH("character_id",[4]characters!$1:$1,0)+1),MATCH(AD$1,[4]characters!$1:$1,0)-MATCH("character_id",[4]characters!$1:$1,0)+1,FALSE)</f>
        <v>4</v>
      </c>
      <c r="AE29" s="4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9" s="7">
        <v>1</v>
      </c>
      <c r="AG29" s="24">
        <f t="shared" ca="1" si="19"/>
        <v>4</v>
      </c>
      <c r="AH29" s="8">
        <v>15</v>
      </c>
      <c r="AI29" s="7">
        <v>0</v>
      </c>
      <c r="AJ29" s="7">
        <v>0</v>
      </c>
      <c r="AK29" s="7">
        <v>0</v>
      </c>
      <c r="AL29" s="7">
        <v>0</v>
      </c>
      <c r="AM29" s="7">
        <v>1</v>
      </c>
      <c r="AN29" s="69">
        <v>1</v>
      </c>
    </row>
    <row r="30" spans="1:40" ht="21" customHeight="1">
      <c r="A30" s="16" t="str">
        <f t="shared" si="15"/>
        <v>12004_1-3/348&lt;lv19&gt;s2</v>
      </c>
      <c r="B30" s="22">
        <v>12004</v>
      </c>
      <c r="C30" s="21">
        <v>1</v>
      </c>
      <c r="D30" s="2" t="str">
        <f t="shared" si="16"/>
        <v>12004_1</v>
      </c>
      <c r="E30" s="4" t="str">
        <f ca="1">VLOOKUP($B30,OFFSET([2]quests!$A$1,0,0,COUNTA([2]quests!$A:$A),MATCH(E$1,[2]quests!$1:$1,0)-MATCH($B$1,[2]quests!$1:$1,0)+1),MATCH(E$1,[2]quests!$1:$1,0)-MATCH($B$1,[2]quests!$1:$1,0)+1,FALSE)</f>
        <v>メタルフロッグをもとめて</v>
      </c>
      <c r="F30" s="4" t="str">
        <f ca="1">VLOOKUP($D30,OFFSET([2]stages!$A$1,0,0,COUNTA([2]stages!$A:$A),MATCH(F$1,[2]stages!$2:$2,0)-MATCH($D$1,[2]stages!$2:$2,0)+1),MATCH(F$1,[2]stages!$2:$2,0)-MATCH($D$1,[2]stages!$2:$2,0)+1,FALSE)</f>
        <v>【上級】メタルフロッグをもとめて</v>
      </c>
      <c r="G30" s="101">
        <v>3</v>
      </c>
      <c r="H30" s="15" t="str">
        <f t="shared" si="17"/>
        <v>12004_1-3</v>
      </c>
      <c r="I30" s="4">
        <f ca="1">VLOOKUP($H30,OFFSET(floors!$A$1,0,0,COUNTA(floors!$A:$A),MATCH(I$1,floors!$1:$1,0)-MATCH($H$1,floors!$1:$1,0)+1),MATCH(I$1,floors!$1:$1,0)-MATCH($H$1,floors!$1:$1,0)+1,FALSE)</f>
        <v>45</v>
      </c>
      <c r="J30" s="4">
        <f ca="1">VLOOKUP($H30,OFFSET(floors!$A$1,0,0,COUNTA(floors!$A:$A),MATCH(J$1,floors!$1:$1,0)-MATCH($H$1,floors!$1:$1,0)+1),MATCH(J$1,floors!$1:$1,0)-MATCH($H$1,floors!$1:$1,0)+1,FALSE)</f>
        <v>45</v>
      </c>
      <c r="K30" s="38" t="s">
        <v>53</v>
      </c>
      <c r="L30" s="20">
        <v>348</v>
      </c>
      <c r="M30" s="17" t="str">
        <f ca="1">VLOOKUP($L30,OFFSET([3]enemies!$A$1,0,0,COUNTA([3]enemies!$A:$A),MATCH(M$1,[3]enemies!$1:$1,0)-MATCH($L$1,[3]enemies!$1:$1,0)+1),MATCH(M$1,[3]enemies!$1:$1,0)-MATCH($L$1,[3]enemies!$1:$1,0)+1,FALSE)</f>
        <v>炎のケロケロ</v>
      </c>
      <c r="N30" s="17" t="str">
        <f ca="1">VLOOKUP($L30,OFFSET([3]enemies!$A$1,0,0,COUNTA([3]enemies!$A:$A),MATCH(N$1,[3]enemies!$1:$1,0)-MATCH($L$1,[3]enemies!$1:$1,0)+1),MATCH(N$1,[3]enemies!$1:$1,0)-MATCH($L$1,[3]enemies!$1:$1,0)+1,FALSE)</f>
        <v>red</v>
      </c>
      <c r="O30" s="17" t="str">
        <f ca="1">VLOOKUP($L30,OFFSET([4]characters!$A$1,0,0,COUNTA([4]characters!$A:$A),MATCH(O$1,[4]characters!$1:$1,0)-MATCH($L$1,[4]characters!$1:$1,0)+1),MATCH(O$1,[4]characters!$1:$1,0)-MATCH($L$1,[4]characters!$1:$1,0)+1,FALSE)</f>
        <v>Material</v>
      </c>
      <c r="P30" s="17" t="str">
        <f ca="1">VLOOKUP($L30,OFFSET([3]enemies!$A$1,0,0,COUNTA([3]enemies!$A:$A),MATCH(P$1,[3]enemies!$1:$1,0)-MATCH($L$1,[3]enemies!$1:$1,0)+1),MATCH(P$1,[3]enemies!$1:$1,0)-MATCH($L$1,[3]enemies!$1:$1,0)+1,FALSE)</f>
        <v>unknown</v>
      </c>
      <c r="Q30" s="17">
        <f ca="1">VLOOKUP($L30,OFFSET([3]enemies!$A$1,0,0,COUNTA([3]enemies!$A:$A),MATCH(Q$1,[3]enemies!$1:$1,0)-MATCH($L$1,[3]enemies!$1:$1,0)+1),MATCH(Q$1,[3]enemies!$1:$1,0)-MATCH($L$1,[3]enemies!$1:$1,0)+1,FALSE)</f>
        <v>15</v>
      </c>
      <c r="R30" s="5">
        <v>19</v>
      </c>
      <c r="S30" s="25">
        <v>1</v>
      </c>
      <c r="T30" s="25">
        <v>1.2</v>
      </c>
      <c r="U30" s="5">
        <v>0</v>
      </c>
      <c r="V30" s="4" t="e">
        <f ca="1">VLOOKUP($W30,OFFSET([5]enemy_skill_sets!$B$1,0,0,COUNTA([5]enemy_skill_sets!$B:$B),MATCH(M$1,[5]enemy_skill_sets!$1:$1,0)-MATCH($W$1,[5]enemy_skill_sets!$1:$1,0)+2),MATCH(M$1,[5]enemy_skill_sets!$1:$1,0)-MATCH($W$1,[5]enemy_skill_sets!$1:$1,0)+2,FALSE)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0" s="103">
        <v>12004001</v>
      </c>
      <c r="X30" s="6">
        <v>0</v>
      </c>
      <c r="Y30" s="6">
        <v>100</v>
      </c>
      <c r="Z30" s="6">
        <v>0</v>
      </c>
      <c r="AA30" s="17">
        <v>2</v>
      </c>
      <c r="AB30" s="24">
        <f t="shared" si="18"/>
        <v>348</v>
      </c>
      <c r="AC30" s="4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30" s="4">
        <f ca="1">VLOOKUP($AB30,OFFSET([4]characters!$A$1,0,0,COUNTA([4]characters!$A:$A),MATCH(AD$1,[4]characters!$1:$1,0)-MATCH("character_id",[4]characters!$1:$1,0)+1),MATCH(AD$1,[4]characters!$1:$1,0)-MATCH("character_id",[4]characters!$1:$1,0)+1,FALSE)</f>
        <v>2</v>
      </c>
      <c r="AE30" s="4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0" s="7">
        <v>1</v>
      </c>
      <c r="AG30" s="24">
        <f t="shared" ca="1" si="19"/>
        <v>2</v>
      </c>
      <c r="AH30" s="8">
        <v>70</v>
      </c>
      <c r="AI30" s="7">
        <v>0</v>
      </c>
      <c r="AJ30" s="7">
        <v>0</v>
      </c>
      <c r="AK30" s="7">
        <v>0</v>
      </c>
      <c r="AL30" s="7">
        <v>0</v>
      </c>
      <c r="AM30" s="7">
        <v>1</v>
      </c>
      <c r="AN30" s="69">
        <v>1</v>
      </c>
    </row>
    <row r="31" spans="1:40" ht="21" customHeight="1">
      <c r="A31" s="16" t="str">
        <f t="shared" si="15"/>
        <v>12004_1-3/350&lt;lv19&gt;s2</v>
      </c>
      <c r="B31" s="22">
        <v>12004</v>
      </c>
      <c r="C31" s="21">
        <v>1</v>
      </c>
      <c r="D31" s="2" t="str">
        <f t="shared" si="16"/>
        <v>12004_1</v>
      </c>
      <c r="E31" s="4" t="str">
        <f ca="1">VLOOKUP($B31,OFFSET([2]quests!$A$1,0,0,COUNTA([2]quests!$A:$A),MATCH(E$1,[2]quests!$1:$1,0)-MATCH($B$1,[2]quests!$1:$1,0)+1),MATCH(E$1,[2]quests!$1:$1,0)-MATCH($B$1,[2]quests!$1:$1,0)+1,FALSE)</f>
        <v>メタルフロッグをもとめて</v>
      </c>
      <c r="F31" s="4" t="str">
        <f ca="1">VLOOKUP($D31,OFFSET([2]stages!$A$1,0,0,COUNTA([2]stages!$A:$A),MATCH(F$1,[2]stages!$2:$2,0)-MATCH($D$1,[2]stages!$2:$2,0)+1),MATCH(F$1,[2]stages!$2:$2,0)-MATCH($D$1,[2]stages!$2:$2,0)+1,FALSE)</f>
        <v>【上級】メタルフロッグをもとめて</v>
      </c>
      <c r="G31" s="101">
        <v>3</v>
      </c>
      <c r="H31" s="15" t="str">
        <f t="shared" si="17"/>
        <v>12004_1-3</v>
      </c>
      <c r="I31" s="4">
        <f ca="1">VLOOKUP($H31,OFFSET(floors!$A$1,0,0,COUNTA(floors!$A:$A),MATCH(I$1,floors!$1:$1,0)-MATCH($H$1,floors!$1:$1,0)+1),MATCH(I$1,floors!$1:$1,0)-MATCH($H$1,floors!$1:$1,0)+1,FALSE)</f>
        <v>45</v>
      </c>
      <c r="J31" s="4">
        <f ca="1">VLOOKUP($H31,OFFSET(floors!$A$1,0,0,COUNTA(floors!$A:$A),MATCH(J$1,floors!$1:$1,0)-MATCH($H$1,floors!$1:$1,0)+1),MATCH(J$1,floors!$1:$1,0)-MATCH($H$1,floors!$1:$1,0)+1,FALSE)</f>
        <v>45</v>
      </c>
      <c r="K31" s="38" t="s">
        <v>53</v>
      </c>
      <c r="L31" s="20">
        <v>350</v>
      </c>
      <c r="M31" s="17" t="str">
        <f ca="1">VLOOKUP($L31,OFFSET([3]enemies!$A$1,0,0,COUNTA([3]enemies!$A:$A),MATCH(M$1,[3]enemies!$1:$1,0)-MATCH($L$1,[3]enemies!$1:$1,0)+1),MATCH(M$1,[3]enemies!$1:$1,0)-MATCH($L$1,[3]enemies!$1:$1,0)+1,FALSE)</f>
        <v>森のケロケロ</v>
      </c>
      <c r="N31" s="17" t="str">
        <f ca="1">VLOOKUP($L31,OFFSET([3]enemies!$A$1,0,0,COUNTA([3]enemies!$A:$A),MATCH(N$1,[3]enemies!$1:$1,0)-MATCH($L$1,[3]enemies!$1:$1,0)+1),MATCH(N$1,[3]enemies!$1:$1,0)-MATCH($L$1,[3]enemies!$1:$1,0)+1,FALSE)</f>
        <v>green</v>
      </c>
      <c r="O31" s="17" t="str">
        <f ca="1">VLOOKUP($L31,OFFSET([4]characters!$A$1,0,0,COUNTA([4]characters!$A:$A),MATCH(O$1,[4]characters!$1:$1,0)-MATCH($L$1,[4]characters!$1:$1,0)+1),MATCH(O$1,[4]characters!$1:$1,0)-MATCH($L$1,[4]characters!$1:$1,0)+1,FALSE)</f>
        <v>Material</v>
      </c>
      <c r="P31" s="17" t="str">
        <f ca="1">VLOOKUP($L31,OFFSET([3]enemies!$A$1,0,0,COUNTA([3]enemies!$A:$A),MATCH(P$1,[3]enemies!$1:$1,0)-MATCH($L$1,[3]enemies!$1:$1,0)+1),MATCH(P$1,[3]enemies!$1:$1,0)-MATCH($L$1,[3]enemies!$1:$1,0)+1,FALSE)</f>
        <v>unknown</v>
      </c>
      <c r="Q31" s="17">
        <f ca="1">VLOOKUP($L31,OFFSET([3]enemies!$A$1,0,0,COUNTA([3]enemies!$A:$A),MATCH(Q$1,[3]enemies!$1:$1,0)-MATCH($L$1,[3]enemies!$1:$1,0)+1),MATCH(Q$1,[3]enemies!$1:$1,0)-MATCH($L$1,[3]enemies!$1:$1,0)+1,FALSE)</f>
        <v>15</v>
      </c>
      <c r="R31" s="5">
        <v>19</v>
      </c>
      <c r="S31" s="25">
        <v>1</v>
      </c>
      <c r="T31" s="25">
        <v>1.2</v>
      </c>
      <c r="U31" s="5">
        <v>0</v>
      </c>
      <c r="V31" s="4" t="e">
        <f ca="1">VLOOKUP($W31,OFFSET([5]enemy_skill_sets!$B$1,0,0,COUNTA([5]enemy_skill_sets!$B:$B),MATCH(M$1,[5]enemy_skill_sets!$1:$1,0)-MATCH($W$1,[5]enemy_skill_sets!$1:$1,0)+2),MATCH(M$1,[5]enemy_skill_sets!$1:$1,0)-MATCH($W$1,[5]enemy_skill_sets!$1:$1,0)+2,FALSE)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1" s="103">
        <v>12004002</v>
      </c>
      <c r="X31" s="6">
        <v>0</v>
      </c>
      <c r="Y31" s="6">
        <v>100</v>
      </c>
      <c r="Z31" s="6">
        <v>0</v>
      </c>
      <c r="AA31" s="17">
        <v>2</v>
      </c>
      <c r="AB31" s="24">
        <f t="shared" si="18"/>
        <v>350</v>
      </c>
      <c r="AC31" s="4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31" s="4">
        <f ca="1">VLOOKUP($AB31,OFFSET([4]characters!$A$1,0,0,COUNTA([4]characters!$A:$A),MATCH(AD$1,[4]characters!$1:$1,0)-MATCH("character_id",[4]characters!$1:$1,0)+1),MATCH(AD$1,[4]characters!$1:$1,0)-MATCH("character_id",[4]characters!$1:$1,0)+1,FALSE)</f>
        <v>2</v>
      </c>
      <c r="AE31" s="4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1" s="7">
        <v>1</v>
      </c>
      <c r="AG31" s="24">
        <f t="shared" ca="1" si="19"/>
        <v>2</v>
      </c>
      <c r="AH31" s="8">
        <v>70</v>
      </c>
      <c r="AI31" s="7">
        <v>0</v>
      </c>
      <c r="AJ31" s="7">
        <v>0</v>
      </c>
      <c r="AK31" s="7">
        <v>0</v>
      </c>
      <c r="AL31" s="7">
        <v>0</v>
      </c>
      <c r="AM31" s="7">
        <v>1</v>
      </c>
      <c r="AN31" s="69">
        <v>1</v>
      </c>
    </row>
    <row r="32" spans="1:40" ht="21" customHeight="1">
      <c r="A32" s="16" t="str">
        <f t="shared" si="15"/>
        <v>12004_1-3/352&lt;lv19&gt;s2</v>
      </c>
      <c r="B32" s="22">
        <v>12004</v>
      </c>
      <c r="C32" s="21">
        <v>1</v>
      </c>
      <c r="D32" s="2" t="str">
        <f t="shared" si="16"/>
        <v>12004_1</v>
      </c>
      <c r="E32" s="4" t="str">
        <f ca="1">VLOOKUP($B32,OFFSET([2]quests!$A$1,0,0,COUNTA([2]quests!$A:$A),MATCH(E$1,[2]quests!$1:$1,0)-MATCH($B$1,[2]quests!$1:$1,0)+1),MATCH(E$1,[2]quests!$1:$1,0)-MATCH($B$1,[2]quests!$1:$1,0)+1,FALSE)</f>
        <v>メタルフロッグをもとめて</v>
      </c>
      <c r="F32" s="4" t="str">
        <f ca="1">VLOOKUP($D32,OFFSET([2]stages!$A$1,0,0,COUNTA([2]stages!$A:$A),MATCH(F$1,[2]stages!$2:$2,0)-MATCH($D$1,[2]stages!$2:$2,0)+1),MATCH(F$1,[2]stages!$2:$2,0)-MATCH($D$1,[2]stages!$2:$2,0)+1,FALSE)</f>
        <v>【上級】メタルフロッグをもとめて</v>
      </c>
      <c r="G32" s="101">
        <v>3</v>
      </c>
      <c r="H32" s="15" t="str">
        <f t="shared" si="17"/>
        <v>12004_1-3</v>
      </c>
      <c r="I32" s="4">
        <f ca="1">VLOOKUP($H32,OFFSET(floors!$A$1,0,0,COUNTA(floors!$A:$A),MATCH(I$1,floors!$1:$1,0)-MATCH($H$1,floors!$1:$1,0)+1),MATCH(I$1,floors!$1:$1,0)-MATCH($H$1,floors!$1:$1,0)+1,FALSE)</f>
        <v>45</v>
      </c>
      <c r="J32" s="4">
        <f ca="1">VLOOKUP($H32,OFFSET(floors!$A$1,0,0,COUNTA(floors!$A:$A),MATCH(J$1,floors!$1:$1,0)-MATCH($H$1,floors!$1:$1,0)+1),MATCH(J$1,floors!$1:$1,0)-MATCH($H$1,floors!$1:$1,0)+1,FALSE)</f>
        <v>45</v>
      </c>
      <c r="K32" s="38" t="s">
        <v>53</v>
      </c>
      <c r="L32" s="20">
        <v>352</v>
      </c>
      <c r="M32" s="17" t="str">
        <f ca="1">VLOOKUP($L32,OFFSET([3]enemies!$A$1,0,0,COUNTA([3]enemies!$A:$A),MATCH(M$1,[3]enemies!$1:$1,0)-MATCH($L$1,[3]enemies!$1:$1,0)+1),MATCH(M$1,[3]enemies!$1:$1,0)-MATCH($L$1,[3]enemies!$1:$1,0)+1,FALSE)</f>
        <v>水のケロケロ</v>
      </c>
      <c r="N32" s="17" t="str">
        <f ca="1">VLOOKUP($L32,OFFSET([3]enemies!$A$1,0,0,COUNTA([3]enemies!$A:$A),MATCH(N$1,[3]enemies!$1:$1,0)-MATCH($L$1,[3]enemies!$1:$1,0)+1),MATCH(N$1,[3]enemies!$1:$1,0)-MATCH($L$1,[3]enemies!$1:$1,0)+1,FALSE)</f>
        <v>blue</v>
      </c>
      <c r="O32" s="17" t="str">
        <f ca="1">VLOOKUP($L32,OFFSET([4]characters!$A$1,0,0,COUNTA([4]characters!$A:$A),MATCH(O$1,[4]characters!$1:$1,0)-MATCH($L$1,[4]characters!$1:$1,0)+1),MATCH(O$1,[4]characters!$1:$1,0)-MATCH($L$1,[4]characters!$1:$1,0)+1,FALSE)</f>
        <v>Material</v>
      </c>
      <c r="P32" s="17" t="str">
        <f ca="1">VLOOKUP($L32,OFFSET([3]enemies!$A$1,0,0,COUNTA([3]enemies!$A:$A),MATCH(P$1,[3]enemies!$1:$1,0)-MATCH($L$1,[3]enemies!$1:$1,0)+1),MATCH(P$1,[3]enemies!$1:$1,0)-MATCH($L$1,[3]enemies!$1:$1,0)+1,FALSE)</f>
        <v>unknown</v>
      </c>
      <c r="Q32" s="17">
        <f ca="1">VLOOKUP($L32,OFFSET([3]enemies!$A$1,0,0,COUNTA([3]enemies!$A:$A),MATCH(Q$1,[3]enemies!$1:$1,0)-MATCH($L$1,[3]enemies!$1:$1,0)+1),MATCH(Q$1,[3]enemies!$1:$1,0)-MATCH($L$1,[3]enemies!$1:$1,0)+1,FALSE)</f>
        <v>15</v>
      </c>
      <c r="R32" s="5">
        <v>19</v>
      </c>
      <c r="S32" s="25">
        <v>1</v>
      </c>
      <c r="T32" s="25">
        <v>1.2</v>
      </c>
      <c r="U32" s="5">
        <v>0</v>
      </c>
      <c r="V32" s="4" t="e">
        <f ca="1">VLOOKUP($W32,OFFSET([5]enemy_skill_sets!$B$1,0,0,COUNTA([5]enemy_skill_sets!$B:$B),MATCH(M$1,[5]enemy_skill_sets!$1:$1,0)-MATCH($W$1,[5]enemy_skill_sets!$1:$1,0)+2),MATCH(M$1,[5]enemy_skill_sets!$1:$1,0)-MATCH($W$1,[5]enemy_skill_sets!$1:$1,0)+2,FALSE)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2" s="103">
        <v>12004003</v>
      </c>
      <c r="X32" s="6">
        <v>0</v>
      </c>
      <c r="Y32" s="6">
        <v>100</v>
      </c>
      <c r="Z32" s="6">
        <v>0</v>
      </c>
      <c r="AA32" s="17">
        <v>2</v>
      </c>
      <c r="AB32" s="24">
        <f t="shared" si="18"/>
        <v>352</v>
      </c>
      <c r="AC32" s="4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水のケロケロ</v>
      </c>
      <c r="AD32" s="4">
        <f ca="1">VLOOKUP($AB32,OFFSET([4]characters!$A$1,0,0,COUNTA([4]characters!$A:$A),MATCH(AD$1,[4]characters!$1:$1,0)-MATCH("character_id",[4]characters!$1:$1,0)+1),MATCH(AD$1,[4]characters!$1:$1,0)-MATCH("character_id",[4]characters!$1:$1,0)+1,FALSE)</f>
        <v>2</v>
      </c>
      <c r="AE32" s="4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2" s="7">
        <v>1</v>
      </c>
      <c r="AG32" s="24">
        <f t="shared" ca="1" si="19"/>
        <v>2</v>
      </c>
      <c r="AH32" s="8">
        <v>70</v>
      </c>
      <c r="AI32" s="7">
        <v>0</v>
      </c>
      <c r="AJ32" s="7">
        <v>0</v>
      </c>
      <c r="AK32" s="7">
        <v>0</v>
      </c>
      <c r="AL32" s="7">
        <v>0</v>
      </c>
      <c r="AM32" s="7">
        <v>1</v>
      </c>
      <c r="AN32" s="69">
        <v>1</v>
      </c>
    </row>
    <row r="33" spans="1:40" ht="21" customHeight="1">
      <c r="A33" s="16" t="str">
        <f t="shared" si="15"/>
        <v>12004_1-3/354&lt;lv19&gt;s2</v>
      </c>
      <c r="B33" s="22">
        <v>12004</v>
      </c>
      <c r="C33" s="21">
        <v>1</v>
      </c>
      <c r="D33" s="2" t="str">
        <f t="shared" si="16"/>
        <v>12004_1</v>
      </c>
      <c r="E33" s="4" t="str">
        <f ca="1">VLOOKUP($B33,OFFSET([2]quests!$A$1,0,0,COUNTA([2]quests!$A:$A),MATCH(E$1,[2]quests!$1:$1,0)-MATCH($B$1,[2]quests!$1:$1,0)+1),MATCH(E$1,[2]quests!$1:$1,0)-MATCH($B$1,[2]quests!$1:$1,0)+1,FALSE)</f>
        <v>メタルフロッグをもとめて</v>
      </c>
      <c r="F33" s="4" t="str">
        <f ca="1">VLOOKUP($D33,OFFSET([2]stages!$A$1,0,0,COUNTA([2]stages!$A:$A),MATCH(F$1,[2]stages!$2:$2,0)-MATCH($D$1,[2]stages!$2:$2,0)+1),MATCH(F$1,[2]stages!$2:$2,0)-MATCH($D$1,[2]stages!$2:$2,0)+1,FALSE)</f>
        <v>【上級】メタルフロッグをもとめて</v>
      </c>
      <c r="G33" s="101">
        <v>3</v>
      </c>
      <c r="H33" s="15" t="str">
        <f t="shared" si="17"/>
        <v>12004_1-3</v>
      </c>
      <c r="I33" s="4">
        <f ca="1">VLOOKUP($H33,OFFSET(floors!$A$1,0,0,COUNTA(floors!$A:$A),MATCH(I$1,floors!$1:$1,0)-MATCH($H$1,floors!$1:$1,0)+1),MATCH(I$1,floors!$1:$1,0)-MATCH($H$1,floors!$1:$1,0)+1,FALSE)</f>
        <v>45</v>
      </c>
      <c r="J33" s="4">
        <f ca="1">VLOOKUP($H33,OFFSET(floors!$A$1,0,0,COUNTA(floors!$A:$A),MATCH(J$1,floors!$1:$1,0)-MATCH($H$1,floors!$1:$1,0)+1),MATCH(J$1,floors!$1:$1,0)-MATCH($H$1,floors!$1:$1,0)+1,FALSE)</f>
        <v>45</v>
      </c>
      <c r="K33" s="38" t="s">
        <v>53</v>
      </c>
      <c r="L33" s="20">
        <v>354</v>
      </c>
      <c r="M33" s="17" t="str">
        <f ca="1">VLOOKUP($L33,OFFSET([3]enemies!$A$1,0,0,COUNTA([3]enemies!$A:$A),MATCH(M$1,[3]enemies!$1:$1,0)-MATCH($L$1,[3]enemies!$1:$1,0)+1),MATCH(M$1,[3]enemies!$1:$1,0)-MATCH($L$1,[3]enemies!$1:$1,0)+1,FALSE)</f>
        <v>雷のケロケロ</v>
      </c>
      <c r="N33" s="17" t="str">
        <f ca="1">VLOOKUP($L33,OFFSET([3]enemies!$A$1,0,0,COUNTA([3]enemies!$A:$A),MATCH(N$1,[3]enemies!$1:$1,0)-MATCH($L$1,[3]enemies!$1:$1,0)+1),MATCH(N$1,[3]enemies!$1:$1,0)-MATCH($L$1,[3]enemies!$1:$1,0)+1,FALSE)</f>
        <v>yellow</v>
      </c>
      <c r="O33" s="17" t="str">
        <f ca="1">VLOOKUP($L33,OFFSET([4]characters!$A$1,0,0,COUNTA([4]characters!$A:$A),MATCH(O$1,[4]characters!$1:$1,0)-MATCH($L$1,[4]characters!$1:$1,0)+1),MATCH(O$1,[4]characters!$1:$1,0)-MATCH($L$1,[4]characters!$1:$1,0)+1,FALSE)</f>
        <v>Material</v>
      </c>
      <c r="P33" s="17" t="str">
        <f ca="1">VLOOKUP($L33,OFFSET([3]enemies!$A$1,0,0,COUNTA([3]enemies!$A:$A),MATCH(P$1,[3]enemies!$1:$1,0)-MATCH($L$1,[3]enemies!$1:$1,0)+1),MATCH(P$1,[3]enemies!$1:$1,0)-MATCH($L$1,[3]enemies!$1:$1,0)+1,FALSE)</f>
        <v>unknown</v>
      </c>
      <c r="Q33" s="17">
        <f ca="1">VLOOKUP($L33,OFFSET([3]enemies!$A$1,0,0,COUNTA([3]enemies!$A:$A),MATCH(Q$1,[3]enemies!$1:$1,0)-MATCH($L$1,[3]enemies!$1:$1,0)+1),MATCH(Q$1,[3]enemies!$1:$1,0)-MATCH($L$1,[3]enemies!$1:$1,0)+1,FALSE)</f>
        <v>15</v>
      </c>
      <c r="R33" s="5">
        <v>19</v>
      </c>
      <c r="S33" s="25">
        <v>1</v>
      </c>
      <c r="T33" s="25">
        <v>1.2</v>
      </c>
      <c r="U33" s="5">
        <v>0</v>
      </c>
      <c r="V33" s="4" t="e">
        <f ca="1">VLOOKUP($W33,OFFSET([5]enemy_skill_sets!$B$1,0,0,COUNTA([5]enemy_skill_sets!$B:$B),MATCH(M$1,[5]enemy_skill_sets!$1:$1,0)-MATCH($W$1,[5]enemy_skill_sets!$1:$1,0)+2),MATCH(M$1,[5]enemy_skill_sets!$1:$1,0)-MATCH($W$1,[5]enemy_skill_sets!$1:$1,0)+2,FALSE)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3" s="103">
        <v>12004004</v>
      </c>
      <c r="X33" s="6">
        <v>0</v>
      </c>
      <c r="Y33" s="6">
        <v>100</v>
      </c>
      <c r="Z33" s="6">
        <v>0</v>
      </c>
      <c r="AA33" s="17">
        <v>2</v>
      </c>
      <c r="AB33" s="24">
        <f t="shared" si="18"/>
        <v>354</v>
      </c>
      <c r="AC33" s="4" t="str">
        <f ca="1">VLOOKUP($AB33,OFFSET([4]characters!$A$1,0,0,COUNTA([4]characters!$A:$A),MATCH(AC$1,[4]characters!$1:$1,0)-MATCH("character_id",[4]characters!$1:$1,0)+1),MATCH(AC$1,[4]characters!$1:$1,0)-MATCH("character_id",[4]characters!$1:$1,0)+1,FALSE)</f>
        <v>雷のケロケロ</v>
      </c>
      <c r="AD33" s="4">
        <f ca="1">VLOOKUP($AB33,OFFSET([4]characters!$A$1,0,0,COUNTA([4]characters!$A:$A),MATCH(AD$1,[4]characters!$1:$1,0)-MATCH("character_id",[4]characters!$1:$1,0)+1),MATCH(AD$1,[4]characters!$1:$1,0)-MATCH("character_id",[4]characters!$1:$1,0)+1,FALSE)</f>
        <v>2</v>
      </c>
      <c r="AE33" s="4" t="str">
        <f ca="1">VLOOKUP($AB33,OFFSET([4]characters!$A$1,0,0,COUNTA([4]characters!$A:$A),MATCH(AE$1,[4]characters!$1:$1,0)-MATCH("character_id",[4]characters!$1:$1,0)+1),MATCH(AE$1,[4]characters!$1:$1,0)-MATCH("character_id",[4]characters!$1:$1,0)+1,FALSE)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3" s="7">
        <v>1</v>
      </c>
      <c r="AG33" s="24">
        <f t="shared" ca="1" si="19"/>
        <v>2</v>
      </c>
      <c r="AH33" s="8">
        <v>70</v>
      </c>
      <c r="AI33" s="7">
        <v>0</v>
      </c>
      <c r="AJ33" s="7">
        <v>0</v>
      </c>
      <c r="AK33" s="7">
        <v>0</v>
      </c>
      <c r="AL33" s="7">
        <v>0</v>
      </c>
      <c r="AM33" s="7">
        <v>1</v>
      </c>
      <c r="AN33" s="69">
        <v>1</v>
      </c>
    </row>
    <row r="34" spans="1:40" ht="21" customHeight="1">
      <c r="A34" s="16" t="str">
        <f t="shared" ref="A34:A41" si="20">B34&amp;"_"&amp;C34&amp;"-"&amp;G34&amp;"/"&amp;L34&amp;"&lt;lv"&amp;R34&amp;"&gt;s"&amp;AA34</f>
        <v>12004_1-3/333&lt;lv4&gt;s2</v>
      </c>
      <c r="B34" s="22">
        <v>12004</v>
      </c>
      <c r="C34" s="21">
        <v>1</v>
      </c>
      <c r="D34" s="2" t="str">
        <f t="shared" ref="D34:D41" si="21">B34&amp;"_"&amp;C34</f>
        <v>12004_1</v>
      </c>
      <c r="E34" s="4" t="str">
        <f ca="1">VLOOKUP($B34,OFFSET([2]quests!$A$1,0,0,COUNTA([2]quests!$A:$A),MATCH(E$1,[2]quests!$1:$1,0)-MATCH($B$1,[2]quests!$1:$1,0)+1),MATCH(E$1,[2]quests!$1:$1,0)-MATCH($B$1,[2]quests!$1:$1,0)+1,FALSE)</f>
        <v>メタルフロッグをもとめて</v>
      </c>
      <c r="F34" s="4" t="str">
        <f ca="1">VLOOKUP($D34,OFFSET([2]stages!$A$1,0,0,COUNTA([2]stages!$A:$A),MATCH(F$1,[2]stages!$2:$2,0)-MATCH($D$1,[2]stages!$2:$2,0)+1),MATCH(F$1,[2]stages!$2:$2,0)-MATCH($D$1,[2]stages!$2:$2,0)+1,FALSE)</f>
        <v>【上級】メタルフロッグをもとめて</v>
      </c>
      <c r="G34" s="101">
        <v>3</v>
      </c>
      <c r="H34" s="15" t="str">
        <f t="shared" ref="H34:H41" si="22">B34&amp;"_"&amp;C34&amp;"-"&amp;G34</f>
        <v>12004_1-3</v>
      </c>
      <c r="I34" s="4">
        <f ca="1">VLOOKUP($H34,OFFSET(floors!$A$1,0,0,COUNTA(floors!$A:$A),MATCH(I$1,floors!$1:$1,0)-MATCH($H$1,floors!$1:$1,0)+1),MATCH(I$1,floors!$1:$1,0)-MATCH($H$1,floors!$1:$1,0)+1,FALSE)</f>
        <v>45</v>
      </c>
      <c r="J34" s="4">
        <f ca="1">VLOOKUP($H34,OFFSET(floors!$A$1,0,0,COUNTA(floors!$A:$A),MATCH(J$1,floors!$1:$1,0)-MATCH($H$1,floors!$1:$1,0)+1),MATCH(J$1,floors!$1:$1,0)-MATCH($H$1,floors!$1:$1,0)+1,FALSE)</f>
        <v>45</v>
      </c>
      <c r="K34" s="38" t="s">
        <v>53</v>
      </c>
      <c r="L34" s="20">
        <v>333</v>
      </c>
      <c r="M34" s="17" t="str">
        <f ca="1">VLOOKUP($L34,OFFSET([3]enemies!$A$1,0,0,COUNTA([3]enemies!$A:$A),MATCH(M$1,[3]enemies!$1:$1,0)-MATCH($L$1,[3]enemies!$1:$1,0)+1),MATCH(M$1,[3]enemies!$1:$1,0)-MATCH($L$1,[3]enemies!$1:$1,0)+1,FALSE)</f>
        <v>炎のメタルチック</v>
      </c>
      <c r="N34" s="17" t="str">
        <f ca="1">VLOOKUP($L34,OFFSET([3]enemies!$A$1,0,0,COUNTA([3]enemies!$A:$A),MATCH(N$1,[3]enemies!$1:$1,0)-MATCH($L$1,[3]enemies!$1:$1,0)+1),MATCH(N$1,[3]enemies!$1:$1,0)-MATCH($L$1,[3]enemies!$1:$1,0)+1,FALSE)</f>
        <v>red</v>
      </c>
      <c r="O34" s="17" t="str">
        <f ca="1">VLOOKUP($L34,OFFSET([4]characters!$A$1,0,0,COUNTA([4]characters!$A:$A),MATCH(O$1,[4]characters!$1:$1,0)-MATCH($L$1,[4]characters!$1:$1,0)+1),MATCH(O$1,[4]characters!$1:$1,0)-MATCH($L$1,[4]characters!$1:$1,0)+1,FALSE)</f>
        <v>Material</v>
      </c>
      <c r="P34" s="17" t="str">
        <f ca="1">VLOOKUP($L34,OFFSET([3]enemies!$A$1,0,0,COUNTA([3]enemies!$A:$A),MATCH(P$1,[3]enemies!$1:$1,0)-MATCH($L$1,[3]enemies!$1:$1,0)+1),MATCH(P$1,[3]enemies!$1:$1,0)-MATCH($L$1,[3]enemies!$1:$1,0)+1,FALSE)</f>
        <v>unknown</v>
      </c>
      <c r="Q34" s="17">
        <f ca="1">VLOOKUP($L34,OFFSET([3]enemies!$A$1,0,0,COUNTA([3]enemies!$A:$A),MATCH(Q$1,[3]enemies!$1:$1,0)-MATCH($L$1,[3]enemies!$1:$1,0)+1),MATCH(Q$1,[3]enemies!$1:$1,0)-MATCH($L$1,[3]enemies!$1:$1,0)+1,FALSE)</f>
        <v>15</v>
      </c>
      <c r="R34" s="5">
        <v>4</v>
      </c>
      <c r="S34" s="25">
        <v>1</v>
      </c>
      <c r="T34" s="25">
        <v>1.2</v>
      </c>
      <c r="U34" s="5">
        <v>-1000</v>
      </c>
      <c r="V34" s="4" t="str">
        <f ca="1">VLOOKUP($W34,OFFSET([5]enemy_skill_sets!$B$1,0,0,COUNTA([5]enemy_skill_sets!$B:$B),MATCH(M$1,[5]enemy_skill_sets!$1:$1,0)-MATCH($W$1,[5]enemy_skill_sets!$1:$1,0)+2),MATCH(M$1,[5]enemy_skill_sets!$1:$1,0)-MATCH($W$1,[5]enemy_skill_sets!$1:$1,0)+2,FALSE)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4" s="4">
        <f ca="1">VLOOKUP($L34,OFFSET([3]enemies!$A$1,0,0,COUNTA([3]enemies!$A:$A),MATCH(W$1,[3]enemies!$1:$1,0)-MATCH($L$1,[3]enemies!$1:$1,0)+1),MATCH(W$1,[3]enemies!$1:$1,0)-MATCH($L$1,[3]enemies!$1:$1,0)+1,FALSE)</f>
        <v>0</v>
      </c>
      <c r="X34" s="6">
        <v>0</v>
      </c>
      <c r="Y34" s="6">
        <v>100</v>
      </c>
      <c r="Z34" s="6">
        <v>1</v>
      </c>
      <c r="AA34" s="17">
        <v>2</v>
      </c>
      <c r="AB34" s="24">
        <f t="shared" ref="AB34:AB41" si="23">L34</f>
        <v>333</v>
      </c>
      <c r="AC34" s="4" t="str">
        <f ca="1">VLOOKUP($AB34,OFFSET([4]characters!$A$1,0,0,COUNTA([4]characters!$A:$A),MATCH(AC$1,[4]characters!$1:$1,0)-MATCH("character_id",[4]characters!$1:$1,0)+1),MATCH(AC$1,[4]characters!$1:$1,0)-MATCH("character_id",[4]characters!$1:$1,0)+1,FALSE)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34" s="4">
        <f ca="1">VLOOKUP($AB34,OFFSET([4]characters!$A$1,0,0,COUNTA([4]characters!$A:$A),MATCH(AD$1,[4]characters!$1:$1,0)-MATCH("character_id",[4]characters!$1:$1,0)+1),MATCH(AD$1,[4]characters!$1:$1,0)-MATCH("character_id",[4]characters!$1:$1,0)+1,FALSE)</f>
        <v>4</v>
      </c>
      <c r="AE34" s="4" t="str">
        <f ca="1">VLOOKUP($AB34,OFFSET([4]characters!$A$1,0,0,COUNTA([4]characters!$A:$A),MATCH(AE$1,[4]characters!$1:$1,0)-MATCH("character_id",[4]characters!$1:$1,0)+1),MATCH(AE$1,[4]characters!$1:$1,0)-MATCH("character_id",[4]characters!$1:$1,0)+1,FALSE)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4" s="7">
        <v>1</v>
      </c>
      <c r="AG34" s="24">
        <f t="shared" ref="AG34:AG41" ca="1" si="24">AD34</f>
        <v>4</v>
      </c>
      <c r="AH34" s="8">
        <v>15</v>
      </c>
      <c r="AI34" s="7">
        <v>0</v>
      </c>
      <c r="AJ34" s="7">
        <v>0</v>
      </c>
      <c r="AK34" s="7">
        <v>0</v>
      </c>
      <c r="AL34" s="7">
        <v>0</v>
      </c>
      <c r="AM34" s="7">
        <v>1</v>
      </c>
      <c r="AN34" s="69">
        <v>1</v>
      </c>
    </row>
    <row r="35" spans="1:40" ht="21" customHeight="1">
      <c r="A35" s="16" t="str">
        <f t="shared" si="20"/>
        <v>12004_1-3/337&lt;lv4&gt;s2</v>
      </c>
      <c r="B35" s="22">
        <v>12004</v>
      </c>
      <c r="C35" s="21">
        <v>1</v>
      </c>
      <c r="D35" s="2" t="str">
        <f t="shared" si="21"/>
        <v>12004_1</v>
      </c>
      <c r="E35" s="4" t="str">
        <f ca="1">VLOOKUP($B35,OFFSET([2]quests!$A$1,0,0,COUNTA([2]quests!$A:$A),MATCH(E$1,[2]quests!$1:$1,0)-MATCH($B$1,[2]quests!$1:$1,0)+1),MATCH(E$1,[2]quests!$1:$1,0)-MATCH($B$1,[2]quests!$1:$1,0)+1,FALSE)</f>
        <v>メタルフロッグをもとめて</v>
      </c>
      <c r="F35" s="4" t="str">
        <f ca="1">VLOOKUP($D35,OFFSET([2]stages!$A$1,0,0,COUNTA([2]stages!$A:$A),MATCH(F$1,[2]stages!$2:$2,0)-MATCH($D$1,[2]stages!$2:$2,0)+1),MATCH(F$1,[2]stages!$2:$2,0)-MATCH($D$1,[2]stages!$2:$2,0)+1,FALSE)</f>
        <v>【上級】メタルフロッグをもとめて</v>
      </c>
      <c r="G35" s="101">
        <v>3</v>
      </c>
      <c r="H35" s="15" t="str">
        <f t="shared" si="22"/>
        <v>12004_1-3</v>
      </c>
      <c r="I35" s="4">
        <f ca="1">VLOOKUP($H35,OFFSET(floors!$A$1,0,0,COUNTA(floors!$A:$A),MATCH(I$1,floors!$1:$1,0)-MATCH($H$1,floors!$1:$1,0)+1),MATCH(I$1,floors!$1:$1,0)-MATCH($H$1,floors!$1:$1,0)+1,FALSE)</f>
        <v>45</v>
      </c>
      <c r="J35" s="4">
        <f ca="1">VLOOKUP($H35,OFFSET(floors!$A$1,0,0,COUNTA(floors!$A:$A),MATCH(J$1,floors!$1:$1,0)-MATCH($H$1,floors!$1:$1,0)+1),MATCH(J$1,floors!$1:$1,0)-MATCH($H$1,floors!$1:$1,0)+1,FALSE)</f>
        <v>45</v>
      </c>
      <c r="K35" s="38" t="s">
        <v>53</v>
      </c>
      <c r="L35" s="20">
        <v>337</v>
      </c>
      <c r="M35" s="17" t="str">
        <f ca="1">VLOOKUP($L35,OFFSET([3]enemies!$A$1,0,0,COUNTA([3]enemies!$A:$A),MATCH(M$1,[3]enemies!$1:$1,0)-MATCH($L$1,[3]enemies!$1:$1,0)+1),MATCH(M$1,[3]enemies!$1:$1,0)-MATCH($L$1,[3]enemies!$1:$1,0)+1,FALSE)</f>
        <v>森のメタルチック</v>
      </c>
      <c r="N35" s="17" t="str">
        <f ca="1">VLOOKUP($L35,OFFSET([3]enemies!$A$1,0,0,COUNTA([3]enemies!$A:$A),MATCH(N$1,[3]enemies!$1:$1,0)-MATCH($L$1,[3]enemies!$1:$1,0)+1),MATCH(N$1,[3]enemies!$1:$1,0)-MATCH($L$1,[3]enemies!$1:$1,0)+1,FALSE)</f>
        <v>green</v>
      </c>
      <c r="O35" s="17" t="str">
        <f ca="1">VLOOKUP($L35,OFFSET([4]characters!$A$1,0,0,COUNTA([4]characters!$A:$A),MATCH(O$1,[4]characters!$1:$1,0)-MATCH($L$1,[4]characters!$1:$1,0)+1),MATCH(O$1,[4]characters!$1:$1,0)-MATCH($L$1,[4]characters!$1:$1,0)+1,FALSE)</f>
        <v>Material</v>
      </c>
      <c r="P35" s="17" t="str">
        <f ca="1">VLOOKUP($L35,OFFSET([3]enemies!$A$1,0,0,COUNTA([3]enemies!$A:$A),MATCH(P$1,[3]enemies!$1:$1,0)-MATCH($L$1,[3]enemies!$1:$1,0)+1),MATCH(P$1,[3]enemies!$1:$1,0)-MATCH($L$1,[3]enemies!$1:$1,0)+1,FALSE)</f>
        <v>unknown</v>
      </c>
      <c r="Q35" s="17">
        <f ca="1">VLOOKUP($L35,OFFSET([3]enemies!$A$1,0,0,COUNTA([3]enemies!$A:$A),MATCH(Q$1,[3]enemies!$1:$1,0)-MATCH($L$1,[3]enemies!$1:$1,0)+1),MATCH(Q$1,[3]enemies!$1:$1,0)-MATCH($L$1,[3]enemies!$1:$1,0)+1,FALSE)</f>
        <v>15</v>
      </c>
      <c r="R35" s="5">
        <v>4</v>
      </c>
      <c r="S35" s="25">
        <v>1</v>
      </c>
      <c r="T35" s="25">
        <v>1.2</v>
      </c>
      <c r="U35" s="5">
        <v>-1000</v>
      </c>
      <c r="V35" s="4" t="str">
        <f ca="1">VLOOKUP($W35,OFFSET([5]enemy_skill_sets!$B$1,0,0,COUNTA([5]enemy_skill_sets!$B:$B),MATCH(M$1,[5]enemy_skill_sets!$1:$1,0)-MATCH($W$1,[5]enemy_skill_sets!$1:$1,0)+2),MATCH(M$1,[5]enemy_skill_sets!$1:$1,0)-MATCH($W$1,[5]enemy_skill_sets!$1:$1,0)+2,FALSE)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5" s="4">
        <f ca="1">VLOOKUP($L35,OFFSET([3]enemies!$A$1,0,0,COUNTA([3]enemies!$A:$A),MATCH(W$1,[3]enemies!$1:$1,0)-MATCH($L$1,[3]enemies!$1:$1,0)+1),MATCH(W$1,[3]enemies!$1:$1,0)-MATCH($L$1,[3]enemies!$1:$1,0)+1,FALSE)</f>
        <v>0</v>
      </c>
      <c r="X35" s="6">
        <v>0</v>
      </c>
      <c r="Y35" s="6">
        <v>100</v>
      </c>
      <c r="Z35" s="6">
        <v>1</v>
      </c>
      <c r="AA35" s="17">
        <v>2</v>
      </c>
      <c r="AB35" s="24">
        <f t="shared" si="23"/>
        <v>337</v>
      </c>
      <c r="AC35" s="4" t="str">
        <f ca="1">VLOOKUP($AB35,OFFSET([4]characters!$A$1,0,0,COUNTA([4]characters!$A:$A),MATCH(AC$1,[4]characters!$1:$1,0)-MATCH("character_id",[4]characters!$1:$1,0)+1),MATCH(AC$1,[4]characters!$1:$1,0)-MATCH("character_id",[4]characters!$1:$1,0)+1,FALSE)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35" s="4">
        <f ca="1">VLOOKUP($AB35,OFFSET([4]characters!$A$1,0,0,COUNTA([4]characters!$A:$A),MATCH(AD$1,[4]characters!$1:$1,0)-MATCH("character_id",[4]characters!$1:$1,0)+1),MATCH(AD$1,[4]characters!$1:$1,0)-MATCH("character_id",[4]characters!$1:$1,0)+1,FALSE)</f>
        <v>4</v>
      </c>
      <c r="AE35" s="4" t="str">
        <f ca="1">VLOOKUP($AB35,OFFSET([4]characters!$A$1,0,0,COUNTA([4]characters!$A:$A),MATCH(AE$1,[4]characters!$1:$1,0)-MATCH("character_id",[4]characters!$1:$1,0)+1),MATCH(AE$1,[4]characters!$1:$1,0)-MATCH("character_id",[4]characters!$1:$1,0)+1,FALSE)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5" s="7">
        <v>1</v>
      </c>
      <c r="AG35" s="24">
        <f t="shared" ca="1" si="24"/>
        <v>4</v>
      </c>
      <c r="AH35" s="8">
        <v>15</v>
      </c>
      <c r="AI35" s="7">
        <v>0</v>
      </c>
      <c r="AJ35" s="7">
        <v>0</v>
      </c>
      <c r="AK35" s="7">
        <v>0</v>
      </c>
      <c r="AL35" s="7">
        <v>0</v>
      </c>
      <c r="AM35" s="7">
        <v>1</v>
      </c>
      <c r="AN35" s="69">
        <v>1</v>
      </c>
    </row>
    <row r="36" spans="1:40" ht="21" customHeight="1">
      <c r="A36" s="16" t="str">
        <f t="shared" si="20"/>
        <v>12004_1-3/341&lt;lv4&gt;s2</v>
      </c>
      <c r="B36" s="22">
        <v>12004</v>
      </c>
      <c r="C36" s="21">
        <v>1</v>
      </c>
      <c r="D36" s="2" t="str">
        <f t="shared" si="21"/>
        <v>12004_1</v>
      </c>
      <c r="E36" s="4" t="str">
        <f ca="1">VLOOKUP($B36,OFFSET([2]quests!$A$1,0,0,COUNTA([2]quests!$A:$A),MATCH(E$1,[2]quests!$1:$1,0)-MATCH($B$1,[2]quests!$1:$1,0)+1),MATCH(E$1,[2]quests!$1:$1,0)-MATCH($B$1,[2]quests!$1:$1,0)+1,FALSE)</f>
        <v>メタルフロッグをもとめて</v>
      </c>
      <c r="F36" s="4" t="str">
        <f ca="1">VLOOKUP($D36,OFFSET([2]stages!$A$1,0,0,COUNTA([2]stages!$A:$A),MATCH(F$1,[2]stages!$2:$2,0)-MATCH($D$1,[2]stages!$2:$2,0)+1),MATCH(F$1,[2]stages!$2:$2,0)-MATCH($D$1,[2]stages!$2:$2,0)+1,FALSE)</f>
        <v>【上級】メタルフロッグをもとめて</v>
      </c>
      <c r="G36" s="101">
        <v>3</v>
      </c>
      <c r="H36" s="15" t="str">
        <f t="shared" si="22"/>
        <v>12004_1-3</v>
      </c>
      <c r="I36" s="4">
        <f ca="1">VLOOKUP($H36,OFFSET(floors!$A$1,0,0,COUNTA(floors!$A:$A),MATCH(I$1,floors!$1:$1,0)-MATCH($H$1,floors!$1:$1,0)+1),MATCH(I$1,floors!$1:$1,0)-MATCH($H$1,floors!$1:$1,0)+1,FALSE)</f>
        <v>45</v>
      </c>
      <c r="J36" s="4">
        <f ca="1">VLOOKUP($H36,OFFSET(floors!$A$1,0,0,COUNTA(floors!$A:$A),MATCH(J$1,floors!$1:$1,0)-MATCH($H$1,floors!$1:$1,0)+1),MATCH(J$1,floors!$1:$1,0)-MATCH($H$1,floors!$1:$1,0)+1,FALSE)</f>
        <v>45</v>
      </c>
      <c r="K36" s="38" t="s">
        <v>53</v>
      </c>
      <c r="L36" s="20">
        <v>341</v>
      </c>
      <c r="M36" s="17" t="str">
        <f ca="1">VLOOKUP($L36,OFFSET([3]enemies!$A$1,0,0,COUNTA([3]enemies!$A:$A),MATCH(M$1,[3]enemies!$1:$1,0)-MATCH($L$1,[3]enemies!$1:$1,0)+1),MATCH(M$1,[3]enemies!$1:$1,0)-MATCH($L$1,[3]enemies!$1:$1,0)+1,FALSE)</f>
        <v>水のメタルチック</v>
      </c>
      <c r="N36" s="17" t="str">
        <f ca="1">VLOOKUP($L36,OFFSET([3]enemies!$A$1,0,0,COUNTA([3]enemies!$A:$A),MATCH(N$1,[3]enemies!$1:$1,0)-MATCH($L$1,[3]enemies!$1:$1,0)+1),MATCH(N$1,[3]enemies!$1:$1,0)-MATCH($L$1,[3]enemies!$1:$1,0)+1,FALSE)</f>
        <v>blue</v>
      </c>
      <c r="O36" s="17" t="str">
        <f ca="1">VLOOKUP($L36,OFFSET([4]characters!$A$1,0,0,COUNTA([4]characters!$A:$A),MATCH(O$1,[4]characters!$1:$1,0)-MATCH($L$1,[4]characters!$1:$1,0)+1),MATCH(O$1,[4]characters!$1:$1,0)-MATCH($L$1,[4]characters!$1:$1,0)+1,FALSE)</f>
        <v>Material</v>
      </c>
      <c r="P36" s="17" t="str">
        <f ca="1">VLOOKUP($L36,OFFSET([3]enemies!$A$1,0,0,COUNTA([3]enemies!$A:$A),MATCH(P$1,[3]enemies!$1:$1,0)-MATCH($L$1,[3]enemies!$1:$1,0)+1),MATCH(P$1,[3]enemies!$1:$1,0)-MATCH($L$1,[3]enemies!$1:$1,0)+1,FALSE)</f>
        <v>unknown</v>
      </c>
      <c r="Q36" s="17">
        <f ca="1">VLOOKUP($L36,OFFSET([3]enemies!$A$1,0,0,COUNTA([3]enemies!$A:$A),MATCH(Q$1,[3]enemies!$1:$1,0)-MATCH($L$1,[3]enemies!$1:$1,0)+1),MATCH(Q$1,[3]enemies!$1:$1,0)-MATCH($L$1,[3]enemies!$1:$1,0)+1,FALSE)</f>
        <v>15</v>
      </c>
      <c r="R36" s="5">
        <v>4</v>
      </c>
      <c r="S36" s="25">
        <v>1</v>
      </c>
      <c r="T36" s="25">
        <v>1.2</v>
      </c>
      <c r="U36" s="5">
        <v>-1000</v>
      </c>
      <c r="V36" s="4" t="str">
        <f ca="1">VLOOKUP($W36,OFFSET([5]enemy_skill_sets!$B$1,0,0,COUNTA([5]enemy_skill_sets!$B:$B),MATCH(M$1,[5]enemy_skill_sets!$1:$1,0)-MATCH($W$1,[5]enemy_skill_sets!$1:$1,0)+2),MATCH(M$1,[5]enemy_skill_sets!$1:$1,0)-MATCH($W$1,[5]enemy_skill_sets!$1:$1,0)+2,FALSE)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6" s="4">
        <f ca="1">VLOOKUP($L36,OFFSET([3]enemies!$A$1,0,0,COUNTA([3]enemies!$A:$A),MATCH(W$1,[3]enemies!$1:$1,0)-MATCH($L$1,[3]enemies!$1:$1,0)+1),MATCH(W$1,[3]enemies!$1:$1,0)-MATCH($L$1,[3]enemies!$1:$1,0)+1,FALSE)</f>
        <v>0</v>
      </c>
      <c r="X36" s="6">
        <v>0</v>
      </c>
      <c r="Y36" s="6">
        <v>100</v>
      </c>
      <c r="Z36" s="6">
        <v>1</v>
      </c>
      <c r="AA36" s="17">
        <v>2</v>
      </c>
      <c r="AB36" s="24">
        <f t="shared" si="23"/>
        <v>341</v>
      </c>
      <c r="AC36" s="4" t="str">
        <f ca="1">VLOOKUP($AB36,OFFSET([4]characters!$A$1,0,0,COUNTA([4]characters!$A:$A),MATCH(AC$1,[4]characters!$1:$1,0)-MATCH("character_id",[4]characters!$1:$1,0)+1),MATCH(AC$1,[4]characters!$1:$1,0)-MATCH("character_id",[4]characters!$1:$1,0)+1,FALSE)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36" s="4">
        <f ca="1">VLOOKUP($AB36,OFFSET([4]characters!$A$1,0,0,COUNTA([4]characters!$A:$A),MATCH(AD$1,[4]characters!$1:$1,0)-MATCH("character_id",[4]characters!$1:$1,0)+1),MATCH(AD$1,[4]characters!$1:$1,0)-MATCH("character_id",[4]characters!$1:$1,0)+1,FALSE)</f>
        <v>4</v>
      </c>
      <c r="AE36" s="4" t="str">
        <f ca="1">VLOOKUP($AB36,OFFSET([4]characters!$A$1,0,0,COUNTA([4]characters!$A:$A),MATCH(AE$1,[4]characters!$1:$1,0)-MATCH("character_id",[4]characters!$1:$1,0)+1),MATCH(AE$1,[4]characters!$1:$1,0)-MATCH("character_id",[4]characters!$1:$1,0)+1,FALSE)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6" s="7">
        <v>1</v>
      </c>
      <c r="AG36" s="24">
        <f t="shared" ca="1" si="24"/>
        <v>4</v>
      </c>
      <c r="AH36" s="8">
        <v>15</v>
      </c>
      <c r="AI36" s="7">
        <v>0</v>
      </c>
      <c r="AJ36" s="7">
        <v>0</v>
      </c>
      <c r="AK36" s="7">
        <v>0</v>
      </c>
      <c r="AL36" s="7">
        <v>0</v>
      </c>
      <c r="AM36" s="7">
        <v>1</v>
      </c>
      <c r="AN36" s="69">
        <v>1</v>
      </c>
    </row>
    <row r="37" spans="1:40" ht="21" customHeight="1">
      <c r="A37" s="16" t="str">
        <f t="shared" si="20"/>
        <v>12004_1-3/345&lt;lv4&gt;s2</v>
      </c>
      <c r="B37" s="22">
        <v>12004</v>
      </c>
      <c r="C37" s="21">
        <v>1</v>
      </c>
      <c r="D37" s="2" t="str">
        <f t="shared" si="21"/>
        <v>12004_1</v>
      </c>
      <c r="E37" s="4" t="str">
        <f ca="1">VLOOKUP($B37,OFFSET([2]quests!$A$1,0,0,COUNTA([2]quests!$A:$A),MATCH(E$1,[2]quests!$1:$1,0)-MATCH($B$1,[2]quests!$1:$1,0)+1),MATCH(E$1,[2]quests!$1:$1,0)-MATCH($B$1,[2]quests!$1:$1,0)+1,FALSE)</f>
        <v>メタルフロッグをもとめて</v>
      </c>
      <c r="F37" s="4" t="str">
        <f ca="1">VLOOKUP($D37,OFFSET([2]stages!$A$1,0,0,COUNTA([2]stages!$A:$A),MATCH(F$1,[2]stages!$2:$2,0)-MATCH($D$1,[2]stages!$2:$2,0)+1),MATCH(F$1,[2]stages!$2:$2,0)-MATCH($D$1,[2]stages!$2:$2,0)+1,FALSE)</f>
        <v>【上級】メタルフロッグをもとめて</v>
      </c>
      <c r="G37" s="101">
        <v>3</v>
      </c>
      <c r="H37" s="15" t="str">
        <f t="shared" si="22"/>
        <v>12004_1-3</v>
      </c>
      <c r="I37" s="4">
        <f ca="1">VLOOKUP($H37,OFFSET(floors!$A$1,0,0,COUNTA(floors!$A:$A),MATCH(I$1,floors!$1:$1,0)-MATCH($H$1,floors!$1:$1,0)+1),MATCH(I$1,floors!$1:$1,0)-MATCH($H$1,floors!$1:$1,0)+1,FALSE)</f>
        <v>45</v>
      </c>
      <c r="J37" s="4">
        <f ca="1">VLOOKUP($H37,OFFSET(floors!$A$1,0,0,COUNTA(floors!$A:$A),MATCH(J$1,floors!$1:$1,0)-MATCH($H$1,floors!$1:$1,0)+1),MATCH(J$1,floors!$1:$1,0)-MATCH($H$1,floors!$1:$1,0)+1,FALSE)</f>
        <v>45</v>
      </c>
      <c r="K37" s="38" t="s">
        <v>53</v>
      </c>
      <c r="L37" s="20">
        <v>345</v>
      </c>
      <c r="M37" s="17" t="str">
        <f ca="1">VLOOKUP($L37,OFFSET([3]enemies!$A$1,0,0,COUNTA([3]enemies!$A:$A),MATCH(M$1,[3]enemies!$1:$1,0)-MATCH($L$1,[3]enemies!$1:$1,0)+1),MATCH(M$1,[3]enemies!$1:$1,0)-MATCH($L$1,[3]enemies!$1:$1,0)+1,FALSE)</f>
        <v>雷のメタルチック</v>
      </c>
      <c r="N37" s="17" t="str">
        <f ca="1">VLOOKUP($L37,OFFSET([3]enemies!$A$1,0,0,COUNTA([3]enemies!$A:$A),MATCH(N$1,[3]enemies!$1:$1,0)-MATCH($L$1,[3]enemies!$1:$1,0)+1),MATCH(N$1,[3]enemies!$1:$1,0)-MATCH($L$1,[3]enemies!$1:$1,0)+1,FALSE)</f>
        <v>yellow</v>
      </c>
      <c r="O37" s="17" t="str">
        <f ca="1">VLOOKUP($L37,OFFSET([4]characters!$A$1,0,0,COUNTA([4]characters!$A:$A),MATCH(O$1,[4]characters!$1:$1,0)-MATCH($L$1,[4]characters!$1:$1,0)+1),MATCH(O$1,[4]characters!$1:$1,0)-MATCH($L$1,[4]characters!$1:$1,0)+1,FALSE)</f>
        <v>Material</v>
      </c>
      <c r="P37" s="17" t="str">
        <f ca="1">VLOOKUP($L37,OFFSET([3]enemies!$A$1,0,0,COUNTA([3]enemies!$A:$A),MATCH(P$1,[3]enemies!$1:$1,0)-MATCH($L$1,[3]enemies!$1:$1,0)+1),MATCH(P$1,[3]enemies!$1:$1,0)-MATCH($L$1,[3]enemies!$1:$1,0)+1,FALSE)</f>
        <v>unknown</v>
      </c>
      <c r="Q37" s="17">
        <f ca="1">VLOOKUP($L37,OFFSET([3]enemies!$A$1,0,0,COUNTA([3]enemies!$A:$A),MATCH(Q$1,[3]enemies!$1:$1,0)-MATCH($L$1,[3]enemies!$1:$1,0)+1),MATCH(Q$1,[3]enemies!$1:$1,0)-MATCH($L$1,[3]enemies!$1:$1,0)+1,FALSE)</f>
        <v>15</v>
      </c>
      <c r="R37" s="5">
        <v>4</v>
      </c>
      <c r="S37" s="25">
        <v>1</v>
      </c>
      <c r="T37" s="25">
        <v>1.2</v>
      </c>
      <c r="U37" s="5">
        <v>-1000</v>
      </c>
      <c r="V37" s="4" t="str">
        <f ca="1">VLOOKUP($W37,OFFSET([5]enemy_skill_sets!$B$1,0,0,COUNTA([5]enemy_skill_sets!$B:$B),MATCH(M$1,[5]enemy_skill_sets!$1:$1,0)-MATCH($W$1,[5]enemy_skill_sets!$1:$1,0)+2),MATCH(M$1,[5]enemy_skill_sets!$1:$1,0)-MATCH($W$1,[5]enemy_skill_sets!$1:$1,0)+2,FALSE)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7" s="4">
        <f ca="1">VLOOKUP($L37,OFFSET([3]enemies!$A$1,0,0,COUNTA([3]enemies!$A:$A),MATCH(W$1,[3]enemies!$1:$1,0)-MATCH($L$1,[3]enemies!$1:$1,0)+1),MATCH(W$1,[3]enemies!$1:$1,0)-MATCH($L$1,[3]enemies!$1:$1,0)+1,FALSE)</f>
        <v>0</v>
      </c>
      <c r="X37" s="6">
        <v>0</v>
      </c>
      <c r="Y37" s="6">
        <v>100</v>
      </c>
      <c r="Z37" s="6">
        <v>1</v>
      </c>
      <c r="AA37" s="17">
        <v>2</v>
      </c>
      <c r="AB37" s="24">
        <f t="shared" si="23"/>
        <v>345</v>
      </c>
      <c r="AC37" s="4" t="str">
        <f ca="1">VLOOKUP($AB37,OFFSET([4]characters!$A$1,0,0,COUNTA([4]characters!$A:$A),MATCH(AC$1,[4]characters!$1:$1,0)-MATCH("character_id",[4]characters!$1:$1,0)+1),MATCH(AC$1,[4]characters!$1:$1,0)-MATCH("character_id",[4]characters!$1:$1,0)+1,FALSE)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37" s="4">
        <f ca="1">VLOOKUP($AB37,OFFSET([4]characters!$A$1,0,0,COUNTA([4]characters!$A:$A),MATCH(AD$1,[4]characters!$1:$1,0)-MATCH("character_id",[4]characters!$1:$1,0)+1),MATCH(AD$1,[4]characters!$1:$1,0)-MATCH("character_id",[4]characters!$1:$1,0)+1,FALSE)</f>
        <v>4</v>
      </c>
      <c r="AE37" s="4" t="str">
        <f ca="1">VLOOKUP($AB37,OFFSET([4]characters!$A$1,0,0,COUNTA([4]characters!$A:$A),MATCH(AE$1,[4]characters!$1:$1,0)-MATCH("character_id",[4]characters!$1:$1,0)+1),MATCH(AE$1,[4]characters!$1:$1,0)-MATCH("character_id",[4]characters!$1:$1,0)+1,FALSE)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7" s="7">
        <v>1</v>
      </c>
      <c r="AG37" s="24">
        <f t="shared" ca="1" si="24"/>
        <v>4</v>
      </c>
      <c r="AH37" s="8">
        <v>15</v>
      </c>
      <c r="AI37" s="7">
        <v>0</v>
      </c>
      <c r="AJ37" s="7">
        <v>0</v>
      </c>
      <c r="AK37" s="7">
        <v>0</v>
      </c>
      <c r="AL37" s="7">
        <v>0</v>
      </c>
      <c r="AM37" s="7">
        <v>1</v>
      </c>
      <c r="AN37" s="69">
        <v>1</v>
      </c>
    </row>
    <row r="38" spans="1:40" ht="21" customHeight="1">
      <c r="A38" s="16" t="str">
        <f t="shared" si="20"/>
        <v>12004_1-3/348&lt;lv20&gt;s2</v>
      </c>
      <c r="B38" s="22">
        <v>12004</v>
      </c>
      <c r="C38" s="21">
        <v>1</v>
      </c>
      <c r="D38" s="2" t="str">
        <f t="shared" si="21"/>
        <v>12004_1</v>
      </c>
      <c r="E38" s="4" t="str">
        <f ca="1">VLOOKUP($B38,OFFSET([2]quests!$A$1,0,0,COUNTA([2]quests!$A:$A),MATCH(E$1,[2]quests!$1:$1,0)-MATCH($B$1,[2]quests!$1:$1,0)+1),MATCH(E$1,[2]quests!$1:$1,0)-MATCH($B$1,[2]quests!$1:$1,0)+1,FALSE)</f>
        <v>メタルフロッグをもとめて</v>
      </c>
      <c r="F38" s="4" t="str">
        <f ca="1">VLOOKUP($D38,OFFSET([2]stages!$A$1,0,0,COUNTA([2]stages!$A:$A),MATCH(F$1,[2]stages!$2:$2,0)-MATCH($D$1,[2]stages!$2:$2,0)+1),MATCH(F$1,[2]stages!$2:$2,0)-MATCH($D$1,[2]stages!$2:$2,0)+1,FALSE)</f>
        <v>【上級】メタルフロッグをもとめて</v>
      </c>
      <c r="G38" s="101">
        <v>3</v>
      </c>
      <c r="H38" s="15" t="str">
        <f t="shared" si="22"/>
        <v>12004_1-3</v>
      </c>
      <c r="I38" s="4">
        <f ca="1">VLOOKUP($H38,OFFSET(floors!$A$1,0,0,COUNTA(floors!$A:$A),MATCH(I$1,floors!$1:$1,0)-MATCH($H$1,floors!$1:$1,0)+1),MATCH(I$1,floors!$1:$1,0)-MATCH($H$1,floors!$1:$1,0)+1,FALSE)</f>
        <v>45</v>
      </c>
      <c r="J38" s="4">
        <f ca="1">VLOOKUP($H38,OFFSET(floors!$A$1,0,0,COUNTA(floors!$A:$A),MATCH(J$1,floors!$1:$1,0)-MATCH($H$1,floors!$1:$1,0)+1),MATCH(J$1,floors!$1:$1,0)-MATCH($H$1,floors!$1:$1,0)+1,FALSE)</f>
        <v>45</v>
      </c>
      <c r="K38" s="38" t="s">
        <v>53</v>
      </c>
      <c r="L38" s="20">
        <v>348</v>
      </c>
      <c r="M38" s="17" t="str">
        <f ca="1">VLOOKUP($L38,OFFSET([3]enemies!$A$1,0,0,COUNTA([3]enemies!$A:$A),MATCH(M$1,[3]enemies!$1:$1,0)-MATCH($L$1,[3]enemies!$1:$1,0)+1),MATCH(M$1,[3]enemies!$1:$1,0)-MATCH($L$1,[3]enemies!$1:$1,0)+1,FALSE)</f>
        <v>炎のケロケロ</v>
      </c>
      <c r="N38" s="17" t="str">
        <f ca="1">VLOOKUP($L38,OFFSET([3]enemies!$A$1,0,0,COUNTA([3]enemies!$A:$A),MATCH(N$1,[3]enemies!$1:$1,0)-MATCH($L$1,[3]enemies!$1:$1,0)+1),MATCH(N$1,[3]enemies!$1:$1,0)-MATCH($L$1,[3]enemies!$1:$1,0)+1,FALSE)</f>
        <v>red</v>
      </c>
      <c r="O38" s="17" t="str">
        <f ca="1">VLOOKUP($L38,OFFSET([4]characters!$A$1,0,0,COUNTA([4]characters!$A:$A),MATCH(O$1,[4]characters!$1:$1,0)-MATCH($L$1,[4]characters!$1:$1,0)+1),MATCH(O$1,[4]characters!$1:$1,0)-MATCH($L$1,[4]characters!$1:$1,0)+1,FALSE)</f>
        <v>Material</v>
      </c>
      <c r="P38" s="17" t="str">
        <f ca="1">VLOOKUP($L38,OFFSET([3]enemies!$A$1,0,0,COUNTA([3]enemies!$A:$A),MATCH(P$1,[3]enemies!$1:$1,0)-MATCH($L$1,[3]enemies!$1:$1,0)+1),MATCH(P$1,[3]enemies!$1:$1,0)-MATCH($L$1,[3]enemies!$1:$1,0)+1,FALSE)</f>
        <v>unknown</v>
      </c>
      <c r="Q38" s="17">
        <f ca="1">VLOOKUP($L38,OFFSET([3]enemies!$A$1,0,0,COUNTA([3]enemies!$A:$A),MATCH(Q$1,[3]enemies!$1:$1,0)-MATCH($L$1,[3]enemies!$1:$1,0)+1),MATCH(Q$1,[3]enemies!$1:$1,0)-MATCH($L$1,[3]enemies!$1:$1,0)+1,FALSE)</f>
        <v>15</v>
      </c>
      <c r="R38" s="5">
        <v>20</v>
      </c>
      <c r="S38" s="25">
        <v>1</v>
      </c>
      <c r="T38" s="25">
        <v>1.2</v>
      </c>
      <c r="U38" s="5">
        <v>0</v>
      </c>
      <c r="V38" s="4" t="e">
        <f ca="1">VLOOKUP($W38,OFFSET([5]enemy_skill_sets!$B$1,0,0,COUNTA([5]enemy_skill_sets!$B:$B),MATCH(M$1,[5]enemy_skill_sets!$1:$1,0)-MATCH($W$1,[5]enemy_skill_sets!$1:$1,0)+2),MATCH(M$1,[5]enemy_skill_sets!$1:$1,0)-MATCH($W$1,[5]enemy_skill_sets!$1:$1,0)+2,FALSE)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8" s="103">
        <v>12004001</v>
      </c>
      <c r="X38" s="6">
        <v>0</v>
      </c>
      <c r="Y38" s="6">
        <v>100</v>
      </c>
      <c r="Z38" s="6">
        <v>0</v>
      </c>
      <c r="AA38" s="17">
        <v>2</v>
      </c>
      <c r="AB38" s="24">
        <f t="shared" si="23"/>
        <v>348</v>
      </c>
      <c r="AC38" s="4" t="str">
        <f ca="1">VLOOKUP($AB38,OFFSET([4]characters!$A$1,0,0,COUNTA([4]characters!$A:$A),MATCH(AC$1,[4]characters!$1:$1,0)-MATCH("character_id",[4]characters!$1:$1,0)+1),MATCH(AC$1,[4]characters!$1:$1,0)-MATCH("character_id",[4]characters!$1:$1,0)+1,FALSE)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38" s="4">
        <f ca="1">VLOOKUP($AB38,OFFSET([4]characters!$A$1,0,0,COUNTA([4]characters!$A:$A),MATCH(AD$1,[4]characters!$1:$1,0)-MATCH("character_id",[4]characters!$1:$1,0)+1),MATCH(AD$1,[4]characters!$1:$1,0)-MATCH("character_id",[4]characters!$1:$1,0)+1,FALSE)</f>
        <v>2</v>
      </c>
      <c r="AE38" s="4" t="str">
        <f ca="1">VLOOKUP($AB38,OFFSET([4]characters!$A$1,0,0,COUNTA([4]characters!$A:$A),MATCH(AE$1,[4]characters!$1:$1,0)-MATCH("character_id",[4]characters!$1:$1,0)+1),MATCH(AE$1,[4]characters!$1:$1,0)-MATCH("character_id",[4]characters!$1:$1,0)+1,FALSE)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8" s="7">
        <v>1</v>
      </c>
      <c r="AG38" s="24">
        <f t="shared" ca="1" si="24"/>
        <v>2</v>
      </c>
      <c r="AH38" s="8">
        <v>70</v>
      </c>
      <c r="AI38" s="7">
        <v>0</v>
      </c>
      <c r="AJ38" s="7">
        <v>0</v>
      </c>
      <c r="AK38" s="7">
        <v>0</v>
      </c>
      <c r="AL38" s="7">
        <v>0</v>
      </c>
      <c r="AM38" s="7">
        <v>1</v>
      </c>
      <c r="AN38" s="69">
        <v>1</v>
      </c>
    </row>
    <row r="39" spans="1:40" ht="21" customHeight="1">
      <c r="A39" s="16" t="str">
        <f t="shared" si="20"/>
        <v>12004_1-3/350&lt;lv20&gt;s2</v>
      </c>
      <c r="B39" s="22">
        <v>12004</v>
      </c>
      <c r="C39" s="21">
        <v>1</v>
      </c>
      <c r="D39" s="2" t="str">
        <f t="shared" si="21"/>
        <v>12004_1</v>
      </c>
      <c r="E39" s="4" t="str">
        <f ca="1">VLOOKUP($B39,OFFSET([2]quests!$A$1,0,0,COUNTA([2]quests!$A:$A),MATCH(E$1,[2]quests!$1:$1,0)-MATCH($B$1,[2]quests!$1:$1,0)+1),MATCH(E$1,[2]quests!$1:$1,0)-MATCH($B$1,[2]quests!$1:$1,0)+1,FALSE)</f>
        <v>メタルフロッグをもとめて</v>
      </c>
      <c r="F39" s="4" t="str">
        <f ca="1">VLOOKUP($D39,OFFSET([2]stages!$A$1,0,0,COUNTA([2]stages!$A:$A),MATCH(F$1,[2]stages!$2:$2,0)-MATCH($D$1,[2]stages!$2:$2,0)+1),MATCH(F$1,[2]stages!$2:$2,0)-MATCH($D$1,[2]stages!$2:$2,0)+1,FALSE)</f>
        <v>【上級】メタルフロッグをもとめて</v>
      </c>
      <c r="G39" s="101">
        <v>3</v>
      </c>
      <c r="H39" s="15" t="str">
        <f t="shared" si="22"/>
        <v>12004_1-3</v>
      </c>
      <c r="I39" s="4">
        <f ca="1">VLOOKUP($H39,OFFSET(floors!$A$1,0,0,COUNTA(floors!$A:$A),MATCH(I$1,floors!$1:$1,0)-MATCH($H$1,floors!$1:$1,0)+1),MATCH(I$1,floors!$1:$1,0)-MATCH($H$1,floors!$1:$1,0)+1,FALSE)</f>
        <v>45</v>
      </c>
      <c r="J39" s="4">
        <f ca="1">VLOOKUP($H39,OFFSET(floors!$A$1,0,0,COUNTA(floors!$A:$A),MATCH(J$1,floors!$1:$1,0)-MATCH($H$1,floors!$1:$1,0)+1),MATCH(J$1,floors!$1:$1,0)-MATCH($H$1,floors!$1:$1,0)+1,FALSE)</f>
        <v>45</v>
      </c>
      <c r="K39" s="38" t="s">
        <v>53</v>
      </c>
      <c r="L39" s="20">
        <v>350</v>
      </c>
      <c r="M39" s="17" t="str">
        <f ca="1">VLOOKUP($L39,OFFSET([3]enemies!$A$1,0,0,COUNTA([3]enemies!$A:$A),MATCH(M$1,[3]enemies!$1:$1,0)-MATCH($L$1,[3]enemies!$1:$1,0)+1),MATCH(M$1,[3]enemies!$1:$1,0)-MATCH($L$1,[3]enemies!$1:$1,0)+1,FALSE)</f>
        <v>森のケロケロ</v>
      </c>
      <c r="N39" s="17" t="str">
        <f ca="1">VLOOKUP($L39,OFFSET([3]enemies!$A$1,0,0,COUNTA([3]enemies!$A:$A),MATCH(N$1,[3]enemies!$1:$1,0)-MATCH($L$1,[3]enemies!$1:$1,0)+1),MATCH(N$1,[3]enemies!$1:$1,0)-MATCH($L$1,[3]enemies!$1:$1,0)+1,FALSE)</f>
        <v>green</v>
      </c>
      <c r="O39" s="17" t="str">
        <f ca="1">VLOOKUP($L39,OFFSET([4]characters!$A$1,0,0,COUNTA([4]characters!$A:$A),MATCH(O$1,[4]characters!$1:$1,0)-MATCH($L$1,[4]characters!$1:$1,0)+1),MATCH(O$1,[4]characters!$1:$1,0)-MATCH($L$1,[4]characters!$1:$1,0)+1,FALSE)</f>
        <v>Material</v>
      </c>
      <c r="P39" s="17" t="str">
        <f ca="1">VLOOKUP($L39,OFFSET([3]enemies!$A$1,0,0,COUNTA([3]enemies!$A:$A),MATCH(P$1,[3]enemies!$1:$1,0)-MATCH($L$1,[3]enemies!$1:$1,0)+1),MATCH(P$1,[3]enemies!$1:$1,0)-MATCH($L$1,[3]enemies!$1:$1,0)+1,FALSE)</f>
        <v>unknown</v>
      </c>
      <c r="Q39" s="17">
        <f ca="1">VLOOKUP($L39,OFFSET([3]enemies!$A$1,0,0,COUNTA([3]enemies!$A:$A),MATCH(Q$1,[3]enemies!$1:$1,0)-MATCH($L$1,[3]enemies!$1:$1,0)+1),MATCH(Q$1,[3]enemies!$1:$1,0)-MATCH($L$1,[3]enemies!$1:$1,0)+1,FALSE)</f>
        <v>15</v>
      </c>
      <c r="R39" s="5">
        <v>20</v>
      </c>
      <c r="S39" s="25">
        <v>1</v>
      </c>
      <c r="T39" s="25">
        <v>1.2</v>
      </c>
      <c r="U39" s="5">
        <v>0</v>
      </c>
      <c r="V39" s="4" t="e">
        <f ca="1">VLOOKUP($W39,OFFSET([5]enemy_skill_sets!$B$1,0,0,COUNTA([5]enemy_skill_sets!$B:$B),MATCH(M$1,[5]enemy_skill_sets!$1:$1,0)-MATCH($W$1,[5]enemy_skill_sets!$1:$1,0)+2),MATCH(M$1,[5]enemy_skill_sets!$1:$1,0)-MATCH($W$1,[5]enemy_skill_sets!$1:$1,0)+2,FALSE)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9" s="103">
        <v>12004002</v>
      </c>
      <c r="X39" s="6">
        <v>0</v>
      </c>
      <c r="Y39" s="6">
        <v>100</v>
      </c>
      <c r="Z39" s="6">
        <v>0</v>
      </c>
      <c r="AA39" s="17">
        <v>2</v>
      </c>
      <c r="AB39" s="24">
        <f t="shared" si="23"/>
        <v>350</v>
      </c>
      <c r="AC39" s="4" t="str">
        <f ca="1">VLOOKUP($AB39,OFFSET([4]characters!$A$1,0,0,COUNTA([4]characters!$A:$A),MATCH(AC$1,[4]characters!$1:$1,0)-MATCH("character_id",[4]characters!$1:$1,0)+1),MATCH(AC$1,[4]characters!$1:$1,0)-MATCH("character_id",[4]characters!$1:$1,0)+1,FALSE)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39" s="4">
        <f ca="1">VLOOKUP($AB39,OFFSET([4]characters!$A$1,0,0,COUNTA([4]characters!$A:$A),MATCH(AD$1,[4]characters!$1:$1,0)-MATCH("character_id",[4]characters!$1:$1,0)+1),MATCH(AD$1,[4]characters!$1:$1,0)-MATCH("character_id",[4]characters!$1:$1,0)+1,FALSE)</f>
        <v>2</v>
      </c>
      <c r="AE39" s="4" t="str">
        <f ca="1">VLOOKUP($AB39,OFFSET([4]characters!$A$1,0,0,COUNTA([4]characters!$A:$A),MATCH(AE$1,[4]characters!$1:$1,0)-MATCH("character_id",[4]characters!$1:$1,0)+1),MATCH(AE$1,[4]characters!$1:$1,0)-MATCH("character_id",[4]characters!$1:$1,0)+1,FALSE)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9" s="7">
        <v>1</v>
      </c>
      <c r="AG39" s="24">
        <f t="shared" ca="1" si="24"/>
        <v>2</v>
      </c>
      <c r="AH39" s="8">
        <v>70</v>
      </c>
      <c r="AI39" s="7">
        <v>0</v>
      </c>
      <c r="AJ39" s="7">
        <v>0</v>
      </c>
      <c r="AK39" s="7">
        <v>0</v>
      </c>
      <c r="AL39" s="7">
        <v>0</v>
      </c>
      <c r="AM39" s="7">
        <v>1</v>
      </c>
      <c r="AN39" s="69">
        <v>1</v>
      </c>
    </row>
    <row r="40" spans="1:40" ht="21" customHeight="1">
      <c r="A40" s="16" t="str">
        <f t="shared" si="20"/>
        <v>12004_1-3/352&lt;lv20&gt;s2</v>
      </c>
      <c r="B40" s="22">
        <v>12004</v>
      </c>
      <c r="C40" s="21">
        <v>1</v>
      </c>
      <c r="D40" s="2" t="str">
        <f t="shared" si="21"/>
        <v>12004_1</v>
      </c>
      <c r="E40" s="4" t="str">
        <f ca="1">VLOOKUP($B40,OFFSET([2]quests!$A$1,0,0,COUNTA([2]quests!$A:$A),MATCH(E$1,[2]quests!$1:$1,0)-MATCH($B$1,[2]quests!$1:$1,0)+1),MATCH(E$1,[2]quests!$1:$1,0)-MATCH($B$1,[2]quests!$1:$1,0)+1,FALSE)</f>
        <v>メタルフロッグをもとめて</v>
      </c>
      <c r="F40" s="4" t="str">
        <f ca="1">VLOOKUP($D40,OFFSET([2]stages!$A$1,0,0,COUNTA([2]stages!$A:$A),MATCH(F$1,[2]stages!$2:$2,0)-MATCH($D$1,[2]stages!$2:$2,0)+1),MATCH(F$1,[2]stages!$2:$2,0)-MATCH($D$1,[2]stages!$2:$2,0)+1,FALSE)</f>
        <v>【上級】メタルフロッグをもとめて</v>
      </c>
      <c r="G40" s="101">
        <v>3</v>
      </c>
      <c r="H40" s="15" t="str">
        <f t="shared" si="22"/>
        <v>12004_1-3</v>
      </c>
      <c r="I40" s="4">
        <f ca="1">VLOOKUP($H40,OFFSET(floors!$A$1,0,0,COUNTA(floors!$A:$A),MATCH(I$1,floors!$1:$1,0)-MATCH($H$1,floors!$1:$1,0)+1),MATCH(I$1,floors!$1:$1,0)-MATCH($H$1,floors!$1:$1,0)+1,FALSE)</f>
        <v>45</v>
      </c>
      <c r="J40" s="4">
        <f ca="1">VLOOKUP($H40,OFFSET(floors!$A$1,0,0,COUNTA(floors!$A:$A),MATCH(J$1,floors!$1:$1,0)-MATCH($H$1,floors!$1:$1,0)+1),MATCH(J$1,floors!$1:$1,0)-MATCH($H$1,floors!$1:$1,0)+1,FALSE)</f>
        <v>45</v>
      </c>
      <c r="K40" s="38" t="s">
        <v>53</v>
      </c>
      <c r="L40" s="20">
        <v>352</v>
      </c>
      <c r="M40" s="17" t="str">
        <f ca="1">VLOOKUP($L40,OFFSET([3]enemies!$A$1,0,0,COUNTA([3]enemies!$A:$A),MATCH(M$1,[3]enemies!$1:$1,0)-MATCH($L$1,[3]enemies!$1:$1,0)+1),MATCH(M$1,[3]enemies!$1:$1,0)-MATCH($L$1,[3]enemies!$1:$1,0)+1,FALSE)</f>
        <v>水のケロケロ</v>
      </c>
      <c r="N40" s="17" t="str">
        <f ca="1">VLOOKUP($L40,OFFSET([3]enemies!$A$1,0,0,COUNTA([3]enemies!$A:$A),MATCH(N$1,[3]enemies!$1:$1,0)-MATCH($L$1,[3]enemies!$1:$1,0)+1),MATCH(N$1,[3]enemies!$1:$1,0)-MATCH($L$1,[3]enemies!$1:$1,0)+1,FALSE)</f>
        <v>blue</v>
      </c>
      <c r="O40" s="17" t="str">
        <f ca="1">VLOOKUP($L40,OFFSET([4]characters!$A$1,0,0,COUNTA([4]characters!$A:$A),MATCH(O$1,[4]characters!$1:$1,0)-MATCH($L$1,[4]characters!$1:$1,0)+1),MATCH(O$1,[4]characters!$1:$1,0)-MATCH($L$1,[4]characters!$1:$1,0)+1,FALSE)</f>
        <v>Material</v>
      </c>
      <c r="P40" s="17" t="str">
        <f ca="1">VLOOKUP($L40,OFFSET([3]enemies!$A$1,0,0,COUNTA([3]enemies!$A:$A),MATCH(P$1,[3]enemies!$1:$1,0)-MATCH($L$1,[3]enemies!$1:$1,0)+1),MATCH(P$1,[3]enemies!$1:$1,0)-MATCH($L$1,[3]enemies!$1:$1,0)+1,FALSE)</f>
        <v>unknown</v>
      </c>
      <c r="Q40" s="17">
        <f ca="1">VLOOKUP($L40,OFFSET([3]enemies!$A$1,0,0,COUNTA([3]enemies!$A:$A),MATCH(Q$1,[3]enemies!$1:$1,0)-MATCH($L$1,[3]enemies!$1:$1,0)+1),MATCH(Q$1,[3]enemies!$1:$1,0)-MATCH($L$1,[3]enemies!$1:$1,0)+1,FALSE)</f>
        <v>15</v>
      </c>
      <c r="R40" s="5">
        <v>20</v>
      </c>
      <c r="S40" s="25">
        <v>1</v>
      </c>
      <c r="T40" s="25">
        <v>1.2</v>
      </c>
      <c r="U40" s="5">
        <v>0</v>
      </c>
      <c r="V40" s="4" t="e">
        <f ca="1">VLOOKUP($W40,OFFSET([5]enemy_skill_sets!$B$1,0,0,COUNTA([5]enemy_skill_sets!$B:$B),MATCH(M$1,[5]enemy_skill_sets!$1:$1,0)-MATCH($W$1,[5]enemy_skill_sets!$1:$1,0)+2),MATCH(M$1,[5]enemy_skill_sets!$1:$1,0)-MATCH($W$1,[5]enemy_skill_sets!$1:$1,0)+2,FALSE)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0" s="103">
        <v>12004003</v>
      </c>
      <c r="X40" s="6">
        <v>0</v>
      </c>
      <c r="Y40" s="6">
        <v>100</v>
      </c>
      <c r="Z40" s="6">
        <v>0</v>
      </c>
      <c r="AA40" s="17">
        <v>2</v>
      </c>
      <c r="AB40" s="24">
        <f t="shared" si="23"/>
        <v>352</v>
      </c>
      <c r="AC40" s="4" t="str">
        <f ca="1">VLOOKUP($AB40,OFFSET([4]characters!$A$1,0,0,COUNTA([4]characters!$A:$A),MATCH(AC$1,[4]characters!$1:$1,0)-MATCH("character_id",[4]characters!$1:$1,0)+1),MATCH(AC$1,[4]characters!$1:$1,0)-MATCH("character_id",[4]characters!$1:$1,0)+1,FALSE)</f>
        <v>水のケロケロ</v>
      </c>
      <c r="AD40" s="4">
        <f ca="1">VLOOKUP($AB40,OFFSET([4]characters!$A$1,0,0,COUNTA([4]characters!$A:$A),MATCH(AD$1,[4]characters!$1:$1,0)-MATCH("character_id",[4]characters!$1:$1,0)+1),MATCH(AD$1,[4]characters!$1:$1,0)-MATCH("character_id",[4]characters!$1:$1,0)+1,FALSE)</f>
        <v>2</v>
      </c>
      <c r="AE40" s="4" t="str">
        <f ca="1">VLOOKUP($AB40,OFFSET([4]characters!$A$1,0,0,COUNTA([4]characters!$A:$A),MATCH(AE$1,[4]characters!$1:$1,0)-MATCH("character_id",[4]characters!$1:$1,0)+1),MATCH(AE$1,[4]characters!$1:$1,0)-MATCH("character_id",[4]characters!$1:$1,0)+1,FALSE)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0" s="7">
        <v>1</v>
      </c>
      <c r="AG40" s="24">
        <f t="shared" ca="1" si="24"/>
        <v>2</v>
      </c>
      <c r="AH40" s="8">
        <v>70</v>
      </c>
      <c r="AI40" s="7">
        <v>0</v>
      </c>
      <c r="AJ40" s="7">
        <v>0</v>
      </c>
      <c r="AK40" s="7">
        <v>0</v>
      </c>
      <c r="AL40" s="7">
        <v>0</v>
      </c>
      <c r="AM40" s="7">
        <v>1</v>
      </c>
      <c r="AN40" s="69">
        <v>1</v>
      </c>
    </row>
    <row r="41" spans="1:40" ht="21" customHeight="1">
      <c r="A41" s="16" t="str">
        <f t="shared" si="20"/>
        <v>12004_1-3/354&lt;lv20&gt;s2</v>
      </c>
      <c r="B41" s="22">
        <v>12004</v>
      </c>
      <c r="C41" s="21">
        <v>1</v>
      </c>
      <c r="D41" s="2" t="str">
        <f t="shared" si="21"/>
        <v>12004_1</v>
      </c>
      <c r="E41" s="4" t="str">
        <f ca="1">VLOOKUP($B41,OFFSET([2]quests!$A$1,0,0,COUNTA([2]quests!$A:$A),MATCH(E$1,[2]quests!$1:$1,0)-MATCH($B$1,[2]quests!$1:$1,0)+1),MATCH(E$1,[2]quests!$1:$1,0)-MATCH($B$1,[2]quests!$1:$1,0)+1,FALSE)</f>
        <v>メタルフロッグをもとめて</v>
      </c>
      <c r="F41" s="4" t="str">
        <f ca="1">VLOOKUP($D41,OFFSET([2]stages!$A$1,0,0,COUNTA([2]stages!$A:$A),MATCH(F$1,[2]stages!$2:$2,0)-MATCH($D$1,[2]stages!$2:$2,0)+1),MATCH(F$1,[2]stages!$2:$2,0)-MATCH($D$1,[2]stages!$2:$2,0)+1,FALSE)</f>
        <v>【上級】メタルフロッグをもとめて</v>
      </c>
      <c r="G41" s="101">
        <v>3</v>
      </c>
      <c r="H41" s="15" t="str">
        <f t="shared" si="22"/>
        <v>12004_1-3</v>
      </c>
      <c r="I41" s="4">
        <f ca="1">VLOOKUP($H41,OFFSET(floors!$A$1,0,0,COUNTA(floors!$A:$A),MATCH(I$1,floors!$1:$1,0)-MATCH($H$1,floors!$1:$1,0)+1),MATCH(I$1,floors!$1:$1,0)-MATCH($H$1,floors!$1:$1,0)+1,FALSE)</f>
        <v>45</v>
      </c>
      <c r="J41" s="4">
        <f ca="1">VLOOKUP($H41,OFFSET(floors!$A$1,0,0,COUNTA(floors!$A:$A),MATCH(J$1,floors!$1:$1,0)-MATCH($H$1,floors!$1:$1,0)+1),MATCH(J$1,floors!$1:$1,0)-MATCH($H$1,floors!$1:$1,0)+1,FALSE)</f>
        <v>45</v>
      </c>
      <c r="K41" s="38" t="s">
        <v>53</v>
      </c>
      <c r="L41" s="20">
        <v>354</v>
      </c>
      <c r="M41" s="17" t="str">
        <f ca="1">VLOOKUP($L41,OFFSET([3]enemies!$A$1,0,0,COUNTA([3]enemies!$A:$A),MATCH(M$1,[3]enemies!$1:$1,0)-MATCH($L$1,[3]enemies!$1:$1,0)+1),MATCH(M$1,[3]enemies!$1:$1,0)-MATCH($L$1,[3]enemies!$1:$1,0)+1,FALSE)</f>
        <v>雷のケロケロ</v>
      </c>
      <c r="N41" s="17" t="str">
        <f ca="1">VLOOKUP($L41,OFFSET([3]enemies!$A$1,0,0,COUNTA([3]enemies!$A:$A),MATCH(N$1,[3]enemies!$1:$1,0)-MATCH($L$1,[3]enemies!$1:$1,0)+1),MATCH(N$1,[3]enemies!$1:$1,0)-MATCH($L$1,[3]enemies!$1:$1,0)+1,FALSE)</f>
        <v>yellow</v>
      </c>
      <c r="O41" s="17" t="str">
        <f ca="1">VLOOKUP($L41,OFFSET([4]characters!$A$1,0,0,COUNTA([4]characters!$A:$A),MATCH(O$1,[4]characters!$1:$1,0)-MATCH($L$1,[4]characters!$1:$1,0)+1),MATCH(O$1,[4]characters!$1:$1,0)-MATCH($L$1,[4]characters!$1:$1,0)+1,FALSE)</f>
        <v>Material</v>
      </c>
      <c r="P41" s="17" t="str">
        <f ca="1">VLOOKUP($L41,OFFSET([3]enemies!$A$1,0,0,COUNTA([3]enemies!$A:$A),MATCH(P$1,[3]enemies!$1:$1,0)-MATCH($L$1,[3]enemies!$1:$1,0)+1),MATCH(P$1,[3]enemies!$1:$1,0)-MATCH($L$1,[3]enemies!$1:$1,0)+1,FALSE)</f>
        <v>unknown</v>
      </c>
      <c r="Q41" s="17">
        <f ca="1">VLOOKUP($L41,OFFSET([3]enemies!$A$1,0,0,COUNTA([3]enemies!$A:$A),MATCH(Q$1,[3]enemies!$1:$1,0)-MATCH($L$1,[3]enemies!$1:$1,0)+1),MATCH(Q$1,[3]enemies!$1:$1,0)-MATCH($L$1,[3]enemies!$1:$1,0)+1,FALSE)</f>
        <v>15</v>
      </c>
      <c r="R41" s="5">
        <v>20</v>
      </c>
      <c r="S41" s="25">
        <v>1</v>
      </c>
      <c r="T41" s="25">
        <v>1.2</v>
      </c>
      <c r="U41" s="5">
        <v>0</v>
      </c>
      <c r="V41" s="4" t="e">
        <f ca="1">VLOOKUP($W41,OFFSET([5]enemy_skill_sets!$B$1,0,0,COUNTA([5]enemy_skill_sets!$B:$B),MATCH(M$1,[5]enemy_skill_sets!$1:$1,0)-MATCH($W$1,[5]enemy_skill_sets!$1:$1,0)+2),MATCH(M$1,[5]enemy_skill_sets!$1:$1,0)-MATCH($W$1,[5]enemy_skill_sets!$1:$1,0)+2,FALSE)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1" s="103">
        <v>12004004</v>
      </c>
      <c r="X41" s="6">
        <v>0</v>
      </c>
      <c r="Y41" s="6">
        <v>100</v>
      </c>
      <c r="Z41" s="6">
        <v>0</v>
      </c>
      <c r="AA41" s="17">
        <v>2</v>
      </c>
      <c r="AB41" s="24">
        <f t="shared" si="23"/>
        <v>354</v>
      </c>
      <c r="AC41" s="4" t="str">
        <f ca="1">VLOOKUP($AB41,OFFSET([4]characters!$A$1,0,0,COUNTA([4]characters!$A:$A),MATCH(AC$1,[4]characters!$1:$1,0)-MATCH("character_id",[4]characters!$1:$1,0)+1),MATCH(AC$1,[4]characters!$1:$1,0)-MATCH("character_id",[4]characters!$1:$1,0)+1,FALSE)</f>
        <v>雷のケロケロ</v>
      </c>
      <c r="AD41" s="4">
        <f ca="1">VLOOKUP($AB41,OFFSET([4]characters!$A$1,0,0,COUNTA([4]characters!$A:$A),MATCH(AD$1,[4]characters!$1:$1,0)-MATCH("character_id",[4]characters!$1:$1,0)+1),MATCH(AD$1,[4]characters!$1:$1,0)-MATCH("character_id",[4]characters!$1:$1,0)+1,FALSE)</f>
        <v>2</v>
      </c>
      <c r="AE41" s="4" t="str">
        <f ca="1">VLOOKUP($AB41,OFFSET([4]characters!$A$1,0,0,COUNTA([4]characters!$A:$A),MATCH(AE$1,[4]characters!$1:$1,0)-MATCH("character_id",[4]characters!$1:$1,0)+1),MATCH(AE$1,[4]characters!$1:$1,0)-MATCH("character_id",[4]characters!$1:$1,0)+1,FALSE)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1" s="7">
        <v>1</v>
      </c>
      <c r="AG41" s="24">
        <f t="shared" ca="1" si="24"/>
        <v>2</v>
      </c>
      <c r="AH41" s="8">
        <v>70</v>
      </c>
      <c r="AI41" s="7">
        <v>0</v>
      </c>
      <c r="AJ41" s="7">
        <v>0</v>
      </c>
      <c r="AK41" s="7">
        <v>0</v>
      </c>
      <c r="AL41" s="7">
        <v>0</v>
      </c>
      <c r="AM41" s="7">
        <v>1</v>
      </c>
      <c r="AN41" s="69">
        <v>1</v>
      </c>
    </row>
    <row r="42" spans="1:40" ht="21" customHeight="1">
      <c r="A42" s="16" t="str">
        <f t="shared" si="15"/>
        <v>12004_1-3/349&lt;lv20&gt;s2</v>
      </c>
      <c r="B42" s="22">
        <v>12004</v>
      </c>
      <c r="C42" s="21">
        <v>1</v>
      </c>
      <c r="D42" s="2" t="str">
        <f t="shared" si="16"/>
        <v>12004_1</v>
      </c>
      <c r="E42" s="4" t="str">
        <f ca="1">VLOOKUP($B42,OFFSET([2]quests!$A$1,0,0,COUNTA([2]quests!$A:$A),MATCH(E$1,[2]quests!$1:$1,0)-MATCH($B$1,[2]quests!$1:$1,0)+1),MATCH(E$1,[2]quests!$1:$1,0)-MATCH($B$1,[2]quests!$1:$1,0)+1,FALSE)</f>
        <v>メタルフロッグをもとめて</v>
      </c>
      <c r="F42" s="4" t="str">
        <f ca="1">VLOOKUP($D42,OFFSET([2]stages!$A$1,0,0,COUNTA([2]stages!$A:$A),MATCH(F$1,[2]stages!$2:$2,0)-MATCH($D$1,[2]stages!$2:$2,0)+1),MATCH(F$1,[2]stages!$2:$2,0)-MATCH($D$1,[2]stages!$2:$2,0)+1,FALSE)</f>
        <v>【上級】メタルフロッグをもとめて</v>
      </c>
      <c r="G42" s="101">
        <v>3</v>
      </c>
      <c r="H42" s="15" t="str">
        <f t="shared" si="17"/>
        <v>12004_1-3</v>
      </c>
      <c r="I42" s="4">
        <f ca="1">VLOOKUP($H42,OFFSET(floors!$A$1,0,0,COUNTA(floors!$A:$A),MATCH(I$1,floors!$1:$1,0)-MATCH($H$1,floors!$1:$1,0)+1),MATCH(I$1,floors!$1:$1,0)-MATCH($H$1,floors!$1:$1,0)+1,FALSE)</f>
        <v>45</v>
      </c>
      <c r="J42" s="4">
        <f ca="1">VLOOKUP($H42,OFFSET(floors!$A$1,0,0,COUNTA(floors!$A:$A),MATCH(J$1,floors!$1:$1,0)-MATCH($H$1,floors!$1:$1,0)+1),MATCH(J$1,floors!$1:$1,0)-MATCH($H$1,floors!$1:$1,0)+1,FALSE)</f>
        <v>45</v>
      </c>
      <c r="K42" s="38" t="s">
        <v>53</v>
      </c>
      <c r="L42" s="20">
        <v>349</v>
      </c>
      <c r="M42" s="17" t="str">
        <f ca="1">VLOOKUP($L42,OFFSET([3]enemies!$A$1,0,0,COUNTA([3]enemies!$A:$A),MATCH(M$1,[3]enemies!$1:$1,0)-MATCH($L$1,[3]enemies!$1:$1,0)+1),MATCH(M$1,[3]enemies!$1:$1,0)-MATCH($L$1,[3]enemies!$1:$1,0)+1,FALSE)</f>
        <v>炎のメタルフロッグ</v>
      </c>
      <c r="N42" s="17" t="str">
        <f ca="1">VLOOKUP($L42,OFFSET([3]enemies!$A$1,0,0,COUNTA([3]enemies!$A:$A),MATCH(N$1,[3]enemies!$1:$1,0)-MATCH($L$1,[3]enemies!$1:$1,0)+1),MATCH(N$1,[3]enemies!$1:$1,0)-MATCH($L$1,[3]enemies!$1:$1,0)+1,FALSE)</f>
        <v>red</v>
      </c>
      <c r="O42" s="17" t="str">
        <f ca="1">VLOOKUP($L42,OFFSET([4]characters!$A$1,0,0,COUNTA([4]characters!$A:$A),MATCH(O$1,[4]characters!$1:$1,0)-MATCH($L$1,[4]characters!$1:$1,0)+1),MATCH(O$1,[4]characters!$1:$1,0)-MATCH($L$1,[4]characters!$1:$1,0)+1,FALSE)</f>
        <v>Material</v>
      </c>
      <c r="P42" s="17" t="str">
        <f ca="1">VLOOKUP($L42,OFFSET([3]enemies!$A$1,0,0,COUNTA([3]enemies!$A:$A),MATCH(P$1,[3]enemies!$1:$1,0)-MATCH($L$1,[3]enemies!$1:$1,0)+1),MATCH(P$1,[3]enemies!$1:$1,0)-MATCH($L$1,[3]enemies!$1:$1,0)+1,FALSE)</f>
        <v>unknown</v>
      </c>
      <c r="Q42" s="17">
        <f ca="1">VLOOKUP($L42,OFFSET([3]enemies!$A$1,0,0,COUNTA([3]enemies!$A:$A),MATCH(Q$1,[3]enemies!$1:$1,0)-MATCH($L$1,[3]enemies!$1:$1,0)+1),MATCH(Q$1,[3]enemies!$1:$1,0)-MATCH($L$1,[3]enemies!$1:$1,0)+1,FALSE)</f>
        <v>15</v>
      </c>
      <c r="R42" s="5">
        <v>20</v>
      </c>
      <c r="S42" s="25">
        <v>1</v>
      </c>
      <c r="T42" s="25">
        <v>1.2</v>
      </c>
      <c r="U42" s="5">
        <v>0</v>
      </c>
      <c r="V42" s="4" t="e">
        <f ca="1">VLOOKUP($W42,OFFSET([5]enemy_skill_sets!$B$1,0,0,COUNTA([5]enemy_skill_sets!$B:$B),MATCH(M$1,[5]enemy_skill_sets!$1:$1,0)-MATCH($W$1,[5]enemy_skill_sets!$1:$1,0)+2),MATCH(M$1,[5]enemy_skill_sets!$1:$1,0)-MATCH($W$1,[5]enemy_skill_sets!$1:$1,0)+2,FALSE)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2" s="103">
        <v>12004005</v>
      </c>
      <c r="X42" s="6">
        <v>0</v>
      </c>
      <c r="Y42" s="6">
        <v>30</v>
      </c>
      <c r="Z42" s="6">
        <v>1</v>
      </c>
      <c r="AA42" s="17">
        <v>2</v>
      </c>
      <c r="AB42" s="24">
        <f t="shared" si="18"/>
        <v>349</v>
      </c>
      <c r="AC42" s="4" t="str">
        <f ca="1">VLOOKUP($AB42,OFFSET([4]characters!$A$1,0,0,COUNTA([4]characters!$A:$A),MATCH(AC$1,[4]characters!$1:$1,0)-MATCH("character_id",[4]characters!$1:$1,0)+1),MATCH(AC$1,[4]characters!$1:$1,0)-MATCH("character_id",[4]characters!$1:$1,0)+1,FALSE)</f>
        <v>炎のメタルフロッグ</v>
      </c>
      <c r="AD42" s="4">
        <f ca="1">VLOOKUP($AB42,OFFSET([4]characters!$A$1,0,0,COUNTA([4]characters!$A:$A),MATCH(AD$1,[4]characters!$1:$1,0)-MATCH("character_id",[4]characters!$1:$1,0)+1),MATCH(AD$1,[4]characters!$1:$1,0)-MATCH("character_id",[4]characters!$1:$1,0)+1,FALSE)</f>
        <v>4</v>
      </c>
      <c r="AE42" s="4" t="str">
        <f ca="1">VLOOKUP($AB42,OFFSET([4]characters!$A$1,0,0,COUNTA([4]characters!$A:$A),MATCH(AE$1,[4]characters!$1:$1,0)-MATCH("character_id",[4]characters!$1:$1,0)+1),MATCH(AE$1,[4]characters!$1:$1,0)-MATCH("character_id",[4]characters!$1:$1,0)+1,FALSE)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2" s="7">
        <v>1</v>
      </c>
      <c r="AG42" s="24">
        <f t="shared" ca="1" si="19"/>
        <v>4</v>
      </c>
      <c r="AH42" s="8">
        <v>5</v>
      </c>
      <c r="AI42" s="7">
        <v>0</v>
      </c>
      <c r="AJ42" s="7">
        <v>0</v>
      </c>
      <c r="AK42" s="7">
        <v>0</v>
      </c>
      <c r="AL42" s="7">
        <v>0</v>
      </c>
      <c r="AM42" s="7">
        <v>1</v>
      </c>
      <c r="AN42" s="69">
        <v>1</v>
      </c>
    </row>
    <row r="43" spans="1:40" ht="21" customHeight="1">
      <c r="A43" s="16" t="str">
        <f t="shared" si="15"/>
        <v>12004_1-3/351&lt;lv20&gt;s2</v>
      </c>
      <c r="B43" s="22">
        <v>12004</v>
      </c>
      <c r="C43" s="21">
        <v>1</v>
      </c>
      <c r="D43" s="2" t="str">
        <f t="shared" si="16"/>
        <v>12004_1</v>
      </c>
      <c r="E43" s="4" t="str">
        <f ca="1">VLOOKUP($B43,OFFSET([2]quests!$A$1,0,0,COUNTA([2]quests!$A:$A),MATCH(E$1,[2]quests!$1:$1,0)-MATCH($B$1,[2]quests!$1:$1,0)+1),MATCH(E$1,[2]quests!$1:$1,0)-MATCH($B$1,[2]quests!$1:$1,0)+1,FALSE)</f>
        <v>メタルフロッグをもとめて</v>
      </c>
      <c r="F43" s="4" t="str">
        <f ca="1">VLOOKUP($D43,OFFSET([2]stages!$A$1,0,0,COUNTA([2]stages!$A:$A),MATCH(F$1,[2]stages!$2:$2,0)-MATCH($D$1,[2]stages!$2:$2,0)+1),MATCH(F$1,[2]stages!$2:$2,0)-MATCH($D$1,[2]stages!$2:$2,0)+1,FALSE)</f>
        <v>【上級】メタルフロッグをもとめて</v>
      </c>
      <c r="G43" s="101">
        <v>3</v>
      </c>
      <c r="H43" s="15" t="str">
        <f t="shared" si="17"/>
        <v>12004_1-3</v>
      </c>
      <c r="I43" s="4">
        <f ca="1">VLOOKUP($H43,OFFSET(floors!$A$1,0,0,COUNTA(floors!$A:$A),MATCH(I$1,floors!$1:$1,0)-MATCH($H$1,floors!$1:$1,0)+1),MATCH(I$1,floors!$1:$1,0)-MATCH($H$1,floors!$1:$1,0)+1,FALSE)</f>
        <v>45</v>
      </c>
      <c r="J43" s="4">
        <f ca="1">VLOOKUP($H43,OFFSET(floors!$A$1,0,0,COUNTA(floors!$A:$A),MATCH(J$1,floors!$1:$1,0)-MATCH($H$1,floors!$1:$1,0)+1),MATCH(J$1,floors!$1:$1,0)-MATCH($H$1,floors!$1:$1,0)+1,FALSE)</f>
        <v>45</v>
      </c>
      <c r="K43" s="38" t="s">
        <v>53</v>
      </c>
      <c r="L43" s="20">
        <v>351</v>
      </c>
      <c r="M43" s="17" t="str">
        <f ca="1">VLOOKUP($L43,OFFSET([3]enemies!$A$1,0,0,COUNTA([3]enemies!$A:$A),MATCH(M$1,[3]enemies!$1:$1,0)-MATCH($L$1,[3]enemies!$1:$1,0)+1),MATCH(M$1,[3]enemies!$1:$1,0)-MATCH($L$1,[3]enemies!$1:$1,0)+1,FALSE)</f>
        <v>森のメタルフロッグ</v>
      </c>
      <c r="N43" s="17" t="str">
        <f ca="1">VLOOKUP($L43,OFFSET([3]enemies!$A$1,0,0,COUNTA([3]enemies!$A:$A),MATCH(N$1,[3]enemies!$1:$1,0)-MATCH($L$1,[3]enemies!$1:$1,0)+1),MATCH(N$1,[3]enemies!$1:$1,0)-MATCH($L$1,[3]enemies!$1:$1,0)+1,FALSE)</f>
        <v>green</v>
      </c>
      <c r="O43" s="17" t="str">
        <f ca="1">VLOOKUP($L43,OFFSET([4]characters!$A$1,0,0,COUNTA([4]characters!$A:$A),MATCH(O$1,[4]characters!$1:$1,0)-MATCH($L$1,[4]characters!$1:$1,0)+1),MATCH(O$1,[4]characters!$1:$1,0)-MATCH($L$1,[4]characters!$1:$1,0)+1,FALSE)</f>
        <v>Material</v>
      </c>
      <c r="P43" s="17" t="str">
        <f ca="1">VLOOKUP($L43,OFFSET([3]enemies!$A$1,0,0,COUNTA([3]enemies!$A:$A),MATCH(P$1,[3]enemies!$1:$1,0)-MATCH($L$1,[3]enemies!$1:$1,0)+1),MATCH(P$1,[3]enemies!$1:$1,0)-MATCH($L$1,[3]enemies!$1:$1,0)+1,FALSE)</f>
        <v>unknown</v>
      </c>
      <c r="Q43" s="17">
        <f ca="1">VLOOKUP($L43,OFFSET([3]enemies!$A$1,0,0,COUNTA([3]enemies!$A:$A),MATCH(Q$1,[3]enemies!$1:$1,0)-MATCH($L$1,[3]enemies!$1:$1,0)+1),MATCH(Q$1,[3]enemies!$1:$1,0)-MATCH($L$1,[3]enemies!$1:$1,0)+1,FALSE)</f>
        <v>15</v>
      </c>
      <c r="R43" s="5">
        <v>20</v>
      </c>
      <c r="S43" s="25">
        <v>1</v>
      </c>
      <c r="T43" s="25">
        <v>1.2</v>
      </c>
      <c r="U43" s="5">
        <v>0</v>
      </c>
      <c r="V43" s="4" t="e">
        <f ca="1">VLOOKUP($W43,OFFSET([5]enemy_skill_sets!$B$1,0,0,COUNTA([5]enemy_skill_sets!$B:$B),MATCH(M$1,[5]enemy_skill_sets!$1:$1,0)-MATCH($W$1,[5]enemy_skill_sets!$1:$1,0)+2),MATCH(M$1,[5]enemy_skill_sets!$1:$1,0)-MATCH($W$1,[5]enemy_skill_sets!$1:$1,0)+2,FALSE)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3" s="103">
        <v>12004006</v>
      </c>
      <c r="X43" s="6">
        <v>0</v>
      </c>
      <c r="Y43" s="6">
        <v>30</v>
      </c>
      <c r="Z43" s="6">
        <v>1</v>
      </c>
      <c r="AA43" s="17">
        <v>2</v>
      </c>
      <c r="AB43" s="24">
        <f t="shared" si="18"/>
        <v>351</v>
      </c>
      <c r="AC43" s="4" t="str">
        <f ca="1">VLOOKUP($AB43,OFFSET([4]characters!$A$1,0,0,COUNTA([4]characters!$A:$A),MATCH(AC$1,[4]characters!$1:$1,0)-MATCH("character_id",[4]characters!$1:$1,0)+1),MATCH(AC$1,[4]characters!$1:$1,0)-MATCH("character_id",[4]characters!$1:$1,0)+1,FALSE)</f>
        <v>森のメタルフロッグ</v>
      </c>
      <c r="AD43" s="4">
        <f ca="1">VLOOKUP($AB43,OFFSET([4]characters!$A$1,0,0,COUNTA([4]characters!$A:$A),MATCH(AD$1,[4]characters!$1:$1,0)-MATCH("character_id",[4]characters!$1:$1,0)+1),MATCH(AD$1,[4]characters!$1:$1,0)-MATCH("character_id",[4]characters!$1:$1,0)+1,FALSE)</f>
        <v>4</v>
      </c>
      <c r="AE43" s="4" t="str">
        <f ca="1">VLOOKUP($AB43,OFFSET([4]characters!$A$1,0,0,COUNTA([4]characters!$A:$A),MATCH(AE$1,[4]characters!$1:$1,0)-MATCH("character_id",[4]characters!$1:$1,0)+1),MATCH(AE$1,[4]characters!$1:$1,0)-MATCH("character_id",[4]characters!$1:$1,0)+1,FALSE)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3" s="7">
        <v>1</v>
      </c>
      <c r="AG43" s="24">
        <f t="shared" ca="1" si="19"/>
        <v>4</v>
      </c>
      <c r="AH43" s="8">
        <v>5</v>
      </c>
      <c r="AI43" s="7">
        <v>0</v>
      </c>
      <c r="AJ43" s="7">
        <v>0</v>
      </c>
      <c r="AK43" s="7">
        <v>0</v>
      </c>
      <c r="AL43" s="7">
        <v>0</v>
      </c>
      <c r="AM43" s="7">
        <v>1</v>
      </c>
      <c r="AN43" s="69">
        <v>1</v>
      </c>
    </row>
    <row r="44" spans="1:40" ht="21" customHeight="1">
      <c r="A44" s="16" t="str">
        <f t="shared" si="15"/>
        <v>12004_1-3/353&lt;lv20&gt;s2</v>
      </c>
      <c r="B44" s="22">
        <v>12004</v>
      </c>
      <c r="C44" s="21">
        <v>1</v>
      </c>
      <c r="D44" s="2" t="str">
        <f t="shared" si="16"/>
        <v>12004_1</v>
      </c>
      <c r="E44" s="4" t="str">
        <f ca="1">VLOOKUP($B44,OFFSET([2]quests!$A$1,0,0,COUNTA([2]quests!$A:$A),MATCH(E$1,[2]quests!$1:$1,0)-MATCH($B$1,[2]quests!$1:$1,0)+1),MATCH(E$1,[2]quests!$1:$1,0)-MATCH($B$1,[2]quests!$1:$1,0)+1,FALSE)</f>
        <v>メタルフロッグをもとめて</v>
      </c>
      <c r="F44" s="4" t="str">
        <f ca="1">VLOOKUP($D44,OFFSET([2]stages!$A$1,0,0,COUNTA([2]stages!$A:$A),MATCH(F$1,[2]stages!$2:$2,0)-MATCH($D$1,[2]stages!$2:$2,0)+1),MATCH(F$1,[2]stages!$2:$2,0)-MATCH($D$1,[2]stages!$2:$2,0)+1,FALSE)</f>
        <v>【上級】メタルフロッグをもとめて</v>
      </c>
      <c r="G44" s="101">
        <v>3</v>
      </c>
      <c r="H44" s="15" t="str">
        <f t="shared" si="17"/>
        <v>12004_1-3</v>
      </c>
      <c r="I44" s="4">
        <f ca="1">VLOOKUP($H44,OFFSET(floors!$A$1,0,0,COUNTA(floors!$A:$A),MATCH(I$1,floors!$1:$1,0)-MATCH($H$1,floors!$1:$1,0)+1),MATCH(I$1,floors!$1:$1,0)-MATCH($H$1,floors!$1:$1,0)+1,FALSE)</f>
        <v>45</v>
      </c>
      <c r="J44" s="4">
        <f ca="1">VLOOKUP($H44,OFFSET(floors!$A$1,0,0,COUNTA(floors!$A:$A),MATCH(J$1,floors!$1:$1,0)-MATCH($H$1,floors!$1:$1,0)+1),MATCH(J$1,floors!$1:$1,0)-MATCH($H$1,floors!$1:$1,0)+1,FALSE)</f>
        <v>45</v>
      </c>
      <c r="K44" s="38" t="s">
        <v>53</v>
      </c>
      <c r="L44" s="20">
        <v>353</v>
      </c>
      <c r="M44" s="17" t="str">
        <f ca="1">VLOOKUP($L44,OFFSET([3]enemies!$A$1,0,0,COUNTA([3]enemies!$A:$A),MATCH(M$1,[3]enemies!$1:$1,0)-MATCH($L$1,[3]enemies!$1:$1,0)+1),MATCH(M$1,[3]enemies!$1:$1,0)-MATCH($L$1,[3]enemies!$1:$1,0)+1,FALSE)</f>
        <v>水のメタルフロッグ</v>
      </c>
      <c r="N44" s="17" t="str">
        <f ca="1">VLOOKUP($L44,OFFSET([3]enemies!$A$1,0,0,COUNTA([3]enemies!$A:$A),MATCH(N$1,[3]enemies!$1:$1,0)-MATCH($L$1,[3]enemies!$1:$1,0)+1),MATCH(N$1,[3]enemies!$1:$1,0)-MATCH($L$1,[3]enemies!$1:$1,0)+1,FALSE)</f>
        <v>blue</v>
      </c>
      <c r="O44" s="17" t="str">
        <f ca="1">VLOOKUP($L44,OFFSET([4]characters!$A$1,0,0,COUNTA([4]characters!$A:$A),MATCH(O$1,[4]characters!$1:$1,0)-MATCH($L$1,[4]characters!$1:$1,0)+1),MATCH(O$1,[4]characters!$1:$1,0)-MATCH($L$1,[4]characters!$1:$1,0)+1,FALSE)</f>
        <v>Material</v>
      </c>
      <c r="P44" s="17" t="str">
        <f ca="1">VLOOKUP($L44,OFFSET([3]enemies!$A$1,0,0,COUNTA([3]enemies!$A:$A),MATCH(P$1,[3]enemies!$1:$1,0)-MATCH($L$1,[3]enemies!$1:$1,0)+1),MATCH(P$1,[3]enemies!$1:$1,0)-MATCH($L$1,[3]enemies!$1:$1,0)+1,FALSE)</f>
        <v>unknown</v>
      </c>
      <c r="Q44" s="17">
        <f ca="1">VLOOKUP($L44,OFFSET([3]enemies!$A$1,0,0,COUNTA([3]enemies!$A:$A),MATCH(Q$1,[3]enemies!$1:$1,0)-MATCH($L$1,[3]enemies!$1:$1,0)+1),MATCH(Q$1,[3]enemies!$1:$1,0)-MATCH($L$1,[3]enemies!$1:$1,0)+1,FALSE)</f>
        <v>15</v>
      </c>
      <c r="R44" s="5">
        <v>20</v>
      </c>
      <c r="S44" s="25">
        <v>1</v>
      </c>
      <c r="T44" s="25">
        <v>1.2</v>
      </c>
      <c r="U44" s="5">
        <v>0</v>
      </c>
      <c r="V44" s="4" t="e">
        <f ca="1">VLOOKUP($W44,OFFSET([5]enemy_skill_sets!$B$1,0,0,COUNTA([5]enemy_skill_sets!$B:$B),MATCH(M$1,[5]enemy_skill_sets!$1:$1,0)-MATCH($W$1,[5]enemy_skill_sets!$1:$1,0)+2),MATCH(M$1,[5]enemy_skill_sets!$1:$1,0)-MATCH($W$1,[5]enemy_skill_sets!$1:$1,0)+2,FALSE)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4" s="103">
        <v>12004007</v>
      </c>
      <c r="X44" s="6">
        <v>0</v>
      </c>
      <c r="Y44" s="6">
        <v>30</v>
      </c>
      <c r="Z44" s="6">
        <v>1</v>
      </c>
      <c r="AA44" s="17">
        <v>2</v>
      </c>
      <c r="AB44" s="24">
        <f t="shared" si="18"/>
        <v>353</v>
      </c>
      <c r="AC44" s="4" t="str">
        <f ca="1">VLOOKUP($AB44,OFFSET([4]characters!$A$1,0,0,COUNTA([4]characters!$A:$A),MATCH(AC$1,[4]characters!$1:$1,0)-MATCH("character_id",[4]characters!$1:$1,0)+1),MATCH(AC$1,[4]characters!$1:$1,0)-MATCH("character_id",[4]characters!$1:$1,0)+1,FALSE)</f>
        <v>水のメタルフロッグ</v>
      </c>
      <c r="AD44" s="4">
        <f ca="1">VLOOKUP($AB44,OFFSET([4]characters!$A$1,0,0,COUNTA([4]characters!$A:$A),MATCH(AD$1,[4]characters!$1:$1,0)-MATCH("character_id",[4]characters!$1:$1,0)+1),MATCH(AD$1,[4]characters!$1:$1,0)-MATCH("character_id",[4]characters!$1:$1,0)+1,FALSE)</f>
        <v>4</v>
      </c>
      <c r="AE44" s="4" t="str">
        <f ca="1">VLOOKUP($AB44,OFFSET([4]characters!$A$1,0,0,COUNTA([4]characters!$A:$A),MATCH(AE$1,[4]characters!$1:$1,0)-MATCH("character_id",[4]characters!$1:$1,0)+1),MATCH(AE$1,[4]characters!$1:$1,0)-MATCH("character_id",[4]characters!$1:$1,0)+1,FALSE)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4" s="7">
        <v>1</v>
      </c>
      <c r="AG44" s="24">
        <f t="shared" ca="1" si="19"/>
        <v>4</v>
      </c>
      <c r="AH44" s="8">
        <v>5</v>
      </c>
      <c r="AI44" s="7">
        <v>0</v>
      </c>
      <c r="AJ44" s="7">
        <v>0</v>
      </c>
      <c r="AK44" s="7">
        <v>0</v>
      </c>
      <c r="AL44" s="7">
        <v>0</v>
      </c>
      <c r="AM44" s="7">
        <v>1</v>
      </c>
      <c r="AN44" s="69">
        <v>1</v>
      </c>
    </row>
    <row r="45" spans="1:40" ht="21" customHeight="1">
      <c r="A45" s="16" t="str">
        <f t="shared" ref="A45:A52" si="25">B45&amp;"_"&amp;C45&amp;"-"&amp;G45&amp;"/"&amp;L45&amp;"&lt;lv"&amp;R45&amp;"&gt;s"&amp;AA45</f>
        <v>12004_1-3/355&lt;lv20&gt;s2</v>
      </c>
      <c r="B45" s="22">
        <v>12004</v>
      </c>
      <c r="C45" s="21">
        <v>1</v>
      </c>
      <c r="D45" s="2" t="str">
        <f t="shared" ref="D45:D52" si="26">B45&amp;"_"&amp;C45</f>
        <v>12004_1</v>
      </c>
      <c r="E45" s="4" t="str">
        <f ca="1">VLOOKUP($B45,OFFSET([2]quests!$A$1,0,0,COUNTA([2]quests!$A:$A),MATCH(E$1,[2]quests!$1:$1,0)-MATCH($B$1,[2]quests!$1:$1,0)+1),MATCH(E$1,[2]quests!$1:$1,0)-MATCH($B$1,[2]quests!$1:$1,0)+1,FALSE)</f>
        <v>メタルフロッグをもとめて</v>
      </c>
      <c r="F45" s="4" t="str">
        <f ca="1">VLOOKUP($D45,OFFSET([2]stages!$A$1,0,0,COUNTA([2]stages!$A:$A),MATCH(F$1,[2]stages!$2:$2,0)-MATCH($D$1,[2]stages!$2:$2,0)+1),MATCH(F$1,[2]stages!$2:$2,0)-MATCH($D$1,[2]stages!$2:$2,0)+1,FALSE)</f>
        <v>【上級】メタルフロッグをもとめて</v>
      </c>
      <c r="G45" s="101">
        <v>3</v>
      </c>
      <c r="H45" s="15" t="str">
        <f t="shared" ref="H45:H52" si="27">B45&amp;"_"&amp;C45&amp;"-"&amp;G45</f>
        <v>12004_1-3</v>
      </c>
      <c r="I45" s="4">
        <f ca="1">VLOOKUP($H45,OFFSET(floors!$A$1,0,0,COUNTA(floors!$A:$A),MATCH(I$1,floors!$1:$1,0)-MATCH($H$1,floors!$1:$1,0)+1),MATCH(I$1,floors!$1:$1,0)-MATCH($H$1,floors!$1:$1,0)+1,FALSE)</f>
        <v>45</v>
      </c>
      <c r="J45" s="4">
        <f ca="1">VLOOKUP($H45,OFFSET(floors!$A$1,0,0,COUNTA(floors!$A:$A),MATCH(J$1,floors!$1:$1,0)-MATCH($H$1,floors!$1:$1,0)+1),MATCH(J$1,floors!$1:$1,0)-MATCH($H$1,floors!$1:$1,0)+1,FALSE)</f>
        <v>45</v>
      </c>
      <c r="K45" s="38" t="s">
        <v>53</v>
      </c>
      <c r="L45" s="20">
        <v>355</v>
      </c>
      <c r="M45" s="17" t="str">
        <f ca="1">VLOOKUP($L45,OFFSET([3]enemies!$A$1,0,0,COUNTA([3]enemies!$A:$A),MATCH(M$1,[3]enemies!$1:$1,0)-MATCH($L$1,[3]enemies!$1:$1,0)+1),MATCH(M$1,[3]enemies!$1:$1,0)-MATCH($L$1,[3]enemies!$1:$1,0)+1,FALSE)</f>
        <v>雷のメタルフロッグ</v>
      </c>
      <c r="N45" s="17" t="str">
        <f ca="1">VLOOKUP($L45,OFFSET([3]enemies!$A$1,0,0,COUNTA([3]enemies!$A:$A),MATCH(N$1,[3]enemies!$1:$1,0)-MATCH($L$1,[3]enemies!$1:$1,0)+1),MATCH(N$1,[3]enemies!$1:$1,0)-MATCH($L$1,[3]enemies!$1:$1,0)+1,FALSE)</f>
        <v>yellow</v>
      </c>
      <c r="O45" s="17" t="str">
        <f ca="1">VLOOKUP($L45,OFFSET([4]characters!$A$1,0,0,COUNTA([4]characters!$A:$A),MATCH(O$1,[4]characters!$1:$1,0)-MATCH($L$1,[4]characters!$1:$1,0)+1),MATCH(O$1,[4]characters!$1:$1,0)-MATCH($L$1,[4]characters!$1:$1,0)+1,FALSE)</f>
        <v>Material</v>
      </c>
      <c r="P45" s="17" t="str">
        <f ca="1">VLOOKUP($L45,OFFSET([3]enemies!$A$1,0,0,COUNTA([3]enemies!$A:$A),MATCH(P$1,[3]enemies!$1:$1,0)-MATCH($L$1,[3]enemies!$1:$1,0)+1),MATCH(P$1,[3]enemies!$1:$1,0)-MATCH($L$1,[3]enemies!$1:$1,0)+1,FALSE)</f>
        <v>unknown</v>
      </c>
      <c r="Q45" s="17">
        <f ca="1">VLOOKUP($L45,OFFSET([3]enemies!$A$1,0,0,COUNTA([3]enemies!$A:$A),MATCH(Q$1,[3]enemies!$1:$1,0)-MATCH($L$1,[3]enemies!$1:$1,0)+1),MATCH(Q$1,[3]enemies!$1:$1,0)-MATCH($L$1,[3]enemies!$1:$1,0)+1,FALSE)</f>
        <v>15</v>
      </c>
      <c r="R45" s="5">
        <v>20</v>
      </c>
      <c r="S45" s="25">
        <v>1</v>
      </c>
      <c r="T45" s="25">
        <v>1.2</v>
      </c>
      <c r="U45" s="5">
        <v>0</v>
      </c>
      <c r="V45" s="4" t="e">
        <f ca="1">VLOOKUP($W45,OFFSET([5]enemy_skill_sets!$B$1,0,0,COUNTA([5]enemy_skill_sets!$B:$B),MATCH(M$1,[5]enemy_skill_sets!$1:$1,0)-MATCH($W$1,[5]enemy_skill_sets!$1:$1,0)+2),MATCH(M$1,[5]enemy_skill_sets!$1:$1,0)-MATCH($W$1,[5]enemy_skill_sets!$1:$1,0)+2,FALSE)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5" s="103">
        <v>12004008</v>
      </c>
      <c r="X45" s="6">
        <v>0</v>
      </c>
      <c r="Y45" s="6">
        <v>30</v>
      </c>
      <c r="Z45" s="6">
        <v>1</v>
      </c>
      <c r="AA45" s="17">
        <v>2</v>
      </c>
      <c r="AB45" s="24">
        <f t="shared" ref="AB45:AB52" si="28">L45</f>
        <v>355</v>
      </c>
      <c r="AC45" s="4" t="str">
        <f ca="1">VLOOKUP($AB45,OFFSET([4]characters!$A$1,0,0,COUNTA([4]characters!$A:$A),MATCH(AC$1,[4]characters!$1:$1,0)-MATCH("character_id",[4]characters!$1:$1,0)+1),MATCH(AC$1,[4]characters!$1:$1,0)-MATCH("character_id",[4]characters!$1:$1,0)+1,FALSE)</f>
        <v>雷のメタルフロッグ</v>
      </c>
      <c r="AD45" s="4">
        <f ca="1">VLOOKUP($AB45,OFFSET([4]characters!$A$1,0,0,COUNTA([4]characters!$A:$A),MATCH(AD$1,[4]characters!$1:$1,0)-MATCH("character_id",[4]characters!$1:$1,0)+1),MATCH(AD$1,[4]characters!$1:$1,0)-MATCH("character_id",[4]characters!$1:$1,0)+1,FALSE)</f>
        <v>4</v>
      </c>
      <c r="AE45" s="4" t="str">
        <f ca="1">VLOOKUP($AB45,OFFSET([4]characters!$A$1,0,0,COUNTA([4]characters!$A:$A),MATCH(AE$1,[4]characters!$1:$1,0)-MATCH("character_id",[4]characters!$1:$1,0)+1),MATCH(AE$1,[4]characters!$1:$1,0)-MATCH("character_id",[4]characters!$1:$1,0)+1,FALSE)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5" s="7">
        <v>1</v>
      </c>
      <c r="AG45" s="24">
        <f t="shared" ref="AG45:AG52" ca="1" si="29">AD45</f>
        <v>4</v>
      </c>
      <c r="AH45" s="8">
        <v>5</v>
      </c>
      <c r="AI45" s="7">
        <v>0</v>
      </c>
      <c r="AJ45" s="7">
        <v>0</v>
      </c>
      <c r="AK45" s="7">
        <v>0</v>
      </c>
      <c r="AL45" s="7">
        <v>0</v>
      </c>
      <c r="AM45" s="7">
        <v>1</v>
      </c>
      <c r="AN45" s="69">
        <v>1</v>
      </c>
    </row>
    <row r="46" spans="1:40" ht="21" customHeight="1">
      <c r="A46" s="16" t="str">
        <f t="shared" si="25"/>
        <v>12004_1-4/348&lt;lv20&gt;s2</v>
      </c>
      <c r="B46" s="22">
        <v>12004</v>
      </c>
      <c r="C46" s="21">
        <v>1</v>
      </c>
      <c r="D46" s="2" t="str">
        <f t="shared" si="26"/>
        <v>12004_1</v>
      </c>
      <c r="E46" s="4" t="str">
        <f ca="1">VLOOKUP($B46,OFFSET([2]quests!$A$1,0,0,COUNTA([2]quests!$A:$A),MATCH(E$1,[2]quests!$1:$1,0)-MATCH($B$1,[2]quests!$1:$1,0)+1),MATCH(E$1,[2]quests!$1:$1,0)-MATCH($B$1,[2]quests!$1:$1,0)+1,FALSE)</f>
        <v>メタルフロッグをもとめて</v>
      </c>
      <c r="F46" s="4" t="str">
        <f ca="1">VLOOKUP($D46,OFFSET([2]stages!$A$1,0,0,COUNTA([2]stages!$A:$A),MATCH(F$1,[2]stages!$2:$2,0)-MATCH($D$1,[2]stages!$2:$2,0)+1),MATCH(F$1,[2]stages!$2:$2,0)-MATCH($D$1,[2]stages!$2:$2,0)+1,FALSE)</f>
        <v>【上級】メタルフロッグをもとめて</v>
      </c>
      <c r="G46" s="102">
        <v>4</v>
      </c>
      <c r="H46" s="15" t="str">
        <f t="shared" si="27"/>
        <v>12004_1-4</v>
      </c>
      <c r="I46" s="4">
        <f ca="1">VLOOKUP($H46,OFFSET(floors!$A$1,0,0,COUNTA(floors!$A:$A),MATCH(I$1,floors!$1:$1,0)-MATCH($H$1,floors!$1:$1,0)+1),MATCH(I$1,floors!$1:$1,0)-MATCH($H$1,floors!$1:$1,0)+1,FALSE)</f>
        <v>45</v>
      </c>
      <c r="J46" s="4">
        <f ca="1">VLOOKUP($H46,OFFSET(floors!$A$1,0,0,COUNTA(floors!$A:$A),MATCH(J$1,floors!$1:$1,0)-MATCH($H$1,floors!$1:$1,0)+1),MATCH(J$1,floors!$1:$1,0)-MATCH($H$1,floors!$1:$1,0)+1,FALSE)</f>
        <v>45</v>
      </c>
      <c r="K46" s="38" t="s">
        <v>53</v>
      </c>
      <c r="L46" s="20">
        <v>348</v>
      </c>
      <c r="M46" s="17" t="str">
        <f ca="1">VLOOKUP($L46,OFFSET([3]enemies!$A$1,0,0,COUNTA([3]enemies!$A:$A),MATCH(M$1,[3]enemies!$1:$1,0)-MATCH($L$1,[3]enemies!$1:$1,0)+1),MATCH(M$1,[3]enemies!$1:$1,0)-MATCH($L$1,[3]enemies!$1:$1,0)+1,FALSE)</f>
        <v>炎のケロケロ</v>
      </c>
      <c r="N46" s="17" t="str">
        <f ca="1">VLOOKUP($L46,OFFSET([3]enemies!$A$1,0,0,COUNTA([3]enemies!$A:$A),MATCH(N$1,[3]enemies!$1:$1,0)-MATCH($L$1,[3]enemies!$1:$1,0)+1),MATCH(N$1,[3]enemies!$1:$1,0)-MATCH($L$1,[3]enemies!$1:$1,0)+1,FALSE)</f>
        <v>red</v>
      </c>
      <c r="O46" s="17" t="str">
        <f ca="1">VLOOKUP($L46,OFFSET([4]characters!$A$1,0,0,COUNTA([4]characters!$A:$A),MATCH(O$1,[4]characters!$1:$1,0)-MATCH($L$1,[4]characters!$1:$1,0)+1),MATCH(O$1,[4]characters!$1:$1,0)-MATCH($L$1,[4]characters!$1:$1,0)+1,FALSE)</f>
        <v>Material</v>
      </c>
      <c r="P46" s="17" t="str">
        <f ca="1">VLOOKUP($L46,OFFSET([3]enemies!$A$1,0,0,COUNTA([3]enemies!$A:$A),MATCH(P$1,[3]enemies!$1:$1,0)-MATCH($L$1,[3]enemies!$1:$1,0)+1),MATCH(P$1,[3]enemies!$1:$1,0)-MATCH($L$1,[3]enemies!$1:$1,0)+1,FALSE)</f>
        <v>unknown</v>
      </c>
      <c r="Q46" s="17">
        <f ca="1">VLOOKUP($L46,OFFSET([3]enemies!$A$1,0,0,COUNTA([3]enemies!$A:$A),MATCH(Q$1,[3]enemies!$1:$1,0)-MATCH($L$1,[3]enemies!$1:$1,0)+1),MATCH(Q$1,[3]enemies!$1:$1,0)-MATCH($L$1,[3]enemies!$1:$1,0)+1,FALSE)</f>
        <v>15</v>
      </c>
      <c r="R46" s="5">
        <v>20</v>
      </c>
      <c r="S46" s="25">
        <v>1</v>
      </c>
      <c r="T46" s="25">
        <v>1.2</v>
      </c>
      <c r="U46" s="5">
        <v>0</v>
      </c>
      <c r="V46" s="4" t="e">
        <f ca="1">VLOOKUP($W46,OFFSET([5]enemy_skill_sets!$B$1,0,0,COUNTA([5]enemy_skill_sets!$B:$B),MATCH(M$1,[5]enemy_skill_sets!$1:$1,0)-MATCH($W$1,[5]enemy_skill_sets!$1:$1,0)+2),MATCH(M$1,[5]enemy_skill_sets!$1:$1,0)-MATCH($W$1,[5]enemy_skill_sets!$1:$1,0)+2,FALSE)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6" s="103">
        <v>12004001</v>
      </c>
      <c r="X46" s="6">
        <v>0</v>
      </c>
      <c r="Y46" s="6">
        <v>100</v>
      </c>
      <c r="Z46" s="6">
        <v>0</v>
      </c>
      <c r="AA46" s="17">
        <v>2</v>
      </c>
      <c r="AB46" s="24">
        <f t="shared" si="28"/>
        <v>348</v>
      </c>
      <c r="AC46" s="4" t="str">
        <f ca="1">VLOOKUP($AB46,OFFSET([4]characters!$A$1,0,0,COUNTA([4]characters!$A:$A),MATCH(AC$1,[4]characters!$1:$1,0)-MATCH("character_id",[4]characters!$1:$1,0)+1),MATCH(AC$1,[4]characters!$1:$1,0)-MATCH("character_id",[4]characters!$1:$1,0)+1,FALSE)</f>
        <v>炎のケロケロ</v>
      </c>
      <c r="AD46" s="4">
        <f ca="1">VLOOKUP($AB46,OFFSET([4]characters!$A$1,0,0,COUNTA([4]characters!$A:$A),MATCH(AD$1,[4]characters!$1:$1,0)-MATCH("character_id",[4]characters!$1:$1,0)+1),MATCH(AD$1,[4]characters!$1:$1,0)-MATCH("character_id",[4]characters!$1:$1,0)+1,FALSE)</f>
        <v>2</v>
      </c>
      <c r="AE46" s="4" t="str">
        <f ca="1">VLOOKUP($AB46,OFFSET([4]characters!$A$1,0,0,COUNTA([4]characters!$A:$A),MATCH(AE$1,[4]characters!$1:$1,0)-MATCH("character_id",[4]characters!$1:$1,0)+1),MATCH(AE$1,[4]characters!$1:$1,0)-MATCH("character_id",[4]characters!$1:$1,0)+1,FALSE)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6" s="7">
        <v>1</v>
      </c>
      <c r="AG46" s="24">
        <f t="shared" ca="1" si="29"/>
        <v>2</v>
      </c>
      <c r="AH46" s="8">
        <v>70</v>
      </c>
      <c r="AI46" s="7">
        <v>0</v>
      </c>
      <c r="AJ46" s="7">
        <v>0</v>
      </c>
      <c r="AK46" s="7">
        <v>0</v>
      </c>
      <c r="AL46" s="7">
        <v>0</v>
      </c>
      <c r="AM46" s="7">
        <v>1</v>
      </c>
      <c r="AN46" s="69">
        <v>1</v>
      </c>
    </row>
    <row r="47" spans="1:40" ht="21" customHeight="1">
      <c r="A47" s="16" t="str">
        <f t="shared" si="25"/>
        <v>12004_1-4/350&lt;lv20&gt;s2</v>
      </c>
      <c r="B47" s="22">
        <v>12004</v>
      </c>
      <c r="C47" s="21">
        <v>1</v>
      </c>
      <c r="D47" s="2" t="str">
        <f t="shared" si="26"/>
        <v>12004_1</v>
      </c>
      <c r="E47" s="4" t="str">
        <f ca="1">VLOOKUP($B47,OFFSET([2]quests!$A$1,0,0,COUNTA([2]quests!$A:$A),MATCH(E$1,[2]quests!$1:$1,0)-MATCH($B$1,[2]quests!$1:$1,0)+1),MATCH(E$1,[2]quests!$1:$1,0)-MATCH($B$1,[2]quests!$1:$1,0)+1,FALSE)</f>
        <v>メタルフロッグをもとめて</v>
      </c>
      <c r="F47" s="4" t="str">
        <f ca="1">VLOOKUP($D47,OFFSET([2]stages!$A$1,0,0,COUNTA([2]stages!$A:$A),MATCH(F$1,[2]stages!$2:$2,0)-MATCH($D$1,[2]stages!$2:$2,0)+1),MATCH(F$1,[2]stages!$2:$2,0)-MATCH($D$1,[2]stages!$2:$2,0)+1,FALSE)</f>
        <v>【上級】メタルフロッグをもとめて</v>
      </c>
      <c r="G47" s="102">
        <v>4</v>
      </c>
      <c r="H47" s="15" t="str">
        <f t="shared" si="27"/>
        <v>12004_1-4</v>
      </c>
      <c r="I47" s="4">
        <f ca="1">VLOOKUP($H47,OFFSET(floors!$A$1,0,0,COUNTA(floors!$A:$A),MATCH(I$1,floors!$1:$1,0)-MATCH($H$1,floors!$1:$1,0)+1),MATCH(I$1,floors!$1:$1,0)-MATCH($H$1,floors!$1:$1,0)+1,FALSE)</f>
        <v>45</v>
      </c>
      <c r="J47" s="4">
        <f ca="1">VLOOKUP($H47,OFFSET(floors!$A$1,0,0,COUNTA(floors!$A:$A),MATCH(J$1,floors!$1:$1,0)-MATCH($H$1,floors!$1:$1,0)+1),MATCH(J$1,floors!$1:$1,0)-MATCH($H$1,floors!$1:$1,0)+1,FALSE)</f>
        <v>45</v>
      </c>
      <c r="K47" s="38" t="s">
        <v>53</v>
      </c>
      <c r="L47" s="20">
        <v>350</v>
      </c>
      <c r="M47" s="17" t="str">
        <f ca="1">VLOOKUP($L47,OFFSET([3]enemies!$A$1,0,0,COUNTA([3]enemies!$A:$A),MATCH(M$1,[3]enemies!$1:$1,0)-MATCH($L$1,[3]enemies!$1:$1,0)+1),MATCH(M$1,[3]enemies!$1:$1,0)-MATCH($L$1,[3]enemies!$1:$1,0)+1,FALSE)</f>
        <v>森のケロケロ</v>
      </c>
      <c r="N47" s="17" t="str">
        <f ca="1">VLOOKUP($L47,OFFSET([3]enemies!$A$1,0,0,COUNTA([3]enemies!$A:$A),MATCH(N$1,[3]enemies!$1:$1,0)-MATCH($L$1,[3]enemies!$1:$1,0)+1),MATCH(N$1,[3]enemies!$1:$1,0)-MATCH($L$1,[3]enemies!$1:$1,0)+1,FALSE)</f>
        <v>green</v>
      </c>
      <c r="O47" s="17" t="str">
        <f ca="1">VLOOKUP($L47,OFFSET([4]characters!$A$1,0,0,COUNTA([4]characters!$A:$A),MATCH(O$1,[4]characters!$1:$1,0)-MATCH($L$1,[4]characters!$1:$1,0)+1),MATCH(O$1,[4]characters!$1:$1,0)-MATCH($L$1,[4]characters!$1:$1,0)+1,FALSE)</f>
        <v>Material</v>
      </c>
      <c r="P47" s="17" t="str">
        <f ca="1">VLOOKUP($L47,OFFSET([3]enemies!$A$1,0,0,COUNTA([3]enemies!$A:$A),MATCH(P$1,[3]enemies!$1:$1,0)-MATCH($L$1,[3]enemies!$1:$1,0)+1),MATCH(P$1,[3]enemies!$1:$1,0)-MATCH($L$1,[3]enemies!$1:$1,0)+1,FALSE)</f>
        <v>unknown</v>
      </c>
      <c r="Q47" s="17">
        <f ca="1">VLOOKUP($L47,OFFSET([3]enemies!$A$1,0,0,COUNTA([3]enemies!$A:$A),MATCH(Q$1,[3]enemies!$1:$1,0)-MATCH($L$1,[3]enemies!$1:$1,0)+1),MATCH(Q$1,[3]enemies!$1:$1,0)-MATCH($L$1,[3]enemies!$1:$1,0)+1,FALSE)</f>
        <v>15</v>
      </c>
      <c r="R47" s="5">
        <v>20</v>
      </c>
      <c r="S47" s="25">
        <v>1</v>
      </c>
      <c r="T47" s="25">
        <v>1.2</v>
      </c>
      <c r="U47" s="5">
        <v>0</v>
      </c>
      <c r="V47" s="4" t="e">
        <f ca="1">VLOOKUP($W47,OFFSET([5]enemy_skill_sets!$B$1,0,0,COUNTA([5]enemy_skill_sets!$B:$B),MATCH(M$1,[5]enemy_skill_sets!$1:$1,0)-MATCH($W$1,[5]enemy_skill_sets!$1:$1,0)+2),MATCH(M$1,[5]enemy_skill_sets!$1:$1,0)-MATCH($W$1,[5]enemy_skill_sets!$1:$1,0)+2,FALSE)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7" s="103">
        <v>12004002</v>
      </c>
      <c r="X47" s="6">
        <v>0</v>
      </c>
      <c r="Y47" s="6">
        <v>100</v>
      </c>
      <c r="Z47" s="6">
        <v>0</v>
      </c>
      <c r="AA47" s="17">
        <v>2</v>
      </c>
      <c r="AB47" s="24">
        <f t="shared" si="28"/>
        <v>350</v>
      </c>
      <c r="AC47" s="4" t="str">
        <f ca="1">VLOOKUP($AB47,OFFSET([4]characters!$A$1,0,0,COUNTA([4]characters!$A:$A),MATCH(AC$1,[4]characters!$1:$1,0)-MATCH("character_id",[4]characters!$1:$1,0)+1),MATCH(AC$1,[4]characters!$1:$1,0)-MATCH("character_id",[4]characters!$1:$1,0)+1,FALSE)</f>
        <v>森のケロケロ</v>
      </c>
      <c r="AD47" s="4">
        <f ca="1">VLOOKUP($AB47,OFFSET([4]characters!$A$1,0,0,COUNTA([4]characters!$A:$A),MATCH(AD$1,[4]characters!$1:$1,0)-MATCH("character_id",[4]characters!$1:$1,0)+1),MATCH(AD$1,[4]characters!$1:$1,0)-MATCH("character_id",[4]characters!$1:$1,0)+1,FALSE)</f>
        <v>2</v>
      </c>
      <c r="AE47" s="4" t="str">
        <f ca="1">VLOOKUP($AB47,OFFSET([4]characters!$A$1,0,0,COUNTA([4]characters!$A:$A),MATCH(AE$1,[4]characters!$1:$1,0)-MATCH("character_id",[4]characters!$1:$1,0)+1),MATCH(AE$1,[4]characters!$1:$1,0)-MATCH("character_id",[4]characters!$1:$1,0)+1,FALSE)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7" s="7">
        <v>1</v>
      </c>
      <c r="AG47" s="24">
        <f t="shared" ca="1" si="29"/>
        <v>2</v>
      </c>
      <c r="AH47" s="8">
        <v>70</v>
      </c>
      <c r="AI47" s="7">
        <v>0</v>
      </c>
      <c r="AJ47" s="7">
        <v>0</v>
      </c>
      <c r="AK47" s="7">
        <v>0</v>
      </c>
      <c r="AL47" s="7">
        <v>0</v>
      </c>
      <c r="AM47" s="7">
        <v>1</v>
      </c>
      <c r="AN47" s="69">
        <v>1</v>
      </c>
    </row>
    <row r="48" spans="1:40" ht="21" customHeight="1">
      <c r="A48" s="16" t="str">
        <f t="shared" si="25"/>
        <v>12004_1-4/352&lt;lv20&gt;s2</v>
      </c>
      <c r="B48" s="22">
        <v>12004</v>
      </c>
      <c r="C48" s="21">
        <v>1</v>
      </c>
      <c r="D48" s="2" t="str">
        <f t="shared" si="26"/>
        <v>12004_1</v>
      </c>
      <c r="E48" s="4" t="str">
        <f ca="1">VLOOKUP($B48,OFFSET([2]quests!$A$1,0,0,COUNTA([2]quests!$A:$A),MATCH(E$1,[2]quests!$1:$1,0)-MATCH($B$1,[2]quests!$1:$1,0)+1),MATCH(E$1,[2]quests!$1:$1,0)-MATCH($B$1,[2]quests!$1:$1,0)+1,FALSE)</f>
        <v>メタルフロッグをもとめて</v>
      </c>
      <c r="F48" s="4" t="str">
        <f ca="1">VLOOKUP($D48,OFFSET([2]stages!$A$1,0,0,COUNTA([2]stages!$A:$A),MATCH(F$1,[2]stages!$2:$2,0)-MATCH($D$1,[2]stages!$2:$2,0)+1),MATCH(F$1,[2]stages!$2:$2,0)-MATCH($D$1,[2]stages!$2:$2,0)+1,FALSE)</f>
        <v>【上級】メタルフロッグをもとめて</v>
      </c>
      <c r="G48" s="102">
        <v>4</v>
      </c>
      <c r="H48" s="15" t="str">
        <f t="shared" si="27"/>
        <v>12004_1-4</v>
      </c>
      <c r="I48" s="4">
        <f ca="1">VLOOKUP($H48,OFFSET(floors!$A$1,0,0,COUNTA(floors!$A:$A),MATCH(I$1,floors!$1:$1,0)-MATCH($H$1,floors!$1:$1,0)+1),MATCH(I$1,floors!$1:$1,0)-MATCH($H$1,floors!$1:$1,0)+1,FALSE)</f>
        <v>45</v>
      </c>
      <c r="J48" s="4">
        <f ca="1">VLOOKUP($H48,OFFSET(floors!$A$1,0,0,COUNTA(floors!$A:$A),MATCH(J$1,floors!$1:$1,0)-MATCH($H$1,floors!$1:$1,0)+1),MATCH(J$1,floors!$1:$1,0)-MATCH($H$1,floors!$1:$1,0)+1,FALSE)</f>
        <v>45</v>
      </c>
      <c r="K48" s="38" t="s">
        <v>53</v>
      </c>
      <c r="L48" s="20">
        <v>352</v>
      </c>
      <c r="M48" s="17" t="str">
        <f ca="1">VLOOKUP($L48,OFFSET([3]enemies!$A$1,0,0,COUNTA([3]enemies!$A:$A),MATCH(M$1,[3]enemies!$1:$1,0)-MATCH($L$1,[3]enemies!$1:$1,0)+1),MATCH(M$1,[3]enemies!$1:$1,0)-MATCH($L$1,[3]enemies!$1:$1,0)+1,FALSE)</f>
        <v>水のケロケロ</v>
      </c>
      <c r="N48" s="17" t="str">
        <f ca="1">VLOOKUP($L48,OFFSET([3]enemies!$A$1,0,0,COUNTA([3]enemies!$A:$A),MATCH(N$1,[3]enemies!$1:$1,0)-MATCH($L$1,[3]enemies!$1:$1,0)+1),MATCH(N$1,[3]enemies!$1:$1,0)-MATCH($L$1,[3]enemies!$1:$1,0)+1,FALSE)</f>
        <v>blue</v>
      </c>
      <c r="O48" s="17" t="str">
        <f ca="1">VLOOKUP($L48,OFFSET([4]characters!$A$1,0,0,COUNTA([4]characters!$A:$A),MATCH(O$1,[4]characters!$1:$1,0)-MATCH($L$1,[4]characters!$1:$1,0)+1),MATCH(O$1,[4]characters!$1:$1,0)-MATCH($L$1,[4]characters!$1:$1,0)+1,FALSE)</f>
        <v>Material</v>
      </c>
      <c r="P48" s="17" t="str">
        <f ca="1">VLOOKUP($L48,OFFSET([3]enemies!$A$1,0,0,COUNTA([3]enemies!$A:$A),MATCH(P$1,[3]enemies!$1:$1,0)-MATCH($L$1,[3]enemies!$1:$1,0)+1),MATCH(P$1,[3]enemies!$1:$1,0)-MATCH($L$1,[3]enemies!$1:$1,0)+1,FALSE)</f>
        <v>unknown</v>
      </c>
      <c r="Q48" s="17">
        <f ca="1">VLOOKUP($L48,OFFSET([3]enemies!$A$1,0,0,COUNTA([3]enemies!$A:$A),MATCH(Q$1,[3]enemies!$1:$1,0)-MATCH($L$1,[3]enemies!$1:$1,0)+1),MATCH(Q$1,[3]enemies!$1:$1,0)-MATCH($L$1,[3]enemies!$1:$1,0)+1,FALSE)</f>
        <v>15</v>
      </c>
      <c r="R48" s="5">
        <v>20</v>
      </c>
      <c r="S48" s="25">
        <v>1</v>
      </c>
      <c r="T48" s="25">
        <v>1.2</v>
      </c>
      <c r="U48" s="5">
        <v>0</v>
      </c>
      <c r="V48" s="4" t="e">
        <f ca="1">VLOOKUP($W48,OFFSET([5]enemy_skill_sets!$B$1,0,0,COUNTA([5]enemy_skill_sets!$B:$B),MATCH(M$1,[5]enemy_skill_sets!$1:$1,0)-MATCH($W$1,[5]enemy_skill_sets!$1:$1,0)+2),MATCH(M$1,[5]enemy_skill_sets!$1:$1,0)-MATCH($W$1,[5]enemy_skill_sets!$1:$1,0)+2,FALSE)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8" s="103">
        <v>12004003</v>
      </c>
      <c r="X48" s="6">
        <v>0</v>
      </c>
      <c r="Y48" s="6">
        <v>100</v>
      </c>
      <c r="Z48" s="6">
        <v>0</v>
      </c>
      <c r="AA48" s="17">
        <v>2</v>
      </c>
      <c r="AB48" s="24">
        <f t="shared" si="28"/>
        <v>352</v>
      </c>
      <c r="AC48" s="4" t="str">
        <f ca="1">VLOOKUP($AB48,OFFSET([4]characters!$A$1,0,0,COUNTA([4]characters!$A:$A),MATCH(AC$1,[4]characters!$1:$1,0)-MATCH("character_id",[4]characters!$1:$1,0)+1),MATCH(AC$1,[4]characters!$1:$1,0)-MATCH("character_id",[4]characters!$1:$1,0)+1,FALSE)</f>
        <v>水のケロケロ</v>
      </c>
      <c r="AD48" s="4">
        <f ca="1">VLOOKUP($AB48,OFFSET([4]characters!$A$1,0,0,COUNTA([4]characters!$A:$A),MATCH(AD$1,[4]characters!$1:$1,0)-MATCH("character_id",[4]characters!$1:$1,0)+1),MATCH(AD$1,[4]characters!$1:$1,0)-MATCH("character_id",[4]characters!$1:$1,0)+1,FALSE)</f>
        <v>2</v>
      </c>
      <c r="AE48" s="4" t="str">
        <f ca="1">VLOOKUP($AB48,OFFSET([4]characters!$A$1,0,0,COUNTA([4]characters!$A:$A),MATCH(AE$1,[4]characters!$1:$1,0)-MATCH("character_id",[4]characters!$1:$1,0)+1),MATCH(AE$1,[4]characters!$1:$1,0)-MATCH("character_id",[4]characters!$1:$1,0)+1,FALSE)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8" s="7">
        <v>1</v>
      </c>
      <c r="AG48" s="24">
        <f t="shared" ca="1" si="29"/>
        <v>2</v>
      </c>
      <c r="AH48" s="8">
        <v>70</v>
      </c>
      <c r="AI48" s="7">
        <v>0</v>
      </c>
      <c r="AJ48" s="7">
        <v>0</v>
      </c>
      <c r="AK48" s="7">
        <v>0</v>
      </c>
      <c r="AL48" s="7">
        <v>0</v>
      </c>
      <c r="AM48" s="7">
        <v>1</v>
      </c>
      <c r="AN48" s="69">
        <v>1</v>
      </c>
    </row>
    <row r="49" spans="1:40" ht="21" customHeight="1">
      <c r="A49" s="16" t="str">
        <f t="shared" si="25"/>
        <v>12004_1-4/354&lt;lv20&gt;s2</v>
      </c>
      <c r="B49" s="22">
        <v>12004</v>
      </c>
      <c r="C49" s="21">
        <v>1</v>
      </c>
      <c r="D49" s="2" t="str">
        <f t="shared" si="26"/>
        <v>12004_1</v>
      </c>
      <c r="E49" s="4" t="str">
        <f ca="1">VLOOKUP($B49,OFFSET([2]quests!$A$1,0,0,COUNTA([2]quests!$A:$A),MATCH(E$1,[2]quests!$1:$1,0)-MATCH($B$1,[2]quests!$1:$1,0)+1),MATCH(E$1,[2]quests!$1:$1,0)-MATCH($B$1,[2]quests!$1:$1,0)+1,FALSE)</f>
        <v>メタルフロッグをもとめて</v>
      </c>
      <c r="F49" s="4" t="str">
        <f ca="1">VLOOKUP($D49,OFFSET([2]stages!$A$1,0,0,COUNTA([2]stages!$A:$A),MATCH(F$1,[2]stages!$2:$2,0)-MATCH($D$1,[2]stages!$2:$2,0)+1),MATCH(F$1,[2]stages!$2:$2,0)-MATCH($D$1,[2]stages!$2:$2,0)+1,FALSE)</f>
        <v>【上級】メタルフロッグをもとめて</v>
      </c>
      <c r="G49" s="102">
        <v>4</v>
      </c>
      <c r="H49" s="15" t="str">
        <f t="shared" si="27"/>
        <v>12004_1-4</v>
      </c>
      <c r="I49" s="4">
        <f ca="1">VLOOKUP($H49,OFFSET(floors!$A$1,0,0,COUNTA(floors!$A:$A),MATCH(I$1,floors!$1:$1,0)-MATCH($H$1,floors!$1:$1,0)+1),MATCH(I$1,floors!$1:$1,0)-MATCH($H$1,floors!$1:$1,0)+1,FALSE)</f>
        <v>45</v>
      </c>
      <c r="J49" s="4">
        <f ca="1">VLOOKUP($H49,OFFSET(floors!$A$1,0,0,COUNTA(floors!$A:$A),MATCH(J$1,floors!$1:$1,0)-MATCH($H$1,floors!$1:$1,0)+1),MATCH(J$1,floors!$1:$1,0)-MATCH($H$1,floors!$1:$1,0)+1,FALSE)</f>
        <v>45</v>
      </c>
      <c r="K49" s="38" t="s">
        <v>53</v>
      </c>
      <c r="L49" s="20">
        <v>354</v>
      </c>
      <c r="M49" s="17" t="str">
        <f ca="1">VLOOKUP($L49,OFFSET([3]enemies!$A$1,0,0,COUNTA([3]enemies!$A:$A),MATCH(M$1,[3]enemies!$1:$1,0)-MATCH($L$1,[3]enemies!$1:$1,0)+1),MATCH(M$1,[3]enemies!$1:$1,0)-MATCH($L$1,[3]enemies!$1:$1,0)+1,FALSE)</f>
        <v>雷のケロケロ</v>
      </c>
      <c r="N49" s="17" t="str">
        <f ca="1">VLOOKUP($L49,OFFSET([3]enemies!$A$1,0,0,COUNTA([3]enemies!$A:$A),MATCH(N$1,[3]enemies!$1:$1,0)-MATCH($L$1,[3]enemies!$1:$1,0)+1),MATCH(N$1,[3]enemies!$1:$1,0)-MATCH($L$1,[3]enemies!$1:$1,0)+1,FALSE)</f>
        <v>yellow</v>
      </c>
      <c r="O49" s="17" t="str">
        <f ca="1">VLOOKUP($L49,OFFSET([4]characters!$A$1,0,0,COUNTA([4]characters!$A:$A),MATCH(O$1,[4]characters!$1:$1,0)-MATCH($L$1,[4]characters!$1:$1,0)+1),MATCH(O$1,[4]characters!$1:$1,0)-MATCH($L$1,[4]characters!$1:$1,0)+1,FALSE)</f>
        <v>Material</v>
      </c>
      <c r="P49" s="17" t="str">
        <f ca="1">VLOOKUP($L49,OFFSET([3]enemies!$A$1,0,0,COUNTA([3]enemies!$A:$A),MATCH(P$1,[3]enemies!$1:$1,0)-MATCH($L$1,[3]enemies!$1:$1,0)+1),MATCH(P$1,[3]enemies!$1:$1,0)-MATCH($L$1,[3]enemies!$1:$1,0)+1,FALSE)</f>
        <v>unknown</v>
      </c>
      <c r="Q49" s="17">
        <f ca="1">VLOOKUP($L49,OFFSET([3]enemies!$A$1,0,0,COUNTA([3]enemies!$A:$A),MATCH(Q$1,[3]enemies!$1:$1,0)-MATCH($L$1,[3]enemies!$1:$1,0)+1),MATCH(Q$1,[3]enemies!$1:$1,0)-MATCH($L$1,[3]enemies!$1:$1,0)+1,FALSE)</f>
        <v>15</v>
      </c>
      <c r="R49" s="5">
        <v>20</v>
      </c>
      <c r="S49" s="25">
        <v>1</v>
      </c>
      <c r="T49" s="25">
        <v>1.2</v>
      </c>
      <c r="U49" s="5">
        <v>0</v>
      </c>
      <c r="V49" s="4" t="e">
        <f ca="1">VLOOKUP($W49,OFFSET([5]enemy_skill_sets!$B$1,0,0,COUNTA([5]enemy_skill_sets!$B:$B),MATCH(M$1,[5]enemy_skill_sets!$1:$1,0)-MATCH($W$1,[5]enemy_skill_sets!$1:$1,0)+2),MATCH(M$1,[5]enemy_skill_sets!$1:$1,0)-MATCH($W$1,[5]enemy_skill_sets!$1:$1,0)+2,FALSE)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9" s="103">
        <v>12004004</v>
      </c>
      <c r="X49" s="6">
        <v>0</v>
      </c>
      <c r="Y49" s="6">
        <v>100</v>
      </c>
      <c r="Z49" s="6">
        <v>0</v>
      </c>
      <c r="AA49" s="17">
        <v>2</v>
      </c>
      <c r="AB49" s="24">
        <f t="shared" si="28"/>
        <v>354</v>
      </c>
      <c r="AC49" s="4" t="str">
        <f ca="1">VLOOKUP($AB49,OFFSET([4]characters!$A$1,0,0,COUNTA([4]characters!$A:$A),MATCH(AC$1,[4]characters!$1:$1,0)-MATCH("character_id",[4]characters!$1:$1,0)+1),MATCH(AC$1,[4]characters!$1:$1,0)-MATCH("character_id",[4]characters!$1:$1,0)+1,FALSE)</f>
        <v>雷のケロケロ</v>
      </c>
      <c r="AD49" s="4">
        <f ca="1">VLOOKUP($AB49,OFFSET([4]characters!$A$1,0,0,COUNTA([4]characters!$A:$A),MATCH(AD$1,[4]characters!$1:$1,0)-MATCH("character_id",[4]characters!$1:$1,0)+1),MATCH(AD$1,[4]characters!$1:$1,0)-MATCH("character_id",[4]characters!$1:$1,0)+1,FALSE)</f>
        <v>2</v>
      </c>
      <c r="AE49" s="4" t="str">
        <f ca="1">VLOOKUP($AB49,OFFSET([4]characters!$A$1,0,0,COUNTA([4]characters!$A:$A),MATCH(AE$1,[4]characters!$1:$1,0)-MATCH("character_id",[4]characters!$1:$1,0)+1),MATCH(AE$1,[4]characters!$1:$1,0)-MATCH("character_id",[4]characters!$1:$1,0)+1,FALSE)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9" s="7">
        <v>1</v>
      </c>
      <c r="AG49" s="24">
        <f t="shared" ca="1" si="29"/>
        <v>2</v>
      </c>
      <c r="AH49" s="8">
        <v>70</v>
      </c>
      <c r="AI49" s="7">
        <v>0</v>
      </c>
      <c r="AJ49" s="7">
        <v>0</v>
      </c>
      <c r="AK49" s="7">
        <v>0</v>
      </c>
      <c r="AL49" s="7">
        <v>0</v>
      </c>
      <c r="AM49" s="7">
        <v>1</v>
      </c>
      <c r="AN49" s="69">
        <v>1</v>
      </c>
    </row>
    <row r="50" spans="1:40" ht="21" customHeight="1">
      <c r="A50" s="16" t="str">
        <f t="shared" si="25"/>
        <v>12004_1-4/349&lt;lv20&gt;s2</v>
      </c>
      <c r="B50" s="22">
        <v>12004</v>
      </c>
      <c r="C50" s="21">
        <v>1</v>
      </c>
      <c r="D50" s="2" t="str">
        <f t="shared" si="26"/>
        <v>12004_1</v>
      </c>
      <c r="E50" s="4" t="str">
        <f ca="1">VLOOKUP($B50,OFFSET([2]quests!$A$1,0,0,COUNTA([2]quests!$A:$A),MATCH(E$1,[2]quests!$1:$1,0)-MATCH($B$1,[2]quests!$1:$1,0)+1),MATCH(E$1,[2]quests!$1:$1,0)-MATCH($B$1,[2]quests!$1:$1,0)+1,FALSE)</f>
        <v>メタルフロッグをもとめて</v>
      </c>
      <c r="F50" s="4" t="str">
        <f ca="1">VLOOKUP($D50,OFFSET([2]stages!$A$1,0,0,COUNTA([2]stages!$A:$A),MATCH(F$1,[2]stages!$2:$2,0)-MATCH($D$1,[2]stages!$2:$2,0)+1),MATCH(F$1,[2]stages!$2:$2,0)-MATCH($D$1,[2]stages!$2:$2,0)+1,FALSE)</f>
        <v>【上級】メタルフロッグをもとめて</v>
      </c>
      <c r="G50" s="102">
        <v>4</v>
      </c>
      <c r="H50" s="15" t="str">
        <f t="shared" si="27"/>
        <v>12004_1-4</v>
      </c>
      <c r="I50" s="4">
        <f ca="1">VLOOKUP($H50,OFFSET(floors!$A$1,0,0,COUNTA(floors!$A:$A),MATCH(I$1,floors!$1:$1,0)-MATCH($H$1,floors!$1:$1,0)+1),MATCH(I$1,floors!$1:$1,0)-MATCH($H$1,floors!$1:$1,0)+1,FALSE)</f>
        <v>45</v>
      </c>
      <c r="J50" s="4">
        <f ca="1">VLOOKUP($H50,OFFSET(floors!$A$1,0,0,COUNTA(floors!$A:$A),MATCH(J$1,floors!$1:$1,0)-MATCH($H$1,floors!$1:$1,0)+1),MATCH(J$1,floors!$1:$1,0)-MATCH($H$1,floors!$1:$1,0)+1,FALSE)</f>
        <v>45</v>
      </c>
      <c r="K50" s="38" t="s">
        <v>53</v>
      </c>
      <c r="L50" s="20">
        <v>349</v>
      </c>
      <c r="M50" s="17" t="str">
        <f ca="1">VLOOKUP($L50,OFFSET([3]enemies!$A$1,0,0,COUNTA([3]enemies!$A:$A),MATCH(M$1,[3]enemies!$1:$1,0)-MATCH($L$1,[3]enemies!$1:$1,0)+1),MATCH(M$1,[3]enemies!$1:$1,0)-MATCH($L$1,[3]enemies!$1:$1,0)+1,FALSE)</f>
        <v>炎のメタルフロッグ</v>
      </c>
      <c r="N50" s="17" t="str">
        <f ca="1">VLOOKUP($L50,OFFSET([3]enemies!$A$1,0,0,COUNTA([3]enemies!$A:$A),MATCH(N$1,[3]enemies!$1:$1,0)-MATCH($L$1,[3]enemies!$1:$1,0)+1),MATCH(N$1,[3]enemies!$1:$1,0)-MATCH($L$1,[3]enemies!$1:$1,0)+1,FALSE)</f>
        <v>red</v>
      </c>
      <c r="O50" s="17" t="str">
        <f ca="1">VLOOKUP($L50,OFFSET([4]characters!$A$1,0,0,COUNTA([4]characters!$A:$A),MATCH(O$1,[4]characters!$1:$1,0)-MATCH($L$1,[4]characters!$1:$1,0)+1),MATCH(O$1,[4]characters!$1:$1,0)-MATCH($L$1,[4]characters!$1:$1,0)+1,FALSE)</f>
        <v>Material</v>
      </c>
      <c r="P50" s="17" t="str">
        <f ca="1">VLOOKUP($L50,OFFSET([3]enemies!$A$1,0,0,COUNTA([3]enemies!$A:$A),MATCH(P$1,[3]enemies!$1:$1,0)-MATCH($L$1,[3]enemies!$1:$1,0)+1),MATCH(P$1,[3]enemies!$1:$1,0)-MATCH($L$1,[3]enemies!$1:$1,0)+1,FALSE)</f>
        <v>unknown</v>
      </c>
      <c r="Q50" s="17">
        <f ca="1">VLOOKUP($L50,OFFSET([3]enemies!$A$1,0,0,COUNTA([3]enemies!$A:$A),MATCH(Q$1,[3]enemies!$1:$1,0)-MATCH($L$1,[3]enemies!$1:$1,0)+1),MATCH(Q$1,[3]enemies!$1:$1,0)-MATCH($L$1,[3]enemies!$1:$1,0)+1,FALSE)</f>
        <v>15</v>
      </c>
      <c r="R50" s="5">
        <v>20</v>
      </c>
      <c r="S50" s="25">
        <v>1</v>
      </c>
      <c r="T50" s="25">
        <v>1.2</v>
      </c>
      <c r="U50" s="5">
        <v>0</v>
      </c>
      <c r="V50" s="4" t="e">
        <f ca="1">VLOOKUP($W50,OFFSET([5]enemy_skill_sets!$B$1,0,0,COUNTA([5]enemy_skill_sets!$B:$B),MATCH(M$1,[5]enemy_skill_sets!$1:$1,0)-MATCH($W$1,[5]enemy_skill_sets!$1:$1,0)+2),MATCH(M$1,[5]enemy_skill_sets!$1:$1,0)-MATCH($W$1,[5]enemy_skill_sets!$1:$1,0)+2,FALSE)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50" s="103">
        <v>12004005</v>
      </c>
      <c r="X50" s="6">
        <v>0</v>
      </c>
      <c r="Y50" s="6">
        <v>100</v>
      </c>
      <c r="Z50" s="6">
        <v>1</v>
      </c>
      <c r="AA50" s="17">
        <v>2</v>
      </c>
      <c r="AB50" s="24">
        <f t="shared" si="28"/>
        <v>349</v>
      </c>
      <c r="AC50" s="4" t="str">
        <f ca="1">VLOOKUP($AB50,OFFSET([4]characters!$A$1,0,0,COUNTA([4]characters!$A:$A),MATCH(AC$1,[4]characters!$1:$1,0)-MATCH("character_id",[4]characters!$1:$1,0)+1),MATCH(AC$1,[4]characters!$1:$1,0)-MATCH("character_id",[4]characters!$1:$1,0)+1,FALSE)</f>
        <v>炎のメタルフロッグ</v>
      </c>
      <c r="AD50" s="4">
        <f ca="1">VLOOKUP($AB50,OFFSET([4]characters!$A$1,0,0,COUNTA([4]characters!$A:$A),MATCH(AD$1,[4]characters!$1:$1,0)-MATCH("character_id",[4]characters!$1:$1,0)+1),MATCH(AD$1,[4]characters!$1:$1,0)-MATCH("character_id",[4]characters!$1:$1,0)+1,FALSE)</f>
        <v>4</v>
      </c>
      <c r="AE50" s="4" t="str">
        <f ca="1">VLOOKUP($AB50,OFFSET([4]characters!$A$1,0,0,COUNTA([4]characters!$A:$A),MATCH(AE$1,[4]characters!$1:$1,0)-MATCH("character_id",[4]characters!$1:$1,0)+1),MATCH(AE$1,[4]characters!$1:$1,0)-MATCH("character_id",[4]characters!$1:$1,0)+1,FALSE)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0" s="7">
        <v>1</v>
      </c>
      <c r="AG50" s="24">
        <f t="shared" ca="1" si="29"/>
        <v>4</v>
      </c>
      <c r="AH50" s="8">
        <v>10</v>
      </c>
      <c r="AI50" s="7">
        <v>0</v>
      </c>
      <c r="AJ50" s="7">
        <v>0</v>
      </c>
      <c r="AK50" s="7">
        <v>0</v>
      </c>
      <c r="AL50" s="7">
        <v>0</v>
      </c>
      <c r="AM50" s="7">
        <v>1</v>
      </c>
      <c r="AN50" s="69">
        <v>1</v>
      </c>
    </row>
    <row r="51" spans="1:40" ht="21" customHeight="1">
      <c r="A51" s="16" t="str">
        <f t="shared" si="25"/>
        <v>12004_1-4/351&lt;lv20&gt;s2</v>
      </c>
      <c r="B51" s="22">
        <v>12004</v>
      </c>
      <c r="C51" s="21">
        <v>1</v>
      </c>
      <c r="D51" s="2" t="str">
        <f t="shared" si="26"/>
        <v>12004_1</v>
      </c>
      <c r="E51" s="4" t="str">
        <f ca="1">VLOOKUP($B51,OFFSET([2]quests!$A$1,0,0,COUNTA([2]quests!$A:$A),MATCH(E$1,[2]quests!$1:$1,0)-MATCH($B$1,[2]quests!$1:$1,0)+1),MATCH(E$1,[2]quests!$1:$1,0)-MATCH($B$1,[2]quests!$1:$1,0)+1,FALSE)</f>
        <v>メタルフロッグをもとめて</v>
      </c>
      <c r="F51" s="4" t="str">
        <f ca="1">VLOOKUP($D51,OFFSET([2]stages!$A$1,0,0,COUNTA([2]stages!$A:$A),MATCH(F$1,[2]stages!$2:$2,0)-MATCH($D$1,[2]stages!$2:$2,0)+1),MATCH(F$1,[2]stages!$2:$2,0)-MATCH($D$1,[2]stages!$2:$2,0)+1,FALSE)</f>
        <v>【上級】メタルフロッグをもとめて</v>
      </c>
      <c r="G51" s="102">
        <v>4</v>
      </c>
      <c r="H51" s="15" t="str">
        <f t="shared" si="27"/>
        <v>12004_1-4</v>
      </c>
      <c r="I51" s="4">
        <f ca="1">VLOOKUP($H51,OFFSET(floors!$A$1,0,0,COUNTA(floors!$A:$A),MATCH(I$1,floors!$1:$1,0)-MATCH($H$1,floors!$1:$1,0)+1),MATCH(I$1,floors!$1:$1,0)-MATCH($H$1,floors!$1:$1,0)+1,FALSE)</f>
        <v>45</v>
      </c>
      <c r="J51" s="4">
        <f ca="1">VLOOKUP($H51,OFFSET(floors!$A$1,0,0,COUNTA(floors!$A:$A),MATCH(J$1,floors!$1:$1,0)-MATCH($H$1,floors!$1:$1,0)+1),MATCH(J$1,floors!$1:$1,0)-MATCH($H$1,floors!$1:$1,0)+1,FALSE)</f>
        <v>45</v>
      </c>
      <c r="K51" s="38" t="s">
        <v>53</v>
      </c>
      <c r="L51" s="20">
        <v>351</v>
      </c>
      <c r="M51" s="17" t="str">
        <f ca="1">VLOOKUP($L51,OFFSET([3]enemies!$A$1,0,0,COUNTA([3]enemies!$A:$A),MATCH(M$1,[3]enemies!$1:$1,0)-MATCH($L$1,[3]enemies!$1:$1,0)+1),MATCH(M$1,[3]enemies!$1:$1,0)-MATCH($L$1,[3]enemies!$1:$1,0)+1,FALSE)</f>
        <v>森のメタルフロッグ</v>
      </c>
      <c r="N51" s="17" t="str">
        <f ca="1">VLOOKUP($L51,OFFSET([3]enemies!$A$1,0,0,COUNTA([3]enemies!$A:$A),MATCH(N$1,[3]enemies!$1:$1,0)-MATCH($L$1,[3]enemies!$1:$1,0)+1),MATCH(N$1,[3]enemies!$1:$1,0)-MATCH($L$1,[3]enemies!$1:$1,0)+1,FALSE)</f>
        <v>green</v>
      </c>
      <c r="O51" s="17" t="str">
        <f ca="1">VLOOKUP($L51,OFFSET([4]characters!$A$1,0,0,COUNTA([4]characters!$A:$A),MATCH(O$1,[4]characters!$1:$1,0)-MATCH($L$1,[4]characters!$1:$1,0)+1),MATCH(O$1,[4]characters!$1:$1,0)-MATCH($L$1,[4]characters!$1:$1,0)+1,FALSE)</f>
        <v>Material</v>
      </c>
      <c r="P51" s="17" t="str">
        <f ca="1">VLOOKUP($L51,OFFSET([3]enemies!$A$1,0,0,COUNTA([3]enemies!$A:$A),MATCH(P$1,[3]enemies!$1:$1,0)-MATCH($L$1,[3]enemies!$1:$1,0)+1),MATCH(P$1,[3]enemies!$1:$1,0)-MATCH($L$1,[3]enemies!$1:$1,0)+1,FALSE)</f>
        <v>unknown</v>
      </c>
      <c r="Q51" s="17">
        <f ca="1">VLOOKUP($L51,OFFSET([3]enemies!$A$1,0,0,COUNTA([3]enemies!$A:$A),MATCH(Q$1,[3]enemies!$1:$1,0)-MATCH($L$1,[3]enemies!$1:$1,0)+1),MATCH(Q$1,[3]enemies!$1:$1,0)-MATCH($L$1,[3]enemies!$1:$1,0)+1,FALSE)</f>
        <v>15</v>
      </c>
      <c r="R51" s="5">
        <v>20</v>
      </c>
      <c r="S51" s="25">
        <v>1</v>
      </c>
      <c r="T51" s="25">
        <v>1.2</v>
      </c>
      <c r="U51" s="5">
        <v>0</v>
      </c>
      <c r="V51" s="4" t="e">
        <f ca="1">VLOOKUP($W51,OFFSET([5]enemy_skill_sets!$B$1,0,0,COUNTA([5]enemy_skill_sets!$B:$B),MATCH(M$1,[5]enemy_skill_sets!$1:$1,0)-MATCH($W$1,[5]enemy_skill_sets!$1:$1,0)+2),MATCH(M$1,[5]enemy_skill_sets!$1:$1,0)-MATCH($W$1,[5]enemy_skill_sets!$1:$1,0)+2,FALSE)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51" s="103">
        <v>12004006</v>
      </c>
      <c r="X51" s="6">
        <v>0</v>
      </c>
      <c r="Y51" s="6">
        <v>100</v>
      </c>
      <c r="Z51" s="6">
        <v>1</v>
      </c>
      <c r="AA51" s="17">
        <v>2</v>
      </c>
      <c r="AB51" s="24">
        <f t="shared" si="28"/>
        <v>351</v>
      </c>
      <c r="AC51" s="4" t="str">
        <f ca="1">VLOOKUP($AB51,OFFSET([4]characters!$A$1,0,0,COUNTA([4]characters!$A:$A),MATCH(AC$1,[4]characters!$1:$1,0)-MATCH("character_id",[4]characters!$1:$1,0)+1),MATCH(AC$1,[4]characters!$1:$1,0)-MATCH("character_id",[4]characters!$1:$1,0)+1,FALSE)</f>
        <v>森のメタルフロッグ</v>
      </c>
      <c r="AD51" s="4">
        <f ca="1">VLOOKUP($AB51,OFFSET([4]characters!$A$1,0,0,COUNTA([4]characters!$A:$A),MATCH(AD$1,[4]characters!$1:$1,0)-MATCH("character_id",[4]characters!$1:$1,0)+1),MATCH(AD$1,[4]characters!$1:$1,0)-MATCH("character_id",[4]characters!$1:$1,0)+1,FALSE)</f>
        <v>4</v>
      </c>
      <c r="AE51" s="4" t="str">
        <f ca="1">VLOOKUP($AB51,OFFSET([4]characters!$A$1,0,0,COUNTA([4]characters!$A:$A),MATCH(AE$1,[4]characters!$1:$1,0)-MATCH("character_id",[4]characters!$1:$1,0)+1),MATCH(AE$1,[4]characters!$1:$1,0)-MATCH("character_id",[4]characters!$1:$1,0)+1,FALSE)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1" s="7">
        <v>1</v>
      </c>
      <c r="AG51" s="24">
        <f t="shared" ca="1" si="29"/>
        <v>4</v>
      </c>
      <c r="AH51" s="8">
        <v>10</v>
      </c>
      <c r="AI51" s="7">
        <v>0</v>
      </c>
      <c r="AJ51" s="7">
        <v>0</v>
      </c>
      <c r="AK51" s="7">
        <v>0</v>
      </c>
      <c r="AL51" s="7">
        <v>0</v>
      </c>
      <c r="AM51" s="7">
        <v>1</v>
      </c>
      <c r="AN51" s="69">
        <v>1</v>
      </c>
    </row>
    <row r="52" spans="1:40" ht="21" customHeight="1">
      <c r="A52" s="16" t="str">
        <f t="shared" si="25"/>
        <v>12004_1-4/353&lt;lv20&gt;s2</v>
      </c>
      <c r="B52" s="22">
        <v>12004</v>
      </c>
      <c r="C52" s="21">
        <v>1</v>
      </c>
      <c r="D52" s="2" t="str">
        <f t="shared" si="26"/>
        <v>12004_1</v>
      </c>
      <c r="E52" s="4" t="str">
        <f ca="1">VLOOKUP($B52,OFFSET([2]quests!$A$1,0,0,COUNTA([2]quests!$A:$A),MATCH(E$1,[2]quests!$1:$1,0)-MATCH($B$1,[2]quests!$1:$1,0)+1),MATCH(E$1,[2]quests!$1:$1,0)-MATCH($B$1,[2]quests!$1:$1,0)+1,FALSE)</f>
        <v>メタルフロッグをもとめて</v>
      </c>
      <c r="F52" s="4" t="str">
        <f ca="1">VLOOKUP($D52,OFFSET([2]stages!$A$1,0,0,COUNTA([2]stages!$A:$A),MATCH(F$1,[2]stages!$2:$2,0)-MATCH($D$1,[2]stages!$2:$2,0)+1),MATCH(F$1,[2]stages!$2:$2,0)-MATCH($D$1,[2]stages!$2:$2,0)+1,FALSE)</f>
        <v>【上級】メタルフロッグをもとめて</v>
      </c>
      <c r="G52" s="102">
        <v>4</v>
      </c>
      <c r="H52" s="15" t="str">
        <f t="shared" si="27"/>
        <v>12004_1-4</v>
      </c>
      <c r="I52" s="4">
        <f ca="1">VLOOKUP($H52,OFFSET(floors!$A$1,0,0,COUNTA(floors!$A:$A),MATCH(I$1,floors!$1:$1,0)-MATCH($H$1,floors!$1:$1,0)+1),MATCH(I$1,floors!$1:$1,0)-MATCH($H$1,floors!$1:$1,0)+1,FALSE)</f>
        <v>45</v>
      </c>
      <c r="J52" s="4">
        <f ca="1">VLOOKUP($H52,OFFSET(floors!$A$1,0,0,COUNTA(floors!$A:$A),MATCH(J$1,floors!$1:$1,0)-MATCH($H$1,floors!$1:$1,0)+1),MATCH(J$1,floors!$1:$1,0)-MATCH($H$1,floors!$1:$1,0)+1,FALSE)</f>
        <v>45</v>
      </c>
      <c r="K52" s="38" t="s">
        <v>53</v>
      </c>
      <c r="L52" s="20">
        <v>353</v>
      </c>
      <c r="M52" s="17" t="str">
        <f ca="1">VLOOKUP($L52,OFFSET([3]enemies!$A$1,0,0,COUNTA([3]enemies!$A:$A),MATCH(M$1,[3]enemies!$1:$1,0)-MATCH($L$1,[3]enemies!$1:$1,0)+1),MATCH(M$1,[3]enemies!$1:$1,0)-MATCH($L$1,[3]enemies!$1:$1,0)+1,FALSE)</f>
        <v>水のメタルフロッグ</v>
      </c>
      <c r="N52" s="17" t="str">
        <f ca="1">VLOOKUP($L52,OFFSET([3]enemies!$A$1,0,0,COUNTA([3]enemies!$A:$A),MATCH(N$1,[3]enemies!$1:$1,0)-MATCH($L$1,[3]enemies!$1:$1,0)+1),MATCH(N$1,[3]enemies!$1:$1,0)-MATCH($L$1,[3]enemies!$1:$1,0)+1,FALSE)</f>
        <v>blue</v>
      </c>
      <c r="O52" s="17" t="str">
        <f ca="1">VLOOKUP($L52,OFFSET([4]characters!$A$1,0,0,COUNTA([4]characters!$A:$A),MATCH(O$1,[4]characters!$1:$1,0)-MATCH($L$1,[4]characters!$1:$1,0)+1),MATCH(O$1,[4]characters!$1:$1,0)-MATCH($L$1,[4]characters!$1:$1,0)+1,FALSE)</f>
        <v>Material</v>
      </c>
      <c r="P52" s="17" t="str">
        <f ca="1">VLOOKUP($L52,OFFSET([3]enemies!$A$1,0,0,COUNTA([3]enemies!$A:$A),MATCH(P$1,[3]enemies!$1:$1,0)-MATCH($L$1,[3]enemies!$1:$1,0)+1),MATCH(P$1,[3]enemies!$1:$1,0)-MATCH($L$1,[3]enemies!$1:$1,0)+1,FALSE)</f>
        <v>unknown</v>
      </c>
      <c r="Q52" s="17">
        <f ca="1">VLOOKUP($L52,OFFSET([3]enemies!$A$1,0,0,COUNTA([3]enemies!$A:$A),MATCH(Q$1,[3]enemies!$1:$1,0)-MATCH($L$1,[3]enemies!$1:$1,0)+1),MATCH(Q$1,[3]enemies!$1:$1,0)-MATCH($L$1,[3]enemies!$1:$1,0)+1,FALSE)</f>
        <v>15</v>
      </c>
      <c r="R52" s="5">
        <v>20</v>
      </c>
      <c r="S52" s="25">
        <v>1</v>
      </c>
      <c r="T52" s="25">
        <v>1.2</v>
      </c>
      <c r="U52" s="5">
        <v>0</v>
      </c>
      <c r="V52" s="4" t="e">
        <f ca="1">VLOOKUP($W52,OFFSET([5]enemy_skill_sets!$B$1,0,0,COUNTA([5]enemy_skill_sets!$B:$B),MATCH(M$1,[5]enemy_skill_sets!$1:$1,0)-MATCH($W$1,[5]enemy_skill_sets!$1:$1,0)+2),MATCH(M$1,[5]enemy_skill_sets!$1:$1,0)-MATCH($W$1,[5]enemy_skill_sets!$1:$1,0)+2,FALSE)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52" s="103">
        <v>12004007</v>
      </c>
      <c r="X52" s="6">
        <v>0</v>
      </c>
      <c r="Y52" s="6">
        <v>100</v>
      </c>
      <c r="Z52" s="6">
        <v>1</v>
      </c>
      <c r="AA52" s="17">
        <v>2</v>
      </c>
      <c r="AB52" s="24">
        <f t="shared" si="28"/>
        <v>353</v>
      </c>
      <c r="AC52" s="4" t="str">
        <f ca="1">VLOOKUP($AB52,OFFSET([4]characters!$A$1,0,0,COUNTA([4]characters!$A:$A),MATCH(AC$1,[4]characters!$1:$1,0)-MATCH("character_id",[4]characters!$1:$1,0)+1),MATCH(AC$1,[4]characters!$1:$1,0)-MATCH("character_id",[4]characters!$1:$1,0)+1,FALSE)</f>
        <v>水のメタルフロッグ</v>
      </c>
      <c r="AD52" s="4">
        <f ca="1">VLOOKUP($AB52,OFFSET([4]characters!$A$1,0,0,COUNTA([4]characters!$A:$A),MATCH(AD$1,[4]characters!$1:$1,0)-MATCH("character_id",[4]characters!$1:$1,0)+1),MATCH(AD$1,[4]characters!$1:$1,0)-MATCH("character_id",[4]characters!$1:$1,0)+1,FALSE)</f>
        <v>4</v>
      </c>
      <c r="AE52" s="4" t="str">
        <f ca="1">VLOOKUP($AB52,OFFSET([4]characters!$A$1,0,0,COUNTA([4]characters!$A:$A),MATCH(AE$1,[4]characters!$1:$1,0)-MATCH("character_id",[4]characters!$1:$1,0)+1),MATCH(AE$1,[4]characters!$1:$1,0)-MATCH("character_id",[4]characters!$1:$1,0)+1,FALSE)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2" s="7">
        <v>1</v>
      </c>
      <c r="AG52" s="24">
        <f t="shared" ca="1" si="29"/>
        <v>4</v>
      </c>
      <c r="AH52" s="8">
        <v>10</v>
      </c>
      <c r="AI52" s="7">
        <v>0</v>
      </c>
      <c r="AJ52" s="7">
        <v>0</v>
      </c>
      <c r="AK52" s="7">
        <v>0</v>
      </c>
      <c r="AL52" s="7">
        <v>0</v>
      </c>
      <c r="AM52" s="7">
        <v>1</v>
      </c>
      <c r="AN52" s="69">
        <v>1</v>
      </c>
    </row>
    <row r="53" spans="1:40" ht="21" customHeight="1">
      <c r="A53" s="16" t="str">
        <f t="shared" ref="A53" si="30">B53&amp;"_"&amp;C53&amp;"-"&amp;G53&amp;"/"&amp;L53&amp;"&lt;lv"&amp;R53&amp;"&gt;s"&amp;AA53</f>
        <v>12004_1-4/355&lt;lv20&gt;s2</v>
      </c>
      <c r="B53" s="22">
        <v>12004</v>
      </c>
      <c r="C53" s="21">
        <v>1</v>
      </c>
      <c r="D53" s="2" t="str">
        <f t="shared" ref="D53" si="31">B53&amp;"_"&amp;C53</f>
        <v>12004_1</v>
      </c>
      <c r="E53" s="4" t="str">
        <f ca="1">VLOOKUP($B53,OFFSET([2]quests!$A$1,0,0,COUNTA([2]quests!$A:$A),MATCH(E$1,[2]quests!$1:$1,0)-MATCH($B$1,[2]quests!$1:$1,0)+1),MATCH(E$1,[2]quests!$1:$1,0)-MATCH($B$1,[2]quests!$1:$1,0)+1,FALSE)</f>
        <v>メタルフロッグをもとめて</v>
      </c>
      <c r="F53" s="4" t="str">
        <f ca="1">VLOOKUP($D53,OFFSET([2]stages!$A$1,0,0,COUNTA([2]stages!$A:$A),MATCH(F$1,[2]stages!$2:$2,0)-MATCH($D$1,[2]stages!$2:$2,0)+1),MATCH(F$1,[2]stages!$2:$2,0)-MATCH($D$1,[2]stages!$2:$2,0)+1,FALSE)</f>
        <v>【上級】メタルフロッグをもとめて</v>
      </c>
      <c r="G53" s="102">
        <v>4</v>
      </c>
      <c r="H53" s="15" t="str">
        <f t="shared" ref="H53" si="32">B53&amp;"_"&amp;C53&amp;"-"&amp;G53</f>
        <v>12004_1-4</v>
      </c>
      <c r="I53" s="4">
        <f ca="1">VLOOKUP($H53,OFFSET(floors!$A$1,0,0,COUNTA(floors!$A:$A),MATCH(I$1,floors!$1:$1,0)-MATCH($H$1,floors!$1:$1,0)+1),MATCH(I$1,floors!$1:$1,0)-MATCH($H$1,floors!$1:$1,0)+1,FALSE)</f>
        <v>45</v>
      </c>
      <c r="J53" s="4">
        <f ca="1">VLOOKUP($H53,OFFSET(floors!$A$1,0,0,COUNTA(floors!$A:$A),MATCH(J$1,floors!$1:$1,0)-MATCH($H$1,floors!$1:$1,0)+1),MATCH(J$1,floors!$1:$1,0)-MATCH($H$1,floors!$1:$1,0)+1,FALSE)</f>
        <v>45</v>
      </c>
      <c r="K53" s="38" t="s">
        <v>53</v>
      </c>
      <c r="L53" s="20">
        <v>355</v>
      </c>
      <c r="M53" s="17" t="str">
        <f ca="1">VLOOKUP($L53,OFFSET([3]enemies!$A$1,0,0,COUNTA([3]enemies!$A:$A),MATCH(M$1,[3]enemies!$1:$1,0)-MATCH($L$1,[3]enemies!$1:$1,0)+1),MATCH(M$1,[3]enemies!$1:$1,0)-MATCH($L$1,[3]enemies!$1:$1,0)+1,FALSE)</f>
        <v>雷のメタルフロッグ</v>
      </c>
      <c r="N53" s="17" t="str">
        <f ca="1">VLOOKUP($L53,OFFSET([3]enemies!$A$1,0,0,COUNTA([3]enemies!$A:$A),MATCH(N$1,[3]enemies!$1:$1,0)-MATCH($L$1,[3]enemies!$1:$1,0)+1),MATCH(N$1,[3]enemies!$1:$1,0)-MATCH($L$1,[3]enemies!$1:$1,0)+1,FALSE)</f>
        <v>yellow</v>
      </c>
      <c r="O53" s="17" t="str">
        <f ca="1">VLOOKUP($L53,OFFSET([4]characters!$A$1,0,0,COUNTA([4]characters!$A:$A),MATCH(O$1,[4]characters!$1:$1,0)-MATCH($L$1,[4]characters!$1:$1,0)+1),MATCH(O$1,[4]characters!$1:$1,0)-MATCH($L$1,[4]characters!$1:$1,0)+1,FALSE)</f>
        <v>Material</v>
      </c>
      <c r="P53" s="17" t="str">
        <f ca="1">VLOOKUP($L53,OFFSET([3]enemies!$A$1,0,0,COUNTA([3]enemies!$A:$A),MATCH(P$1,[3]enemies!$1:$1,0)-MATCH($L$1,[3]enemies!$1:$1,0)+1),MATCH(P$1,[3]enemies!$1:$1,0)-MATCH($L$1,[3]enemies!$1:$1,0)+1,FALSE)</f>
        <v>unknown</v>
      </c>
      <c r="Q53" s="17">
        <f ca="1">VLOOKUP($L53,OFFSET([3]enemies!$A$1,0,0,COUNTA([3]enemies!$A:$A),MATCH(Q$1,[3]enemies!$1:$1,0)-MATCH($L$1,[3]enemies!$1:$1,0)+1),MATCH(Q$1,[3]enemies!$1:$1,0)-MATCH($L$1,[3]enemies!$1:$1,0)+1,FALSE)</f>
        <v>15</v>
      </c>
      <c r="R53" s="5">
        <v>20</v>
      </c>
      <c r="S53" s="25">
        <v>1</v>
      </c>
      <c r="T53" s="25">
        <v>1.2</v>
      </c>
      <c r="U53" s="5">
        <v>0</v>
      </c>
      <c r="V53" s="4" t="e">
        <f ca="1">VLOOKUP($W53,OFFSET([5]enemy_skill_sets!$B$1,0,0,COUNTA([5]enemy_skill_sets!$B:$B),MATCH(M$1,[5]enemy_skill_sets!$1:$1,0)-MATCH($W$1,[5]enemy_skill_sets!$1:$1,0)+2),MATCH(M$1,[5]enemy_skill_sets!$1:$1,0)-MATCH($W$1,[5]enemy_skill_sets!$1:$1,0)+2,FALSE)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53" s="103">
        <v>12004008</v>
      </c>
      <c r="X53" s="6">
        <v>0</v>
      </c>
      <c r="Y53" s="6">
        <v>100</v>
      </c>
      <c r="Z53" s="6">
        <v>1</v>
      </c>
      <c r="AA53" s="17">
        <v>2</v>
      </c>
      <c r="AB53" s="24">
        <f t="shared" ref="AB53" si="33">L53</f>
        <v>355</v>
      </c>
      <c r="AC53" s="4" t="str">
        <f ca="1">VLOOKUP($AB53,OFFSET([4]characters!$A$1,0,0,COUNTA([4]characters!$A:$A),MATCH(AC$1,[4]characters!$1:$1,0)-MATCH("character_id",[4]characters!$1:$1,0)+1),MATCH(AC$1,[4]characters!$1:$1,0)-MATCH("character_id",[4]characters!$1:$1,0)+1,FALSE)</f>
        <v>雷のメタルフロッグ</v>
      </c>
      <c r="AD53" s="4">
        <f ca="1">VLOOKUP($AB53,OFFSET([4]characters!$A$1,0,0,COUNTA([4]characters!$A:$A),MATCH(AD$1,[4]characters!$1:$1,0)-MATCH("character_id",[4]characters!$1:$1,0)+1),MATCH(AD$1,[4]characters!$1:$1,0)-MATCH("character_id",[4]characters!$1:$1,0)+1,FALSE)</f>
        <v>4</v>
      </c>
      <c r="AE53" s="4" t="str">
        <f ca="1">VLOOKUP($AB53,OFFSET([4]characters!$A$1,0,0,COUNTA([4]characters!$A:$A),MATCH(AE$1,[4]characters!$1:$1,0)-MATCH("character_id",[4]characters!$1:$1,0)+1),MATCH(AE$1,[4]characters!$1:$1,0)-MATCH("character_id",[4]characters!$1:$1,0)+1,FALSE)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3" s="7">
        <v>1</v>
      </c>
      <c r="AG53" s="24">
        <f t="shared" ref="AG53" ca="1" si="34">AD53</f>
        <v>4</v>
      </c>
      <c r="AH53" s="8">
        <v>10</v>
      </c>
      <c r="AI53" s="7">
        <v>0</v>
      </c>
      <c r="AJ53" s="7">
        <v>0</v>
      </c>
      <c r="AK53" s="7">
        <v>0</v>
      </c>
      <c r="AL53" s="7">
        <v>0</v>
      </c>
      <c r="AM53" s="7">
        <v>1</v>
      </c>
      <c r="AN53" s="69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2"/>
  <sheetViews>
    <sheetView showGridLines="0" zoomScale="75" zoomScaleNormal="75" zoomScalePageLayoutView="75" workbookViewId="0">
      <pane xSplit="18" ySplit="1" topLeftCell="AL2" activePane="bottomRight" state="frozen"/>
      <selection activeCell="E25" sqref="E25"/>
      <selection pane="topRight" activeCell="E25" sqref="E25"/>
      <selection pane="bottomLeft" activeCell="E25" sqref="E25"/>
      <selection pane="bottomRight" activeCell="C10" sqref="C10"/>
    </sheetView>
  </sheetViews>
  <sheetFormatPr baseColWidth="12" defaultColWidth="13" defaultRowHeight="21" customHeight="1" outlineLevelCol="1" x14ac:dyDescent="0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129</v>
      </c>
      <c r="X1" s="29" t="s">
        <v>128</v>
      </c>
      <c r="Y1" s="28" t="s">
        <v>8</v>
      </c>
    </row>
    <row r="2" spans="1:25" ht="21" customHeight="1">
      <c r="A2" s="16"/>
      <c r="B2" s="22"/>
      <c r="C2" s="21"/>
      <c r="D2" s="2"/>
      <c r="E2" s="4"/>
      <c r="F2" s="4"/>
      <c r="G2" s="21"/>
      <c r="H2" s="15"/>
      <c r="I2" s="4"/>
      <c r="J2" s="4"/>
      <c r="K2" s="38"/>
      <c r="L2" s="38"/>
      <c r="M2" s="20"/>
      <c r="N2" s="17"/>
      <c r="O2" s="17"/>
      <c r="P2" s="17"/>
      <c r="Q2" s="17"/>
      <c r="R2" s="17"/>
      <c r="S2" s="5"/>
      <c r="T2" s="25"/>
      <c r="U2" s="25"/>
      <c r="V2" s="5"/>
      <c r="W2" s="4"/>
      <c r="X2" s="4"/>
      <c r="Y2" s="70"/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9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E16" sqref="E16"/>
    </sheetView>
  </sheetViews>
  <sheetFormatPr baseColWidth="12" defaultColWidth="12.83203125" defaultRowHeight="21" customHeight="1" outlineLevelCol="1" x14ac:dyDescent="0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>
      <c r="A2" s="39" t="str">
        <f t="shared" ref="A2" si="0">B2&amp;"_"&amp;C2</f>
        <v>12004001_12004001</v>
      </c>
      <c r="B2" s="103">
        <v>12004001</v>
      </c>
      <c r="C2" s="103">
        <v>12004001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ケロッ！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2ターン赤パネルが使えない！</v>
      </c>
      <c r="F2" s="103">
        <v>12004001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2" s="47"/>
      <c r="Q2" s="47"/>
      <c r="R2" s="47"/>
    </row>
    <row r="3" spans="1:18" ht="21" customHeight="1">
      <c r="A3" s="39" t="str">
        <f t="shared" ref="A3:A9" si="1">B3&amp;"_"&amp;C3</f>
        <v>12004002_12004002</v>
      </c>
      <c r="B3" s="103">
        <v>12004002</v>
      </c>
      <c r="C3" s="103">
        <v>12004002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ケロケーロ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2ターン緑パネルが使えない！</v>
      </c>
      <c r="F3" s="103">
        <v>12004002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3" s="47"/>
      <c r="Q3" s="47"/>
      <c r="R3" s="47"/>
    </row>
    <row r="4" spans="1:18" ht="21" customHeight="1">
      <c r="A4" s="39" t="str">
        <f t="shared" si="1"/>
        <v>12004003_12004003</v>
      </c>
      <c r="B4" s="103">
        <v>12004003</v>
      </c>
      <c r="C4" s="103">
        <v>12004003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ケロケロ？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2ターン青パネルが使えない！</v>
      </c>
      <c r="F4" s="103">
        <v>12004003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" s="47"/>
      <c r="Q4" s="47"/>
      <c r="R4" s="47"/>
    </row>
    <row r="5" spans="1:18" ht="21" customHeight="1">
      <c r="A5" s="39" t="str">
        <f t="shared" si="1"/>
        <v>12004004_12004004</v>
      </c>
      <c r="B5" s="103">
        <v>12004004</v>
      </c>
      <c r="C5" s="103">
        <v>12004004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ケロ♪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2ターン黄パネルが使えない！</v>
      </c>
      <c r="F5" s="103">
        <v>12004004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" s="47"/>
      <c r="Q5" s="47"/>
      <c r="R5" s="47"/>
    </row>
    <row r="6" spans="1:18" ht="21" customHeight="1">
      <c r="A6" s="39" t="str">
        <f t="shared" si="1"/>
        <v>12004005_12004005</v>
      </c>
      <c r="B6" s="103">
        <v>12004005</v>
      </c>
      <c r="C6" s="103">
        <v>12004005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ゲコッ！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時限式ダメージパネル出現</v>
      </c>
      <c r="F6" s="103">
        <v>12004005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6" s="47"/>
      <c r="Q6" s="47"/>
      <c r="R6" s="47"/>
    </row>
    <row r="7" spans="1:18" ht="21" customHeight="1">
      <c r="A7" s="39" t="str">
        <f t="shared" si="1"/>
        <v>12004006_12004006</v>
      </c>
      <c r="B7" s="103">
        <v>12004006</v>
      </c>
      <c r="C7" s="103">
        <v>12004006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ゲコゲコー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時限式ダメージパネル出現</v>
      </c>
      <c r="F7" s="103">
        <v>12004006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7" s="47"/>
      <c r="Q7" s="47"/>
      <c r="R7" s="47"/>
    </row>
    <row r="8" spans="1:18" ht="21" customHeight="1">
      <c r="A8" s="39" t="str">
        <f t="shared" si="1"/>
        <v>12004007_12004007</v>
      </c>
      <c r="B8" s="103">
        <v>12004007</v>
      </c>
      <c r="C8" s="103">
        <v>12004007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ゲコゲコ？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時限式ダメージパネル出現</v>
      </c>
      <c r="F8" s="103">
        <v>12004007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8" s="47"/>
      <c r="Q8" s="47"/>
      <c r="R8" s="47"/>
    </row>
    <row r="9" spans="1:18" ht="21" customHeight="1">
      <c r="A9" s="39" t="str">
        <f t="shared" si="1"/>
        <v>12004008_12004008</v>
      </c>
      <c r="B9" s="103">
        <v>12004008</v>
      </c>
      <c r="C9" s="103">
        <v>12004008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ゲッコー♪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時限式ダメージパネル出現</v>
      </c>
      <c r="F9" s="103">
        <v>12004008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9" s="47"/>
      <c r="Q9" s="47"/>
      <c r="R9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9"/>
  <sheetViews>
    <sheetView showGridLines="0" zoomScale="75" zoomScaleNormal="75" zoomScalePageLayoutView="75" workbookViewId="0">
      <pane ySplit="1" topLeftCell="A2" activePane="bottomLeft" state="frozenSplit"/>
      <selection pane="bottomLeft" activeCell="F13" sqref="F13"/>
    </sheetView>
  </sheetViews>
  <sheetFormatPr baseColWidth="12" defaultColWidth="12.83203125" defaultRowHeight="21" customHeight="1" outlineLevelCol="1" x14ac:dyDescent="0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ht="21" customHeight="1">
      <c r="A2" s="103">
        <v>12004001</v>
      </c>
      <c r="B2" s="104" t="s">
        <v>217</v>
      </c>
      <c r="C2" s="105">
        <v>3</v>
      </c>
      <c r="D2" s="105" t="s">
        <v>218</v>
      </c>
      <c r="E2" s="106" t="s">
        <v>238</v>
      </c>
      <c r="F2" s="106" t="s">
        <v>219</v>
      </c>
      <c r="G2" s="63" t="str">
        <f>IFERROR(LEFT(B2,FIND("],",B2)),B2)</f>
        <v>[effect:dis_panel, target:block_red, turn:2, animation:enemy_dis_red]</v>
      </c>
      <c r="H2" s="63">
        <f>FIND("effect:",G2)+7</f>
        <v>9</v>
      </c>
      <c r="I2" s="63">
        <f>IFERROR(FIND(",",G2),LEN(G2))</f>
        <v>18</v>
      </c>
      <c r="J2" s="63">
        <f>FIND("target:",G2)+7</f>
        <v>27</v>
      </c>
      <c r="K2" s="63">
        <f>FIND(",",G2,I2+1)</f>
        <v>36</v>
      </c>
      <c r="L2" s="63" t="str">
        <f>IFERROR(VLOOKUP(MID(G2,J2,K2-J2),[6]skilldef!$C:$D,2,FALSE),"-") &amp; " / " &amp; IFERROR(VLOOKUP(MID(G2,H2,I2-H2),[6]skilldef!$A:$B,2,FALSE),"-")</f>
        <v>赤パネルを / ディスパネル</v>
      </c>
      <c r="M2" s="63" t="str">
        <f>IFERROR(RIGHT(B2,LEN(B2)-FIND("],",B2)-1),"none")</f>
        <v>none</v>
      </c>
      <c r="N2" s="48" t="str">
        <f>IFERROR(LEFT(M2,FIND("],",M2)+S12),M2)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>
      <c r="A3" s="103">
        <v>12004002</v>
      </c>
      <c r="B3" s="107" t="s">
        <v>220</v>
      </c>
      <c r="C3" s="108">
        <v>3</v>
      </c>
      <c r="D3" s="108" t="s">
        <v>218</v>
      </c>
      <c r="E3" s="109" t="s">
        <v>239</v>
      </c>
      <c r="F3" s="109" t="s">
        <v>221</v>
      </c>
      <c r="G3" s="63" t="str">
        <f t="shared" ref="G3:G9" si="0">IFERROR(LEFT(B3,FIND("],",B3)),B3)</f>
        <v>[effect:dis_panel, target:block_green, turn:2, animation:enemy_dis_green]</v>
      </c>
      <c r="H3" s="63">
        <f t="shared" ref="H3:H9" si="1">FIND("effect:",G3)+7</f>
        <v>9</v>
      </c>
      <c r="I3" s="63">
        <f t="shared" ref="I3:I9" si="2">IFERROR(FIND(",",G3),LEN(G3))</f>
        <v>18</v>
      </c>
      <c r="J3" s="63">
        <f t="shared" ref="J3:J9" si="3">FIND("target:",G3)+7</f>
        <v>27</v>
      </c>
      <c r="K3" s="63">
        <f t="shared" ref="K3:K9" si="4">FIND(",",G3,I3+1)</f>
        <v>38</v>
      </c>
      <c r="L3" s="63" t="str">
        <f>IFERROR(VLOOKUP(MID(G3,J3,K3-J3),[6]skilldef!$C:$D,2,FALSE),"-") &amp; " / " &amp; IFERROR(VLOOKUP(MID(G3,H3,I3-H3),[6]skilldef!$A:$B,2,FALSE),"-")</f>
        <v>緑パネルを / ディスパネル</v>
      </c>
      <c r="M3" s="63" t="str">
        <f t="shared" ref="M3:M9" si="5">IFERROR(RIGHT(B3,LEN(B3)-FIND("],",B3)-1),"none")</f>
        <v>none</v>
      </c>
      <c r="N3" s="48" t="str">
        <f t="shared" ref="N3:N9" si="6">IFERROR(LEFT(M3,FIND("],",M3)+S13),M3)</f>
        <v>none</v>
      </c>
      <c r="O3" s="63" t="e">
        <f t="shared" ref="O3:O9" si="7">FIND("effect:",N3)+7</f>
        <v>#VALUE!</v>
      </c>
      <c r="P3" s="63">
        <f t="shared" ref="P3:P9" si="8">IFERROR(FIND(",",N3),LEN(N3))</f>
        <v>4</v>
      </c>
      <c r="Q3" s="63" t="e">
        <f t="shared" ref="Q3:Q9" si="9">FIND("target:",N3)+7</f>
        <v>#VALUE!</v>
      </c>
      <c r="R3" s="63" t="e">
        <f t="shared" ref="R3:R9" si="10"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ref="T3:T9" si="11">IFERROR(RIGHT(M3,LEN(M3)-FIND("],",M3)-1),"none")</f>
        <v>none</v>
      </c>
      <c r="U3" s="63" t="e">
        <f t="shared" ref="U3:U9" si="12">FIND("effect:",T3)+7</f>
        <v>#VALUE!</v>
      </c>
      <c r="V3" s="63">
        <f t="shared" ref="V3:V9" si="13">IFERROR(FIND(",",T3),LEN(T3))</f>
        <v>4</v>
      </c>
      <c r="W3" s="63" t="e">
        <f t="shared" ref="W3:W9" si="14">FIND("target:",T3)+7</f>
        <v>#VALUE!</v>
      </c>
      <c r="X3" s="63" t="e">
        <f t="shared" ref="X3:X9" si="15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>
      <c r="A4" s="103">
        <v>12004003</v>
      </c>
      <c r="B4" s="107" t="s">
        <v>222</v>
      </c>
      <c r="C4" s="108">
        <v>3</v>
      </c>
      <c r="D4" s="108" t="s">
        <v>218</v>
      </c>
      <c r="E4" s="109" t="s">
        <v>240</v>
      </c>
      <c r="F4" s="109" t="s">
        <v>223</v>
      </c>
      <c r="G4" s="63" t="str">
        <f t="shared" si="0"/>
        <v>[effect:dis_panel, target:block_blue, turn:2, animation:enemy_dis_blue]</v>
      </c>
      <c r="H4" s="63">
        <f t="shared" si="1"/>
        <v>9</v>
      </c>
      <c r="I4" s="63">
        <f t="shared" si="2"/>
        <v>18</v>
      </c>
      <c r="J4" s="63">
        <f t="shared" si="3"/>
        <v>27</v>
      </c>
      <c r="K4" s="63">
        <f t="shared" si="4"/>
        <v>37</v>
      </c>
      <c r="L4" s="63" t="str">
        <f>IFERROR(VLOOKUP(MID(G4,J4,K4-J4),[6]skilldef!$C:$D,2,FALSE),"-") &amp; " / " &amp; IFERROR(VLOOKUP(MID(G4,H4,I4-H4),[6]skilldef!$A:$B,2,FALSE),"-")</f>
        <v>青パネルを / ディスパネル</v>
      </c>
      <c r="M4" s="63" t="str">
        <f t="shared" si="5"/>
        <v>none</v>
      </c>
      <c r="N4" s="48" t="str">
        <f t="shared" si="6"/>
        <v>none</v>
      </c>
      <c r="O4" s="63" t="e">
        <f t="shared" si="7"/>
        <v>#VALUE!</v>
      </c>
      <c r="P4" s="63">
        <f t="shared" si="8"/>
        <v>4</v>
      </c>
      <c r="Q4" s="63" t="e">
        <f t="shared" si="9"/>
        <v>#VALUE!</v>
      </c>
      <c r="R4" s="63" t="e">
        <f t="shared" si="10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>
      <c r="A5" s="103">
        <v>12004004</v>
      </c>
      <c r="B5" s="107" t="s">
        <v>224</v>
      </c>
      <c r="C5" s="108">
        <v>3</v>
      </c>
      <c r="D5" s="108" t="s">
        <v>218</v>
      </c>
      <c r="E5" s="109" t="s">
        <v>241</v>
      </c>
      <c r="F5" s="109" t="s">
        <v>225</v>
      </c>
      <c r="G5" s="63" t="str">
        <f t="shared" si="0"/>
        <v>[effect:dis_panel, target:block_yellow, turn:2, animation:enemy_dis_yellow]</v>
      </c>
      <c r="H5" s="63">
        <f t="shared" si="1"/>
        <v>9</v>
      </c>
      <c r="I5" s="63">
        <f t="shared" si="2"/>
        <v>18</v>
      </c>
      <c r="J5" s="63">
        <f t="shared" si="3"/>
        <v>27</v>
      </c>
      <c r="K5" s="63">
        <f t="shared" si="4"/>
        <v>39</v>
      </c>
      <c r="L5" s="63" t="str">
        <f>IFERROR(VLOOKUP(MID(G5,J5,K5-J5),[6]skilldef!$C:$D,2,FALSE),"-") &amp; " / " &amp; IFERROR(VLOOKUP(MID(G5,H5,I5-H5),[6]skilldef!$A:$B,2,FALSE),"-")</f>
        <v>黄色パネルを / ディスパネル</v>
      </c>
      <c r="M5" s="63" t="str">
        <f t="shared" si="5"/>
        <v>none</v>
      </c>
      <c r="N5" s="48" t="str">
        <f t="shared" si="6"/>
        <v>none</v>
      </c>
      <c r="O5" s="63" t="e">
        <f t="shared" si="7"/>
        <v>#VALUE!</v>
      </c>
      <c r="P5" s="63">
        <f t="shared" si="8"/>
        <v>4</v>
      </c>
      <c r="Q5" s="63" t="e">
        <f t="shared" si="9"/>
        <v>#VALUE!</v>
      </c>
      <c r="R5" s="63" t="e">
        <f t="shared" si="10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>
      <c r="A6" s="47">
        <v>12004005</v>
      </c>
      <c r="B6" s="47" t="s">
        <v>242</v>
      </c>
      <c r="C6" s="50">
        <v>3</v>
      </c>
      <c r="D6" s="50" t="s">
        <v>232</v>
      </c>
      <c r="E6" s="51" t="s">
        <v>236</v>
      </c>
      <c r="F6" s="51" t="s">
        <v>233</v>
      </c>
      <c r="G6" s="63" t="str">
        <f t="shared" si="0"/>
        <v>[effect:change_block, new_block:time_bomb, target:block_all, count:3, val:0.1, animation:change_block]</v>
      </c>
      <c r="H6" s="63">
        <f t="shared" si="1"/>
        <v>9</v>
      </c>
      <c r="I6" s="63">
        <f t="shared" si="2"/>
        <v>21</v>
      </c>
      <c r="J6" s="63">
        <f t="shared" si="3"/>
        <v>51</v>
      </c>
      <c r="K6" s="63">
        <f t="shared" si="4"/>
        <v>42</v>
      </c>
      <c r="L6" s="63" t="str">
        <f>IFERROR(VLOOKUP(MID(G6,J6,K6-J6),[6]skilldef!$C:$D,2,FALSE),"-") &amp; " / " &amp; IFERROR(VLOOKUP(MID(G6,H6,I6-H6),[6]skilldef!$A:$B,2,FALSE),"-")</f>
        <v>- / ブロック変換</v>
      </c>
      <c r="M6" s="63" t="str">
        <f t="shared" si="5"/>
        <v>none</v>
      </c>
      <c r="N6" s="48" t="str">
        <f t="shared" si="6"/>
        <v>none</v>
      </c>
      <c r="O6" s="63" t="e">
        <f t="shared" si="7"/>
        <v>#VALUE!</v>
      </c>
      <c r="P6" s="63">
        <f t="shared" si="8"/>
        <v>4</v>
      </c>
      <c r="Q6" s="63" t="e">
        <f t="shared" si="9"/>
        <v>#VALUE!</v>
      </c>
      <c r="R6" s="63" t="e">
        <f t="shared" si="10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>
      <c r="A7" s="103">
        <v>12004006</v>
      </c>
      <c r="B7" s="47" t="s">
        <v>242</v>
      </c>
      <c r="C7" s="50">
        <v>3</v>
      </c>
      <c r="D7" s="50" t="s">
        <v>199</v>
      </c>
      <c r="E7" s="51" t="s">
        <v>237</v>
      </c>
      <c r="F7" s="51" t="s">
        <v>233</v>
      </c>
      <c r="G7" s="63" t="str">
        <f t="shared" si="0"/>
        <v>[effect:change_block, new_block:time_bomb, target:block_all, count:3, val:0.1, animation:change_block]</v>
      </c>
      <c r="H7" s="63">
        <f t="shared" si="1"/>
        <v>9</v>
      </c>
      <c r="I7" s="63">
        <f t="shared" si="2"/>
        <v>21</v>
      </c>
      <c r="J7" s="63">
        <f t="shared" si="3"/>
        <v>51</v>
      </c>
      <c r="K7" s="63">
        <f t="shared" si="4"/>
        <v>42</v>
      </c>
      <c r="L7" s="63" t="str">
        <f>IFERROR(VLOOKUP(MID(G7,J7,K7-J7),[6]skilldef!$C:$D,2,FALSE),"-") &amp; " / " &amp; IFERROR(VLOOKUP(MID(G7,H7,I7-H7),[6]skilldef!$A:$B,2,FALSE),"-")</f>
        <v>- / ブロック変換</v>
      </c>
      <c r="M7" s="63" t="str">
        <f t="shared" si="5"/>
        <v>none</v>
      </c>
      <c r="N7" s="48" t="str">
        <f t="shared" si="6"/>
        <v>none</v>
      </c>
      <c r="O7" s="63" t="e">
        <f t="shared" si="7"/>
        <v>#VALUE!</v>
      </c>
      <c r="P7" s="63">
        <f t="shared" si="8"/>
        <v>4</v>
      </c>
      <c r="Q7" s="63" t="e">
        <f t="shared" si="9"/>
        <v>#VALUE!</v>
      </c>
      <c r="R7" s="63" t="e">
        <f t="shared" si="10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>
      <c r="A8" s="103">
        <v>12004007</v>
      </c>
      <c r="B8" s="47" t="s">
        <v>242</v>
      </c>
      <c r="C8" s="50">
        <v>3</v>
      </c>
      <c r="D8" s="50" t="s">
        <v>199</v>
      </c>
      <c r="E8" s="51" t="s">
        <v>235</v>
      </c>
      <c r="F8" s="51" t="s">
        <v>233</v>
      </c>
      <c r="G8" s="63" t="str">
        <f t="shared" si="0"/>
        <v>[effect:change_block, new_block:time_bomb, target:block_all, count:3, val:0.1, animation:change_block]</v>
      </c>
      <c r="H8" s="63">
        <f t="shared" si="1"/>
        <v>9</v>
      </c>
      <c r="I8" s="63">
        <f t="shared" si="2"/>
        <v>21</v>
      </c>
      <c r="J8" s="63">
        <f t="shared" si="3"/>
        <v>51</v>
      </c>
      <c r="K8" s="63">
        <f t="shared" si="4"/>
        <v>42</v>
      </c>
      <c r="L8" s="63" t="str">
        <f>IFERROR(VLOOKUP(MID(G8,J8,K8-J8),[6]skilldef!$C:$D,2,FALSE),"-") &amp; " / " &amp; IFERROR(VLOOKUP(MID(G8,H8,I8-H8),[6]skilldef!$A:$B,2,FALSE),"-")</f>
        <v>- / ブロック変換</v>
      </c>
      <c r="M8" s="63" t="str">
        <f t="shared" si="5"/>
        <v>none</v>
      </c>
      <c r="N8" s="48" t="str">
        <f t="shared" si="6"/>
        <v>none</v>
      </c>
      <c r="O8" s="63" t="e">
        <f t="shared" si="7"/>
        <v>#VALUE!</v>
      </c>
      <c r="P8" s="63">
        <f t="shared" si="8"/>
        <v>4</v>
      </c>
      <c r="Q8" s="63" t="e">
        <f t="shared" si="9"/>
        <v>#VALUE!</v>
      </c>
      <c r="R8" s="63" t="e">
        <f t="shared" si="10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>
      <c r="A9" s="103">
        <v>12004008</v>
      </c>
      <c r="B9" s="47" t="s">
        <v>242</v>
      </c>
      <c r="C9" s="50">
        <v>3</v>
      </c>
      <c r="D9" s="50" t="s">
        <v>199</v>
      </c>
      <c r="E9" s="51" t="s">
        <v>234</v>
      </c>
      <c r="F9" s="51" t="s">
        <v>233</v>
      </c>
      <c r="G9" s="63" t="str">
        <f t="shared" si="0"/>
        <v>[effect:change_block, new_block:time_bomb, target:block_all, count:3, val:0.1, animation:change_block]</v>
      </c>
      <c r="H9" s="63">
        <f t="shared" si="1"/>
        <v>9</v>
      </c>
      <c r="I9" s="63">
        <f t="shared" si="2"/>
        <v>21</v>
      </c>
      <c r="J9" s="63">
        <f t="shared" si="3"/>
        <v>51</v>
      </c>
      <c r="K9" s="63">
        <f t="shared" si="4"/>
        <v>42</v>
      </c>
      <c r="L9" s="63" t="str">
        <f>IFERROR(VLOOKUP(MID(G9,J9,K9-J9),[6]skilldef!$C:$D,2,FALSE),"-") &amp; " / " &amp; IFERROR(VLOOKUP(MID(G9,H9,I9-H9),[6]skilldef!$A:$B,2,FALSE),"-")</f>
        <v>- / ブロック変換</v>
      </c>
      <c r="M9" s="63" t="str">
        <f t="shared" si="5"/>
        <v>none</v>
      </c>
      <c r="N9" s="48" t="str">
        <f t="shared" si="6"/>
        <v>none</v>
      </c>
      <c r="O9" s="63" t="e">
        <f t="shared" si="7"/>
        <v>#VALUE!</v>
      </c>
      <c r="P9" s="63">
        <f t="shared" si="8"/>
        <v>4</v>
      </c>
      <c r="Q9" s="63" t="e">
        <f t="shared" si="9"/>
        <v>#VALUE!</v>
      </c>
      <c r="R9" s="63" t="e">
        <f t="shared" si="10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9"/>
  <sheetViews>
    <sheetView showGridLines="0" zoomScale="75" zoomScaleNormal="75" zoomScalePageLayoutView="75" workbookViewId="0">
      <pane ySplit="1" topLeftCell="A2" activePane="bottomLeft" state="frozenSplit"/>
      <selection pane="bottomLeft" activeCell="E16" sqref="E16"/>
    </sheetView>
  </sheetViews>
  <sheetFormatPr baseColWidth="12" defaultColWidth="12.83203125" defaultRowHeight="21" customHeight="1" x14ac:dyDescent="0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>
      <c r="A2" s="103">
        <v>12004001</v>
      </c>
      <c r="B2" s="47">
        <v>0</v>
      </c>
      <c r="C2" s="47" t="s">
        <v>89</v>
      </c>
      <c r="D2" s="47">
        <v>30</v>
      </c>
      <c r="E2" s="47" t="s">
        <v>226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30</v>
      </c>
    </row>
    <row r="3" spans="1:11" ht="21" customHeight="1">
      <c r="A3" s="103">
        <v>12004002</v>
      </c>
      <c r="B3" s="47">
        <v>0</v>
      </c>
      <c r="C3" s="47" t="s">
        <v>53</v>
      </c>
      <c r="D3" s="47">
        <v>30</v>
      </c>
      <c r="E3" s="47" t="s">
        <v>226</v>
      </c>
      <c r="F3" s="47" t="s">
        <v>90</v>
      </c>
      <c r="G3" s="47">
        <v>1</v>
      </c>
      <c r="H3" s="47" t="s">
        <v>90</v>
      </c>
      <c r="I3" s="47" t="s">
        <v>90</v>
      </c>
      <c r="J3" s="48">
        <f t="shared" ref="J3:J9" si="1">D3</f>
        <v>30</v>
      </c>
    </row>
    <row r="4" spans="1:11" ht="21" customHeight="1">
      <c r="A4" s="103">
        <v>12004003</v>
      </c>
      <c r="B4" s="47">
        <v>0</v>
      </c>
      <c r="C4" s="47" t="s">
        <v>53</v>
      </c>
      <c r="D4" s="47">
        <v>30</v>
      </c>
      <c r="E4" s="47" t="s">
        <v>226</v>
      </c>
      <c r="F4" s="47" t="s">
        <v>90</v>
      </c>
      <c r="G4" s="47">
        <v>1</v>
      </c>
      <c r="H4" s="47" t="s">
        <v>90</v>
      </c>
      <c r="I4" s="47" t="s">
        <v>90</v>
      </c>
      <c r="J4" s="48">
        <f t="shared" si="1"/>
        <v>30</v>
      </c>
    </row>
    <row r="5" spans="1:11" ht="21" customHeight="1">
      <c r="A5" s="103">
        <v>12004004</v>
      </c>
      <c r="B5" s="47">
        <v>0</v>
      </c>
      <c r="C5" s="47" t="s">
        <v>53</v>
      </c>
      <c r="D5" s="47">
        <v>30</v>
      </c>
      <c r="E5" s="47" t="s">
        <v>226</v>
      </c>
      <c r="F5" s="47" t="s">
        <v>90</v>
      </c>
      <c r="G5" s="47">
        <v>1</v>
      </c>
      <c r="H5" s="47" t="s">
        <v>90</v>
      </c>
      <c r="I5" s="47" t="s">
        <v>90</v>
      </c>
      <c r="J5" s="48">
        <f t="shared" si="1"/>
        <v>30</v>
      </c>
    </row>
    <row r="6" spans="1:11" ht="21" customHeight="1">
      <c r="A6" s="103">
        <v>12004005</v>
      </c>
      <c r="B6" s="47">
        <v>0</v>
      </c>
      <c r="C6" s="47" t="s">
        <v>53</v>
      </c>
      <c r="D6" s="47">
        <v>30</v>
      </c>
      <c r="E6" s="47" t="s">
        <v>226</v>
      </c>
      <c r="F6" s="47" t="s">
        <v>90</v>
      </c>
      <c r="G6" s="47">
        <v>1</v>
      </c>
      <c r="H6" s="47" t="s">
        <v>90</v>
      </c>
      <c r="I6" s="47" t="s">
        <v>90</v>
      </c>
      <c r="J6" s="48">
        <f t="shared" si="1"/>
        <v>30</v>
      </c>
    </row>
    <row r="7" spans="1:11" ht="21" customHeight="1">
      <c r="A7" s="103">
        <v>12004006</v>
      </c>
      <c r="B7" s="47">
        <v>0</v>
      </c>
      <c r="C7" s="47" t="s">
        <v>53</v>
      </c>
      <c r="D7" s="47">
        <v>30</v>
      </c>
      <c r="E7" s="47" t="s">
        <v>226</v>
      </c>
      <c r="F7" s="47" t="s">
        <v>90</v>
      </c>
      <c r="G7" s="47">
        <v>1</v>
      </c>
      <c r="H7" s="47" t="s">
        <v>90</v>
      </c>
      <c r="I7" s="47" t="s">
        <v>90</v>
      </c>
      <c r="J7" s="48">
        <f t="shared" si="1"/>
        <v>30</v>
      </c>
    </row>
    <row r="8" spans="1:11" ht="21" customHeight="1">
      <c r="A8" s="103">
        <v>12004007</v>
      </c>
      <c r="B8" s="47">
        <v>0</v>
      </c>
      <c r="C8" s="47" t="s">
        <v>53</v>
      </c>
      <c r="D8" s="47">
        <v>30</v>
      </c>
      <c r="E8" s="47" t="s">
        <v>226</v>
      </c>
      <c r="F8" s="47" t="s">
        <v>90</v>
      </c>
      <c r="G8" s="47">
        <v>1</v>
      </c>
      <c r="H8" s="47" t="s">
        <v>90</v>
      </c>
      <c r="I8" s="47" t="s">
        <v>90</v>
      </c>
      <c r="J8" s="48">
        <f t="shared" si="1"/>
        <v>30</v>
      </c>
    </row>
    <row r="9" spans="1:11" ht="21" customHeight="1">
      <c r="A9" s="103">
        <v>12004008</v>
      </c>
      <c r="B9" s="47">
        <v>0</v>
      </c>
      <c r="C9" s="47" t="s">
        <v>53</v>
      </c>
      <c r="D9" s="47">
        <v>30</v>
      </c>
      <c r="E9" s="47" t="s">
        <v>226</v>
      </c>
      <c r="F9" s="47" t="s">
        <v>90</v>
      </c>
      <c r="G9" s="47">
        <v>1</v>
      </c>
      <c r="H9" s="47" t="s">
        <v>90</v>
      </c>
      <c r="I9" s="47" t="s">
        <v>90</v>
      </c>
      <c r="J9" s="48">
        <f t="shared" si="1"/>
        <v>30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1"/>
  <sheetViews>
    <sheetView workbookViewId="0">
      <selection activeCell="F19" sqref="F19"/>
    </sheetView>
  </sheetViews>
  <sheetFormatPr baseColWidth="12" defaultRowHeight="18" x14ac:dyDescent="0"/>
  <cols>
    <col min="17" max="18" width="19" bestFit="1" customWidth="1"/>
  </cols>
  <sheetData>
    <row r="1" spans="1:18">
      <c r="A1" s="64" t="s">
        <v>150</v>
      </c>
      <c r="B1" s="64" t="s">
        <v>151</v>
      </c>
      <c r="C1" s="65" t="s">
        <v>152</v>
      </c>
      <c r="D1" s="72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>
      <c r="A2" s="103">
        <v>12004</v>
      </c>
      <c r="B2" s="57">
        <v>1</v>
      </c>
      <c r="C2" s="71" t="str">
        <f>A2&amp; "_"&amp;B2</f>
        <v>12004_1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168</v>
      </c>
      <c r="G2" s="57">
        <v>5000</v>
      </c>
      <c r="H2" s="57" t="s">
        <v>169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250</v>
      </c>
      <c r="Q2" s="57" t="s">
        <v>170</v>
      </c>
      <c r="R2" s="57" t="s">
        <v>171</v>
      </c>
    </row>
    <row r="3" spans="1:18">
      <c r="A3" s="103">
        <v>12004</v>
      </c>
      <c r="B3" s="57">
        <v>1</v>
      </c>
      <c r="C3" s="71" t="str">
        <f t="shared" ref="C3:C11" si="0">A3&amp; "_"&amp;B3</f>
        <v>12004_1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228</v>
      </c>
      <c r="G3" s="57">
        <v>25</v>
      </c>
      <c r="H3" s="57" t="s">
        <v>53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250</v>
      </c>
      <c r="Q3" s="57" t="s">
        <v>170</v>
      </c>
      <c r="R3" s="57" t="s">
        <v>171</v>
      </c>
    </row>
    <row r="4" spans="1:18">
      <c r="A4" s="103">
        <v>12004</v>
      </c>
      <c r="B4" s="57">
        <v>1</v>
      </c>
      <c r="C4" s="71" t="str">
        <f t="shared" si="0"/>
        <v>12004_1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229</v>
      </c>
      <c r="G4" s="57">
        <v>348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127</v>
      </c>
      <c r="Q4" s="57" t="s">
        <v>170</v>
      </c>
      <c r="R4" s="57" t="s">
        <v>171</v>
      </c>
    </row>
    <row r="5" spans="1:18">
      <c r="A5" s="103">
        <v>12004</v>
      </c>
      <c r="B5" s="57">
        <v>1</v>
      </c>
      <c r="C5" s="71" t="str">
        <f t="shared" si="0"/>
        <v>12004_1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230</v>
      </c>
      <c r="G5" s="57">
        <v>350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127</v>
      </c>
      <c r="Q5" s="57" t="s">
        <v>170</v>
      </c>
      <c r="R5" s="57" t="s">
        <v>171</v>
      </c>
    </row>
    <row r="6" spans="1:18">
      <c r="A6" s="103">
        <v>12004</v>
      </c>
      <c r="B6" s="57">
        <v>1</v>
      </c>
      <c r="C6" s="71" t="str">
        <f t="shared" si="0"/>
        <v>12004_1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230</v>
      </c>
      <c r="G6" s="57">
        <v>352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127</v>
      </c>
      <c r="Q6" s="57" t="s">
        <v>170</v>
      </c>
      <c r="R6" s="57" t="s">
        <v>171</v>
      </c>
    </row>
    <row r="7" spans="1:18">
      <c r="A7" s="103">
        <v>12004</v>
      </c>
      <c r="B7" s="57">
        <v>1</v>
      </c>
      <c r="C7" s="71" t="str">
        <f t="shared" si="0"/>
        <v>12004_1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230</v>
      </c>
      <c r="G7" s="57">
        <v>354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127</v>
      </c>
      <c r="Q7" s="57" t="s">
        <v>170</v>
      </c>
      <c r="R7" s="57" t="s">
        <v>171</v>
      </c>
    </row>
    <row r="8" spans="1:18">
      <c r="A8" s="103">
        <v>12004</v>
      </c>
      <c r="B8" s="57">
        <v>1</v>
      </c>
      <c r="C8" s="71" t="str">
        <f t="shared" si="0"/>
        <v>12004_1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230</v>
      </c>
      <c r="G8" s="57">
        <v>349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10</v>
      </c>
      <c r="Q8" s="57" t="s">
        <v>170</v>
      </c>
      <c r="R8" s="57" t="s">
        <v>171</v>
      </c>
    </row>
    <row r="9" spans="1:18">
      <c r="A9" s="103">
        <v>12004</v>
      </c>
      <c r="B9" s="57">
        <v>1</v>
      </c>
      <c r="C9" s="71" t="str">
        <f t="shared" si="0"/>
        <v>12004_1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230</v>
      </c>
      <c r="G9" s="57">
        <v>351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10</v>
      </c>
      <c r="Q9" s="57" t="s">
        <v>170</v>
      </c>
      <c r="R9" s="57" t="s">
        <v>171</v>
      </c>
    </row>
    <row r="10" spans="1:18">
      <c r="A10" s="103">
        <v>12004</v>
      </c>
      <c r="B10" s="57">
        <v>1</v>
      </c>
      <c r="C10" s="71" t="str">
        <f t="shared" si="0"/>
        <v>12004_1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230</v>
      </c>
      <c r="G10" s="57">
        <v>353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57">
        <v>10</v>
      </c>
      <c r="Q10" s="57" t="s">
        <v>170</v>
      </c>
      <c r="R10" s="57" t="s">
        <v>171</v>
      </c>
    </row>
    <row r="11" spans="1:18">
      <c r="A11" s="103">
        <v>12004</v>
      </c>
      <c r="B11" s="57">
        <v>1</v>
      </c>
      <c r="C11" s="71" t="str">
        <f t="shared" si="0"/>
        <v>12004_1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7">
        <v>10</v>
      </c>
      <c r="F11" s="57" t="s">
        <v>230</v>
      </c>
      <c r="G11" s="57">
        <v>355</v>
      </c>
      <c r="H11" s="57">
        <v>1</v>
      </c>
      <c r="I11" s="57">
        <v>1</v>
      </c>
      <c r="J11" s="57">
        <v>1</v>
      </c>
      <c r="K11" s="57">
        <v>0</v>
      </c>
      <c r="L11" s="57">
        <v>0</v>
      </c>
      <c r="M11" s="57">
        <v>0</v>
      </c>
      <c r="N11" s="57">
        <v>0</v>
      </c>
      <c r="O11" s="57">
        <v>1</v>
      </c>
      <c r="P11" s="57">
        <v>10</v>
      </c>
      <c r="Q11" s="57" t="s">
        <v>170</v>
      </c>
      <c r="R11" s="57" t="s">
        <v>171</v>
      </c>
    </row>
  </sheetData>
  <phoneticPr fontId="5"/>
  <dataValidations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tabSelected="1" workbookViewId="0">
      <pane ySplit="1" topLeftCell="A2" activePane="bottomLeft" state="frozen"/>
      <selection pane="bottomLeft" activeCell="K5" sqref="K5"/>
    </sheetView>
  </sheetViews>
  <sheetFormatPr baseColWidth="12" defaultColWidth="13" defaultRowHeight="18" outlineLevelCol="1" x14ac:dyDescent="0"/>
  <cols>
    <col min="1" max="1" width="13" style="9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>
      <c r="A1" s="77" t="s">
        <v>189</v>
      </c>
      <c r="B1" s="73" t="s">
        <v>190</v>
      </c>
      <c r="C1" s="78" t="s">
        <v>191</v>
      </c>
      <c r="D1" s="78" t="s">
        <v>33</v>
      </c>
      <c r="E1" s="73" t="s">
        <v>192</v>
      </c>
      <c r="F1" s="78" t="s">
        <v>193</v>
      </c>
      <c r="G1" s="78" t="s">
        <v>33</v>
      </c>
      <c r="H1" s="73" t="s">
        <v>194</v>
      </c>
      <c r="I1" s="93" t="s">
        <v>196</v>
      </c>
      <c r="J1" s="80" t="s">
        <v>127</v>
      </c>
      <c r="K1" s="79" t="s">
        <v>187</v>
      </c>
      <c r="L1" s="94" t="s">
        <v>186</v>
      </c>
      <c r="M1" s="81" t="s">
        <v>197</v>
      </c>
    </row>
    <row r="2" spans="1:13">
      <c r="A2" s="82" t="s">
        <v>202</v>
      </c>
      <c r="B2" s="83">
        <f>floors!$C$2</f>
        <v>12004</v>
      </c>
      <c r="C2" s="84" t="str">
        <f ca="1">VLOOKUP($B2,OFFSET([2]quests!$A$1,0,0,COUNTA([2]quests!$A:$A),MATCH(C$1,[2]quests!$1:$1,0)-MATCH($B$1,[2]quests!$1:$1,0)+1),MATCH(C$1,[2]quests!$1:$1,0)-MATCH($B$1,[2]quests!$1:$1,0)+1,FALSE)</f>
        <v>メタルフロッグをもとめて</v>
      </c>
      <c r="D2" s="84" t="str">
        <f ca="1">VLOOKUP($B2,OFFSET([2]quests!$A$1,0,0,COUNTA([2]quests!$A:$A),MATCH(D$1,[2]quests!$1:$1,0)-MATCH($B$1,[2]quests!$1:$1,0)+1),MATCH(D$1,[2]quests!$1:$1,0)-MATCH($B$1,[2]quests!$1:$1,0)+1,FALSE)</f>
        <v>イベントクエスト</v>
      </c>
      <c r="E2" s="88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【上級】メタルフロッグをもとめて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イベントクエスト</v>
      </c>
      <c r="H2" s="86">
        <v>0</v>
      </c>
      <c r="I2">
        <v>40</v>
      </c>
      <c r="J2" s="85" t="s">
        <v>199</v>
      </c>
      <c r="K2" s="95" t="str">
        <f>VLOOKUP(I2,[7]stage_hints!$A:$C,3,FALSE)</f>
        <v>ケロケロを使って経験値を獲得</v>
      </c>
      <c r="L2" s="96" t="str">
        <f>VLOOKUP(I2,[7]stage_hints!$A:$D,4,FALSE)</f>
        <v>「ケロケロ」を育てて_x000D_「メタルフロッグ」に覚醒させましょう_x000D_大量の経験値素材になります</v>
      </c>
      <c r="M2" s="57" t="s">
        <v>214</v>
      </c>
    </row>
    <row r="3" spans="1:13">
      <c r="A3" s="82"/>
      <c r="B3" s="83"/>
      <c r="C3" s="84"/>
      <c r="D3" s="84"/>
      <c r="E3" s="88"/>
      <c r="F3" s="84"/>
      <c r="G3" s="84"/>
      <c r="H3" s="86"/>
      <c r="J3" s="85"/>
      <c r="K3" s="95"/>
      <c r="L3" s="96"/>
      <c r="M3" s="57"/>
    </row>
    <row r="4" spans="1:13">
      <c r="A4" s="82"/>
      <c r="B4" s="83"/>
      <c r="C4" s="84"/>
      <c r="D4" s="84"/>
      <c r="E4" s="88"/>
      <c r="F4" s="84"/>
      <c r="G4" s="84"/>
      <c r="H4" s="86"/>
      <c r="J4" s="85"/>
      <c r="K4" s="95"/>
      <c r="L4" s="96"/>
      <c r="M4" s="57"/>
    </row>
    <row r="5" spans="1:13">
      <c r="A5" s="82"/>
      <c r="B5" s="83"/>
      <c r="C5" s="84"/>
      <c r="D5" s="84"/>
      <c r="E5" s="88"/>
      <c r="F5" s="84"/>
      <c r="G5" s="84"/>
      <c r="H5" s="86"/>
      <c r="J5" s="85"/>
      <c r="K5" s="95"/>
      <c r="L5" s="96"/>
      <c r="M5" s="57"/>
    </row>
    <row r="6" spans="1:13">
      <c r="A6" s="82"/>
      <c r="B6" s="83"/>
      <c r="C6" s="84"/>
      <c r="D6" s="84"/>
      <c r="E6" s="88"/>
      <c r="F6" s="84"/>
      <c r="G6" s="84"/>
      <c r="H6" s="86"/>
      <c r="J6" s="85"/>
      <c r="K6" s="95"/>
      <c r="L6" s="96"/>
      <c r="M6" s="57"/>
    </row>
    <row r="7" spans="1:13">
      <c r="A7" s="82"/>
      <c r="B7" s="83"/>
      <c r="C7" s="84"/>
      <c r="D7" s="84"/>
      <c r="E7" s="88"/>
      <c r="F7" s="84"/>
      <c r="G7" s="84"/>
      <c r="H7" s="86"/>
      <c r="J7" s="85"/>
      <c r="K7" s="95"/>
      <c r="L7" s="96"/>
      <c r="M7" s="57"/>
    </row>
    <row r="8" spans="1:13">
      <c r="A8" s="82"/>
      <c r="B8" s="83"/>
      <c r="C8" s="84"/>
      <c r="D8" s="84"/>
      <c r="E8" s="88"/>
      <c r="F8" s="84"/>
      <c r="G8" s="84"/>
      <c r="H8" s="86"/>
      <c r="J8" s="85"/>
      <c r="K8" s="95"/>
      <c r="L8" s="96"/>
      <c r="M8" s="57"/>
    </row>
    <row r="9" spans="1:13">
      <c r="A9" s="82"/>
      <c r="B9" s="83"/>
      <c r="C9" s="84"/>
      <c r="D9" s="84"/>
      <c r="E9" s="88"/>
      <c r="F9" s="84"/>
      <c r="G9" s="84"/>
      <c r="H9" s="86"/>
      <c r="J9" s="85"/>
      <c r="K9" s="95"/>
      <c r="L9" s="96"/>
      <c r="M9" s="57"/>
    </row>
    <row r="10" spans="1:13">
      <c r="A10" s="82"/>
      <c r="B10" s="83"/>
      <c r="C10" s="84"/>
      <c r="D10" s="84"/>
      <c r="E10" s="88"/>
      <c r="F10" s="84"/>
      <c r="G10" s="84"/>
      <c r="H10" s="86"/>
      <c r="J10" s="85"/>
      <c r="K10" s="95"/>
      <c r="L10" s="96"/>
      <c r="M10" s="57"/>
    </row>
    <row r="11" spans="1:13">
      <c r="A11" s="82"/>
      <c r="B11" s="83"/>
      <c r="C11" s="84"/>
      <c r="D11" s="84"/>
      <c r="E11" s="88"/>
      <c r="F11" s="84"/>
      <c r="G11" s="84"/>
      <c r="H11" s="86"/>
      <c r="J11" s="85"/>
      <c r="K11" s="95"/>
      <c r="L11" s="96"/>
      <c r="M11" s="57"/>
    </row>
    <row r="12" spans="1:13">
      <c r="A12" s="82"/>
      <c r="B12" s="83"/>
      <c r="C12" s="84"/>
      <c r="D12" s="84"/>
      <c r="E12" s="88"/>
      <c r="F12" s="84"/>
      <c r="G12" s="84"/>
      <c r="H12" s="86"/>
      <c r="J12" s="85"/>
      <c r="K12" s="95"/>
      <c r="L12" s="96"/>
      <c r="M12" s="57"/>
    </row>
    <row r="13" spans="1:13">
      <c r="A13" s="82"/>
      <c r="B13" s="83"/>
      <c r="C13" s="84"/>
      <c r="D13" s="84"/>
      <c r="E13" s="88"/>
      <c r="F13" s="84"/>
      <c r="G13" s="84"/>
      <c r="H13" s="86"/>
      <c r="J13" s="85"/>
      <c r="K13" s="95"/>
      <c r="L13" s="96"/>
      <c r="M13" s="57"/>
    </row>
    <row r="14" spans="1:13">
      <c r="A14" s="82"/>
      <c r="B14" s="83"/>
      <c r="C14" s="84"/>
      <c r="D14" s="84"/>
      <c r="E14" s="88"/>
      <c r="F14" s="84"/>
      <c r="G14" s="84"/>
      <c r="H14" s="86"/>
      <c r="J14" s="85"/>
      <c r="K14" s="95"/>
      <c r="L14" s="96"/>
      <c r="M14" s="57"/>
    </row>
    <row r="15" spans="1:13">
      <c r="A15" s="82"/>
      <c r="B15" s="83"/>
      <c r="C15" s="84"/>
      <c r="D15" s="84"/>
      <c r="E15" s="88"/>
      <c r="F15" s="84"/>
      <c r="G15" s="84"/>
      <c r="H15" s="86"/>
      <c r="J15" s="85"/>
      <c r="K15" s="95"/>
      <c r="L15" s="96"/>
      <c r="M15" s="57"/>
    </row>
    <row r="16" spans="1:13">
      <c r="A16" s="82"/>
      <c r="B16" s="83"/>
      <c r="C16" s="84"/>
      <c r="D16" s="84"/>
      <c r="E16" s="88"/>
      <c r="F16" s="84"/>
      <c r="G16" s="84"/>
      <c r="H16" s="86"/>
      <c r="J16" s="85"/>
      <c r="K16" s="95"/>
      <c r="L16" s="96"/>
      <c r="M16" s="57"/>
    </row>
    <row r="17" spans="1:13">
      <c r="A17" s="82"/>
      <c r="B17" s="83"/>
      <c r="C17" s="84"/>
      <c r="D17" s="84"/>
      <c r="E17" s="88"/>
      <c r="F17" s="84"/>
      <c r="G17" s="84"/>
      <c r="H17" s="86"/>
      <c r="J17" s="85"/>
      <c r="K17" s="95"/>
      <c r="L17" s="96"/>
      <c r="M17" s="57"/>
    </row>
    <row r="18" spans="1:13">
      <c r="A18" s="82"/>
      <c r="B18" s="83"/>
      <c r="C18" s="84"/>
      <c r="D18" s="84"/>
      <c r="E18" s="88"/>
      <c r="F18" s="84"/>
      <c r="G18" s="84"/>
      <c r="H18" s="86"/>
      <c r="J18" s="85"/>
      <c r="K18" s="95"/>
      <c r="L18" s="96"/>
      <c r="M18" s="57"/>
    </row>
    <row r="19" spans="1:13">
      <c r="A19" s="82"/>
      <c r="B19" s="83"/>
      <c r="C19" s="84"/>
      <c r="D19" s="84"/>
      <c r="E19" s="88"/>
      <c r="F19" s="84"/>
      <c r="G19" s="84"/>
      <c r="H19" s="86"/>
      <c r="J19" s="85"/>
      <c r="K19" s="95"/>
      <c r="L19" s="96"/>
      <c r="M19" s="57"/>
    </row>
    <row r="20" spans="1:13">
      <c r="A20" s="82"/>
      <c r="B20" s="83"/>
      <c r="C20" s="84"/>
      <c r="D20" s="84"/>
      <c r="E20" s="88"/>
      <c r="F20" s="84"/>
      <c r="G20" s="84"/>
      <c r="H20" s="86"/>
      <c r="J20" s="85"/>
      <c r="K20" s="95"/>
      <c r="L20" s="96"/>
      <c r="M20" s="57"/>
    </row>
    <row r="21" spans="1:13">
      <c r="A21" s="82"/>
      <c r="B21" s="83"/>
      <c r="C21" s="84"/>
      <c r="D21" s="84"/>
      <c r="E21" s="88"/>
      <c r="F21" s="84"/>
      <c r="G21" s="84"/>
      <c r="H21" s="86"/>
      <c r="J21" s="85"/>
      <c r="K21" s="95"/>
      <c r="L21" s="96"/>
      <c r="M21" s="57"/>
    </row>
    <row r="22" spans="1:13">
      <c r="A22" s="82"/>
      <c r="B22" s="83"/>
      <c r="C22" s="84"/>
      <c r="D22" s="84"/>
      <c r="E22" s="88"/>
      <c r="F22" s="84"/>
      <c r="G22" s="84"/>
      <c r="H22" s="86"/>
      <c r="J22" s="85"/>
      <c r="K22" s="95"/>
      <c r="L22" s="96"/>
      <c r="M22" s="57"/>
    </row>
    <row r="23" spans="1:13">
      <c r="A23" s="82"/>
      <c r="B23" s="83"/>
      <c r="C23" s="84"/>
      <c r="D23" s="84"/>
      <c r="E23" s="88"/>
      <c r="F23" s="84"/>
      <c r="G23" s="84"/>
      <c r="H23" s="86"/>
      <c r="J23" s="85"/>
      <c r="K23" s="95"/>
      <c r="L23" s="96"/>
      <c r="M23" s="57"/>
    </row>
    <row r="24" spans="1:13">
      <c r="A24" s="82"/>
      <c r="B24" s="83"/>
      <c r="C24" s="84"/>
      <c r="D24" s="84"/>
      <c r="E24" s="88"/>
      <c r="F24" s="84"/>
      <c r="G24" s="84"/>
      <c r="H24" s="86"/>
      <c r="J24" s="85"/>
      <c r="K24" s="95"/>
      <c r="L24" s="96"/>
      <c r="M24" s="57"/>
    </row>
    <row r="25" spans="1:13">
      <c r="A25" s="82"/>
      <c r="B25" s="83"/>
      <c r="C25" s="84"/>
      <c r="D25" s="84"/>
      <c r="E25" s="88"/>
      <c r="F25" s="84"/>
      <c r="G25" s="84"/>
      <c r="H25" s="86"/>
      <c r="J25" s="85"/>
      <c r="K25" s="95"/>
      <c r="L25" s="96"/>
      <c r="M25" s="57"/>
    </row>
    <row r="26" spans="1:13">
      <c r="A26" s="82"/>
      <c r="B26" s="83"/>
      <c r="C26" s="84"/>
      <c r="D26" s="84"/>
      <c r="E26" s="88"/>
      <c r="F26" s="84"/>
      <c r="G26" s="84"/>
      <c r="H26" s="86"/>
      <c r="J26" s="85"/>
      <c r="K26" s="95"/>
      <c r="L26" s="96"/>
      <c r="M26" s="57"/>
    </row>
    <row r="27" spans="1:13">
      <c r="A27" s="82"/>
      <c r="B27" s="83"/>
      <c r="C27" s="84"/>
      <c r="D27" s="84"/>
      <c r="E27" s="88"/>
      <c r="F27" s="84"/>
      <c r="G27" s="84"/>
      <c r="H27" s="86"/>
      <c r="J27" s="85"/>
      <c r="K27" s="95"/>
      <c r="L27" s="96"/>
      <c r="M27" s="57"/>
    </row>
    <row r="28" spans="1:13">
      <c r="A28" s="82"/>
      <c r="B28" s="83"/>
      <c r="C28" s="84"/>
      <c r="D28" s="84"/>
      <c r="E28" s="88"/>
      <c r="F28" s="84"/>
      <c r="G28" s="84"/>
      <c r="H28" s="86"/>
      <c r="J28" s="85"/>
      <c r="K28" s="95"/>
      <c r="L28" s="96"/>
      <c r="M28" s="57"/>
    </row>
    <row r="29" spans="1:13">
      <c r="A29" s="82"/>
      <c r="B29" s="83"/>
      <c r="C29" s="84"/>
      <c r="D29" s="84"/>
      <c r="E29" s="88"/>
      <c r="F29" s="84"/>
      <c r="G29" s="84"/>
      <c r="H29" s="86"/>
      <c r="J29" s="85"/>
      <c r="K29" s="95"/>
      <c r="L29" s="96"/>
      <c r="M29" s="57"/>
    </row>
    <row r="30" spans="1:13">
      <c r="A30" s="82"/>
      <c r="B30" s="83"/>
      <c r="C30" s="84"/>
      <c r="D30" s="84"/>
      <c r="E30" s="88"/>
      <c r="F30" s="84"/>
      <c r="G30" s="84"/>
      <c r="H30" s="86"/>
      <c r="J30" s="85"/>
      <c r="K30" s="95"/>
      <c r="L30" s="96"/>
      <c r="M30" s="57"/>
    </row>
    <row r="31" spans="1:13">
      <c r="A31" s="82"/>
      <c r="B31" s="83"/>
      <c r="C31" s="84"/>
      <c r="D31" s="84"/>
      <c r="E31" s="88"/>
      <c r="F31" s="84"/>
      <c r="G31" s="84"/>
      <c r="H31" s="86"/>
      <c r="J31" s="85"/>
      <c r="K31" s="95"/>
      <c r="L31" s="96"/>
      <c r="M31" s="57"/>
    </row>
    <row r="32" spans="1:13">
      <c r="A32" s="82"/>
      <c r="B32" s="83"/>
      <c r="C32" s="84"/>
      <c r="D32" s="84"/>
      <c r="E32" s="88"/>
      <c r="F32" s="84"/>
      <c r="G32" s="84"/>
      <c r="H32" s="86"/>
      <c r="J32" s="85"/>
      <c r="K32" s="95"/>
      <c r="L32" s="96"/>
      <c r="M32" s="57"/>
    </row>
    <row r="33" spans="1:13">
      <c r="A33" s="82"/>
      <c r="B33" s="83"/>
      <c r="C33" s="84"/>
      <c r="D33" s="84"/>
      <c r="E33" s="88"/>
      <c r="F33" s="84"/>
      <c r="G33" s="84"/>
      <c r="H33" s="86"/>
      <c r="J33" s="85"/>
      <c r="K33" s="95"/>
      <c r="L33" s="96"/>
      <c r="M33" s="57"/>
    </row>
    <row r="34" spans="1:13">
      <c r="A34" s="82"/>
      <c r="B34" s="83"/>
      <c r="C34" s="84"/>
      <c r="D34" s="84"/>
      <c r="E34" s="88"/>
      <c r="F34" s="84"/>
      <c r="G34" s="84"/>
      <c r="H34" s="86"/>
      <c r="J34" s="85"/>
      <c r="K34" s="95"/>
      <c r="L34" s="96"/>
      <c r="M34" s="57"/>
    </row>
    <row r="35" spans="1:13">
      <c r="A35" s="82"/>
      <c r="B35" s="83"/>
      <c r="C35" s="84"/>
      <c r="D35" s="84"/>
      <c r="E35" s="88"/>
      <c r="F35" s="84"/>
      <c r="G35" s="84"/>
      <c r="H35" s="86"/>
      <c r="J35" s="85"/>
      <c r="K35" s="95"/>
      <c r="L35" s="96"/>
      <c r="M35" s="57"/>
    </row>
    <row r="36" spans="1:13">
      <c r="A36" s="82"/>
      <c r="B36" s="83"/>
      <c r="C36" s="84"/>
      <c r="D36" s="84"/>
      <c r="E36" s="88"/>
      <c r="F36" s="84"/>
      <c r="G36" s="84"/>
      <c r="H36" s="86"/>
      <c r="J36" s="85"/>
      <c r="K36" s="95"/>
      <c r="L36" s="96"/>
      <c r="M36" s="57"/>
    </row>
    <row r="37" spans="1:13">
      <c r="A37" s="82"/>
      <c r="B37" s="83"/>
      <c r="C37" s="84"/>
      <c r="D37" s="84"/>
      <c r="E37" s="88"/>
      <c r="F37" s="84"/>
      <c r="G37" s="84"/>
      <c r="H37" s="86"/>
      <c r="J37" s="85"/>
      <c r="K37" s="95"/>
      <c r="L37" s="96"/>
      <c r="M37" s="57"/>
    </row>
    <row r="38" spans="1:13">
      <c r="A38" s="82"/>
      <c r="B38" s="83"/>
      <c r="C38" s="84"/>
      <c r="D38" s="84"/>
      <c r="E38" s="88"/>
      <c r="F38" s="84"/>
      <c r="G38" s="84"/>
      <c r="H38" s="86"/>
      <c r="J38" s="85"/>
      <c r="K38" s="95"/>
      <c r="L38" s="96"/>
      <c r="M38" s="57"/>
    </row>
    <row r="39" spans="1:13">
      <c r="A39" s="82"/>
      <c r="B39" s="83"/>
      <c r="C39" s="84"/>
      <c r="D39" s="84"/>
      <c r="E39" s="88"/>
      <c r="F39" s="84"/>
      <c r="G39" s="84"/>
      <c r="H39" s="86"/>
      <c r="J39" s="85"/>
      <c r="K39" s="95"/>
      <c r="L39" s="96"/>
      <c r="M39" s="57"/>
    </row>
    <row r="40" spans="1:13">
      <c r="A40" s="82"/>
      <c r="B40" s="83"/>
      <c r="C40" s="84"/>
      <c r="D40" s="84"/>
      <c r="E40" s="88"/>
      <c r="F40" s="84"/>
      <c r="G40" s="84"/>
      <c r="H40" s="86"/>
      <c r="J40" s="85"/>
      <c r="K40" s="95"/>
      <c r="L40" s="96"/>
      <c r="M40" s="57"/>
    </row>
    <row r="41" spans="1:13">
      <c r="A41" s="82"/>
      <c r="B41" s="83"/>
      <c r="C41" s="84"/>
      <c r="D41" s="84"/>
      <c r="E41" s="88"/>
      <c r="F41" s="84"/>
      <c r="G41" s="84"/>
      <c r="H41" s="86"/>
      <c r="J41" s="85"/>
      <c r="K41" s="95"/>
      <c r="L41" s="96"/>
      <c r="M41" s="57"/>
    </row>
    <row r="42" spans="1:13">
      <c r="A42" s="82"/>
      <c r="B42" s="83"/>
      <c r="C42" s="84"/>
      <c r="D42" s="84"/>
      <c r="E42" s="88"/>
      <c r="F42" s="84"/>
      <c r="G42" s="84"/>
      <c r="H42" s="86"/>
      <c r="J42" s="85"/>
      <c r="K42" s="95"/>
      <c r="L42" s="96"/>
      <c r="M42" s="57"/>
    </row>
    <row r="43" spans="1:13">
      <c r="A43" s="82"/>
      <c r="B43" s="83"/>
      <c r="C43" s="84"/>
      <c r="D43" s="84"/>
      <c r="E43" s="88"/>
      <c r="F43" s="84"/>
      <c r="G43" s="84"/>
      <c r="H43" s="86"/>
      <c r="J43" s="85"/>
      <c r="K43" s="95"/>
      <c r="L43" s="96"/>
      <c r="M43" s="57"/>
    </row>
    <row r="44" spans="1:13">
      <c r="A44" s="82"/>
      <c r="B44" s="83"/>
      <c r="C44" s="84"/>
      <c r="D44" s="84"/>
      <c r="E44" s="88"/>
      <c r="F44" s="84"/>
      <c r="G44" s="84"/>
      <c r="H44" s="86"/>
      <c r="J44" s="85"/>
      <c r="K44" s="95"/>
      <c r="L44" s="96"/>
      <c r="M44" s="57"/>
    </row>
    <row r="45" spans="1:13">
      <c r="A45" s="82"/>
      <c r="B45" s="83"/>
      <c r="C45" s="84"/>
      <c r="D45" s="84"/>
      <c r="E45" s="88"/>
      <c r="F45" s="84"/>
      <c r="G45" s="84"/>
      <c r="H45" s="86"/>
      <c r="J45" s="85"/>
      <c r="K45" s="95"/>
      <c r="L45" s="96"/>
      <c r="M45" s="57"/>
    </row>
    <row r="46" spans="1:13">
      <c r="A46" s="82"/>
      <c r="B46" s="83"/>
      <c r="C46" s="84"/>
      <c r="D46" s="84"/>
      <c r="E46" s="88"/>
      <c r="F46" s="84"/>
      <c r="G46" s="84"/>
      <c r="H46" s="86"/>
      <c r="J46" s="85"/>
      <c r="K46" s="95"/>
      <c r="L46" s="96"/>
      <c r="M46" s="57"/>
    </row>
    <row r="47" spans="1:13">
      <c r="A47" s="82"/>
      <c r="B47" s="83"/>
      <c r="C47" s="84"/>
      <c r="D47" s="84"/>
      <c r="E47" s="88"/>
      <c r="F47" s="84"/>
      <c r="G47" s="84"/>
      <c r="H47" s="86"/>
      <c r="J47" s="85"/>
      <c r="K47" s="95"/>
      <c r="L47" s="96"/>
      <c r="M47" s="57"/>
    </row>
    <row r="48" spans="1:13">
      <c r="A48" s="82"/>
      <c r="B48" s="83"/>
      <c r="C48" s="84"/>
      <c r="D48" s="84"/>
      <c r="E48" s="88"/>
      <c r="F48" s="84"/>
      <c r="G48" s="84"/>
      <c r="H48" s="86"/>
      <c r="J48" s="85"/>
      <c r="K48" s="95"/>
      <c r="L48" s="96"/>
      <c r="M48" s="57"/>
    </row>
    <row r="49" spans="1:13">
      <c r="A49" s="82"/>
      <c r="B49" s="83"/>
      <c r="C49" s="84"/>
      <c r="D49" s="84"/>
      <c r="E49" s="88"/>
      <c r="F49" s="84"/>
      <c r="G49" s="84"/>
      <c r="H49" s="86"/>
      <c r="J49" s="85"/>
      <c r="K49" s="95"/>
      <c r="L49" s="96"/>
      <c r="M49" s="57"/>
    </row>
    <row r="50" spans="1:13">
      <c r="A50" s="82"/>
      <c r="B50" s="83"/>
      <c r="C50" s="84"/>
      <c r="D50" s="84"/>
      <c r="E50" s="88"/>
      <c r="F50" s="84"/>
      <c r="G50" s="84"/>
      <c r="H50" s="86"/>
      <c r="J50" s="85"/>
      <c r="K50" s="95"/>
      <c r="L50" s="96"/>
      <c r="M50" s="57"/>
    </row>
    <row r="51" spans="1:13">
      <c r="A51" s="82"/>
      <c r="B51" s="83"/>
      <c r="C51" s="84"/>
      <c r="D51" s="84"/>
      <c r="E51" s="88"/>
      <c r="F51" s="84"/>
      <c r="G51" s="84"/>
      <c r="H51" s="86"/>
      <c r="J51" s="85"/>
      <c r="K51" s="95"/>
      <c r="L51" s="96"/>
      <c r="M51" s="57"/>
    </row>
    <row r="52" spans="1:13">
      <c r="A52" s="82"/>
      <c r="B52" s="83"/>
      <c r="C52" s="84"/>
      <c r="D52" s="84"/>
      <c r="E52" s="88"/>
      <c r="F52" s="84"/>
      <c r="G52" s="84"/>
      <c r="H52" s="86"/>
      <c r="J52" s="85"/>
      <c r="K52" s="95"/>
      <c r="L52" s="96"/>
      <c r="M52" s="57"/>
    </row>
    <row r="53" spans="1:13">
      <c r="A53" s="82"/>
      <c r="B53" s="83"/>
      <c r="C53" s="84"/>
      <c r="D53" s="84"/>
      <c r="E53" s="88"/>
      <c r="F53" s="84"/>
      <c r="G53" s="84"/>
      <c r="H53" s="86"/>
      <c r="J53" s="85"/>
      <c r="K53" s="95"/>
      <c r="L53" s="96"/>
      <c r="M53" s="57"/>
    </row>
    <row r="54" spans="1:13">
      <c r="A54" s="82"/>
      <c r="B54" s="83"/>
      <c r="C54" s="84"/>
      <c r="D54" s="84"/>
      <c r="E54" s="88"/>
      <c r="F54" s="84"/>
      <c r="G54" s="84"/>
      <c r="H54" s="86"/>
      <c r="J54" s="85"/>
      <c r="K54" s="95"/>
      <c r="L54" s="96"/>
      <c r="M54" s="57"/>
    </row>
    <row r="55" spans="1:13">
      <c r="A55" s="82"/>
      <c r="B55" s="83"/>
      <c r="C55" s="84"/>
      <c r="D55" s="84"/>
      <c r="E55" s="88"/>
      <c r="F55" s="84"/>
      <c r="G55" s="84"/>
      <c r="H55" s="86"/>
      <c r="J55" s="85"/>
      <c r="K55" s="95"/>
      <c r="L55" s="96"/>
      <c r="M55" s="57"/>
    </row>
    <row r="56" spans="1:13">
      <c r="A56" s="82"/>
      <c r="B56" s="83"/>
      <c r="C56" s="84"/>
      <c r="D56" s="84"/>
      <c r="E56" s="88"/>
      <c r="F56" s="84"/>
      <c r="G56" s="84"/>
      <c r="H56" s="86"/>
      <c r="J56" s="85"/>
      <c r="K56" s="95"/>
      <c r="L56" s="96"/>
      <c r="M56" s="57"/>
    </row>
    <row r="57" spans="1:13">
      <c r="A57" s="82"/>
      <c r="B57" s="83"/>
      <c r="C57" s="84"/>
      <c r="D57" s="84"/>
      <c r="E57" s="88"/>
      <c r="F57" s="84"/>
      <c r="G57" s="84"/>
      <c r="H57" s="86"/>
      <c r="J57" s="85"/>
      <c r="K57" s="95"/>
      <c r="L57" s="96"/>
      <c r="M57" s="57"/>
    </row>
    <row r="58" spans="1:13">
      <c r="A58" s="82"/>
      <c r="B58" s="83"/>
      <c r="C58" s="84"/>
      <c r="D58" s="84"/>
      <c r="E58" s="88"/>
      <c r="F58" s="84"/>
      <c r="G58" s="84"/>
      <c r="H58" s="86"/>
      <c r="J58" s="85"/>
      <c r="K58" s="95"/>
      <c r="L58" s="96"/>
      <c r="M58" s="57"/>
    </row>
    <row r="59" spans="1:13">
      <c r="A59" s="82"/>
      <c r="B59" s="83"/>
      <c r="C59" s="84"/>
      <c r="D59" s="84"/>
      <c r="E59" s="88"/>
      <c r="F59" s="84"/>
      <c r="G59" s="84"/>
      <c r="H59" s="86"/>
      <c r="J59" s="85"/>
      <c r="K59" s="95"/>
      <c r="L59" s="96"/>
      <c r="M59" s="57"/>
    </row>
    <row r="60" spans="1:13">
      <c r="A60" s="82"/>
      <c r="B60" s="83"/>
      <c r="C60" s="84"/>
      <c r="D60" s="84"/>
      <c r="E60" s="88"/>
      <c r="F60" s="84"/>
      <c r="G60" s="84"/>
      <c r="H60" s="86"/>
      <c r="I60" s="99"/>
      <c r="J60" s="85"/>
      <c r="K60" s="95"/>
      <c r="L60" s="96"/>
      <c r="M60" s="57"/>
    </row>
    <row r="61" spans="1:13">
      <c r="A61" s="82"/>
      <c r="B61" s="83"/>
      <c r="C61" s="84"/>
      <c r="D61" s="84"/>
      <c r="E61" s="88"/>
      <c r="F61" s="84"/>
      <c r="G61" s="84"/>
      <c r="H61" s="86"/>
      <c r="I61" s="99"/>
      <c r="J61" s="85"/>
      <c r="K61" s="95"/>
      <c r="L61" s="96"/>
      <c r="M61" s="57"/>
    </row>
    <row r="62" spans="1:13">
      <c r="A62" s="82"/>
      <c r="B62" s="83"/>
      <c r="C62" s="84"/>
      <c r="D62" s="84"/>
      <c r="E62" s="88"/>
      <c r="F62" s="84"/>
      <c r="G62" s="84"/>
      <c r="H62" s="86"/>
      <c r="I62" s="99"/>
      <c r="J62" s="85"/>
      <c r="K62" s="95"/>
      <c r="L62" s="96"/>
      <c r="M62" s="57"/>
    </row>
    <row r="63" spans="1:13">
      <c r="A63" s="82"/>
      <c r="B63" s="83"/>
      <c r="C63" s="84"/>
      <c r="D63" s="84"/>
      <c r="E63" s="88"/>
      <c r="F63" s="84"/>
      <c r="G63" s="84"/>
      <c r="H63" s="86"/>
      <c r="I63" s="99"/>
      <c r="J63" s="85"/>
      <c r="K63" s="95"/>
      <c r="L63" s="96"/>
      <c r="M63" s="57"/>
    </row>
    <row r="64" spans="1:13">
      <c r="A64" s="82"/>
      <c r="B64" s="83"/>
      <c r="C64" s="84"/>
      <c r="D64" s="84"/>
      <c r="E64" s="88"/>
      <c r="F64" s="84"/>
      <c r="G64" s="84"/>
      <c r="H64" s="86"/>
      <c r="I64" s="99"/>
      <c r="J64" s="85"/>
      <c r="K64" s="95"/>
      <c r="L64" s="96"/>
      <c r="M64" s="57"/>
    </row>
    <row r="65" spans="1:13">
      <c r="A65" s="82"/>
      <c r="B65" s="83"/>
      <c r="C65" s="84"/>
      <c r="D65" s="84"/>
      <c r="E65" s="88"/>
      <c r="F65" s="84"/>
      <c r="G65" s="84"/>
      <c r="H65" s="86"/>
      <c r="I65" s="99"/>
      <c r="J65" s="85"/>
      <c r="K65" s="95"/>
      <c r="L65" s="96"/>
      <c r="M65" s="57"/>
    </row>
    <row r="66" spans="1:13">
      <c r="A66" s="82"/>
      <c r="B66" s="83"/>
      <c r="C66" s="84"/>
      <c r="D66" s="84"/>
      <c r="E66" s="88"/>
      <c r="F66" s="84"/>
      <c r="G66" s="84"/>
      <c r="H66" s="86"/>
      <c r="I66" s="99"/>
      <c r="J66" s="85"/>
      <c r="K66" s="95"/>
      <c r="L66" s="96"/>
      <c r="M66" s="57"/>
    </row>
    <row r="67" spans="1:13">
      <c r="A67" s="82"/>
      <c r="B67" s="83"/>
      <c r="C67" s="84"/>
      <c r="D67" s="84"/>
      <c r="E67" s="88"/>
      <c r="F67" s="84"/>
      <c r="G67" s="84"/>
      <c r="H67" s="86"/>
      <c r="I67" s="99"/>
      <c r="J67" s="85"/>
      <c r="K67" s="95"/>
      <c r="L67" s="96"/>
      <c r="M67" s="57"/>
    </row>
    <row r="68" spans="1:13">
      <c r="A68" s="82"/>
      <c r="B68" s="83"/>
      <c r="C68" s="84"/>
      <c r="D68" s="84"/>
      <c r="E68" s="88"/>
      <c r="F68" s="84"/>
      <c r="G68" s="84"/>
      <c r="H68" s="86"/>
      <c r="I68" s="99"/>
      <c r="J68" s="85"/>
      <c r="K68" s="95"/>
      <c r="L68" s="96"/>
      <c r="M68" s="57"/>
    </row>
    <row r="69" spans="1:13">
      <c r="A69" s="82"/>
      <c r="B69" s="83"/>
      <c r="C69" s="84"/>
      <c r="D69" s="84"/>
      <c r="E69" s="88"/>
      <c r="F69" s="84"/>
      <c r="G69" s="84"/>
      <c r="H69" s="86"/>
      <c r="I69" s="99"/>
      <c r="J69" s="85"/>
      <c r="K69" s="95"/>
      <c r="L69" s="96"/>
      <c r="M69" s="57"/>
    </row>
    <row r="70" spans="1:13">
      <c r="A70" s="82"/>
      <c r="B70" s="83"/>
      <c r="C70" s="84"/>
      <c r="D70" s="84"/>
      <c r="E70" s="88"/>
      <c r="F70" s="84"/>
      <c r="G70" s="84"/>
      <c r="H70" s="86"/>
      <c r="I70" s="99"/>
      <c r="J70" s="85"/>
      <c r="K70" s="95"/>
      <c r="L70" s="96"/>
      <c r="M70" s="57"/>
    </row>
    <row r="71" spans="1:13">
      <c r="A71" s="82"/>
      <c r="B71" s="83"/>
      <c r="C71" s="84"/>
      <c r="D71" s="84"/>
      <c r="E71" s="88"/>
      <c r="F71" s="84"/>
      <c r="G71" s="84"/>
      <c r="H71" s="86"/>
      <c r="I71" s="99"/>
      <c r="J71" s="85"/>
      <c r="K71" s="95"/>
      <c r="L71" s="96"/>
      <c r="M71" s="57"/>
    </row>
    <row r="72" spans="1:13">
      <c r="A72" s="82"/>
      <c r="B72" s="83"/>
      <c r="C72" s="84"/>
      <c r="D72" s="84"/>
      <c r="E72" s="88"/>
      <c r="F72" s="84"/>
      <c r="G72" s="84"/>
      <c r="H72" s="86"/>
      <c r="I72" s="99"/>
      <c r="J72" s="85"/>
      <c r="K72" s="95"/>
      <c r="L72" s="96"/>
      <c r="M72" s="57"/>
    </row>
    <row r="73" spans="1:13">
      <c r="A73" s="82"/>
      <c r="B73" s="83"/>
      <c r="C73" s="84"/>
      <c r="D73" s="84"/>
      <c r="E73" s="88"/>
      <c r="F73" s="84"/>
      <c r="G73" s="84"/>
      <c r="H73" s="86"/>
      <c r="I73" s="99"/>
      <c r="J73" s="85"/>
      <c r="K73" s="95"/>
      <c r="L73" s="96"/>
      <c r="M73" s="57"/>
    </row>
    <row r="74" spans="1:13">
      <c r="A74" s="82"/>
      <c r="B74" s="83"/>
      <c r="C74" s="84"/>
      <c r="D74" s="84"/>
      <c r="E74" s="88"/>
      <c r="F74" s="84"/>
      <c r="G74" s="84"/>
      <c r="H74" s="86"/>
      <c r="I74" s="99"/>
      <c r="J74" s="85"/>
      <c r="K74" s="95"/>
      <c r="L74" s="96"/>
      <c r="M74" s="57"/>
    </row>
    <row r="75" spans="1:13">
      <c r="A75" s="82"/>
      <c r="B75" s="83"/>
      <c r="C75" s="84"/>
      <c r="D75" s="84"/>
      <c r="E75" s="88"/>
      <c r="F75" s="84"/>
      <c r="G75" s="84"/>
      <c r="H75" s="86"/>
      <c r="I75" s="99"/>
      <c r="J75" s="85"/>
      <c r="K75" s="95"/>
      <c r="L75" s="96"/>
      <c r="M75" s="57"/>
    </row>
    <row r="76" spans="1:13">
      <c r="A76" s="82"/>
      <c r="B76" s="83"/>
      <c r="C76" s="84"/>
      <c r="D76" s="84"/>
      <c r="E76" s="88"/>
      <c r="F76" s="84"/>
      <c r="G76" s="84"/>
      <c r="H76" s="86"/>
      <c r="I76" s="99"/>
      <c r="J76" s="85"/>
      <c r="K76" s="95"/>
      <c r="L76" s="96"/>
      <c r="M76" s="57"/>
    </row>
    <row r="77" spans="1:13">
      <c r="A77" s="82"/>
      <c r="B77" s="83"/>
      <c r="C77" s="84"/>
      <c r="D77" s="84"/>
      <c r="E77" s="88"/>
      <c r="F77" s="84"/>
      <c r="G77" s="84"/>
      <c r="H77" s="86"/>
      <c r="I77" s="99"/>
      <c r="J77" s="85"/>
      <c r="K77" s="95"/>
      <c r="L77" s="96"/>
      <c r="M77" s="57"/>
    </row>
    <row r="78" spans="1:13">
      <c r="A78" s="82"/>
      <c r="B78" s="83"/>
      <c r="C78" s="84"/>
      <c r="D78" s="84"/>
      <c r="E78" s="88"/>
      <c r="F78" s="84"/>
      <c r="G78" s="84"/>
      <c r="H78" s="86"/>
      <c r="I78" s="99"/>
      <c r="J78" s="85"/>
      <c r="K78" s="95"/>
      <c r="L78" s="96"/>
      <c r="M78" s="57"/>
    </row>
    <row r="79" spans="1:13">
      <c r="A79" s="82"/>
      <c r="B79" s="83"/>
      <c r="C79" s="84"/>
      <c r="D79" s="84"/>
      <c r="E79" s="88"/>
      <c r="F79" s="84"/>
      <c r="G79" s="84"/>
      <c r="H79" s="86"/>
      <c r="I79" s="99"/>
      <c r="J79" s="85"/>
      <c r="K79" s="95"/>
      <c r="L79" s="96"/>
      <c r="M79" s="57"/>
    </row>
    <row r="80" spans="1:13">
      <c r="A80" s="82"/>
      <c r="B80" s="83"/>
      <c r="C80" s="84"/>
      <c r="D80" s="84"/>
      <c r="E80" s="88"/>
      <c r="F80" s="84"/>
      <c r="G80" s="84"/>
      <c r="H80" s="86"/>
      <c r="I80" s="99"/>
      <c r="J80" s="85"/>
      <c r="K80" s="95"/>
      <c r="L80" s="96"/>
      <c r="M80" s="57"/>
    </row>
    <row r="81" spans="1:13">
      <c r="A81" s="82"/>
      <c r="B81" s="83"/>
      <c r="C81" s="84"/>
      <c r="D81" s="84"/>
      <c r="E81" s="88"/>
      <c r="F81" s="84"/>
      <c r="G81" s="84"/>
      <c r="H81" s="86"/>
      <c r="I81" s="99"/>
      <c r="J81" s="85"/>
      <c r="K81" s="95"/>
      <c r="L81" s="96"/>
      <c r="M81" s="57"/>
    </row>
    <row r="82" spans="1:13">
      <c r="A82" s="82"/>
      <c r="B82" s="83"/>
      <c r="C82" s="84"/>
      <c r="D82" s="84"/>
      <c r="E82" s="88"/>
      <c r="F82" s="84"/>
      <c r="G82" s="84"/>
      <c r="H82" s="86"/>
      <c r="I82" s="99"/>
      <c r="J82" s="85"/>
      <c r="K82" s="95"/>
      <c r="L82" s="96"/>
      <c r="M82" s="57"/>
    </row>
    <row r="83" spans="1:13">
      <c r="A83" s="82"/>
      <c r="B83" s="83"/>
      <c r="C83" s="84"/>
      <c r="D83" s="84"/>
      <c r="E83" s="88"/>
      <c r="F83" s="84"/>
      <c r="G83" s="84"/>
      <c r="H83" s="86"/>
      <c r="I83" s="99"/>
      <c r="J83" s="85"/>
      <c r="K83" s="95"/>
      <c r="L83" s="96"/>
      <c r="M83" s="57"/>
    </row>
    <row r="84" spans="1:13">
      <c r="A84" s="82"/>
      <c r="B84" s="83"/>
      <c r="C84" s="84"/>
      <c r="D84" s="84"/>
      <c r="E84" s="88"/>
      <c r="F84" s="84"/>
      <c r="G84" s="84"/>
      <c r="H84" s="86"/>
      <c r="I84" s="99"/>
      <c r="J84" s="85"/>
      <c r="K84" s="95"/>
      <c r="L84" s="96"/>
      <c r="M84" s="57"/>
    </row>
    <row r="85" spans="1:13">
      <c r="A85" s="82"/>
      <c r="B85" s="83"/>
      <c r="C85" s="84"/>
      <c r="D85" s="84"/>
      <c r="E85" s="88"/>
      <c r="F85" s="84"/>
      <c r="G85" s="84"/>
      <c r="H85" s="86"/>
      <c r="I85" s="99"/>
      <c r="J85" s="85"/>
      <c r="K85" s="95"/>
      <c r="L85" s="96"/>
      <c r="M85" s="57"/>
    </row>
    <row r="86" spans="1:13">
      <c r="A86" s="82"/>
      <c r="B86" s="83"/>
      <c r="C86" s="84"/>
      <c r="D86" s="84"/>
      <c r="E86" s="88"/>
      <c r="F86" s="84"/>
      <c r="G86" s="84"/>
      <c r="H86" s="86"/>
      <c r="I86" s="99"/>
      <c r="J86" s="85"/>
      <c r="K86" s="95"/>
      <c r="L86" s="96"/>
      <c r="M86" s="57"/>
    </row>
    <row r="87" spans="1:13">
      <c r="A87" s="82"/>
      <c r="B87" s="83"/>
      <c r="C87" s="84"/>
      <c r="D87" s="84"/>
      <c r="E87" s="88"/>
      <c r="F87" s="84"/>
      <c r="G87" s="84"/>
      <c r="H87" s="86"/>
      <c r="I87" s="99"/>
      <c r="J87" s="85"/>
      <c r="K87" s="95"/>
      <c r="L87" s="96"/>
      <c r="M87" s="57"/>
    </row>
    <row r="88" spans="1:13">
      <c r="A88" s="82"/>
      <c r="B88" s="83"/>
      <c r="C88" s="84"/>
      <c r="D88" s="84"/>
      <c r="E88" s="88"/>
      <c r="F88" s="84"/>
      <c r="G88" s="84"/>
      <c r="H88" s="86"/>
      <c r="I88" s="99"/>
      <c r="J88" s="85"/>
      <c r="K88" s="95"/>
      <c r="L88" s="96"/>
      <c r="M88" s="57"/>
    </row>
    <row r="89" spans="1:13">
      <c r="A89" s="82"/>
      <c r="B89" s="83"/>
      <c r="C89" s="84"/>
      <c r="D89" s="84"/>
      <c r="E89" s="88"/>
      <c r="F89" s="84"/>
      <c r="G89" s="84"/>
      <c r="H89" s="86"/>
      <c r="I89" s="99"/>
      <c r="J89" s="85"/>
      <c r="K89" s="95"/>
      <c r="L89" s="96"/>
      <c r="M89" s="57"/>
    </row>
    <row r="90" spans="1:13">
      <c r="A90" s="82"/>
      <c r="B90" s="83"/>
      <c r="C90" s="84"/>
      <c r="D90" s="84"/>
      <c r="E90" s="88"/>
      <c r="F90" s="84"/>
      <c r="G90" s="84"/>
      <c r="H90" s="86"/>
      <c r="I90" s="99"/>
      <c r="J90" s="85"/>
      <c r="K90" s="95"/>
      <c r="L90" s="96"/>
      <c r="M90" s="57"/>
    </row>
    <row r="91" spans="1:13">
      <c r="A91" s="82"/>
      <c r="B91" s="83"/>
      <c r="C91" s="84"/>
      <c r="D91" s="84"/>
      <c r="E91" s="88"/>
      <c r="F91" s="84"/>
      <c r="G91" s="84"/>
      <c r="H91" s="86"/>
      <c r="I91" s="99"/>
      <c r="J91" s="85"/>
      <c r="K91" s="95"/>
      <c r="L91" s="96"/>
      <c r="M91" s="57"/>
    </row>
    <row r="92" spans="1:13">
      <c r="A92" s="82"/>
      <c r="B92" s="83"/>
      <c r="C92" s="84"/>
      <c r="D92" s="84"/>
      <c r="E92" s="88"/>
      <c r="F92" s="84"/>
      <c r="G92" s="84"/>
      <c r="H92" s="86"/>
      <c r="I92" s="99"/>
      <c r="J92" s="85"/>
      <c r="K92" s="95"/>
      <c r="L92" s="96"/>
      <c r="M92" s="57"/>
    </row>
    <row r="93" spans="1:13">
      <c r="A93" s="82"/>
      <c r="B93" s="83"/>
      <c r="C93" s="84"/>
      <c r="D93" s="84"/>
      <c r="E93" s="88"/>
      <c r="F93" s="84"/>
      <c r="G93" s="84"/>
      <c r="H93" s="86"/>
      <c r="I93" s="99"/>
      <c r="J93" s="85"/>
      <c r="K93" s="95"/>
      <c r="L93" s="96"/>
      <c r="M93" s="57"/>
    </row>
    <row r="94" spans="1:13">
      <c r="A94" s="82"/>
      <c r="B94" s="83"/>
      <c r="C94" s="84"/>
      <c r="D94" s="84"/>
      <c r="E94" s="88"/>
      <c r="F94" s="84"/>
      <c r="G94" s="84"/>
      <c r="H94" s="86"/>
      <c r="J94" s="85"/>
      <c r="K94" s="95"/>
      <c r="L94" s="96"/>
      <c r="M94" s="57"/>
    </row>
    <row r="95" spans="1:13">
      <c r="A95" s="82"/>
      <c r="B95" s="83"/>
      <c r="C95" s="84"/>
      <c r="D95" s="84"/>
      <c r="E95" s="88"/>
      <c r="F95" s="84"/>
      <c r="G95" s="84"/>
      <c r="H95" s="86"/>
      <c r="J95" s="85"/>
      <c r="K95" s="95"/>
      <c r="L95" s="96"/>
      <c r="M95" s="57"/>
    </row>
    <row r="96" spans="1:13">
      <c r="A96" s="82"/>
      <c r="B96" s="83"/>
      <c r="C96" s="84"/>
      <c r="D96" s="84"/>
      <c r="E96" s="88"/>
      <c r="F96" s="84"/>
      <c r="G96" s="84"/>
      <c r="H96" s="86"/>
      <c r="J96" s="85"/>
      <c r="K96" s="95"/>
      <c r="L96" s="96"/>
      <c r="M96" s="57"/>
    </row>
    <row r="97" spans="1:13">
      <c r="A97" s="82"/>
      <c r="B97" s="83"/>
      <c r="C97" s="84"/>
      <c r="D97" s="84"/>
      <c r="E97" s="88"/>
      <c r="F97" s="84"/>
      <c r="G97" s="84"/>
      <c r="H97" s="86"/>
      <c r="J97" s="85"/>
      <c r="K97" s="95"/>
      <c r="L97" s="96"/>
      <c r="M97" s="57"/>
    </row>
    <row r="98" spans="1:13">
      <c r="A98" s="82"/>
      <c r="B98" s="83"/>
      <c r="C98" s="84"/>
      <c r="D98" s="84"/>
      <c r="E98" s="88"/>
      <c r="F98" s="84"/>
      <c r="G98" s="84"/>
      <c r="H98" s="86"/>
      <c r="J98" s="85"/>
      <c r="K98" s="95"/>
      <c r="L98" s="96"/>
      <c r="M98" s="57"/>
    </row>
    <row r="99" spans="1:13">
      <c r="A99" s="82"/>
      <c r="B99" s="83"/>
      <c r="C99" s="84"/>
      <c r="D99" s="84"/>
      <c r="E99" s="88"/>
      <c r="F99" s="84"/>
      <c r="G99" s="84"/>
      <c r="H99" s="86"/>
      <c r="J99" s="85"/>
      <c r="K99" s="95"/>
      <c r="L99" s="96"/>
      <c r="M99" s="57"/>
    </row>
    <row r="100" spans="1:13">
      <c r="A100" s="82"/>
      <c r="B100" s="83"/>
      <c r="C100" s="84"/>
      <c r="D100" s="84"/>
      <c r="E100" s="88"/>
      <c r="F100" s="84"/>
      <c r="G100" s="84"/>
      <c r="H100" s="86"/>
      <c r="J100" s="85"/>
      <c r="K100" s="95"/>
      <c r="L100" s="96"/>
      <c r="M100" s="57"/>
    </row>
    <row r="101" spans="1:13">
      <c r="A101" s="82"/>
      <c r="B101" s="83"/>
      <c r="C101" s="84"/>
      <c r="D101" s="84"/>
      <c r="E101" s="88"/>
      <c r="F101" s="84"/>
      <c r="G101" s="84"/>
      <c r="H101" s="86"/>
      <c r="J101" s="85"/>
      <c r="K101" s="95"/>
      <c r="L101" s="96"/>
      <c r="M101" s="57"/>
    </row>
    <row r="102" spans="1:13">
      <c r="A102" s="82"/>
      <c r="B102" s="83"/>
      <c r="C102" s="84"/>
      <c r="D102" s="84"/>
      <c r="E102" s="88"/>
      <c r="F102" s="84"/>
      <c r="G102" s="84"/>
      <c r="H102" s="86"/>
      <c r="J102" s="85"/>
      <c r="K102" s="95"/>
      <c r="L102" s="96"/>
      <c r="M102" s="57"/>
    </row>
    <row r="103" spans="1:13">
      <c r="A103" s="82"/>
      <c r="B103" s="83"/>
      <c r="C103" s="84"/>
      <c r="D103" s="84"/>
      <c r="E103" s="88"/>
      <c r="F103" s="84"/>
      <c r="G103" s="84"/>
      <c r="H103" s="86"/>
      <c r="J103" s="85"/>
      <c r="K103" s="95"/>
      <c r="L103" s="96"/>
      <c r="M103" s="57"/>
    </row>
    <row r="104" spans="1:13">
      <c r="A104" s="82"/>
      <c r="B104" s="83"/>
      <c r="C104" s="84"/>
      <c r="D104" s="84"/>
      <c r="E104" s="88"/>
      <c r="F104" s="84"/>
      <c r="G104" s="84"/>
      <c r="H104" s="86"/>
      <c r="J104" s="85"/>
      <c r="K104" s="95"/>
      <c r="L104" s="96"/>
      <c r="M104" s="57"/>
    </row>
    <row r="105" spans="1:13">
      <c r="A105" s="82"/>
      <c r="B105" s="83"/>
      <c r="C105" s="84"/>
      <c r="D105" s="84"/>
      <c r="E105" s="88"/>
      <c r="F105" s="84"/>
      <c r="G105" s="84"/>
      <c r="H105" s="86"/>
      <c r="J105" s="85"/>
      <c r="K105" s="95"/>
      <c r="L105" s="96"/>
      <c r="M105" s="57"/>
    </row>
    <row r="106" spans="1:13">
      <c r="A106" s="82"/>
      <c r="B106" s="83"/>
      <c r="C106" s="84"/>
      <c r="D106" s="84"/>
      <c r="E106" s="88"/>
      <c r="F106" s="84"/>
      <c r="G106" s="84"/>
      <c r="H106" s="86"/>
      <c r="J106" s="85"/>
      <c r="K106" s="95"/>
      <c r="L106" s="96"/>
      <c r="M106" s="57"/>
    </row>
    <row r="107" spans="1:13">
      <c r="A107" s="82"/>
      <c r="B107" s="83"/>
      <c r="C107" s="84"/>
      <c r="D107" s="84"/>
      <c r="E107" s="88"/>
      <c r="F107" s="84"/>
      <c r="G107" s="84"/>
      <c r="H107" s="86"/>
      <c r="J107" s="85"/>
      <c r="K107" s="95"/>
      <c r="L107" s="96"/>
      <c r="M107" s="57"/>
    </row>
    <row r="108" spans="1:13">
      <c r="A108" s="82"/>
      <c r="B108" s="83"/>
      <c r="C108" s="84"/>
      <c r="D108" s="84"/>
      <c r="E108" s="88"/>
      <c r="F108" s="84"/>
      <c r="G108" s="84"/>
      <c r="H108" s="86"/>
      <c r="J108" s="85"/>
      <c r="K108" s="95"/>
      <c r="L108" s="96"/>
      <c r="M108" s="57"/>
    </row>
    <row r="109" spans="1:13">
      <c r="A109" s="82"/>
      <c r="B109" s="83"/>
      <c r="C109" s="84"/>
      <c r="D109" s="84"/>
      <c r="E109" s="88"/>
      <c r="F109" s="84"/>
      <c r="G109" s="84"/>
      <c r="H109" s="86"/>
      <c r="J109" s="85"/>
      <c r="K109" s="95"/>
      <c r="L109" s="96"/>
      <c r="M109" s="57"/>
    </row>
    <row r="110" spans="1:13">
      <c r="A110" s="82"/>
      <c r="B110" s="83"/>
      <c r="C110" s="84"/>
      <c r="D110" s="84"/>
      <c r="E110" s="88"/>
      <c r="F110" s="84"/>
      <c r="G110" s="84"/>
      <c r="H110" s="86"/>
      <c r="J110" s="85"/>
      <c r="K110" s="95"/>
      <c r="L110" s="96"/>
      <c r="M110" s="57"/>
    </row>
    <row r="111" spans="1:13">
      <c r="A111" s="82"/>
      <c r="B111" s="83"/>
      <c r="C111" s="84"/>
      <c r="D111" s="84"/>
      <c r="E111" s="88"/>
      <c r="F111" s="84"/>
      <c r="G111" s="84"/>
      <c r="H111" s="86"/>
      <c r="J111" s="85"/>
      <c r="K111" s="95"/>
      <c r="L111" s="96"/>
      <c r="M111" s="57"/>
    </row>
    <row r="112" spans="1:13">
      <c r="A112" s="82"/>
      <c r="B112" s="83"/>
      <c r="C112" s="84"/>
      <c r="D112" s="84"/>
      <c r="E112" s="88"/>
      <c r="F112" s="84"/>
      <c r="G112" s="84"/>
      <c r="H112" s="86"/>
      <c r="J112" s="85"/>
      <c r="K112" s="95"/>
      <c r="L112" s="96"/>
      <c r="M112" s="57"/>
    </row>
    <row r="113" spans="1:13">
      <c r="A113" s="82"/>
      <c r="B113" s="83"/>
      <c r="C113" s="84"/>
      <c r="D113" s="84"/>
      <c r="E113" s="88"/>
      <c r="F113" s="84"/>
      <c r="G113" s="84"/>
      <c r="H113" s="86"/>
      <c r="J113" s="85"/>
      <c r="K113" s="95"/>
      <c r="L113" s="96"/>
      <c r="M113" s="57"/>
    </row>
    <row r="114" spans="1:13">
      <c r="A114" s="82"/>
      <c r="B114" s="83"/>
      <c r="C114" s="84"/>
      <c r="D114" s="84"/>
      <c r="E114" s="88"/>
      <c r="F114" s="84"/>
      <c r="G114" s="84"/>
      <c r="H114" s="86"/>
      <c r="J114" s="85"/>
      <c r="K114" s="95"/>
      <c r="L114" s="96"/>
      <c r="M114" s="57"/>
    </row>
    <row r="115" spans="1:13">
      <c r="A115" s="82"/>
      <c r="B115" s="83"/>
      <c r="C115" s="84"/>
      <c r="D115" s="84"/>
      <c r="E115" s="88"/>
      <c r="F115" s="84"/>
      <c r="G115" s="84"/>
      <c r="H115" s="86"/>
      <c r="J115" s="85"/>
      <c r="K115" s="95"/>
      <c r="L115" s="96"/>
      <c r="M115" s="57"/>
    </row>
    <row r="116" spans="1:13">
      <c r="A116" s="82"/>
      <c r="B116" s="83"/>
      <c r="C116" s="84"/>
      <c r="D116" s="84"/>
      <c r="E116" s="88"/>
      <c r="F116" s="84"/>
      <c r="G116" s="84"/>
      <c r="H116" s="86"/>
      <c r="J116" s="85"/>
      <c r="K116" s="95"/>
      <c r="L116" s="96"/>
      <c r="M116" s="57"/>
    </row>
    <row r="117" spans="1:13">
      <c r="A117" s="82"/>
      <c r="B117" s="83"/>
      <c r="C117" s="84"/>
      <c r="D117" s="84"/>
      <c r="E117" s="88"/>
      <c r="F117" s="84"/>
      <c r="G117" s="84"/>
      <c r="H117" s="86"/>
      <c r="J117" s="85"/>
      <c r="K117" s="95"/>
      <c r="L117" s="96"/>
      <c r="M117" s="57"/>
    </row>
    <row r="118" spans="1:13">
      <c r="A118" s="82"/>
      <c r="B118" s="83"/>
      <c r="C118" s="84"/>
      <c r="D118" s="84"/>
      <c r="E118" s="88"/>
      <c r="F118" s="84"/>
      <c r="G118" s="84"/>
      <c r="H118" s="86"/>
      <c r="J118" s="85"/>
      <c r="K118" s="95"/>
      <c r="L118" s="96"/>
      <c r="M118" s="57"/>
    </row>
    <row r="119" spans="1:13">
      <c r="A119" s="82"/>
      <c r="B119" s="83"/>
      <c r="C119" s="84"/>
      <c r="D119" s="84"/>
      <c r="E119" s="88"/>
      <c r="F119" s="84"/>
      <c r="G119" s="84"/>
      <c r="H119" s="86"/>
      <c r="J119" s="85"/>
      <c r="K119" s="95"/>
      <c r="L119" s="96"/>
      <c r="M119" s="57"/>
    </row>
    <row r="120" spans="1:13">
      <c r="A120" s="82"/>
      <c r="B120" s="83"/>
      <c r="C120" s="84"/>
      <c r="D120" s="84"/>
      <c r="E120" s="88"/>
      <c r="F120" s="84"/>
      <c r="G120" s="84"/>
      <c r="H120" s="86"/>
      <c r="J120" s="85"/>
      <c r="K120" s="95"/>
      <c r="L120" s="96"/>
      <c r="M120" s="57"/>
    </row>
    <row r="121" spans="1:13">
      <c r="A121" s="82"/>
      <c r="B121" s="83"/>
      <c r="C121" s="84"/>
      <c r="D121" s="84"/>
      <c r="E121" s="88"/>
      <c r="F121" s="84"/>
      <c r="G121" s="84"/>
      <c r="H121" s="86"/>
      <c r="J121" s="85"/>
      <c r="K121" s="95"/>
      <c r="L121" s="96"/>
      <c r="M121" s="57"/>
    </row>
    <row r="122" spans="1:13">
      <c r="A122" s="82"/>
      <c r="B122" s="83"/>
      <c r="C122" s="84"/>
      <c r="D122" s="84"/>
      <c r="E122" s="88"/>
      <c r="F122" s="84"/>
      <c r="G122" s="84"/>
      <c r="H122" s="86"/>
      <c r="J122" s="85"/>
      <c r="K122" s="95"/>
      <c r="L122" s="96"/>
      <c r="M122" s="57"/>
    </row>
    <row r="123" spans="1:13">
      <c r="A123" s="82"/>
      <c r="B123" s="83"/>
      <c r="C123" s="84"/>
      <c r="D123" s="84"/>
      <c r="E123" s="88"/>
      <c r="F123" s="84"/>
      <c r="G123" s="84"/>
      <c r="H123" s="86"/>
      <c r="J123" s="85"/>
      <c r="K123" s="95"/>
      <c r="L123" s="96"/>
      <c r="M123" s="57"/>
    </row>
    <row r="124" spans="1:13">
      <c r="A124" s="82"/>
      <c r="B124" s="83"/>
      <c r="C124" s="84"/>
      <c r="D124" s="84"/>
      <c r="E124" s="88"/>
      <c r="F124" s="84"/>
      <c r="G124" s="84"/>
      <c r="H124" s="86"/>
      <c r="J124" s="85"/>
      <c r="K124" s="95"/>
      <c r="L124" s="96"/>
      <c r="M124" s="57"/>
    </row>
    <row r="125" spans="1:13">
      <c r="A125" s="82"/>
      <c r="B125" s="83"/>
      <c r="C125" s="84"/>
      <c r="D125" s="84"/>
      <c r="E125" s="88"/>
      <c r="F125" s="84"/>
      <c r="G125" s="84"/>
      <c r="H125" s="86"/>
      <c r="J125" s="85"/>
      <c r="K125" s="95"/>
      <c r="L125" s="96"/>
      <c r="M125" s="57"/>
    </row>
    <row r="126" spans="1:13">
      <c r="A126" s="82"/>
      <c r="B126" s="83"/>
      <c r="C126" s="84"/>
      <c r="D126" s="84"/>
      <c r="E126" s="88"/>
      <c r="F126" s="84"/>
      <c r="G126" s="84"/>
      <c r="H126" s="86"/>
      <c r="J126" s="85"/>
      <c r="K126" s="95"/>
      <c r="L126" s="96"/>
      <c r="M126" s="57"/>
    </row>
    <row r="127" spans="1:13">
      <c r="A127" s="82"/>
      <c r="B127" s="83"/>
      <c r="C127" s="84"/>
      <c r="D127" s="84"/>
      <c r="E127" s="88"/>
      <c r="F127" s="84"/>
      <c r="G127" s="84"/>
      <c r="H127" s="86"/>
      <c r="J127" s="85"/>
      <c r="K127" s="95"/>
      <c r="L127" s="96"/>
      <c r="M127" s="57"/>
    </row>
    <row r="128" spans="1:13">
      <c r="A128" s="82"/>
      <c r="B128" s="83"/>
      <c r="C128" s="84"/>
      <c r="D128" s="84"/>
      <c r="E128" s="88"/>
      <c r="F128" s="84"/>
      <c r="G128" s="84"/>
      <c r="H128" s="86"/>
      <c r="J128" s="85"/>
      <c r="K128" s="95"/>
      <c r="L128" s="96"/>
      <c r="M128" s="57"/>
    </row>
    <row r="129" spans="1:13">
      <c r="A129" s="82"/>
      <c r="B129" s="83"/>
      <c r="C129" s="84"/>
      <c r="D129" s="84"/>
      <c r="E129" s="88"/>
      <c r="F129" s="84"/>
      <c r="G129" s="84"/>
      <c r="H129" s="86"/>
      <c r="J129" s="85"/>
      <c r="K129" s="95"/>
      <c r="L129" s="96"/>
      <c r="M129" s="57"/>
    </row>
    <row r="130" spans="1:13">
      <c r="A130" s="82"/>
      <c r="B130" s="83"/>
      <c r="C130" s="84"/>
      <c r="D130" s="84"/>
      <c r="E130" s="88"/>
      <c r="F130" s="84"/>
      <c r="G130" s="84"/>
      <c r="H130" s="86"/>
      <c r="J130" s="85"/>
      <c r="K130" s="95"/>
      <c r="L130" s="96"/>
      <c r="M130" s="57"/>
    </row>
    <row r="131" spans="1:13">
      <c r="A131" s="82"/>
      <c r="B131" s="83"/>
      <c r="C131" s="84"/>
      <c r="D131" s="84"/>
      <c r="E131" s="88"/>
      <c r="F131" s="84"/>
      <c r="G131" s="84"/>
      <c r="H131" s="86"/>
      <c r="J131" s="85"/>
      <c r="K131" s="95"/>
      <c r="L131" s="96"/>
      <c r="M131" s="57"/>
    </row>
    <row r="132" spans="1:13">
      <c r="A132" s="82"/>
      <c r="B132" s="83"/>
      <c r="C132" s="84"/>
      <c r="D132" s="84"/>
      <c r="E132" s="88"/>
      <c r="F132" s="84"/>
      <c r="G132" s="84"/>
      <c r="H132" s="86"/>
      <c r="J132" s="85"/>
      <c r="K132" s="95"/>
      <c r="L132" s="96"/>
      <c r="M132" s="57"/>
    </row>
    <row r="133" spans="1:13">
      <c r="A133" s="82"/>
      <c r="B133" s="83"/>
      <c r="C133" s="84"/>
      <c r="D133" s="84"/>
      <c r="E133" s="88"/>
      <c r="F133" s="84"/>
      <c r="G133" s="84"/>
      <c r="H133" s="86"/>
      <c r="J133" s="85"/>
      <c r="K133" s="95"/>
      <c r="L133" s="96"/>
      <c r="M133" s="57"/>
    </row>
    <row r="134" spans="1:13">
      <c r="A134" s="82"/>
      <c r="B134" s="83"/>
      <c r="C134" s="84"/>
      <c r="D134" s="84"/>
      <c r="E134" s="88"/>
      <c r="F134" s="84"/>
      <c r="G134" s="84"/>
      <c r="H134" s="86"/>
      <c r="J134" s="85"/>
      <c r="K134" s="95"/>
      <c r="L134" s="96"/>
      <c r="M134" s="57"/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K2" sqref="K2"/>
    </sheetView>
  </sheetViews>
  <sheetFormatPr baseColWidth="12" defaultColWidth="13" defaultRowHeight="18" outlineLevelCol="1" x14ac:dyDescent="0"/>
  <cols>
    <col min="1" max="1" width="13" style="9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>
      <c r="A1" s="77" t="s">
        <v>189</v>
      </c>
      <c r="B1" s="73" t="s">
        <v>150</v>
      </c>
      <c r="C1" s="78" t="s">
        <v>191</v>
      </c>
      <c r="D1" s="78" t="s">
        <v>33</v>
      </c>
      <c r="E1" s="73" t="s">
        <v>192</v>
      </c>
      <c r="F1" s="78" t="s">
        <v>18</v>
      </c>
      <c r="G1" s="78" t="s">
        <v>33</v>
      </c>
      <c r="H1" s="73" t="s">
        <v>194</v>
      </c>
      <c r="I1" s="91" t="s">
        <v>195</v>
      </c>
      <c r="J1" s="93" t="s">
        <v>196</v>
      </c>
      <c r="K1" s="80" t="s">
        <v>127</v>
      </c>
      <c r="L1" s="79" t="s">
        <v>187</v>
      </c>
      <c r="M1" s="94" t="s">
        <v>186</v>
      </c>
      <c r="N1" s="81" t="s">
        <v>197</v>
      </c>
    </row>
    <row r="2" spans="1:14">
      <c r="A2" s="82" t="s">
        <v>198</v>
      </c>
      <c r="B2" s="83">
        <f>floors!$C$2</f>
        <v>12004</v>
      </c>
      <c r="C2" s="84" t="str">
        <f ca="1">VLOOKUP($B2,OFFSET([2]quests!$A$1,0,0,COUNTA([2]quests!$A:$A),MATCH(C$1,[2]quests!$1:$1,0)-MATCH($B$1,[2]quests!$1:$1,0)+1),MATCH(C$1,[2]quests!$1:$1,0)-MATCH($B$1,[2]quests!$1:$1,0)+1,FALSE)</f>
        <v>メタルフロッグをもとめて</v>
      </c>
      <c r="D2" s="84" t="str">
        <f ca="1">VLOOKUP($B2,OFFSET([2]quests!$A$1,0,0,COUNTA([2]quests!$A:$A),MATCH(D$1,[2]quests!$1:$1,0)-MATCH($B$1,[2]quests!$1:$1,0)+1),MATCH(D$1,[2]quests!$1:$1,0)-MATCH($B$1,[2]quests!$1:$1,0)+1,FALSE)</f>
        <v>イベントクエスト</v>
      </c>
      <c r="E2" s="85">
        <v>1</v>
      </c>
      <c r="F2" s="84" t="str">
        <f ca="1">VLOOKUP($B2&amp;"_"&amp;$E2,OFFSET([2]stages!$A$1,0,0,COUNTA([2]stages!$A:$A),MATCH(F$1,[2]stages!$2:$2,0)-MATCH("temp_stage",[2]stages!$2:$2,0)+1),MATCH(F$1,[2]stages!$2:$2,0)-MATCH("temp_stage",[2]stages!$2:$2,0)+1,FALSE)</f>
        <v>【上級】メタルフロッグをもとめて</v>
      </c>
      <c r="G2" s="84" t="str">
        <f ca="1">VLOOKUP($B2&amp;"_"&amp;$E2,OFFSET([2]stages!$A$1,0,0,COUNTA([2]stages!$A:$A),MATCH(G$1,[2]stages!$2:$2,0)-MATCH("temp_stage",[2]stages!$2:$2,0)+1),MATCH(G$1,[2]stages!$2:$2,0)-MATCH("temp_stage",[2]stages!$2:$2,0)+1,FALSE)</f>
        <v>イベントクエスト</v>
      </c>
      <c r="H2" s="86">
        <v>0</v>
      </c>
      <c r="I2" s="92">
        <f>ROW()-1</f>
        <v>1</v>
      </c>
      <c r="J2" s="87" t="str">
        <f>B2&amp;TEXT(I2,"00")</f>
        <v>1200401</v>
      </c>
      <c r="K2" s="85" t="s">
        <v>199</v>
      </c>
      <c r="L2" s="88" t="s">
        <v>200</v>
      </c>
      <c r="M2" s="89" t="s">
        <v>203</v>
      </c>
      <c r="N2" s="57" t="s">
        <v>201</v>
      </c>
    </row>
  </sheetData>
  <phoneticPr fontId="5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熊谷 佳樹</cp:lastModifiedBy>
  <dcterms:created xsi:type="dcterms:W3CDTF">2015-01-30T13:36:44Z</dcterms:created>
  <dcterms:modified xsi:type="dcterms:W3CDTF">2016-02-25T06:20:52Z</dcterms:modified>
</cp:coreProperties>
</file>