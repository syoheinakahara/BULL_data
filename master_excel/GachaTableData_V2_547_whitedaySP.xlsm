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2080" yWindow="-21140" windowWidth="29460" windowHeight="19420" tabRatio="943" activeTab="2"/>
  </bookViews>
  <sheets>
    <sheet name="確率の考え方" sheetId="110" r:id="rId1"/>
    <sheet name="Sheet1" sheetId="107" r:id="rId2"/>
    <sheet name="output" sheetId="103" r:id="rId3"/>
    <sheet name="input_547100" sheetId="157" r:id="rId4"/>
    <sheet name="tables_547100" sheetId="158" r:id="rId5"/>
    <sheet name="tables_settle_547100" sheetId="162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4" hidden="1">tables_547100!$A$1:$V$350</definedName>
    <definedName name="_xlnm._FilterDatabase" localSheetId="5" hidden="1">tables_settle_547100!$A$1:$V$1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1" i="162" l="1"/>
  <c r="N21" i="162"/>
  <c r="M21" i="162"/>
  <c r="L21" i="162"/>
  <c r="K21" i="162"/>
  <c r="J21" i="162"/>
  <c r="I21" i="162"/>
  <c r="H21" i="162"/>
  <c r="F21" i="162"/>
  <c r="E21" i="162"/>
  <c r="D21" i="162"/>
  <c r="C21" i="162"/>
  <c r="P20" i="162"/>
  <c r="N20" i="162"/>
  <c r="M20" i="162"/>
  <c r="L20" i="162"/>
  <c r="K20" i="162"/>
  <c r="J20" i="162"/>
  <c r="I20" i="162"/>
  <c r="H20" i="162"/>
  <c r="F20" i="162"/>
  <c r="E20" i="162"/>
  <c r="D20" i="162"/>
  <c r="C20" i="162"/>
  <c r="P19" i="162"/>
  <c r="N19" i="162"/>
  <c r="M19" i="162"/>
  <c r="L19" i="162"/>
  <c r="K19" i="162"/>
  <c r="J19" i="162"/>
  <c r="I19" i="162"/>
  <c r="H19" i="162"/>
  <c r="F19" i="162"/>
  <c r="E19" i="162"/>
  <c r="D19" i="162"/>
  <c r="C19" i="162"/>
  <c r="P18" i="162"/>
  <c r="N18" i="162"/>
  <c r="M18" i="162"/>
  <c r="L18" i="162"/>
  <c r="K18" i="162"/>
  <c r="J18" i="162"/>
  <c r="I18" i="162"/>
  <c r="H18" i="162"/>
  <c r="F18" i="162"/>
  <c r="E18" i="162"/>
  <c r="D18" i="162"/>
  <c r="C18" i="162"/>
  <c r="P17" i="162"/>
  <c r="N17" i="162"/>
  <c r="M17" i="162"/>
  <c r="L17" i="162"/>
  <c r="K17" i="162"/>
  <c r="J17" i="162"/>
  <c r="I17" i="162"/>
  <c r="H17" i="162"/>
  <c r="F17" i="162"/>
  <c r="E17" i="162"/>
  <c r="D17" i="162"/>
  <c r="C17" i="162"/>
  <c r="P16" i="162"/>
  <c r="N16" i="162"/>
  <c r="M16" i="162"/>
  <c r="L16" i="162"/>
  <c r="K16" i="162"/>
  <c r="J16" i="162"/>
  <c r="I16" i="162"/>
  <c r="H16" i="162"/>
  <c r="F16" i="162"/>
  <c r="E16" i="162"/>
  <c r="D16" i="162"/>
  <c r="C16" i="162"/>
  <c r="P15" i="162"/>
  <c r="N15" i="162"/>
  <c r="M15" i="162"/>
  <c r="L15" i="162"/>
  <c r="K15" i="162"/>
  <c r="J15" i="162"/>
  <c r="I15" i="162"/>
  <c r="H15" i="162"/>
  <c r="F15" i="162"/>
  <c r="E15" i="162"/>
  <c r="D15" i="162"/>
  <c r="C15" i="162"/>
  <c r="P14" i="162"/>
  <c r="N14" i="162"/>
  <c r="M14" i="162"/>
  <c r="L14" i="162"/>
  <c r="K14" i="162"/>
  <c r="J14" i="162"/>
  <c r="I14" i="162"/>
  <c r="H14" i="162"/>
  <c r="F14" i="162"/>
  <c r="E14" i="162"/>
  <c r="D14" i="162"/>
  <c r="C14" i="162"/>
  <c r="P13" i="162"/>
  <c r="N13" i="162"/>
  <c r="M13" i="162"/>
  <c r="L13" i="162"/>
  <c r="K13" i="162"/>
  <c r="J13" i="162"/>
  <c r="I13" i="162"/>
  <c r="H13" i="162"/>
  <c r="F13" i="162"/>
  <c r="E13" i="162"/>
  <c r="D13" i="162"/>
  <c r="C13" i="162"/>
  <c r="P12" i="162"/>
  <c r="N12" i="162"/>
  <c r="M12" i="162"/>
  <c r="L12" i="162"/>
  <c r="K12" i="162"/>
  <c r="J12" i="162"/>
  <c r="I12" i="162"/>
  <c r="H12" i="162"/>
  <c r="F12" i="162"/>
  <c r="E12" i="162"/>
  <c r="D12" i="162"/>
  <c r="C12" i="162"/>
  <c r="P11" i="162"/>
  <c r="N11" i="162"/>
  <c r="M11" i="162"/>
  <c r="L11" i="162"/>
  <c r="K11" i="162"/>
  <c r="J11" i="162"/>
  <c r="I11" i="162"/>
  <c r="H11" i="162"/>
  <c r="F11" i="162"/>
  <c r="E11" i="162"/>
  <c r="D11" i="162"/>
  <c r="C11" i="162"/>
  <c r="P10" i="162"/>
  <c r="N10" i="162"/>
  <c r="M10" i="162"/>
  <c r="L10" i="162"/>
  <c r="K10" i="162"/>
  <c r="J10" i="162"/>
  <c r="I10" i="162"/>
  <c r="H10" i="162"/>
  <c r="F10" i="162"/>
  <c r="E10" i="162"/>
  <c r="D10" i="162"/>
  <c r="C10" i="162"/>
  <c r="P9" i="162"/>
  <c r="N9" i="162"/>
  <c r="M9" i="162"/>
  <c r="L9" i="162"/>
  <c r="K9" i="162"/>
  <c r="J9" i="162"/>
  <c r="I9" i="162"/>
  <c r="H9" i="162"/>
  <c r="F9" i="162"/>
  <c r="E9" i="162"/>
  <c r="D9" i="162"/>
  <c r="C9" i="162"/>
  <c r="P8" i="162"/>
  <c r="N8" i="162"/>
  <c r="M8" i="162"/>
  <c r="L8" i="162"/>
  <c r="K8" i="162"/>
  <c r="J8" i="162"/>
  <c r="I8" i="162"/>
  <c r="H8" i="162"/>
  <c r="F8" i="162"/>
  <c r="E8" i="162"/>
  <c r="D8" i="162"/>
  <c r="C8" i="162"/>
  <c r="P7" i="162"/>
  <c r="N7" i="162"/>
  <c r="M7" i="162"/>
  <c r="L7" i="162"/>
  <c r="K7" i="162"/>
  <c r="J7" i="162"/>
  <c r="I7" i="162"/>
  <c r="H7" i="162"/>
  <c r="F7" i="162"/>
  <c r="E7" i="162"/>
  <c r="D7" i="162"/>
  <c r="C7" i="162"/>
  <c r="P6" i="162"/>
  <c r="N6" i="162"/>
  <c r="M6" i="162"/>
  <c r="L6" i="162"/>
  <c r="K6" i="162"/>
  <c r="J6" i="162"/>
  <c r="I6" i="162"/>
  <c r="H6" i="162"/>
  <c r="F6" i="162"/>
  <c r="E6" i="162"/>
  <c r="D6" i="162"/>
  <c r="C6" i="162"/>
  <c r="P5" i="162"/>
  <c r="N5" i="162"/>
  <c r="M5" i="162"/>
  <c r="L5" i="162"/>
  <c r="K5" i="162"/>
  <c r="J5" i="162"/>
  <c r="I5" i="162"/>
  <c r="H5" i="162"/>
  <c r="F5" i="162"/>
  <c r="E5" i="162"/>
  <c r="D5" i="162"/>
  <c r="C5" i="162"/>
  <c r="B22" i="157"/>
  <c r="F5" i="157"/>
  <c r="Q3" i="157"/>
  <c r="Q4" i="157"/>
  <c r="Q5" i="157"/>
  <c r="Q6" i="157"/>
  <c r="Q7" i="157"/>
  <c r="Q8" i="157"/>
  <c r="Q9" i="157"/>
  <c r="Q10" i="157"/>
  <c r="Q11" i="157"/>
  <c r="Q12" i="157"/>
  <c r="Q13" i="157"/>
  <c r="F6" i="157"/>
  <c r="A2" i="157"/>
  <c r="Q14" i="157"/>
  <c r="Q15" i="157"/>
  <c r="Q16" i="157"/>
  <c r="Q17" i="157"/>
  <c r="Q18" i="157"/>
  <c r="Q19" i="157"/>
  <c r="Q20" i="157"/>
  <c r="A39" i="157"/>
  <c r="R8" i="157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E31" i="157"/>
  <c r="E5" i="157"/>
  <c r="B31" i="157"/>
  <c r="G31" i="157"/>
  <c r="H31" i="157"/>
  <c r="E17" i="157"/>
  <c r="B10" i="157"/>
  <c r="E6" i="157"/>
  <c r="E18" i="157"/>
  <c r="B18" i="157"/>
  <c r="B17" i="157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E24" i="157"/>
  <c r="B5" i="157"/>
  <c r="B24" i="157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E19" i="157"/>
  <c r="B19" i="157"/>
  <c r="G19" i="157"/>
  <c r="H19" i="157"/>
  <c r="O51" i="158"/>
  <c r="E20" i="157"/>
  <c r="E23" i="157"/>
  <c r="B23" i="157"/>
  <c r="E28" i="157"/>
  <c r="B28" i="157"/>
  <c r="E29" i="157"/>
  <c r="B29" i="157"/>
  <c r="E30" i="157"/>
  <c r="B30" i="157"/>
  <c r="B21" i="157"/>
  <c r="B20" i="157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B27" i="157"/>
  <c r="G27" i="157"/>
  <c r="E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G22" i="157"/>
  <c r="H22" i="157"/>
  <c r="O262" i="158"/>
  <c r="O263" i="158"/>
  <c r="O264" i="158"/>
  <c r="O265" i="158"/>
  <c r="G30" i="157"/>
  <c r="H30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R3" i="157"/>
  <c r="R4" i="157"/>
  <c r="R5" i="157"/>
  <c r="R6" i="157"/>
  <c r="R7" i="157"/>
  <c r="P2" i="162"/>
  <c r="N2" i="162"/>
  <c r="M2" i="162"/>
  <c r="L2" i="162"/>
  <c r="K2" i="162"/>
  <c r="J2" i="162"/>
  <c r="I2" i="162"/>
  <c r="H2" i="162"/>
  <c r="F2" i="162"/>
  <c r="E2" i="162"/>
  <c r="D2" i="162"/>
  <c r="C2" i="162"/>
  <c r="I31" i="157"/>
  <c r="J31" i="157"/>
  <c r="F31" i="157"/>
  <c r="C31" i="157"/>
  <c r="J45" i="157"/>
  <c r="I3" i="162"/>
  <c r="D3" i="162"/>
  <c r="J3" i="162"/>
  <c r="E3" i="162"/>
  <c r="F3" i="162"/>
  <c r="C3" i="162"/>
  <c r="I4" i="162"/>
  <c r="D4" i="162"/>
  <c r="J4" i="162"/>
  <c r="E4" i="162"/>
  <c r="F4" i="162"/>
  <c r="C4" i="162"/>
  <c r="P4" i="162"/>
  <c r="N4" i="162"/>
  <c r="M4" i="162"/>
  <c r="L4" i="162"/>
  <c r="K4" i="162"/>
  <c r="H4" i="162"/>
  <c r="P3" i="162"/>
  <c r="N3" i="162"/>
  <c r="M3" i="162"/>
  <c r="L3" i="162"/>
  <c r="K3" i="162"/>
  <c r="H3" i="162"/>
  <c r="N353" i="158"/>
  <c r="M353" i="158"/>
  <c r="L353" i="158"/>
  <c r="K353" i="158"/>
  <c r="H353" i="158"/>
  <c r="N352" i="158"/>
  <c r="M352" i="158"/>
  <c r="L352" i="158"/>
  <c r="K352" i="158"/>
  <c r="H352" i="158"/>
  <c r="N355" i="158"/>
  <c r="M355" i="158"/>
  <c r="L355" i="158"/>
  <c r="K355" i="158"/>
  <c r="H355" i="158"/>
  <c r="N354" i="158"/>
  <c r="M354" i="158"/>
  <c r="L354" i="158"/>
  <c r="K354" i="158"/>
  <c r="H354" i="158"/>
  <c r="N351" i="158"/>
  <c r="M351" i="158"/>
  <c r="L351" i="158"/>
  <c r="K351" i="158"/>
  <c r="H351" i="158"/>
  <c r="A353" i="158"/>
  <c r="A352" i="158"/>
  <c r="A355" i="158"/>
  <c r="A354" i="158"/>
  <c r="A351" i="158"/>
  <c r="C5" i="103"/>
  <c r="E5" i="103"/>
  <c r="M11" i="157"/>
  <c r="M10" i="157"/>
  <c r="M9" i="157"/>
  <c r="M8" i="157"/>
  <c r="M7" i="157"/>
  <c r="M6" i="157"/>
  <c r="M5" i="157"/>
  <c r="M4" i="157"/>
  <c r="M3" i="157"/>
  <c r="E33" i="157"/>
  <c r="C29" i="157"/>
  <c r="C30" i="157"/>
  <c r="E34" i="157"/>
  <c r="C17" i="157"/>
  <c r="C18" i="157"/>
  <c r="C19" i="157"/>
  <c r="C20" i="157"/>
  <c r="E32" i="157"/>
  <c r="C21" i="157"/>
  <c r="C22" i="157"/>
  <c r="C23" i="157"/>
  <c r="C24" i="157"/>
  <c r="C25" i="157"/>
  <c r="C26" i="157"/>
  <c r="C27" i="157"/>
  <c r="C28" i="157"/>
  <c r="C32" i="157"/>
  <c r="C33" i="157"/>
  <c r="C34" i="157"/>
  <c r="H347" i="158"/>
  <c r="K347" i="158"/>
  <c r="L347" i="158"/>
  <c r="M347" i="158"/>
  <c r="N347" i="158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A347" i="158"/>
  <c r="A348" i="158"/>
  <c r="A349" i="158"/>
  <c r="A350" i="158"/>
  <c r="C2" i="103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C35" i="157"/>
  <c r="C4" i="103"/>
  <c r="E4" i="103"/>
  <c r="B46" i="157"/>
  <c r="B49" i="157"/>
  <c r="P20" i="157"/>
  <c r="O20" i="157"/>
  <c r="M20" i="157"/>
  <c r="P19" i="157"/>
  <c r="O19" i="157"/>
  <c r="M19" i="157"/>
  <c r="P18" i="157"/>
  <c r="O18" i="157"/>
  <c r="M18" i="157"/>
  <c r="P17" i="157"/>
  <c r="O17" i="157"/>
  <c r="M17" i="157"/>
  <c r="V16" i="157"/>
  <c r="P16" i="157"/>
  <c r="O16" i="157"/>
  <c r="M16" i="157"/>
  <c r="V15" i="157"/>
  <c r="P15" i="157"/>
  <c r="O15" i="157"/>
  <c r="M15" i="157"/>
  <c r="V14" i="157"/>
  <c r="P14" i="157"/>
  <c r="O14" i="157"/>
  <c r="M14" i="157"/>
  <c r="V13" i="157"/>
  <c r="P13" i="157"/>
  <c r="O13" i="157"/>
  <c r="M13" i="157"/>
  <c r="V12" i="157"/>
  <c r="P12" i="157"/>
  <c r="O12" i="157"/>
  <c r="M12" i="157"/>
  <c r="V11" i="157"/>
  <c r="P11" i="157"/>
  <c r="O11" i="157"/>
  <c r="V10" i="157"/>
  <c r="P10" i="157"/>
  <c r="O10" i="157"/>
  <c r="V9" i="157"/>
  <c r="P9" i="157"/>
  <c r="O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C6" i="103"/>
  <c r="E6" i="103"/>
  <c r="C7" i="103"/>
  <c r="E7" i="103"/>
  <c r="E2" i="103"/>
  <c r="C8" i="103"/>
  <c r="E8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1" i="103"/>
  <c r="E10" i="103"/>
  <c r="E9" i="103"/>
  <c r="E3" i="103"/>
  <c r="R11" i="157"/>
  <c r="R12" i="157"/>
  <c r="R13" i="157"/>
  <c r="R14" i="157"/>
  <c r="R15" i="157"/>
  <c r="R16" i="157"/>
  <c r="D17" i="157"/>
  <c r="F17" i="157"/>
  <c r="I17" i="157"/>
  <c r="J17" i="157"/>
  <c r="R17" i="157"/>
  <c r="D18" i="157"/>
  <c r="F18" i="157"/>
  <c r="I18" i="157"/>
  <c r="J18" i="157"/>
  <c r="R18" i="157"/>
  <c r="D19" i="157"/>
  <c r="F19" i="157"/>
  <c r="I19" i="157"/>
  <c r="J19" i="157"/>
  <c r="R19" i="157"/>
  <c r="D20" i="157"/>
  <c r="F20" i="157"/>
  <c r="I20" i="157"/>
  <c r="J20" i="157"/>
  <c r="R20" i="157"/>
  <c r="D21" i="157"/>
  <c r="F21" i="157"/>
  <c r="I21" i="157"/>
  <c r="J21" i="157"/>
  <c r="D22" i="157"/>
  <c r="F22" i="157"/>
  <c r="I22" i="157"/>
  <c r="J22" i="157"/>
  <c r="D23" i="157"/>
  <c r="F23" i="157"/>
  <c r="I23" i="157"/>
  <c r="J23" i="157"/>
  <c r="D24" i="157"/>
  <c r="F24" i="157"/>
  <c r="I24" i="157"/>
  <c r="J24" i="157"/>
  <c r="D25" i="157"/>
  <c r="F25" i="157"/>
  <c r="I25" i="157"/>
  <c r="J25" i="157"/>
  <c r="D26" i="157"/>
  <c r="F26" i="157"/>
  <c r="I26" i="157"/>
  <c r="J26" i="157"/>
  <c r="D27" i="157"/>
  <c r="F27" i="157"/>
  <c r="I27" i="157"/>
  <c r="J27" i="157"/>
  <c r="D28" i="157"/>
  <c r="F28" i="157"/>
  <c r="I28" i="157"/>
  <c r="J28" i="157"/>
  <c r="B32" i="157"/>
  <c r="D32" i="157"/>
  <c r="B33" i="157"/>
  <c r="D33" i="157"/>
  <c r="F33" i="157"/>
  <c r="G33" i="157"/>
  <c r="H33" i="157"/>
  <c r="I33" i="157"/>
  <c r="J33" i="157"/>
  <c r="B34" i="157"/>
  <c r="D34" i="157"/>
  <c r="F34" i="157"/>
  <c r="G34" i="157"/>
  <c r="H34" i="157"/>
  <c r="I34" i="157"/>
  <c r="J34" i="157"/>
  <c r="B35" i="157"/>
  <c r="D35" i="157"/>
  <c r="F43" i="157"/>
  <c r="G43" i="157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F48" i="157"/>
  <c r="F49" i="157"/>
  <c r="B43" i="157"/>
  <c r="B44" i="157"/>
  <c r="B45" i="157"/>
  <c r="B47" i="157"/>
  <c r="B48" i="157"/>
  <c r="B50" i="157"/>
  <c r="C43" i="157"/>
  <c r="C44" i="157"/>
  <c r="C45" i="157"/>
  <c r="C46" i="157"/>
  <c r="C47" i="157"/>
  <c r="C48" i="157"/>
  <c r="C49" i="157"/>
  <c r="C50" i="157"/>
  <c r="F50" i="157"/>
  <c r="R10" i="157"/>
  <c r="R9" i="157"/>
  <c r="F44" i="157"/>
  <c r="G44" i="157"/>
  <c r="G32" i="157"/>
  <c r="H32" i="157"/>
  <c r="I32" i="157"/>
  <c r="J32" i="157"/>
  <c r="F32" i="157"/>
  <c r="I30" i="157"/>
  <c r="J30" i="157"/>
  <c r="F30" i="157"/>
  <c r="G29" i="157"/>
  <c r="H29" i="157"/>
  <c r="I29" i="157"/>
  <c r="J29" i="157"/>
  <c r="F29" i="157"/>
  <c r="F51" i="157"/>
  <c r="F52" i="157"/>
  <c r="F45" i="157"/>
  <c r="G45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<sst xmlns="http://schemas.openxmlformats.org/spreadsheetml/2006/main" count="420" uniqueCount="243">
  <si>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</si>
  <si>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</si>
  <si>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</si>
  <si>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</si>
  <si>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</si>
  <si>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</si>
  <si>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</si>
  <si>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</si>
  <si>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</si>
  <si>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</si>
  <si>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</si>
  <si>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</si>
  <si>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</si>
  <si>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</si>
  <si>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</si>
  <si>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</si>
  <si>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</si>
  <si>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</si>
  <si>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</si>
  <si>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</si>
  <si>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</si>
  <si>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</si>
  <si>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</si>
  <si>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</si>
  <si>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</si>
  <si>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</si>
  <si>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</si>
  <si>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</si>
  <si>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</si>
  <si>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</si>
  <si>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</si>
  <si>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</si>
  <si>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</si>
  <si>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</si>
  <si>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</si>
  <si>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</si>
  <si>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</si>
  <si>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</si>
  <si>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</si>
  <si>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</si>
  <si>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</si>
  <si>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</si>
  <si>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</si>
  <si>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</si>
  <si>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</si>
  <si>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</si>
  <si>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</si>
  <si>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</si>
  <si>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</si>
  <si>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</si>
  <si>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</si>
  <si>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</si>
  <si>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</si>
  <si>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</si>
  <si>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</si>
  <si>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</si>
  <si>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</si>
  <si>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</si>
  <si>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</si>
  <si>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</si>
  <si>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</si>
  <si>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</si>
  <si>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</si>
  <si>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</si>
  <si>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</si>
  <si>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</si>
  <si>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</si>
  <si>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</si>
  <si>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</si>
  <si>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</si>
  <si>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</si>
  <si>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</si>
  <si>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</si>
  <si>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</si>
  <si>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</si>
  <si>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</si>
  <si>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</si>
  <si>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</si>
  <si>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</si>
  <si>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</si>
  <si>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</si>
  <si>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</si>
  <si>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</si>
  <si>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</si>
  <si>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</si>
  <si>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</si>
  <si>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</si>
  <si>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</si>
  <si>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</si>
  <si>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</si>
  <si>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</si>
  <si>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</si>
  <si>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</si>
  <si>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</si>
  <si>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</si>
  <si>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</si>
  <si>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</si>
  <si>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</si>
  <si>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</si>
  <si>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</si>
  <si>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</si>
  <si>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</si>
  <si>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</si>
  <si>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</si>
  <si>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</si>
  <si>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</si>
  <si>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</si>
  <si>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</si>
  <si>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</si>
  <si>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</si>
  <si>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</si>
  <si>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</si>
  <si>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</si>
  <si>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</si>
  <si>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</si>
  <si>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</si>
  <si>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</si>
  <si>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</si>
  <si>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</si>
  <si>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</si>
  <si>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</si>
  <si>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</si>
  <si>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</si>
  <si>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</si>
  <si>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</si>
  <si>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</si>
  <si>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</si>
  <si>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</si>
  <si>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</si>
  <si>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</si>
  <si>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</si>
  <si>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</si>
  <si>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</si>
  <si>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</si>
  <si>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</si>
  <si>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</si>
  <si>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</si>
  <si>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</si>
  <si>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</si>
  <si>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</si>
  <si>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</si>
  <si>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</si>
  <si>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</si>
  <si>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</si>
  <si>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</si>
  <si>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</si>
  <si>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</si>
  <si>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</si>
  <si>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</si>
  <si>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</si>
  <si>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</si>
  <si>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</si>
  <si>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</si>
  <si>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</si>
  <si>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</si>
  <si>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</si>
  <si>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</si>
  <si>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</si>
  <si>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</si>
  <si>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</si>
  <si>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</si>
  <si>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</si>
  <si>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</si>
  <si>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</si>
  <si>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</si>
  <si>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</si>
  <si>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</si>
  <si>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</si>
  <si>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</si>
  <si>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</si>
  <si>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</si>
  <si>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</si>
  <si>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</si>
  <si>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</si>
  <si>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</si>
  <si>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</si>
  <si>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</si>
  <si>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</si>
  <si>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</si>
  <si>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</si>
  <si>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</si>
  <si>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</si>
  <si>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</si>
  <si>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</si>
  <si>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</si>
  <si>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</si>
  <si>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</si>
  <si>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</si>
  <si>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</si>
  <si>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</si>
  <si>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</si>
  <si>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</si>
  <si>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</si>
  <si>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</si>
  <si>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</si>
  <si>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</si>
  <si>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</si>
  <si>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</si>
  <si>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</si>
  <si>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</si>
  <si>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</si>
  <si>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</si>
  <si>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</si>
  <si>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</si>
  <si>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</si>
  <si>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</si>
  <si>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</si>
  <si>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</si>
  <si>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</si>
  <si>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</si>
  <si>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</si>
  <si>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</si>
  <si>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</si>
  <si>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</si>
  <si>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</si>
  <si>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</si>
  <si>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</si>
  <si>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</si>
  <si>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</si>
  <si>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</si>
  <si>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</si>
  <si>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</si>
  <si>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</si>
  <si>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</si>
  <si>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</si>
  <si>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</si>
  <si>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</si>
  <si>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</si>
  <si>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</si>
  <si>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</si>
  <si>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</si>
  <si>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</si>
  <si>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</si>
  <si>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</si>
  <si>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old</t>
    <phoneticPr fontId="21"/>
  </si>
  <si>
    <t>通常確率</t>
    <rPh sb="0" eb="4">
      <t>ツウジョ</t>
    </rPh>
    <phoneticPr fontId="21"/>
  </si>
  <si>
    <t>PremiumSSS6R3less</t>
    <phoneticPr fontId="21"/>
  </si>
  <si>
    <t>PremiumSS6R5only</t>
    <phoneticPr fontId="21"/>
  </si>
  <si>
    <t>tables_settle_544105</t>
    <phoneticPr fontId="21"/>
  </si>
  <si>
    <t>tables_544100</t>
    <phoneticPr fontId="21"/>
  </si>
  <si>
    <t>PremiumSS4R5only</t>
    <phoneticPr fontId="21"/>
  </si>
  <si>
    <t>tables_settle_547100</t>
    <phoneticPr fontId="21"/>
  </si>
  <si>
    <t>tables_547100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</si>
</sst>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5" formatCode="0.00000"/>
    <numFmt numFmtId="188" formatCode="0.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9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97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1" borderId="1" xfId="2978" applyFont="1" applyFill="1" applyBorder="1"/>
    <xf numFmtId="0" fontId="14" fillId="21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1" borderId="1" xfId="0" applyFont="1" applyFill="1" applyBorder="1"/>
    <xf numFmtId="0" fontId="53" fillId="22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4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29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0" borderId="1" xfId="0" applyNumberFormat="1" applyFont="1" applyFill="1" applyBorder="1"/>
    <xf numFmtId="0" fontId="26" fillId="24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6" fillId="0" borderId="1" xfId="3036" applyFont="1" applyBorder="1"/>
    <xf numFmtId="0" fontId="25" fillId="24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27" fillId="24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6" fillId="0" borderId="0" xfId="2" applyFont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  <xf numFmtId="0" fontId="26" fillId="0" borderId="0" xfId="2" applyFont="1" applyFill="1" applyAlignment="1">
      <alignment vertical="center"/>
    </xf>
    <xf numFmtId="180" fontId="0" fillId="4" borderId="1" xfId="0" applyNumberFormat="1" applyFill="1" applyBorder="1"/>
    <xf numFmtId="185" fontId="0" fillId="0" borderId="0" xfId="0" applyNumberFormat="1"/>
    <xf numFmtId="188" fontId="0" fillId="27" borderId="1" xfId="0" applyNumberFormat="1" applyFill="1" applyBorder="1"/>
    <xf numFmtId="188" fontId="0" fillId="27" borderId="1" xfId="3575" applyNumberFormat="1" applyFont="1" applyFill="1" applyBorder="1"/>
    <xf numFmtId="0" fontId="1" fillId="4" borderId="1" xfId="2978" applyFont="1" applyFill="1" applyBorder="1"/>
  </cellXfs>
  <cellStyles count="3669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  <cell r="K1405" t="str">
            <v>balance</v>
          </cell>
          <cell r="L1405" t="str">
            <v>バランスタイプ</v>
          </cell>
          <cell r="M1405" t="str">
            <v>god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  <cell r="K1407" t="str">
            <v>attack</v>
          </cell>
          <cell r="L1407" t="str">
            <v>攻撃タイプ</v>
          </cell>
          <cell r="M1407" t="str">
            <v>human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  <cell r="K1408" t="str">
            <v>attack</v>
          </cell>
          <cell r="L1408" t="str">
            <v>攻撃タイプ</v>
          </cell>
          <cell r="M1408" t="str">
            <v>human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technical</v>
          </cell>
          <cell r="L1411" t="str">
            <v>テクニカルタイプ</v>
          </cell>
          <cell r="M1411" t="str">
            <v>human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  <cell r="K1412" t="str">
            <v>technical</v>
          </cell>
          <cell r="L1412" t="str">
            <v>テクニカルタイプ</v>
          </cell>
          <cell r="M1412" t="str">
            <v>human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hp</v>
          </cell>
          <cell r="L1413" t="str">
            <v>体力タイプ</v>
          </cell>
          <cell r="M1413" t="str">
            <v>human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  <cell r="K1414" t="str">
            <v>hp</v>
          </cell>
          <cell r="L1414" t="str">
            <v>体力タイプ</v>
          </cell>
          <cell r="M1414" t="str">
            <v>human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  <cell r="K1415" t="str">
            <v>attack</v>
          </cell>
          <cell r="L1415" t="str">
            <v>攻撃タイプ</v>
          </cell>
          <cell r="M1415" t="str">
            <v>human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  <cell r="K1416" t="str">
            <v>attack</v>
          </cell>
          <cell r="L1416" t="str">
            <v>攻撃タイプ</v>
          </cell>
          <cell r="M1416" t="str">
            <v>human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  <cell r="K1417" t="str">
            <v>attack</v>
          </cell>
          <cell r="L1417" t="str">
            <v>攻撃タイプ</v>
          </cell>
          <cell r="M1417" t="str">
            <v>unknown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  <cell r="K1421" t="str">
            <v>attack</v>
          </cell>
          <cell r="L1421" t="str">
            <v>攻撃タイプ</v>
          </cell>
          <cell r="M1421" t="str">
            <v>academia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  <cell r="K1423" t="str">
            <v>hp</v>
          </cell>
          <cell r="L1423" t="str">
            <v>体力タイプ</v>
          </cell>
          <cell r="M1423" t="str">
            <v>unknown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  <cell r="K1425" t="str">
            <v>technical</v>
          </cell>
          <cell r="L1425" t="str">
            <v>テクニカルタイプ</v>
          </cell>
          <cell r="M1425" t="str">
            <v>unknown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  <cell r="K1427" t="str">
            <v>hp</v>
          </cell>
          <cell r="L1427" t="str">
            <v>体力タイプ</v>
          </cell>
          <cell r="M1427" t="str">
            <v>god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  <cell r="K1429" t="str">
            <v>balance</v>
          </cell>
          <cell r="L1429" t="str">
            <v>バランスタイプ</v>
          </cell>
          <cell r="M1429" t="str">
            <v>god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  <cell r="K1430" t="str">
            <v>balance</v>
          </cell>
          <cell r="L1430" t="str">
            <v>バランスタイプ</v>
          </cell>
          <cell r="M1430" t="str">
            <v>god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  <cell r="K1431" t="str">
            <v>coin</v>
          </cell>
          <cell r="L1431" t="str">
            <v>コインタイプ</v>
          </cell>
          <cell r="M1431" t="str">
            <v>unknown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  <cell r="K1432" t="str">
            <v>coin</v>
          </cell>
          <cell r="L1432" t="str">
            <v>コインタイプ</v>
          </cell>
          <cell r="M1432" t="str">
            <v>unknown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  <cell r="K1435" t="str">
            <v>exp</v>
          </cell>
          <cell r="L1435" t="str">
            <v>強化素材タイプ</v>
          </cell>
          <cell r="M1435" t="str">
            <v>unknown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  <cell r="K1436" t="str">
            <v>exp</v>
          </cell>
          <cell r="L1436" t="str">
            <v>強化素材タイプ</v>
          </cell>
          <cell r="M1436" t="str">
            <v>unknown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  <cell r="K1437" t="str">
            <v>exp</v>
          </cell>
          <cell r="L1437" t="str">
            <v>強化素材タイプ</v>
          </cell>
          <cell r="M1437" t="str">
            <v>unknown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  <cell r="K1438" t="str">
            <v>exp</v>
          </cell>
          <cell r="L1438" t="str">
            <v>強化素材タイプ</v>
          </cell>
          <cell r="M1438" t="str">
            <v>unknown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  <cell r="K1439" t="str">
            <v>exp</v>
          </cell>
          <cell r="L1439" t="str">
            <v>強化素材タイプ</v>
          </cell>
          <cell r="M1439" t="str">
            <v>unknown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  <cell r="K1440" t="str">
            <v>exp</v>
          </cell>
          <cell r="L1440" t="str">
            <v>強化素材タイプ</v>
          </cell>
          <cell r="M1440" t="str">
            <v>unknown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technical</v>
          </cell>
          <cell r="L1441" t="str">
            <v>テクニカルタイプ</v>
          </cell>
          <cell r="M1441" t="str">
            <v>animal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technical</v>
          </cell>
          <cell r="L1442" t="str">
            <v>テクニカルタイプ</v>
          </cell>
          <cell r="M1442" t="str">
            <v>animal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  <cell r="K1443" t="str">
            <v>attack</v>
          </cell>
          <cell r="L1443" t="str">
            <v>攻撃タイプ</v>
          </cell>
          <cell r="M1443" t="str">
            <v>animal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  <cell r="K1444" t="str">
            <v>attack</v>
          </cell>
          <cell r="L1444" t="str">
            <v>攻撃タイプ</v>
          </cell>
          <cell r="M1444" t="str">
            <v>animal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  <cell r="K1447" t="str">
            <v>balance</v>
          </cell>
          <cell r="L1447" t="str">
            <v>バランスタイプ</v>
          </cell>
          <cell r="M1447" t="str">
            <v>unknown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unknown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  <cell r="K1455" t="str">
            <v>attack</v>
          </cell>
          <cell r="L1455" t="str">
            <v>攻撃タイプ</v>
          </cell>
          <cell r="M1455" t="str">
            <v>unknown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  <cell r="K1456" t="str">
            <v>attack</v>
          </cell>
          <cell r="L1456" t="str">
            <v>攻撃タイプ</v>
          </cell>
          <cell r="M1456" t="str">
            <v>unknown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  <cell r="K1457" t="str">
            <v>attack</v>
          </cell>
          <cell r="L1457" t="str">
            <v>攻撃タイプ</v>
          </cell>
          <cell r="M1457" t="str">
            <v>god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  <cell r="K1458" t="str">
            <v>attack</v>
          </cell>
          <cell r="L1458" t="str">
            <v>攻撃タイプ</v>
          </cell>
          <cell r="M1458" t="str">
            <v>god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  <cell r="K1459" t="str">
            <v>technical</v>
          </cell>
          <cell r="L1459" t="str">
            <v>テクニカルタイプ</v>
          </cell>
          <cell r="M1459" t="str">
            <v>god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  <cell r="K1460" t="str">
            <v>technical</v>
          </cell>
          <cell r="L1460" t="str">
            <v>テクニカルタイプ</v>
          </cell>
          <cell r="M1460" t="str">
            <v>god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blue</v>
          </cell>
          <cell r="I1461">
            <v>6</v>
          </cell>
          <cell r="J1461" t="str">
            <v>PremiumSS</v>
          </cell>
          <cell r="K1461" t="str">
            <v>balance</v>
          </cell>
          <cell r="L1461" t="str">
            <v>バランスタイプ</v>
          </cell>
          <cell r="M1461" t="str">
            <v>hero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blue</v>
          </cell>
          <cell r="I1462">
            <v>6</v>
          </cell>
          <cell r="J1462" t="str">
            <v>PremiumSS</v>
          </cell>
          <cell r="K1462" t="str">
            <v>balance</v>
          </cell>
          <cell r="L1462" t="str">
            <v>バランスタイプ</v>
          </cell>
          <cell r="M1462" t="str">
            <v>hero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  <cell r="K1463" t="str">
            <v>hp</v>
          </cell>
          <cell r="L1463" t="str">
            <v>体力タイプ</v>
          </cell>
          <cell r="M1463" t="str">
            <v>unknown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  <cell r="K1464" t="str">
            <v>hp</v>
          </cell>
          <cell r="L1464" t="str">
            <v>体力タイプ</v>
          </cell>
          <cell r="M1464" t="str">
            <v>unknown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  <cell r="K1465" t="str">
            <v>hp</v>
          </cell>
          <cell r="L1465" t="str">
            <v>体力タイプ</v>
          </cell>
          <cell r="M1465" t="str">
            <v>animal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  <cell r="K1466" t="str">
            <v>hp</v>
          </cell>
          <cell r="L1466" t="str">
            <v>体力タイプ</v>
          </cell>
          <cell r="M1466" t="str">
            <v>animal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  <cell r="K1467" t="str">
            <v>balance</v>
          </cell>
          <cell r="L1467" t="str">
            <v>バランスタイプ</v>
          </cell>
          <cell r="M1467" t="str">
            <v>unknown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  <cell r="K1468" t="str">
            <v>balance</v>
          </cell>
          <cell r="L1468" t="str">
            <v>バランスタイプ</v>
          </cell>
          <cell r="M1468" t="str">
            <v>unknown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  <cell r="K1471" t="str">
            <v>technical</v>
          </cell>
          <cell r="L1471" t="str">
            <v>テクニカルタイプ</v>
          </cell>
          <cell r="M1471" t="str">
            <v>animal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  <cell r="K1472" t="str">
            <v>technical</v>
          </cell>
          <cell r="L1472" t="str">
            <v>テクニカルタイプ</v>
          </cell>
          <cell r="M1472" t="str">
            <v>animal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  <cell r="K1473" t="str">
            <v>balance</v>
          </cell>
          <cell r="L1473" t="str">
            <v>バランスタイプ</v>
          </cell>
          <cell r="M1473" t="str">
            <v>demon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  <cell r="K1474" t="str">
            <v>balance</v>
          </cell>
          <cell r="L1474" t="str">
            <v>バランスタイプ</v>
          </cell>
          <cell r="M1474" t="str">
            <v>demon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technical</v>
          </cell>
          <cell r="L1475" t="str">
            <v>テクニカルタイプ</v>
          </cell>
          <cell r="M1475" t="str">
            <v>human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  <cell r="K1476" t="str">
            <v>technical</v>
          </cell>
          <cell r="L1476" t="str">
            <v>テクニカルタイプ</v>
          </cell>
          <cell r="M1476" t="str">
            <v>human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ra</v>
          </cell>
          <cell r="L1477" t="str">
            <v>ラグランジュチャレンジ</v>
          </cell>
          <cell r="M1477" t="str">
            <v>unknown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  <cell r="K1478" t="str">
            <v>ra</v>
          </cell>
          <cell r="L1478" t="str">
            <v>ラグランジュチャレンジ</v>
          </cell>
          <cell r="M1478" t="str">
            <v>human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  <cell r="K1479" t="str">
            <v>ra</v>
          </cell>
          <cell r="L1479" t="str">
            <v>ラグランジュチャレンジ</v>
          </cell>
          <cell r="M1479" t="str">
            <v>animal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  <cell r="K1480" t="str">
            <v>ra</v>
          </cell>
          <cell r="L1480" t="str">
            <v>ラグランジュチャレンジ</v>
          </cell>
          <cell r="M1480" t="str">
            <v>animal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  <cell r="K1481" t="str">
            <v>ra</v>
          </cell>
          <cell r="L1481" t="str">
            <v>ラグランジュチャレンジ</v>
          </cell>
          <cell r="M1481" t="str">
            <v>god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  <cell r="K1482" t="str">
            <v>ra</v>
          </cell>
          <cell r="L1482" t="str">
            <v>ラグランジュチャレンジ</v>
          </cell>
          <cell r="M1482" t="str">
            <v>god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  <cell r="K1483" t="str">
            <v>ra</v>
          </cell>
          <cell r="L1483" t="str">
            <v>ラグランジュチャレンジ</v>
          </cell>
          <cell r="M1483" t="str">
            <v>animal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  <cell r="K1484" t="str">
            <v>ra</v>
          </cell>
          <cell r="L1484" t="str">
            <v>ラグランジュチャレンジ</v>
          </cell>
          <cell r="M1484" t="str">
            <v>god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ra</v>
          </cell>
          <cell r="L1485" t="str">
            <v>ラグランジュチャレンジ</v>
          </cell>
          <cell r="M1485" t="str">
            <v>human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  <cell r="K1487" t="str">
            <v>ra002</v>
          </cell>
          <cell r="L1487" t="str">
            <v>ユークリッドチャレンジ</v>
          </cell>
          <cell r="M1487" t="str">
            <v>unknown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  <cell r="K1489" t="str">
            <v>ra002</v>
          </cell>
          <cell r="L1489" t="str">
            <v>ユークリッドチャレンジ</v>
          </cell>
          <cell r="M1489" t="str">
            <v>machine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  <cell r="K1490" t="str">
            <v>ra002</v>
          </cell>
          <cell r="L1490" t="str">
            <v>ユークリッドチャレンジ</v>
          </cell>
          <cell r="M1490" t="str">
            <v>animal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  <cell r="K1491" t="str">
            <v>ra002</v>
          </cell>
          <cell r="L1491" t="str">
            <v>ユークリッドチャレンジ</v>
          </cell>
          <cell r="M1491" t="str">
            <v>animal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  <cell r="K1492" t="str">
            <v>ra002</v>
          </cell>
          <cell r="L1492" t="str">
            <v>ユークリッドチャレンジ</v>
          </cell>
          <cell r="M1492" t="str">
            <v>human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  <cell r="K1493" t="str">
            <v>ra002</v>
          </cell>
          <cell r="L1493" t="str">
            <v>ユークリッドチャレンジ</v>
          </cell>
          <cell r="M1493" t="str">
            <v>human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  <cell r="K1494" t="str">
            <v>ra002</v>
          </cell>
          <cell r="L1494" t="str">
            <v>ユークリッドチャレンジ</v>
          </cell>
          <cell r="M1494" t="str">
            <v>animal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  <cell r="K1495" t="str">
            <v>ra002</v>
          </cell>
          <cell r="L1495" t="str">
            <v>ユークリッドチャレンジ</v>
          </cell>
          <cell r="M1495" t="str">
            <v>animal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  <cell r="K1496" t="str">
            <v>ra002</v>
          </cell>
          <cell r="L1496" t="str">
            <v>ユークリッドチャレンジ</v>
          </cell>
          <cell r="M1496" t="str">
            <v>dragon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  <cell r="K1497" t="str">
            <v>attack</v>
          </cell>
          <cell r="L1497" t="str">
            <v>攻撃タイプ</v>
          </cell>
          <cell r="M1497" t="str">
            <v>god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  <cell r="K1498" t="str">
            <v>attack</v>
          </cell>
          <cell r="L1498" t="str">
            <v>攻撃タイプ</v>
          </cell>
          <cell r="M1498" t="str">
            <v>god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  <cell r="K1499" t="str">
            <v>hp</v>
          </cell>
          <cell r="L1499" t="str">
            <v>体力タイプ</v>
          </cell>
          <cell r="M1499" t="str">
            <v>dragon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  <cell r="K1500" t="str">
            <v>hp</v>
          </cell>
          <cell r="L1500" t="str">
            <v>体力タイプ</v>
          </cell>
          <cell r="M1500" t="str">
            <v>dragon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  <cell r="K1501" t="str">
            <v>balance</v>
          </cell>
          <cell r="L1501" t="str">
            <v>バランスタイプ</v>
          </cell>
          <cell r="M1501" t="str">
            <v>human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  <cell r="K1502" t="str">
            <v>balance</v>
          </cell>
          <cell r="L1502" t="str">
            <v>バランスタイプ</v>
          </cell>
          <cell r="M1502" t="str">
            <v>human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  <cell r="K1503" t="str">
            <v>attack</v>
          </cell>
          <cell r="L1503" t="str">
            <v>攻撃タイプ</v>
          </cell>
          <cell r="M1503" t="str">
            <v>animal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  <cell r="K1504" t="str">
            <v>attack</v>
          </cell>
          <cell r="L1504" t="str">
            <v>攻撃タイプ</v>
          </cell>
          <cell r="M1504" t="str">
            <v>animal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god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god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  <cell r="K1511" t="str">
            <v>technical</v>
          </cell>
          <cell r="L1511" t="str">
            <v>テクニカルタイプ</v>
          </cell>
          <cell r="M1511" t="str">
            <v>unknown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  <cell r="K1512" t="str">
            <v>technical</v>
          </cell>
          <cell r="L1512" t="str">
            <v>テクニカルタイプ</v>
          </cell>
          <cell r="M1512" t="str">
            <v>unknown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  <cell r="K1513" t="str">
            <v>balance</v>
          </cell>
          <cell r="L1513" t="str">
            <v>バランスタイプ</v>
          </cell>
          <cell r="M1513" t="str">
            <v>unknown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  <cell r="K1514" t="str">
            <v>balance</v>
          </cell>
          <cell r="L1514" t="str">
            <v>バランスタイプ</v>
          </cell>
          <cell r="M1514" t="str">
            <v>unknown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unknown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unknown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  <cell r="K1517" t="str">
            <v>heal</v>
          </cell>
          <cell r="L1517" t="str">
            <v>回復タイプ</v>
          </cell>
          <cell r="M1517" t="str">
            <v>unknown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  <cell r="K1518" t="str">
            <v>heal</v>
          </cell>
          <cell r="L1518" t="str">
            <v>回復タイプ</v>
          </cell>
          <cell r="M1518" t="str">
            <v>unknown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  <cell r="K1519" t="str">
            <v>attack</v>
          </cell>
          <cell r="L1519" t="str">
            <v>攻撃タイプ</v>
          </cell>
          <cell r="M1519" t="str">
            <v>unknown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  <cell r="K1520" t="str">
            <v>attack</v>
          </cell>
          <cell r="L1520" t="str">
            <v>攻撃タイプ</v>
          </cell>
          <cell r="M1520" t="str">
            <v>unknown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  <cell r="K1521" t="str">
            <v>hp</v>
          </cell>
          <cell r="L1521" t="str">
            <v>体力タイプ</v>
          </cell>
          <cell r="M1521" t="str">
            <v>unknown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  <cell r="K1522" t="str">
            <v>hp</v>
          </cell>
          <cell r="L1522" t="str">
            <v>体力タイプ</v>
          </cell>
          <cell r="M1522" t="str">
            <v>unknown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  <cell r="K1523" t="str">
            <v>technical</v>
          </cell>
          <cell r="L1523" t="str">
            <v>テクニカルタイプ</v>
          </cell>
          <cell r="M1523" t="str">
            <v>unknown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  <cell r="K1524" t="str">
            <v>technical</v>
          </cell>
          <cell r="L1524" t="str">
            <v>テクニカルタイプ</v>
          </cell>
          <cell r="M1524" t="str">
            <v>unknown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  <cell r="K1527" t="str">
            <v>balance</v>
          </cell>
          <cell r="L1527" t="str">
            <v>バランスタイプ</v>
          </cell>
          <cell r="M1527" t="str">
            <v>god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  <cell r="K1528" t="str">
            <v>balance</v>
          </cell>
          <cell r="L1528" t="str">
            <v>バランスタイプ</v>
          </cell>
          <cell r="M1528" t="str">
            <v>god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  <cell r="K1529" t="str">
            <v>attack</v>
          </cell>
          <cell r="L1529" t="str">
            <v>攻撃タイプ</v>
          </cell>
          <cell r="M1529" t="str">
            <v>god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  <cell r="K1530" t="str">
            <v>attack</v>
          </cell>
          <cell r="L1530" t="str">
            <v>攻撃タイプ</v>
          </cell>
          <cell r="M1530" t="str">
            <v>god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  <cell r="K1535" t="str">
            <v>hp</v>
          </cell>
          <cell r="L1535" t="str">
            <v>体力タイプ</v>
          </cell>
          <cell r="M1535" t="str">
            <v>god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  <cell r="K1536" t="str">
            <v>hp</v>
          </cell>
          <cell r="L1536" t="str">
            <v>体力タイプ</v>
          </cell>
          <cell r="M1536" t="str">
            <v>god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god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god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  <cell r="K1539" t="str">
            <v>technical</v>
          </cell>
          <cell r="L1539" t="str">
            <v>テクニカルタイプ</v>
          </cell>
          <cell r="M1539" t="str">
            <v>ss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  <cell r="K1540" t="str">
            <v>technical</v>
          </cell>
          <cell r="L1540" t="str">
            <v>テクニカルタイプ</v>
          </cell>
          <cell r="M1540" t="str">
            <v>ss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  <cell r="K1541" t="str">
            <v>technical</v>
          </cell>
          <cell r="L1541" t="str">
            <v>テクニカルタイプ</v>
          </cell>
          <cell r="M1541" t="str">
            <v>ss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  <cell r="K1542" t="str">
            <v>technical</v>
          </cell>
          <cell r="L1542" t="str">
            <v>テクニカルタイプ</v>
          </cell>
          <cell r="M1542" t="str">
            <v>ss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  <cell r="K1545" t="str">
            <v>hp</v>
          </cell>
          <cell r="L1545" t="str">
            <v>体力タイプ</v>
          </cell>
          <cell r="M1545" t="str">
            <v>ss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  <cell r="K1546" t="str">
            <v>hp</v>
          </cell>
          <cell r="L1546" t="str">
            <v>体力タイプ</v>
          </cell>
          <cell r="M1546" t="str">
            <v>ss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  <cell r="K1547" t="str">
            <v>evolution</v>
          </cell>
          <cell r="L1547" t="str">
            <v>覚醒素材タイプ</v>
          </cell>
          <cell r="M1547" t="str">
            <v>ss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  <cell r="K1548" t="str">
            <v>evolution</v>
          </cell>
          <cell r="L1548" t="str">
            <v>覚醒素材タイプ</v>
          </cell>
          <cell r="M1548" t="str">
            <v>ss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  <cell r="K1549" t="str">
            <v>balance</v>
          </cell>
          <cell r="L1549" t="str">
            <v>バランスタイプ</v>
          </cell>
          <cell r="M1549" t="str">
            <v>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  <cell r="K1550" t="str">
            <v>balance</v>
          </cell>
          <cell r="L1550" t="str">
            <v>バランスタイプ</v>
          </cell>
          <cell r="M1550" t="str">
            <v>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  <cell r="K1551" t="str">
            <v>attack</v>
          </cell>
          <cell r="L1551" t="str">
            <v>攻撃タイプ</v>
          </cell>
          <cell r="M1551" t="str">
            <v>ss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  <cell r="K1552" t="str">
            <v>attack</v>
          </cell>
          <cell r="L1552" t="str">
            <v>攻撃タイプ</v>
          </cell>
          <cell r="M1552" t="str">
            <v>ss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  <cell r="K1553" t="str">
            <v>balance</v>
          </cell>
          <cell r="L1553" t="str">
            <v>バランスタイプ</v>
          </cell>
          <cell r="M1553" t="str">
            <v>ss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  <cell r="K1554" t="str">
            <v>balance</v>
          </cell>
          <cell r="L1554" t="str">
            <v>バランスタイプ</v>
          </cell>
          <cell r="M1554" t="str">
            <v>ss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  <cell r="K1561" t="str">
            <v>technical</v>
          </cell>
          <cell r="L1561" t="str">
            <v>テクニカルタイプ</v>
          </cell>
          <cell r="M1561" t="str">
            <v>ss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  <cell r="K1562" t="str">
            <v>technical</v>
          </cell>
          <cell r="L1562" t="str">
            <v>テクニカルタイプ</v>
          </cell>
          <cell r="M1562" t="str">
            <v>ss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ss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  <cell r="K1564" t="str">
            <v>attack</v>
          </cell>
          <cell r="L1564" t="str">
            <v>攻撃タイプ</v>
          </cell>
          <cell r="M1564" t="str">
            <v>ss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  <cell r="K1565" t="str">
            <v>heal</v>
          </cell>
          <cell r="L1565" t="str">
            <v>回復タイプ</v>
          </cell>
          <cell r="M1565" t="str">
            <v>ss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  <cell r="K1566" t="str">
            <v>heal</v>
          </cell>
          <cell r="L1566" t="str">
            <v>回復タイプ</v>
          </cell>
          <cell r="M1566" t="str">
            <v>ss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  <cell r="K1567" t="str">
            <v>hp</v>
          </cell>
          <cell r="L1567" t="str">
            <v>体力タイプ</v>
          </cell>
          <cell r="M1567" t="str">
            <v>ss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  <cell r="K1568" t="str">
            <v>hp</v>
          </cell>
          <cell r="L1568" t="str">
            <v>体力タイプ</v>
          </cell>
          <cell r="M1568" t="str">
            <v>ss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  <cell r="K1569" t="str">
            <v>attack</v>
          </cell>
          <cell r="L1569" t="str">
            <v>攻撃タイプ</v>
          </cell>
          <cell r="M1569" t="str">
            <v>human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  <cell r="K1571" t="str">
            <v>balance</v>
          </cell>
          <cell r="L1571" t="str">
            <v>バランスタイプ</v>
          </cell>
          <cell r="M1571" t="str">
            <v>god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unknown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human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  <cell r="K1577" t="str">
            <v>balance</v>
          </cell>
          <cell r="L1577" t="str">
            <v>バランスタイプ</v>
          </cell>
          <cell r="M1577" t="str">
            <v>samurai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  <cell r="K1578" t="str">
            <v>balance</v>
          </cell>
          <cell r="L1578" t="str">
            <v>バランスタイプ</v>
          </cell>
          <cell r="M1578" t="str">
            <v>samurai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  <cell r="K1579" t="str">
            <v>technical</v>
          </cell>
          <cell r="L1579" t="str">
            <v>テクニカルタイプ</v>
          </cell>
          <cell r="M1579" t="str">
            <v>samurai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  <cell r="K1580" t="str">
            <v>technical</v>
          </cell>
          <cell r="L1580" t="str">
            <v>テクニカルタイプ</v>
          </cell>
          <cell r="M1580" t="str">
            <v>samurai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  <cell r="K1581" t="str">
            <v>technical</v>
          </cell>
          <cell r="L1581" t="str">
            <v>テクニカルタイプ</v>
          </cell>
          <cell r="M1581" t="str">
            <v>god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  <cell r="K1582" t="str">
            <v>technical</v>
          </cell>
          <cell r="L1582" t="str">
            <v>テクニカルタイプ</v>
          </cell>
          <cell r="M1582" t="str">
            <v>god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  <cell r="K1583" t="str">
            <v>attack</v>
          </cell>
          <cell r="L1583" t="str">
            <v>攻撃タイプ</v>
          </cell>
          <cell r="M1583" t="str">
            <v>animal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  <cell r="K1584" t="str">
            <v>attack</v>
          </cell>
          <cell r="L1584" t="str">
            <v>攻撃タイプ</v>
          </cell>
          <cell r="M1584" t="str">
            <v>animal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  <cell r="K1585" t="str">
            <v>exp</v>
          </cell>
          <cell r="L1585" t="str">
            <v>強化素材タイプ</v>
          </cell>
          <cell r="M1585" t="str">
            <v>unknown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  <cell r="K1586" t="str">
            <v>exp</v>
          </cell>
          <cell r="L1586" t="str">
            <v>強化素材タイプ</v>
          </cell>
          <cell r="M1586" t="str">
            <v>unknown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  <cell r="K1587" t="str">
            <v>exp</v>
          </cell>
          <cell r="L1587" t="str">
            <v>強化素材タイプ</v>
          </cell>
          <cell r="M1587" t="str">
            <v>unknown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  <cell r="K1588" t="str">
            <v>exp</v>
          </cell>
          <cell r="L1588" t="str">
            <v>強化素材タイプ</v>
          </cell>
          <cell r="M1588" t="str">
            <v>unknown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  <cell r="K1589" t="str">
            <v>evolution</v>
          </cell>
          <cell r="L1589" t="str">
            <v>覚醒素材タイプ</v>
          </cell>
          <cell r="M1589" t="str">
            <v>unknown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  <cell r="K1594" t="str">
            <v>balance</v>
          </cell>
          <cell r="L1594" t="str">
            <v>バランスタイプ</v>
          </cell>
          <cell r="M1594" t="str">
            <v>god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  <cell r="K1595" t="str">
            <v>technical</v>
          </cell>
          <cell r="L1595" t="str">
            <v>テクニカルタイプ</v>
          </cell>
          <cell r="M1595" t="str">
            <v>demon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59" customWidth="1"/>
    <col min="2" max="16384" width="13" style="59"/>
  </cols>
  <sheetData>
    <row r="1" spans="1:13" x14ac:dyDescent="0.15">
      <c r="A1" s="59" t="s">
        <v>96</v>
      </c>
      <c r="B1" s="59" t="s">
        <v>97</v>
      </c>
    </row>
    <row r="2" spans="1:13" x14ac:dyDescent="0.15">
      <c r="A2" s="59" t="s">
        <v>98</v>
      </c>
      <c r="B2" s="59" t="s">
        <v>99</v>
      </c>
      <c r="C2" s="59" t="s">
        <v>100</v>
      </c>
      <c r="D2" s="59" t="s">
        <v>101</v>
      </c>
      <c r="E2" s="59" t="s">
        <v>102</v>
      </c>
      <c r="F2" s="59" t="s">
        <v>103</v>
      </c>
      <c r="G2" s="59" t="s">
        <v>104</v>
      </c>
      <c r="H2" s="59" t="s">
        <v>105</v>
      </c>
    </row>
    <row r="3" spans="1:13" x14ac:dyDescent="0.15">
      <c r="A3" s="59">
        <v>3</v>
      </c>
      <c r="B3" s="60" t="s">
        <v>106</v>
      </c>
      <c r="C3" s="60" t="s">
        <v>107</v>
      </c>
      <c r="D3" s="59">
        <v>0</v>
      </c>
      <c r="E3" s="60" t="s">
        <v>108</v>
      </c>
      <c r="F3" s="59">
        <v>0</v>
      </c>
      <c r="G3" s="59">
        <v>0</v>
      </c>
      <c r="H3" s="61">
        <v>0.5</v>
      </c>
    </row>
    <row r="4" spans="1:13" x14ac:dyDescent="0.15">
      <c r="A4" s="59">
        <v>4</v>
      </c>
      <c r="B4" s="60" t="s">
        <v>109</v>
      </c>
      <c r="C4" s="60" t="s">
        <v>110</v>
      </c>
      <c r="D4" s="60" t="s">
        <v>111</v>
      </c>
      <c r="E4" s="60" t="s">
        <v>112</v>
      </c>
      <c r="F4" s="60" t="s">
        <v>113</v>
      </c>
      <c r="G4" s="59">
        <v>0</v>
      </c>
      <c r="H4" s="61">
        <v>0.45</v>
      </c>
    </row>
    <row r="5" spans="1:13" x14ac:dyDescent="0.15">
      <c r="A5" s="59">
        <v>5</v>
      </c>
      <c r="B5" s="62">
        <v>0</v>
      </c>
      <c r="C5" s="60" t="s">
        <v>114</v>
      </c>
      <c r="D5" s="60" t="s">
        <v>115</v>
      </c>
      <c r="E5" s="60" t="s">
        <v>116</v>
      </c>
      <c r="F5" s="60" t="s">
        <v>117</v>
      </c>
      <c r="G5" s="60" t="s">
        <v>118</v>
      </c>
      <c r="H5" s="61">
        <v>0.05</v>
      </c>
    </row>
    <row r="6" spans="1:13" x14ac:dyDescent="0.15">
      <c r="B6" s="61" t="s">
        <v>119</v>
      </c>
      <c r="C6" s="61" t="s">
        <v>119</v>
      </c>
      <c r="D6" s="61" t="s">
        <v>120</v>
      </c>
      <c r="E6" s="61" t="s">
        <v>119</v>
      </c>
      <c r="F6" s="61" t="s">
        <v>119</v>
      </c>
      <c r="G6" s="63" t="s">
        <v>121</v>
      </c>
      <c r="H6" s="61">
        <v>1</v>
      </c>
    </row>
    <row r="7" spans="1:13" x14ac:dyDescent="0.15">
      <c r="B7" s="61"/>
      <c r="C7" s="61"/>
      <c r="D7" s="61"/>
      <c r="E7" s="61"/>
      <c r="F7" s="61"/>
      <c r="G7" s="63"/>
      <c r="H7" s="61"/>
    </row>
    <row r="8" spans="1:13" x14ac:dyDescent="0.15">
      <c r="A8" s="59" t="s">
        <v>122</v>
      </c>
      <c r="B8" s="61"/>
      <c r="C8" s="61"/>
      <c r="D8" s="61"/>
      <c r="E8" s="61"/>
      <c r="F8" s="61"/>
      <c r="G8" s="63"/>
      <c r="H8" s="61"/>
    </row>
    <row r="9" spans="1:13" x14ac:dyDescent="0.15">
      <c r="A9" s="59" t="s">
        <v>123</v>
      </c>
      <c r="B9" s="61"/>
      <c r="C9" s="61"/>
      <c r="D9" s="61"/>
      <c r="E9" s="61"/>
      <c r="F9" s="61"/>
      <c r="G9" s="63"/>
      <c r="H9" s="61"/>
    </row>
    <row r="10" spans="1:13" x14ac:dyDescent="0.15">
      <c r="A10" s="59" t="s">
        <v>124</v>
      </c>
      <c r="B10" s="61"/>
      <c r="C10" s="61"/>
      <c r="D10" s="61"/>
      <c r="E10" s="61"/>
      <c r="F10" s="61"/>
      <c r="G10" s="63"/>
      <c r="H10" s="61"/>
    </row>
    <row r="11" spans="1:13" x14ac:dyDescent="0.15">
      <c r="A11" s="59" t="s">
        <v>125</v>
      </c>
      <c r="B11" s="61"/>
      <c r="C11" s="61"/>
      <c r="D11" s="61"/>
      <c r="E11" s="61"/>
      <c r="F11" s="61"/>
      <c r="G11" s="63"/>
      <c r="H11" s="61"/>
    </row>
    <row r="12" spans="1:13" x14ac:dyDescent="0.15">
      <c r="A12" s="59" t="s">
        <v>118</v>
      </c>
      <c r="B12" s="61" t="s">
        <v>126</v>
      </c>
      <c r="C12" s="61" t="s">
        <v>127</v>
      </c>
      <c r="D12" s="61"/>
      <c r="E12" s="61"/>
      <c r="F12" s="61"/>
      <c r="G12" s="63"/>
      <c r="H12" s="61"/>
    </row>
    <row r="13" spans="1:13" x14ac:dyDescent="0.15">
      <c r="A13" s="59" t="s">
        <v>128</v>
      </c>
      <c r="B13" s="59" t="s">
        <v>129</v>
      </c>
      <c r="C13" s="59" t="s">
        <v>130</v>
      </c>
    </row>
    <row r="14" spans="1:13" x14ac:dyDescent="0.15">
      <c r="A14" s="59" t="s">
        <v>131</v>
      </c>
      <c r="B14" s="59" t="s">
        <v>126</v>
      </c>
      <c r="C14" s="62" t="s">
        <v>132</v>
      </c>
      <c r="E14" s="62"/>
      <c r="F14" s="62"/>
      <c r="M14" s="61"/>
    </row>
    <row r="15" spans="1:13" x14ac:dyDescent="0.15">
      <c r="A15" s="59" t="s">
        <v>108</v>
      </c>
      <c r="B15" s="61" t="s">
        <v>126</v>
      </c>
      <c r="C15" s="61" t="s">
        <v>133</v>
      </c>
      <c r="H15" s="64"/>
      <c r="M15" s="61"/>
    </row>
    <row r="16" spans="1:13" x14ac:dyDescent="0.15">
      <c r="A16" s="59" t="s">
        <v>112</v>
      </c>
      <c r="B16" s="61" t="s">
        <v>126</v>
      </c>
      <c r="C16" s="61" t="s">
        <v>134</v>
      </c>
      <c r="M16" s="61"/>
    </row>
    <row r="17" spans="1:13" x14ac:dyDescent="0.15">
      <c r="A17" s="59" t="s">
        <v>135</v>
      </c>
      <c r="B17" s="61" t="s">
        <v>126</v>
      </c>
      <c r="C17" s="61" t="s">
        <v>136</v>
      </c>
      <c r="M17" s="61"/>
    </row>
    <row r="18" spans="1:13" x14ac:dyDescent="0.15">
      <c r="B18" s="61"/>
      <c r="C18" s="61"/>
    </row>
    <row r="19" spans="1:13" x14ac:dyDescent="0.15">
      <c r="A19" s="59" t="s">
        <v>137</v>
      </c>
    </row>
    <row r="20" spans="1:13" x14ac:dyDescent="0.15">
      <c r="A20" s="59" t="s">
        <v>138</v>
      </c>
      <c r="B20" s="61"/>
      <c r="C20" s="61"/>
    </row>
    <row r="21" spans="1:13" x14ac:dyDescent="0.15">
      <c r="A21" s="59" t="s">
        <v>139</v>
      </c>
      <c r="B21" s="61" t="s">
        <v>140</v>
      </c>
      <c r="C21" s="61" t="s">
        <v>141</v>
      </c>
      <c r="D21" s="59" t="s">
        <v>142</v>
      </c>
    </row>
    <row r="22" spans="1:13" x14ac:dyDescent="0.15">
      <c r="A22" s="59" t="s">
        <v>143</v>
      </c>
      <c r="B22" s="61" t="s">
        <v>126</v>
      </c>
      <c r="C22" s="61" t="s">
        <v>144</v>
      </c>
      <c r="D22" s="59" t="s">
        <v>145</v>
      </c>
    </row>
    <row r="23" spans="1:13" x14ac:dyDescent="0.15">
      <c r="A23" s="59" t="s">
        <v>146</v>
      </c>
      <c r="B23" s="61" t="s">
        <v>126</v>
      </c>
      <c r="C23" s="59" t="s">
        <v>147</v>
      </c>
      <c r="D23" s="59" t="s">
        <v>148</v>
      </c>
    </row>
    <row r="24" spans="1:13" x14ac:dyDescent="0.15">
      <c r="A24" s="59" t="s">
        <v>149</v>
      </c>
      <c r="B24" s="61" t="s">
        <v>126</v>
      </c>
      <c r="C24" s="61" t="s">
        <v>150</v>
      </c>
      <c r="D24" s="59" t="s">
        <v>151</v>
      </c>
    </row>
    <row r="25" spans="1:13" x14ac:dyDescent="0.15">
      <c r="A25" s="59" t="s">
        <v>152</v>
      </c>
      <c r="B25" s="61" t="s">
        <v>126</v>
      </c>
      <c r="C25" s="61" t="s">
        <v>153</v>
      </c>
      <c r="D25" s="59" t="s">
        <v>154</v>
      </c>
    </row>
    <row r="26" spans="1:13" x14ac:dyDescent="0.15">
      <c r="A26" s="59" t="s">
        <v>155</v>
      </c>
      <c r="B26" s="61" t="s">
        <v>126</v>
      </c>
      <c r="C26" s="61" t="s">
        <v>156</v>
      </c>
      <c r="D26" s="59" t="s">
        <v>157</v>
      </c>
    </row>
    <row r="27" spans="1:13" x14ac:dyDescent="0.15">
      <c r="A27" s="59" t="s">
        <v>158</v>
      </c>
      <c r="B27" s="61" t="s">
        <v>126</v>
      </c>
      <c r="C27" s="61" t="s">
        <v>120</v>
      </c>
      <c r="D27" s="59" t="s">
        <v>159</v>
      </c>
      <c r="E27" s="59" t="s">
        <v>160</v>
      </c>
    </row>
    <row r="28" spans="1:13" x14ac:dyDescent="0.15">
      <c r="A28" s="59" t="s">
        <v>107</v>
      </c>
      <c r="B28" s="61" t="s">
        <v>126</v>
      </c>
      <c r="C28" s="61" t="s">
        <v>161</v>
      </c>
      <c r="E28" s="59" t="s">
        <v>162</v>
      </c>
    </row>
    <row r="29" spans="1:13" x14ac:dyDescent="0.15">
      <c r="A29" s="59" t="s">
        <v>110</v>
      </c>
      <c r="B29" s="61" t="s">
        <v>126</v>
      </c>
      <c r="C29" s="61" t="s">
        <v>163</v>
      </c>
    </row>
    <row r="30" spans="1:13" x14ac:dyDescent="0.15">
      <c r="B30" s="61"/>
    </row>
    <row r="31" spans="1:13" x14ac:dyDescent="0.15">
      <c r="A31" s="59" t="s">
        <v>164</v>
      </c>
    </row>
    <row r="32" spans="1:13" x14ac:dyDescent="0.15">
      <c r="A32" s="59" t="s">
        <v>165</v>
      </c>
      <c r="B32" s="61" t="s">
        <v>126</v>
      </c>
      <c r="C32" s="61" t="s">
        <v>166</v>
      </c>
    </row>
    <row r="33" spans="1:13" x14ac:dyDescent="0.15">
      <c r="A33" s="59" t="s">
        <v>110</v>
      </c>
      <c r="B33" s="61" t="s">
        <v>126</v>
      </c>
      <c r="C33" s="61" t="s">
        <v>167</v>
      </c>
    </row>
    <row r="34" spans="1:13" x14ac:dyDescent="0.15">
      <c r="A34" s="59" t="s">
        <v>107</v>
      </c>
      <c r="B34" s="61" t="s">
        <v>126</v>
      </c>
      <c r="C34" s="61" t="s">
        <v>168</v>
      </c>
    </row>
    <row r="35" spans="1:13" x14ac:dyDescent="0.15">
      <c r="A35" s="59" t="s">
        <v>106</v>
      </c>
      <c r="B35" s="61" t="s">
        <v>126</v>
      </c>
      <c r="C35" s="61" t="s">
        <v>169</v>
      </c>
    </row>
    <row r="36" spans="1:13" x14ac:dyDescent="0.15">
      <c r="A36" s="59" t="s">
        <v>109</v>
      </c>
      <c r="B36" s="61" t="s">
        <v>126</v>
      </c>
      <c r="C36" s="61" t="s">
        <v>170</v>
      </c>
    </row>
    <row r="37" spans="1:13" x14ac:dyDescent="0.15">
      <c r="A37" s="59" t="s">
        <v>115</v>
      </c>
      <c r="B37" s="61" t="s">
        <v>126</v>
      </c>
      <c r="C37" s="61" t="s">
        <v>171</v>
      </c>
    </row>
    <row r="38" spans="1:13" x14ac:dyDescent="0.15">
      <c r="A38" s="59" t="s">
        <v>111</v>
      </c>
      <c r="B38" s="61" t="s">
        <v>126</v>
      </c>
      <c r="C38" s="61" t="s">
        <v>172</v>
      </c>
    </row>
    <row r="40" spans="1:13" x14ac:dyDescent="0.15">
      <c r="J40" s="75" t="s">
        <v>198</v>
      </c>
      <c r="K40" s="75" t="s">
        <v>175</v>
      </c>
      <c r="M40" s="75" t="s">
        <v>223</v>
      </c>
    </row>
    <row r="41" spans="1:13" x14ac:dyDescent="0.15">
      <c r="J41" s="75" t="s">
        <v>199</v>
      </c>
      <c r="K41" s="75" t="s">
        <v>200</v>
      </c>
      <c r="M41" s="61" t="s">
        <v>170</v>
      </c>
    </row>
    <row r="42" spans="1:13" x14ac:dyDescent="0.15">
      <c r="J42" s="75" t="s">
        <v>201</v>
      </c>
      <c r="K42" s="75" t="s">
        <v>202</v>
      </c>
    </row>
    <row r="43" spans="1:13" x14ac:dyDescent="0.15">
      <c r="J43" s="75" t="s">
        <v>203</v>
      </c>
      <c r="K43" s="75" t="s">
        <v>204</v>
      </c>
    </row>
    <row r="44" spans="1:13" x14ac:dyDescent="0.15">
      <c r="J44" s="75" t="s">
        <v>205</v>
      </c>
      <c r="K44" s="75" t="s">
        <v>206</v>
      </c>
    </row>
    <row r="45" spans="1:13" x14ac:dyDescent="0.15">
      <c r="J45" s="75" t="s">
        <v>207</v>
      </c>
      <c r="K45" s="75" t="s">
        <v>208</v>
      </c>
    </row>
    <row r="46" spans="1:13" x14ac:dyDescent="0.15">
      <c r="J46" s="75" t="s">
        <v>209</v>
      </c>
      <c r="K46" s="75" t="s">
        <v>210</v>
      </c>
    </row>
    <row r="47" spans="1:13" x14ac:dyDescent="0.15">
      <c r="J47" s="75" t="s">
        <v>211</v>
      </c>
      <c r="K47" s="75" t="s">
        <v>215</v>
      </c>
    </row>
    <row r="48" spans="1:13" x14ac:dyDescent="0.15">
      <c r="J48" s="75" t="s">
        <v>212</v>
      </c>
      <c r="K48" s="75" t="s">
        <v>216</v>
      </c>
    </row>
    <row r="49" spans="10:11" x14ac:dyDescent="0.15">
      <c r="J49" s="75" t="s">
        <v>213</v>
      </c>
      <c r="K49" s="75" t="s">
        <v>217</v>
      </c>
    </row>
    <row r="50" spans="10:11" x14ac:dyDescent="0.15">
      <c r="J50" s="75" t="s">
        <v>214</v>
      </c>
      <c r="K50" s="75" t="s">
        <v>218</v>
      </c>
    </row>
    <row r="51" spans="10:11" x14ac:dyDescent="0.15">
      <c r="J51" s="75" t="s">
        <v>220</v>
      </c>
      <c r="K51" s="75" t="s">
        <v>219</v>
      </c>
    </row>
    <row r="52" spans="10:11" x14ac:dyDescent="0.15">
      <c r="J52" s="75" t="s">
        <v>221</v>
      </c>
      <c r="K52" s="75" t="s">
        <v>222</v>
      </c>
    </row>
    <row r="53" spans="10:11" x14ac:dyDescent="0.15">
      <c r="J53" s="75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70</v>
      </c>
    </row>
    <row r="2" spans="1:1" x14ac:dyDescent="0.15">
      <c r="A2" t="s">
        <v>71</v>
      </c>
    </row>
    <row r="3" spans="1:1" x14ac:dyDescent="0.15">
      <c r="A3" t="s">
        <v>72</v>
      </c>
    </row>
    <row r="4" spans="1:1" x14ac:dyDescent="0.15">
      <c r="A4" t="s">
        <v>73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tabSelected="1" workbookViewId="0">
      <selection activeCell="A2" sqref="A2"/>
    </sheetView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7" t="s">
        <v>43</v>
      </c>
      <c r="B1" s="15" t="s">
        <v>31</v>
      </c>
      <c r="C1" s="15" t="s">
        <v>32</v>
      </c>
      <c r="D1" s="15" t="s">
        <v>33</v>
      </c>
      <c r="E1" s="15" t="s">
        <v>34</v>
      </c>
      <c r="F1" s="15" t="s">
        <v>35</v>
      </c>
      <c r="G1" s="15" t="s">
        <v>36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82" t="s">
        <v>230</v>
      </c>
      <c r="B2" s="56" t="s">
        <v>95</v>
      </c>
      <c r="C2" s="47" t="str">
        <f>RIGHT(F2,6)</f>
        <v>547100</v>
      </c>
      <c r="D2" s="18" t="s">
        <v>37</v>
      </c>
      <c r="E2" s="16" t="str">
        <f t="shared" ref="E2" si="0">B2&amp;C2&amp;D2</f>
        <v>gacha_select_tables_547100.tmp</v>
      </c>
      <c r="F2" s="96" t="s">
        <v>242</v>
      </c>
      <c r="G2" s="46" t="s">
        <v>77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78" t="s">
        <v>226</v>
      </c>
      <c r="B3" s="56" t="s">
        <v>95</v>
      </c>
      <c r="C3" s="47" t="str">
        <f t="shared" ref="C3:C8" si="1">RIGHT(F3,6)</f>
        <v>544100</v>
      </c>
      <c r="D3" s="18" t="s">
        <v>37</v>
      </c>
      <c r="E3" s="16" t="str">
        <f t="shared" ref="E3:E11" si="2">B3&amp;C3&amp;D3</f>
        <v>gacha_select_tables_544100.tmp</v>
      </c>
      <c r="F3" s="90" t="s">
        <v>239</v>
      </c>
      <c r="G3" s="46" t="s">
        <v>77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89" t="s">
        <v>234</v>
      </c>
      <c r="B4" s="85" t="s">
        <v>231</v>
      </c>
      <c r="C4" s="86" t="str">
        <f t="shared" si="1"/>
        <v>547100</v>
      </c>
      <c r="D4" s="18" t="s">
        <v>232</v>
      </c>
      <c r="E4" s="16" t="str">
        <f t="shared" si="2"/>
        <v>gacha_settle_tables_547100.tmp</v>
      </c>
      <c r="F4" s="96" t="s">
        <v>241</v>
      </c>
      <c r="G4" s="46" t="s">
        <v>77</v>
      </c>
      <c r="H4" s="21" t="s">
        <v>0</v>
      </c>
      <c r="I4" s="21" t="s">
        <v>3</v>
      </c>
      <c r="J4" s="21" t="s">
        <v>4</v>
      </c>
      <c r="K4" s="21" t="s">
        <v>5</v>
      </c>
      <c r="L4" s="21" t="s">
        <v>6</v>
      </c>
      <c r="M4" s="21" t="s">
        <v>7</v>
      </c>
      <c r="N4" s="21" t="s">
        <v>8</v>
      </c>
      <c r="O4" s="21" t="s">
        <v>9</v>
      </c>
    </row>
    <row r="5" spans="1:21" x14ac:dyDescent="0.15">
      <c r="A5" s="78" t="s">
        <v>226</v>
      </c>
      <c r="B5" s="85" t="s">
        <v>231</v>
      </c>
      <c r="C5" s="86" t="str">
        <f t="shared" ref="C5" si="3">RIGHT(F5,6)</f>
        <v>544105</v>
      </c>
      <c r="D5" s="18" t="s">
        <v>38</v>
      </c>
      <c r="E5" s="16" t="str">
        <f t="shared" ref="E5" si="4">B5&amp;C5&amp;D5</f>
        <v>gacha_settle_tables_544105.tmp</v>
      </c>
      <c r="F5" s="90" t="s">
        <v>238</v>
      </c>
      <c r="G5" s="46" t="s">
        <v>76</v>
      </c>
      <c r="H5" s="21" t="s">
        <v>0</v>
      </c>
      <c r="I5" s="21" t="s">
        <v>3</v>
      </c>
      <c r="J5" s="21" t="s">
        <v>4</v>
      </c>
      <c r="K5" s="21" t="s">
        <v>5</v>
      </c>
      <c r="L5" s="21" t="s">
        <v>6</v>
      </c>
      <c r="M5" s="21" t="s">
        <v>7</v>
      </c>
      <c r="N5" s="21" t="s">
        <v>8</v>
      </c>
      <c r="O5" s="21" t="s">
        <v>9</v>
      </c>
    </row>
    <row r="6" spans="1:21" x14ac:dyDescent="0.15">
      <c r="A6" s="78" t="s">
        <v>226</v>
      </c>
      <c r="B6" s="56" t="s">
        <v>95</v>
      </c>
      <c r="C6" s="47" t="str">
        <f t="shared" si="1"/>
        <v>363104</v>
      </c>
      <c r="D6" s="18" t="s">
        <v>37</v>
      </c>
      <c r="E6" s="16" t="str">
        <f t="shared" ref="E6:E8" si="5">B6&amp;C6&amp;D6</f>
        <v>gacha_select_tables_363104.tmp</v>
      </c>
      <c r="F6" s="81" t="s">
        <v>227</v>
      </c>
      <c r="G6" s="46" t="s">
        <v>76</v>
      </c>
      <c r="H6" s="21" t="s">
        <v>0</v>
      </c>
      <c r="I6" s="21" t="s">
        <v>3</v>
      </c>
      <c r="J6" s="21" t="s">
        <v>4</v>
      </c>
      <c r="K6" s="21" t="s">
        <v>5</v>
      </c>
      <c r="L6" s="21" t="s">
        <v>6</v>
      </c>
      <c r="M6" s="21" t="s">
        <v>7</v>
      </c>
      <c r="N6" s="21" t="s">
        <v>8</v>
      </c>
      <c r="O6" s="21" t="s">
        <v>9</v>
      </c>
    </row>
    <row r="7" spans="1:21" x14ac:dyDescent="0.15">
      <c r="A7" s="78" t="s">
        <v>226</v>
      </c>
      <c r="B7" s="56" t="s">
        <v>95</v>
      </c>
      <c r="C7" s="47" t="str">
        <f t="shared" ref="C7" si="6">RIGHT(F7,6)</f>
        <v>363105</v>
      </c>
      <c r="D7" s="18" t="s">
        <v>37</v>
      </c>
      <c r="E7" s="16" t="str">
        <f t="shared" ref="E7" si="7">B7&amp;C7&amp;D7</f>
        <v>gacha_select_tables_363105.tmp</v>
      </c>
      <c r="F7" s="81" t="s">
        <v>228</v>
      </c>
      <c r="G7" s="46" t="s">
        <v>76</v>
      </c>
      <c r="H7" s="21" t="s">
        <v>0</v>
      </c>
      <c r="I7" s="21" t="s">
        <v>3</v>
      </c>
      <c r="J7" s="21" t="s">
        <v>4</v>
      </c>
      <c r="K7" s="21" t="s">
        <v>5</v>
      </c>
      <c r="L7" s="21" t="s">
        <v>6</v>
      </c>
      <c r="M7" s="21" t="s">
        <v>7</v>
      </c>
      <c r="N7" s="21" t="s">
        <v>8</v>
      </c>
      <c r="O7" s="21" t="s">
        <v>9</v>
      </c>
    </row>
    <row r="8" spans="1:21" x14ac:dyDescent="0.15">
      <c r="A8" s="78" t="s">
        <v>226</v>
      </c>
      <c r="B8" s="56" t="s">
        <v>95</v>
      </c>
      <c r="C8" s="47" t="str">
        <f t="shared" si="1"/>
        <v>363100</v>
      </c>
      <c r="D8" s="18" t="s">
        <v>37</v>
      </c>
      <c r="E8" s="16" t="str">
        <f t="shared" si="5"/>
        <v>gacha_select_tables_363100.tmp</v>
      </c>
      <c r="F8" s="81" t="s">
        <v>229</v>
      </c>
      <c r="G8" s="46" t="s">
        <v>76</v>
      </c>
      <c r="H8" s="21" t="s">
        <v>0</v>
      </c>
      <c r="I8" s="21" t="s">
        <v>3</v>
      </c>
      <c r="J8" s="21" t="s">
        <v>4</v>
      </c>
      <c r="K8" s="21" t="s">
        <v>5</v>
      </c>
      <c r="L8" s="21" t="s">
        <v>6</v>
      </c>
      <c r="M8" s="21" t="s">
        <v>7</v>
      </c>
      <c r="N8" s="21" t="s">
        <v>8</v>
      </c>
      <c r="O8" s="21" t="s">
        <v>9</v>
      </c>
    </row>
    <row r="9" spans="1:21" x14ac:dyDescent="0.15">
      <c r="A9" s="78" t="s">
        <v>226</v>
      </c>
      <c r="B9" s="26" t="s">
        <v>42</v>
      </c>
      <c r="C9" s="31">
        <v>547</v>
      </c>
      <c r="D9" s="18" t="s">
        <v>38</v>
      </c>
      <c r="E9" s="16" t="str">
        <f t="shared" si="2"/>
        <v>gacha_bonus_tables_547.tmp</v>
      </c>
      <c r="F9" s="18" t="s">
        <v>39</v>
      </c>
      <c r="G9" s="20" t="s">
        <v>10</v>
      </c>
      <c r="H9" s="22" t="s">
        <v>13</v>
      </c>
      <c r="I9" s="20" t="s">
        <v>11</v>
      </c>
      <c r="J9" s="19"/>
      <c r="K9" s="19"/>
      <c r="L9" s="19"/>
      <c r="M9" s="19"/>
      <c r="N9" s="19"/>
      <c r="O9" s="19"/>
    </row>
    <row r="10" spans="1:21" x14ac:dyDescent="0.15">
      <c r="A10" s="78" t="s">
        <v>226</v>
      </c>
      <c r="B10" s="18" t="s">
        <v>40</v>
      </c>
      <c r="C10" s="31">
        <v>547</v>
      </c>
      <c r="D10" s="18" t="s">
        <v>38</v>
      </c>
      <c r="E10" s="16" t="str">
        <f t="shared" si="2"/>
        <v>gifts_tmp_547.tmp</v>
      </c>
      <c r="F10" s="18" t="s">
        <v>39</v>
      </c>
      <c r="G10" s="22" t="s">
        <v>14</v>
      </c>
      <c r="H10" s="23" t="s">
        <v>22</v>
      </c>
      <c r="I10" s="22" t="s">
        <v>15</v>
      </c>
      <c r="J10" s="22" t="s">
        <v>16</v>
      </c>
      <c r="K10" s="22" t="s">
        <v>16</v>
      </c>
      <c r="L10" s="22" t="s">
        <v>17</v>
      </c>
      <c r="M10" s="22" t="s">
        <v>17</v>
      </c>
      <c r="N10" s="22" t="s">
        <v>17</v>
      </c>
      <c r="O10" s="48" t="s">
        <v>7</v>
      </c>
      <c r="P10" s="48" t="s">
        <v>9</v>
      </c>
      <c r="Q10" s="48" t="s">
        <v>6</v>
      </c>
      <c r="R10" s="48" t="s">
        <v>78</v>
      </c>
      <c r="S10" s="48" t="s">
        <v>8</v>
      </c>
      <c r="T10" s="48" t="s">
        <v>79</v>
      </c>
      <c r="U10" s="48" t="s">
        <v>5</v>
      </c>
    </row>
    <row r="11" spans="1:21" x14ac:dyDescent="0.15">
      <c r="A11" s="78" t="s">
        <v>226</v>
      </c>
      <c r="B11" s="18" t="s">
        <v>41</v>
      </c>
      <c r="C11" s="31">
        <v>547</v>
      </c>
      <c r="D11" s="18" t="s">
        <v>38</v>
      </c>
      <c r="E11" s="16" t="str">
        <f t="shared" si="2"/>
        <v>gifts_i18n_547.tmp</v>
      </c>
      <c r="F11" s="18" t="s">
        <v>39</v>
      </c>
      <c r="G11" s="22" t="s">
        <v>12</v>
      </c>
      <c r="H11" s="24" t="s">
        <v>18</v>
      </c>
      <c r="I11" s="24" t="s">
        <v>19</v>
      </c>
      <c r="J11" s="24" t="s">
        <v>20</v>
      </c>
      <c r="K11" s="24" t="s">
        <v>21</v>
      </c>
      <c r="L11" s="25"/>
      <c r="M11" s="22"/>
      <c r="N11" s="22"/>
      <c r="O11" s="18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2"/>
  <sheetViews>
    <sheetView zoomScale="90" zoomScaleNormal="90" zoomScalePageLayoutView="90" workbookViewId="0">
      <selection activeCell="C8" sqref="C8"/>
    </sheetView>
  </sheetViews>
  <sheetFormatPr baseColWidth="12" defaultRowHeight="14" x14ac:dyDescent="0.15"/>
  <cols>
    <col min="1" max="1" width="24.19921875" bestFit="1" customWidth="1"/>
    <col min="2" max="2" width="24.59765625" bestFit="1" customWidth="1"/>
    <col min="3" max="3" width="14.19921875" bestFit="1" customWidth="1"/>
    <col min="17" max="17" width="13" customWidth="1"/>
  </cols>
  <sheetData>
    <row r="1" spans="1:22" x14ac:dyDescent="0.15">
      <c r="A1" s="45" t="s">
        <v>74</v>
      </c>
      <c r="B1" s="45"/>
      <c r="L1" s="37" t="s">
        <v>53</v>
      </c>
      <c r="M1" s="37"/>
      <c r="U1" t="s">
        <v>53</v>
      </c>
    </row>
    <row r="2" spans="1:22" x14ac:dyDescent="0.15">
      <c r="A2" t="str">
        <f ca="1">RIGHT(RIGHT(CELL("filename",A2),LEN(CELL("filename",A2))-FIND("]",CELL("filename",A2))),6)</f>
        <v>547100</v>
      </c>
      <c r="L2" s="32" t="s">
        <v>1</v>
      </c>
      <c r="M2" s="36" t="s">
        <v>57</v>
      </c>
      <c r="N2" s="32" t="s">
        <v>55</v>
      </c>
      <c r="O2" s="36" t="s">
        <v>58</v>
      </c>
      <c r="P2" s="36" t="s">
        <v>59</v>
      </c>
      <c r="Q2" s="36" t="s">
        <v>56</v>
      </c>
      <c r="R2" s="41" t="s">
        <v>65</v>
      </c>
      <c r="U2" s="32" t="s">
        <v>175</v>
      </c>
      <c r="V2" s="49">
        <f t="shared" ref="V2:V16" si="0">SUMIF(Q:Q,U2,N:N)</f>
        <v>0</v>
      </c>
    </row>
    <row r="3" spans="1:22" x14ac:dyDescent="0.15">
      <c r="H3" s="68" t="s">
        <v>196</v>
      </c>
      <c r="L3" s="55"/>
      <c r="M3" s="36" t="e">
        <f>VLOOKUP(L3,[1]characters!$A:$C,3,FALSE)</f>
        <v>#N/A</v>
      </c>
      <c r="N3" s="58"/>
      <c r="O3" s="36" t="e">
        <f>VLOOKUP(L3,[1]characters!$A:$I,9,FALSE)</f>
        <v>#N/A</v>
      </c>
      <c r="P3" s="36" t="e">
        <f>VLOOKUP(L3,[1]characters!$A:$J,10,FALSE)</f>
        <v>#N/A</v>
      </c>
      <c r="Q3" s="36" t="e">
        <f>VLOOKUP(L3,tables_547100!B:C,2,FALSE)</f>
        <v>#N/A</v>
      </c>
      <c r="R3" s="57">
        <f t="shared" ref="R3:R20" si="1">N3*A$39</f>
        <v>0</v>
      </c>
      <c r="S3">
        <v>190</v>
      </c>
      <c r="U3" s="32" t="s">
        <v>176</v>
      </c>
      <c r="V3" s="49">
        <f t="shared" si="0"/>
        <v>0</v>
      </c>
    </row>
    <row r="4" spans="1:22" x14ac:dyDescent="0.15">
      <c r="A4" s="33" t="s">
        <v>45</v>
      </c>
      <c r="B4" s="33"/>
      <c r="D4" t="s">
        <v>185</v>
      </c>
      <c r="F4" t="s">
        <v>188</v>
      </c>
      <c r="H4" t="s">
        <v>194</v>
      </c>
      <c r="I4" t="s">
        <v>195</v>
      </c>
      <c r="L4" s="55"/>
      <c r="M4" s="36" t="e">
        <f>VLOOKUP(L4,[1]characters!$A:$C,3,FALSE)</f>
        <v>#N/A</v>
      </c>
      <c r="N4" s="58"/>
      <c r="O4" s="36" t="e">
        <f>VLOOKUP(L4,[1]characters!$A:$I,9,FALSE)</f>
        <v>#N/A</v>
      </c>
      <c r="P4" s="36" t="e">
        <f>VLOOKUP(L4,[1]characters!$A:$J,10,FALSE)</f>
        <v>#N/A</v>
      </c>
      <c r="Q4" s="36" t="e">
        <f>VLOOKUP(L4,tables_547100!B:C,2,FALSE)</f>
        <v>#N/A</v>
      </c>
      <c r="R4" s="57">
        <f t="shared" si="1"/>
        <v>0</v>
      </c>
      <c r="S4">
        <v>191</v>
      </c>
      <c r="U4" s="32" t="s">
        <v>82</v>
      </c>
      <c r="V4" s="49">
        <f t="shared" si="0"/>
        <v>0</v>
      </c>
    </row>
    <row r="5" spans="1:22" x14ac:dyDescent="0.15">
      <c r="A5" s="32" t="s">
        <v>60</v>
      </c>
      <c r="B5" s="66">
        <f>1-B6-B7</f>
        <v>0.3</v>
      </c>
      <c r="D5" t="s">
        <v>186</v>
      </c>
      <c r="E5" s="40">
        <f>(B11-H5)/(F5-I5)</f>
        <v>6.9444444444444447E-4</v>
      </c>
      <c r="F5">
        <f>COUNTIF(tables_547100!C:C,input_547100!A28)+COUNTIF(tables_547100!C:C,input_547100!A30)+COUNTIF(input_547100!Q:Q,input_547100!A32)+COUNTIF(input_547100!Q:Q,input_547100!A33)+COUNTIF(input_547100!Q:Q,input_547100!A34)-COUNTIF(input_547100!Q:Q,input_547100!A28)</f>
        <v>72</v>
      </c>
      <c r="H5" s="76">
        <v>0</v>
      </c>
      <c r="I5" s="30"/>
      <c r="L5" s="55"/>
      <c r="M5" s="36" t="e">
        <f>VLOOKUP(L5,[1]characters!$A:$C,3,FALSE)</f>
        <v>#N/A</v>
      </c>
      <c r="N5" s="58"/>
      <c r="O5" s="36" t="e">
        <f>VLOOKUP(L5,[1]characters!$A:$I,9,FALSE)</f>
        <v>#N/A</v>
      </c>
      <c r="P5" s="36" t="e">
        <f>VLOOKUP(L5,[1]characters!$A:$J,10,FALSE)</f>
        <v>#N/A</v>
      </c>
      <c r="Q5" s="36" t="e">
        <f>VLOOKUP(L5,tables_547100!B:C,2,FALSE)</f>
        <v>#N/A</v>
      </c>
      <c r="R5" s="57">
        <f t="shared" si="1"/>
        <v>0</v>
      </c>
      <c r="S5">
        <v>192</v>
      </c>
      <c r="U5" s="32" t="s">
        <v>83</v>
      </c>
      <c r="V5" s="49">
        <f t="shared" si="0"/>
        <v>0</v>
      </c>
    </row>
    <row r="6" spans="1:22" x14ac:dyDescent="0.15">
      <c r="A6" s="32" t="s">
        <v>61</v>
      </c>
      <c r="B6" s="66">
        <v>0.5</v>
      </c>
      <c r="D6" t="s">
        <v>187</v>
      </c>
      <c r="E6" s="71">
        <f>(B10-H6)/(F6-I6)</f>
        <v>9.8958333333333329E-3</v>
      </c>
      <c r="F6">
        <f>COUNTIF(tables_547100!C:C,input_547100!A25)+COUNTIF(tables_547100!C:C,input_547100!A18)+COUNTIF(tables_547100!C:C,input_547100!A20)+COUNTIF(tables_547100!C:C,input_547100!A22)+COUNTIF(Q:Q,A23)</f>
        <v>96</v>
      </c>
      <c r="H6" s="80">
        <v>0</v>
      </c>
      <c r="I6" s="30"/>
      <c r="L6" s="55"/>
      <c r="M6" s="36" t="e">
        <f>VLOOKUP(L6,[1]characters!$A:$C,3,FALSE)</f>
        <v>#N/A</v>
      </c>
      <c r="N6" s="58"/>
      <c r="O6" s="36" t="e">
        <f>VLOOKUP(L6,[1]characters!$A:$I,9,FALSE)</f>
        <v>#N/A</v>
      </c>
      <c r="P6" s="36" t="e">
        <f>VLOOKUP(L6,[1]characters!$A:$J,10,FALSE)</f>
        <v>#N/A</v>
      </c>
      <c r="Q6" s="36" t="e">
        <f>VLOOKUP(L6,tables_547100!B:C,2,FALSE)</f>
        <v>#N/A</v>
      </c>
      <c r="R6" s="57">
        <f t="shared" si="1"/>
        <v>0</v>
      </c>
      <c r="S6">
        <v>596</v>
      </c>
      <c r="U6" s="32" t="s">
        <v>84</v>
      </c>
      <c r="V6" s="49">
        <f t="shared" si="0"/>
        <v>0</v>
      </c>
    </row>
    <row r="7" spans="1:22" x14ac:dyDescent="0.15">
      <c r="A7" s="32" t="s">
        <v>62</v>
      </c>
      <c r="B7" s="66">
        <v>0.2</v>
      </c>
      <c r="L7" s="55"/>
      <c r="M7" s="36" t="e">
        <f>VLOOKUP(L7,[1]characters!$A:$C,3,FALSE)</f>
        <v>#N/A</v>
      </c>
      <c r="N7" s="58"/>
      <c r="O7" s="36" t="e">
        <f>VLOOKUP(L7,[1]characters!$A:$I,9,FALSE)</f>
        <v>#N/A</v>
      </c>
      <c r="P7" s="36" t="e">
        <f>VLOOKUP(L7,[1]characters!$A:$J,10,FALSE)</f>
        <v>#N/A</v>
      </c>
      <c r="Q7" s="36" t="e">
        <f>VLOOKUP(L7,tables_547100!B:C,2,FALSE)</f>
        <v>#N/A</v>
      </c>
      <c r="R7" s="57">
        <f t="shared" si="1"/>
        <v>0</v>
      </c>
      <c r="S7">
        <v>597</v>
      </c>
      <c r="U7" s="32" t="s">
        <v>181</v>
      </c>
      <c r="V7" s="49">
        <f t="shared" si="0"/>
        <v>0</v>
      </c>
    </row>
    <row r="8" spans="1:22" x14ac:dyDescent="0.15">
      <c r="A8" s="52"/>
      <c r="B8" s="66"/>
      <c r="E8" s="71"/>
      <c r="L8" s="55"/>
      <c r="M8" s="36" t="e">
        <f>VLOOKUP(L8,[1]characters!$A:$C,3,FALSE)</f>
        <v>#N/A</v>
      </c>
      <c r="N8" s="58"/>
      <c r="O8" s="36" t="e">
        <f>VLOOKUP(L8,[1]characters!$A:$I,9,FALSE)</f>
        <v>#N/A</v>
      </c>
      <c r="P8" s="36" t="e">
        <f>VLOOKUP(L8,[1]characters!$A:$J,10,FALSE)</f>
        <v>#N/A</v>
      </c>
      <c r="Q8" s="36" t="e">
        <f>VLOOKUP(L8,tables_547100!B:C,2,FALSE)</f>
        <v>#N/A</v>
      </c>
      <c r="R8" s="57">
        <f t="shared" si="1"/>
        <v>0</v>
      </c>
      <c r="S8">
        <v>598</v>
      </c>
      <c r="U8" s="32" t="s">
        <v>182</v>
      </c>
      <c r="V8" s="49">
        <f t="shared" si="0"/>
        <v>0</v>
      </c>
    </row>
    <row r="9" spans="1:22" x14ac:dyDescent="0.15">
      <c r="A9" s="34" t="s">
        <v>46</v>
      </c>
      <c r="B9" s="34"/>
      <c r="L9" s="79"/>
      <c r="M9" s="36" t="e">
        <f>VLOOKUP(L9,[1]characters!$A:$C,3,FALSE)</f>
        <v>#N/A</v>
      </c>
      <c r="N9" s="58"/>
      <c r="O9" s="36" t="e">
        <f>VLOOKUP(L9,[1]characters!$A:$I,9,FALSE)</f>
        <v>#N/A</v>
      </c>
      <c r="P9" s="36" t="e">
        <f>VLOOKUP(L9,[1]characters!$A:$J,10,FALSE)</f>
        <v>#N/A</v>
      </c>
      <c r="Q9" s="36" t="e">
        <f>VLOOKUP(L9,tables_547100!B:C,2,FALSE)</f>
        <v>#N/A</v>
      </c>
      <c r="R9" s="57">
        <f t="shared" si="1"/>
        <v>0</v>
      </c>
      <c r="S9">
        <v>390</v>
      </c>
      <c r="U9" s="32" t="s">
        <v>178</v>
      </c>
      <c r="V9" s="49">
        <f t="shared" si="0"/>
        <v>0</v>
      </c>
    </row>
    <row r="10" spans="1:22" x14ac:dyDescent="0.15">
      <c r="A10" s="32" t="s">
        <v>81</v>
      </c>
      <c r="B10" s="67">
        <f>1-B11</f>
        <v>0.95</v>
      </c>
      <c r="C10" t="s">
        <v>193</v>
      </c>
      <c r="L10" s="79"/>
      <c r="M10" s="36" t="e">
        <f>VLOOKUP(L10,[1]characters!$A:$C,3,FALSE)</f>
        <v>#N/A</v>
      </c>
      <c r="N10" s="58"/>
      <c r="O10" s="36" t="e">
        <f>VLOOKUP(L10,[1]characters!$A:$I,9,FALSE)</f>
        <v>#N/A</v>
      </c>
      <c r="P10" s="36" t="e">
        <f>VLOOKUP(L10,[1]characters!$A:$J,10,FALSE)</f>
        <v>#N/A</v>
      </c>
      <c r="Q10" s="36" t="e">
        <f>VLOOKUP(L10,tables_547100!B:C,2,FALSE)</f>
        <v>#N/A</v>
      </c>
      <c r="R10" s="57">
        <f t="shared" si="1"/>
        <v>0</v>
      </c>
      <c r="S10">
        <v>391</v>
      </c>
      <c r="U10" s="32" t="s">
        <v>179</v>
      </c>
      <c r="V10" s="49">
        <f t="shared" si="0"/>
        <v>0</v>
      </c>
    </row>
    <row r="11" spans="1:22" x14ac:dyDescent="0.15">
      <c r="A11" s="32" t="s">
        <v>48</v>
      </c>
      <c r="B11" s="72">
        <v>0.05</v>
      </c>
      <c r="C11" t="s">
        <v>235</v>
      </c>
      <c r="M11" s="36" t="e">
        <f>VLOOKUP(L11,[1]characters!$A:$C,3,FALSE)</f>
        <v>#N/A</v>
      </c>
      <c r="N11" s="58"/>
      <c r="O11" s="36" t="e">
        <f>VLOOKUP(L11,[1]characters!$A:$I,9,FALSE)</f>
        <v>#N/A</v>
      </c>
      <c r="P11" s="36" t="e">
        <f>VLOOKUP(L11,[1]characters!$A:$J,10,FALSE)</f>
        <v>#N/A</v>
      </c>
      <c r="Q11" s="36" t="e">
        <f>VLOOKUP(L11,tables_547100!B:C,2,FALSE)</f>
        <v>#N/A</v>
      </c>
      <c r="R11" s="57">
        <f t="shared" si="1"/>
        <v>0</v>
      </c>
      <c r="S11">
        <v>811</v>
      </c>
      <c r="U11" s="32" t="s">
        <v>180</v>
      </c>
      <c r="V11" s="49">
        <f t="shared" si="0"/>
        <v>0</v>
      </c>
    </row>
    <row r="12" spans="1:22" x14ac:dyDescent="0.15">
      <c r="A12" s="32" t="s">
        <v>47</v>
      </c>
      <c r="B12" s="67">
        <v>0</v>
      </c>
      <c r="M12" s="36" t="e">
        <f>VLOOKUP(L12,[1]characters!$A:$C,3,FALSE)</f>
        <v>#N/A</v>
      </c>
      <c r="N12" s="58"/>
      <c r="O12" s="36" t="e">
        <f>VLOOKUP(L12,[1]characters!$A:$I,9,FALSE)</f>
        <v>#N/A</v>
      </c>
      <c r="P12" s="36" t="e">
        <f>VLOOKUP(L12,[1]characters!$A:$J,10,FALSE)</f>
        <v>#N/A</v>
      </c>
      <c r="Q12" s="36" t="e">
        <f>VLOOKUP(L12,tables_547100!B:C,2,FALSE)</f>
        <v>#N/A</v>
      </c>
      <c r="R12" s="57">
        <f t="shared" si="1"/>
        <v>0</v>
      </c>
      <c r="S12">
        <v>496</v>
      </c>
      <c r="U12" s="32" t="s">
        <v>91</v>
      </c>
      <c r="V12" s="49">
        <f t="shared" si="0"/>
        <v>0</v>
      </c>
    </row>
    <row r="13" spans="1:22" x14ac:dyDescent="0.15">
      <c r="M13" s="36" t="e">
        <f>VLOOKUP(L13,[1]characters!$A:$C,3,FALSE)</f>
        <v>#N/A</v>
      </c>
      <c r="N13" s="58"/>
      <c r="O13" s="36" t="e">
        <f>VLOOKUP(L13,[1]characters!$A:$I,9,FALSE)</f>
        <v>#N/A</v>
      </c>
      <c r="P13" s="36" t="e">
        <f>VLOOKUP(L13,[1]characters!$A:$J,10,FALSE)</f>
        <v>#N/A</v>
      </c>
      <c r="Q13" s="36" t="e">
        <f>VLOOKUP(L13,tables_547100!B:C,2,FALSE)</f>
        <v>#N/A</v>
      </c>
      <c r="R13" s="57">
        <f t="shared" si="1"/>
        <v>0</v>
      </c>
      <c r="S13">
        <v>497</v>
      </c>
      <c r="U13" s="32" t="s">
        <v>92</v>
      </c>
      <c r="V13" s="49">
        <f t="shared" si="0"/>
        <v>0</v>
      </c>
    </row>
    <row r="14" spans="1:22" x14ac:dyDescent="0.15">
      <c r="M14" s="36" t="e">
        <f>VLOOKUP(L14,[1]characters!$A:$C,3,FALSE)</f>
        <v>#N/A</v>
      </c>
      <c r="N14" s="58"/>
      <c r="O14" s="36" t="e">
        <f>VLOOKUP(L14,[1]characters!$A:$I,9,FALSE)</f>
        <v>#N/A</v>
      </c>
      <c r="P14" s="36" t="e">
        <f>VLOOKUP(L14,[1]characters!$A:$J,10,FALSE)</f>
        <v>#N/A</v>
      </c>
      <c r="Q14" s="36" t="e">
        <f>VLOOKUP(L14,tables_547100!B:C,2,FALSE)</f>
        <v>#N/A</v>
      </c>
      <c r="R14" s="57">
        <f t="shared" si="1"/>
        <v>0</v>
      </c>
      <c r="S14">
        <v>498</v>
      </c>
      <c r="U14" s="32" t="s">
        <v>184</v>
      </c>
      <c r="V14" s="49">
        <f t="shared" si="0"/>
        <v>0</v>
      </c>
    </row>
    <row r="15" spans="1:22" x14ac:dyDescent="0.15">
      <c r="A15" s="35" t="s">
        <v>49</v>
      </c>
      <c r="B15" s="35"/>
      <c r="C15" t="s">
        <v>75</v>
      </c>
      <c r="M15" s="36" t="e">
        <f>VLOOKUP(L15,[1]characters!$A:$C,3,FALSE)</f>
        <v>#N/A</v>
      </c>
      <c r="N15" s="58"/>
      <c r="O15" s="36" t="e">
        <f>VLOOKUP(L15,[1]characters!$A:$I,9,FALSE)</f>
        <v>#N/A</v>
      </c>
      <c r="P15" s="36" t="e">
        <f>VLOOKUP(L15,[1]characters!$A:$J,10,FALSE)</f>
        <v>#N/A</v>
      </c>
      <c r="Q15" s="36" t="e">
        <f>VLOOKUP(L15,tables_547100!B:C,2,FALSE)</f>
        <v>#N/A</v>
      </c>
      <c r="R15" s="57">
        <f t="shared" si="1"/>
        <v>0</v>
      </c>
      <c r="S15">
        <v>395</v>
      </c>
      <c r="U15" s="32" t="s">
        <v>183</v>
      </c>
      <c r="V15" s="49">
        <f t="shared" si="0"/>
        <v>0</v>
      </c>
    </row>
    <row r="16" spans="1:22" x14ac:dyDescent="0.15">
      <c r="A16" s="32" t="s">
        <v>52</v>
      </c>
      <c r="B16" s="32" t="s">
        <v>177</v>
      </c>
      <c r="C16" s="36" t="s">
        <v>53</v>
      </c>
      <c r="D16" s="36" t="s">
        <v>54</v>
      </c>
      <c r="E16" t="s">
        <v>64</v>
      </c>
      <c r="F16" t="s">
        <v>63</v>
      </c>
      <c r="G16" t="s">
        <v>66</v>
      </c>
      <c r="H16" t="s">
        <v>197</v>
      </c>
      <c r="I16" t="s">
        <v>67</v>
      </c>
      <c r="J16" t="s">
        <v>69</v>
      </c>
      <c r="M16" s="36" t="e">
        <f>VLOOKUP(L16,[1]characters!$A:$C,3,FALSE)</f>
        <v>#N/A</v>
      </c>
      <c r="N16" s="58"/>
      <c r="O16" s="36" t="e">
        <f>VLOOKUP(L16,[1]characters!$A:$I,9,FALSE)</f>
        <v>#N/A</v>
      </c>
      <c r="P16" s="36" t="e">
        <f>VLOOKUP(L16,[1]characters!$A:$J,10,FALSE)</f>
        <v>#N/A</v>
      </c>
      <c r="Q16" s="36" t="e">
        <f>VLOOKUP(L16,tables_547100!B:C,2,FALSE)</f>
        <v>#N/A</v>
      </c>
      <c r="R16" s="57">
        <f t="shared" si="1"/>
        <v>0</v>
      </c>
      <c r="S16">
        <v>396</v>
      </c>
      <c r="U16" s="32" t="s">
        <v>93</v>
      </c>
      <c r="V16" s="49">
        <f t="shared" si="0"/>
        <v>0</v>
      </c>
    </row>
    <row r="17" spans="1:19" x14ac:dyDescent="0.15">
      <c r="A17" s="32" t="s">
        <v>175</v>
      </c>
      <c r="B17" s="74">
        <f>E17*E6-B18</f>
        <v>5.9375000000000011E-2</v>
      </c>
      <c r="C17" s="77">
        <f t="shared" ref="C17:C34" si="2">SUMIF(Q:Q,A17,N:N)</f>
        <v>0</v>
      </c>
      <c r="D17" s="69">
        <f t="shared" ref="D17:D35" si="3">B17-C17</f>
        <v>5.9375000000000011E-2</v>
      </c>
      <c r="E17">
        <f>COUNTIF(tables_547100!C:C,input_547100!A17)-COUNTIF(Q:Q,A17)</f>
        <v>20</v>
      </c>
      <c r="F17" s="40">
        <f>IFERROR(B17/E17,0)</f>
        <v>2.9687500000000005E-3</v>
      </c>
      <c r="G17">
        <f t="shared" ref="G17:G28" si="4">A$39*B17</f>
        <v>342000.00000000006</v>
      </c>
      <c r="H17">
        <f t="shared" ref="H17:H34" si="5">IFERROR(ROUND(G17/E17,5),0)</f>
        <v>17100</v>
      </c>
      <c r="I17">
        <f t="shared" ref="I17:I34" si="6">MOD(H17,1)</f>
        <v>0</v>
      </c>
      <c r="J17">
        <f t="shared" ref="J17:J34" si="7">IFERROR(1/I17,1)</f>
        <v>1</v>
      </c>
      <c r="M17" s="36" t="e">
        <f>VLOOKUP(L17,[1]characters!$A:$C,3,FALSE)</f>
        <v>#N/A</v>
      </c>
      <c r="N17" s="58"/>
      <c r="O17" s="36" t="e">
        <f>VLOOKUP(L17,[1]characters!$A:$I,9,FALSE)</f>
        <v>#N/A</v>
      </c>
      <c r="P17" s="36" t="e">
        <f>VLOOKUP(L17,[1]characters!$A:$J,10,FALSE)</f>
        <v>#N/A</v>
      </c>
      <c r="Q17" s="36" t="e">
        <f>VLOOKUP(L17,tables_547100!B:C,2,FALSE)</f>
        <v>#N/A</v>
      </c>
      <c r="R17" s="57">
        <f t="shared" si="1"/>
        <v>0</v>
      </c>
      <c r="S17">
        <v>397</v>
      </c>
    </row>
    <row r="18" spans="1:19" x14ac:dyDescent="0.15">
      <c r="A18" s="32" t="s">
        <v>176</v>
      </c>
      <c r="B18" s="51">
        <f>E18*E6*SUM(B6:B7)</f>
        <v>0.13854166666666665</v>
      </c>
      <c r="C18" s="77">
        <f t="shared" si="2"/>
        <v>0</v>
      </c>
      <c r="D18" s="69">
        <f t="shared" si="3"/>
        <v>0.13854166666666665</v>
      </c>
      <c r="E18">
        <f>COUNTIF(tables_547100!C:C,input_547100!A18)-COUNTIF(Q:Q,A18)</f>
        <v>20</v>
      </c>
      <c r="F18" s="40">
        <f>IFERROR(B18/E18,0)</f>
        <v>6.927083333333332E-3</v>
      </c>
      <c r="G18">
        <f t="shared" si="4"/>
        <v>797999.99999999988</v>
      </c>
      <c r="H18">
        <f t="shared" si="5"/>
        <v>39900</v>
      </c>
      <c r="I18">
        <f t="shared" si="6"/>
        <v>0</v>
      </c>
      <c r="J18">
        <f t="shared" si="7"/>
        <v>1</v>
      </c>
      <c r="M18" s="36" t="e">
        <f>VLOOKUP(L18,[1]characters!$A:$C,3,FALSE)</f>
        <v>#N/A</v>
      </c>
      <c r="N18" s="58"/>
      <c r="O18" s="36" t="e">
        <f>VLOOKUP(L18,[1]characters!$A:$I,9,FALSE)</f>
        <v>#N/A</v>
      </c>
      <c r="P18" s="36" t="e">
        <f>VLOOKUP(L18,[1]characters!$A:$J,10,FALSE)</f>
        <v>#N/A</v>
      </c>
      <c r="Q18" s="36" t="e">
        <f>VLOOKUP(L18,tables_547100!B:C,2,FALSE)</f>
        <v>#N/A</v>
      </c>
      <c r="R18" s="57">
        <f t="shared" si="1"/>
        <v>0</v>
      </c>
      <c r="S18">
        <v>324</v>
      </c>
    </row>
    <row r="19" spans="1:19" x14ac:dyDescent="0.15">
      <c r="A19" s="32" t="s">
        <v>82</v>
      </c>
      <c r="B19" s="51">
        <f>E$6*E19*B$5</f>
        <v>0.15437499999999998</v>
      </c>
      <c r="C19" s="77">
        <f t="shared" si="2"/>
        <v>0</v>
      </c>
      <c r="D19" s="69">
        <f t="shared" si="3"/>
        <v>0.15437499999999998</v>
      </c>
      <c r="E19">
        <f>COUNTIF(tables_547100!C:C,input_547100!A19)-COUNTIF(Q:Q,A19)</f>
        <v>52</v>
      </c>
      <c r="F19" s="40">
        <f t="shared" ref="F19:F34" si="8">IFERROR(B19/E19,0)</f>
        <v>2.9687499999999996E-3</v>
      </c>
      <c r="G19">
        <f t="shared" si="4"/>
        <v>889199.99999999988</v>
      </c>
      <c r="H19">
        <f t="shared" si="5"/>
        <v>17100</v>
      </c>
      <c r="I19">
        <f t="shared" si="6"/>
        <v>0</v>
      </c>
      <c r="J19">
        <f t="shared" si="7"/>
        <v>1</v>
      </c>
      <c r="M19" s="36" t="e">
        <f>VLOOKUP(L19,[1]characters!$A:$C,3,FALSE)</f>
        <v>#N/A</v>
      </c>
      <c r="N19" s="58"/>
      <c r="O19" s="36" t="e">
        <f>VLOOKUP(L19,[1]characters!$A:$I,9,FALSE)</f>
        <v>#N/A</v>
      </c>
      <c r="P19" s="36" t="e">
        <f>VLOOKUP(L19,[1]characters!$A:$J,10,FALSE)</f>
        <v>#N/A</v>
      </c>
      <c r="Q19" s="36" t="e">
        <f>VLOOKUP(L19,tables_547100!B:C,2,FALSE)</f>
        <v>#N/A</v>
      </c>
      <c r="R19" s="57">
        <f t="shared" si="1"/>
        <v>0</v>
      </c>
      <c r="S19">
        <v>325</v>
      </c>
    </row>
    <row r="20" spans="1:19" x14ac:dyDescent="0.15">
      <c r="A20" s="32" t="s">
        <v>83</v>
      </c>
      <c r="B20" s="84">
        <f>E$6*E20-B19-B21</f>
        <v>0.23958333333333326</v>
      </c>
      <c r="C20" s="77">
        <f t="shared" si="2"/>
        <v>0</v>
      </c>
      <c r="D20" s="69">
        <f t="shared" si="3"/>
        <v>0.23958333333333326</v>
      </c>
      <c r="E20">
        <f>COUNTIF(tables_547100!C:C,input_547100!A20)-COUNTIF(Q:Q,A20)</f>
        <v>52</v>
      </c>
      <c r="F20" s="40">
        <f t="shared" si="8"/>
        <v>4.6073717948717932E-3</v>
      </c>
      <c r="G20">
        <f t="shared" si="4"/>
        <v>1379999.9999999995</v>
      </c>
      <c r="H20">
        <f t="shared" si="5"/>
        <v>26538.46154</v>
      </c>
      <c r="I20">
        <f t="shared" si="6"/>
        <v>0.46154000000024098</v>
      </c>
      <c r="J20">
        <f t="shared" si="7"/>
        <v>2.166659444467387</v>
      </c>
      <c r="M20" s="36" t="e">
        <f>VLOOKUP(L20,[1]characters!$A:$C,3,FALSE)</f>
        <v>#N/A</v>
      </c>
      <c r="N20" s="58"/>
      <c r="O20" s="36" t="e">
        <f>VLOOKUP(L20,[1]characters!$A:$I,9,FALSE)</f>
        <v>#N/A</v>
      </c>
      <c r="P20" s="36" t="e">
        <f>VLOOKUP(L20,[1]characters!$A:$J,10,FALSE)</f>
        <v>#N/A</v>
      </c>
      <c r="Q20" s="36" t="e">
        <f>VLOOKUP(L20,tables_547100!B:C,2,FALSE)</f>
        <v>#N/A</v>
      </c>
      <c r="R20" s="57">
        <f t="shared" si="1"/>
        <v>0</v>
      </c>
      <c r="S20">
        <v>809</v>
      </c>
    </row>
    <row r="21" spans="1:19" x14ac:dyDescent="0.15">
      <c r="A21" s="32" t="s">
        <v>84</v>
      </c>
      <c r="B21" s="51">
        <f>B7-B23-B26-B28-B29-B30</f>
        <v>0.12062500000000004</v>
      </c>
      <c r="C21" s="77">
        <f t="shared" si="2"/>
        <v>0</v>
      </c>
      <c r="D21" s="69">
        <f t="shared" si="3"/>
        <v>0.12062500000000004</v>
      </c>
      <c r="E21">
        <f>COUNTIF(tables_547100!C:C,input_547100!A21)-COUNTIF(Q:Q,A21)</f>
        <v>52</v>
      </c>
      <c r="F21" s="40">
        <f t="shared" si="8"/>
        <v>2.3197115384615392E-3</v>
      </c>
      <c r="G21">
        <f t="shared" si="4"/>
        <v>694800.00000000023</v>
      </c>
      <c r="H21">
        <f t="shared" si="5"/>
        <v>13361.53846</v>
      </c>
      <c r="I21">
        <f t="shared" si="6"/>
        <v>0.53845999999975902</v>
      </c>
      <c r="J21">
        <f t="shared" si="7"/>
        <v>1.8571481632812976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32" t="s">
        <v>181</v>
      </c>
      <c r="B22" s="70">
        <f>E$6*E22-B23</f>
        <v>0.14645833333333333</v>
      </c>
      <c r="C22" s="77">
        <f t="shared" si="2"/>
        <v>0</v>
      </c>
      <c r="D22" s="69">
        <f t="shared" si="3"/>
        <v>0.14645833333333333</v>
      </c>
      <c r="E22">
        <f>COUNTIF(tables_547100!C:C,input_547100!A22)-COUNTIF(Q:Q,A22)</f>
        <v>20</v>
      </c>
      <c r="F22" s="40">
        <f t="shared" si="8"/>
        <v>7.3229166666666668E-3</v>
      </c>
      <c r="G22">
        <f t="shared" si="4"/>
        <v>843600</v>
      </c>
      <c r="H22">
        <f t="shared" si="5"/>
        <v>42180</v>
      </c>
      <c r="I22">
        <f t="shared" si="6"/>
        <v>0</v>
      </c>
      <c r="J22">
        <f t="shared" si="7"/>
        <v>1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32" t="s">
        <v>182</v>
      </c>
      <c r="B23" s="65">
        <f>E23*E6*B7</f>
        <v>5.1458333333333328E-2</v>
      </c>
      <c r="C23" s="77">
        <f t="shared" si="2"/>
        <v>0</v>
      </c>
      <c r="D23" s="69">
        <f t="shared" si="3"/>
        <v>5.1458333333333328E-2</v>
      </c>
      <c r="E23">
        <f>COUNTIF(tables_547100!C:C,input_547100!A23)-COUNTIF(Q:Q,A23)</f>
        <v>26</v>
      </c>
      <c r="F23" s="40">
        <f t="shared" si="8"/>
        <v>1.9791666666666664E-3</v>
      </c>
      <c r="G23">
        <f t="shared" si="4"/>
        <v>296399.99999999994</v>
      </c>
      <c r="H23">
        <f t="shared" si="5"/>
        <v>11400</v>
      </c>
      <c r="I23">
        <f t="shared" si="6"/>
        <v>0</v>
      </c>
      <c r="J23">
        <f t="shared" si="7"/>
        <v>1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32" t="s">
        <v>178</v>
      </c>
      <c r="B24" s="51">
        <f>E$6*E24*B$5</f>
        <v>1.1874999999999998E-2</v>
      </c>
      <c r="C24" s="77">
        <f t="shared" si="2"/>
        <v>0</v>
      </c>
      <c r="D24" s="69">
        <f t="shared" si="3"/>
        <v>1.1874999999999998E-2</v>
      </c>
      <c r="E24">
        <f>COUNTIF(tables_547100!C:C,input_547100!A24)-COUNTIF(Q:Q,A24)</f>
        <v>4</v>
      </c>
      <c r="F24" s="40">
        <f t="shared" si="8"/>
        <v>2.9687499999999996E-3</v>
      </c>
      <c r="G24">
        <f t="shared" si="4"/>
        <v>68399.999999999985</v>
      </c>
      <c r="H24">
        <f t="shared" si="5"/>
        <v>17100</v>
      </c>
      <c r="I24">
        <f t="shared" si="6"/>
        <v>0</v>
      </c>
      <c r="J24">
        <f t="shared" si="7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32" t="s">
        <v>179</v>
      </c>
      <c r="B25" s="51">
        <f>E$6*B$6*E25</f>
        <v>1.9791666666666666E-2</v>
      </c>
      <c r="C25" s="77">
        <f t="shared" si="2"/>
        <v>0</v>
      </c>
      <c r="D25" s="69">
        <f t="shared" si="3"/>
        <v>1.9791666666666666E-2</v>
      </c>
      <c r="E25">
        <f>COUNTIF(tables_547100!C:C,input_547100!A25)-COUNTIF(Q:Q,A25)</f>
        <v>4</v>
      </c>
      <c r="F25" s="40">
        <f t="shared" si="8"/>
        <v>4.9479166666666664E-3</v>
      </c>
      <c r="G25">
        <f t="shared" si="4"/>
        <v>114000</v>
      </c>
      <c r="H25">
        <f t="shared" si="5"/>
        <v>28500</v>
      </c>
      <c r="I25">
        <f t="shared" si="6"/>
        <v>0</v>
      </c>
      <c r="J25">
        <f t="shared" si="7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32" t="s">
        <v>180</v>
      </c>
      <c r="B26" s="51">
        <f>E$6*B$7*E26</f>
        <v>7.9166666666666673E-3</v>
      </c>
      <c r="C26" s="77">
        <f t="shared" si="2"/>
        <v>0</v>
      </c>
      <c r="D26" s="69">
        <f t="shared" si="3"/>
        <v>7.9166666666666673E-3</v>
      </c>
      <c r="E26">
        <f>COUNTIF(tables_547100!C:C,input_547100!A26)-COUNTIF(Q:Q,A26)</f>
        <v>4</v>
      </c>
      <c r="F26" s="40">
        <f t="shared" si="8"/>
        <v>1.9791666666666668E-3</v>
      </c>
      <c r="G26">
        <f t="shared" si="4"/>
        <v>45600.000000000007</v>
      </c>
      <c r="H26">
        <f t="shared" si="5"/>
        <v>11400</v>
      </c>
      <c r="I26">
        <f t="shared" si="6"/>
        <v>0</v>
      </c>
      <c r="J26">
        <f t="shared" si="7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32" t="s">
        <v>91</v>
      </c>
      <c r="B27" s="92">
        <f>B11-(B28+B30)</f>
        <v>0.03</v>
      </c>
      <c r="C27" s="77">
        <f t="shared" si="2"/>
        <v>0</v>
      </c>
      <c r="D27" s="69">
        <f t="shared" si="3"/>
        <v>0.03</v>
      </c>
      <c r="E27">
        <f>COUNTIF(tables_547100!C:C,input_547100!A27)-COUNTIF(Q:Q,A27)</f>
        <v>28</v>
      </c>
      <c r="F27" s="40">
        <f>IFERROR(B27/E27,0)</f>
        <v>1.0714285714285715E-3</v>
      </c>
      <c r="G27">
        <f t="shared" si="4"/>
        <v>172800</v>
      </c>
      <c r="H27">
        <f t="shared" si="5"/>
        <v>6171.42857</v>
      </c>
      <c r="I27">
        <f t="shared" si="6"/>
        <v>0.42857000000003609</v>
      </c>
      <c r="J27">
        <f t="shared" si="7"/>
        <v>2.3333411111368405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32" t="s">
        <v>92</v>
      </c>
      <c r="B28" s="51">
        <f>E$5*E28*0.4</f>
        <v>7.7777777777777784E-3</v>
      </c>
      <c r="C28" s="77">
        <f t="shared" si="2"/>
        <v>0</v>
      </c>
      <c r="D28" s="69">
        <f t="shared" si="3"/>
        <v>7.7777777777777784E-3</v>
      </c>
      <c r="E28">
        <f>COUNTIF(tables_547100!C:C,input_547100!A28)-COUNTIF(Q:Q,A28)</f>
        <v>28</v>
      </c>
      <c r="F28" s="40">
        <f t="shared" si="8"/>
        <v>2.7777777777777778E-4</v>
      </c>
      <c r="G28">
        <f t="shared" si="4"/>
        <v>44800.000000000007</v>
      </c>
      <c r="H28">
        <f t="shared" si="5"/>
        <v>1600</v>
      </c>
      <c r="I28">
        <f t="shared" si="6"/>
        <v>0</v>
      </c>
      <c r="J28">
        <f t="shared" si="7"/>
        <v>1</v>
      </c>
      <c r="L28" s="52"/>
      <c r="M28" s="52"/>
      <c r="N28" s="53"/>
      <c r="O28" s="52"/>
      <c r="P28" s="52"/>
      <c r="Q28" s="52"/>
      <c r="R28" s="54"/>
    </row>
    <row r="29" spans="1:19" x14ac:dyDescent="0.15">
      <c r="A29" s="32" t="s">
        <v>237</v>
      </c>
      <c r="B29" s="51">
        <f>E$5*E29</f>
        <v>0</v>
      </c>
      <c r="C29" s="77">
        <f t="shared" si="2"/>
        <v>0</v>
      </c>
      <c r="D29" s="69"/>
      <c r="E29">
        <f>COUNTIF(tables_547100!C:C,input_547100!A29)-COUNTIF(Q:Q,A29)</f>
        <v>0</v>
      </c>
      <c r="F29" s="40">
        <f t="shared" ref="F29:F30" si="9">IFERROR(B29/E29,0)</f>
        <v>0</v>
      </c>
      <c r="G29">
        <f t="shared" ref="G29:G30" si="10">A$39*B29</f>
        <v>0</v>
      </c>
      <c r="H29">
        <f t="shared" ref="H29:H30" si="11">IFERROR(ROUND(G29/E29,5),0)</f>
        <v>0</v>
      </c>
      <c r="I29">
        <f t="shared" ref="I29:I30" si="12">MOD(H29,1)</f>
        <v>0</v>
      </c>
      <c r="J29">
        <f t="shared" ref="J29:J30" si="13">IFERROR(1/I29,1)</f>
        <v>1</v>
      </c>
      <c r="L29" s="52"/>
      <c r="M29" s="52"/>
      <c r="N29" s="53"/>
      <c r="O29" s="52"/>
      <c r="P29" s="52"/>
      <c r="Q29" s="52"/>
      <c r="R29" s="54"/>
    </row>
    <row r="30" spans="1:19" ht="15" customHeight="1" x14ac:dyDescent="0.15">
      <c r="A30" s="32" t="s">
        <v>184</v>
      </c>
      <c r="B30" s="51">
        <f>E$5*E30*0.4</f>
        <v>1.2222222222222225E-2</v>
      </c>
      <c r="C30" s="77">
        <f t="shared" si="2"/>
        <v>0</v>
      </c>
      <c r="D30" s="69"/>
      <c r="E30">
        <f>COUNTIF(tables_547100!C:C,input_547100!A30)-COUNTIF(Q:Q,A30)</f>
        <v>44</v>
      </c>
      <c r="F30" s="40">
        <f t="shared" si="9"/>
        <v>2.7777777777777783E-4</v>
      </c>
      <c r="G30">
        <f t="shared" si="10"/>
        <v>70400.000000000015</v>
      </c>
      <c r="H30">
        <f t="shared" si="11"/>
        <v>1600</v>
      </c>
      <c r="I30">
        <f t="shared" si="12"/>
        <v>0</v>
      </c>
      <c r="J30">
        <f t="shared" si="13"/>
        <v>1</v>
      </c>
      <c r="L30" s="52"/>
      <c r="M30" s="52"/>
      <c r="N30" s="53"/>
      <c r="O30" s="52"/>
      <c r="P30" s="52"/>
      <c r="Q30" s="52"/>
      <c r="R30" s="54"/>
    </row>
    <row r="31" spans="1:19" ht="15" customHeight="1" x14ac:dyDescent="0.15">
      <c r="A31" s="32" t="s">
        <v>240</v>
      </c>
      <c r="B31" s="51">
        <f>E$5*E31*0.4</f>
        <v>0</v>
      </c>
      <c r="C31" s="77">
        <f t="shared" si="2"/>
        <v>0</v>
      </c>
      <c r="D31" s="69"/>
      <c r="E31">
        <f>COUNTIF(tables_547100!C:C,input_547100!A31)-COUNTIF(Q:Q,A31)</f>
        <v>0</v>
      </c>
      <c r="F31" s="40">
        <f t="shared" ref="F31" si="14">IFERROR(B31/E31,0)</f>
        <v>0</v>
      </c>
      <c r="G31">
        <f t="shared" ref="G31" si="15">A$39*B31</f>
        <v>0</v>
      </c>
      <c r="H31">
        <f t="shared" ref="H31" si="16">IFERROR(ROUND(G31/E31,5),0)</f>
        <v>0</v>
      </c>
      <c r="I31">
        <f t="shared" ref="I31" si="17">MOD(H31,1)</f>
        <v>0</v>
      </c>
      <c r="J31">
        <f t="shared" ref="J31" si="18">IFERROR(1/I31,1)</f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2" t="s">
        <v>224</v>
      </c>
      <c r="B32" s="51">
        <f>E$5*E32</f>
        <v>0</v>
      </c>
      <c r="C32" s="77">
        <f t="shared" si="2"/>
        <v>0</v>
      </c>
      <c r="D32" s="69">
        <f t="shared" si="3"/>
        <v>0</v>
      </c>
      <c r="E32">
        <f>COUNTIF(tables_547100!C:C,input_547100!A32)-COUNTIF(Q:Q,A32)</f>
        <v>0</v>
      </c>
      <c r="F32" s="40">
        <f t="shared" si="8"/>
        <v>0</v>
      </c>
      <c r="G32">
        <f>A$39*B32</f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2"/>
      <c r="M32" s="52"/>
      <c r="N32" s="53"/>
      <c r="O32" s="52"/>
      <c r="P32" s="52"/>
      <c r="Q32" s="52"/>
      <c r="R32" s="54"/>
    </row>
    <row r="33" spans="1:18" x14ac:dyDescent="0.15">
      <c r="A33" s="32" t="s">
        <v>225</v>
      </c>
      <c r="B33" s="51">
        <f>E$5*E33</f>
        <v>0</v>
      </c>
      <c r="C33" s="77">
        <f t="shared" si="2"/>
        <v>0</v>
      </c>
      <c r="D33" s="69">
        <f t="shared" si="3"/>
        <v>0</v>
      </c>
      <c r="E33">
        <f>COUNTIF(tables_547100!C:C,input_547100!A33)-COUNTIF(Q:Q,A33)</f>
        <v>0</v>
      </c>
      <c r="F33" s="40">
        <f t="shared" si="8"/>
        <v>0</v>
      </c>
      <c r="G33">
        <f>A$39*B33</f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2"/>
      <c r="M33" s="52"/>
      <c r="N33" s="53"/>
      <c r="O33" s="52"/>
      <c r="P33" s="52"/>
      <c r="Q33" s="52"/>
      <c r="R33" s="54"/>
    </row>
    <row r="34" spans="1:18" x14ac:dyDescent="0.15">
      <c r="A34" s="32" t="s">
        <v>236</v>
      </c>
      <c r="B34" s="51">
        <f>E$5*E34</f>
        <v>0</v>
      </c>
      <c r="C34" s="77">
        <f t="shared" si="2"/>
        <v>0</v>
      </c>
      <c r="D34" s="69">
        <f t="shared" si="3"/>
        <v>0</v>
      </c>
      <c r="E34">
        <f>COUNTIF(tables_547100!C:C,input_547100!A34)-COUNTIF(Q:Q,A34)</f>
        <v>0</v>
      </c>
      <c r="F34" s="40">
        <f t="shared" si="8"/>
        <v>0</v>
      </c>
      <c r="G34">
        <f>A$39*B34</f>
        <v>0</v>
      </c>
      <c r="H34">
        <f t="shared" si="5"/>
        <v>0</v>
      </c>
      <c r="I34">
        <f t="shared" si="6"/>
        <v>0</v>
      </c>
      <c r="J34">
        <f t="shared" si="7"/>
        <v>1</v>
      </c>
      <c r="L34" s="52"/>
      <c r="M34" s="52"/>
      <c r="N34" s="53"/>
      <c r="O34" s="52"/>
      <c r="P34" s="52"/>
      <c r="Q34" s="52"/>
      <c r="R34" s="54"/>
    </row>
    <row r="35" spans="1:18" x14ac:dyDescent="0.15">
      <c r="A35" s="38" t="s">
        <v>51</v>
      </c>
      <c r="B35" s="94">
        <f>SUM(B17:B34)</f>
        <v>1</v>
      </c>
      <c r="C35" s="95">
        <f>SUM(C19:C34)</f>
        <v>0</v>
      </c>
      <c r="D35" s="39">
        <f t="shared" si="3"/>
        <v>1</v>
      </c>
      <c r="L35" s="52"/>
      <c r="M35" s="52"/>
      <c r="N35" s="52"/>
      <c r="O35" s="52"/>
      <c r="P35" s="52"/>
      <c r="Q35" s="52"/>
      <c r="R35" s="54"/>
    </row>
    <row r="37" spans="1:18" x14ac:dyDescent="0.15">
      <c r="E37" s="50"/>
      <c r="F37" s="50"/>
    </row>
    <row r="38" spans="1:18" x14ac:dyDescent="0.15">
      <c r="A38" t="s">
        <v>65</v>
      </c>
    </row>
    <row r="39" spans="1:18" x14ac:dyDescent="0.15">
      <c r="A39" s="30">
        <f>LCM(F5-I5,F6-I6)*1000*2*2*5</f>
        <v>5760000</v>
      </c>
    </row>
    <row r="41" spans="1:18" x14ac:dyDescent="0.15">
      <c r="A41" s="44" t="s">
        <v>68</v>
      </c>
    </row>
    <row r="42" spans="1:18" x14ac:dyDescent="0.15">
      <c r="A42" s="32" t="s">
        <v>52</v>
      </c>
      <c r="B42" t="s">
        <v>66</v>
      </c>
      <c r="C42" t="s">
        <v>85</v>
      </c>
      <c r="E42" t="s">
        <v>86</v>
      </c>
      <c r="F42" t="s">
        <v>2</v>
      </c>
      <c r="G42" t="s">
        <v>55</v>
      </c>
    </row>
    <row r="43" spans="1:18" x14ac:dyDescent="0.15">
      <c r="A43" s="32" t="s">
        <v>88</v>
      </c>
      <c r="B43">
        <f ca="1">SUMIF(tables_547100!C:C,input_547100!A43,tables_547100!O:O)</f>
        <v>889200</v>
      </c>
      <c r="C43" s="49">
        <f t="shared" ref="C43:C49" ca="1" si="19">B43/B$50</f>
        <v>0.27948202162785357</v>
      </c>
      <c r="E43">
        <v>3</v>
      </c>
      <c r="F43">
        <f ca="1">SUMIF(tables_547100!J:J,input_547100!E43,tables_547100!O:O)</f>
        <v>1299600</v>
      </c>
      <c r="G43">
        <f ca="1">F43/A39</f>
        <v>0.22562499999999999</v>
      </c>
    </row>
    <row r="44" spans="1:18" x14ac:dyDescent="0.15">
      <c r="A44" s="32" t="s">
        <v>89</v>
      </c>
      <c r="B44">
        <f ca="1">SUMIF(tables_547100!C:C,input_547100!A44,tables_547100!O:O)</f>
        <v>1380000.0000800013</v>
      </c>
      <c r="C44" s="49">
        <f t="shared" ca="1" si="19"/>
        <v>0.43374402819252905</v>
      </c>
      <c r="E44">
        <v>4</v>
      </c>
      <c r="F44">
        <f ca="1">SUMIF(tables_547100!J:J,input_547100!E44,tables_547100!O:O)</f>
        <v>3308400.0000400022</v>
      </c>
      <c r="G44">
        <f ca="1">F44/A39</f>
        <v>0.57437500000694486</v>
      </c>
    </row>
    <row r="45" spans="1:18" x14ac:dyDescent="0.15">
      <c r="A45" s="32" t="s">
        <v>91</v>
      </c>
      <c r="B45">
        <f ca="1">SUMIF(tables_547100!C:C,input_547100!A45,tables_547100!O:O)</f>
        <v>172799.99995999999</v>
      </c>
      <c r="C45" s="49">
        <f t="shared" ca="1" si="19"/>
        <v>5.4312295688387101E-2</v>
      </c>
      <c r="E45">
        <v>5</v>
      </c>
      <c r="F45">
        <f ca="1">SUMIF(tables_547100!J:J,input_547100!E45,tables_547100!O:O)</f>
        <v>1151999.9999199994</v>
      </c>
      <c r="G45" s="93">
        <f ca="1">F45/A39</f>
        <v>0.19999999998611101</v>
      </c>
      <c r="J45">
        <f>16.4-0.35</f>
        <v>16.049999999999997</v>
      </c>
    </row>
    <row r="46" spans="1:18" x14ac:dyDescent="0.15">
      <c r="A46" s="32" t="s">
        <v>94</v>
      </c>
      <c r="B46">
        <f>SUMIF(tables_547100!C:C,input_547100!A46,tables_547100!O:O)</f>
        <v>0</v>
      </c>
      <c r="C46" s="49">
        <f t="shared" ca="1" si="19"/>
        <v>0</v>
      </c>
      <c r="F46" s="50"/>
    </row>
    <row r="47" spans="1:18" x14ac:dyDescent="0.15">
      <c r="A47" s="32" t="s">
        <v>90</v>
      </c>
      <c r="B47">
        <f ca="1">SUMIF(tables_547100!C:C,input_547100!A47,tables_547100!O:O)</f>
        <v>694799.99991999974</v>
      </c>
      <c r="C47" s="49">
        <f t="shared" ca="1" si="19"/>
        <v>0.21838068893912957</v>
      </c>
      <c r="E47" t="s">
        <v>46</v>
      </c>
      <c r="F47" s="50"/>
    </row>
    <row r="48" spans="1:18" x14ac:dyDescent="0.15">
      <c r="A48" s="32" t="s">
        <v>92</v>
      </c>
      <c r="B48">
        <f ca="1">SUMIF(tables_547100!C:C,input_547100!A48,tables_547100!O:O)</f>
        <v>44800</v>
      </c>
      <c r="C48" s="49">
        <f t="shared" ca="1" si="19"/>
        <v>1.4080965552100583E-2</v>
      </c>
      <c r="E48" t="s">
        <v>189</v>
      </c>
      <c r="F48" s="50">
        <f ca="1">SUMIF(tables_547100!I:I,input_547100!E48,tables_547100!P:P)</f>
        <v>0.20979166666812346</v>
      </c>
    </row>
    <row r="49" spans="1:7" x14ac:dyDescent="0.15">
      <c r="A49" s="32" t="s">
        <v>93</v>
      </c>
      <c r="B49">
        <f>SUMIF(tables_547100!C:C,input_547100!A49,tables_547100!O:O)</f>
        <v>0</v>
      </c>
      <c r="C49" s="49">
        <f t="shared" ca="1" si="19"/>
        <v>0</v>
      </c>
      <c r="E49" t="s">
        <v>190</v>
      </c>
      <c r="F49" s="50">
        <f ca="1">SUMIF(tables_547100!I:I,input_547100!E49,tables_547100!P:P)</f>
        <v>0.19791666666804097</v>
      </c>
    </row>
    <row r="50" spans="1:7" x14ac:dyDescent="0.15">
      <c r="A50" s="38" t="s">
        <v>51</v>
      </c>
      <c r="B50">
        <f ca="1">SUM(B43:B49)</f>
        <v>3181599.9999600016</v>
      </c>
      <c r="C50" s="50">
        <f ca="1">SUM(C43:C49)</f>
        <v>0.99999999999999989</v>
      </c>
      <c r="E50" t="s">
        <v>191</v>
      </c>
      <c r="F50" s="50">
        <f ca="1">SUMIF(tables_547100!I:I,input_547100!E50,tables_547100!P:P)</f>
        <v>0.54229166667043227</v>
      </c>
    </row>
    <row r="51" spans="1:7" x14ac:dyDescent="0.15">
      <c r="E51" t="s">
        <v>192</v>
      </c>
      <c r="F51" s="50">
        <f ca="1">SUMIF(tables_547100!I:I,input_547100!E51,tables_547100!P:P)</f>
        <v>4.7499999993385458E-2</v>
      </c>
      <c r="G51" s="50"/>
    </row>
    <row r="52" spans="1:7" x14ac:dyDescent="0.15">
      <c r="E52" t="s">
        <v>233</v>
      </c>
      <c r="F52" s="50">
        <f ca="1">SUMIF(tables_547100!I:I,input_547100!E52,tables_547100!P:P)</f>
        <v>2.5000000000173603E-3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5"/>
  <sheetViews>
    <sheetView showGridLines="0" zoomScale="75" zoomScaleNormal="75" zoomScalePageLayoutView="75" workbookViewId="0">
      <pane ySplit="1" topLeftCell="A123" activePane="bottomLeft" state="frozen"/>
      <selection activeCell="H276" sqref="H276"/>
      <selection pane="bottomLeft" activeCell="H139" sqref="H13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76</v>
      </c>
      <c r="B1" s="14" t="s">
        <v>1</v>
      </c>
      <c r="C1" s="3" t="s">
        <v>23</v>
      </c>
      <c r="D1" s="3" t="s">
        <v>80</v>
      </c>
      <c r="E1" s="3" t="s">
        <v>173</v>
      </c>
      <c r="F1" s="3" t="s">
        <v>174</v>
      </c>
      <c r="G1" s="3" t="s">
        <v>87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50</v>
      </c>
      <c r="O1" s="14" t="s">
        <v>2</v>
      </c>
      <c r="P1" s="3" t="s">
        <v>55</v>
      </c>
      <c r="Q1" s="14" t="s">
        <v>30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input_547100!A$2</f>
        <v>547100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2">
        <f ca="1">IFERROR(VLOOKUP(B2,input_547100!L:R,7,FALSE),VLOOKUP(tables_547100!C2,input_547100!A:H,8,FALSE))</f>
        <v>17100</v>
      </c>
      <c r="P2" s="43">
        <f ca="1">O2/SUM(O:O)</f>
        <v>2.9687500000206151E-3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input_547100!A$2</f>
        <v>547100</v>
      </c>
      <c r="B3" s="6">
        <v>127</v>
      </c>
      <c r="C3" s="7" t="str">
        <f t="shared" si="0"/>
        <v>PremiumW4</v>
      </c>
      <c r="D3" s="7" t="str">
        <f t="shared" ref="D3:D66" si="1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2">
        <f ca="1">IFERROR(VLOOKUP(B3,input_547100!L:R,7,FALSE),VLOOKUP(tables_547100!C3,input_547100!A:H,8,FALSE))</f>
        <v>39900</v>
      </c>
      <c r="P3" s="43">
        <f ca="1">O3/SUM(O:O)</f>
        <v>6.927083333381435E-3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input_547100!A$2</f>
        <v>547100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2">
        <f ca="1">IFERROR(VLOOKUP(B4,input_547100!L:R,7,FALSE),VLOOKUP(tables_547100!C4,input_547100!A:H,8,FALSE))</f>
        <v>17100</v>
      </c>
      <c r="P4" s="43">
        <f ca="1">O4/SUM(O:O)</f>
        <v>2.9687500000206151E-3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input_547100!A$2</f>
        <v>547100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2">
        <f ca="1">IFERROR(VLOOKUP(B5,input_547100!L:R,7,FALSE),VLOOKUP(tables_547100!C5,input_547100!A:H,8,FALSE))</f>
        <v>39900</v>
      </c>
      <c r="P5" s="43">
        <f ca="1">O5/SUM(O:O)</f>
        <v>6.927083333381435E-3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input_547100!A$2</f>
        <v>547100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2">
        <f ca="1">IFERROR(VLOOKUP(B6,input_547100!L:R,7,FALSE),VLOOKUP(tables_547100!C6,input_547100!A:H,8,FALSE))</f>
        <v>17100</v>
      </c>
      <c r="P6" s="43">
        <f ca="1">O6/SUM(O:O)</f>
        <v>2.9687500000206151E-3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input_547100!A$2</f>
        <v>547100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2">
        <f ca="1">IFERROR(VLOOKUP(B7,input_547100!L:R,7,FALSE),VLOOKUP(tables_547100!C7,input_547100!A:H,8,FALSE))</f>
        <v>39900</v>
      </c>
      <c r="P7" s="43">
        <f ca="1">O7/SUM(O:O)</f>
        <v>6.927083333381435E-3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input_547100!A$2</f>
        <v>547100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2">
        <f ca="1">IFERROR(VLOOKUP(B8,input_547100!L:R,7,FALSE),VLOOKUP(tables_547100!C8,input_547100!A:H,8,FALSE))</f>
        <v>17100</v>
      </c>
      <c r="P8" s="43">
        <f ca="1">O8/SUM(O:O)</f>
        <v>2.9687500000206151E-3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input_547100!A$2</f>
        <v>547100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2">
        <f ca="1">IFERROR(VLOOKUP(B9,input_547100!L:R,7,FALSE),VLOOKUP(tables_547100!C9,input_547100!A:H,8,FALSE))</f>
        <v>39900</v>
      </c>
      <c r="P9" s="43">
        <f ca="1">O9/SUM(O:O)</f>
        <v>6.927083333381435E-3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input_547100!A$2</f>
        <v>547100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2">
        <f ca="1">IFERROR(VLOOKUP(B10,input_547100!L:R,7,FALSE),VLOOKUP(tables_547100!C10,input_547100!A:H,8,FALSE))</f>
        <v>17100</v>
      </c>
      <c r="P10" s="43">
        <f ca="1">O10/SUM(O:O)</f>
        <v>2.9687500000206151E-3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input_547100!A$2</f>
        <v>547100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2">
        <f ca="1">IFERROR(VLOOKUP(B11,input_547100!L:R,7,FALSE),VLOOKUP(tables_547100!C11,input_547100!A:H,8,FALSE))</f>
        <v>39900</v>
      </c>
      <c r="P11" s="43">
        <f ca="1">O11/SUM(O:O)</f>
        <v>6.927083333381435E-3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input_547100!A$2</f>
        <v>547100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2">
        <f ca="1">IFERROR(VLOOKUP(B12,input_547100!L:R,7,FALSE),VLOOKUP(tables_547100!C12,input_547100!A:H,8,FALSE))</f>
        <v>17100</v>
      </c>
      <c r="P12" s="43">
        <f ca="1">O12/SUM(O:O)</f>
        <v>2.9687500000206151E-3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input_547100!A$2</f>
        <v>547100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f ca="1">IFERROR(VLOOKUP(B13,input_547100!L:R,7,FALSE),VLOOKUP(tables_547100!C13,input_547100!A:H,8,FALSE))</f>
        <v>39900</v>
      </c>
      <c r="P13" s="43">
        <f ca="1">O13/SUM(O:O)</f>
        <v>6.927083333381435E-3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input_547100!A$2</f>
        <v>547100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2">
        <f ca="1">IFERROR(VLOOKUP(B14,input_547100!L:R,7,FALSE),VLOOKUP(tables_547100!C14,input_547100!A:H,8,FALSE))</f>
        <v>17100</v>
      </c>
      <c r="P14" s="43">
        <f ca="1">O14/SUM(O:O)</f>
        <v>2.9687500000206151E-3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input_547100!A$2</f>
        <v>547100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2">
        <f ca="1">IFERROR(VLOOKUP(B15,input_547100!L:R,7,FALSE),VLOOKUP(tables_547100!C15,input_547100!A:H,8,FALSE))</f>
        <v>39900</v>
      </c>
      <c r="P15" s="43">
        <f ca="1">O15/SUM(O:O)</f>
        <v>6.927083333381435E-3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input_547100!A$2</f>
        <v>547100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2">
        <f ca="1">IFERROR(VLOOKUP(B16,input_547100!L:R,7,FALSE),VLOOKUP(tables_547100!C16,input_547100!A:H,8,FALSE))</f>
        <v>17100</v>
      </c>
      <c r="P16" s="43">
        <f ca="1">O16/SUM(O:O)</f>
        <v>2.9687500000206151E-3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input_547100!A$2</f>
        <v>547100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2">
        <f ca="1">IFERROR(VLOOKUP(B17,input_547100!L:R,7,FALSE),VLOOKUP(tables_547100!C17,input_547100!A:H,8,FALSE))</f>
        <v>39900</v>
      </c>
      <c r="P17" s="43">
        <f ca="1">O17/SUM(O:O)</f>
        <v>6.927083333381435E-3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input_547100!A$2</f>
        <v>547100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2">
        <f ca="1">IFERROR(VLOOKUP(B18,input_547100!L:R,7,FALSE),VLOOKUP(tables_547100!C18,input_547100!A:H,8,FALSE))</f>
        <v>17100</v>
      </c>
      <c r="P18" s="43">
        <f ca="1">O18/SUM(O:O)</f>
        <v>2.9687500000206151E-3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input_547100!A$2</f>
        <v>547100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2">
        <f ca="1">IFERROR(VLOOKUP(B19,input_547100!L:R,7,FALSE),VLOOKUP(tables_547100!C19,input_547100!A:H,8,FALSE))</f>
        <v>39900</v>
      </c>
      <c r="P19" s="43">
        <f ca="1">O19/SUM(O:O)</f>
        <v>6.927083333381435E-3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input_547100!A$2</f>
        <v>547100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2">
        <f ca="1">IFERROR(VLOOKUP(B20,input_547100!L:R,7,FALSE),VLOOKUP(tables_547100!C20,input_547100!A:H,8,FALSE))</f>
        <v>17100</v>
      </c>
      <c r="P20" s="43">
        <f ca="1">O20/SUM(O:O)</f>
        <v>2.9687500000206151E-3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input_547100!A$2</f>
        <v>547100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2">
        <f ca="1">IFERROR(VLOOKUP(B21,input_547100!L:R,7,FALSE),VLOOKUP(tables_547100!C21,input_547100!A:H,8,FALSE))</f>
        <v>39900</v>
      </c>
      <c r="P21" s="43">
        <f ca="1">O21/SUM(O:O)</f>
        <v>6.927083333381435E-3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input_547100!A$2</f>
        <v>547100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f ca="1">IFERROR(VLOOKUP(B22,input_547100!L:R,7,FALSE),VLOOKUP(tables_547100!C22,input_547100!A:H,8,FALSE))</f>
        <v>17100</v>
      </c>
      <c r="P22" s="43">
        <f ca="1">O22/SUM(O:O)</f>
        <v>2.9687500000206151E-3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input_547100!A$2</f>
        <v>547100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2">
        <f ca="1">IFERROR(VLOOKUP(B23,input_547100!L:R,7,FALSE),VLOOKUP(tables_547100!C23,input_547100!A:H,8,FALSE))</f>
        <v>39900</v>
      </c>
      <c r="P23" s="43">
        <f ca="1">O23/SUM(O:O)</f>
        <v>6.927083333381435E-3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input_547100!A$2</f>
        <v>547100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2">
        <f ca="1">IFERROR(VLOOKUP(B24,input_547100!L:R,7,FALSE),VLOOKUP(tables_547100!C24,input_547100!A:H,8,FALSE))</f>
        <v>17100</v>
      </c>
      <c r="P24" s="43">
        <f ca="1">O24/SUM(O:O)</f>
        <v>2.9687500000206151E-3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input_547100!A$2</f>
        <v>547100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2">
        <f ca="1">IFERROR(VLOOKUP(B25,input_547100!L:R,7,FALSE),VLOOKUP(tables_547100!C25,input_547100!A:H,8,FALSE))</f>
        <v>39900</v>
      </c>
      <c r="P25" s="43">
        <f ca="1">O25/SUM(O:O)</f>
        <v>6.927083333381435E-3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input_547100!A$2</f>
        <v>547100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2">
        <f ca="1">IFERROR(VLOOKUP(B26,input_547100!L:R,7,FALSE),VLOOKUP(tables_547100!C26,input_547100!A:H,8,FALSE))</f>
        <v>17100</v>
      </c>
      <c r="P26" s="43">
        <f ca="1">O26/SUM(O:O)</f>
        <v>2.9687500000206151E-3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input_547100!A$2</f>
        <v>547100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2">
        <f ca="1">IFERROR(VLOOKUP(B27,input_547100!L:R,7,FALSE),VLOOKUP(tables_547100!C27,input_547100!A:H,8,FALSE))</f>
        <v>39900</v>
      </c>
      <c r="P27" s="43">
        <f ca="1">O27/SUM(O:O)</f>
        <v>6.927083333381435E-3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input_547100!A$2</f>
        <v>547100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2">
        <f ca="1">IFERROR(VLOOKUP(B28,input_547100!L:R,7,FALSE),VLOOKUP(tables_547100!C28,input_547100!A:H,8,FALSE))</f>
        <v>17100</v>
      </c>
      <c r="P28" s="43">
        <f ca="1">O28/SUM(O:O)</f>
        <v>2.9687500000206151E-3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input_547100!A$2</f>
        <v>547100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2">
        <f ca="1">IFERROR(VLOOKUP(B29,input_547100!L:R,7,FALSE),VLOOKUP(tables_547100!C29,input_547100!A:H,8,FALSE))</f>
        <v>39900</v>
      </c>
      <c r="P29" s="43">
        <f ca="1">O29/SUM(O:O)</f>
        <v>6.927083333381435E-3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input_547100!A$2</f>
        <v>547100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2">
        <f ca="1">IFERROR(VLOOKUP(B30,input_547100!L:R,7,FALSE),VLOOKUP(tables_547100!C30,input_547100!A:H,8,FALSE))</f>
        <v>17100</v>
      </c>
      <c r="P30" s="43">
        <f ca="1">O30/SUM(O:O)</f>
        <v>2.9687500000206151E-3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input_547100!A$2</f>
        <v>547100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2">
        <f ca="1">IFERROR(VLOOKUP(B31,input_547100!L:R,7,FALSE),VLOOKUP(tables_547100!C31,input_547100!A:H,8,FALSE))</f>
        <v>39900</v>
      </c>
      <c r="P31" s="43">
        <f ca="1">O31/SUM(O:O)</f>
        <v>6.927083333381435E-3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input_547100!A$2</f>
        <v>547100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2">
        <f ca="1">IFERROR(VLOOKUP(B32,input_547100!L:R,7,FALSE),VLOOKUP(tables_547100!C32,input_547100!A:H,8,FALSE))</f>
        <v>17100</v>
      </c>
      <c r="P32" s="43">
        <f ca="1">O32/SUM(O:O)</f>
        <v>2.9687500000206151E-3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input_547100!A$2</f>
        <v>547100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2">
        <f ca="1">IFERROR(VLOOKUP(B33,input_547100!L:R,7,FALSE),VLOOKUP(tables_547100!C33,input_547100!A:H,8,FALSE))</f>
        <v>39900</v>
      </c>
      <c r="P33" s="43">
        <f ca="1">O33/SUM(O:O)</f>
        <v>6.927083333381435E-3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input_547100!A$2</f>
        <v>547100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2">
        <f ca="1">IFERROR(VLOOKUP(B34,input_547100!L:R,7,FALSE),VLOOKUP(tables_547100!C34,input_547100!A:H,8,FALSE))</f>
        <v>17100</v>
      </c>
      <c r="P34" s="43">
        <f ca="1">O34/SUM(O:O)</f>
        <v>2.9687500000206151E-3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input_547100!A$2</f>
        <v>547100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2">
        <f ca="1">IFERROR(VLOOKUP(B35,input_547100!L:R,7,FALSE),VLOOKUP(tables_547100!C35,input_547100!A:H,8,FALSE))</f>
        <v>39900</v>
      </c>
      <c r="P35" s="43">
        <f ca="1">O35/SUM(O:O)</f>
        <v>6.927083333381435E-3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input_547100!A$2</f>
        <v>547100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2">
        <f ca="1">IFERROR(VLOOKUP(B36,input_547100!L:R,7,FALSE),VLOOKUP(tables_547100!C36,input_547100!A:H,8,FALSE))</f>
        <v>17100</v>
      </c>
      <c r="P36" s="43">
        <f ca="1">O36/SUM(O:O)</f>
        <v>2.9687500000206151E-3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input_547100!A$2</f>
        <v>547100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2">
        <f ca="1">IFERROR(VLOOKUP(B37,input_547100!L:R,7,FALSE),VLOOKUP(tables_547100!C37,input_547100!A:H,8,FALSE))</f>
        <v>39900</v>
      </c>
      <c r="P37" s="43">
        <f ca="1">O37/SUM(O:O)</f>
        <v>6.927083333381435E-3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input_547100!A$2</f>
        <v>547100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2">
        <f ca="1">IFERROR(VLOOKUP(B38,input_547100!L:R,7,FALSE),VLOOKUP(tables_547100!C38,input_547100!A:H,8,FALSE))</f>
        <v>17100</v>
      </c>
      <c r="P38" s="43">
        <f ca="1">O38/SUM(O:O)</f>
        <v>2.9687500000206151E-3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input_547100!A$2</f>
        <v>547100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2">
        <f ca="1">IFERROR(VLOOKUP(B39,input_547100!L:R,7,FALSE),VLOOKUP(tables_547100!C39,input_547100!A:H,8,FALSE))</f>
        <v>39900</v>
      </c>
      <c r="P39" s="43">
        <f ca="1">O39/SUM(O:O)</f>
        <v>6.927083333381435E-3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input_547100!A$2</f>
        <v>547100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2">
        <f ca="1">IFERROR(VLOOKUP(B40,input_547100!L:R,7,FALSE),VLOOKUP(tables_547100!C40,input_547100!A:H,8,FALSE))</f>
        <v>17100</v>
      </c>
      <c r="P40" s="43">
        <f ca="1">O40/SUM(O:O)</f>
        <v>2.9687500000206151E-3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input_547100!A$2</f>
        <v>547100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2">
        <f ca="1">IFERROR(VLOOKUP(B41,input_547100!L:R,7,FALSE),VLOOKUP(tables_547100!C41,input_547100!A:H,8,FALSE))</f>
        <v>39900</v>
      </c>
      <c r="P41" s="43">
        <f ca="1">O41/SUM(O:O)</f>
        <v>6.927083333381435E-3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input_547100!A$2</f>
        <v>547100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2">
        <f ca="1">IFERROR(VLOOKUP(B42,input_547100!L:R,7,FALSE),VLOOKUP(tables_547100!C42,input_547100!A:H,8,FALSE))</f>
        <v>17100</v>
      </c>
      <c r="P42" s="43">
        <f ca="1">O42/SUM(O:O)</f>
        <v>2.9687500000206151E-3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input_547100!A$2</f>
        <v>547100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f ca="1">IFERROR(VLOOKUP(B43,input_547100!L:R,7,FALSE),VLOOKUP(tables_547100!C43,input_547100!A:H,8,FALSE))</f>
        <v>28500</v>
      </c>
      <c r="P43" s="43">
        <f ca="1">O43/SUM(O:O)</f>
        <v>4.9479166667010252E-3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2" customHeight="1" x14ac:dyDescent="0.15">
      <c r="A44" s="2" t="str">
        <f ca="1">input_547100!A$2</f>
        <v>547100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2">
        <f ca="1">IFERROR(VLOOKUP(B44,input_547100!L:R,7,FALSE),VLOOKUP(tables_547100!C44,input_547100!A:H,8,FALSE))</f>
        <v>11400</v>
      </c>
      <c r="P44" s="43">
        <f ca="1">O44/SUM(O:O)</f>
        <v>1.9791666666804102E-3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input_547100!A$2</f>
        <v>547100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2">
        <f ca="1">IFERROR(VLOOKUP(B45,input_547100!L:R,7,FALSE),VLOOKUP(tables_547100!C45,input_547100!A:H,8,FALSE))</f>
        <v>17100</v>
      </c>
      <c r="P45" s="43">
        <f ca="1">O45/SUM(O:O)</f>
        <v>2.9687500000206151E-3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input_547100!A$2</f>
        <v>547100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2">
        <f ca="1">IFERROR(VLOOKUP(B46,input_547100!L:R,7,FALSE),VLOOKUP(tables_547100!C46,input_547100!A:H,8,FALSE))</f>
        <v>28500</v>
      </c>
      <c r="P46" s="43">
        <f ca="1">O46/SUM(O:O)</f>
        <v>4.9479166667010252E-3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input_547100!A$2</f>
        <v>547100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2">
        <f ca="1">IFERROR(VLOOKUP(B47,input_547100!L:R,7,FALSE),VLOOKUP(tables_547100!C47,input_547100!A:H,8,FALSE))</f>
        <v>11400</v>
      </c>
      <c r="P47" s="43">
        <f ca="1">O47/SUM(O:O)</f>
        <v>1.9791666666804102E-3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input_547100!A$2</f>
        <v>547100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2">
        <f ca="1">IFERROR(VLOOKUP(B48,input_547100!L:R,7,FALSE),VLOOKUP(tables_547100!C48,input_547100!A:H,8,FALSE))</f>
        <v>17100</v>
      </c>
      <c r="P48" s="43">
        <f ca="1">O48/SUM(O:O)</f>
        <v>2.9687500000206151E-3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input_547100!A$2</f>
        <v>547100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2">
        <f ca="1">IFERROR(VLOOKUP(B49,input_547100!L:R,7,FALSE),VLOOKUP(tables_547100!C49,input_547100!A:H,8,FALSE))</f>
        <v>28500</v>
      </c>
      <c r="P49" s="43">
        <f ca="1">O49/SUM(O:O)</f>
        <v>4.9479166667010252E-3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input_547100!A$2</f>
        <v>547100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2">
        <f ca="1">IFERROR(VLOOKUP(B50,input_547100!L:R,7,FALSE),VLOOKUP(tables_547100!C50,input_547100!A:H,8,FALSE))</f>
        <v>11400</v>
      </c>
      <c r="P50" s="43">
        <f ca="1">O50/SUM(O:O)</f>
        <v>1.9791666666804102E-3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input_547100!A$2</f>
        <v>547100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2">
        <f ca="1">IFERROR(VLOOKUP(B51,input_547100!L:R,7,FALSE),VLOOKUP(tables_547100!C51,input_547100!A:H,8,FALSE))</f>
        <v>17100</v>
      </c>
      <c r="P51" s="43">
        <f ca="1">O51/SUM(O:O)</f>
        <v>2.9687500000206151E-3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input_547100!A$2</f>
        <v>547100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2">
        <f ca="1">IFERROR(VLOOKUP(B52,input_547100!L:R,7,FALSE),VLOOKUP(tables_547100!C52,input_547100!A:H,8,FALSE))</f>
        <v>26538.46154</v>
      </c>
      <c r="P52" s="43">
        <f ca="1">O52/SUM(O:O)</f>
        <v>4.607371795170883E-3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input_547100!A$2</f>
        <v>547100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2">
        <f ca="1">IFERROR(VLOOKUP(B53,input_547100!L:R,7,FALSE),VLOOKUP(tables_547100!C53,input_547100!A:H,8,FALSE))</f>
        <v>13361.53846</v>
      </c>
      <c r="P53" s="43">
        <f ca="1">O53/SUM(O:O)</f>
        <v>2.3197115382105524E-3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input_547100!A$2</f>
        <v>547100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2">
        <f ca="1">IFERROR(VLOOKUP(B54,input_547100!L:R,7,FALSE),VLOOKUP(tables_547100!C54,input_547100!A:H,8,FALSE))</f>
        <v>17100</v>
      </c>
      <c r="P54" s="43">
        <f ca="1">O54/SUM(O:O)</f>
        <v>2.9687500000206151E-3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input_547100!A$2</f>
        <v>547100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2">
        <f ca="1">IFERROR(VLOOKUP(B55,input_547100!L:R,7,FALSE),VLOOKUP(tables_547100!C55,input_547100!A:H,8,FALSE))</f>
        <v>26538.46154</v>
      </c>
      <c r="P55" s="43">
        <f ca="1">O55/SUM(O:O)</f>
        <v>4.607371795170883E-3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input_547100!A$2</f>
        <v>547100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2">
        <f ca="1">IFERROR(VLOOKUP(B56,input_547100!L:R,7,FALSE),VLOOKUP(tables_547100!C56,input_547100!A:H,8,FALSE))</f>
        <v>13361.53846</v>
      </c>
      <c r="P56" s="43">
        <f ca="1">O56/SUM(O:O)</f>
        <v>2.3197115382105524E-3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input_547100!A$2</f>
        <v>547100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2">
        <f ca="1">IFERROR(VLOOKUP(B57,input_547100!L:R,7,FALSE),VLOOKUP(tables_547100!C57,input_547100!A:H,8,FALSE))</f>
        <v>17100</v>
      </c>
      <c r="P57" s="43">
        <f ca="1">O57/SUM(O:O)</f>
        <v>2.9687500000206151E-3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input_547100!A$2</f>
        <v>547100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2">
        <f ca="1">IFERROR(VLOOKUP(B58,input_547100!L:R,7,FALSE),VLOOKUP(tables_547100!C58,input_547100!A:H,8,FALSE))</f>
        <v>26538.46154</v>
      </c>
      <c r="P58" s="43">
        <f ca="1">O58/SUM(O:O)</f>
        <v>4.607371795170883E-3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input_547100!A$2</f>
        <v>547100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2">
        <f ca="1">IFERROR(VLOOKUP(B59,input_547100!L:R,7,FALSE),VLOOKUP(tables_547100!C59,input_547100!A:H,8,FALSE))</f>
        <v>13361.53846</v>
      </c>
      <c r="P59" s="43">
        <f ca="1">O59/SUM(O:O)</f>
        <v>2.3197115382105524E-3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input_547100!A$2</f>
        <v>547100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2">
        <f ca="1">IFERROR(VLOOKUP(B60,input_547100!L:R,7,FALSE),VLOOKUP(tables_547100!C60,input_547100!A:H,8,FALSE))</f>
        <v>17100</v>
      </c>
      <c r="P60" s="43">
        <f ca="1">O60/SUM(O:O)</f>
        <v>2.9687500000206151E-3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input_547100!A$2</f>
        <v>547100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2">
        <f ca="1">IFERROR(VLOOKUP(B61,input_547100!L:R,7,FALSE),VLOOKUP(tables_547100!C61,input_547100!A:H,8,FALSE))</f>
        <v>26538.46154</v>
      </c>
      <c r="P61" s="43">
        <f ca="1">O61/SUM(O:O)</f>
        <v>4.607371795170883E-3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input_547100!A$2</f>
        <v>547100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2">
        <f ca="1">IFERROR(VLOOKUP(B62,input_547100!L:R,7,FALSE),VLOOKUP(tables_547100!C62,input_547100!A:H,8,FALSE))</f>
        <v>13361.53846</v>
      </c>
      <c r="P62" s="43">
        <f ca="1">O62/SUM(O:O)</f>
        <v>2.3197115382105524E-3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input_547100!A$2</f>
        <v>547100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2">
        <f ca="1">IFERROR(VLOOKUP(B63,input_547100!L:R,7,FALSE),VLOOKUP(tables_547100!C63,input_547100!A:H,8,FALSE))</f>
        <v>17100</v>
      </c>
      <c r="P63" s="43">
        <f ca="1">O63/SUM(O:O)</f>
        <v>2.9687500000206151E-3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input_547100!A$2</f>
        <v>547100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2">
        <f ca="1">IFERROR(VLOOKUP(B64,input_547100!L:R,7,FALSE),VLOOKUP(tables_547100!C64,input_547100!A:H,8,FALSE))</f>
        <v>26538.46154</v>
      </c>
      <c r="P64" s="43">
        <f ca="1">O64/SUM(O:O)</f>
        <v>4.607371795170883E-3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input_547100!A$2</f>
        <v>547100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2">
        <f ca="1">IFERROR(VLOOKUP(B65,input_547100!L:R,7,FALSE),VLOOKUP(tables_547100!C65,input_547100!A:H,8,FALSE))</f>
        <v>13361.53846</v>
      </c>
      <c r="P65" s="43">
        <f ca="1">O65/SUM(O:O)</f>
        <v>2.3197115382105524E-3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input_547100!A$2</f>
        <v>547100</v>
      </c>
      <c r="B66" s="6">
        <v>190</v>
      </c>
      <c r="C66" s="7" t="str">
        <f t="shared" ref="C66:C129" si="2">D66&amp;J66&amp;E66&amp;F66&amp;G66</f>
        <v>Premium3</v>
      </c>
      <c r="D66" s="7" t="str">
        <f t="shared" si="1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2">
        <f ca="1">IFERROR(VLOOKUP(B66,input_547100!L:R,7,FALSE),VLOOKUP(tables_547100!C66,input_547100!A:H,8,FALSE))</f>
        <v>17100</v>
      </c>
      <c r="P66" s="43">
        <f ca="1">O66/SUM(O:O)</f>
        <v>2.9687500000206151E-3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input_547100!A$2</f>
        <v>547100</v>
      </c>
      <c r="B67" s="6">
        <v>191</v>
      </c>
      <c r="C67" s="7" t="str">
        <f t="shared" si="2"/>
        <v>Premium4</v>
      </c>
      <c r="D67" s="7" t="str">
        <f t="shared" ref="D67:D130" si="3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2">
        <f ca="1">IFERROR(VLOOKUP(B67,input_547100!L:R,7,FALSE),VLOOKUP(tables_547100!C67,input_547100!A:H,8,FALSE))</f>
        <v>26538.46154</v>
      </c>
      <c r="P67" s="43">
        <f ca="1">O67/SUM(O:O)</f>
        <v>4.607371795170883E-3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input_547100!A$2</f>
        <v>547100</v>
      </c>
      <c r="B68" s="6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2">
        <f ca="1">IFERROR(VLOOKUP(B68,input_547100!L:R,7,FALSE),VLOOKUP(tables_547100!C68,input_547100!A:H,8,FALSE))</f>
        <v>13361.53846</v>
      </c>
      <c r="P68" s="43">
        <f ca="1">O68/SUM(O:O)</f>
        <v>2.3197115382105524E-3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input_547100!A$2</f>
        <v>547100</v>
      </c>
      <c r="B69" s="6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2">
        <f ca="1">IFERROR(VLOOKUP(B69,input_547100!L:R,7,FALSE),VLOOKUP(tables_547100!C69,input_547100!A:H,8,FALSE))</f>
        <v>17100</v>
      </c>
      <c r="P69" s="43">
        <f ca="1">O69/SUM(O:O)</f>
        <v>2.9687500000206151E-3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input_547100!A$2</f>
        <v>547100</v>
      </c>
      <c r="B70" s="10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2">
        <f ca="1">IFERROR(VLOOKUP(B70,input_547100!L:R,7,FALSE),VLOOKUP(tables_547100!C70,input_547100!A:H,8,FALSE))</f>
        <v>26538.46154</v>
      </c>
      <c r="P70" s="43">
        <f ca="1">O70/SUM(O:O)</f>
        <v>4.607371795170883E-3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input_547100!A$2</f>
        <v>547100</v>
      </c>
      <c r="B71" s="6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2">
        <f ca="1">IFERROR(VLOOKUP(B71,input_547100!L:R,7,FALSE),VLOOKUP(tables_547100!C71,input_547100!A:H,8,FALSE))</f>
        <v>13361.53846</v>
      </c>
      <c r="P71" s="43">
        <f ca="1">O71/SUM(O:O)</f>
        <v>2.3197115382105524E-3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input_547100!A$2</f>
        <v>547100</v>
      </c>
      <c r="B72" s="10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2">
        <f ca="1">IFERROR(VLOOKUP(B72,input_547100!L:R,7,FALSE),VLOOKUP(tables_547100!C72,input_547100!A:H,8,FALSE))</f>
        <v>17100</v>
      </c>
      <c r="P72" s="43">
        <f ca="1">O72/SUM(O:O)</f>
        <v>2.9687500000206151E-3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input_547100!A$2</f>
        <v>547100</v>
      </c>
      <c r="B73" s="11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2">
        <f ca="1">IFERROR(VLOOKUP(B73,input_547100!L:R,7,FALSE),VLOOKUP(tables_547100!C73,input_547100!A:H,8,FALSE))</f>
        <v>26538.46154</v>
      </c>
      <c r="P73" s="43">
        <f ca="1">O73/SUM(O:O)</f>
        <v>4.607371795170883E-3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input_547100!A$2</f>
        <v>547100</v>
      </c>
      <c r="B74" s="6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2">
        <f ca="1">IFERROR(VLOOKUP(B74,input_547100!L:R,7,FALSE),VLOOKUP(tables_547100!C74,input_547100!A:H,8,FALSE))</f>
        <v>13361.53846</v>
      </c>
      <c r="P74" s="43">
        <f ca="1">O74/SUM(O:O)</f>
        <v>2.3197115382105524E-3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input_547100!A$2</f>
        <v>547100</v>
      </c>
      <c r="B75" s="6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2">
        <f ca="1">IFERROR(VLOOKUP(B75,input_547100!L:R,7,FALSE),VLOOKUP(tables_547100!C75,input_547100!A:H,8,FALSE))</f>
        <v>17100</v>
      </c>
      <c r="P75" s="43">
        <f ca="1">O75/SUM(O:O)</f>
        <v>2.9687500000206151E-3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input_547100!A$2</f>
        <v>547100</v>
      </c>
      <c r="B76" s="6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2">
        <f ca="1">IFERROR(VLOOKUP(B76,input_547100!L:R,7,FALSE),VLOOKUP(tables_547100!C76,input_547100!A:H,8,FALSE))</f>
        <v>26538.46154</v>
      </c>
      <c r="P76" s="43">
        <f ca="1">O76/SUM(O:O)</f>
        <v>4.607371795170883E-3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input_547100!A$2</f>
        <v>547100</v>
      </c>
      <c r="B77" s="5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2">
        <f ca="1">IFERROR(VLOOKUP(B77,input_547100!L:R,7,FALSE),VLOOKUP(tables_547100!C77,input_547100!A:H,8,FALSE))</f>
        <v>13361.53846</v>
      </c>
      <c r="P77" s="43">
        <f ca="1">O77/SUM(O:O)</f>
        <v>2.3197115382105524E-3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input_547100!A$2</f>
        <v>547100</v>
      </c>
      <c r="B78" s="5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2">
        <f ca="1">IFERROR(VLOOKUP(B78,input_547100!L:R,7,FALSE),VLOOKUP(tables_547100!C78,input_547100!A:H,8,FALSE))</f>
        <v>17100</v>
      </c>
      <c r="P78" s="43">
        <f ca="1">O78/SUM(O:O)</f>
        <v>2.9687500000206151E-3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input_547100!A$2</f>
        <v>547100</v>
      </c>
      <c r="B79" s="5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2">
        <f ca="1">IFERROR(VLOOKUP(B79,input_547100!L:R,7,FALSE),VLOOKUP(tables_547100!C79,input_547100!A:H,8,FALSE))</f>
        <v>26538.46154</v>
      </c>
      <c r="P79" s="43">
        <f ca="1">O79/SUM(O:O)</f>
        <v>4.607371795170883E-3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input_547100!A$2</f>
        <v>547100</v>
      </c>
      <c r="B80" s="5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2">
        <f ca="1">IFERROR(VLOOKUP(B80,input_547100!L:R,7,FALSE),VLOOKUP(tables_547100!C80,input_547100!A:H,8,FALSE))</f>
        <v>13361.53846</v>
      </c>
      <c r="P80" s="43">
        <f ca="1">O80/SUM(O:O)</f>
        <v>2.3197115382105524E-3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input_547100!A$2</f>
        <v>547100</v>
      </c>
      <c r="B81" s="5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2">
        <f ca="1">IFERROR(VLOOKUP(B81,input_547100!L:R,7,FALSE),VLOOKUP(tables_547100!C81,input_547100!A:H,8,FALSE))</f>
        <v>17100</v>
      </c>
      <c r="P81" s="43">
        <f ca="1">O81/SUM(O:O)</f>
        <v>2.9687500000206151E-3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input_547100!A$2</f>
        <v>547100</v>
      </c>
      <c r="B82" s="5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2">
        <f ca="1">IFERROR(VLOOKUP(B82,input_547100!L:R,7,FALSE),VLOOKUP(tables_547100!C82,input_547100!A:H,8,FALSE))</f>
        <v>26538.46154</v>
      </c>
      <c r="P82" s="43">
        <f ca="1">O82/SUM(O:O)</f>
        <v>4.607371795170883E-3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input_547100!A$2</f>
        <v>547100</v>
      </c>
      <c r="B83" s="5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2">
        <f ca="1">IFERROR(VLOOKUP(B83,input_547100!L:R,7,FALSE),VLOOKUP(tables_547100!C83,input_547100!A:H,8,FALSE))</f>
        <v>13361.53846</v>
      </c>
      <c r="P83" s="43">
        <f ca="1">O83/SUM(O:O)</f>
        <v>2.3197115382105524E-3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input_547100!A$2</f>
        <v>547100</v>
      </c>
      <c r="B84" s="5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2">
        <f ca="1">IFERROR(VLOOKUP(B84,input_547100!L:R,7,FALSE),VLOOKUP(tables_547100!C84,input_547100!A:H,8,FALSE))</f>
        <v>17100</v>
      </c>
      <c r="P84" s="43">
        <f ca="1">O84/SUM(O:O)</f>
        <v>2.9687500000206151E-3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input_547100!A$2</f>
        <v>547100</v>
      </c>
      <c r="B85" s="5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2">
        <f ca="1">IFERROR(VLOOKUP(B85,input_547100!L:R,7,FALSE),VLOOKUP(tables_547100!C85,input_547100!A:H,8,FALSE))</f>
        <v>26538.46154</v>
      </c>
      <c r="P85" s="43">
        <f ca="1">O85/SUM(O:O)</f>
        <v>4.607371795170883E-3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input_547100!A$2</f>
        <v>547100</v>
      </c>
      <c r="B86" s="5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2">
        <f ca="1">IFERROR(VLOOKUP(B86,input_547100!L:R,7,FALSE),VLOOKUP(tables_547100!C86,input_547100!A:H,8,FALSE))</f>
        <v>13361.53846</v>
      </c>
      <c r="P86" s="43">
        <f ca="1">O86/SUM(O:O)</f>
        <v>2.3197115382105524E-3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input_547100!A$2</f>
        <v>547100</v>
      </c>
      <c r="B87" s="5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2">
        <f ca="1">IFERROR(VLOOKUP(B87,input_547100!L:R,7,FALSE),VLOOKUP(tables_547100!C87,input_547100!A:H,8,FALSE))</f>
        <v>17100</v>
      </c>
      <c r="P87" s="43">
        <f ca="1">O87/SUM(O:O)</f>
        <v>2.9687500000206151E-3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input_547100!A$2</f>
        <v>547100</v>
      </c>
      <c r="B88" s="5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2">
        <f ca="1">IFERROR(VLOOKUP(B88,input_547100!L:R,7,FALSE),VLOOKUP(tables_547100!C88,input_547100!A:H,8,FALSE))</f>
        <v>26538.46154</v>
      </c>
      <c r="P88" s="43">
        <f ca="1">O88/SUM(O:O)</f>
        <v>4.607371795170883E-3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input_547100!A$2</f>
        <v>547100</v>
      </c>
      <c r="B89" s="5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2">
        <f ca="1">IFERROR(VLOOKUP(B89,input_547100!L:R,7,FALSE),VLOOKUP(tables_547100!C89,input_547100!A:H,8,FALSE))</f>
        <v>13361.53846</v>
      </c>
      <c r="P89" s="43">
        <f ca="1">O89/SUM(O:O)</f>
        <v>2.3197115382105524E-3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input_547100!A$2</f>
        <v>547100</v>
      </c>
      <c r="B90" s="5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2">
        <f ca="1">IFERROR(VLOOKUP(B90,input_547100!L:R,7,FALSE),VLOOKUP(tables_547100!C90,input_547100!A:H,8,FALSE))</f>
        <v>17100</v>
      </c>
      <c r="P90" s="43">
        <f ca="1">O90/SUM(O:O)</f>
        <v>2.9687500000206151E-3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input_547100!A$2</f>
        <v>547100</v>
      </c>
      <c r="B91" s="5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2">
        <f ca="1">IFERROR(VLOOKUP(B91,input_547100!L:R,7,FALSE),VLOOKUP(tables_547100!C91,input_547100!A:H,8,FALSE))</f>
        <v>26538.46154</v>
      </c>
      <c r="P91" s="43">
        <f ca="1">O91/SUM(O:O)</f>
        <v>4.607371795170883E-3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input_547100!A$2</f>
        <v>547100</v>
      </c>
      <c r="B92" s="5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2">
        <f ca="1">IFERROR(VLOOKUP(B92,input_547100!L:R,7,FALSE),VLOOKUP(tables_547100!C92,input_547100!A:H,8,FALSE))</f>
        <v>13361.53846</v>
      </c>
      <c r="P92" s="43">
        <f ca="1">O92/SUM(O:O)</f>
        <v>2.3197115382105524E-3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input_547100!A$2</f>
        <v>547100</v>
      </c>
      <c r="B93" s="5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2">
        <f ca="1">IFERROR(VLOOKUP(B93,input_547100!L:R,7,FALSE),VLOOKUP(tables_547100!C93,input_547100!A:H,8,FALSE))</f>
        <v>17100</v>
      </c>
      <c r="P93" s="43">
        <f ca="1">O93/SUM(O:O)</f>
        <v>2.9687500000206151E-3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input_547100!A$2</f>
        <v>547100</v>
      </c>
      <c r="B94" s="5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2">
        <f ca="1">IFERROR(VLOOKUP(B94,input_547100!L:R,7,FALSE),VLOOKUP(tables_547100!C94,input_547100!A:H,8,FALSE))</f>
        <v>26538.46154</v>
      </c>
      <c r="P94" s="43">
        <f ca="1">O94/SUM(O:O)</f>
        <v>4.607371795170883E-3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input_547100!A$2</f>
        <v>547100</v>
      </c>
      <c r="B95" s="5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2">
        <f ca="1">IFERROR(VLOOKUP(B95,input_547100!L:R,7,FALSE),VLOOKUP(tables_547100!C95,input_547100!A:H,8,FALSE))</f>
        <v>13361.53846</v>
      </c>
      <c r="P95" s="43">
        <f ca="1">O95/SUM(O:O)</f>
        <v>2.3197115382105524E-3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input_547100!A$2</f>
        <v>547100</v>
      </c>
      <c r="B96" s="5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2">
        <f ca="1">IFERROR(VLOOKUP(B96,input_547100!L:R,7,FALSE),VLOOKUP(tables_547100!C96,input_547100!A:H,8,FALSE))</f>
        <v>17100</v>
      </c>
      <c r="P96" s="43">
        <f ca="1">O96/SUM(O:O)</f>
        <v>2.9687500000206151E-3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input_547100!A$2</f>
        <v>547100</v>
      </c>
      <c r="B97" s="5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2">
        <f ca="1">IFERROR(VLOOKUP(B97,input_547100!L:R,7,FALSE),VLOOKUP(tables_547100!C97,input_547100!A:H,8,FALSE))</f>
        <v>26538.46154</v>
      </c>
      <c r="P97" s="43">
        <f ca="1">O97/SUM(O:O)</f>
        <v>4.607371795170883E-3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input_547100!A$2</f>
        <v>547100</v>
      </c>
      <c r="B98" s="5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2">
        <f ca="1">IFERROR(VLOOKUP(B98,input_547100!L:R,7,FALSE),VLOOKUP(tables_547100!C98,input_547100!A:H,8,FALSE))</f>
        <v>13361.53846</v>
      </c>
      <c r="P98" s="43">
        <f ca="1">O98/SUM(O:O)</f>
        <v>2.3197115382105524E-3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input_547100!A$2</f>
        <v>547100</v>
      </c>
      <c r="B99" s="5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2">
        <f ca="1">IFERROR(VLOOKUP(B99,input_547100!L:R,7,FALSE),VLOOKUP(tables_547100!C99,input_547100!A:H,8,FALSE))</f>
        <v>17100</v>
      </c>
      <c r="P99" s="43">
        <f ca="1">O99/SUM(O:O)</f>
        <v>2.9687500000206151E-3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input_547100!A$2</f>
        <v>547100</v>
      </c>
      <c r="B100" s="5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2">
        <f ca="1">IFERROR(VLOOKUP(B100,input_547100!L:R,7,FALSE),VLOOKUP(tables_547100!C100,input_547100!A:H,8,FALSE))</f>
        <v>26538.46154</v>
      </c>
      <c r="P100" s="43">
        <f ca="1">O100/SUM(O:O)</f>
        <v>4.607371795170883E-3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input_547100!A$2</f>
        <v>547100</v>
      </c>
      <c r="B101" s="5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2">
        <f ca="1">IFERROR(VLOOKUP(B101,input_547100!L:R,7,FALSE),VLOOKUP(tables_547100!C101,input_547100!A:H,8,FALSE))</f>
        <v>13361.53846</v>
      </c>
      <c r="P101" s="43">
        <f ca="1">O101/SUM(O:O)</f>
        <v>2.3197115382105524E-3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input_547100!A$2</f>
        <v>547100</v>
      </c>
      <c r="B102" s="5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2">
        <f ca="1">IFERROR(VLOOKUP(B102,input_547100!L:R,7,FALSE),VLOOKUP(tables_547100!C102,input_547100!A:H,8,FALSE))</f>
        <v>17100</v>
      </c>
      <c r="P102" s="43">
        <f ca="1">O102/SUM(O:O)</f>
        <v>2.9687500000206151E-3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input_547100!A$2</f>
        <v>547100</v>
      </c>
      <c r="B103" s="5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2">
        <f ca="1">IFERROR(VLOOKUP(B103,input_547100!L:R,7,FALSE),VLOOKUP(tables_547100!C103,input_547100!A:H,8,FALSE))</f>
        <v>26538.46154</v>
      </c>
      <c r="P103" s="43">
        <f ca="1">O103/SUM(O:O)</f>
        <v>4.607371795170883E-3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input_547100!A$2</f>
        <v>547100</v>
      </c>
      <c r="B104" s="5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2">
        <f ca="1">IFERROR(VLOOKUP(B104,input_547100!L:R,7,FALSE),VLOOKUP(tables_547100!C104,input_547100!A:H,8,FALSE))</f>
        <v>13361.53846</v>
      </c>
      <c r="P104" s="43">
        <f ca="1">O104/SUM(O:O)</f>
        <v>2.3197115382105524E-3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input_547100!A$2</f>
        <v>547100</v>
      </c>
      <c r="B105" s="5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2">
        <f ca="1">IFERROR(VLOOKUP(B105,input_547100!L:R,7,FALSE),VLOOKUP(tables_547100!C105,input_547100!A:H,8,FALSE))</f>
        <v>17100</v>
      </c>
      <c r="P105" s="43">
        <f ca="1">O105/SUM(O:O)</f>
        <v>2.9687500000206151E-3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input_547100!A$2</f>
        <v>547100</v>
      </c>
      <c r="B106" s="5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2">
        <f ca="1">IFERROR(VLOOKUP(B106,input_547100!L:R,7,FALSE),VLOOKUP(tables_547100!C106,input_547100!A:H,8,FALSE))</f>
        <v>26538.46154</v>
      </c>
      <c r="P106" s="43">
        <f ca="1">O106/SUM(O:O)</f>
        <v>4.607371795170883E-3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input_547100!A$2</f>
        <v>547100</v>
      </c>
      <c r="B107" s="5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2">
        <f ca="1">IFERROR(VLOOKUP(B107,input_547100!L:R,7,FALSE),VLOOKUP(tables_547100!C107,input_547100!A:H,8,FALSE))</f>
        <v>13361.53846</v>
      </c>
      <c r="P107" s="43">
        <f ca="1">O107/SUM(O:O)</f>
        <v>2.3197115382105524E-3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input_547100!A$2</f>
        <v>547100</v>
      </c>
      <c r="B108" s="5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2">
        <f ca="1">IFERROR(VLOOKUP(B108,input_547100!L:R,7,FALSE),VLOOKUP(tables_547100!C108,input_547100!A:H,8,FALSE))</f>
        <v>17100</v>
      </c>
      <c r="P108" s="43">
        <f ca="1">O108/SUM(O:O)</f>
        <v>2.9687500000206151E-3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input_547100!A$2</f>
        <v>547100</v>
      </c>
      <c r="B109" s="5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2">
        <f ca="1">IFERROR(VLOOKUP(B109,input_547100!L:R,7,FALSE),VLOOKUP(tables_547100!C109,input_547100!A:H,8,FALSE))</f>
        <v>26538.46154</v>
      </c>
      <c r="P109" s="43">
        <f ca="1">O109/SUM(O:O)</f>
        <v>4.607371795170883E-3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input_547100!A$2</f>
        <v>547100</v>
      </c>
      <c r="B110" s="5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2">
        <f ca="1">IFERROR(VLOOKUP(B110,input_547100!L:R,7,FALSE),VLOOKUP(tables_547100!C110,input_547100!A:H,8,FALSE))</f>
        <v>13361.53846</v>
      </c>
      <c r="P110" s="43">
        <f ca="1">O110/SUM(O:O)</f>
        <v>2.3197115382105524E-3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input_547100!A$2</f>
        <v>547100</v>
      </c>
      <c r="B111" s="5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2">
        <f ca="1">IFERROR(VLOOKUP(B111,input_547100!L:R,7,FALSE),VLOOKUP(tables_547100!C111,input_547100!A:H,8,FALSE))</f>
        <v>17100</v>
      </c>
      <c r="P111" s="43">
        <f ca="1">O111/SUM(O:O)</f>
        <v>2.9687500000206151E-3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input_547100!A$2</f>
        <v>547100</v>
      </c>
      <c r="B112" s="5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2">
        <f ca="1">IFERROR(VLOOKUP(B112,input_547100!L:R,7,FALSE),VLOOKUP(tables_547100!C112,input_547100!A:H,8,FALSE))</f>
        <v>28500</v>
      </c>
      <c r="P112" s="43">
        <f ca="1">O112/SUM(O:O)</f>
        <v>4.9479166667010252E-3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input_547100!A$2</f>
        <v>547100</v>
      </c>
      <c r="B113" s="5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2">
        <f ca="1">IFERROR(VLOOKUP(B113,input_547100!L:R,7,FALSE),VLOOKUP(tables_547100!C113,input_547100!A:H,8,FALSE))</f>
        <v>11400</v>
      </c>
      <c r="P113" s="43">
        <f ca="1">O113/SUM(O:O)</f>
        <v>1.9791666666804102E-3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input_547100!A$2</f>
        <v>547100</v>
      </c>
      <c r="B114" s="5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2">
        <f ca="1">IFERROR(VLOOKUP(B114,input_547100!L:R,7,FALSE),VLOOKUP(tables_547100!C114,input_547100!A:H,8,FALSE))</f>
        <v>17100</v>
      </c>
      <c r="P114" s="43">
        <f ca="1">O114/SUM(O:O)</f>
        <v>2.9687500000206151E-3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input_547100!A$2</f>
        <v>547100</v>
      </c>
      <c r="B115" s="5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2">
        <f ca="1">IFERROR(VLOOKUP(B115,input_547100!L:R,7,FALSE),VLOOKUP(tables_547100!C115,input_547100!A:H,8,FALSE))</f>
        <v>26538.46154</v>
      </c>
      <c r="P115" s="43">
        <f ca="1">O115/SUM(O:O)</f>
        <v>4.607371795170883E-3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input_547100!A$2</f>
        <v>547100</v>
      </c>
      <c r="B116" s="5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2">
        <f ca="1">IFERROR(VLOOKUP(B116,input_547100!L:R,7,FALSE),VLOOKUP(tables_547100!C116,input_547100!A:H,8,FALSE))</f>
        <v>13361.53846</v>
      </c>
      <c r="P116" s="43">
        <f ca="1">O116/SUM(O:O)</f>
        <v>2.3197115382105524E-3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input_547100!A$2</f>
        <v>547100</v>
      </c>
      <c r="B117" s="5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2">
        <f ca="1">IFERROR(VLOOKUP(B117,input_547100!L:R,7,FALSE),VLOOKUP(tables_547100!C117,input_547100!A:H,8,FALSE))</f>
        <v>17100</v>
      </c>
      <c r="P117" s="43">
        <f ca="1">O117/SUM(O:O)</f>
        <v>2.9687500000206151E-3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input_547100!A$2</f>
        <v>547100</v>
      </c>
      <c r="B118" s="5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2">
        <f ca="1">IFERROR(VLOOKUP(B118,input_547100!L:R,7,FALSE),VLOOKUP(tables_547100!C118,input_547100!A:H,8,FALSE))</f>
        <v>26538.46154</v>
      </c>
      <c r="P118" s="43">
        <f ca="1">O118/SUM(O:O)</f>
        <v>4.607371795170883E-3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input_547100!A$2</f>
        <v>547100</v>
      </c>
      <c r="B119" s="5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2">
        <f ca="1">IFERROR(VLOOKUP(B119,input_547100!L:R,7,FALSE),VLOOKUP(tables_547100!C119,input_547100!A:H,8,FALSE))</f>
        <v>13361.53846</v>
      </c>
      <c r="P119" s="43">
        <f ca="1">O119/SUM(O:O)</f>
        <v>2.3197115382105524E-3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input_547100!A$2</f>
        <v>547100</v>
      </c>
      <c r="B120" s="5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2">
        <f ca="1">IFERROR(VLOOKUP(B120,input_547100!L:R,7,FALSE),VLOOKUP(tables_547100!C120,input_547100!A:H,8,FALSE))</f>
        <v>17100</v>
      </c>
      <c r="P120" s="43">
        <f ca="1">O120/SUM(O:O)</f>
        <v>2.9687500000206151E-3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input_547100!A$2</f>
        <v>547100</v>
      </c>
      <c r="B121" s="5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2">
        <f ca="1">IFERROR(VLOOKUP(B121,input_547100!L:R,7,FALSE),VLOOKUP(tables_547100!C121,input_547100!A:H,8,FALSE))</f>
        <v>26538.46154</v>
      </c>
      <c r="P121" s="43">
        <f ca="1">O121/SUM(O:O)</f>
        <v>4.607371795170883E-3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input_547100!A$2</f>
        <v>547100</v>
      </c>
      <c r="B122" s="5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2">
        <f ca="1">IFERROR(VLOOKUP(B122,input_547100!L:R,7,FALSE),VLOOKUP(tables_547100!C122,input_547100!A:H,8,FALSE))</f>
        <v>13361.53846</v>
      </c>
      <c r="P122" s="43">
        <f ca="1">O122/SUM(O:O)</f>
        <v>2.3197115382105524E-3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input_547100!A$2</f>
        <v>547100</v>
      </c>
      <c r="B123" s="5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2">
        <f ca="1">IFERROR(VLOOKUP(B123,input_547100!L:R,7,FALSE),VLOOKUP(tables_547100!C123,input_547100!A:H,8,FALSE))</f>
        <v>17100</v>
      </c>
      <c r="P123" s="43">
        <f ca="1">O123/SUM(O:O)</f>
        <v>2.9687500000206151E-3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input_547100!A$2</f>
        <v>547100</v>
      </c>
      <c r="B124" s="5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2">
        <f ca="1">IFERROR(VLOOKUP(B124,input_547100!L:R,7,FALSE),VLOOKUP(tables_547100!C124,input_547100!A:H,8,FALSE))</f>
        <v>26538.46154</v>
      </c>
      <c r="P124" s="43">
        <f ca="1">O124/SUM(O:O)</f>
        <v>4.607371795170883E-3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input_547100!A$2</f>
        <v>547100</v>
      </c>
      <c r="B125" s="6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2">
        <f ca="1">IFERROR(VLOOKUP(B125,input_547100!L:R,7,FALSE),VLOOKUP(tables_547100!C125,input_547100!A:H,8,FALSE))</f>
        <v>13361.53846</v>
      </c>
      <c r="P125" s="43">
        <f ca="1">O125/SUM(O:O)</f>
        <v>2.3197115382105524E-3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input_547100!A$2</f>
        <v>547100</v>
      </c>
      <c r="B126" s="6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2">
        <f ca="1">IFERROR(VLOOKUP(B126,input_547100!L:R,7,FALSE),VLOOKUP(tables_547100!C126,input_547100!A:H,8,FALSE))</f>
        <v>17100</v>
      </c>
      <c r="P126" s="43">
        <f ca="1">O126/SUM(O:O)</f>
        <v>2.9687500000206151E-3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input_547100!A$2</f>
        <v>547100</v>
      </c>
      <c r="B127" s="6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2">
        <f ca="1">IFERROR(VLOOKUP(B127,input_547100!L:R,7,FALSE),VLOOKUP(tables_547100!C127,input_547100!A:H,8,FALSE))</f>
        <v>26538.46154</v>
      </c>
      <c r="P127" s="43">
        <f ca="1">O127/SUM(O:O)</f>
        <v>4.607371795170883E-3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input_547100!A$2</f>
        <v>547100</v>
      </c>
      <c r="B128" s="6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2">
        <f ca="1">IFERROR(VLOOKUP(B128,input_547100!L:R,7,FALSE),VLOOKUP(tables_547100!C128,input_547100!A:H,8,FALSE))</f>
        <v>13361.53846</v>
      </c>
      <c r="P128" s="43">
        <f ca="1">O128/SUM(O:O)</f>
        <v>2.3197115382105524E-3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input_547100!A$2</f>
        <v>547100</v>
      </c>
      <c r="B129" s="6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2">
        <f ca="1">IFERROR(VLOOKUP(B129,input_547100!L:R,7,FALSE),VLOOKUP(tables_547100!C129,input_547100!A:H,8,FALSE))</f>
        <v>17100</v>
      </c>
      <c r="P129" s="43">
        <f ca="1">O129/SUM(O:O)</f>
        <v>2.9687500000206151E-3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input_547100!A$2</f>
        <v>547100</v>
      </c>
      <c r="B130" s="6">
        <v>254</v>
      </c>
      <c r="C130" s="7" t="str">
        <f t="shared" ref="C130:C193" si="4">D130&amp;J130&amp;E130&amp;F130&amp;G130</f>
        <v>Premium4</v>
      </c>
      <c r="D130" s="7" t="str">
        <f t="shared" si="3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2">
        <f ca="1">IFERROR(VLOOKUP(B130,input_547100!L:R,7,FALSE),VLOOKUP(tables_547100!C130,input_547100!A:H,8,FALSE))</f>
        <v>26538.46154</v>
      </c>
      <c r="P130" s="43">
        <f ca="1">O130/SUM(O:O)</f>
        <v>4.607371795170883E-3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input_547100!A$2</f>
        <v>547100</v>
      </c>
      <c r="B131" s="6">
        <v>255</v>
      </c>
      <c r="C131" s="7" t="str">
        <f t="shared" si="4"/>
        <v>Premium5</v>
      </c>
      <c r="D131" s="7" t="str">
        <f t="shared" ref="D131:D194" si="5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2">
        <f ca="1">IFERROR(VLOOKUP(B131,input_547100!L:R,7,FALSE),VLOOKUP(tables_547100!C131,input_547100!A:H,8,FALSE))</f>
        <v>13361.53846</v>
      </c>
      <c r="P131" s="43">
        <f ca="1">O131/SUM(O:O)</f>
        <v>2.3197115382105524E-3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input_547100!A$2</f>
        <v>547100</v>
      </c>
      <c r="B132" s="6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2">
        <f ca="1">IFERROR(VLOOKUP(B132,input_547100!L:R,7,FALSE),VLOOKUP(tables_547100!C132,input_547100!A:H,8,FALSE))</f>
        <v>17100</v>
      </c>
      <c r="P132" s="43">
        <f ca="1">O132/SUM(O:O)</f>
        <v>2.9687500000206151E-3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input_547100!A$2</f>
        <v>547100</v>
      </c>
      <c r="B133" s="6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2">
        <f ca="1">IFERROR(VLOOKUP(B133,input_547100!L:R,7,FALSE),VLOOKUP(tables_547100!C133,input_547100!A:H,8,FALSE))</f>
        <v>26538.46154</v>
      </c>
      <c r="P133" s="43">
        <f ca="1">O133/SUM(O:O)</f>
        <v>4.607371795170883E-3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input_547100!A$2</f>
        <v>547100</v>
      </c>
      <c r="B134" s="6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2">
        <f ca="1">IFERROR(VLOOKUP(B134,input_547100!L:R,7,FALSE),VLOOKUP(tables_547100!C134,input_547100!A:H,8,FALSE))</f>
        <v>13361.53846</v>
      </c>
      <c r="P134" s="43">
        <f ca="1">O134/SUM(O:O)</f>
        <v>2.3197115382105524E-3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input_547100!A$2</f>
        <v>547100</v>
      </c>
      <c r="B135" s="6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2">
        <f ca="1">IFERROR(VLOOKUP(B135,input_547100!L:R,7,FALSE),VLOOKUP(tables_547100!C135,input_547100!A:H,8,FALSE))</f>
        <v>17100</v>
      </c>
      <c r="P135" s="43">
        <f ca="1">O135/SUM(O:O)</f>
        <v>2.9687500000206151E-3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input_547100!A$2</f>
        <v>547100</v>
      </c>
      <c r="B136" s="8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2">
        <f ca="1">IFERROR(VLOOKUP(B136,input_547100!L:R,7,FALSE),VLOOKUP(tables_547100!C136,input_547100!A:H,8,FALSE))</f>
        <v>26538.46154</v>
      </c>
      <c r="P136" s="43">
        <f ca="1">O136/SUM(O:O)</f>
        <v>4.607371795170883E-3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input_547100!A$2</f>
        <v>547100</v>
      </c>
      <c r="B137" s="8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2">
        <f ca="1">IFERROR(VLOOKUP(B137,input_547100!L:R,7,FALSE),VLOOKUP(tables_547100!C137,input_547100!A:H,8,FALSE))</f>
        <v>13361.53846</v>
      </c>
      <c r="P137" s="43">
        <f ca="1">O137/SUM(O:O)</f>
        <v>2.3197115382105524E-3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input_547100!A$2</f>
        <v>547100</v>
      </c>
      <c r="B138" s="6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2">
        <f ca="1">IFERROR(VLOOKUP(B138,input_547100!L:R,7,FALSE),VLOOKUP(tables_547100!C138,input_547100!A:H,8,FALSE))</f>
        <v>6171.42857</v>
      </c>
      <c r="P138" s="43">
        <f ca="1">O138/SUM(O:O)</f>
        <v>1.0714285711879955E-3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input_547100!A$2</f>
        <v>547100</v>
      </c>
      <c r="B139" s="6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2">
        <f ca="1">IFERROR(VLOOKUP(B139,input_547100!L:R,7,FALSE),VLOOKUP(tables_547100!C139,input_547100!A:H,8,FALSE))</f>
        <v>1600</v>
      </c>
      <c r="P139" s="43">
        <f ca="1">O139/SUM(O:O)</f>
        <v>2.7777777777970668E-4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input_547100!A$2</f>
        <v>547100</v>
      </c>
      <c r="B140" s="6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2">
        <f ca="1">IFERROR(VLOOKUP(B140,input_547100!L:R,7,FALSE),VLOOKUP(tables_547100!C140,input_547100!A:H,8,FALSE))</f>
        <v>6171.42857</v>
      </c>
      <c r="P140" s="43">
        <f ca="1">O140/SUM(O:O)</f>
        <v>1.0714285711879955E-3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input_547100!A$2</f>
        <v>547100</v>
      </c>
      <c r="B141" s="6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2">
        <f ca="1">IFERROR(VLOOKUP(B141,input_547100!L:R,7,FALSE),VLOOKUP(tables_547100!C141,input_547100!A:H,8,FALSE))</f>
        <v>1600</v>
      </c>
      <c r="P141" s="43">
        <f ca="1">O141/SUM(O:O)</f>
        <v>2.7777777777970668E-4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input_547100!A$2</f>
        <v>547100</v>
      </c>
      <c r="B142" s="6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2">
        <f ca="1">IFERROR(VLOOKUP(B142,input_547100!L:R,7,FALSE),VLOOKUP(tables_547100!C142,input_547100!A:H,8,FALSE))</f>
        <v>6171.42857</v>
      </c>
      <c r="P142" s="43">
        <f ca="1">O142/SUM(O:O)</f>
        <v>1.0714285711879955E-3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input_547100!A$2</f>
        <v>547100</v>
      </c>
      <c r="B143" s="6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2">
        <f ca="1">IFERROR(VLOOKUP(B143,input_547100!L:R,7,FALSE),VLOOKUP(tables_547100!C143,input_547100!A:H,8,FALSE))</f>
        <v>1600</v>
      </c>
      <c r="P143" s="43">
        <f ca="1">O143/SUM(O:O)</f>
        <v>2.7777777777970668E-4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input_547100!A$2</f>
        <v>547100</v>
      </c>
      <c r="B144" s="6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2">
        <f ca="1">IFERROR(VLOOKUP(B144,input_547100!L:R,7,FALSE),VLOOKUP(tables_547100!C144,input_547100!A:H,8,FALSE))</f>
        <v>6171.42857</v>
      </c>
      <c r="P144" s="43">
        <f ca="1">O144/SUM(O:O)</f>
        <v>1.0714285711879955E-3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input_547100!A$2</f>
        <v>547100</v>
      </c>
      <c r="B145" s="6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2">
        <f ca="1">IFERROR(VLOOKUP(B145,input_547100!L:R,7,FALSE),VLOOKUP(tables_547100!C145,input_547100!A:H,8,FALSE))</f>
        <v>1600</v>
      </c>
      <c r="P145" s="43">
        <f ca="1">O145/SUM(O:O)</f>
        <v>2.7777777777970668E-4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input_547100!A$2</f>
        <v>547100</v>
      </c>
      <c r="B146" s="6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2">
        <f ca="1">IFERROR(VLOOKUP(B146,input_547100!L:R,7,FALSE),VLOOKUP(tables_547100!C146,input_547100!A:H,8,FALSE))</f>
        <v>17100</v>
      </c>
      <c r="P146" s="43">
        <f ca="1">O146/SUM(O:O)</f>
        <v>2.9687500000206151E-3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input_547100!A$2</f>
        <v>547100</v>
      </c>
      <c r="B147" s="6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2">
        <f ca="1">IFERROR(VLOOKUP(B147,input_547100!L:R,7,FALSE),VLOOKUP(tables_547100!C147,input_547100!A:H,8,FALSE))</f>
        <v>26538.46154</v>
      </c>
      <c r="P147" s="43">
        <f ca="1">O147/SUM(O:O)</f>
        <v>4.607371795170883E-3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input_547100!A$2</f>
        <v>547100</v>
      </c>
      <c r="B148" s="6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2">
        <f ca="1">IFERROR(VLOOKUP(B148,input_547100!L:R,7,FALSE),VLOOKUP(tables_547100!C148,input_547100!A:H,8,FALSE))</f>
        <v>13361.53846</v>
      </c>
      <c r="P148" s="43">
        <f ca="1">O148/SUM(O:O)</f>
        <v>2.3197115382105524E-3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input_547100!A$2</f>
        <v>547100</v>
      </c>
      <c r="B149" s="6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2">
        <f ca="1">IFERROR(VLOOKUP(B149,input_547100!L:R,7,FALSE),VLOOKUP(tables_547100!C149,input_547100!A:H,8,FALSE))</f>
        <v>6171.42857</v>
      </c>
      <c r="P149" s="43">
        <f ca="1">O149/SUM(O:O)</f>
        <v>1.0714285711879955E-3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input_547100!A$2</f>
        <v>547100</v>
      </c>
      <c r="B150" s="6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2">
        <f ca="1">IFERROR(VLOOKUP(B150,input_547100!L:R,7,FALSE),VLOOKUP(tables_547100!C150,input_547100!A:H,8,FALSE))</f>
        <v>1600</v>
      </c>
      <c r="P150" s="43">
        <f ca="1">O150/SUM(O:O)</f>
        <v>2.7777777777970668E-4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input_547100!A$2</f>
        <v>547100</v>
      </c>
      <c r="B151" s="6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2">
        <f ca="1">IFERROR(VLOOKUP(B151,input_547100!L:R,7,FALSE),VLOOKUP(tables_547100!C151,input_547100!A:H,8,FALSE))</f>
        <v>6171.42857</v>
      </c>
      <c r="P151" s="43">
        <f ca="1">O151/SUM(O:O)</f>
        <v>1.0714285711879955E-3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input_547100!A$2</f>
        <v>547100</v>
      </c>
      <c r="B152" s="6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2">
        <f ca="1">IFERROR(VLOOKUP(B152,input_547100!L:R,7,FALSE),VLOOKUP(tables_547100!C152,input_547100!A:H,8,FALSE))</f>
        <v>1600</v>
      </c>
      <c r="P152" s="43">
        <f ca="1">O152/SUM(O:O)</f>
        <v>2.7777777777970668E-4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input_547100!A$2</f>
        <v>547100</v>
      </c>
      <c r="B153" s="6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2">
        <f ca="1">IFERROR(VLOOKUP(B153,input_547100!L:R,7,FALSE),VLOOKUP(tables_547100!C153,input_547100!A:H,8,FALSE))</f>
        <v>17100</v>
      </c>
      <c r="P153" s="43">
        <f ca="1">O153/SUM(O:O)</f>
        <v>2.9687500000206151E-3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input_547100!A$2</f>
        <v>547100</v>
      </c>
      <c r="B154" s="6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2">
        <f ca="1">IFERROR(VLOOKUP(B154,input_547100!L:R,7,FALSE),VLOOKUP(tables_547100!C154,input_547100!A:H,8,FALSE))</f>
        <v>26538.46154</v>
      </c>
      <c r="P154" s="43">
        <f ca="1">O154/SUM(O:O)</f>
        <v>4.607371795170883E-3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input_547100!A$2</f>
        <v>547100</v>
      </c>
      <c r="B155" s="6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2">
        <f ca="1">IFERROR(VLOOKUP(B155,input_547100!L:R,7,FALSE),VLOOKUP(tables_547100!C155,input_547100!A:H,8,FALSE))</f>
        <v>13361.53846</v>
      </c>
      <c r="P155" s="43">
        <f ca="1">O155/SUM(O:O)</f>
        <v>2.3197115382105524E-3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input_547100!A$2</f>
        <v>547100</v>
      </c>
      <c r="B156" s="6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2">
        <f ca="1">IFERROR(VLOOKUP(B156,input_547100!L:R,7,FALSE),VLOOKUP(tables_547100!C156,input_547100!A:H,8,FALSE))</f>
        <v>6171.42857</v>
      </c>
      <c r="P156" s="43">
        <f ca="1">O156/SUM(O:O)</f>
        <v>1.0714285711879955E-3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input_547100!A$2</f>
        <v>547100</v>
      </c>
      <c r="B157" s="6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2">
        <f ca="1">IFERROR(VLOOKUP(B157,input_547100!L:R,7,FALSE),VLOOKUP(tables_547100!C157,input_547100!A:H,8,FALSE))</f>
        <v>1600</v>
      </c>
      <c r="P157" s="43">
        <f ca="1">O157/SUM(O:O)</f>
        <v>2.7777777777970668E-4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input_547100!A$2</f>
        <v>547100</v>
      </c>
      <c r="B158" s="6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2">
        <f ca="1">IFERROR(VLOOKUP(B158,input_547100!L:R,7,FALSE),VLOOKUP(tables_547100!C158,input_547100!A:H,8,FALSE))</f>
        <v>17100</v>
      </c>
      <c r="P158" s="43">
        <f ca="1">O158/SUM(O:O)</f>
        <v>2.9687500000206151E-3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input_547100!A$2</f>
        <v>547100</v>
      </c>
      <c r="B159" s="6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2">
        <f ca="1">IFERROR(VLOOKUP(B159,input_547100!L:R,7,FALSE),VLOOKUP(tables_547100!C159,input_547100!A:H,8,FALSE))</f>
        <v>26538.46154</v>
      </c>
      <c r="P159" s="43">
        <f ca="1">O159/SUM(O:O)</f>
        <v>4.607371795170883E-3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input_547100!A$2</f>
        <v>547100</v>
      </c>
      <c r="B160" s="6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2">
        <f ca="1">IFERROR(VLOOKUP(B160,input_547100!L:R,7,FALSE),VLOOKUP(tables_547100!C160,input_547100!A:H,8,FALSE))</f>
        <v>13361.53846</v>
      </c>
      <c r="P160" s="43">
        <f ca="1">O160/SUM(O:O)</f>
        <v>2.3197115382105524E-3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input_547100!A$2</f>
        <v>547100</v>
      </c>
      <c r="B161" s="6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2">
        <f ca="1">IFERROR(VLOOKUP(B161,input_547100!L:R,7,FALSE),VLOOKUP(tables_547100!C161,input_547100!A:H,8,FALSE))</f>
        <v>17100</v>
      </c>
      <c r="P161" s="43">
        <f ca="1">O161/SUM(O:O)</f>
        <v>2.9687500000206151E-3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input_547100!A$2</f>
        <v>547100</v>
      </c>
      <c r="B162" s="6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2">
        <f ca="1">IFERROR(VLOOKUP(B162,input_547100!L:R,7,FALSE),VLOOKUP(tables_547100!C162,input_547100!A:H,8,FALSE))</f>
        <v>26538.46154</v>
      </c>
      <c r="P162" s="43">
        <f ca="1">O162/SUM(O:O)</f>
        <v>4.607371795170883E-3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input_547100!A$2</f>
        <v>547100</v>
      </c>
      <c r="B163" s="6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2">
        <f ca="1">IFERROR(VLOOKUP(B163,input_547100!L:R,7,FALSE),VLOOKUP(tables_547100!C163,input_547100!A:H,8,FALSE))</f>
        <v>13361.53846</v>
      </c>
      <c r="P163" s="43">
        <f ca="1">O163/SUM(O:O)</f>
        <v>2.3197115382105524E-3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input_547100!A$2</f>
        <v>547100</v>
      </c>
      <c r="B164" s="6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2">
        <f ca="1">IFERROR(VLOOKUP(B164,input_547100!L:R,7,FALSE),VLOOKUP(tables_547100!C164,input_547100!A:H,8,FALSE))</f>
        <v>6171.42857</v>
      </c>
      <c r="P164" s="43">
        <f ca="1">O164/SUM(O:O)</f>
        <v>1.0714285711879955E-3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input_547100!A$2</f>
        <v>547100</v>
      </c>
      <c r="B165" s="6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2">
        <f ca="1">IFERROR(VLOOKUP(B165,input_547100!L:R,7,FALSE),VLOOKUP(tables_547100!C165,input_547100!A:H,8,FALSE))</f>
        <v>1600</v>
      </c>
      <c r="P165" s="43">
        <f ca="1">O165/SUM(O:O)</f>
        <v>2.7777777777970668E-4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input_547100!A$2</f>
        <v>547100</v>
      </c>
      <c r="B166" s="6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2">
        <f ca="1">IFERROR(VLOOKUP(B166,input_547100!L:R,7,FALSE),VLOOKUP(tables_547100!C166,input_547100!A:H,8,FALSE))</f>
        <v>17100</v>
      </c>
      <c r="P166" s="43">
        <f ca="1">O166/SUM(O:O)</f>
        <v>2.9687500000206151E-3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input_547100!A$2</f>
        <v>547100</v>
      </c>
      <c r="B167" s="6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2">
        <f ca="1">IFERROR(VLOOKUP(B167,input_547100!L:R,7,FALSE),VLOOKUP(tables_547100!C167,input_547100!A:H,8,FALSE))</f>
        <v>26538.46154</v>
      </c>
      <c r="P167" s="43">
        <f ca="1">O167/SUM(O:O)</f>
        <v>4.607371795170883E-3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input_547100!A$2</f>
        <v>547100</v>
      </c>
      <c r="B168" s="6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2">
        <f ca="1">IFERROR(VLOOKUP(B168,input_547100!L:R,7,FALSE),VLOOKUP(tables_547100!C168,input_547100!A:H,8,FALSE))</f>
        <v>13361.53846</v>
      </c>
      <c r="P168" s="43">
        <f ca="1">O168/SUM(O:O)</f>
        <v>2.3197115382105524E-3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input_547100!A$2</f>
        <v>547100</v>
      </c>
      <c r="B169" s="6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2">
        <f ca="1">IFERROR(VLOOKUP(B169,input_547100!L:R,7,FALSE),VLOOKUP(tables_547100!C169,input_547100!A:H,8,FALSE))</f>
        <v>6171.42857</v>
      </c>
      <c r="P169" s="43">
        <f ca="1">O169/SUM(O:O)</f>
        <v>1.0714285711879955E-3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input_547100!A$2</f>
        <v>547100</v>
      </c>
      <c r="B170" s="6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2">
        <f ca="1">IFERROR(VLOOKUP(B170,input_547100!L:R,7,FALSE),VLOOKUP(tables_547100!C170,input_547100!A:H,8,FALSE))</f>
        <v>1600</v>
      </c>
      <c r="P170" s="43">
        <f ca="1">O170/SUM(O:O)</f>
        <v>2.7777777777970668E-4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input_547100!A$2</f>
        <v>547100</v>
      </c>
      <c r="B171" s="6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2">
        <f ca="1">IFERROR(VLOOKUP(B171,input_547100!L:R,7,FALSE),VLOOKUP(tables_547100!C171,input_547100!A:H,8,FALSE))</f>
        <v>17100</v>
      </c>
      <c r="P171" s="43">
        <f ca="1">O171/SUM(O:O)</f>
        <v>2.9687500000206151E-3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input_547100!A$2</f>
        <v>547100</v>
      </c>
      <c r="B172" s="6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2">
        <f ca="1">IFERROR(VLOOKUP(B172,input_547100!L:R,7,FALSE),VLOOKUP(tables_547100!C172,input_547100!A:H,8,FALSE))</f>
        <v>26538.46154</v>
      </c>
      <c r="P172" s="43">
        <f ca="1">O172/SUM(O:O)</f>
        <v>4.607371795170883E-3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input_547100!A$2</f>
        <v>547100</v>
      </c>
      <c r="B173" s="6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2">
        <f ca="1">IFERROR(VLOOKUP(B173,input_547100!L:R,7,FALSE),VLOOKUP(tables_547100!C173,input_547100!A:H,8,FALSE))</f>
        <v>13361.53846</v>
      </c>
      <c r="P173" s="43">
        <f ca="1">O173/SUM(O:O)</f>
        <v>2.3197115382105524E-3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input_547100!A$2</f>
        <v>547100</v>
      </c>
      <c r="B174" s="6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2">
        <f ca="1">IFERROR(VLOOKUP(B174,input_547100!L:R,7,FALSE),VLOOKUP(tables_547100!C174,input_547100!A:H,8,FALSE))</f>
        <v>6171.42857</v>
      </c>
      <c r="P174" s="43">
        <f ca="1">O174/SUM(O:O)</f>
        <v>1.0714285711879955E-3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input_547100!A$2</f>
        <v>547100</v>
      </c>
      <c r="B175" s="6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2">
        <f ca="1">IFERROR(VLOOKUP(B175,input_547100!L:R,7,FALSE),VLOOKUP(tables_547100!C175,input_547100!A:H,8,FALSE))</f>
        <v>1600</v>
      </c>
      <c r="P175" s="43">
        <f ca="1">O175/SUM(O:O)</f>
        <v>2.7777777777970668E-4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input_547100!A$2</f>
        <v>547100</v>
      </c>
      <c r="B176" s="6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2">
        <f ca="1">IFERROR(VLOOKUP(B176,input_547100!L:R,7,FALSE),VLOOKUP(tables_547100!C176,input_547100!A:H,8,FALSE))</f>
        <v>6171.42857</v>
      </c>
      <c r="P176" s="43">
        <f ca="1">O176/SUM(O:O)</f>
        <v>1.0714285711879955E-3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input_547100!A$2</f>
        <v>547100</v>
      </c>
      <c r="B177" s="6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2">
        <f ca="1">IFERROR(VLOOKUP(B177,input_547100!L:R,7,FALSE),VLOOKUP(tables_547100!C177,input_547100!A:H,8,FALSE))</f>
        <v>1600</v>
      </c>
      <c r="P177" s="43">
        <f ca="1">O177/SUM(O:O)</f>
        <v>2.7777777777970668E-4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input_547100!A$2</f>
        <v>547100</v>
      </c>
      <c r="B178" s="6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2">
        <f ca="1">IFERROR(VLOOKUP(B178,input_547100!L:R,7,FALSE),VLOOKUP(tables_547100!C178,input_547100!A:H,8,FALSE))</f>
        <v>17100</v>
      </c>
      <c r="P178" s="43">
        <f ca="1">O178/SUM(O:O)</f>
        <v>2.9687500000206151E-3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input_547100!A$2</f>
        <v>547100</v>
      </c>
      <c r="B179" s="6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2">
        <f ca="1">IFERROR(VLOOKUP(B179,input_547100!L:R,7,FALSE),VLOOKUP(tables_547100!C179,input_547100!A:H,8,FALSE))</f>
        <v>26538.46154</v>
      </c>
      <c r="P179" s="43">
        <f ca="1">O179/SUM(O:O)</f>
        <v>4.607371795170883E-3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input_547100!A$2</f>
        <v>547100</v>
      </c>
      <c r="B180" s="6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2">
        <f ca="1">IFERROR(VLOOKUP(B180,input_547100!L:R,7,FALSE),VLOOKUP(tables_547100!C180,input_547100!A:H,8,FALSE))</f>
        <v>13361.53846</v>
      </c>
      <c r="P180" s="43">
        <f ca="1">O180/SUM(O:O)</f>
        <v>2.3197115382105524E-3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input_547100!A$2</f>
        <v>547100</v>
      </c>
      <c r="B181" s="6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2">
        <f ca="1">IFERROR(VLOOKUP(B181,input_547100!L:R,7,FALSE),VLOOKUP(tables_547100!C181,input_547100!A:H,8,FALSE))</f>
        <v>17100</v>
      </c>
      <c r="P181" s="43">
        <f ca="1">O181/SUM(O:O)</f>
        <v>2.9687500000206151E-3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input_547100!A$2</f>
        <v>547100</v>
      </c>
      <c r="B182" s="6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2">
        <f ca="1">IFERROR(VLOOKUP(B182,input_547100!L:R,7,FALSE),VLOOKUP(tables_547100!C182,input_547100!A:H,8,FALSE))</f>
        <v>26538.46154</v>
      </c>
      <c r="P182" s="43">
        <f ca="1">O182/SUM(O:O)</f>
        <v>4.607371795170883E-3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input_547100!A$2</f>
        <v>547100</v>
      </c>
      <c r="B183" s="6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2">
        <f ca="1">IFERROR(VLOOKUP(B183,input_547100!L:R,7,FALSE),VLOOKUP(tables_547100!C183,input_547100!A:H,8,FALSE))</f>
        <v>13361.53846</v>
      </c>
      <c r="P183" s="43">
        <f ca="1">O183/SUM(O:O)</f>
        <v>2.3197115382105524E-3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input_547100!A$2</f>
        <v>547100</v>
      </c>
      <c r="B184" s="6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2">
        <f ca="1">IFERROR(VLOOKUP(B184,input_547100!L:R,7,FALSE),VLOOKUP(tables_547100!C184,input_547100!A:H,8,FALSE))</f>
        <v>6171.42857</v>
      </c>
      <c r="P184" s="43">
        <f ca="1">O184/SUM(O:O)</f>
        <v>1.0714285711879955E-3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input_547100!A$2</f>
        <v>547100</v>
      </c>
      <c r="B185" s="6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2">
        <f ca="1">IFERROR(VLOOKUP(B185,input_547100!L:R,7,FALSE),VLOOKUP(tables_547100!C185,input_547100!A:H,8,FALSE))</f>
        <v>1600</v>
      </c>
      <c r="P185" s="43">
        <f ca="1">O185/SUM(O:O)</f>
        <v>2.7777777777970668E-4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input_547100!A$2</f>
        <v>547100</v>
      </c>
      <c r="B186" s="8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2">
        <f ca="1">IFERROR(VLOOKUP(B186,input_547100!L:R,7,FALSE),VLOOKUP(tables_547100!C186,input_547100!A:H,8,FALSE))</f>
        <v>17100</v>
      </c>
      <c r="P186" s="43">
        <f ca="1">O186/SUM(O:O)</f>
        <v>2.9687500000206151E-3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input_547100!A$2</f>
        <v>547100</v>
      </c>
      <c r="B187" s="8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2">
        <f ca="1">IFERROR(VLOOKUP(B187,input_547100!L:R,7,FALSE),VLOOKUP(tables_547100!C187,input_547100!A:H,8,FALSE))</f>
        <v>26538.46154</v>
      </c>
      <c r="P187" s="43">
        <f ca="1">O187/SUM(O:O)</f>
        <v>4.607371795170883E-3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input_547100!A$2</f>
        <v>547100</v>
      </c>
      <c r="B188" s="8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2">
        <f ca="1">IFERROR(VLOOKUP(B188,input_547100!L:R,7,FALSE),VLOOKUP(tables_547100!C188,input_547100!A:H,8,FALSE))</f>
        <v>13361.53846</v>
      </c>
      <c r="P188" s="43">
        <f ca="1">O188/SUM(O:O)</f>
        <v>2.3197115382105524E-3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input_547100!A$2</f>
        <v>547100</v>
      </c>
      <c r="B189" s="8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2">
        <f ca="1">IFERROR(VLOOKUP(B189,input_547100!L:R,7,FALSE),VLOOKUP(tables_547100!C189,input_547100!A:H,8,FALSE))</f>
        <v>6171.42857</v>
      </c>
      <c r="P189" s="43">
        <f ca="1">O189/SUM(O:O)</f>
        <v>1.0714285711879955E-3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input_547100!A$2</f>
        <v>547100</v>
      </c>
      <c r="B190" s="6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2">
        <f ca="1">IFERROR(VLOOKUP(B190,input_547100!L:R,7,FALSE),VLOOKUP(tables_547100!C190,input_547100!A:H,8,FALSE))</f>
        <v>1600</v>
      </c>
      <c r="P190" s="43">
        <f ca="1">O190/SUM(O:O)</f>
        <v>2.7777777777970668E-4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input_547100!A$2</f>
        <v>547100</v>
      </c>
      <c r="B191" s="6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2">
        <f ca="1">IFERROR(VLOOKUP(B191,input_547100!L:R,7,FALSE),VLOOKUP(tables_547100!C191,input_547100!A:H,8,FALSE))</f>
        <v>6171.42857</v>
      </c>
      <c r="P191" s="43">
        <f ca="1">O191/SUM(O:O)</f>
        <v>1.0714285711879955E-3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input_547100!A$2</f>
        <v>547100</v>
      </c>
      <c r="B192" s="6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2">
        <f ca="1">IFERROR(VLOOKUP(B192,input_547100!L:R,7,FALSE),VLOOKUP(tables_547100!C192,input_547100!A:H,8,FALSE))</f>
        <v>1600</v>
      </c>
      <c r="P192" s="43">
        <f ca="1">O192/SUM(O:O)</f>
        <v>2.7777777777970668E-4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input_547100!A$2</f>
        <v>547100</v>
      </c>
      <c r="B193" s="6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2">
        <f ca="1">IFERROR(VLOOKUP(B193,input_547100!L:R,7,FALSE),VLOOKUP(tables_547100!C193,input_547100!A:H,8,FALSE))</f>
        <v>17100</v>
      </c>
      <c r="P193" s="43">
        <f ca="1">O193/SUM(O:O)</f>
        <v>2.9687500000206151E-3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input_547100!A$2</f>
        <v>547100</v>
      </c>
      <c r="B194" s="6">
        <v>470</v>
      </c>
      <c r="C194" s="7" t="str">
        <f t="shared" ref="C194:C257" si="6">D194&amp;J194&amp;E194&amp;F194&amp;G194</f>
        <v>Premium4</v>
      </c>
      <c r="D194" s="7" t="str">
        <f t="shared" si="5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2">
        <f ca="1">IFERROR(VLOOKUP(B194,input_547100!L:R,7,FALSE),VLOOKUP(tables_547100!C194,input_547100!A:H,8,FALSE))</f>
        <v>26538.46154</v>
      </c>
      <c r="P194" s="43">
        <f ca="1">O194/SUM(O:O)</f>
        <v>4.607371795170883E-3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input_547100!A$2</f>
        <v>547100</v>
      </c>
      <c r="B195" s="6">
        <v>471</v>
      </c>
      <c r="C195" s="7" t="str">
        <f t="shared" si="6"/>
        <v>Premium5</v>
      </c>
      <c r="D195" s="7" t="str">
        <f t="shared" ref="D195:D258" si="7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2">
        <f ca="1">IFERROR(VLOOKUP(B195,input_547100!L:R,7,FALSE),VLOOKUP(tables_547100!C195,input_547100!A:H,8,FALSE))</f>
        <v>13361.53846</v>
      </c>
      <c r="P195" s="43">
        <f ca="1">O195/SUM(O:O)</f>
        <v>2.3197115382105524E-3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input_547100!A$2</f>
        <v>547100</v>
      </c>
      <c r="B196" s="6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2">
        <f ca="1">IFERROR(VLOOKUP(B196,input_547100!L:R,7,FALSE),VLOOKUP(tables_547100!C196,input_547100!A:H,8,FALSE))</f>
        <v>6171.42857</v>
      </c>
      <c r="P196" s="43">
        <f ca="1">O196/SUM(O:O)</f>
        <v>1.0714285711879955E-3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input_547100!A$2</f>
        <v>547100</v>
      </c>
      <c r="B197" s="6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2">
        <f ca="1">IFERROR(VLOOKUP(B197,input_547100!L:R,7,FALSE),VLOOKUP(tables_547100!C197,input_547100!A:H,8,FALSE))</f>
        <v>1600</v>
      </c>
      <c r="P197" s="43">
        <f ca="1">O197/SUM(O:O)</f>
        <v>2.7777777777970668E-4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input_547100!A$2</f>
        <v>547100</v>
      </c>
      <c r="B198" s="6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2">
        <f ca="1">IFERROR(VLOOKUP(B198,input_547100!L:R,7,FALSE),VLOOKUP(tables_547100!C198,input_547100!A:H,8,FALSE))</f>
        <v>17100</v>
      </c>
      <c r="P198" s="43">
        <f ca="1">O198/SUM(O:O)</f>
        <v>2.9687500000206151E-3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input_547100!A$2</f>
        <v>547100</v>
      </c>
      <c r="B199" s="6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2">
        <f ca="1">IFERROR(VLOOKUP(B199,input_547100!L:R,7,FALSE),VLOOKUP(tables_547100!C199,input_547100!A:H,8,FALSE))</f>
        <v>26538.46154</v>
      </c>
      <c r="P199" s="43">
        <f ca="1">O199/SUM(O:O)</f>
        <v>4.607371795170883E-3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input_547100!A$2</f>
        <v>547100</v>
      </c>
      <c r="B200" s="6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2">
        <f ca="1">IFERROR(VLOOKUP(B200,input_547100!L:R,7,FALSE),VLOOKUP(tables_547100!C200,input_547100!A:H,8,FALSE))</f>
        <v>13361.53846</v>
      </c>
      <c r="P200" s="43">
        <f ca="1">O200/SUM(O:O)</f>
        <v>2.3197115382105524E-3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input_547100!A$2</f>
        <v>547100</v>
      </c>
      <c r="B201" s="6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2">
        <f ca="1">IFERROR(VLOOKUP(B201,input_547100!L:R,7,FALSE),VLOOKUP(tables_547100!C201,input_547100!A:H,8,FALSE))</f>
        <v>6171.42857</v>
      </c>
      <c r="P201" s="43">
        <f ca="1">O201/SUM(O:O)</f>
        <v>1.0714285711879955E-3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input_547100!A$2</f>
        <v>547100</v>
      </c>
      <c r="B202" s="6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2">
        <f ca="1">IFERROR(VLOOKUP(B202,input_547100!L:R,7,FALSE),VLOOKUP(tables_547100!C202,input_547100!A:H,8,FALSE))</f>
        <v>1600</v>
      </c>
      <c r="P202" s="43">
        <f ca="1">O202/SUM(O:O)</f>
        <v>2.7777777777970668E-4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input_547100!A$2</f>
        <v>547100</v>
      </c>
      <c r="B203" s="6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2">
        <f ca="1">IFERROR(VLOOKUP(B203,input_547100!L:R,7,FALSE),VLOOKUP(tables_547100!C203,input_547100!A:H,8,FALSE))</f>
        <v>17100</v>
      </c>
      <c r="P203" s="43">
        <f ca="1">O203/SUM(O:O)</f>
        <v>2.9687500000206151E-3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input_547100!A$2</f>
        <v>547100</v>
      </c>
      <c r="B204" s="6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2">
        <f ca="1">IFERROR(VLOOKUP(B204,input_547100!L:R,7,FALSE),VLOOKUP(tables_547100!C204,input_547100!A:H,8,FALSE))</f>
        <v>26538.46154</v>
      </c>
      <c r="P204" s="43">
        <f ca="1">O204/SUM(O:O)</f>
        <v>4.607371795170883E-3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input_547100!A$2</f>
        <v>547100</v>
      </c>
      <c r="B205" s="6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2">
        <f ca="1">IFERROR(VLOOKUP(B205,input_547100!L:R,7,FALSE),VLOOKUP(tables_547100!C205,input_547100!A:H,8,FALSE))</f>
        <v>13361.53846</v>
      </c>
      <c r="P205" s="43">
        <f ca="1">O205/SUM(O:O)</f>
        <v>2.3197115382105524E-3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input_547100!A$2</f>
        <v>547100</v>
      </c>
      <c r="B206" s="6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2">
        <f ca="1">IFERROR(VLOOKUP(B206,input_547100!L:R,7,FALSE),VLOOKUP(tables_547100!C206,input_547100!A:H,8,FALSE))</f>
        <v>6171.42857</v>
      </c>
      <c r="P206" s="43">
        <f ca="1">O206/SUM(O:O)</f>
        <v>1.0714285711879955E-3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input_547100!A$2</f>
        <v>547100</v>
      </c>
      <c r="B207" s="6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2">
        <f ca="1">IFERROR(VLOOKUP(B207,input_547100!L:R,7,FALSE),VLOOKUP(tables_547100!C207,input_547100!A:H,8,FALSE))</f>
        <v>1600</v>
      </c>
      <c r="P207" s="43">
        <f ca="1">O207/SUM(O:O)</f>
        <v>2.7777777777970668E-4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input_547100!A$2</f>
        <v>547100</v>
      </c>
      <c r="B208" s="6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2">
        <f ca="1">IFERROR(VLOOKUP(B208,input_547100!L:R,7,FALSE),VLOOKUP(tables_547100!C208,input_547100!A:H,8,FALSE))</f>
        <v>6171.42857</v>
      </c>
      <c r="P208" s="43">
        <f ca="1">O208/SUM(O:O)</f>
        <v>1.0714285711879955E-3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input_547100!A$2</f>
        <v>547100</v>
      </c>
      <c r="B209" s="6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2">
        <f ca="1">IFERROR(VLOOKUP(B209,input_547100!L:R,7,FALSE),VLOOKUP(tables_547100!C209,input_547100!A:H,8,FALSE))</f>
        <v>1600</v>
      </c>
      <c r="P209" s="43">
        <f ca="1">O209/SUM(O:O)</f>
        <v>2.7777777777970668E-4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input_547100!A$2</f>
        <v>547100</v>
      </c>
      <c r="B210" s="6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2">
        <f ca="1">IFERROR(VLOOKUP(B210,input_547100!L:R,7,FALSE),VLOOKUP(tables_547100!C210,input_547100!A:H,8,FALSE))</f>
        <v>17100</v>
      </c>
      <c r="P210" s="43">
        <f ca="1">O210/SUM(O:O)</f>
        <v>2.9687500000206151E-3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input_547100!A$2</f>
        <v>547100</v>
      </c>
      <c r="B211" s="6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2">
        <f ca="1">IFERROR(VLOOKUP(B211,input_547100!L:R,7,FALSE),VLOOKUP(tables_547100!C211,input_547100!A:H,8,FALSE))</f>
        <v>26538.46154</v>
      </c>
      <c r="P211" s="43">
        <f ca="1">O211/SUM(O:O)</f>
        <v>4.607371795170883E-3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input_547100!A$2</f>
        <v>547100</v>
      </c>
      <c r="B212" s="6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2">
        <f ca="1">IFERROR(VLOOKUP(B212,input_547100!L:R,7,FALSE),VLOOKUP(tables_547100!C212,input_547100!A:H,8,FALSE))</f>
        <v>13361.53846</v>
      </c>
      <c r="P212" s="43">
        <f ca="1">O212/SUM(O:O)</f>
        <v>2.3197115382105524E-3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input_547100!A$2</f>
        <v>547100</v>
      </c>
      <c r="B213" s="6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2">
        <f ca="1">IFERROR(VLOOKUP(B213,input_547100!L:R,7,FALSE),VLOOKUP(tables_547100!C213,input_547100!A:H,8,FALSE))</f>
        <v>6171.42857</v>
      </c>
      <c r="P213" s="43">
        <f ca="1">O213/SUM(O:O)</f>
        <v>1.0714285711879955E-3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input_547100!A$2</f>
        <v>547100</v>
      </c>
      <c r="B214" s="6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2">
        <f ca="1">IFERROR(VLOOKUP(B214,input_547100!L:R,7,FALSE),VLOOKUP(tables_547100!C214,input_547100!A:H,8,FALSE))</f>
        <v>1600</v>
      </c>
      <c r="P214" s="43">
        <f ca="1">O214/SUM(O:O)</f>
        <v>2.7777777777970668E-4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input_547100!A$2</f>
        <v>547100</v>
      </c>
      <c r="B215" s="6">
        <v>560</v>
      </c>
      <c r="C215" s="7" t="str">
        <f t="shared" si="6"/>
        <v>premium5R3less</v>
      </c>
      <c r="D215" s="7" t="str">
        <f t="shared" si="7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2">
        <f ca="1">IFERROR(VLOOKUP(B215,input_547100!L:R,7,FALSE),VLOOKUP(tables_547100!C215,input_547100!A:H,8,FALSE))</f>
        <v>11400</v>
      </c>
      <c r="P215" s="43">
        <f ca="1">O215/SUM(O:O)</f>
        <v>1.9791666666804102E-3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input_547100!A$2</f>
        <v>547100</v>
      </c>
      <c r="B216" s="6">
        <v>561</v>
      </c>
      <c r="C216" s="7" t="str">
        <f t="shared" si="6"/>
        <v>premium5R3less</v>
      </c>
      <c r="D216" s="7" t="str">
        <f t="shared" si="7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2">
        <f ca="1">IFERROR(VLOOKUP(B216,input_547100!L:R,7,FALSE),VLOOKUP(tables_547100!C216,input_547100!A:H,8,FALSE))</f>
        <v>11400</v>
      </c>
      <c r="P216" s="43">
        <f ca="1">O216/SUM(O:O)</f>
        <v>1.9791666666804102E-3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input_547100!A$2</f>
        <v>547100</v>
      </c>
      <c r="B217" s="6">
        <v>562</v>
      </c>
      <c r="C217" s="7" t="str">
        <f t="shared" si="6"/>
        <v>premium5R3less</v>
      </c>
      <c r="D217" s="7" t="str">
        <f t="shared" si="7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2">
        <f ca="1">IFERROR(VLOOKUP(B217,input_547100!L:R,7,FALSE),VLOOKUP(tables_547100!C217,input_547100!A:H,8,FALSE))</f>
        <v>11400</v>
      </c>
      <c r="P217" s="43">
        <f ca="1">O217/SUM(O:O)</f>
        <v>1.9791666666804102E-3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input_547100!A$2</f>
        <v>547100</v>
      </c>
      <c r="B218" s="6">
        <v>563</v>
      </c>
      <c r="C218" s="7" t="str">
        <f t="shared" si="6"/>
        <v>premium5R3less</v>
      </c>
      <c r="D218" s="7" t="str">
        <f t="shared" si="7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2">
        <f ca="1">IFERROR(VLOOKUP(B218,input_547100!L:R,7,FALSE),VLOOKUP(tables_547100!C218,input_547100!A:H,8,FALSE))</f>
        <v>11400</v>
      </c>
      <c r="P218" s="43">
        <f ca="1">O218/SUM(O:O)</f>
        <v>1.9791666666804102E-3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input_547100!A$2</f>
        <v>547100</v>
      </c>
      <c r="B219" s="6">
        <v>566</v>
      </c>
      <c r="C219" s="7" t="str">
        <f t="shared" si="6"/>
        <v>premium5R3less</v>
      </c>
      <c r="D219" s="7" t="str">
        <f t="shared" si="7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2">
        <f ca="1">IFERROR(VLOOKUP(B219,input_547100!L:R,7,FALSE),VLOOKUP(tables_547100!C219,input_547100!A:H,8,FALSE))</f>
        <v>11400</v>
      </c>
      <c r="P219" s="43">
        <f ca="1">O219/SUM(O:O)</f>
        <v>1.9791666666804102E-3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input_547100!A$2</f>
        <v>547100</v>
      </c>
      <c r="B220" s="6">
        <v>567</v>
      </c>
      <c r="C220" s="7" t="str">
        <f t="shared" si="6"/>
        <v>premium5R3less</v>
      </c>
      <c r="D220" s="7" t="str">
        <f t="shared" si="7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2">
        <f ca="1">IFERROR(VLOOKUP(B220,input_547100!L:R,7,FALSE),VLOOKUP(tables_547100!C220,input_547100!A:H,8,FALSE))</f>
        <v>11400</v>
      </c>
      <c r="P220" s="43">
        <f ca="1">O220/SUM(O:O)</f>
        <v>1.9791666666804102E-3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input_547100!A$2</f>
        <v>547100</v>
      </c>
      <c r="B221" s="6">
        <v>586</v>
      </c>
      <c r="C221" s="7" t="str">
        <f t="shared" si="6"/>
        <v>PremiumSS4</v>
      </c>
      <c r="D221" s="7" t="str">
        <f t="shared" si="7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2">
        <f ca="1">IFERROR(VLOOKUP(B221,input_547100!L:R,7,FALSE),VLOOKUP(tables_547100!C221,input_547100!A:H,8,FALSE))</f>
        <v>6171.42857</v>
      </c>
      <c r="P221" s="43">
        <f ca="1">O221/SUM(O:O)</f>
        <v>1.0714285711879955E-3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input_547100!A$2</f>
        <v>547100</v>
      </c>
      <c r="B222" s="6">
        <v>587</v>
      </c>
      <c r="C222" s="7" t="str">
        <f t="shared" si="6"/>
        <v>PremiumSS5</v>
      </c>
      <c r="D222" s="7" t="str">
        <f t="shared" si="7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2">
        <f ca="1">IFERROR(VLOOKUP(B222,input_547100!L:R,7,FALSE),VLOOKUP(tables_547100!C222,input_547100!A:H,8,FALSE))</f>
        <v>1600</v>
      </c>
      <c r="P222" s="43">
        <f ca="1">O222/SUM(O:O)</f>
        <v>2.7777777777970668E-4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input_547100!A$2</f>
        <v>547100</v>
      </c>
      <c r="B223" s="6">
        <v>588</v>
      </c>
      <c r="C223" s="7" t="str">
        <f t="shared" si="6"/>
        <v>Premium3</v>
      </c>
      <c r="D223" s="7" t="str">
        <f t="shared" si="7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2">
        <f ca="1">IFERROR(VLOOKUP(B223,input_547100!L:R,7,FALSE),VLOOKUP(tables_547100!C223,input_547100!A:H,8,FALSE))</f>
        <v>17100</v>
      </c>
      <c r="P223" s="43">
        <f ca="1">O223/SUM(O:O)</f>
        <v>2.9687500000206151E-3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input_547100!A$2</f>
        <v>547100</v>
      </c>
      <c r="B224" s="6">
        <v>589</v>
      </c>
      <c r="C224" s="7" t="str">
        <f t="shared" si="6"/>
        <v>Premium4</v>
      </c>
      <c r="D224" s="7" t="str">
        <f t="shared" si="7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2">
        <f ca="1">IFERROR(VLOOKUP(B224,input_547100!L:R,7,FALSE),VLOOKUP(tables_547100!C224,input_547100!A:H,8,FALSE))</f>
        <v>26538.46154</v>
      </c>
      <c r="P224" s="43">
        <f ca="1">O224/SUM(O:O)</f>
        <v>4.607371795170883E-3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input_547100!A$2</f>
        <v>547100</v>
      </c>
      <c r="B225" s="6">
        <v>590</v>
      </c>
      <c r="C225" s="7" t="str">
        <f t="shared" si="6"/>
        <v>Premium5</v>
      </c>
      <c r="D225" s="7" t="str">
        <f t="shared" si="7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2">
        <f ca="1">IFERROR(VLOOKUP(B225,input_547100!L:R,7,FALSE),VLOOKUP(tables_547100!C225,input_547100!A:H,8,FALSE))</f>
        <v>13361.53846</v>
      </c>
      <c r="P225" s="43">
        <f ca="1">O225/SUM(O:O)</f>
        <v>2.3197115382105524E-3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input_547100!A$2</f>
        <v>547100</v>
      </c>
      <c r="B226" s="6">
        <v>591</v>
      </c>
      <c r="C226" s="7" t="str">
        <f t="shared" si="6"/>
        <v>Premium3</v>
      </c>
      <c r="D226" s="7" t="str">
        <f t="shared" si="7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2">
        <f ca="1">IFERROR(VLOOKUP(B226,input_547100!L:R,7,FALSE),VLOOKUP(tables_547100!C226,input_547100!A:H,8,FALSE))</f>
        <v>17100</v>
      </c>
      <c r="P226" s="43">
        <f ca="1">O226/SUM(O:O)</f>
        <v>2.9687500000206151E-3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input_547100!A$2</f>
        <v>547100</v>
      </c>
      <c r="B227" s="6">
        <v>592</v>
      </c>
      <c r="C227" s="7" t="str">
        <f t="shared" si="6"/>
        <v>Premium4</v>
      </c>
      <c r="D227" s="7" t="str">
        <f t="shared" si="7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2">
        <f ca="1">IFERROR(VLOOKUP(B227,input_547100!L:R,7,FALSE),VLOOKUP(tables_547100!C227,input_547100!A:H,8,FALSE))</f>
        <v>26538.46154</v>
      </c>
      <c r="P227" s="43">
        <f ca="1">O227/SUM(O:O)</f>
        <v>4.607371795170883E-3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input_547100!A$2</f>
        <v>547100</v>
      </c>
      <c r="B228" s="6">
        <v>593</v>
      </c>
      <c r="C228" s="7" t="str">
        <f t="shared" si="6"/>
        <v>Premium5</v>
      </c>
      <c r="D228" s="7" t="str">
        <f t="shared" si="7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2">
        <f ca="1">IFERROR(VLOOKUP(B228,input_547100!L:R,7,FALSE),VLOOKUP(tables_547100!C228,input_547100!A:H,8,FALSE))</f>
        <v>13361.53846</v>
      </c>
      <c r="P228" s="43">
        <f ca="1">O228/SUM(O:O)</f>
        <v>2.3197115382105524E-3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input_547100!A$2</f>
        <v>547100</v>
      </c>
      <c r="B229" s="6">
        <v>594</v>
      </c>
      <c r="C229" s="7" t="str">
        <f t="shared" si="6"/>
        <v>PremiumSS4</v>
      </c>
      <c r="D229" s="7" t="str">
        <f t="shared" si="7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2">
        <f ca="1">IFERROR(VLOOKUP(B229,input_547100!L:R,7,FALSE),VLOOKUP(tables_547100!C229,input_547100!A:H,8,FALSE))</f>
        <v>6171.42857</v>
      </c>
      <c r="P229" s="43">
        <f ca="1">O229/SUM(O:O)</f>
        <v>1.0714285711879955E-3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input_547100!A$2</f>
        <v>547100</v>
      </c>
      <c r="B230" s="6">
        <v>595</v>
      </c>
      <c r="C230" s="7" t="str">
        <f t="shared" si="6"/>
        <v>PremiumSS5</v>
      </c>
      <c r="D230" s="7" t="str">
        <f t="shared" si="7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2">
        <f ca="1">IFERROR(VLOOKUP(B230,input_547100!L:R,7,FALSE),VLOOKUP(tables_547100!C230,input_547100!A:H,8,FALSE))</f>
        <v>1600</v>
      </c>
      <c r="P230" s="43">
        <f ca="1">O230/SUM(O:O)</f>
        <v>2.7777777777970668E-4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input_547100!A$2</f>
        <v>547100</v>
      </c>
      <c r="B231" s="6">
        <v>596</v>
      </c>
      <c r="C231" s="7" t="str">
        <f t="shared" si="6"/>
        <v>Premium3</v>
      </c>
      <c r="D231" s="7" t="str">
        <f t="shared" si="7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2">
        <f ca="1">IFERROR(VLOOKUP(B231,input_547100!L:R,7,FALSE),VLOOKUP(tables_547100!C231,input_547100!A:H,8,FALSE))</f>
        <v>17100</v>
      </c>
      <c r="P231" s="43">
        <f ca="1">O231/SUM(O:O)</f>
        <v>2.9687500000206151E-3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input_547100!A$2</f>
        <v>547100</v>
      </c>
      <c r="B232" s="6">
        <v>597</v>
      </c>
      <c r="C232" s="7" t="str">
        <f t="shared" si="6"/>
        <v>Premium4</v>
      </c>
      <c r="D232" s="7" t="str">
        <f t="shared" si="7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2">
        <f ca="1">IFERROR(VLOOKUP(B232,input_547100!L:R,7,FALSE),VLOOKUP(tables_547100!C232,input_547100!A:H,8,FALSE))</f>
        <v>26538.46154</v>
      </c>
      <c r="P232" s="43">
        <f ca="1">O232/SUM(O:O)</f>
        <v>4.607371795170883E-3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input_547100!A$2</f>
        <v>547100</v>
      </c>
      <c r="B233" s="6">
        <v>598</v>
      </c>
      <c r="C233" s="7" t="str">
        <f t="shared" si="6"/>
        <v>Premium5</v>
      </c>
      <c r="D233" s="7" t="str">
        <f t="shared" si="7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2">
        <f ca="1">IFERROR(VLOOKUP(B233,input_547100!L:R,7,FALSE),VLOOKUP(tables_547100!C233,input_547100!A:H,8,FALSE))</f>
        <v>13361.53846</v>
      </c>
      <c r="P233" s="43">
        <f ca="1">O233/SUM(O:O)</f>
        <v>2.3197115382105524E-3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input_547100!A$2</f>
        <v>547100</v>
      </c>
      <c r="B234" s="6">
        <v>599</v>
      </c>
      <c r="C234" s="7" t="str">
        <f t="shared" si="6"/>
        <v>Premium3</v>
      </c>
      <c r="D234" s="7" t="str">
        <f t="shared" si="7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2">
        <f ca="1">IFERROR(VLOOKUP(B234,input_547100!L:R,7,FALSE),VLOOKUP(tables_547100!C234,input_547100!A:H,8,FALSE))</f>
        <v>17100</v>
      </c>
      <c r="P234" s="43">
        <f ca="1">O234/SUM(O:O)</f>
        <v>2.9687500000206151E-3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input_547100!A$2</f>
        <v>547100</v>
      </c>
      <c r="B235" s="6">
        <v>600</v>
      </c>
      <c r="C235" s="7" t="str">
        <f t="shared" si="6"/>
        <v>Premium4</v>
      </c>
      <c r="D235" s="7" t="str">
        <f t="shared" si="7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2">
        <f ca="1">IFERROR(VLOOKUP(B235,input_547100!L:R,7,FALSE),VLOOKUP(tables_547100!C235,input_547100!A:H,8,FALSE))</f>
        <v>26538.46154</v>
      </c>
      <c r="P235" s="43">
        <f ca="1">O235/SUM(O:O)</f>
        <v>4.607371795170883E-3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input_547100!A$2</f>
        <v>547100</v>
      </c>
      <c r="B236" s="6">
        <v>601</v>
      </c>
      <c r="C236" s="7" t="str">
        <f t="shared" si="6"/>
        <v>Premium5</v>
      </c>
      <c r="D236" s="7" t="str">
        <f t="shared" si="7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2">
        <f ca="1">IFERROR(VLOOKUP(B236,input_547100!L:R,7,FALSE),VLOOKUP(tables_547100!C236,input_547100!A:H,8,FALSE))</f>
        <v>13361.53846</v>
      </c>
      <c r="P236" s="43">
        <f ca="1">O236/SUM(O:O)</f>
        <v>2.3197115382105524E-3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input_547100!A$2</f>
        <v>547100</v>
      </c>
      <c r="B237" s="6">
        <v>602</v>
      </c>
      <c r="C237" s="7" t="str">
        <f t="shared" si="6"/>
        <v>PremiumSS4</v>
      </c>
      <c r="D237" s="7" t="str">
        <f t="shared" si="7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2">
        <f ca="1">IFERROR(VLOOKUP(B237,input_547100!L:R,7,FALSE),VLOOKUP(tables_547100!C237,input_547100!A:H,8,FALSE))</f>
        <v>6171.42857</v>
      </c>
      <c r="P237" s="43">
        <f ca="1">O237/SUM(O:O)</f>
        <v>1.0714285711879955E-3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input_547100!A$2</f>
        <v>547100</v>
      </c>
      <c r="B238" s="6">
        <v>603</v>
      </c>
      <c r="C238" s="7" t="str">
        <f t="shared" si="6"/>
        <v>PremiumSS5</v>
      </c>
      <c r="D238" s="7" t="str">
        <f t="shared" si="7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2">
        <f ca="1">IFERROR(VLOOKUP(B238,input_547100!L:R,7,FALSE),VLOOKUP(tables_547100!C238,input_547100!A:H,8,FALSE))</f>
        <v>1600</v>
      </c>
      <c r="P238" s="43">
        <f ca="1">O238/SUM(O:O)</f>
        <v>2.7777777777970668E-4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input_547100!A$2</f>
        <v>547100</v>
      </c>
      <c r="B239" s="6">
        <v>604</v>
      </c>
      <c r="C239" s="7" t="str">
        <f t="shared" si="6"/>
        <v>Premium3</v>
      </c>
      <c r="D239" s="7" t="str">
        <f t="shared" si="7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2">
        <f ca="1">IFERROR(VLOOKUP(B239,input_547100!L:R,7,FALSE),VLOOKUP(tables_547100!C239,input_547100!A:H,8,FALSE))</f>
        <v>17100</v>
      </c>
      <c r="P239" s="43">
        <f ca="1">O239/SUM(O:O)</f>
        <v>2.9687500000206151E-3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input_547100!A$2</f>
        <v>547100</v>
      </c>
      <c r="B240" s="6">
        <v>605</v>
      </c>
      <c r="C240" s="7" t="str">
        <f t="shared" si="6"/>
        <v>Premium4</v>
      </c>
      <c r="D240" s="7" t="str">
        <f t="shared" si="7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2">
        <f ca="1">IFERROR(VLOOKUP(B240,input_547100!L:R,7,FALSE),VLOOKUP(tables_547100!C240,input_547100!A:H,8,FALSE))</f>
        <v>26538.46154</v>
      </c>
      <c r="P240" s="43">
        <f ca="1">O240/SUM(O:O)</f>
        <v>4.607371795170883E-3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input_547100!A$2</f>
        <v>547100</v>
      </c>
      <c r="B241" s="6">
        <v>606</v>
      </c>
      <c r="C241" s="7" t="str">
        <f t="shared" si="6"/>
        <v>Premium5</v>
      </c>
      <c r="D241" s="7" t="str">
        <f t="shared" si="7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2">
        <f ca="1">IFERROR(VLOOKUP(B241,input_547100!L:R,7,FALSE),VLOOKUP(tables_547100!C241,input_547100!A:H,8,FALSE))</f>
        <v>13361.53846</v>
      </c>
      <c r="P241" s="43">
        <f ca="1">O241/SUM(O:O)</f>
        <v>2.3197115382105524E-3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input_547100!A$2</f>
        <v>547100</v>
      </c>
      <c r="B242" s="6">
        <v>658</v>
      </c>
      <c r="C242" s="7" t="str">
        <f t="shared" si="6"/>
        <v>PremiumSS4</v>
      </c>
      <c r="D242" s="7" t="str">
        <f t="shared" si="7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2">
        <f ca="1">IFERROR(VLOOKUP(B242,input_547100!L:R,7,FALSE),VLOOKUP(tables_547100!C242,input_547100!A:H,8,FALSE))</f>
        <v>6171.42857</v>
      </c>
      <c r="P242" s="43">
        <f ca="1">O242/SUM(O:O)</f>
        <v>1.0714285711879955E-3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input_547100!A$2</f>
        <v>547100</v>
      </c>
      <c r="B243" s="6">
        <v>659</v>
      </c>
      <c r="C243" s="7" t="str">
        <f t="shared" si="6"/>
        <v>PremiumSS5</v>
      </c>
      <c r="D243" s="7" t="str">
        <f t="shared" si="7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2">
        <f ca="1">IFERROR(VLOOKUP(B243,input_547100!L:R,7,FALSE),VLOOKUP(tables_547100!C243,input_547100!A:H,8,FALSE))</f>
        <v>1600</v>
      </c>
      <c r="P243" s="43">
        <f ca="1">O243/SUM(O:O)</f>
        <v>2.7777777777970668E-4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input_547100!A$2</f>
        <v>547100</v>
      </c>
      <c r="B244" s="6">
        <v>660</v>
      </c>
      <c r="C244" s="7" t="str">
        <f t="shared" si="6"/>
        <v>PremiumSS4</v>
      </c>
      <c r="D244" s="7" t="str">
        <f t="shared" si="7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2">
        <f ca="1">IFERROR(VLOOKUP(B244,input_547100!L:R,7,FALSE),VLOOKUP(tables_547100!C244,input_547100!A:H,8,FALSE))</f>
        <v>6171.42857</v>
      </c>
      <c r="P244" s="43">
        <f ca="1">O244/SUM(O:O)</f>
        <v>1.0714285711879955E-3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input_547100!A$2</f>
        <v>547100</v>
      </c>
      <c r="B245" s="55">
        <v>661</v>
      </c>
      <c r="C245" s="7" t="str">
        <f t="shared" si="6"/>
        <v>PremiumSS5</v>
      </c>
      <c r="D245" s="7" t="str">
        <f t="shared" si="7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2">
        <f ca="1">IFERROR(VLOOKUP(B245,input_547100!L:R,7,FALSE),VLOOKUP(tables_547100!C245,input_547100!A:H,8,FALSE))</f>
        <v>1600</v>
      </c>
      <c r="P245" s="43">
        <f ca="1">O245/SUM(O:O)</f>
        <v>2.7777777777970668E-4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input_547100!A$2</f>
        <v>547100</v>
      </c>
      <c r="B246" s="55">
        <v>662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2">
        <f ca="1">IFERROR(VLOOKUP(B246,input_547100!L:R,7,FALSE),VLOOKUP(tables_547100!C246,input_547100!A:H,8,FALSE))</f>
        <v>17100</v>
      </c>
      <c r="P246" s="43">
        <f ca="1">O246/SUM(O:O)</f>
        <v>2.9687500000206151E-3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input_547100!A$2</f>
        <v>547100</v>
      </c>
      <c r="B247" s="55">
        <v>663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2">
        <f ca="1">IFERROR(VLOOKUP(B247,input_547100!L:R,7,FALSE),VLOOKUP(tables_547100!C247,input_547100!A:H,8,FALSE))</f>
        <v>26538.46154</v>
      </c>
      <c r="P247" s="43">
        <f ca="1">O247/SUM(O:O)</f>
        <v>4.607371795170883E-3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input_547100!A$2</f>
        <v>547100</v>
      </c>
      <c r="B248" s="55">
        <v>664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2">
        <f ca="1">IFERROR(VLOOKUP(B248,input_547100!L:R,7,FALSE),VLOOKUP(tables_547100!C248,input_547100!A:H,8,FALSE))</f>
        <v>13361.53846</v>
      </c>
      <c r="P248" s="43">
        <f ca="1">O248/SUM(O:O)</f>
        <v>2.3197115382105524E-3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input_547100!A$2</f>
        <v>547100</v>
      </c>
      <c r="B249" s="55">
        <v>665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2">
        <f ca="1">IFERROR(VLOOKUP(B249,input_547100!L:R,7,FALSE),VLOOKUP(tables_547100!C249,input_547100!A:H,8,FALSE))</f>
        <v>17100</v>
      </c>
      <c r="P249" s="43">
        <f ca="1">O249/SUM(O:O)</f>
        <v>2.9687500000206151E-3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input_547100!A$2</f>
        <v>547100</v>
      </c>
      <c r="B250" s="55">
        <v>666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2">
        <f ca="1">IFERROR(VLOOKUP(B250,input_547100!L:R,7,FALSE),VLOOKUP(tables_547100!C250,input_547100!A:H,8,FALSE))</f>
        <v>26538.46154</v>
      </c>
      <c r="P250" s="43">
        <f ca="1">O250/SUM(O:O)</f>
        <v>4.607371795170883E-3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input_547100!A$2</f>
        <v>547100</v>
      </c>
      <c r="B251" s="55">
        <v>667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2">
        <f ca="1">IFERROR(VLOOKUP(B251,input_547100!L:R,7,FALSE),VLOOKUP(tables_547100!C251,input_547100!A:H,8,FALSE))</f>
        <v>13361.53846</v>
      </c>
      <c r="P251" s="43">
        <f ca="1">O251/SUM(O:O)</f>
        <v>2.3197115382105524E-3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input_547100!A$2</f>
        <v>547100</v>
      </c>
      <c r="B252" s="55">
        <v>668</v>
      </c>
      <c r="C252" s="7" t="str">
        <f t="shared" si="6"/>
        <v>Premium3</v>
      </c>
      <c r="D252" s="7" t="str">
        <f t="shared" si="7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2">
        <f ca="1">IFERROR(VLOOKUP(B252,input_547100!L:R,7,FALSE),VLOOKUP(tables_547100!C252,input_547100!A:H,8,FALSE))</f>
        <v>17100</v>
      </c>
      <c r="P252" s="43">
        <f ca="1">O252/SUM(O:O)</f>
        <v>2.9687500000206151E-3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input_547100!A$2</f>
        <v>547100</v>
      </c>
      <c r="B253" s="55">
        <v>669</v>
      </c>
      <c r="C253" s="7" t="str">
        <f t="shared" si="6"/>
        <v>Premium4</v>
      </c>
      <c r="D253" s="7" t="str">
        <f t="shared" si="7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2">
        <f ca="1">IFERROR(VLOOKUP(B253,input_547100!L:R,7,FALSE),VLOOKUP(tables_547100!C253,input_547100!A:H,8,FALSE))</f>
        <v>26538.46154</v>
      </c>
      <c r="P253" s="43">
        <f ca="1">O253/SUM(O:O)</f>
        <v>4.607371795170883E-3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input_547100!A$2</f>
        <v>547100</v>
      </c>
      <c r="B254" s="55">
        <v>670</v>
      </c>
      <c r="C254" s="7" t="str">
        <f t="shared" si="6"/>
        <v>Premium5</v>
      </c>
      <c r="D254" s="7" t="str">
        <f t="shared" si="7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2">
        <f ca="1">IFERROR(VLOOKUP(B254,input_547100!L:R,7,FALSE),VLOOKUP(tables_547100!C254,input_547100!A:H,8,FALSE))</f>
        <v>13361.53846</v>
      </c>
      <c r="P254" s="43">
        <f ca="1">O254/SUM(O:O)</f>
        <v>2.3197115382105524E-3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input_547100!A$2</f>
        <v>547100</v>
      </c>
      <c r="B255" s="55">
        <v>671</v>
      </c>
      <c r="C255" s="7" t="str">
        <f t="shared" si="6"/>
        <v>Premium3</v>
      </c>
      <c r="D255" s="7" t="str">
        <f t="shared" si="7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2">
        <f ca="1">IFERROR(VLOOKUP(B255,input_547100!L:R,7,FALSE),VLOOKUP(tables_547100!C255,input_547100!A:H,8,FALSE))</f>
        <v>17100</v>
      </c>
      <c r="P255" s="43">
        <f ca="1">O255/SUM(O:O)</f>
        <v>2.9687500000206151E-3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input_547100!A$2</f>
        <v>547100</v>
      </c>
      <c r="B256" s="55">
        <v>672</v>
      </c>
      <c r="C256" s="7" t="str">
        <f t="shared" si="6"/>
        <v>Premium4</v>
      </c>
      <c r="D256" s="7" t="str">
        <f t="shared" si="7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2">
        <f ca="1">IFERROR(VLOOKUP(B256,input_547100!L:R,7,FALSE),VLOOKUP(tables_547100!C256,input_547100!A:H,8,FALSE))</f>
        <v>26538.46154</v>
      </c>
      <c r="P256" s="43">
        <f ca="1">O256/SUM(O:O)</f>
        <v>4.607371795170883E-3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input_547100!A$2</f>
        <v>547100</v>
      </c>
      <c r="B257" s="55">
        <v>673</v>
      </c>
      <c r="C257" s="7" t="str">
        <f t="shared" si="6"/>
        <v>Premium5</v>
      </c>
      <c r="D257" s="7" t="str">
        <f t="shared" si="7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2">
        <f ca="1">IFERROR(VLOOKUP(B257,input_547100!L:R,7,FALSE),VLOOKUP(tables_547100!C257,input_547100!A:H,8,FALSE))</f>
        <v>13361.53846</v>
      </c>
      <c r="P257" s="43">
        <f ca="1">O257/SUM(O:O)</f>
        <v>2.3197115382105524E-3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input_547100!A$2</f>
        <v>547100</v>
      </c>
      <c r="B258" s="55">
        <v>674</v>
      </c>
      <c r="C258" s="7" t="str">
        <f t="shared" ref="C258:C284" si="8">D258&amp;J258&amp;E258&amp;F258&amp;G258</f>
        <v>PremiumSS4</v>
      </c>
      <c r="D258" s="7" t="str">
        <f t="shared" si="7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2">
        <f ca="1">IFERROR(VLOOKUP(B258,input_547100!L:R,7,FALSE),VLOOKUP(tables_547100!C258,input_547100!A:H,8,FALSE))</f>
        <v>6171.42857</v>
      </c>
      <c r="P258" s="43">
        <f ca="1">O258/SUM(O:O)</f>
        <v>1.0714285711879955E-3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input_547100!A$2</f>
        <v>547100</v>
      </c>
      <c r="B259" s="55">
        <v>675</v>
      </c>
      <c r="C259" s="7" t="str">
        <f t="shared" si="8"/>
        <v>PremiumSS5</v>
      </c>
      <c r="D259" s="7" t="str">
        <f t="shared" ref="D259:D322" si="9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2">
        <f ca="1">IFERROR(VLOOKUP(B259,input_547100!L:R,7,FALSE),VLOOKUP(tables_547100!C259,input_547100!A:H,8,FALSE))</f>
        <v>1600</v>
      </c>
      <c r="P259" s="43">
        <f ca="1">O259/SUM(O:O)</f>
        <v>2.7777777777970668E-4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input_547100!A$2</f>
        <v>547100</v>
      </c>
      <c r="B260" s="55">
        <v>676</v>
      </c>
      <c r="C260" s="7" t="str">
        <f t="shared" si="8"/>
        <v>PremiumSS4</v>
      </c>
      <c r="D260" s="7" t="str">
        <f t="shared" si="9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2">
        <f ca="1">IFERROR(VLOOKUP(B260,input_547100!L:R,7,FALSE),VLOOKUP(tables_547100!C260,input_547100!A:H,8,FALSE))</f>
        <v>6171.42857</v>
      </c>
      <c r="P260" s="43">
        <f ca="1">O260/SUM(O:O)</f>
        <v>1.0714285711879955E-3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input_547100!A$2</f>
        <v>547100</v>
      </c>
      <c r="B261" s="55">
        <v>677</v>
      </c>
      <c r="C261" s="7" t="str">
        <f t="shared" si="8"/>
        <v>PremiumSS5</v>
      </c>
      <c r="D261" s="7" t="str">
        <f t="shared" si="9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2">
        <f ca="1">IFERROR(VLOOKUP(B261,input_547100!L:R,7,FALSE),VLOOKUP(tables_547100!C261,input_547100!A:H,8,FALSE))</f>
        <v>1600</v>
      </c>
      <c r="P261" s="43">
        <f ca="1">O261/SUM(O:O)</f>
        <v>2.7777777777970668E-4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input_547100!A$2</f>
        <v>547100</v>
      </c>
      <c r="B262" s="55">
        <v>728</v>
      </c>
      <c r="C262" s="7" t="str">
        <f t="shared" si="8"/>
        <v>Premium4R3less</v>
      </c>
      <c r="D262" s="7" t="str">
        <f t="shared" si="9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2">
        <f ca="1">IFERROR(VLOOKUP(B262,input_547100!L:R,7,FALSE),VLOOKUP(tables_547100!C262,input_547100!A:H,8,FALSE))</f>
        <v>42180</v>
      </c>
      <c r="P262" s="43">
        <f ca="1">O262/SUM(O:O)</f>
        <v>7.3229166667175168E-3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input_547100!A$2</f>
        <v>547100</v>
      </c>
      <c r="B263" s="55">
        <v>729</v>
      </c>
      <c r="C263" s="7" t="str">
        <f t="shared" si="8"/>
        <v>Premium5R3less</v>
      </c>
      <c r="D263" s="7" t="str">
        <f t="shared" si="9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2">
        <f ca="1">IFERROR(VLOOKUP(B263,input_547100!L:R,7,FALSE),VLOOKUP(tables_547100!C263,input_547100!A:H,8,FALSE))</f>
        <v>11400</v>
      </c>
      <c r="P263" s="43">
        <f ca="1">O263/SUM(O:O)</f>
        <v>1.9791666666804102E-3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input_547100!A$2</f>
        <v>547100</v>
      </c>
      <c r="B264" s="55">
        <v>730</v>
      </c>
      <c r="C264" s="7" t="str">
        <f t="shared" si="8"/>
        <v>Premium4R3less</v>
      </c>
      <c r="D264" s="7" t="str">
        <f t="shared" si="9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2">
        <f ca="1">IFERROR(VLOOKUP(B264,input_547100!L:R,7,FALSE),VLOOKUP(tables_547100!C264,input_547100!A:H,8,FALSE))</f>
        <v>42180</v>
      </c>
      <c r="P264" s="43">
        <f ca="1">O264/SUM(O:O)</f>
        <v>7.3229166667175168E-3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input_547100!A$2</f>
        <v>547100</v>
      </c>
      <c r="B265" s="55">
        <v>731</v>
      </c>
      <c r="C265" s="7" t="str">
        <f t="shared" si="8"/>
        <v>Premium5R3less</v>
      </c>
      <c r="D265" s="7" t="str">
        <f t="shared" si="9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2">
        <f ca="1">IFERROR(VLOOKUP(B265,input_547100!L:R,7,FALSE),VLOOKUP(tables_547100!C265,input_547100!A:H,8,FALSE))</f>
        <v>11400</v>
      </c>
      <c r="P265" s="43">
        <f ca="1">O265/SUM(O:O)</f>
        <v>1.9791666666804102E-3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input_547100!A$2</f>
        <v>547100</v>
      </c>
      <c r="B266" s="55">
        <v>732</v>
      </c>
      <c r="C266" s="7" t="str">
        <f t="shared" si="8"/>
        <v>PremiumSS5R5only</v>
      </c>
      <c r="D266" s="7" t="str">
        <f t="shared" si="9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2">
        <f ca="1">IFERROR(VLOOKUP(B266,input_547100!L:R,7,FALSE),VLOOKUP(tables_547100!C266,input_547100!A:H,8,FALSE))</f>
        <v>1600</v>
      </c>
      <c r="P266" s="43">
        <f ca="1">O266/SUM(O:O)</f>
        <v>2.7777777777970668E-4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input_547100!A$2</f>
        <v>547100</v>
      </c>
      <c r="B267" s="55">
        <v>734</v>
      </c>
      <c r="C267" s="7" t="str">
        <f t="shared" si="8"/>
        <v>PremiumSS5R5only</v>
      </c>
      <c r="D267" s="7" t="str">
        <f t="shared" si="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2">
        <f ca="1">IFERROR(VLOOKUP(B267,input_547100!L:R,7,FALSE),VLOOKUP(tables_547100!C267,input_547100!A:H,8,FALSE))</f>
        <v>1600</v>
      </c>
      <c r="P267" s="43">
        <f ca="1">O267/SUM(O:O)</f>
        <v>2.7777777777970668E-4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input_547100!A$2</f>
        <v>547100</v>
      </c>
      <c r="B268" s="55">
        <v>742</v>
      </c>
      <c r="C268" s="7" t="str">
        <f t="shared" si="8"/>
        <v>PremiumSS5R5only</v>
      </c>
      <c r="D268" s="7" t="str">
        <f t="shared" si="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2">
        <f ca="1">IFERROR(VLOOKUP(B268,input_547100!L:R,7,FALSE),VLOOKUP(tables_547100!C268,input_547100!A:H,8,FALSE))</f>
        <v>1600</v>
      </c>
      <c r="P268" s="43">
        <f ca="1">O268/SUM(O:O)</f>
        <v>2.7777777777970668E-4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input_547100!A$2</f>
        <v>547100</v>
      </c>
      <c r="B269" s="55">
        <v>744</v>
      </c>
      <c r="C269" s="7" t="str">
        <f t="shared" si="8"/>
        <v>PremiumSS5R5only</v>
      </c>
      <c r="D269" s="7" t="str">
        <f t="shared" si="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2">
        <f ca="1">IFERROR(VLOOKUP(B269,input_547100!L:R,7,FALSE),VLOOKUP(tables_547100!C269,input_547100!A:H,8,FALSE))</f>
        <v>1600</v>
      </c>
      <c r="P269" s="43">
        <f ca="1">O269/SUM(O:O)</f>
        <v>2.7777777777970668E-4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input_547100!A$2</f>
        <v>547100</v>
      </c>
      <c r="B270" s="55">
        <v>746</v>
      </c>
      <c r="C270" s="7" t="str">
        <f t="shared" si="8"/>
        <v>Premium4R3less</v>
      </c>
      <c r="D270" s="7" t="str">
        <f t="shared" si="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2">
        <f ca="1">IFERROR(VLOOKUP(B270,input_547100!L:R,7,FALSE),VLOOKUP(tables_547100!C270,input_547100!A:H,8,FALSE))</f>
        <v>42180</v>
      </c>
      <c r="P270" s="43">
        <f ca="1">O270/SUM(O:O)</f>
        <v>7.3229166667175168E-3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input_547100!A$2</f>
        <v>547100</v>
      </c>
      <c r="B271" s="73">
        <v>747</v>
      </c>
      <c r="C271" s="7" t="str">
        <f t="shared" si="8"/>
        <v>Premium5R3less</v>
      </c>
      <c r="D271" s="7" t="str">
        <f t="shared" si="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2">
        <f ca="1">IFERROR(VLOOKUP(B271,input_547100!L:R,7,FALSE),VLOOKUP(tables_547100!C271,input_547100!A:H,8,FALSE))</f>
        <v>11400</v>
      </c>
      <c r="P271" s="43">
        <f ca="1">O271/SUM(O:O)</f>
        <v>1.9791666666804102E-3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input_547100!A$2</f>
        <v>547100</v>
      </c>
      <c r="B272" s="73">
        <v>748</v>
      </c>
      <c r="C272" s="7" t="str">
        <f t="shared" si="8"/>
        <v>Premium4R3less</v>
      </c>
      <c r="D272" s="7" t="str">
        <f t="shared" si="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2">
        <f ca="1">IFERROR(VLOOKUP(B272,input_547100!L:R,7,FALSE),VLOOKUP(tables_547100!C272,input_547100!A:H,8,FALSE))</f>
        <v>42180</v>
      </c>
      <c r="P272" s="43">
        <f ca="1">O272/SUM(O:O)</f>
        <v>7.3229166667175168E-3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input_547100!A$2</f>
        <v>547100</v>
      </c>
      <c r="B273" s="73">
        <v>749</v>
      </c>
      <c r="C273" s="7" t="str">
        <f t="shared" si="8"/>
        <v>Premium5R3less</v>
      </c>
      <c r="D273" s="7" t="str">
        <f t="shared" si="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2">
        <f ca="1">IFERROR(VLOOKUP(B273,input_547100!L:R,7,FALSE),VLOOKUP(tables_547100!C273,input_547100!A:H,8,FALSE))</f>
        <v>11400</v>
      </c>
      <c r="P273" s="43">
        <f ca="1">O273/SUM(O:O)</f>
        <v>1.9791666666804102E-3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input_547100!A$2</f>
        <v>547100</v>
      </c>
      <c r="B274" s="73">
        <v>770</v>
      </c>
      <c r="C274" s="7" t="str">
        <f t="shared" si="8"/>
        <v>PremiumSS4</v>
      </c>
      <c r="D274" s="7" t="str">
        <f t="shared" si="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2">
        <f ca="1">IFERROR(VLOOKUP(B274,input_547100!L:R,7,FALSE),VLOOKUP(tables_547100!C274,input_547100!A:H,8,FALSE))</f>
        <v>6171.42857</v>
      </c>
      <c r="P274" s="43">
        <f ca="1">O274/SUM(O:O)</f>
        <v>1.0714285711879955E-3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input_547100!A$2</f>
        <v>547100</v>
      </c>
      <c r="B275" s="73">
        <v>771</v>
      </c>
      <c r="C275" s="7" t="str">
        <f t="shared" si="8"/>
        <v>PremiumSS5</v>
      </c>
      <c r="D275" s="7" t="str">
        <f t="shared" si="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2">
        <f ca="1">IFERROR(VLOOKUP(B275,input_547100!L:R,7,FALSE),VLOOKUP(tables_547100!C275,input_547100!A:H,8,FALSE))</f>
        <v>1600</v>
      </c>
      <c r="P275" s="43">
        <f ca="1">O275/SUM(O:O)</f>
        <v>2.7777777777970668E-4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input_547100!A$2</f>
        <v>547100</v>
      </c>
      <c r="B276" s="73">
        <v>772</v>
      </c>
      <c r="C276" s="7" t="str">
        <f t="shared" si="8"/>
        <v>PremiumSS4</v>
      </c>
      <c r="D276" s="7" t="str">
        <f t="shared" si="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2">
        <f ca="1">IFERROR(VLOOKUP(B276,input_547100!L:R,7,FALSE),VLOOKUP(tables_547100!C276,input_547100!A:H,8,FALSE))</f>
        <v>6171.42857</v>
      </c>
      <c r="P276" s="43">
        <f ca="1">O276/SUM(O:O)</f>
        <v>1.0714285711879955E-3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input_547100!A$2</f>
        <v>547100</v>
      </c>
      <c r="B277" s="73">
        <v>773</v>
      </c>
      <c r="C277" s="7" t="str">
        <f t="shared" si="8"/>
        <v>PremiumSS5</v>
      </c>
      <c r="D277" s="7" t="str">
        <f t="shared" si="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2">
        <f ca="1">IFERROR(VLOOKUP(B277,input_547100!L:R,7,FALSE),VLOOKUP(tables_547100!C277,input_547100!A:H,8,FALSE))</f>
        <v>1600</v>
      </c>
      <c r="P277" s="43">
        <f ca="1">O277/SUM(O:O)</f>
        <v>2.7777777777970668E-4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input_547100!A$2</f>
        <v>547100</v>
      </c>
      <c r="B278" s="73">
        <v>774</v>
      </c>
      <c r="C278" s="7" t="str">
        <f t="shared" si="8"/>
        <v>Premium3</v>
      </c>
      <c r="D278" s="7" t="str">
        <f t="shared" si="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2">
        <f ca="1">IFERROR(VLOOKUP(B278,input_547100!L:R,7,FALSE),VLOOKUP(tables_547100!C278,input_547100!A:H,8,FALSE))</f>
        <v>17100</v>
      </c>
      <c r="P278" s="43">
        <f ca="1">O278/SUM(O:O)</f>
        <v>2.9687500000206151E-3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input_547100!A$2</f>
        <v>547100</v>
      </c>
      <c r="B279" s="73">
        <v>775</v>
      </c>
      <c r="C279" s="7" t="str">
        <f t="shared" si="8"/>
        <v>Premium4</v>
      </c>
      <c r="D279" s="7" t="str">
        <f t="shared" si="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2">
        <f ca="1">IFERROR(VLOOKUP(B279,input_547100!L:R,7,FALSE),VLOOKUP(tables_547100!C279,input_547100!A:H,8,FALSE))</f>
        <v>26538.46154</v>
      </c>
      <c r="P279" s="43">
        <f ca="1">O279/SUM(O:O)</f>
        <v>4.607371795170883E-3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input_547100!A$2</f>
        <v>547100</v>
      </c>
      <c r="B280" s="73">
        <v>776</v>
      </c>
      <c r="C280" s="7" t="str">
        <f t="shared" si="8"/>
        <v>Premium5</v>
      </c>
      <c r="D280" s="7" t="str">
        <f t="shared" si="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2">
        <f ca="1">IFERROR(VLOOKUP(B280,input_547100!L:R,7,FALSE),VLOOKUP(tables_547100!C280,input_547100!A:H,8,FALSE))</f>
        <v>13361.53846</v>
      </c>
      <c r="P280" s="43">
        <f ca="1">O280/SUM(O:O)</f>
        <v>2.3197115382105524E-3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input_547100!A$2</f>
        <v>547100</v>
      </c>
      <c r="B281" s="73">
        <v>777</v>
      </c>
      <c r="C281" s="7" t="str">
        <f t="shared" si="8"/>
        <v>Premium3</v>
      </c>
      <c r="D281" s="7" t="str">
        <f t="shared" si="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2">
        <f ca="1">IFERROR(VLOOKUP(B281,input_547100!L:R,7,FALSE),VLOOKUP(tables_547100!C281,input_547100!A:H,8,FALSE))</f>
        <v>17100</v>
      </c>
      <c r="P281" s="43">
        <f ca="1">O281/SUM(O:O)</f>
        <v>2.9687500000206151E-3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input_547100!A$2</f>
        <v>547100</v>
      </c>
      <c r="B282" s="73">
        <v>778</v>
      </c>
      <c r="C282" s="7" t="str">
        <f t="shared" si="8"/>
        <v>Premium4</v>
      </c>
      <c r="D282" s="7" t="str">
        <f t="shared" si="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2">
        <f ca="1">IFERROR(VLOOKUP(B282,input_547100!L:R,7,FALSE),VLOOKUP(tables_547100!C282,input_547100!A:H,8,FALSE))</f>
        <v>26538.46154</v>
      </c>
      <c r="P282" s="43">
        <f ca="1">O282/SUM(O:O)</f>
        <v>4.607371795170883E-3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input_547100!A$2</f>
        <v>547100</v>
      </c>
      <c r="B283" s="5">
        <v>779</v>
      </c>
      <c r="C283" s="7" t="str">
        <f t="shared" si="8"/>
        <v>Premium5</v>
      </c>
      <c r="D283" s="7" t="str">
        <f t="shared" si="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2">
        <f ca="1">IFERROR(VLOOKUP(B283,input_547100!L:R,7,FALSE),VLOOKUP(tables_547100!C283,input_547100!A:H,8,FALSE))</f>
        <v>13361.53846</v>
      </c>
      <c r="P283" s="43">
        <f ca="1">O283/SUM(O:O)</f>
        <v>2.3197115382105524E-3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input_547100!A$2</f>
        <v>547100</v>
      </c>
      <c r="B284" s="5">
        <v>848</v>
      </c>
      <c r="C284" s="7" t="str">
        <f t="shared" si="8"/>
        <v>PremiumSS5R5only</v>
      </c>
      <c r="D284" s="7" t="str">
        <f t="shared" si="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2">
        <f ca="1">IFERROR(VLOOKUP(B284,input_547100!L:R,7,FALSE),VLOOKUP(tables_547100!C284,input_547100!A:H,8,FALSE))</f>
        <v>1600</v>
      </c>
      <c r="P284" s="43">
        <f ca="1">O284/SUM(O:O)</f>
        <v>2.7777777777970668E-4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input_547100!A$2</f>
        <v>547100</v>
      </c>
      <c r="B285" s="5">
        <v>850</v>
      </c>
      <c r="C285" s="7" t="str">
        <f t="shared" ref="C285:C289" si="10">D285&amp;J285&amp;E285&amp;F285&amp;G285</f>
        <v>PremiumSS5R5only</v>
      </c>
      <c r="D285" s="7" t="str">
        <f t="shared" si="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2">
        <f ca="1">IFERROR(VLOOKUP(B285,input_547100!L:R,7,FALSE),VLOOKUP(tables_547100!C285,input_547100!A:H,8,FALSE))</f>
        <v>1600</v>
      </c>
      <c r="P285" s="43">
        <f ca="1">O285/SUM(O:O)</f>
        <v>2.7777777777970668E-4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input_547100!A$2</f>
        <v>547100</v>
      </c>
      <c r="B286" s="5">
        <v>852</v>
      </c>
      <c r="C286" s="7" t="str">
        <f t="shared" si="10"/>
        <v>Premium4R3less</v>
      </c>
      <c r="D286" s="7" t="str">
        <f t="shared" si="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2">
        <f ca="1">IFERROR(VLOOKUP(B286,input_547100!L:R,7,FALSE),VLOOKUP(tables_547100!C286,input_547100!A:H,8,FALSE))</f>
        <v>42180</v>
      </c>
      <c r="P286" s="43">
        <f ca="1">O286/SUM(O:O)</f>
        <v>7.3229166667175168E-3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input_547100!A$2</f>
        <v>547100</v>
      </c>
      <c r="B287" s="5">
        <v>853</v>
      </c>
      <c r="C287" s="7" t="str">
        <f t="shared" si="10"/>
        <v>Premium5R3less</v>
      </c>
      <c r="D287" s="7" t="str">
        <f t="shared" si="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2">
        <f ca="1">IFERROR(VLOOKUP(B287,input_547100!L:R,7,FALSE),VLOOKUP(tables_547100!C287,input_547100!A:H,8,FALSE))</f>
        <v>11400</v>
      </c>
      <c r="P287" s="43">
        <f ca="1">O287/SUM(O:O)</f>
        <v>1.9791666666804102E-3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input_547100!A$2</f>
        <v>547100</v>
      </c>
      <c r="B288" s="5">
        <v>854</v>
      </c>
      <c r="C288" s="7" t="str">
        <f t="shared" si="10"/>
        <v>Premium4R3less</v>
      </c>
      <c r="D288" s="7" t="str">
        <f t="shared" si="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2">
        <f ca="1">IFERROR(VLOOKUP(B288,input_547100!L:R,7,FALSE),VLOOKUP(tables_547100!C288,input_547100!A:H,8,FALSE))</f>
        <v>42180</v>
      </c>
      <c r="P288" s="43">
        <f ca="1">O288/SUM(O:O)</f>
        <v>7.3229166667175168E-3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input_547100!A$2</f>
        <v>547100</v>
      </c>
      <c r="B289" s="5">
        <v>855</v>
      </c>
      <c r="C289" s="7" t="str">
        <f t="shared" si="10"/>
        <v>Premium5R3less</v>
      </c>
      <c r="D289" s="7" t="str">
        <f t="shared" si="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2">
        <f ca="1">IFERROR(VLOOKUP(B289,input_547100!L:R,7,FALSE),VLOOKUP(tables_547100!C289,input_547100!A:H,8,FALSE))</f>
        <v>11400</v>
      </c>
      <c r="P289" s="43">
        <f ca="1">O289/SUM(O:O)</f>
        <v>1.9791666666804102E-3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input_547100!A$2</f>
        <v>547100</v>
      </c>
      <c r="B290" s="5">
        <v>862</v>
      </c>
      <c r="C290" s="7" t="str">
        <f t="shared" ref="C290:C294" si="11">D290&amp;J290&amp;E290&amp;F290&amp;G290</f>
        <v>Premium4R3less</v>
      </c>
      <c r="D290" s="7" t="str">
        <f t="shared" si="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2">
        <f ca="1">IFERROR(VLOOKUP(B290,input_547100!L:R,7,FALSE),VLOOKUP(tables_547100!C290,input_547100!A:H,8,FALSE))</f>
        <v>42180</v>
      </c>
      <c r="P290" s="43">
        <f ca="1">O290/SUM(O:O)</f>
        <v>7.3229166667175168E-3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input_547100!A$2</f>
        <v>547100</v>
      </c>
      <c r="B291" s="5">
        <v>863</v>
      </c>
      <c r="C291" s="7" t="str">
        <f t="shared" si="11"/>
        <v>Premium5R3less</v>
      </c>
      <c r="D291" s="7" t="str">
        <f t="shared" si="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2">
        <f ca="1">IFERROR(VLOOKUP(B291,input_547100!L:R,7,FALSE),VLOOKUP(tables_547100!C291,input_547100!A:H,8,FALSE))</f>
        <v>11400</v>
      </c>
      <c r="P291" s="43">
        <f ca="1">O291/SUM(O:O)</f>
        <v>1.9791666666804102E-3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customHeight="1" x14ac:dyDescent="0.15">
      <c r="A292" s="2" t="str">
        <f ca="1">input_547100!A$2</f>
        <v>547100</v>
      </c>
      <c r="B292" s="5">
        <v>864</v>
      </c>
      <c r="C292" s="7" t="str">
        <f t="shared" si="11"/>
        <v>Premium4R3less</v>
      </c>
      <c r="D292" s="7" t="str">
        <f t="shared" si="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2">
        <f ca="1">IFERROR(VLOOKUP(B292,input_547100!L:R,7,FALSE),VLOOKUP(tables_547100!C292,input_547100!A:H,8,FALSE))</f>
        <v>42180</v>
      </c>
      <c r="P292" s="43">
        <f ca="1">O292/SUM(O:O)</f>
        <v>7.3229166667175168E-3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customHeight="1" x14ac:dyDescent="0.15">
      <c r="A293" s="2" t="str">
        <f ca="1">input_547100!A$2</f>
        <v>547100</v>
      </c>
      <c r="B293" s="5">
        <v>865</v>
      </c>
      <c r="C293" s="7" t="str">
        <f t="shared" si="11"/>
        <v>Premium5R3less</v>
      </c>
      <c r="D293" s="7" t="str">
        <f t="shared" si="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2">
        <f ca="1">IFERROR(VLOOKUP(B293,input_547100!L:R,7,FALSE),VLOOKUP(tables_547100!C293,input_547100!A:H,8,FALSE))</f>
        <v>11400</v>
      </c>
      <c r="P293" s="43">
        <f ca="1">O293/SUM(O:O)</f>
        <v>1.9791666666804102E-3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customHeight="1" x14ac:dyDescent="0.15">
      <c r="A294" s="2" t="str">
        <f ca="1">input_547100!A$2</f>
        <v>547100</v>
      </c>
      <c r="B294" s="5">
        <v>866</v>
      </c>
      <c r="C294" s="7" t="str">
        <f t="shared" si="11"/>
        <v>PremiumSS5R5only</v>
      </c>
      <c r="D294" s="7" t="str">
        <f t="shared" si="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2">
        <f ca="1">IFERROR(VLOOKUP(B294,input_547100!L:R,7,FALSE),VLOOKUP(tables_547100!C294,input_547100!A:H,8,FALSE))</f>
        <v>1600</v>
      </c>
      <c r="P294" s="43">
        <f ca="1">O294/SUM(O:O)</f>
        <v>2.7777777777970668E-4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customHeight="1" x14ac:dyDescent="0.15">
      <c r="A295" s="2" t="str">
        <f ca="1">input_547100!A$2</f>
        <v>547100</v>
      </c>
      <c r="B295" s="5">
        <v>868</v>
      </c>
      <c r="C295" s="7" t="str">
        <f t="shared" ref="C295:C299" si="12">D295&amp;J295&amp;E295&amp;F295&amp;G295</f>
        <v>PremiumSS5R5only</v>
      </c>
      <c r="D295" s="7" t="str">
        <f t="shared" si="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2">
        <f ca="1">IFERROR(VLOOKUP(B295,input_547100!L:R,7,FALSE),VLOOKUP(tables_547100!C295,input_547100!A:H,8,FALSE))</f>
        <v>1600</v>
      </c>
      <c r="P295" s="43">
        <f ca="1">O295/SUM(O:O)</f>
        <v>2.7777777777970668E-4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customHeight="1" x14ac:dyDescent="0.15">
      <c r="A296" s="2" t="str">
        <f ca="1">input_547100!A$2</f>
        <v>547100</v>
      </c>
      <c r="B296" s="5">
        <v>937</v>
      </c>
      <c r="C296" s="7" t="str">
        <f t="shared" si="12"/>
        <v>PremiumSS5R5only</v>
      </c>
      <c r="D296" s="7" t="str">
        <f t="shared" si="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2">
        <f ca="1">IFERROR(VLOOKUP(B296,input_547100!L:R,7,FALSE),VLOOKUP(tables_547100!C296,input_547100!A:H,8,FALSE))</f>
        <v>1600</v>
      </c>
      <c r="P296" s="43">
        <f ca="1">O296/SUM(O:O)</f>
        <v>2.7777777777970668E-4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  <row r="297" spans="1:22" ht="21" customHeight="1" x14ac:dyDescent="0.15">
      <c r="A297" s="2" t="str">
        <f ca="1">input_547100!A$2</f>
        <v>547100</v>
      </c>
      <c r="B297" s="5">
        <v>939</v>
      </c>
      <c r="C297" s="7" t="str">
        <f t="shared" si="12"/>
        <v>Premium4R3less</v>
      </c>
      <c r="D297" s="7" t="str">
        <f t="shared" si="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2">
        <f ca="1">IFERROR(VLOOKUP(B297,input_547100!L:R,7,FALSE),VLOOKUP(tables_547100!C297,input_547100!A:H,8,FALSE))</f>
        <v>42180</v>
      </c>
      <c r="P297" s="43">
        <f ca="1">O297/SUM(O:O)</f>
        <v>7.3229166667175168E-3</v>
      </c>
      <c r="Q297" s="29">
        <v>1</v>
      </c>
      <c r="R297" s="29">
        <v>0</v>
      </c>
      <c r="S297" s="29">
        <v>0</v>
      </c>
      <c r="T297" s="29">
        <v>0</v>
      </c>
      <c r="U297" s="29">
        <v>0</v>
      </c>
      <c r="V297" s="29">
        <v>1</v>
      </c>
    </row>
    <row r="298" spans="1:22" ht="21" customHeight="1" x14ac:dyDescent="0.15">
      <c r="A298" s="2" t="str">
        <f ca="1">input_547100!A$2</f>
        <v>547100</v>
      </c>
      <c r="B298" s="5">
        <v>940</v>
      </c>
      <c r="C298" s="7" t="str">
        <f t="shared" si="12"/>
        <v>Premium5R3less</v>
      </c>
      <c r="D298" s="7" t="str">
        <f t="shared" si="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2">
        <f ca="1">IFERROR(VLOOKUP(B298,input_547100!L:R,7,FALSE),VLOOKUP(tables_547100!C298,input_547100!A:H,8,FALSE))</f>
        <v>11400</v>
      </c>
      <c r="P298" s="43">
        <f ca="1">O298/SUM(O:O)</f>
        <v>1.9791666666804102E-3</v>
      </c>
      <c r="Q298" s="29">
        <v>1</v>
      </c>
      <c r="R298" s="29">
        <v>0</v>
      </c>
      <c r="S298" s="29">
        <v>0</v>
      </c>
      <c r="T298" s="29">
        <v>0</v>
      </c>
      <c r="U298" s="29">
        <v>0</v>
      </c>
      <c r="V298" s="29">
        <v>1</v>
      </c>
    </row>
    <row r="299" spans="1:22" ht="21" customHeight="1" x14ac:dyDescent="0.15">
      <c r="A299" s="2" t="str">
        <f ca="1">input_547100!A$2</f>
        <v>547100</v>
      </c>
      <c r="B299" s="5">
        <v>941</v>
      </c>
      <c r="C299" s="7" t="str">
        <f t="shared" si="12"/>
        <v>PremiumSS5R5only</v>
      </c>
      <c r="D299" s="7" t="str">
        <f t="shared" si="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2">
        <f ca="1">IFERROR(VLOOKUP(B299,input_547100!L:R,7,FALSE),VLOOKUP(tables_547100!C299,input_547100!A:H,8,FALSE))</f>
        <v>1600</v>
      </c>
      <c r="P299" s="43">
        <f ca="1">O299/SUM(O:O)</f>
        <v>2.7777777777970668E-4</v>
      </c>
      <c r="Q299" s="29">
        <v>1</v>
      </c>
      <c r="R299" s="29">
        <v>0</v>
      </c>
      <c r="S299" s="29">
        <v>0</v>
      </c>
      <c r="T299" s="29">
        <v>0</v>
      </c>
      <c r="U299" s="29">
        <v>0</v>
      </c>
      <c r="V299" s="29">
        <v>1</v>
      </c>
    </row>
    <row r="300" spans="1:22" ht="21" customHeight="1" x14ac:dyDescent="0.15">
      <c r="A300" s="2" t="str">
        <f ca="1">input_547100!A$2</f>
        <v>547100</v>
      </c>
      <c r="B300" s="5">
        <v>943</v>
      </c>
      <c r="C300" s="7" t="str">
        <f t="shared" ref="C300:C304" si="13">D300&amp;J300&amp;E300&amp;F300&amp;G300</f>
        <v>PremiumSS5R5only</v>
      </c>
      <c r="D300" s="7" t="str">
        <f t="shared" si="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2">
        <f ca="1">IFERROR(VLOOKUP(B300,input_547100!L:R,7,FALSE),VLOOKUP(tables_547100!C300,input_547100!A:H,8,FALSE))</f>
        <v>1600</v>
      </c>
      <c r="P300" s="43">
        <f ca="1">O300/SUM(O:O)</f>
        <v>2.7777777777970668E-4</v>
      </c>
      <c r="Q300" s="29">
        <v>1</v>
      </c>
      <c r="R300" s="29">
        <v>0</v>
      </c>
      <c r="S300" s="29">
        <v>0</v>
      </c>
      <c r="T300" s="29">
        <v>0</v>
      </c>
      <c r="U300" s="29">
        <v>0</v>
      </c>
      <c r="V300" s="29">
        <v>1</v>
      </c>
    </row>
    <row r="301" spans="1:22" ht="21" customHeight="1" x14ac:dyDescent="0.15">
      <c r="A301" s="2" t="str">
        <f ca="1">input_547100!A$2</f>
        <v>547100</v>
      </c>
      <c r="B301" s="5">
        <v>1012</v>
      </c>
      <c r="C301" s="7" t="str">
        <f t="shared" si="13"/>
        <v>PremiumSS5R5only</v>
      </c>
      <c r="D301" s="7" t="str">
        <f t="shared" si="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2">
        <f ca="1">IFERROR(VLOOKUP(B301,input_547100!L:R,7,FALSE),VLOOKUP(tables_547100!C301,input_547100!A:H,8,FALSE))</f>
        <v>1600</v>
      </c>
      <c r="P301" s="43">
        <f ca="1">O301/SUM(O:O)</f>
        <v>2.7777777777970668E-4</v>
      </c>
      <c r="Q301" s="29">
        <v>1</v>
      </c>
      <c r="R301" s="29">
        <v>0</v>
      </c>
      <c r="S301" s="29">
        <v>0</v>
      </c>
      <c r="T301" s="29">
        <v>0</v>
      </c>
      <c r="U301" s="29">
        <v>0</v>
      </c>
      <c r="V301" s="29">
        <v>1</v>
      </c>
    </row>
    <row r="302" spans="1:22" ht="21" customHeight="1" x14ac:dyDescent="0.15">
      <c r="A302" s="2" t="str">
        <f ca="1">input_547100!A$2</f>
        <v>547100</v>
      </c>
      <c r="B302" s="5">
        <v>1014</v>
      </c>
      <c r="C302" s="7" t="str">
        <f t="shared" si="13"/>
        <v>PremiumSS5R5only</v>
      </c>
      <c r="D302" s="7" t="str">
        <f t="shared" si="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2">
        <f ca="1">IFERROR(VLOOKUP(B302,input_547100!L:R,7,FALSE),VLOOKUP(tables_547100!C302,input_547100!A:H,8,FALSE))</f>
        <v>1600</v>
      </c>
      <c r="P302" s="43">
        <f ca="1">O302/SUM(O:O)</f>
        <v>2.7777777777970668E-4</v>
      </c>
      <c r="Q302" s="29">
        <v>1</v>
      </c>
      <c r="R302" s="29">
        <v>0</v>
      </c>
      <c r="S302" s="29">
        <v>0</v>
      </c>
      <c r="T302" s="29">
        <v>0</v>
      </c>
      <c r="U302" s="29">
        <v>0</v>
      </c>
      <c r="V302" s="29">
        <v>1</v>
      </c>
    </row>
    <row r="303" spans="1:22" ht="21" customHeight="1" x14ac:dyDescent="0.15">
      <c r="A303" s="2" t="str">
        <f ca="1">input_547100!A$2</f>
        <v>547100</v>
      </c>
      <c r="B303" s="5">
        <v>1016</v>
      </c>
      <c r="C303" s="7" t="str">
        <f t="shared" si="13"/>
        <v>Premium4R3less</v>
      </c>
      <c r="D303" s="7" t="str">
        <f t="shared" si="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2">
        <f ca="1">IFERROR(VLOOKUP(B303,input_547100!L:R,7,FALSE),VLOOKUP(tables_547100!C303,input_547100!A:H,8,FALSE))</f>
        <v>42180</v>
      </c>
      <c r="P303" s="43">
        <f ca="1">O303/SUM(O:O)</f>
        <v>7.3229166667175168E-3</v>
      </c>
      <c r="Q303" s="29">
        <v>1</v>
      </c>
      <c r="R303" s="29">
        <v>0</v>
      </c>
      <c r="S303" s="29">
        <v>0</v>
      </c>
      <c r="T303" s="29">
        <v>0</v>
      </c>
      <c r="U303" s="29">
        <v>0</v>
      </c>
      <c r="V303" s="29">
        <v>1</v>
      </c>
    </row>
    <row r="304" spans="1:22" ht="21" customHeight="1" x14ac:dyDescent="0.15">
      <c r="A304" s="2" t="str">
        <f ca="1">input_547100!A$2</f>
        <v>547100</v>
      </c>
      <c r="B304" s="5">
        <v>1017</v>
      </c>
      <c r="C304" s="7" t="str">
        <f t="shared" si="13"/>
        <v>Premium5R3less</v>
      </c>
      <c r="D304" s="7" t="str">
        <f t="shared" si="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2">
        <f ca="1">IFERROR(VLOOKUP(B304,input_547100!L:R,7,FALSE),VLOOKUP(tables_547100!C304,input_547100!A:H,8,FALSE))</f>
        <v>11400</v>
      </c>
      <c r="P304" s="43">
        <f ca="1">O304/SUM(O:O)</f>
        <v>1.9791666666804102E-3</v>
      </c>
      <c r="Q304" s="29">
        <v>1</v>
      </c>
      <c r="R304" s="29">
        <v>0</v>
      </c>
      <c r="S304" s="29">
        <v>0</v>
      </c>
      <c r="T304" s="29">
        <v>0</v>
      </c>
      <c r="U304" s="29">
        <v>0</v>
      </c>
      <c r="V304" s="29">
        <v>1</v>
      </c>
    </row>
    <row r="305" spans="1:22" ht="21" customHeight="1" x14ac:dyDescent="0.15">
      <c r="A305" s="2" t="str">
        <f ca="1">input_547100!A$2</f>
        <v>547100</v>
      </c>
      <c r="B305" s="5">
        <v>1018</v>
      </c>
      <c r="C305" s="7" t="str">
        <f t="shared" ref="C305:C309" si="14">D305&amp;J305&amp;E305&amp;F305&amp;G305</f>
        <v>PremiumSS5R5only</v>
      </c>
      <c r="D305" s="7" t="str">
        <f t="shared" si="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2">
        <f ca="1">IFERROR(VLOOKUP(B305,input_547100!L:R,7,FALSE),VLOOKUP(tables_547100!C305,input_547100!A:H,8,FALSE))</f>
        <v>1600</v>
      </c>
      <c r="P305" s="43">
        <f ca="1">O305/SUM(O:O)</f>
        <v>2.7777777777970668E-4</v>
      </c>
      <c r="Q305" s="29">
        <v>1</v>
      </c>
      <c r="R305" s="29">
        <v>0</v>
      </c>
      <c r="S305" s="29">
        <v>0</v>
      </c>
      <c r="T305" s="29">
        <v>0</v>
      </c>
      <c r="U305" s="29">
        <v>0</v>
      </c>
      <c r="V305" s="29">
        <v>1</v>
      </c>
    </row>
    <row r="306" spans="1:22" ht="21" customHeight="1" x14ac:dyDescent="0.15">
      <c r="A306" s="2" t="str">
        <f ca="1">input_547100!A$2</f>
        <v>547100</v>
      </c>
      <c r="B306" s="5">
        <v>1026</v>
      </c>
      <c r="C306" s="7" t="str">
        <f t="shared" si="14"/>
        <v>Premium4R3less</v>
      </c>
      <c r="D306" s="7" t="str">
        <f t="shared" si="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2">
        <f ca="1">IFERROR(VLOOKUP(B306,input_547100!L:R,7,FALSE),VLOOKUP(tables_547100!C306,input_547100!A:H,8,FALSE))</f>
        <v>42180</v>
      </c>
      <c r="P306" s="43">
        <f ca="1">O306/SUM(O:O)</f>
        <v>7.3229166667175168E-3</v>
      </c>
      <c r="Q306" s="29">
        <v>1</v>
      </c>
      <c r="R306" s="29">
        <v>0</v>
      </c>
      <c r="S306" s="29">
        <v>0</v>
      </c>
      <c r="T306" s="29">
        <v>0</v>
      </c>
      <c r="U306" s="29">
        <v>0</v>
      </c>
      <c r="V306" s="29">
        <v>1</v>
      </c>
    </row>
    <row r="307" spans="1:22" ht="21" customHeight="1" x14ac:dyDescent="0.15">
      <c r="A307" s="2" t="str">
        <f ca="1">input_547100!A$2</f>
        <v>547100</v>
      </c>
      <c r="B307" s="5">
        <v>1027</v>
      </c>
      <c r="C307" s="7" t="str">
        <f t="shared" si="14"/>
        <v>Premium5R3less</v>
      </c>
      <c r="D307" s="7" t="str">
        <f t="shared" si="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2">
        <f ca="1">IFERROR(VLOOKUP(B307,input_547100!L:R,7,FALSE),VLOOKUP(tables_547100!C307,input_547100!A:H,8,FALSE))</f>
        <v>11400</v>
      </c>
      <c r="P307" s="43">
        <f ca="1">O307/SUM(O:O)</f>
        <v>1.9791666666804102E-3</v>
      </c>
      <c r="Q307" s="29">
        <v>1</v>
      </c>
      <c r="R307" s="29">
        <v>0</v>
      </c>
      <c r="S307" s="29">
        <v>0</v>
      </c>
      <c r="T307" s="29">
        <v>0</v>
      </c>
      <c r="U307" s="29">
        <v>0</v>
      </c>
      <c r="V307" s="29">
        <v>1</v>
      </c>
    </row>
    <row r="308" spans="1:22" ht="21" customHeight="1" x14ac:dyDescent="0.15">
      <c r="A308" s="2" t="str">
        <f ca="1">input_547100!A$2</f>
        <v>547100</v>
      </c>
      <c r="B308" s="5">
        <v>1028</v>
      </c>
      <c r="C308" s="7" t="str">
        <f t="shared" si="14"/>
        <v>PremiumSS5R5only</v>
      </c>
      <c r="D308" s="7" t="str">
        <f t="shared" si="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2">
        <f ca="1">IFERROR(VLOOKUP(B308,input_547100!L:R,7,FALSE),VLOOKUP(tables_547100!C308,input_547100!A:H,8,FALSE))</f>
        <v>1600</v>
      </c>
      <c r="P308" s="43">
        <f ca="1">O308/SUM(O:O)</f>
        <v>2.7777777777970668E-4</v>
      </c>
      <c r="Q308" s="29">
        <v>1</v>
      </c>
      <c r="R308" s="29">
        <v>0</v>
      </c>
      <c r="S308" s="29">
        <v>0</v>
      </c>
      <c r="T308" s="29">
        <v>0</v>
      </c>
      <c r="U308" s="29">
        <v>0</v>
      </c>
      <c r="V308" s="29">
        <v>1</v>
      </c>
    </row>
    <row r="309" spans="1:22" ht="21" customHeight="1" x14ac:dyDescent="0.15">
      <c r="A309" s="2" t="str">
        <f ca="1">input_547100!A$2</f>
        <v>547100</v>
      </c>
      <c r="B309" s="5">
        <v>1031</v>
      </c>
      <c r="C309" s="7" t="str">
        <f t="shared" si="14"/>
        <v>PremiumSS5R5only</v>
      </c>
      <c r="D309" s="7" t="str">
        <f t="shared" si="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2">
        <f ca="1">IFERROR(VLOOKUP(B309,input_547100!L:R,7,FALSE),VLOOKUP(tables_547100!C309,input_547100!A:H,8,FALSE))</f>
        <v>1600</v>
      </c>
      <c r="P309" s="43">
        <f ca="1">O309/SUM(O:O)</f>
        <v>2.7777777777970668E-4</v>
      </c>
      <c r="Q309" s="29">
        <v>1</v>
      </c>
      <c r="R309" s="29">
        <v>0</v>
      </c>
      <c r="S309" s="29">
        <v>0</v>
      </c>
      <c r="T309" s="29">
        <v>0</v>
      </c>
      <c r="U309" s="29">
        <v>0</v>
      </c>
      <c r="V309" s="29">
        <v>1</v>
      </c>
    </row>
    <row r="310" spans="1:22" ht="21" customHeight="1" x14ac:dyDescent="0.15">
      <c r="A310" s="2" t="str">
        <f ca="1">input_547100!A$2</f>
        <v>547100</v>
      </c>
      <c r="B310" s="5">
        <v>1033</v>
      </c>
      <c r="C310" s="7" t="str">
        <f t="shared" ref="C310:C314" si="15">D310&amp;J310&amp;E310&amp;F310&amp;G310</f>
        <v>PremiumSS5R5only</v>
      </c>
      <c r="D310" s="7" t="str">
        <f t="shared" si="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2">
        <f ca="1">IFERROR(VLOOKUP(B310,input_547100!L:R,7,FALSE),VLOOKUP(tables_547100!C310,input_547100!A:H,8,FALSE))</f>
        <v>1600</v>
      </c>
      <c r="P310" s="43">
        <f ca="1">O310/SUM(O:O)</f>
        <v>2.7777777777970668E-4</v>
      </c>
      <c r="Q310" s="29">
        <v>1</v>
      </c>
      <c r="R310" s="29">
        <v>0</v>
      </c>
      <c r="S310" s="29">
        <v>0</v>
      </c>
      <c r="T310" s="29">
        <v>0</v>
      </c>
      <c r="U310" s="29">
        <v>0</v>
      </c>
      <c r="V310" s="29">
        <v>1</v>
      </c>
    </row>
    <row r="311" spans="1:22" ht="21" customHeight="1" x14ac:dyDescent="0.15">
      <c r="A311" s="2" t="str">
        <f ca="1">input_547100!A$2</f>
        <v>547100</v>
      </c>
      <c r="B311" s="5">
        <v>1067</v>
      </c>
      <c r="C311" s="7" t="str">
        <f t="shared" si="15"/>
        <v>Premium4R3less</v>
      </c>
      <c r="D311" s="7" t="str">
        <f t="shared" si="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2">
        <f ca="1">IFERROR(VLOOKUP(B311,input_547100!L:R,7,FALSE),VLOOKUP(tables_547100!C311,input_547100!A:H,8,FALSE))</f>
        <v>42180</v>
      </c>
      <c r="P311" s="43">
        <f ca="1">O311/SUM(O:O)</f>
        <v>7.3229166667175168E-3</v>
      </c>
      <c r="Q311" s="29">
        <v>1</v>
      </c>
      <c r="R311" s="29">
        <v>0</v>
      </c>
      <c r="S311" s="29">
        <v>0</v>
      </c>
      <c r="T311" s="29">
        <v>0</v>
      </c>
      <c r="U311" s="29">
        <v>0</v>
      </c>
      <c r="V311" s="29">
        <v>1</v>
      </c>
    </row>
    <row r="312" spans="1:22" ht="21" customHeight="1" x14ac:dyDescent="0.15">
      <c r="A312" s="2" t="str">
        <f ca="1">input_547100!A$2</f>
        <v>547100</v>
      </c>
      <c r="B312" s="5">
        <v>1068</v>
      </c>
      <c r="C312" s="7" t="str">
        <f t="shared" si="15"/>
        <v>Premium5R3less</v>
      </c>
      <c r="D312" s="7" t="str">
        <f t="shared" si="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2">
        <f ca="1">IFERROR(VLOOKUP(B312,input_547100!L:R,7,FALSE),VLOOKUP(tables_547100!C312,input_547100!A:H,8,FALSE))</f>
        <v>11400</v>
      </c>
      <c r="P312" s="43">
        <f ca="1">O312/SUM(O:O)</f>
        <v>1.9791666666804102E-3</v>
      </c>
      <c r="Q312" s="29">
        <v>1</v>
      </c>
      <c r="R312" s="29">
        <v>0</v>
      </c>
      <c r="S312" s="29">
        <v>0</v>
      </c>
      <c r="T312" s="29">
        <v>0</v>
      </c>
      <c r="U312" s="29">
        <v>0</v>
      </c>
      <c r="V312" s="29">
        <v>1</v>
      </c>
    </row>
    <row r="313" spans="1:22" ht="21" customHeight="1" x14ac:dyDescent="0.15">
      <c r="A313" s="2" t="str">
        <f ca="1">input_547100!A$2</f>
        <v>547100</v>
      </c>
      <c r="B313" s="5">
        <v>1069</v>
      </c>
      <c r="C313" s="7" t="str">
        <f t="shared" si="15"/>
        <v>PremiumSS5R5only</v>
      </c>
      <c r="D313" s="7" t="str">
        <f t="shared" si="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2">
        <f ca="1">IFERROR(VLOOKUP(B313,input_547100!L:R,7,FALSE),VLOOKUP(tables_547100!C313,input_547100!A:H,8,FALSE))</f>
        <v>1600</v>
      </c>
      <c r="P313" s="43">
        <f ca="1">O313/SUM(O:O)</f>
        <v>2.7777777777970668E-4</v>
      </c>
      <c r="Q313" s="29">
        <v>1</v>
      </c>
      <c r="R313" s="29">
        <v>0</v>
      </c>
      <c r="S313" s="29">
        <v>0</v>
      </c>
      <c r="T313" s="29">
        <v>0</v>
      </c>
      <c r="U313" s="29">
        <v>0</v>
      </c>
      <c r="V313" s="29">
        <v>1</v>
      </c>
    </row>
    <row r="314" spans="1:22" ht="21" customHeight="1" x14ac:dyDescent="0.15">
      <c r="A314" s="2" t="str">
        <f ca="1">input_547100!A$2</f>
        <v>547100</v>
      </c>
      <c r="B314" s="5">
        <v>1072</v>
      </c>
      <c r="C314" s="7" t="str">
        <f t="shared" si="15"/>
        <v>PremiumSS5R5only</v>
      </c>
      <c r="D314" s="7" t="str">
        <f t="shared" si="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2">
        <f ca="1">IFERROR(VLOOKUP(B314,input_547100!L:R,7,FALSE),VLOOKUP(tables_547100!C314,input_547100!A:H,8,FALSE))</f>
        <v>1600</v>
      </c>
      <c r="P314" s="43">
        <f ca="1">O314/SUM(O:O)</f>
        <v>2.7777777777970668E-4</v>
      </c>
      <c r="Q314" s="29">
        <v>1</v>
      </c>
      <c r="R314" s="29">
        <v>0</v>
      </c>
      <c r="S314" s="29">
        <v>0</v>
      </c>
      <c r="T314" s="29">
        <v>0</v>
      </c>
      <c r="U314" s="29">
        <v>0</v>
      </c>
      <c r="V314" s="29">
        <v>1</v>
      </c>
    </row>
    <row r="315" spans="1:22" ht="21" customHeight="1" x14ac:dyDescent="0.15">
      <c r="A315" s="2" t="str">
        <f ca="1">input_547100!A$2</f>
        <v>547100</v>
      </c>
      <c r="B315" s="5">
        <v>1074</v>
      </c>
      <c r="C315" s="7" t="str">
        <f t="shared" ref="C315:C319" si="16">D315&amp;J315&amp;E315&amp;F315&amp;G315</f>
        <v>PremiumSS5R5only</v>
      </c>
      <c r="D315" s="7" t="str">
        <f t="shared" si="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2">
        <f ca="1">IFERROR(VLOOKUP(B315,input_547100!L:R,7,FALSE),VLOOKUP(tables_547100!C315,input_547100!A:H,8,FALSE))</f>
        <v>1600</v>
      </c>
      <c r="P315" s="43">
        <f ca="1">O315/SUM(O:O)</f>
        <v>2.7777777777970668E-4</v>
      </c>
      <c r="Q315" s="29">
        <v>1</v>
      </c>
      <c r="R315" s="29">
        <v>0</v>
      </c>
      <c r="S315" s="29">
        <v>0</v>
      </c>
      <c r="T315" s="29">
        <v>0</v>
      </c>
      <c r="U315" s="29">
        <v>0</v>
      </c>
      <c r="V315" s="29">
        <v>1</v>
      </c>
    </row>
    <row r="316" spans="1:22" ht="21" customHeight="1" x14ac:dyDescent="0.15">
      <c r="A316" s="2" t="str">
        <f ca="1">input_547100!A$2</f>
        <v>547100</v>
      </c>
      <c r="B316" s="5">
        <v>1100</v>
      </c>
      <c r="C316" s="7" t="str">
        <f t="shared" si="16"/>
        <v>PremiumSS5R5only</v>
      </c>
      <c r="D316" s="7" t="str">
        <f t="shared" si="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2">
        <f ca="1">IFERROR(VLOOKUP(B316,input_547100!L:R,7,FALSE),VLOOKUP(tables_547100!C316,input_547100!A:H,8,FALSE))</f>
        <v>1600</v>
      </c>
      <c r="P316" s="43">
        <f ca="1">O316/SUM(O:O)</f>
        <v>2.7777777777970668E-4</v>
      </c>
      <c r="Q316" s="29">
        <v>1</v>
      </c>
      <c r="R316" s="29">
        <v>0</v>
      </c>
      <c r="S316" s="29">
        <v>0</v>
      </c>
      <c r="T316" s="29">
        <v>0</v>
      </c>
      <c r="U316" s="29">
        <v>0</v>
      </c>
      <c r="V316" s="29">
        <v>1</v>
      </c>
    </row>
    <row r="317" spans="1:22" ht="21" customHeight="1" x14ac:dyDescent="0.15">
      <c r="A317" s="2" t="str">
        <f ca="1">input_547100!A$2</f>
        <v>547100</v>
      </c>
      <c r="B317" s="5">
        <v>1102</v>
      </c>
      <c r="C317" s="7" t="str">
        <f t="shared" si="16"/>
        <v>PremiumSS5R5only</v>
      </c>
      <c r="D317" s="7" t="str">
        <f t="shared" si="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2">
        <f ca="1">IFERROR(VLOOKUP(B317,input_547100!L:R,7,FALSE),VLOOKUP(tables_547100!C317,input_547100!A:H,8,FALSE))</f>
        <v>1600</v>
      </c>
      <c r="P317" s="43">
        <f ca="1">O317/SUM(O:O)</f>
        <v>2.7777777777970668E-4</v>
      </c>
      <c r="Q317" s="29">
        <v>1</v>
      </c>
      <c r="R317" s="29">
        <v>0</v>
      </c>
      <c r="S317" s="29">
        <v>0</v>
      </c>
      <c r="T317" s="29">
        <v>0</v>
      </c>
      <c r="U317" s="29">
        <v>0</v>
      </c>
      <c r="V317" s="29">
        <v>1</v>
      </c>
    </row>
    <row r="318" spans="1:22" ht="21" customHeight="1" x14ac:dyDescent="0.15">
      <c r="A318" s="2" t="str">
        <f ca="1">input_547100!A$2</f>
        <v>547100</v>
      </c>
      <c r="B318" s="5">
        <v>1104</v>
      </c>
      <c r="C318" s="7" t="str">
        <f t="shared" si="16"/>
        <v>Premium4R3less</v>
      </c>
      <c r="D318" s="7" t="str">
        <f t="shared" si="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2">
        <f ca="1">IFERROR(VLOOKUP(B318,input_547100!L:R,7,FALSE),VLOOKUP(tables_547100!C318,input_547100!A:H,8,FALSE))</f>
        <v>42180</v>
      </c>
      <c r="P318" s="43">
        <f ca="1">O318/SUM(O:O)</f>
        <v>7.3229166667175168E-3</v>
      </c>
      <c r="Q318" s="29">
        <v>1</v>
      </c>
      <c r="R318" s="29">
        <v>0</v>
      </c>
      <c r="S318" s="29">
        <v>0</v>
      </c>
      <c r="T318" s="29">
        <v>0</v>
      </c>
      <c r="U318" s="29">
        <v>0</v>
      </c>
      <c r="V318" s="29">
        <v>1</v>
      </c>
    </row>
    <row r="319" spans="1:22" ht="21" customHeight="1" x14ac:dyDescent="0.15">
      <c r="A319" s="2" t="str">
        <f ca="1">input_547100!A$2</f>
        <v>547100</v>
      </c>
      <c r="B319" s="5">
        <v>1105</v>
      </c>
      <c r="C319" s="7" t="str">
        <f t="shared" si="16"/>
        <v>Premium5R3less</v>
      </c>
      <c r="D319" s="7" t="str">
        <f t="shared" si="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2">
        <f ca="1">IFERROR(VLOOKUP(B319,input_547100!L:R,7,FALSE),VLOOKUP(tables_547100!C319,input_547100!A:H,8,FALSE))</f>
        <v>11400</v>
      </c>
      <c r="P319" s="43">
        <f ca="1">O319/SUM(O:O)</f>
        <v>1.9791666666804102E-3</v>
      </c>
      <c r="Q319" s="29">
        <v>1</v>
      </c>
      <c r="R319" s="29">
        <v>0</v>
      </c>
      <c r="S319" s="29">
        <v>0</v>
      </c>
      <c r="T319" s="29">
        <v>0</v>
      </c>
      <c r="U319" s="29">
        <v>0</v>
      </c>
      <c r="V319" s="29">
        <v>1</v>
      </c>
    </row>
    <row r="320" spans="1:22" ht="21" customHeight="1" x14ac:dyDescent="0.15">
      <c r="A320" s="2" t="str">
        <f ca="1">input_547100!A$2</f>
        <v>547100</v>
      </c>
      <c r="B320" s="5">
        <v>1106</v>
      </c>
      <c r="C320" s="7" t="str">
        <f t="shared" ref="C320:C324" si="17">D320&amp;J320&amp;E320&amp;F320&amp;G320</f>
        <v>PremiumSS5R5only</v>
      </c>
      <c r="D320" s="7" t="str">
        <f t="shared" si="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2">
        <f ca="1">IFERROR(VLOOKUP(B320,input_547100!L:R,7,FALSE),VLOOKUP(tables_547100!C320,input_547100!A:H,8,FALSE))</f>
        <v>1600</v>
      </c>
      <c r="P320" s="43">
        <f ca="1">O320/SUM(O:O)</f>
        <v>2.7777777777970668E-4</v>
      </c>
      <c r="Q320" s="29">
        <v>1</v>
      </c>
      <c r="R320" s="29">
        <v>0</v>
      </c>
      <c r="S320" s="29">
        <v>0</v>
      </c>
      <c r="T320" s="29">
        <v>0</v>
      </c>
      <c r="U320" s="29">
        <v>0</v>
      </c>
      <c r="V320" s="29">
        <v>1</v>
      </c>
    </row>
    <row r="321" spans="1:22" ht="21" customHeight="1" x14ac:dyDescent="0.15">
      <c r="A321" s="2" t="str">
        <f ca="1">input_547100!A$2</f>
        <v>547100</v>
      </c>
      <c r="B321" s="5">
        <v>1137</v>
      </c>
      <c r="C321" s="7" t="str">
        <f t="shared" si="17"/>
        <v>PremiumSS5R5only</v>
      </c>
      <c r="D321" s="7" t="str">
        <f t="shared" si="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2">
        <f ca="1">IFERROR(VLOOKUP(B321,input_547100!L:R,7,FALSE),VLOOKUP(tables_547100!C321,input_547100!A:H,8,FALSE))</f>
        <v>1600</v>
      </c>
      <c r="P321" s="43">
        <f ca="1">O321/SUM(O:O)</f>
        <v>2.7777777777970668E-4</v>
      </c>
      <c r="Q321" s="29">
        <v>1</v>
      </c>
      <c r="R321" s="29">
        <v>0</v>
      </c>
      <c r="S321" s="29">
        <v>0</v>
      </c>
      <c r="T321" s="29">
        <v>0</v>
      </c>
      <c r="U321" s="29">
        <v>0</v>
      </c>
      <c r="V321" s="29">
        <v>1</v>
      </c>
    </row>
    <row r="322" spans="1:22" ht="21" customHeight="1" x14ac:dyDescent="0.15">
      <c r="A322" s="2" t="str">
        <f ca="1">input_547100!A$2</f>
        <v>547100</v>
      </c>
      <c r="B322" s="5">
        <v>1139</v>
      </c>
      <c r="C322" s="7" t="str">
        <f t="shared" si="17"/>
        <v>PremiumSS5R5only</v>
      </c>
      <c r="D322" s="7" t="str">
        <f t="shared" si="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2">
        <f ca="1">IFERROR(VLOOKUP(B322,input_547100!L:R,7,FALSE),VLOOKUP(tables_547100!C322,input_547100!A:H,8,FALSE))</f>
        <v>1600</v>
      </c>
      <c r="P322" s="43">
        <f ca="1">O322/SUM(O:O)</f>
        <v>2.7777777777970668E-4</v>
      </c>
      <c r="Q322" s="29">
        <v>1</v>
      </c>
      <c r="R322" s="29">
        <v>0</v>
      </c>
      <c r="S322" s="29">
        <v>0</v>
      </c>
      <c r="T322" s="29">
        <v>0</v>
      </c>
      <c r="U322" s="29">
        <v>0</v>
      </c>
      <c r="V322" s="29">
        <v>1</v>
      </c>
    </row>
    <row r="323" spans="1:22" ht="21" customHeight="1" x14ac:dyDescent="0.15">
      <c r="A323" s="2" t="str">
        <f ca="1">input_547100!A$2</f>
        <v>547100</v>
      </c>
      <c r="B323" s="5">
        <v>1141</v>
      </c>
      <c r="C323" s="7" t="str">
        <f t="shared" si="17"/>
        <v>PremiumSS5R5only</v>
      </c>
      <c r="D323" s="7" t="str">
        <f t="shared" ref="D323:D330" si="18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2">
        <f ca="1">IFERROR(VLOOKUP(B323,input_547100!L:R,7,FALSE),VLOOKUP(tables_547100!C323,input_547100!A:H,8,FALSE))</f>
        <v>1600</v>
      </c>
      <c r="P323" s="43">
        <f ca="1">O323/SUM(O:O)</f>
        <v>2.7777777777970668E-4</v>
      </c>
      <c r="Q323" s="29">
        <v>1</v>
      </c>
      <c r="R323" s="29">
        <v>0</v>
      </c>
      <c r="S323" s="29">
        <v>0</v>
      </c>
      <c r="T323" s="29">
        <v>0</v>
      </c>
      <c r="U323" s="29">
        <v>0</v>
      </c>
      <c r="V323" s="29">
        <v>1</v>
      </c>
    </row>
    <row r="324" spans="1:22" ht="21" customHeight="1" x14ac:dyDescent="0.15">
      <c r="A324" s="2" t="str">
        <f ca="1">input_547100!A$2</f>
        <v>547100</v>
      </c>
      <c r="B324" s="2">
        <v>1143</v>
      </c>
      <c r="C324" s="7" t="str">
        <f t="shared" si="17"/>
        <v>Premium4R3less</v>
      </c>
      <c r="D324" s="7" t="str">
        <f t="shared" si="18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2">
        <f ca="1">IFERROR(VLOOKUP(B324,input_547100!L:R,7,FALSE),VLOOKUP(tables_547100!C324,input_547100!A:H,8,FALSE))</f>
        <v>42180</v>
      </c>
      <c r="P324" s="43">
        <f ca="1">O324/SUM(O:O)</f>
        <v>7.3229166667175168E-3</v>
      </c>
      <c r="Q324" s="29">
        <v>1</v>
      </c>
      <c r="R324" s="29">
        <v>0</v>
      </c>
      <c r="S324" s="29">
        <v>0</v>
      </c>
      <c r="T324" s="29">
        <v>0</v>
      </c>
      <c r="U324" s="29">
        <v>0</v>
      </c>
      <c r="V324" s="29">
        <v>1</v>
      </c>
    </row>
    <row r="325" spans="1:22" ht="21" customHeight="1" x14ac:dyDescent="0.15">
      <c r="A325" s="2" t="str">
        <f ca="1">input_547100!A$2</f>
        <v>547100</v>
      </c>
      <c r="B325" s="2">
        <v>1144</v>
      </c>
      <c r="C325" s="7" t="str">
        <f t="shared" ref="C325:C330" si="19">D325&amp;J325&amp;E325&amp;F325&amp;G325</f>
        <v>Premium5R3less</v>
      </c>
      <c r="D325" s="7" t="str">
        <f t="shared" si="18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2">
        <f ca="1">IFERROR(VLOOKUP(B325,input_547100!L:R,7,FALSE),VLOOKUP(tables_547100!C325,input_547100!A:H,8,FALSE))</f>
        <v>11400</v>
      </c>
      <c r="P325" s="43">
        <f ca="1">O325/SUM(O:O)</f>
        <v>1.9791666666804102E-3</v>
      </c>
      <c r="Q325" s="29">
        <v>1</v>
      </c>
      <c r="R325" s="29">
        <v>0</v>
      </c>
      <c r="S325" s="29">
        <v>0</v>
      </c>
      <c r="T325" s="29">
        <v>0</v>
      </c>
      <c r="U325" s="29">
        <v>0</v>
      </c>
      <c r="V325" s="29">
        <v>1</v>
      </c>
    </row>
    <row r="326" spans="1:22" ht="21" customHeight="1" x14ac:dyDescent="0.15">
      <c r="A326" s="2" t="str">
        <f ca="1">input_547100!A$2</f>
        <v>547100</v>
      </c>
      <c r="B326" s="2">
        <v>1151</v>
      </c>
      <c r="C326" s="7" t="str">
        <f t="shared" si="19"/>
        <v>Premium4R3less</v>
      </c>
      <c r="D326" s="7" t="str">
        <f t="shared" si="18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2">
        <f ca="1">IFERROR(VLOOKUP(B326,input_547100!L:R,7,FALSE),VLOOKUP(tables_547100!C326,input_547100!A:H,8,FALSE))</f>
        <v>42180</v>
      </c>
      <c r="P326" s="43">
        <f ca="1">O326/SUM(O:O)</f>
        <v>7.3229166667175168E-3</v>
      </c>
      <c r="Q326" s="29">
        <v>1</v>
      </c>
      <c r="R326" s="29">
        <v>0</v>
      </c>
      <c r="S326" s="29">
        <v>0</v>
      </c>
      <c r="T326" s="29">
        <v>0</v>
      </c>
      <c r="U326" s="29">
        <v>0</v>
      </c>
      <c r="V326" s="29">
        <v>1</v>
      </c>
    </row>
    <row r="327" spans="1:22" ht="21" customHeight="1" x14ac:dyDescent="0.15">
      <c r="A327" s="2" t="str">
        <f ca="1">input_547100!A$2</f>
        <v>547100</v>
      </c>
      <c r="B327" s="2">
        <v>1152</v>
      </c>
      <c r="C327" s="7" t="str">
        <f t="shared" si="19"/>
        <v>Premium5R3less</v>
      </c>
      <c r="D327" s="7" t="str">
        <f t="shared" si="18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2">
        <f ca="1">IFERROR(VLOOKUP(B327,input_547100!L:R,7,FALSE),VLOOKUP(tables_547100!C327,input_547100!A:H,8,FALSE))</f>
        <v>11400</v>
      </c>
      <c r="P327" s="43">
        <f ca="1">O327/SUM(O:O)</f>
        <v>1.9791666666804102E-3</v>
      </c>
      <c r="Q327" s="29">
        <v>1</v>
      </c>
      <c r="R327" s="29">
        <v>0</v>
      </c>
      <c r="S327" s="29">
        <v>0</v>
      </c>
      <c r="T327" s="29">
        <v>0</v>
      </c>
      <c r="U327" s="29">
        <v>0</v>
      </c>
      <c r="V327" s="29">
        <v>1</v>
      </c>
    </row>
    <row r="328" spans="1:22" ht="21" customHeight="1" x14ac:dyDescent="0.15">
      <c r="A328" s="2" t="str">
        <f ca="1">input_547100!A$2</f>
        <v>547100</v>
      </c>
      <c r="B328" s="2">
        <v>1153</v>
      </c>
      <c r="C328" s="7" t="str">
        <f t="shared" si="19"/>
        <v>PremiumSS5R5only</v>
      </c>
      <c r="D328" s="7" t="str">
        <f t="shared" si="18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2">
        <f ca="1">IFERROR(VLOOKUP(B328,input_547100!L:R,7,FALSE),VLOOKUP(tables_547100!C328,input_547100!A:H,8,FALSE))</f>
        <v>1600</v>
      </c>
      <c r="P328" s="43">
        <f ca="1">O328/SUM(O:O)</f>
        <v>2.7777777777970668E-4</v>
      </c>
      <c r="Q328" s="29">
        <v>1</v>
      </c>
      <c r="R328" s="29">
        <v>0</v>
      </c>
      <c r="S328" s="29">
        <v>0</v>
      </c>
      <c r="T328" s="29">
        <v>0</v>
      </c>
      <c r="U328" s="29">
        <v>0</v>
      </c>
      <c r="V328" s="29">
        <v>1</v>
      </c>
    </row>
    <row r="329" spans="1:22" ht="21" customHeight="1" x14ac:dyDescent="0.15">
      <c r="A329" s="2" t="str">
        <f ca="1">input_547100!A$2</f>
        <v>547100</v>
      </c>
      <c r="B329" s="2">
        <v>1155</v>
      </c>
      <c r="C329" s="7" t="str">
        <f t="shared" si="19"/>
        <v>PremiumSS5R5only</v>
      </c>
      <c r="D329" s="7" t="str">
        <f t="shared" si="18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2">
        <f ca="1">IFERROR(VLOOKUP(B329,input_547100!L:R,7,FALSE),VLOOKUP(tables_547100!C329,input_547100!A:H,8,FALSE))</f>
        <v>1600</v>
      </c>
      <c r="P329" s="43">
        <f ca="1">O329/SUM(O:O)</f>
        <v>2.7777777777970668E-4</v>
      </c>
      <c r="Q329" s="29">
        <v>1</v>
      </c>
      <c r="R329" s="29">
        <v>0</v>
      </c>
      <c r="S329" s="29">
        <v>0</v>
      </c>
      <c r="T329" s="29">
        <v>0</v>
      </c>
      <c r="U329" s="29">
        <v>0</v>
      </c>
      <c r="V329" s="29">
        <v>1</v>
      </c>
    </row>
    <row r="330" spans="1:22" ht="21" customHeight="1" x14ac:dyDescent="0.15">
      <c r="A330" s="2" t="str">
        <f ca="1">input_547100!A$2</f>
        <v>547100</v>
      </c>
      <c r="B330" s="2">
        <v>1157</v>
      </c>
      <c r="C330" s="7" t="str">
        <f t="shared" si="19"/>
        <v>PremiumSS5R5only</v>
      </c>
      <c r="D330" s="87" t="str">
        <f t="shared" si="18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2">
        <f ca="1">IFERROR(VLOOKUP(B330,input_547100!L:R,7,FALSE),VLOOKUP(tables_547100!C330,input_547100!A:H,8,FALSE))</f>
        <v>1600</v>
      </c>
      <c r="P330" s="43">
        <f ca="1">O330/SUM(O:O)</f>
        <v>2.7777777777970668E-4</v>
      </c>
      <c r="Q330" s="29">
        <v>1</v>
      </c>
      <c r="R330" s="29">
        <v>0</v>
      </c>
      <c r="S330" s="29">
        <v>0</v>
      </c>
      <c r="T330" s="29">
        <v>0</v>
      </c>
      <c r="U330" s="29">
        <v>0</v>
      </c>
      <c r="V330" s="29">
        <v>1</v>
      </c>
    </row>
    <row r="331" spans="1:22" ht="21" customHeight="1" x14ac:dyDescent="0.15">
      <c r="A331" s="2" t="str">
        <f ca="1">input_547100!A$2</f>
        <v>547100</v>
      </c>
      <c r="B331" s="55">
        <v>1214</v>
      </c>
      <c r="C331" s="7" t="str">
        <f t="shared" ref="C331:C335" si="20">D331&amp;J331&amp;E331&amp;F331&amp;G331</f>
        <v>PremiumSS5R5only</v>
      </c>
      <c r="D331" s="87" t="str">
        <f t="shared" ref="D331:D335" si="21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2">
        <f ca="1">IFERROR(VLOOKUP(B331,input_547100!L:R,7,FALSE),VLOOKUP(tables_547100!C331,input_547100!A:H,8,FALSE))</f>
        <v>1600</v>
      </c>
      <c r="P331" s="43">
        <f ca="1">O331/SUM(O:O)</f>
        <v>2.7777777777970668E-4</v>
      </c>
      <c r="Q331" s="29">
        <v>1</v>
      </c>
      <c r="R331" s="29">
        <v>0</v>
      </c>
      <c r="S331" s="29">
        <v>0</v>
      </c>
      <c r="T331" s="29">
        <v>0</v>
      </c>
      <c r="U331" s="29">
        <v>0</v>
      </c>
      <c r="V331" s="29">
        <v>1</v>
      </c>
    </row>
    <row r="332" spans="1:22" ht="21" customHeight="1" x14ac:dyDescent="0.15">
      <c r="A332" s="2" t="str">
        <f ca="1">input_547100!A$2</f>
        <v>547100</v>
      </c>
      <c r="B332" s="55">
        <v>1212</v>
      </c>
      <c r="C332" s="7" t="str">
        <f t="shared" si="20"/>
        <v>PremiumSS5R5only</v>
      </c>
      <c r="D332" s="87" t="str">
        <f t="shared" si="21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2">
        <f ca="1">IFERROR(VLOOKUP(B332,input_547100!L:R,7,FALSE),VLOOKUP(tables_547100!C332,input_547100!A:H,8,FALSE))</f>
        <v>1600</v>
      </c>
      <c r="P332" s="43">
        <f ca="1">O332/SUM(O:O)</f>
        <v>2.7777777777970668E-4</v>
      </c>
      <c r="Q332" s="29">
        <v>1</v>
      </c>
      <c r="R332" s="29">
        <v>0</v>
      </c>
      <c r="S332" s="29">
        <v>0</v>
      </c>
      <c r="T332" s="29">
        <v>0</v>
      </c>
      <c r="U332" s="29">
        <v>0</v>
      </c>
      <c r="V332" s="29">
        <v>1</v>
      </c>
    </row>
    <row r="333" spans="1:22" ht="21" customHeight="1" x14ac:dyDescent="0.15">
      <c r="A333" s="2" t="str">
        <f ca="1">input_547100!A$2</f>
        <v>547100</v>
      </c>
      <c r="B333" s="55">
        <v>1208</v>
      </c>
      <c r="C333" s="7" t="str">
        <f t="shared" si="20"/>
        <v>PremiumSS5R5only</v>
      </c>
      <c r="D333" s="8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2">
        <f ca="1">IFERROR(VLOOKUP(B333,input_547100!L:R,7,FALSE),VLOOKUP(tables_547100!C333,input_547100!A:H,8,FALSE))</f>
        <v>1600</v>
      </c>
      <c r="P333" s="43">
        <f ca="1">O333/SUM(O:O)</f>
        <v>2.7777777777970668E-4</v>
      </c>
      <c r="Q333" s="29">
        <v>1</v>
      </c>
      <c r="R333" s="29">
        <v>0</v>
      </c>
      <c r="S333" s="29">
        <v>0</v>
      </c>
      <c r="T333" s="29">
        <v>0</v>
      </c>
      <c r="U333" s="29">
        <v>0</v>
      </c>
      <c r="V333" s="29">
        <v>1</v>
      </c>
    </row>
    <row r="334" spans="1:22" ht="21" customHeight="1" x14ac:dyDescent="0.15">
      <c r="A334" s="2" t="str">
        <f ca="1">input_547100!A$2</f>
        <v>547100</v>
      </c>
      <c r="B334" s="83">
        <v>1210</v>
      </c>
      <c r="C334" s="7" t="str">
        <f t="shared" si="20"/>
        <v>Premium4R3less</v>
      </c>
      <c r="D334" s="8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2">
        <f ca="1">IFERROR(VLOOKUP(B334,input_547100!L:R,7,FALSE),VLOOKUP(tables_547100!C334,input_547100!A:H,8,FALSE))</f>
        <v>42180</v>
      </c>
      <c r="P334" s="43">
        <f ca="1">O334/SUM(O:O)</f>
        <v>7.3229166667175168E-3</v>
      </c>
      <c r="Q334" s="29">
        <v>1</v>
      </c>
      <c r="R334" s="29">
        <v>0</v>
      </c>
      <c r="S334" s="29">
        <v>0</v>
      </c>
      <c r="T334" s="29">
        <v>0</v>
      </c>
      <c r="U334" s="29">
        <v>0</v>
      </c>
      <c r="V334" s="29">
        <v>1</v>
      </c>
    </row>
    <row r="335" spans="1:22" ht="21" customHeight="1" x14ac:dyDescent="0.15">
      <c r="A335" s="2" t="str">
        <f ca="1">input_547100!A$2</f>
        <v>547100</v>
      </c>
      <c r="B335" s="55">
        <v>1211</v>
      </c>
      <c r="C335" s="7" t="str">
        <f t="shared" si="20"/>
        <v>Premium5R3less</v>
      </c>
      <c r="D335" s="8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2">
        <f ca="1">IFERROR(VLOOKUP(B335,input_547100!L:R,7,FALSE),VLOOKUP(tables_547100!C335,input_547100!A:H,8,FALSE))</f>
        <v>11400</v>
      </c>
      <c r="P335" s="43">
        <f ca="1">O335/SUM(O:O)</f>
        <v>1.9791666666804102E-3</v>
      </c>
      <c r="Q335" s="29">
        <v>1</v>
      </c>
      <c r="R335" s="29">
        <v>0</v>
      </c>
      <c r="S335" s="29">
        <v>0</v>
      </c>
      <c r="T335" s="29">
        <v>0</v>
      </c>
      <c r="U335" s="29">
        <v>0</v>
      </c>
      <c r="V335" s="29">
        <v>1</v>
      </c>
    </row>
    <row r="336" spans="1:22" ht="21" customHeight="1" x14ac:dyDescent="0.15">
      <c r="A336" s="2" t="str">
        <f ca="1">input_547100!A$2</f>
        <v>547100</v>
      </c>
      <c r="B336" s="2">
        <v>1224</v>
      </c>
      <c r="C336" s="7" t="str">
        <f t="shared" ref="C336:C340" si="22">D336&amp;J336&amp;E336&amp;F336&amp;G336</f>
        <v>Premium4R3less</v>
      </c>
      <c r="D336" s="87" t="str">
        <f t="shared" ref="D336:D340" si="23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2">
        <f ca="1">IFERROR(VLOOKUP(B336,input_547100!L:R,7,FALSE),VLOOKUP(tables_547100!C336,input_547100!A:H,8,FALSE))</f>
        <v>42180</v>
      </c>
      <c r="P336" s="43">
        <f ca="1">O336/SUM(O:O)</f>
        <v>7.3229166667175168E-3</v>
      </c>
      <c r="Q336" s="29">
        <v>1</v>
      </c>
      <c r="R336" s="29">
        <v>0</v>
      </c>
      <c r="S336" s="29">
        <v>0</v>
      </c>
      <c r="T336" s="29">
        <v>0</v>
      </c>
      <c r="U336" s="29">
        <v>0</v>
      </c>
      <c r="V336" s="29">
        <v>1</v>
      </c>
    </row>
    <row r="337" spans="1:22" ht="21" customHeight="1" x14ac:dyDescent="0.15">
      <c r="A337" s="2" t="str">
        <f ca="1">input_547100!A$2</f>
        <v>547100</v>
      </c>
      <c r="B337" s="2">
        <v>1225</v>
      </c>
      <c r="C337" s="7" t="str">
        <f t="shared" si="22"/>
        <v>Premium5R3less</v>
      </c>
      <c r="D337" s="87" t="str">
        <f t="shared" si="23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2">
        <f ca="1">IFERROR(VLOOKUP(B337,input_547100!L:R,7,FALSE),VLOOKUP(tables_547100!C337,input_547100!A:H,8,FALSE))</f>
        <v>11400</v>
      </c>
      <c r="P337" s="43">
        <f ca="1">O337/SUM(O:O)</f>
        <v>1.9791666666804102E-3</v>
      </c>
      <c r="Q337" s="29">
        <v>1</v>
      </c>
      <c r="R337" s="29">
        <v>0</v>
      </c>
      <c r="S337" s="29">
        <v>0</v>
      </c>
      <c r="T337" s="29">
        <v>0</v>
      </c>
      <c r="U337" s="29">
        <v>0</v>
      </c>
      <c r="V337" s="29">
        <v>1</v>
      </c>
    </row>
    <row r="338" spans="1:22" ht="21" customHeight="1" x14ac:dyDescent="0.15">
      <c r="A338" s="2" t="str">
        <f ca="1">input_547100!A$2</f>
        <v>547100</v>
      </c>
      <c r="B338" s="2">
        <v>1226</v>
      </c>
      <c r="C338" s="7" t="str">
        <f t="shared" si="22"/>
        <v>PremiumSS5R5only</v>
      </c>
      <c r="D338" s="87" t="str">
        <f t="shared" si="23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2">
        <f ca="1">IFERROR(VLOOKUP(B338,input_547100!L:R,7,FALSE),VLOOKUP(tables_547100!C338,input_547100!A:H,8,FALSE))</f>
        <v>1600</v>
      </c>
      <c r="P338" s="43">
        <f ca="1">O338/SUM(O:O)</f>
        <v>2.7777777777970668E-4</v>
      </c>
      <c r="Q338" s="29">
        <v>1</v>
      </c>
      <c r="R338" s="29">
        <v>0</v>
      </c>
      <c r="S338" s="29">
        <v>0</v>
      </c>
      <c r="T338" s="29">
        <v>0</v>
      </c>
      <c r="U338" s="29">
        <v>0</v>
      </c>
      <c r="V338" s="29">
        <v>1</v>
      </c>
    </row>
    <row r="339" spans="1:22" ht="21" customHeight="1" x14ac:dyDescent="0.15">
      <c r="A339" s="2" t="str">
        <f ca="1">input_547100!A$2</f>
        <v>547100</v>
      </c>
      <c r="B339" s="2">
        <v>1228</v>
      </c>
      <c r="C339" s="7" t="str">
        <f t="shared" si="22"/>
        <v>PremiumSS5R5only</v>
      </c>
      <c r="D339" s="87" t="str">
        <f t="shared" si="23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2">
        <f ca="1">IFERROR(VLOOKUP(B339,input_547100!L:R,7,FALSE),VLOOKUP(tables_547100!C339,input_547100!A:H,8,FALSE))</f>
        <v>1600</v>
      </c>
      <c r="P339" s="43">
        <f ca="1">O339/SUM(O:O)</f>
        <v>2.7777777777970668E-4</v>
      </c>
      <c r="Q339" s="29">
        <v>1</v>
      </c>
      <c r="R339" s="29">
        <v>0</v>
      </c>
      <c r="S339" s="29">
        <v>0</v>
      </c>
      <c r="T339" s="29">
        <v>0</v>
      </c>
      <c r="U339" s="29">
        <v>0</v>
      </c>
      <c r="V339" s="29">
        <v>1</v>
      </c>
    </row>
    <row r="340" spans="1:22" ht="21" customHeight="1" x14ac:dyDescent="0.15">
      <c r="A340" s="2" t="str">
        <f ca="1">input_547100!A$2</f>
        <v>547100</v>
      </c>
      <c r="B340" s="2">
        <v>1230</v>
      </c>
      <c r="C340" s="7" t="str">
        <f t="shared" si="22"/>
        <v>PremiumSS5R5only</v>
      </c>
      <c r="D340" s="87" t="str">
        <f t="shared" si="23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2">
        <f ca="1">IFERROR(VLOOKUP(B340,input_547100!L:R,7,FALSE),VLOOKUP(tables_547100!C340,input_547100!A:H,8,FALSE))</f>
        <v>1600</v>
      </c>
      <c r="P340" s="43">
        <f ca="1">O340/SUM(O:O)</f>
        <v>2.7777777777970668E-4</v>
      </c>
      <c r="Q340" s="29">
        <v>1</v>
      </c>
      <c r="R340" s="29">
        <v>0</v>
      </c>
      <c r="S340" s="29">
        <v>0</v>
      </c>
      <c r="T340" s="29">
        <v>0</v>
      </c>
      <c r="U340" s="29">
        <v>0</v>
      </c>
      <c r="V340" s="29">
        <v>1</v>
      </c>
    </row>
    <row r="341" spans="1:22" ht="21" customHeight="1" x14ac:dyDescent="0.15">
      <c r="A341" s="2" t="str">
        <f ca="1">input_547100!A$2</f>
        <v>547100</v>
      </c>
      <c r="B341" s="88">
        <v>1244</v>
      </c>
      <c r="C341" s="7" t="str">
        <f t="shared" ref="C341:C342" si="24">D341&amp;J341&amp;E341&amp;F341&amp;G341</f>
        <v>PremiumSS5R5only</v>
      </c>
      <c r="D341" s="87" t="str">
        <f t="shared" ref="D341:D342" si="25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2">
        <f ca="1">IFERROR(VLOOKUP(B341,input_547100!L:R,7,FALSE),VLOOKUP(tables_547100!C341,input_547100!A:H,8,FALSE))</f>
        <v>1600</v>
      </c>
      <c r="P341" s="43">
        <f ca="1">O341/SUM(O:O)</f>
        <v>2.7777777777970668E-4</v>
      </c>
      <c r="Q341" s="29">
        <v>1</v>
      </c>
      <c r="R341" s="29">
        <v>0</v>
      </c>
      <c r="S341" s="29">
        <v>0</v>
      </c>
      <c r="T341" s="29">
        <v>0</v>
      </c>
      <c r="U341" s="29">
        <v>0</v>
      </c>
      <c r="V341" s="29">
        <v>1</v>
      </c>
    </row>
    <row r="342" spans="1:22" ht="21" customHeight="1" x14ac:dyDescent="0.15">
      <c r="A342" s="2" t="str">
        <f ca="1">input_547100!A$2</f>
        <v>547100</v>
      </c>
      <c r="B342" s="88">
        <v>1246</v>
      </c>
      <c r="C342" s="7" t="str">
        <f t="shared" si="24"/>
        <v>PremiumSS5R5only</v>
      </c>
      <c r="D342" s="87" t="str">
        <f t="shared" si="25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2">
        <f ca="1">IFERROR(VLOOKUP(B342,input_547100!L:R,7,FALSE),VLOOKUP(tables_547100!C342,input_547100!A:H,8,FALSE))</f>
        <v>1600</v>
      </c>
      <c r="P342" s="43">
        <f ca="1">O342/SUM(O:O)</f>
        <v>2.7777777777970668E-4</v>
      </c>
      <c r="Q342" s="29">
        <v>1</v>
      </c>
      <c r="R342" s="29">
        <v>0</v>
      </c>
      <c r="S342" s="29">
        <v>0</v>
      </c>
      <c r="T342" s="29">
        <v>0</v>
      </c>
      <c r="U342" s="29">
        <v>0</v>
      </c>
      <c r="V342" s="29">
        <v>1</v>
      </c>
    </row>
    <row r="343" spans="1:22" ht="21" customHeight="1" x14ac:dyDescent="0.15">
      <c r="A343" s="2" t="str">
        <f ca="1">input_547100!A$2</f>
        <v>547100</v>
      </c>
      <c r="B343" s="88">
        <v>1248</v>
      </c>
      <c r="C343" s="7" t="str">
        <f t="shared" ref="C343:C345" si="26">D343&amp;J343&amp;E343&amp;F343&amp;G343</f>
        <v>Premium4R3less</v>
      </c>
      <c r="D343" s="87" t="str">
        <f t="shared" ref="D343:D345" si="27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2">
        <f ca="1">IFERROR(VLOOKUP(B343,input_547100!L:R,7,FALSE),VLOOKUP(tables_547100!C343,input_547100!A:H,8,FALSE))</f>
        <v>42180</v>
      </c>
      <c r="P343" s="43">
        <f ca="1">O343/SUM(O:O)</f>
        <v>7.3229166667175168E-3</v>
      </c>
      <c r="Q343" s="29">
        <v>1</v>
      </c>
      <c r="R343" s="29">
        <v>0</v>
      </c>
      <c r="S343" s="29">
        <v>0</v>
      </c>
      <c r="T343" s="29">
        <v>0</v>
      </c>
      <c r="U343" s="29">
        <v>0</v>
      </c>
      <c r="V343" s="29">
        <v>1</v>
      </c>
    </row>
    <row r="344" spans="1:22" ht="21" customHeight="1" x14ac:dyDescent="0.15">
      <c r="A344" s="2" t="str">
        <f ca="1">input_547100!A$2</f>
        <v>547100</v>
      </c>
      <c r="B344" s="88">
        <v>1249</v>
      </c>
      <c r="C344" s="7" t="str">
        <f t="shared" si="26"/>
        <v>Premium5R3less</v>
      </c>
      <c r="D344" s="87" t="str">
        <f t="shared" si="2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2">
        <f ca="1">IFERROR(VLOOKUP(B344,input_547100!L:R,7,FALSE),VLOOKUP(tables_547100!C344,input_547100!A:H,8,FALSE))</f>
        <v>11400</v>
      </c>
      <c r="P344" s="43">
        <f ca="1">O344/SUM(O:O)</f>
        <v>1.9791666666804102E-3</v>
      </c>
      <c r="Q344" s="29">
        <v>1</v>
      </c>
      <c r="R344" s="29">
        <v>0</v>
      </c>
      <c r="S344" s="29">
        <v>0</v>
      </c>
      <c r="T344" s="29">
        <v>0</v>
      </c>
      <c r="U344" s="29">
        <v>0</v>
      </c>
      <c r="V344" s="29">
        <v>1</v>
      </c>
    </row>
    <row r="345" spans="1:22" ht="21" customHeight="1" x14ac:dyDescent="0.15">
      <c r="A345" s="2" t="str">
        <f ca="1">input_547100!A$2</f>
        <v>547100</v>
      </c>
      <c r="B345" s="88">
        <v>1250</v>
      </c>
      <c r="C345" s="7" t="str">
        <f t="shared" si="26"/>
        <v>PremiumSS5R5only</v>
      </c>
      <c r="D345" s="87" t="str">
        <f t="shared" si="2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2">
        <f ca="1">IFERROR(VLOOKUP(B345,input_547100!L:R,7,FALSE),VLOOKUP(tables_547100!C345,input_547100!A:H,8,FALSE))</f>
        <v>1600</v>
      </c>
      <c r="P345" s="43">
        <f ca="1">O345/SUM(O:O)</f>
        <v>2.7777777777970668E-4</v>
      </c>
      <c r="Q345" s="29">
        <v>1</v>
      </c>
      <c r="R345" s="29">
        <v>0</v>
      </c>
      <c r="S345" s="29">
        <v>0</v>
      </c>
      <c r="T345" s="29">
        <v>0</v>
      </c>
      <c r="U345" s="29">
        <v>0</v>
      </c>
      <c r="V345" s="29">
        <v>1</v>
      </c>
    </row>
    <row r="346" spans="1:22" ht="21" customHeight="1" x14ac:dyDescent="0.15">
      <c r="A346" s="2" t="str">
        <f ca="1">input_547100!A$2</f>
        <v>547100</v>
      </c>
      <c r="B346" s="91">
        <v>1260</v>
      </c>
      <c r="C346" s="7" t="str">
        <f t="shared" ref="C346" si="28">D346&amp;J346&amp;E346&amp;F346&amp;G346</f>
        <v>PremiumSS5R5only</v>
      </c>
      <c r="D346" s="87" t="str">
        <f t="shared" ref="D346" si="2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2">
        <f ca="1">IFERROR(VLOOKUP(B346,input_547100!L:R,7,FALSE),VLOOKUP(tables_547100!C346,input_547100!A:H,8,FALSE))</f>
        <v>1600</v>
      </c>
      <c r="P346" s="43">
        <f ca="1">O346/SUM(O:O)</f>
        <v>2.7777777777970668E-4</v>
      </c>
      <c r="Q346" s="29">
        <v>1</v>
      </c>
      <c r="R346" s="29">
        <v>0</v>
      </c>
      <c r="S346" s="29">
        <v>0</v>
      </c>
      <c r="T346" s="29">
        <v>0</v>
      </c>
      <c r="U346" s="29">
        <v>0</v>
      </c>
      <c r="V346" s="29">
        <v>1</v>
      </c>
    </row>
    <row r="347" spans="1:22" ht="21" customHeight="1" x14ac:dyDescent="0.15">
      <c r="A347" s="2" t="str">
        <f ca="1">input_547100!A$2</f>
        <v>547100</v>
      </c>
      <c r="B347" s="91">
        <v>1262</v>
      </c>
      <c r="C347" s="7" t="str">
        <f t="shared" ref="C347:C350" si="30">D347&amp;J347&amp;E347&amp;F347&amp;G347</f>
        <v>PremiumSS5R5only</v>
      </c>
      <c r="D347" s="87" t="str">
        <f t="shared" ref="D347:D350" si="31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2">
        <f ca="1">IFERROR(VLOOKUP(B347,input_547100!L:R,7,FALSE),VLOOKUP(tables_547100!C347,input_547100!A:H,8,FALSE))</f>
        <v>1600</v>
      </c>
      <c r="P347" s="43">
        <f ca="1">O347/SUM(O:O)</f>
        <v>2.7777777777970668E-4</v>
      </c>
      <c r="Q347" s="29">
        <v>1</v>
      </c>
      <c r="R347" s="29">
        <v>0</v>
      </c>
      <c r="S347" s="29">
        <v>0</v>
      </c>
      <c r="T347" s="29">
        <v>0</v>
      </c>
      <c r="U347" s="29">
        <v>0</v>
      </c>
      <c r="V347" s="29">
        <v>1</v>
      </c>
    </row>
    <row r="348" spans="1:22" ht="21" customHeight="1" x14ac:dyDescent="0.15">
      <c r="A348" s="2" t="str">
        <f ca="1">input_547100!A$2</f>
        <v>547100</v>
      </c>
      <c r="B348" s="91">
        <v>1264</v>
      </c>
      <c r="C348" s="7" t="str">
        <f t="shared" si="30"/>
        <v>PremiumSS5R5only</v>
      </c>
      <c r="D348" s="87" t="str">
        <f t="shared" si="31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2">
        <f ca="1">IFERROR(VLOOKUP(B348,input_547100!L:R,7,FALSE),VLOOKUP(tables_547100!C348,input_547100!A:H,8,FALSE))</f>
        <v>1600</v>
      </c>
      <c r="P348" s="43">
        <f ca="1">O348/SUM(O:O)</f>
        <v>2.7777777777970668E-4</v>
      </c>
      <c r="Q348" s="29">
        <v>1</v>
      </c>
      <c r="R348" s="29">
        <v>0</v>
      </c>
      <c r="S348" s="29">
        <v>0</v>
      </c>
      <c r="T348" s="29">
        <v>0</v>
      </c>
      <c r="U348" s="29">
        <v>0</v>
      </c>
      <c r="V348" s="29">
        <v>1</v>
      </c>
    </row>
    <row r="349" spans="1:22" ht="21" customHeight="1" x14ac:dyDescent="0.15">
      <c r="A349" s="2" t="str">
        <f ca="1">input_547100!A$2</f>
        <v>547100</v>
      </c>
      <c r="B349" s="91">
        <v>1266</v>
      </c>
      <c r="C349" s="7" t="str">
        <f t="shared" si="30"/>
        <v>Premium4R3less</v>
      </c>
      <c r="D349" s="87" t="str">
        <f t="shared" si="31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2">
        <f ca="1">IFERROR(VLOOKUP(B349,input_547100!L:R,7,FALSE),VLOOKUP(tables_547100!C349,input_547100!A:H,8,FALSE))</f>
        <v>42180</v>
      </c>
      <c r="P349" s="43">
        <f ca="1">O349/SUM(O:O)</f>
        <v>7.3229166667175168E-3</v>
      </c>
      <c r="Q349" s="29">
        <v>1</v>
      </c>
      <c r="R349" s="29">
        <v>0</v>
      </c>
      <c r="S349" s="29">
        <v>0</v>
      </c>
      <c r="T349" s="29">
        <v>0</v>
      </c>
      <c r="U349" s="29">
        <v>0</v>
      </c>
      <c r="V349" s="29">
        <v>1</v>
      </c>
    </row>
    <row r="350" spans="1:22" ht="21" customHeight="1" x14ac:dyDescent="0.15">
      <c r="A350" s="2" t="str">
        <f ca="1">input_547100!A$2</f>
        <v>547100</v>
      </c>
      <c r="B350" s="91">
        <v>1267</v>
      </c>
      <c r="C350" s="7" t="str">
        <f t="shared" si="30"/>
        <v>Premium5R3less</v>
      </c>
      <c r="D350" s="87" t="str">
        <f t="shared" si="31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2">
        <f ca="1">IFERROR(VLOOKUP(B350,input_547100!L:R,7,FALSE),VLOOKUP(tables_547100!C350,input_547100!A:H,8,FALSE))</f>
        <v>11400</v>
      </c>
      <c r="P350" s="43">
        <f ca="1">O350/SUM(O:O)</f>
        <v>1.9791666666804102E-3</v>
      </c>
      <c r="Q350" s="29">
        <v>1</v>
      </c>
      <c r="R350" s="29">
        <v>0</v>
      </c>
      <c r="S350" s="29">
        <v>0</v>
      </c>
      <c r="T350" s="29">
        <v>0</v>
      </c>
      <c r="U350" s="29">
        <v>0</v>
      </c>
      <c r="V350" s="29">
        <v>1</v>
      </c>
    </row>
    <row r="351" spans="1:22" ht="21" customHeight="1" x14ac:dyDescent="0.15">
      <c r="A351" s="2" t="str">
        <f ca="1">input_547100!A$2</f>
        <v>547100</v>
      </c>
      <c r="B351" s="91">
        <v>1332</v>
      </c>
      <c r="C351" s="7" t="str">
        <f t="shared" ref="C351:C353" si="32">D351&amp;J351&amp;E351&amp;F351&amp;G351</f>
        <v>PremiumSS5R5only</v>
      </c>
      <c r="D351" s="87" t="str">
        <f t="shared" ref="D351:D353" si="33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2">
        <f ca="1">IFERROR(VLOOKUP(B351,input_547100!L:R,7,FALSE),VLOOKUP(tables_547100!C351,input_547100!A:H,8,FALSE))</f>
        <v>1600</v>
      </c>
      <c r="P351" s="43">
        <f ca="1">O351/SUM(O:O)</f>
        <v>2.7777777777970668E-4</v>
      </c>
      <c r="Q351" s="29">
        <v>1</v>
      </c>
      <c r="R351" s="29">
        <v>0</v>
      </c>
      <c r="S351" s="29">
        <v>0</v>
      </c>
      <c r="T351" s="29">
        <v>0</v>
      </c>
      <c r="U351" s="29">
        <v>0</v>
      </c>
      <c r="V351" s="29">
        <v>1</v>
      </c>
    </row>
    <row r="352" spans="1:22" ht="21" customHeight="1" x14ac:dyDescent="0.15">
      <c r="A352" s="2" t="str">
        <f ca="1">input_547100!A$2</f>
        <v>547100</v>
      </c>
      <c r="B352" s="91">
        <v>1334</v>
      </c>
      <c r="C352" s="7" t="str">
        <f t="shared" si="32"/>
        <v>Premium4R3less</v>
      </c>
      <c r="D352" s="87" t="str">
        <f t="shared" si="33"/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タマヨリヒメ</v>
      </c>
      <c r="I352" s="7" t="str">
        <f>VLOOKUP(B352,[1]characters!$A:$J,10,FALSE)</f>
        <v>PremiumS</v>
      </c>
      <c r="J352" s="7">
        <f>VLOOKUP(B352,[1]characters!$A:$I,9,FALSE)</f>
        <v>4</v>
      </c>
      <c r="K352" s="7" t="str">
        <f>VLOOKUP(B352,[1]characters!$A:$H,8,FALSE)</f>
        <v>green</v>
      </c>
      <c r="L352" s="7" t="str">
        <f>VLOOKUP(B352,[1]characters!$A:$K,11,FALSE)</f>
        <v>heal</v>
      </c>
      <c r="M352" s="7" t="str">
        <f>VLOOKUP(B352,[1]characters!$A:$M,13,FALSE)</f>
        <v>god</v>
      </c>
      <c r="N352" s="7">
        <f>VLOOKUP(B352,[1]characters!$A:$G,7,FALSE)</f>
        <v>0</v>
      </c>
      <c r="O352" s="42">
        <f ca="1">IFERROR(VLOOKUP(B352,input_547100!L:R,7,FALSE),VLOOKUP(tables_547100!C352,input_547100!A:H,8,FALSE))</f>
        <v>42180</v>
      </c>
      <c r="P352" s="43">
        <f ca="1">O352/SUM(O:O)</f>
        <v>7.3229166667175168E-3</v>
      </c>
      <c r="Q352" s="29">
        <v>1</v>
      </c>
      <c r="R352" s="29">
        <v>0</v>
      </c>
      <c r="S352" s="29">
        <v>0</v>
      </c>
      <c r="T352" s="29">
        <v>0</v>
      </c>
      <c r="U352" s="29">
        <v>0</v>
      </c>
      <c r="V352" s="29">
        <v>1</v>
      </c>
    </row>
    <row r="353" spans="1:22" ht="21" customHeight="1" x14ac:dyDescent="0.15">
      <c r="A353" s="2" t="str">
        <f ca="1">input_547100!A$2</f>
        <v>547100</v>
      </c>
      <c r="B353" s="91">
        <v>1335</v>
      </c>
      <c r="C353" s="7" t="str">
        <f t="shared" si="32"/>
        <v>Premium5R3less</v>
      </c>
      <c r="D353" s="87" t="str">
        <f t="shared" si="33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霊司の神憑 タマヨリヒメ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heal</v>
      </c>
      <c r="M353" s="7" t="str">
        <f>VLOOKUP(B353,[1]characters!$A:$M,13,FALSE)</f>
        <v>god</v>
      </c>
      <c r="N353" s="7">
        <f>VLOOKUP(B353,[1]characters!$A:$G,7,FALSE)</f>
        <v>0</v>
      </c>
      <c r="O353" s="42">
        <f ca="1">IFERROR(VLOOKUP(B353,input_547100!L:R,7,FALSE),VLOOKUP(tables_547100!C353,input_547100!A:H,8,FALSE))</f>
        <v>11400</v>
      </c>
      <c r="P353" s="43">
        <f ca="1">O353/SUM(O:O)</f>
        <v>1.9791666666804102E-3</v>
      </c>
      <c r="Q353" s="29">
        <v>1</v>
      </c>
      <c r="R353" s="29">
        <v>0</v>
      </c>
      <c r="S353" s="29">
        <v>0</v>
      </c>
      <c r="T353" s="29">
        <v>0</v>
      </c>
      <c r="U353" s="29">
        <v>0</v>
      </c>
      <c r="V353" s="29">
        <v>1</v>
      </c>
    </row>
    <row r="354" spans="1:22" ht="21" customHeight="1" x14ac:dyDescent="0.15">
      <c r="A354" s="2" t="str">
        <f ca="1">input_547100!A$2</f>
        <v>547100</v>
      </c>
      <c r="B354" s="91">
        <v>1336</v>
      </c>
      <c r="C354" s="7" t="str">
        <f>D354&amp;J354&amp;E354&amp;F354&amp;G354</f>
        <v>PremiumSS5R5only</v>
      </c>
      <c r="D354" s="87" t="str">
        <f>IF(OR(I354="PremiumSS",I354="PremiumSSw"),"PremiumSS",IF(I354="PremiumSSS",I354,IF(I354="PremiumW",IF(J354=5,"premium",I354),"Premium")))</f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イザナギ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technical</v>
      </c>
      <c r="M354" s="7" t="str">
        <f>VLOOKUP(B354,[1]characters!$A:$M,13,FALSE)</f>
        <v>god</v>
      </c>
      <c r="N354" s="7">
        <f>VLOOKUP(B354,[1]characters!$A:$G,7,FALSE)</f>
        <v>0</v>
      </c>
      <c r="O354" s="42">
        <f ca="1">IFERROR(VLOOKUP(B354,input_547100!L:R,7,FALSE),VLOOKUP(tables_547100!C354,input_547100!A:H,8,FALSE))</f>
        <v>1600</v>
      </c>
      <c r="P354" s="43">
        <f ca="1">O354/SUM(O:O)</f>
        <v>2.7777777777970668E-4</v>
      </c>
      <c r="Q354" s="29">
        <v>1</v>
      </c>
      <c r="R354" s="29">
        <v>0</v>
      </c>
      <c r="S354" s="29">
        <v>0</v>
      </c>
      <c r="T354" s="29">
        <v>0</v>
      </c>
      <c r="U354" s="29">
        <v>0</v>
      </c>
      <c r="V354" s="29">
        <v>1</v>
      </c>
    </row>
    <row r="355" spans="1:22" ht="21" customHeight="1" x14ac:dyDescent="0.15">
      <c r="A355" s="2" t="str">
        <f ca="1">input_547100!A$2</f>
        <v>547100</v>
      </c>
      <c r="B355" s="91">
        <v>1338</v>
      </c>
      <c r="C355" s="7" t="str">
        <f>D355&amp;J355&amp;E355&amp;F355&amp;G355</f>
        <v>PremiumSS5R5only</v>
      </c>
      <c r="D355" s="87" t="str">
        <f>IF(OR(I355="PremiumSS",I355="PremiumSSw"),"PremiumSS",IF(I355="PremiumSSS",I355,IF(I355="PremiumW",IF(J355=5,"premium",I355),"Premium")))</f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アメノウズメ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attack</v>
      </c>
      <c r="M355" s="7" t="str">
        <f>VLOOKUP(B355,[1]characters!$A:$M,13,FALSE)</f>
        <v>god</v>
      </c>
      <c r="N355" s="7">
        <f>VLOOKUP(B355,[1]characters!$A:$G,7,FALSE)</f>
        <v>0</v>
      </c>
      <c r="O355" s="42">
        <f ca="1">IFERROR(VLOOKUP(B355,input_547100!L:R,7,FALSE),VLOOKUP(tables_547100!C355,input_547100!A:H,8,FALSE))</f>
        <v>1600</v>
      </c>
      <c r="P355" s="43">
        <f ca="1">O355/SUM(O:O)</f>
        <v>2.7777777777970668E-4</v>
      </c>
      <c r="Q355" s="29">
        <v>1</v>
      </c>
      <c r="R355" s="29">
        <v>0</v>
      </c>
      <c r="S355" s="29">
        <v>0</v>
      </c>
      <c r="T355" s="29">
        <v>0</v>
      </c>
      <c r="U355" s="29">
        <v>0</v>
      </c>
      <c r="V355" s="29">
        <v>1</v>
      </c>
    </row>
  </sheetData>
  <autoFilter ref="A1:V350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21"/>
  <sheetViews>
    <sheetView showGridLines="0" zoomScale="75" zoomScaleNormal="75" zoomScalePageLayoutView="75" workbookViewId="0">
      <pane ySplit="1" topLeftCell="A2" activePane="bottomLeft" state="frozen"/>
      <selection activeCell="P347" sqref="P347"/>
      <selection pane="bottomLeft" activeCell="V20" sqref="V2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76</v>
      </c>
      <c r="B1" s="14" t="s">
        <v>1</v>
      </c>
      <c r="C1" s="3" t="s">
        <v>23</v>
      </c>
      <c r="D1" s="3" t="s">
        <v>80</v>
      </c>
      <c r="E1" s="3" t="s">
        <v>173</v>
      </c>
      <c r="F1" s="3" t="s">
        <v>174</v>
      </c>
      <c r="G1" s="3" t="s">
        <v>87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50</v>
      </c>
      <c r="O1" s="14" t="s">
        <v>2</v>
      </c>
      <c r="P1" s="3" t="s">
        <v>55</v>
      </c>
      <c r="Q1" s="14" t="s">
        <v>30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>
        <v>547100</v>
      </c>
      <c r="B2" s="55">
        <v>838</v>
      </c>
      <c r="C2" s="7" t="str">
        <f t="shared" ref="C2" si="0">D2&amp;J2&amp;E2&amp;F2&amp;G2</f>
        <v>PremiumSS6R5only</v>
      </c>
      <c r="D2" s="7" t="str">
        <f t="shared" ref="D2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巌鋼の爆烈志士 近藤勇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42">
        <v>100</v>
      </c>
      <c r="P2" s="43">
        <f>O2/SUM(O:O)</f>
        <v>0.05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>
        <v>547100</v>
      </c>
      <c r="B3" s="55">
        <v>839</v>
      </c>
      <c r="C3" s="7" t="str">
        <f t="shared" ref="C3:C4" si="2">D3&amp;J3&amp;E3&amp;F3&amp;G3</f>
        <v>PremiumSS6R5only</v>
      </c>
      <c r="D3" s="7" t="str">
        <f t="shared" ref="D3:D4" si="3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真覇の勇魔剣 ランスロット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男性</v>
      </c>
      <c r="O3" s="42">
        <v>100</v>
      </c>
      <c r="P3" s="43">
        <f>O3/SUM(O:O)</f>
        <v>0.05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>
        <v>547100</v>
      </c>
      <c r="B4" s="55">
        <v>735</v>
      </c>
      <c r="C4" s="7" t="str">
        <f t="shared" si="2"/>
        <v>PremiumSS6R5only</v>
      </c>
      <c r="D4" s="7" t="str">
        <f t="shared" si="3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破天の隻眼 伊達政宗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2">
        <v>100</v>
      </c>
      <c r="P4" s="43">
        <f>O4/SUM(O:O)</f>
        <v>0.05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>
        <v>547100</v>
      </c>
      <c r="B5" s="1">
        <v>938</v>
      </c>
      <c r="C5" s="7" t="str">
        <f t="shared" ref="C5:C21" si="4">D5&amp;J5&amp;E5&amp;F5&amp;G5</f>
        <v>PremiumSS6R5only</v>
      </c>
      <c r="D5" s="7" t="str">
        <f t="shared" ref="D5:D21" si="5">IF(OR(I5="PremiumSS",I5="PremiumSSw"),"PremiumSS",IF(I5="PremiumSSS",I5,IF(I5="PremiumW",IF(J5=5,"premium",I5),"Premium")))</f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炎焔宿す革命皇 ナポレオン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red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男性</v>
      </c>
      <c r="O5" s="42">
        <v>100</v>
      </c>
      <c r="P5" s="43">
        <f t="shared" ref="P5:P21" si="6">O5/SUM(O:O)</f>
        <v>0.05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>
        <v>547100</v>
      </c>
      <c r="B6" s="1">
        <v>743</v>
      </c>
      <c r="C6" s="7" t="str">
        <f t="shared" si="4"/>
        <v>PremiumSS6R5only</v>
      </c>
      <c r="D6" s="7" t="str">
        <f t="shared" si="5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弩級の洸源 アポロン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red</v>
      </c>
      <c r="L6" s="7" t="str">
        <f>VLOOKUP(B6,[1]characters!$A:$K,11,FALSE)</f>
        <v>attack</v>
      </c>
      <c r="M6" s="7" t="str">
        <f>VLOOKUP(B6,[1]characters!$A:$M,13,FALSE)</f>
        <v>god</v>
      </c>
      <c r="N6" s="7" t="str">
        <f>VLOOKUP(B6,[1]characters!$A:$G,7,FALSE)</f>
        <v>男性</v>
      </c>
      <c r="O6" s="42">
        <v>100</v>
      </c>
      <c r="P6" s="43">
        <f t="shared" si="6"/>
        <v>0.05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>
        <v>547100</v>
      </c>
      <c r="B7" s="1">
        <v>1158</v>
      </c>
      <c r="C7" s="7" t="str">
        <f t="shared" si="4"/>
        <v>PremiumSS6R5only</v>
      </c>
      <c r="D7" s="7" t="str">
        <f t="shared" si="5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天英の雷霆神 インドラ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不明</v>
      </c>
      <c r="O7" s="42">
        <v>100</v>
      </c>
      <c r="P7" s="43">
        <f t="shared" si="6"/>
        <v>0.05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>
        <v>547100</v>
      </c>
      <c r="B8" s="1">
        <v>1251</v>
      </c>
      <c r="C8" s="7" t="str">
        <f t="shared" si="4"/>
        <v>PremiumSS6R5only</v>
      </c>
      <c r="D8" s="7" t="str">
        <f t="shared" si="5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錯槍の英勇 真田幸村</v>
      </c>
      <c r="I8" s="7" t="str">
        <f>VLOOKUP(B8,[1]characters!$A:$J,10,FALSE)</f>
        <v>PremiumSSw</v>
      </c>
      <c r="J8" s="7">
        <f>VLOOKUP(B8,[1]characters!$A:$I,9,FALSE)</f>
        <v>6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>
        <f>VLOOKUP(B8,[1]characters!$A:$G,7,FALSE)</f>
        <v>0</v>
      </c>
      <c r="O8" s="42">
        <v>100</v>
      </c>
      <c r="P8" s="43">
        <f t="shared" si="6"/>
        <v>0.05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>
        <v>547100</v>
      </c>
      <c r="B9" s="1">
        <v>1245</v>
      </c>
      <c r="C9" s="7" t="str">
        <f t="shared" si="4"/>
        <v>PremiumSS6R5only</v>
      </c>
      <c r="D9" s="7" t="str">
        <f t="shared" si="5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甲火の特殊忍 猿飛佐助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red</v>
      </c>
      <c r="L9" s="7" t="str">
        <f>VLOOKUP(B9,[1]characters!$A:$K,11,FALSE)</f>
        <v>attack</v>
      </c>
      <c r="M9" s="7" t="str">
        <f>VLOOKUP(B9,[1]characters!$A:$M,13,FALSE)</f>
        <v>human</v>
      </c>
      <c r="N9" s="7">
        <f>VLOOKUP(B9,[1]characters!$A:$G,7,FALSE)</f>
        <v>0</v>
      </c>
      <c r="O9" s="42">
        <v>100</v>
      </c>
      <c r="P9" s="43">
        <f t="shared" si="6"/>
        <v>0.05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>
        <v>547100</v>
      </c>
      <c r="B10" s="1">
        <v>963</v>
      </c>
      <c r="C10" s="7" t="str">
        <f t="shared" si="4"/>
        <v>PremiumSS6R5only</v>
      </c>
      <c r="D10" s="7" t="str">
        <f t="shared" si="5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天蛇の閃皇貴魔 アスタロト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yellow</v>
      </c>
      <c r="L10" s="7" t="str">
        <f>VLOOKUP(B10,[1]characters!$A:$K,11,FALSE)</f>
        <v>attack</v>
      </c>
      <c r="M10" s="7" t="str">
        <f>VLOOKUP(B10,[1]characters!$A:$M,13,FALSE)</f>
        <v>god</v>
      </c>
      <c r="N10" s="7" t="str">
        <f>VLOOKUP(B10,[1]characters!$A:$G,7,FALSE)</f>
        <v>男性</v>
      </c>
      <c r="O10" s="42">
        <v>100</v>
      </c>
      <c r="P10" s="43">
        <f t="shared" si="6"/>
        <v>0.05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>
        <v>547100</v>
      </c>
      <c r="B11" s="1">
        <v>968</v>
      </c>
      <c r="C11" s="7" t="str">
        <f t="shared" si="4"/>
        <v>PremiumSS6R5only</v>
      </c>
      <c r="D11" s="7" t="str">
        <f t="shared" si="5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夢謀の愚幻者 フール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blue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2">
        <v>100</v>
      </c>
      <c r="P11" s="43">
        <f t="shared" si="6"/>
        <v>0.05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>
        <v>547100</v>
      </c>
      <c r="B12" s="1">
        <v>823</v>
      </c>
      <c r="C12" s="7" t="str">
        <f t="shared" si="4"/>
        <v>PremiumSS6R5only</v>
      </c>
      <c r="D12" s="7" t="str">
        <f t="shared" si="5"/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跳鼠の睡奏楽 ハーメルン</v>
      </c>
      <c r="I12" s="7" t="str">
        <f>VLOOKUP(B12,[1]characters!$A:$J,10,FALSE)</f>
        <v>PremiumSS</v>
      </c>
      <c r="J12" s="7">
        <f>VLOOKUP(B12,[1]characters!$A:$I,9,FALSE)</f>
        <v>6</v>
      </c>
      <c r="K12" s="7" t="str">
        <f>VLOOKUP(B12,[1]characters!$A:$H,8,FALSE)</f>
        <v>green</v>
      </c>
      <c r="L12" s="7" t="str">
        <f>VLOOKUP(B12,[1]characters!$A:$K,11,FALSE)</f>
        <v>technical</v>
      </c>
      <c r="M12" s="7" t="str">
        <f>VLOOKUP(B12,[1]characters!$A:$M,13,FALSE)</f>
        <v>human</v>
      </c>
      <c r="N12" s="7" t="str">
        <f>VLOOKUP(B12,[1]characters!$A:$G,7,FALSE)</f>
        <v>男性</v>
      </c>
      <c r="O12" s="42">
        <v>100</v>
      </c>
      <c r="P12" s="43">
        <f t="shared" si="6"/>
        <v>0.05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>
        <v>547100</v>
      </c>
      <c r="B13" s="1">
        <v>944</v>
      </c>
      <c r="C13" s="7" t="str">
        <f t="shared" si="4"/>
        <v>PremiumSS6R5only</v>
      </c>
      <c r="D13" s="7" t="str">
        <f t="shared" si="5"/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王敬の執行者 サンソン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yellow</v>
      </c>
      <c r="L13" s="7" t="str">
        <f>VLOOKUP(B13,[1]characters!$A:$K,11,FALSE)</f>
        <v>attack</v>
      </c>
      <c r="M13" s="7" t="str">
        <f>VLOOKUP(B13,[1]characters!$A:$M,13,FALSE)</f>
        <v>human</v>
      </c>
      <c r="N13" s="7" t="str">
        <f>VLOOKUP(B13,[1]characters!$A:$G,7,FALSE)</f>
        <v>男性</v>
      </c>
      <c r="O13" s="42">
        <v>100</v>
      </c>
      <c r="P13" s="43">
        <f t="shared" si="6"/>
        <v>0.05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>
        <v>547100</v>
      </c>
      <c r="B14" s="1">
        <v>1013</v>
      </c>
      <c r="C14" s="7" t="str">
        <f t="shared" si="4"/>
        <v>PremiumSS6R5only</v>
      </c>
      <c r="D14" s="7" t="str">
        <f t="shared" si="5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聖陽昇る緋洸神 ラー</v>
      </c>
      <c r="I14" s="7" t="str">
        <f>VLOOKUP(B14,[1]characters!$A:$J,10,FALSE)</f>
        <v>PremiumSS</v>
      </c>
      <c r="J14" s="7">
        <f>VLOOKUP(B14,[1]characters!$A:$I,9,FALSE)</f>
        <v>6</v>
      </c>
      <c r="K14" s="7" t="str">
        <f>VLOOKUP(B14,[1]characters!$A:$H,8,FALSE)</f>
        <v>red</v>
      </c>
      <c r="L14" s="7" t="str">
        <f>VLOOKUP(B14,[1]characters!$A:$K,11,FALSE)</f>
        <v>balance</v>
      </c>
      <c r="M14" s="7" t="str">
        <f>VLOOKUP(B14,[1]characters!$A:$M,13,FALSE)</f>
        <v>god</v>
      </c>
      <c r="N14" s="7" t="str">
        <f>VLOOKUP(B14,[1]characters!$A:$G,7,FALSE)</f>
        <v>男性</v>
      </c>
      <c r="O14" s="42">
        <v>100</v>
      </c>
      <c r="P14" s="43">
        <f t="shared" si="6"/>
        <v>0.05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>
        <v>547100</v>
      </c>
      <c r="B15" s="1">
        <v>1029</v>
      </c>
      <c r="C15" s="7" t="str">
        <f t="shared" si="4"/>
        <v>PremiumSS6R5only</v>
      </c>
      <c r="D15" s="7" t="str">
        <f t="shared" si="5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天賦の軍才 牛若丸</v>
      </c>
      <c r="I15" s="7" t="str">
        <f>VLOOKUP(B15,[1]characters!$A:$J,10,FALSE)</f>
        <v>PremiumSS</v>
      </c>
      <c r="J15" s="7">
        <f>VLOOKUP(B15,[1]characters!$A:$I,9,FALSE)</f>
        <v>6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男性</v>
      </c>
      <c r="O15" s="42">
        <v>100</v>
      </c>
      <c r="P15" s="43">
        <f t="shared" si="6"/>
        <v>0.05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>
        <v>547100</v>
      </c>
      <c r="B16" s="1">
        <v>1213</v>
      </c>
      <c r="C16" s="7" t="str">
        <f t="shared" si="4"/>
        <v>PremiumSS6R5only</v>
      </c>
      <c r="D16" s="7" t="str">
        <f t="shared" si="5"/>
        <v>PremiumSS</v>
      </c>
      <c r="E16" s="7" t="str">
        <f>IF(COUNTIF('R6追加前'!A:A,B16)=0,IF(OR(I16="PremiumSS",I16="PremiumSSw"),"R5only","R3less"),"")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能洪の永地神 クロノス</v>
      </c>
      <c r="I16" s="7" t="str">
        <f>VLOOKUP(B16,[1]characters!$A:$J,10,FALSE)</f>
        <v>PremiumSS</v>
      </c>
      <c r="J16" s="7">
        <f>VLOOKUP(B16,[1]characters!$A:$I,9,FALSE)</f>
        <v>6</v>
      </c>
      <c r="K16" s="7" t="str">
        <f>VLOOKUP(B16,[1]characters!$A:$H,8,FALSE)</f>
        <v>blue</v>
      </c>
      <c r="L16" s="7" t="str">
        <f>VLOOKUP(B16,[1]characters!$A:$K,11,FALSE)</f>
        <v>technical</v>
      </c>
      <c r="M16" s="7" t="str">
        <f>VLOOKUP(B16,[1]characters!$A:$M,13,FALSE)</f>
        <v>god</v>
      </c>
      <c r="N16" s="7">
        <f>VLOOKUP(B16,[1]characters!$A:$G,7,FALSE)</f>
        <v>0</v>
      </c>
      <c r="O16" s="42">
        <v>100</v>
      </c>
      <c r="P16" s="43">
        <f t="shared" si="6"/>
        <v>0.05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>
        <v>547100</v>
      </c>
      <c r="B17" s="1">
        <v>1138</v>
      </c>
      <c r="C17" s="7" t="str">
        <f t="shared" si="4"/>
        <v>PremiumSS6R5only</v>
      </c>
      <c r="D17" s="7" t="str">
        <f t="shared" si="5"/>
        <v>PremiumSS</v>
      </c>
      <c r="E17" s="7" t="str">
        <f>IF(COUNTIF('R6追加前'!A:A,B17)=0,IF(OR(I17="PremiumSS",I17="PremiumSSw"),"R5only","R3less"),"")</f>
        <v>R5only</v>
      </c>
      <c r="F17" s="7" t="str">
        <f>IF(COUNTIF('R6開放'!A:A,B17)&gt;0,"R6release","")</f>
        <v/>
      </c>
      <c r="G17" s="7"/>
      <c r="H17" s="7" t="str">
        <f>VLOOKUP(B17,[1]characters!$A:$C,3,FALSE)</f>
        <v>神算鬼謀の宰相 諸葛亮</v>
      </c>
      <c r="I17" s="7" t="str">
        <f>VLOOKUP(B17,[1]characters!$A:$J,10,FALSE)</f>
        <v>PremiumSSw</v>
      </c>
      <c r="J17" s="7">
        <f>VLOOKUP(B17,[1]characters!$A:$I,9,FALSE)</f>
        <v>6</v>
      </c>
      <c r="K17" s="7" t="str">
        <f>VLOOKUP(B17,[1]characters!$A:$H,8,FALSE)</f>
        <v>red</v>
      </c>
      <c r="L17" s="7" t="str">
        <f>VLOOKUP(B17,[1]characters!$A:$K,11,FALSE)</f>
        <v>technical</v>
      </c>
      <c r="M17" s="7" t="str">
        <f>VLOOKUP(B17,[1]characters!$A:$M,13,FALSE)</f>
        <v>samurai</v>
      </c>
      <c r="N17" s="7" t="str">
        <f>VLOOKUP(B17,[1]characters!$A:$G,7,FALSE)</f>
        <v>不明</v>
      </c>
      <c r="O17" s="42">
        <v>100</v>
      </c>
      <c r="P17" s="43">
        <f t="shared" si="6"/>
        <v>0.05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>
        <v>547100</v>
      </c>
      <c r="B18" s="1">
        <v>1229</v>
      </c>
      <c r="C18" s="7" t="str">
        <f t="shared" si="4"/>
        <v>PremiumSS6R5only</v>
      </c>
      <c r="D18" s="7" t="str">
        <f t="shared" si="5"/>
        <v>PremiumSS</v>
      </c>
      <c r="E18" s="7" t="str">
        <f>IF(COUNTIF('R6追加前'!A:A,B18)=0,IF(OR(I18="PremiumSS",I18="PremiumSSw"),"R5only","R3less"),"")</f>
        <v>R5only</v>
      </c>
      <c r="F18" s="7" t="str">
        <f>IF(COUNTIF('R6開放'!A:A,B18)&gt;0,"R6release","")</f>
        <v/>
      </c>
      <c r="G18" s="7"/>
      <c r="H18" s="7" t="str">
        <f>VLOOKUP(B18,[1]characters!$A:$C,3,FALSE)</f>
        <v>羅生の鬼我 芥川龍之介</v>
      </c>
      <c r="I18" s="7" t="str">
        <f>VLOOKUP(B18,[1]characters!$A:$J,10,FALSE)</f>
        <v>PremiumSSw</v>
      </c>
      <c r="J18" s="7">
        <f>VLOOKUP(B18,[1]characters!$A:$I,9,FALSE)</f>
        <v>6</v>
      </c>
      <c r="K18" s="7" t="str">
        <f>VLOOKUP(B18,[1]characters!$A:$H,8,FALSE)</f>
        <v>blue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>
        <f>VLOOKUP(B18,[1]characters!$A:$G,7,FALSE)</f>
        <v>0</v>
      </c>
      <c r="O18" s="42">
        <v>100</v>
      </c>
      <c r="P18" s="43">
        <f t="shared" si="6"/>
        <v>0.05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ht="21" customHeight="1" x14ac:dyDescent="0.15">
      <c r="A19" s="2">
        <v>547100</v>
      </c>
      <c r="B19" s="1">
        <v>1101</v>
      </c>
      <c r="C19" s="7" t="str">
        <f t="shared" si="4"/>
        <v>PremiumSS6R5only</v>
      </c>
      <c r="D19" s="7" t="str">
        <f t="shared" si="5"/>
        <v>PremiumSS</v>
      </c>
      <c r="E19" s="7" t="str">
        <f>IF(COUNTIF('R6追加前'!A:A,B19)=0,IF(OR(I19="PremiumSS",I19="PremiumSSw"),"R5only","R3less"),"")</f>
        <v>R5only</v>
      </c>
      <c r="F19" s="7" t="str">
        <f>IF(COUNTIF('R6開放'!A:A,B19)&gt;0,"R6release","")</f>
        <v/>
      </c>
      <c r="G19" s="7"/>
      <c r="H19" s="7" t="str">
        <f>VLOOKUP(B19,[1]characters!$A:$C,3,FALSE)</f>
        <v>浮世万物の筆刻者 北斎</v>
      </c>
      <c r="I19" s="7" t="str">
        <f>VLOOKUP(B19,[1]characters!$A:$J,10,FALSE)</f>
        <v>PremiumSS</v>
      </c>
      <c r="J19" s="7">
        <f>VLOOKUP(B19,[1]characters!$A:$I,9,FALSE)</f>
        <v>6</v>
      </c>
      <c r="K19" s="7" t="str">
        <f>VLOOKUP(B19,[1]characters!$A:$H,8,FALSE)</f>
        <v>red</v>
      </c>
      <c r="L19" s="7" t="str">
        <f>VLOOKUP(B19,[1]characters!$A:$K,11,FALSE)</f>
        <v>attack</v>
      </c>
      <c r="M19" s="7" t="str">
        <f>VLOOKUP(B19,[1]characters!$A:$M,13,FALSE)</f>
        <v>human</v>
      </c>
      <c r="N19" s="7" t="str">
        <f>VLOOKUP(B19,[1]characters!$A:$G,7,FALSE)</f>
        <v>不明</v>
      </c>
      <c r="O19" s="42">
        <v>100</v>
      </c>
      <c r="P19" s="43">
        <f t="shared" si="6"/>
        <v>0.05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>
        <v>547100</v>
      </c>
      <c r="B20" s="1">
        <v>1140</v>
      </c>
      <c r="C20" s="7" t="str">
        <f t="shared" si="4"/>
        <v>PremiumSS6R5only</v>
      </c>
      <c r="D20" s="7" t="str">
        <f t="shared" si="5"/>
        <v>PremiumSS</v>
      </c>
      <c r="E20" s="7" t="str">
        <f>IF(COUNTIF('R6追加前'!A:A,B20)=0,IF(OR(I20="PremiumSS",I20="PremiumSSw"),"R5only","R3less"),"")</f>
        <v>R5only</v>
      </c>
      <c r="F20" s="7" t="str">
        <f>IF(COUNTIF('R6開放'!A:A,B20)&gt;0,"R6release","")</f>
        <v/>
      </c>
      <c r="G20" s="7"/>
      <c r="H20" s="7" t="str">
        <f>VLOOKUP(B20,[1]characters!$A:$C,3,FALSE)</f>
        <v>綱紀粛正の傑璧 趙雲</v>
      </c>
      <c r="I20" s="7" t="str">
        <f>VLOOKUP(B20,[1]characters!$A:$J,10,FALSE)</f>
        <v>PremiumSS</v>
      </c>
      <c r="J20" s="7">
        <f>VLOOKUP(B20,[1]characters!$A:$I,9,FALSE)</f>
        <v>6</v>
      </c>
      <c r="K20" s="7" t="str">
        <f>VLOOKUP(B20,[1]characters!$A:$H,8,FALSE)</f>
        <v>green</v>
      </c>
      <c r="L20" s="7" t="str">
        <f>VLOOKUP(B20,[1]characters!$A:$K,11,FALSE)</f>
        <v>balance</v>
      </c>
      <c r="M20" s="7" t="str">
        <f>VLOOKUP(B20,[1]characters!$A:$M,13,FALSE)</f>
        <v>samurai</v>
      </c>
      <c r="N20" s="7" t="str">
        <f>VLOOKUP(B20,[1]characters!$A:$G,7,FALSE)</f>
        <v>不明</v>
      </c>
      <c r="O20" s="42">
        <v>100</v>
      </c>
      <c r="P20" s="43">
        <f t="shared" si="6"/>
        <v>0.05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>
        <v>547100</v>
      </c>
      <c r="B21" s="1">
        <v>830</v>
      </c>
      <c r="C21" s="7" t="str">
        <f t="shared" si="4"/>
        <v>PremiumSS6R5only</v>
      </c>
      <c r="D21" s="7" t="str">
        <f t="shared" si="5"/>
        <v>PremiumSS</v>
      </c>
      <c r="E21" s="7" t="str">
        <f>IF(COUNTIF('R6追加前'!A:A,B21)=0,IF(OR(I21="PremiumSS",I21="PremiumSSw"),"R5only","R3less"),"")</f>
        <v>R5only</v>
      </c>
      <c r="F21" s="7" t="str">
        <f>IF(COUNTIF('R6開放'!A:A,B21)&gt;0,"R6release","")</f>
        <v/>
      </c>
      <c r="G21" s="7"/>
      <c r="H21" s="7" t="str">
        <f>VLOOKUP(B21,[1]characters!$A:$C,3,FALSE)</f>
        <v>清兆の天狗礫 フウガ</v>
      </c>
      <c r="I21" s="7" t="str">
        <f>VLOOKUP(B21,[1]characters!$A:$J,10,FALSE)</f>
        <v>PremiumSS</v>
      </c>
      <c r="J21" s="7">
        <f>VLOOKUP(B21,[1]characters!$A:$I,9,FALSE)</f>
        <v>6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unknown</v>
      </c>
      <c r="N21" s="7" t="str">
        <f>VLOOKUP(B21,[1]characters!$A:$G,7,FALSE)</f>
        <v>男性</v>
      </c>
      <c r="O21" s="42">
        <v>100</v>
      </c>
      <c r="P21" s="43">
        <f t="shared" si="6"/>
        <v>0.05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5">
        <v>668</v>
      </c>
      <c r="B246" s="7" t="str">
        <f>VLOOKUP(A246,[1]characters!$A:$C,3,FALSE)</f>
        <v>アグニ</v>
      </c>
    </row>
    <row r="247" spans="1:2" x14ac:dyDescent="0.15">
      <c r="A247" s="55">
        <v>669</v>
      </c>
      <c r="B247" s="7" t="str">
        <f>VLOOKUP(A247,[1]characters!$A:$C,3,FALSE)</f>
        <v>天地の仲界 アグニ</v>
      </c>
    </row>
    <row r="248" spans="1:2" x14ac:dyDescent="0.15">
      <c r="A248" s="55">
        <v>670</v>
      </c>
      <c r="B248" s="7" t="str">
        <f>VLOOKUP(A248,[1]characters!$A:$C,3,FALSE)</f>
        <v>陽天の噴煙 アグニ</v>
      </c>
    </row>
    <row r="249" spans="1:2" x14ac:dyDescent="0.15">
      <c r="A249" s="55">
        <v>671</v>
      </c>
      <c r="B249" s="7" t="str">
        <f>VLOOKUP(A249,[1]characters!$A:$C,3,FALSE)</f>
        <v>ハヌマーン</v>
      </c>
    </row>
    <row r="250" spans="1:2" x14ac:dyDescent="0.15">
      <c r="A250" s="55">
        <v>672</v>
      </c>
      <c r="B250" s="7" t="str">
        <f>VLOOKUP(A250,[1]characters!$A:$C,3,FALSE)</f>
        <v>西遊韋駄天 ハヌマーン</v>
      </c>
    </row>
    <row r="251" spans="1:2" x14ac:dyDescent="0.15">
      <c r="A251" s="55">
        <v>673</v>
      </c>
      <c r="B251" s="7" t="str">
        <f>VLOOKUP(A251,[1]characters!$A:$C,3,FALSE)</f>
        <v>変幻自在の猿王 ハヌマーン</v>
      </c>
    </row>
    <row r="252" spans="1:2" x14ac:dyDescent="0.15">
      <c r="A252" s="55">
        <v>674</v>
      </c>
      <c r="B252" s="7" t="str">
        <f>VLOOKUP(A252,[1]characters!$A:$C,3,FALSE)</f>
        <v>サラスヴァティ</v>
      </c>
    </row>
    <row r="253" spans="1:2" x14ac:dyDescent="0.15">
      <c r="A253" s="55">
        <v>675</v>
      </c>
      <c r="B253" s="7" t="str">
        <f>VLOOKUP(A253,[1]characters!$A:$C,3,FALSE)</f>
        <v>芸楽の奔流 サラスヴァティ</v>
      </c>
    </row>
    <row r="254" spans="1:2" x14ac:dyDescent="0.15">
      <c r="A254" s="55">
        <v>676</v>
      </c>
      <c r="B254" s="7" t="str">
        <f>VLOOKUP(A254,[1]characters!$A:$C,3,FALSE)</f>
        <v>ヴィシュヌ</v>
      </c>
    </row>
    <row r="255" spans="1:2" x14ac:dyDescent="0.15">
      <c r="A255" s="55">
        <v>677</v>
      </c>
      <c r="B255" s="7" t="str">
        <f>VLOOKUP(A255,[1]characters!$A:$C,3,FALSE)</f>
        <v>武遊闊歩 ヴィシュヌ</v>
      </c>
    </row>
    <row r="256" spans="1:2" x14ac:dyDescent="0.15">
      <c r="A256" s="55">
        <v>770</v>
      </c>
      <c r="B256" s="7" t="str">
        <f>VLOOKUP(A256,[1]characters!$A:$C,3,FALSE)</f>
        <v>ハヅル</v>
      </c>
    </row>
    <row r="257" spans="1:2" x14ac:dyDescent="0.15">
      <c r="A257" s="55">
        <v>771</v>
      </c>
      <c r="B257" s="7" t="str">
        <f>VLOOKUP(A257,[1]characters!$A:$C,3,FALSE)</f>
        <v>天織羽鶴 ハヅル</v>
      </c>
    </row>
    <row r="258" spans="1:2" x14ac:dyDescent="0.15">
      <c r="A258" s="55">
        <v>772</v>
      </c>
      <c r="B258" s="7" t="str">
        <f>VLOOKUP(A258,[1]characters!$A:$C,3,FALSE)</f>
        <v>イナバ</v>
      </c>
    </row>
    <row r="259" spans="1:2" x14ac:dyDescent="0.15">
      <c r="A259" s="55">
        <v>773</v>
      </c>
      <c r="B259" s="7" t="str">
        <f>VLOOKUP(A259,[1]characters!$A:$C,3,FALSE)</f>
        <v>浮跳天兎 イナバ</v>
      </c>
    </row>
    <row r="260" spans="1:2" x14ac:dyDescent="0.15">
      <c r="A260" s="55">
        <v>774</v>
      </c>
      <c r="B260" s="7" t="str">
        <f>VLOOKUP(A260,[1]characters!$A:$C,3,FALSE)</f>
        <v>ミズチ</v>
      </c>
    </row>
    <row r="261" spans="1:2" x14ac:dyDescent="0.15">
      <c r="A261" s="55">
        <v>775</v>
      </c>
      <c r="B261" s="7" t="str">
        <f>VLOOKUP(A261,[1]characters!$A:$C,3,FALSE)</f>
        <v>水底霊竜 ミズチ</v>
      </c>
    </row>
    <row r="262" spans="1:2" x14ac:dyDescent="0.15">
      <c r="A262" s="55">
        <v>776</v>
      </c>
      <c r="B262" s="7" t="str">
        <f>VLOOKUP(A262,[1]characters!$A:$C,3,FALSE)</f>
        <v>水竜底主 ミズチ</v>
      </c>
    </row>
    <row r="263" spans="1:2" x14ac:dyDescent="0.15">
      <c r="A263" s="55">
        <v>777</v>
      </c>
      <c r="B263" s="7" t="str">
        <f>VLOOKUP(A263,[1]characters!$A:$C,3,FALSE)</f>
        <v>ガメック</v>
      </c>
    </row>
    <row r="264" spans="1:2" x14ac:dyDescent="0.15">
      <c r="A264" s="55">
        <v>778</v>
      </c>
      <c r="B264" s="7" t="str">
        <f>VLOOKUP(A264,[1]characters!$A:$C,3,FALSE)</f>
        <v>一亀懸明 ガメック</v>
      </c>
    </row>
    <row r="265" spans="1:2" x14ac:dyDescent="0.15">
      <c r="A265" s="55">
        <v>779</v>
      </c>
      <c r="B265" s="7" t="str">
        <f>VLOOKUP(A265,[1]characters!$A:$C,3,FALSE)</f>
        <v>頑堅咬亀 ガメック</v>
      </c>
    </row>
    <row r="266" spans="1:2" x14ac:dyDescent="0.15">
      <c r="A266" s="55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7" t="s">
        <v>53</v>
      </c>
      <c r="B1" s="37"/>
    </row>
    <row r="2" spans="1:2" x14ac:dyDescent="0.15">
      <c r="A2" s="32" t="s">
        <v>1</v>
      </c>
      <c r="B2" s="36" t="s">
        <v>57</v>
      </c>
    </row>
    <row r="3" spans="1:2" x14ac:dyDescent="0.15">
      <c r="A3" s="6">
        <v>166</v>
      </c>
      <c r="B3" s="36" t="str">
        <f>VLOOKUP(A3,[1]characters!$A:$C,3,FALSE)</f>
        <v>ベリアル</v>
      </c>
    </row>
    <row r="4" spans="1:2" x14ac:dyDescent="0.15">
      <c r="A4" s="6">
        <v>167</v>
      </c>
      <c r="B4" s="36" t="str">
        <f>VLOOKUP(A4,[1]characters!$A:$C,3,FALSE)</f>
        <v>逆徒 ベリアル</v>
      </c>
    </row>
    <row r="5" spans="1:2" x14ac:dyDescent="0.15">
      <c r="A5" s="6">
        <v>168</v>
      </c>
      <c r="B5" s="36" t="str">
        <f>VLOOKUP(A5,[1]characters!$A:$C,3,FALSE)</f>
        <v>猛進の大逆者 ベリアル</v>
      </c>
    </row>
    <row r="6" spans="1:2" x14ac:dyDescent="0.15">
      <c r="A6" s="32">
        <v>169</v>
      </c>
      <c r="B6" s="36" t="str">
        <f>VLOOKUP(A6,[1]characters!$A:$C,3,FALSE)</f>
        <v>オセ</v>
      </c>
    </row>
    <row r="7" spans="1:2" x14ac:dyDescent="0.15">
      <c r="A7" s="32">
        <v>170</v>
      </c>
      <c r="B7" s="36" t="str">
        <f>VLOOKUP(A7,[1]characters!$A:$C,3,FALSE)</f>
        <v>識徒 オセ</v>
      </c>
    </row>
    <row r="8" spans="1:2" x14ac:dyDescent="0.15">
      <c r="A8" s="32">
        <v>171</v>
      </c>
      <c r="B8" s="36" t="str">
        <f>VLOOKUP(A8,[1]characters!$A:$C,3,FALSE)</f>
        <v>精解の預知者 オセ</v>
      </c>
    </row>
    <row r="9" spans="1:2" x14ac:dyDescent="0.15">
      <c r="A9" s="32">
        <v>172</v>
      </c>
      <c r="B9" s="36" t="str">
        <f>VLOOKUP(A9,[1]characters!$A:$C,3,FALSE)</f>
        <v>フォルネウス</v>
      </c>
    </row>
    <row r="10" spans="1:2" x14ac:dyDescent="0.15">
      <c r="A10" s="32">
        <v>173</v>
      </c>
      <c r="B10" s="36" t="str">
        <f>VLOOKUP(A10,[1]characters!$A:$C,3,FALSE)</f>
        <v>公爵 フォルネウス</v>
      </c>
    </row>
    <row r="11" spans="1:2" x14ac:dyDescent="0.15">
      <c r="A11" s="32">
        <v>174</v>
      </c>
      <c r="B11" s="36" t="str">
        <f>VLOOKUP(A11,[1]characters!$A:$C,3,FALSE)</f>
        <v>偽愛の大公爵 フォルネウス</v>
      </c>
    </row>
    <row r="12" spans="1:2" x14ac:dyDescent="0.15">
      <c r="A12" s="32">
        <v>235</v>
      </c>
      <c r="B12" s="36" t="str">
        <f>VLOOKUP(A12,[1]characters!$A:$C,3,FALSE)</f>
        <v>イザナミ</v>
      </c>
    </row>
    <row r="13" spans="1:2" x14ac:dyDescent="0.15">
      <c r="A13" s="32">
        <v>236</v>
      </c>
      <c r="B13" s="36" t="str">
        <f>VLOOKUP(A13,[1]characters!$A:$C,3,FALSE)</f>
        <v>神産 イザナミ</v>
      </c>
    </row>
    <row r="14" spans="1:2" x14ac:dyDescent="0.15">
      <c r="A14" s="32">
        <v>237</v>
      </c>
      <c r="B14" s="36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input_547100</vt:lpstr>
      <vt:lpstr>tables_547100</vt:lpstr>
      <vt:lpstr>tables_settle_547100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2017-03-06T13:21:32Z</dcterms:modified>
</cp:coreProperties>
</file>