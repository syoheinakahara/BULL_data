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080" yWindow="780" windowWidth="27700" windowHeight="159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7" i="57" l="1"/>
  <c r="E7" i="57"/>
  <c r="B7" i="57"/>
  <c r="F6" i="57"/>
  <c r="E6" i="57"/>
  <c r="B6" i="57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G4" i="58"/>
  <c r="U4" i="58"/>
  <c r="S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E28" i="54"/>
  <c r="D28" i="54"/>
  <c r="B28" i="54"/>
  <c r="E27" i="54"/>
  <c r="D27" i="54"/>
  <c r="B27" i="54"/>
  <c r="E26" i="54"/>
  <c r="D26" i="54"/>
  <c r="B26" i="54"/>
  <c r="E25" i="54"/>
  <c r="D25" i="54"/>
  <c r="B25" i="54"/>
  <c r="E24" i="54"/>
  <c r="D24" i="54"/>
  <c r="B24" i="54"/>
  <c r="E23" i="54"/>
  <c r="D23" i="54"/>
  <c r="B23" i="54"/>
  <c r="E22" i="54"/>
  <c r="D22" i="54"/>
  <c r="B22" i="54"/>
  <c r="E21" i="54"/>
  <c r="D21" i="54"/>
  <c r="B21" i="54"/>
  <c r="E20" i="54"/>
  <c r="D20" i="54"/>
  <c r="B20" i="54"/>
  <c r="H7" i="53"/>
  <c r="G7" i="53"/>
  <c r="E7" i="53"/>
  <c r="H6" i="53"/>
  <c r="G6" i="53"/>
  <c r="E6" i="53"/>
  <c r="K7" i="52"/>
  <c r="J7" i="52"/>
  <c r="H7" i="52"/>
  <c r="E7" i="52"/>
  <c r="K6" i="52"/>
  <c r="J6" i="52"/>
  <c r="H6" i="52"/>
  <c r="E6" i="52"/>
  <c r="H7" i="23"/>
  <c r="BR7" i="23"/>
  <c r="G7" i="23"/>
  <c r="BC7" i="23"/>
  <c r="BD7" i="23"/>
  <c r="Q7" i="23"/>
  <c r="V7" i="23"/>
  <c r="W7" i="23"/>
  <c r="AD7" i="23"/>
  <c r="I7" i="23"/>
  <c r="M7" i="23"/>
  <c r="BN7" i="23"/>
  <c r="U7" i="23"/>
  <c r="AC7" i="23"/>
  <c r="L7" i="23"/>
  <c r="BM7" i="23"/>
  <c r="T7" i="23"/>
  <c r="AB7" i="23"/>
  <c r="K7" i="23"/>
  <c r="BL7" i="23"/>
  <c r="S7" i="23"/>
  <c r="AA7" i="23"/>
  <c r="J7" i="23"/>
  <c r="BK7" i="23"/>
  <c r="H4" i="23"/>
  <c r="G4" i="23"/>
  <c r="BC4" i="23"/>
  <c r="H6" i="23"/>
  <c r="G6" i="23"/>
  <c r="BC6" i="23"/>
  <c r="BE7" i="23"/>
  <c r="BJ7" i="23"/>
  <c r="BI7" i="23"/>
  <c r="BH7" i="23"/>
  <c r="BG7" i="23"/>
  <c r="I4" i="23"/>
  <c r="J4" i="23"/>
  <c r="I6" i="23"/>
  <c r="J6" i="23"/>
  <c r="BF7" i="23"/>
  <c r="AX7" i="23"/>
  <c r="AW7" i="23"/>
  <c r="AV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G8" i="13"/>
  <c r="G3" i="13"/>
  <c r="G4" i="13"/>
  <c r="N7" i="23"/>
  <c r="F7" i="23"/>
  <c r="E7" i="23"/>
  <c r="D7" i="23"/>
  <c r="C7" i="23"/>
  <c r="B7" i="23"/>
  <c r="BR6" i="23"/>
  <c r="BD6" i="23"/>
  <c r="Q6" i="23"/>
  <c r="V6" i="23"/>
  <c r="W6" i="23"/>
  <c r="AD6" i="23"/>
  <c r="M6" i="23"/>
  <c r="BN6" i="23"/>
  <c r="U6" i="23"/>
  <c r="AC6" i="23"/>
  <c r="L6" i="23"/>
  <c r="BM6" i="23"/>
  <c r="T6" i="23"/>
  <c r="AB6" i="23"/>
  <c r="K6" i="23"/>
  <c r="BL6" i="23"/>
  <c r="S6" i="23"/>
  <c r="AA6" i="23"/>
  <c r="BK6" i="23"/>
  <c r="BE6" i="23"/>
  <c r="BJ6" i="23"/>
  <c r="BI6" i="23"/>
  <c r="BH6" i="23"/>
  <c r="BG6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B6" i="23"/>
  <c r="F5" i="57"/>
  <c r="E5" i="57"/>
  <c r="B5" i="57"/>
  <c r="F4" i="57"/>
  <c r="E4" i="57"/>
  <c r="B4" i="57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H5" i="53"/>
  <c r="G5" i="53"/>
  <c r="E5" i="53"/>
  <c r="H4" i="53"/>
  <c r="G4" i="53"/>
  <c r="E4" i="53"/>
  <c r="K5" i="52"/>
  <c r="J5" i="52"/>
  <c r="H5" i="52"/>
  <c r="E5" i="52"/>
  <c r="K4" i="52"/>
  <c r="J4" i="52"/>
  <c r="H4" i="52"/>
  <c r="E4" i="52"/>
  <c r="H5" i="23"/>
  <c r="BR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H2" i="23"/>
  <c r="G2" i="23"/>
  <c r="BC2" i="23"/>
  <c r="BE5" i="23"/>
  <c r="BJ5" i="23"/>
  <c r="BI5" i="23"/>
  <c r="BH5" i="23"/>
  <c r="BG5" i="23"/>
  <c r="I2" i="23"/>
  <c r="J2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N5" i="23"/>
  <c r="F5" i="23"/>
  <c r="E5" i="23"/>
  <c r="D5" i="23"/>
  <c r="C5" i="23"/>
  <c r="B5" i="23"/>
  <c r="BR4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G2" i="58"/>
  <c r="U2" i="58"/>
  <c r="F3" i="57"/>
  <c r="E3" i="57"/>
  <c r="B3" i="57"/>
  <c r="H3" i="23"/>
  <c r="BR3" i="23"/>
  <c r="BR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BD2" i="23"/>
  <c r="Q2" i="23"/>
  <c r="S2" i="23"/>
  <c r="W2" i="23"/>
  <c r="AA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0" i="13"/>
  <c r="G11" i="13"/>
  <c r="G9" i="13"/>
  <c r="B2" i="23"/>
  <c r="B3" i="2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<sst xmlns="http://schemas.openxmlformats.org/spreadsheetml/2006/main" count="1011" uniqueCount="393">
  <si>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</si>
  <si>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</si>
  <si>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</si>
  <si>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</si>
  <si>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</si>
  <si>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</si>
  <si>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</si>
  <si>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</si>
  <si>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</si>
  <si>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</si>
  <si>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</si>
  <si>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</si>
  <si>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</si>
  <si>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</si>
  <si>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</si>
  <si>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</si>
  <si>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</si>
  <si>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</si>
  <si>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</si>
  <si>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</si>
  <si>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</si>
  <si>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</si>
  <si>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</si>
  <si>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</si>
  <si>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</si>
  <si>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</si>
  <si>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</si>
  <si>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</si>
  <si>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</si>
  <si>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</si>
  <si>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</si>
  <si>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</si>
  <si>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</si>
  <si>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</si>
  <si>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</si>
  <si>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</si>
  <si>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</si>
  <si>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</si>
  <si>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</si>
  <si>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</si>
  <si>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</si>
  <si>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</si>
  <si>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</si>
  <si>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</si>
  <si>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</si>
  <si>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</si>
  <si>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</si>
  <si>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</si>
  <si>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</si>
  <si>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</si>
  <si>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</si>
  <si>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</si>
  <si>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</si>
  <si>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</si>
  <si>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</si>
  <si>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</si>
  <si>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</si>
  <si>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</si>
  <si>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</si>
  <si>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</si>
  <si>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</si>
  <si>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</si>
  <si>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</si>
  <si>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</si>
  <si>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</si>
  <si>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</si>
  <si>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</si>
  <si>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</si>
  <si>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</si>
  <si>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</si>
  <si>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</si>
  <si>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</si>
  <si>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</si>
  <si>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</si>
  <si>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</si>
  <si>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</si>
  <si>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</si>
  <si>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</si>
  <si>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</si>
  <si>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</si>
  <si>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</si>
  <si>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</si>
  <si>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</si>
  <si>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</si>
  <si>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</si>
  <si>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</si>
  <si>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</si>
  <si>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</si>
  <si>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</si>
  <si>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</si>
  <si>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</si>
  <si>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</si>
  <si>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</si>
  <si>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</si>
  <si>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</si>
  <si>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</si>
  <si>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</si>
  <si>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</si>
  <si>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</si>
  <si>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</si>
  <si>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</si>
  <si>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</si>
  <si>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</si>
  <si>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</si>
  <si>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</si>
  <si>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</si>
  <si>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</si>
  <si>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</si>
  <si>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</si>
  <si>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</si>
  <si>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</si>
  <si>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</si>
  <si>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</si>
  <si>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</si>
  <si>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</si>
  <si>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</si>
  <si>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</si>
  <si>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</si>
  <si>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</si>
  <si>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</si>
  <si>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</si>
  <si>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</si>
  <si>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</si>
  <si>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</si>
  <si>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</si>
  <si>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</si>
  <si>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</si>
  <si>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</si>
  <si>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</si>
  <si>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</si>
  <si>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</si>
  <si>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</si>
  <si>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</si>
  <si>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</si>
  <si>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</si>
  <si>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</si>
  <si>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</si>
  <si>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</si>
  <si>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</si>
  <si>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</si>
  <si>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</si>
  <si>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</si>
  <si>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</si>
  <si>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</si>
  <si>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</si>
  <si>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</si>
  <si>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</si>
  <si>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</si>
  <si>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</si>
  <si>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</si>
  <si>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</si>
  <si>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</si>
  <si>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</si>
  <si>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</si>
  <si>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</si>
  <si>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</si>
  <si>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</si>
  <si>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</si>
  <si>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</si>
  <si>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</si>
  <si>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</si>
  <si>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</si>
  <si>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</si>
  <si>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</si>
  <si>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</si>
  <si>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</si>
  <si>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</si>
  <si>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</si>
  <si>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</si>
  <si>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</si>
  <si>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</si>
  <si>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</si>
  <si>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</si>
  <si>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</si>
  <si>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</si>
  <si>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</si>
  <si>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</si>
  <si>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</si>
  <si>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</si>
  <si>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</si>
  <si>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</si>
  <si>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</si>
  <si>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</si>
  <si>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</si>
  <si>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</si>
  <si>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</si>
  <si>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</si>
  <si>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</si>
  <si>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</si>
  <si>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</si>
  <si>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</si>
  <si>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</si>
  <si>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</si>
  <si>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</si>
  <si>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</si>
  <si>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</si>
  <si>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</si>
  <si>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</si>
  <si>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</si>
  <si>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</si>
  <si>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</si>
  <si>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</si>
  <si>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</si>
  <si>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</si>
  <si>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</si>
  <si>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</si>
  <si>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</si>
  <si>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</si>
  <si>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</si>
  <si>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</si>
  <si>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</si>
  <si>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</si>
  <si>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</si>
  <si>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</si>
  <si>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</si>
  <si>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</si>
  <si>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</si>
  <si>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</si>
  <si>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</si>
  <si>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</si>
  <si>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</si>
  <si>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</si>
  <si>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</si>
  <si>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</si>
  <si>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</si>
  <si>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</si>
  <si>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</si>
  <si>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</si>
  <si>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</si>
  <si>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</si>
  <si>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</si>
  <si>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</si>
  <si>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</si>
  <si>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</si>
  <si>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</si>
  <si>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</si>
  <si>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</si>
  <si>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</si>
  <si>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</si>
  <si>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</si>
  <si>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</si>
  <si>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</si>
  <si>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</si>
  <si>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</si>
  <si>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</si>
  <si>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</si>
  <si>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</si>
  <si>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</si>
  <si>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</si>
  <si>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</si>
  <si>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</si>
  <si>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</si>
  <si>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</si>
  <si>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</si>
  <si>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</si>
  <si>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</si>
  <si>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</si>
  <si>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</si>
  <si>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</si>
  <si>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</si>
  <si>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</si>
  <si>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</si>
  <si>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</si>
  <si>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</si>
  <si>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</si>
  <si>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</si>
  <si>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</si>
  <si>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</si>
  <si>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</si>
  <si>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</si>
  <si>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</si>
  <si>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</si>
  <si>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</si>
  <si>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</si>
  <si>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</si>
  <si>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</si>
  <si>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</si>
  <si>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</si>
  <si>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</si>
  <si>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</si>
  <si>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</si>
  <si>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</si>
  <si>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</si>
  <si>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</si>
  <si>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</si>
  <si>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</si>
  <si>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</si>
  <si>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</si>
  <si>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</si>
  <si>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</si>
  <si>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</si>
  <si>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</si>
  <si>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</si>
  <si>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</si>
  <si>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</si>
  <si>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</si>
  <si>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</si>
  <si>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</si>
  <si>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</si>
  <si>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</si>
  <si>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</si>
  <si>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</si>
  <si>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</si>
  <si>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</si>
  <si>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</si>
  <si>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</si>
  <si>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</si>
  <si>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</si>
  <si>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</si>
  <si>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</si>
  <si>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</si>
  <si>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</si>
  <si>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</si>
  <si>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</si>
  <si>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</si>
  <si>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</si>
  <si>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</si>
  <si>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</si>
  <si>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</si>
  <si>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</si>
  <si>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</si>
  <si>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</si>
  <si>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</si>
  <si>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</si>
  <si>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</si>
  <si>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</si>
  <si>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</si>
  <si>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</si>
  <si>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</si>
  <si>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</si>
  <si>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</si>
  <si>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</si>
  <si>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</si>
  <si>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</si>
  <si>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</si>
  <si>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</si>
  <si>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</si>
  <si>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</si>
  <si>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</si>
  <si>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1</t>
    <phoneticPr fontId="22"/>
  </si>
  <si>
    <t>old</t>
    <phoneticPr fontId="22"/>
  </si>
  <si>
    <t>kumo</t>
  </si>
  <si>
    <t>スキル1</t>
    <phoneticPr fontId="22"/>
  </si>
  <si>
    <t>Cスキル1</t>
    <phoneticPr fontId="22"/>
  </si>
  <si>
    <t>Cスキル2</t>
  </si>
  <si>
    <t>Cスキル3</t>
  </si>
  <si>
    <t>Cスキル4</t>
  </si>
  <si>
    <t>fes08</t>
  </si>
  <si>
    <t>fes08</t>
    <phoneticPr fontId="22"/>
  </si>
  <si>
    <t>[effect:damage_heal, target:enemy_one, color:red, val:2.25, animation:damage_one_red04],[effect:enhance_unit, target:unit_all, turn:1, status:heal, val:0.03, calc:mul, animation:enhance_unit_all_heal02_unit01]</t>
    <phoneticPr fontId="22"/>
  </si>
  <si>
    <t>[effect:damage_heal, target:enemy_one, color:red, val:2.5, animation:damage_one_red04],[effect:enhance_unit, target:unit_all, turn:1, status:heal, val:0.03, calc:mul, animation:enhance_unit_all_heal02_unit01]</t>
    <phoneticPr fontId="22"/>
  </si>
  <si>
    <t>[effect:damage_hp, target:enemy_one, color:red, val:0.75, animation:damage_one_red04],[effect:damage_hp, target:enemy_one, color:red, val:0.75, animation:damage_one_red04]</t>
    <phoneticPr fontId="22"/>
  </si>
  <si>
    <t>自身のHPの最大値に比例して
単体に2回特大ダメージ</t>
    <phoneticPr fontId="22"/>
  </si>
  <si>
    <t>自身の回復力に比例して1体に特大ダメージ+1ターン全ユニットの回復力UP</t>
    <phoneticPr fontId="22"/>
  </si>
  <si>
    <t>自身の回復力に比例して1体に超大ダメージ+1ターン全ユニットの回復力UP</t>
    <phoneticPr fontId="22"/>
  </si>
  <si>
    <t>デカルトR5Cスキル</t>
    <phoneticPr fontId="22"/>
  </si>
  <si>
    <t>デカルトR6Cスキル</t>
  </si>
  <si>
    <t>デカルトR5スキル</t>
    <phoneticPr fontId="22"/>
  </si>
  <si>
    <t>デカルトR6スキル</t>
  </si>
  <si>
    <t>[effect:force_change_magnet, target:block_all, ignore01:block_positive, color:red, count:1, red:1, green:0, blue:1, yellow:1, heart:1, reverse:0, generate:0, turn:4, animation:change_block],[effect:force_change_block, new_block:crash, target:block_yellow, count:0, val:6, animation:change_block],[effect:force_change_block, new_block:block_red, target:block_blue, count:0, val:0, animation:change_block],[effect:force_change_block, new_block:block_red, target:damage, count:0, val:0, animation:change_block],[effect:enhance_unit, target:unit_all, turn:1, status:action, val:2, calc:add, animation:enhance_unit_one_action02]</t>
    <phoneticPr fontId="22"/>
  </si>
  <si>
    <t>50</t>
    <phoneticPr fontId="22"/>
  </si>
  <si>
    <t>[effect:damage_hp, target:enemy_one, color:green, val:0.75, animation:damage_one_green03],[effect:heal_fix, val:450, animation:heal01_unit01]</t>
    <phoneticPr fontId="22"/>
  </si>
  <si>
    <t>[effect:damage_hp, target:enemy_one, color:green, val:0.85, animation:damage_one_green04],[effect:heal_fix, val:450, animation:heal01_unit01]</t>
    <phoneticPr fontId="22"/>
  </si>
  <si>
    <t>自身のHPの最大値に比例して1体に大ダメージ+HP固定回復</t>
    <phoneticPr fontId="22"/>
  </si>
  <si>
    <t>自身のHPの最大値に比例して1体に特大ダメージ+HP固定回復</t>
    <phoneticPr fontId="22"/>
  </si>
  <si>
    <t>下側をCPに、上側を最大1個赤ボム(大)変換+2ターン緑を赤ボムでドロップ、全ユニット防御力大UP</t>
    <phoneticPr fontId="22"/>
  </si>
  <si>
    <t>[effect:change_range_block, block_change:1, base_type:0, square_count:3, position01:6, value_h01:1.0, value_w01:3.0, new_block:crash, target:block_all, ignore01:block_positive, count:0, val:6, animation:change_block],[effect:change_range_block, block_change:1, base_type:0, square_count:5, position01:2, value_h01:1.0, value_w01:1.0, new_block:crack_bomb, target:block_all, ignore01:block_positive, color:red, count:1, val:24, animation:change_block],[effect:drop_block, block_type:crack_bomb, block_color:block_red, color:block_green, val:12, rate:0.52, turn:2, animation:bomb_influence04],[effect:enhance_unit, target:unit_all, turn:2, status:defense, val:720, calc:add, animation:enhance_unit_all_defense03]</t>
    <phoneticPr fontId="22"/>
  </si>
  <si>
    <t>[effect:change_range_block, block_change:1, base_type:0, square_count:3, position01:6, value_h01:1.0, value_w01:3.0, new_block:crash, target:block_all, ignore01:block_positive, count:0, val:6, animation:change_block],[effect:change_range_block, block_change:1, base_type:0, square_count:5, position01:2, value_h01:1.0, value_w01:1.0, new_block:crack_bomb, target:block_all, ignore01:block_positive, color:red, count:1, val:36, animation:change_block],[effect:drop_block, block_type:crack_bomb, block_color:block_red, color:block_green, val:12, rate:0.52, turn:2, animation:bomb_influence04],[effect:drop_block, block_type:crack_bomb, block_color:block_red, color:block_yellow, val:12, rate:0.52, turn:2, animation:bomb_influence04],[effect:enhance_unit, target:unit_all, turn:2, status:defense, val:720, calc:add, animation:enhance_unit_all_defense03],[effect:crash_condition, target:unit_all, turn:1, val:-6, animation:crash_panel_reduce04]</t>
    <phoneticPr fontId="22"/>
  </si>
  <si>
    <t>ステータス：アルケウス</t>
    <phoneticPr fontId="22"/>
  </si>
  <si>
    <t>ステータス：アルキドクセン</t>
    <phoneticPr fontId="22"/>
  </si>
  <si>
    <t>レガシー・ネガ</t>
    <phoneticPr fontId="22"/>
  </si>
  <si>
    <t>レガシー・ネガ・ブリンガ</t>
    <phoneticPr fontId="22"/>
  </si>
  <si>
    <t>シークレット・ストレージ</t>
    <phoneticPr fontId="22"/>
  </si>
  <si>
    <t>スカーレット・ストレージ</t>
    <phoneticPr fontId="22"/>
  </si>
  <si>
    <t>アンスマート・ボーン</t>
    <phoneticPr fontId="22"/>
  </si>
  <si>
    <t>アンスマート・キラーボーンズ</t>
    <phoneticPr fontId="22"/>
  </si>
  <si>
    <t>綺麗だからよく見といてね！</t>
  </si>
  <si>
    <t>目が眩んでも知らないからー</t>
  </si>
  <si>
    <t>これかな？こっちかな？</t>
  </si>
  <si>
    <t>giza</t>
  </si>
  <si>
    <t>これが本命！解禁ー！</t>
  </si>
  <si>
    <t>すっっごく光るからー！</t>
  </si>
  <si>
    <t>ルビーの光を堪能してね</t>
  </si>
  <si>
    <t>潰された者の怒りを知れ…</t>
  </si>
  <si>
    <t>目障りな…消滅を許可する</t>
  </si>
  <si>
    <t>…削ってくれる</t>
  </si>
  <si>
    <t>貴様には飽きた</t>
  </si>
  <si>
    <t>喰らいつけ…放すなよ</t>
  </si>
  <si>
    <t>貴様も虚ろにしてやろう</t>
  </si>
  <si>
    <t>黄を緑パネルに変換+1ターン緑属性にお邪魔ブレイクを付与、敵からのダメージを10%軽減+3ターン自身のタップ数を1増加</t>
    <phoneticPr fontId="22"/>
  </si>
  <si>
    <t>マグネットパネル(赤→青→黄→ハート)1個、黄をCPに、青･ダメージパネルを赤パネル変換+1ターン全ユニットのタップ数2増加</t>
    <phoneticPr fontId="22"/>
  </si>
  <si>
    <t>下側をCP、上側を最大1つ赤ボム(特大)に変換+2ターン緑・黄パネルを赤ボムでドロップ、全ユニット防御力大UP+1ターンCP生成短縮超大</t>
    <phoneticPr fontId="22"/>
  </si>
  <si>
    <t>[effect:force_change_block, new_block:block_green, target:block_yellow, count:0, val:0, animation:change_block],[effect:panel_break, target:unit_green, block_type01:jammer, turn:1],[effect:reduction, target:unit_green, turn:1, val:0.1, animation:reduction_one01],[effect:enhance_unit, target:myself, turn:3, status:action, val:1, calc:add, animation:enhance_unit_one_action01]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</si>
</sst>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13" fillId="14" borderId="0" xfId="0" applyFont="1" applyFill="1" applyAlignment="1">
      <alignment vertical="center"/>
    </xf>
    <xf numFmtId="0" fontId="14" fillId="29" borderId="4" xfId="0" applyFont="1" applyFill="1" applyBorder="1" applyAlignment="1">
      <alignment horizontal="left" vertical="center" wrapText="1"/>
    </xf>
  </cellXfs>
  <cellStyles count="458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赤字強調" xfId="4"/>
    <cellStyle name="青字強調" xfId="3"/>
  </cellStyles>
  <dxfs count="4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400</v>
          </cell>
          <cell r="B64" t="str">
            <v>ja</v>
          </cell>
          <cell r="C64" t="str">
            <v>攻撃タイプキラー</v>
          </cell>
          <cell r="D64" t="str">
            <v>攻撃対象が攻撃タイプの場合威力UP</v>
          </cell>
        </row>
        <row r="65">
          <cell r="A65">
            <v>401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402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403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404</v>
          </cell>
          <cell r="B68" t="str">
            <v>ja</v>
          </cell>
          <cell r="C68" t="str">
            <v>バランスタイプキラー</v>
          </cell>
          <cell r="D68" t="str">
            <v>攻撃対象が攻撃タイプの場合威力UP</v>
          </cell>
        </row>
        <row r="69">
          <cell r="A69">
            <v>405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406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407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408</v>
          </cell>
          <cell r="B72" t="str">
            <v>ja</v>
          </cell>
          <cell r="C72" t="str">
            <v>体力タイプキラー</v>
          </cell>
          <cell r="D72" t="str">
            <v>攻撃対象が攻撃タイプの場合威力UP</v>
          </cell>
        </row>
        <row r="73">
          <cell r="A73">
            <v>409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410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411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412</v>
          </cell>
          <cell r="B76" t="str">
            <v>ja</v>
          </cell>
          <cell r="C76" t="str">
            <v>テクニカルタイプキラー</v>
          </cell>
          <cell r="D76" t="str">
            <v>攻撃対象が攻撃タイプの場合威力UP</v>
          </cell>
        </row>
        <row r="77">
          <cell r="A77">
            <v>413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414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415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416</v>
          </cell>
          <cell r="B80" t="str">
            <v>ja</v>
          </cell>
          <cell r="C80" t="str">
            <v>回復タイプキラー</v>
          </cell>
          <cell r="D80" t="str">
            <v>攻撃対象が攻撃タイプの場合威力UP</v>
          </cell>
        </row>
        <row r="81">
          <cell r="A81">
            <v>417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418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419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420</v>
          </cell>
          <cell r="B84" t="str">
            <v>ja</v>
          </cell>
          <cell r="C84" t="str">
            <v>強化素材タイプキラー</v>
          </cell>
          <cell r="D84" t="str">
            <v>攻撃対象が攻撃タイプの場合威力UP</v>
          </cell>
        </row>
        <row r="85">
          <cell r="A85">
            <v>421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422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423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424</v>
          </cell>
          <cell r="B88" t="str">
            <v>ja</v>
          </cell>
          <cell r="C88" t="str">
            <v>コインタイプキラー</v>
          </cell>
          <cell r="D88" t="str">
            <v>攻撃対象が攻撃タイプの場合威力UP</v>
          </cell>
        </row>
        <row r="89">
          <cell r="A89">
            <v>425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426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427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428</v>
          </cell>
          <cell r="B92" t="str">
            <v>ja</v>
          </cell>
          <cell r="C92" t="str">
            <v>限界突破素材タイプキラー</v>
          </cell>
          <cell r="D92" t="str">
            <v>攻撃対象が攻撃タイプの場合威力UP</v>
          </cell>
        </row>
        <row r="93">
          <cell r="A93">
            <v>429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430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431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432</v>
          </cell>
          <cell r="B96" t="str">
            <v>ja</v>
          </cell>
          <cell r="C96" t="str">
            <v>スキルレベル素材タイプキラー</v>
          </cell>
          <cell r="D96" t="str">
            <v>攻撃対象が攻撃タイプの場合威力UP</v>
          </cell>
        </row>
        <row r="97">
          <cell r="A97">
            <v>433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434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435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600</v>
          </cell>
          <cell r="B100" t="str">
            <v>ja</v>
          </cell>
          <cell r="C100" t="str">
            <v>赤属性耐性25</v>
          </cell>
          <cell r="D100" t="str">
            <v>自身に対する赤属性の敵からの攻撃を25％軽減</v>
          </cell>
        </row>
        <row r="101">
          <cell r="A101">
            <v>601</v>
          </cell>
          <cell r="B101" t="str">
            <v>ja</v>
          </cell>
          <cell r="C101" t="str">
            <v>赤属性耐性25</v>
          </cell>
          <cell r="D101" t="str">
            <v>自身に対する赤属性の敵からの攻撃を25％軽減</v>
          </cell>
        </row>
        <row r="102">
          <cell r="A102">
            <v>602</v>
          </cell>
          <cell r="B102" t="str">
            <v>ja</v>
          </cell>
          <cell r="C102" t="str">
            <v>赤属性耐性25</v>
          </cell>
          <cell r="D102" t="str">
            <v>自身に対する赤属性の敵からの攻撃を25％軽減</v>
          </cell>
        </row>
        <row r="103">
          <cell r="A103">
            <v>603</v>
          </cell>
          <cell r="B103" t="str">
            <v>ja</v>
          </cell>
          <cell r="C103" t="str">
            <v>青属性耐性25</v>
          </cell>
          <cell r="D103" t="str">
            <v>自身に対する青属性の敵からの攻撃を25％軽減</v>
          </cell>
        </row>
        <row r="104">
          <cell r="A104">
            <v>604</v>
          </cell>
          <cell r="B104" t="str">
            <v>ja</v>
          </cell>
          <cell r="C104" t="str">
            <v>青属性耐性25</v>
          </cell>
          <cell r="D104" t="str">
            <v>自身に対する青属性の敵からの攻撃を25％軽減</v>
          </cell>
        </row>
        <row r="105">
          <cell r="A105">
            <v>605</v>
          </cell>
          <cell r="B105" t="str">
            <v>ja</v>
          </cell>
          <cell r="C105" t="str">
            <v>青属性耐性25</v>
          </cell>
          <cell r="D105" t="str">
            <v>自身に対する青属性の敵からの攻撃を25％軽減</v>
          </cell>
        </row>
        <row r="106">
          <cell r="A106">
            <v>606</v>
          </cell>
          <cell r="B106" t="str">
            <v>ja</v>
          </cell>
          <cell r="C106" t="str">
            <v>緑属性耐性25</v>
          </cell>
          <cell r="D106" t="str">
            <v>自身に対する緑属性の敵からの攻撃を25％軽減</v>
          </cell>
        </row>
        <row r="107">
          <cell r="A107">
            <v>607</v>
          </cell>
          <cell r="B107" t="str">
            <v>ja</v>
          </cell>
          <cell r="C107" t="str">
            <v>緑属性耐性25</v>
          </cell>
          <cell r="D107" t="str">
            <v>自身に対する緑属性の敵からの攻撃を25％軽減</v>
          </cell>
        </row>
        <row r="108">
          <cell r="A108">
            <v>608</v>
          </cell>
          <cell r="B108" t="str">
            <v>ja</v>
          </cell>
          <cell r="C108" t="str">
            <v>緑属性耐性25</v>
          </cell>
          <cell r="D108" t="str">
            <v>自身に対する緑属性の敵からの攻撃を25％軽減</v>
          </cell>
        </row>
        <row r="109">
          <cell r="A109">
            <v>609</v>
          </cell>
          <cell r="B109" t="str">
            <v>ja</v>
          </cell>
          <cell r="C109" t="str">
            <v>黄属性耐性25</v>
          </cell>
          <cell r="D109" t="str">
            <v>自身に対する黄属性の敵からの攻撃を25％軽減</v>
          </cell>
        </row>
        <row r="110">
          <cell r="A110">
            <v>610</v>
          </cell>
          <cell r="B110" t="str">
            <v>ja</v>
          </cell>
          <cell r="C110" t="str">
            <v>黄属性耐性25</v>
          </cell>
          <cell r="D110" t="str">
            <v>自身に対する黄属性の敵からの攻撃を25％軽減</v>
          </cell>
        </row>
        <row r="111">
          <cell r="A111">
            <v>611</v>
          </cell>
          <cell r="B111" t="str">
            <v>ja</v>
          </cell>
          <cell r="C111" t="str">
            <v>黄属性耐性25</v>
          </cell>
          <cell r="D111" t="str">
            <v>自身に対する黄属性の敵からの攻撃を25％軽減</v>
          </cell>
        </row>
        <row r="112">
          <cell r="A112">
            <v>612</v>
          </cell>
          <cell r="B112" t="str">
            <v>ja</v>
          </cell>
          <cell r="C112" t="str">
            <v>全属性耐性10</v>
          </cell>
          <cell r="D112" t="str">
            <v>自身に対する全属性の敵からの攻撃を10％軽減</v>
          </cell>
        </row>
        <row r="113">
          <cell r="A113">
            <v>613</v>
          </cell>
          <cell r="B113" t="str">
            <v>ja</v>
          </cell>
          <cell r="C113" t="str">
            <v>赤属性耐性10</v>
          </cell>
          <cell r="D113" t="str">
            <v>自身に対する赤属性の敵からの攻撃を10％軽減</v>
          </cell>
        </row>
        <row r="114">
          <cell r="A114">
            <v>614</v>
          </cell>
          <cell r="B114" t="str">
            <v>ja</v>
          </cell>
          <cell r="C114" t="str">
            <v>青属性耐性10</v>
          </cell>
          <cell r="D114" t="str">
            <v>自身に対する青属性の敵からの攻撃を10％軽減</v>
          </cell>
        </row>
        <row r="115">
          <cell r="A115">
            <v>615</v>
          </cell>
          <cell r="B115" t="str">
            <v>ja</v>
          </cell>
          <cell r="C115" t="str">
            <v>緑属性耐性10</v>
          </cell>
          <cell r="D115" t="str">
            <v>自身に対する緑属性の敵からの攻撃を10％軽減</v>
          </cell>
        </row>
        <row r="116">
          <cell r="A116">
            <v>616</v>
          </cell>
          <cell r="B116" t="str">
            <v>ja</v>
          </cell>
          <cell r="C116" t="str">
            <v>黄属性耐性10</v>
          </cell>
          <cell r="D116" t="str">
            <v>自身に対する黄属性の敵からの攻撃を10％軽減</v>
          </cell>
        </row>
        <row r="117">
          <cell r="A117">
            <v>617</v>
          </cell>
          <cell r="B117" t="str">
            <v>ja</v>
          </cell>
          <cell r="C117" t="str">
            <v>ゴッド種族耐性10</v>
          </cell>
          <cell r="D117" t="str">
            <v>自身に対するゴッド種族の敵からの攻撃を25％軽減</v>
          </cell>
        </row>
        <row r="118">
          <cell r="A118">
            <v>618</v>
          </cell>
          <cell r="B118" t="str">
            <v>ja</v>
          </cell>
          <cell r="C118" t="str">
            <v>赤属性耐性8</v>
          </cell>
          <cell r="D118" t="str">
            <v>自身に対する赤属性の敵からの攻撃を8%軽減</v>
          </cell>
        </row>
        <row r="119">
          <cell r="A119">
            <v>619</v>
          </cell>
          <cell r="B119" t="str">
            <v>ja</v>
          </cell>
          <cell r="C119" t="str">
            <v>青属性耐性8</v>
          </cell>
          <cell r="D119" t="str">
            <v>自身に対する青属性の敵からの攻撃を8%軽減</v>
          </cell>
        </row>
        <row r="120">
          <cell r="A120">
            <v>620</v>
          </cell>
          <cell r="B120" t="str">
            <v>ja</v>
          </cell>
          <cell r="C120" t="str">
            <v>緑属性耐性8</v>
          </cell>
          <cell r="D120" t="str">
            <v>自身に対する緑属性の敵からの攻撃を8%軽減</v>
          </cell>
        </row>
        <row r="121">
          <cell r="A121">
            <v>621</v>
          </cell>
          <cell r="B121" t="str">
            <v>ja</v>
          </cell>
          <cell r="C121" t="str">
            <v>黄属性耐性8</v>
          </cell>
          <cell r="D121" t="str">
            <v>自身に対する黄属性の敵からの攻撃を8%軽減</v>
          </cell>
        </row>
        <row r="122">
          <cell r="A122">
            <v>700</v>
          </cell>
          <cell r="B122" t="str">
            <v>ja</v>
          </cell>
          <cell r="C122" t="str">
            <v>フロア 回復</v>
          </cell>
          <cell r="D122" t="str">
            <v>全フロアの1ターン目終了時にパーティの合計HPの20％を回復する</v>
          </cell>
        </row>
        <row r="123">
          <cell r="A123">
            <v>800</v>
          </cell>
          <cell r="B123" t="str">
            <v>ja</v>
          </cell>
          <cell r="C123" t="str">
            <v>パネルブレイク30 攻撃力UP</v>
          </cell>
          <cell r="D123" t="str">
            <v>自身が先頭の時、1ターンの間に合計30個以上パネルを破壊した場合に攻撃力UP</v>
          </cell>
        </row>
        <row r="124">
          <cell r="A124">
            <v>801</v>
          </cell>
          <cell r="B124" t="str">
            <v>ja</v>
          </cell>
          <cell r="C124" t="str">
            <v>パネルブレイク30 回復力UP</v>
          </cell>
          <cell r="D124" t="str">
            <v>自身が先頭の時、1ターンの間に合計30個以上パネルを破壊した場合に回復力UP</v>
          </cell>
        </row>
        <row r="125">
          <cell r="A125">
            <v>802</v>
          </cell>
          <cell r="B125" t="str">
            <v>ja</v>
          </cell>
          <cell r="C125" t="str">
            <v>パネルブレイク30 防御力小UP</v>
          </cell>
          <cell r="D125" t="str">
            <v>自身が先頭の時、1ターンの間に合計30個以上パネルを破壊した場合に防御力小UP</v>
          </cell>
        </row>
        <row r="126">
          <cell r="A126">
            <v>803</v>
          </cell>
          <cell r="B126" t="str">
            <v>ja</v>
          </cell>
          <cell r="C126" t="str">
            <v>パネルブレイク30 防御力UP</v>
          </cell>
          <cell r="D126" t="str">
            <v>自身が先頭の時、1ターンの間に合計30個以上パネルを破壊した場合に防御力UP</v>
          </cell>
        </row>
        <row r="127">
          <cell r="A127">
            <v>804</v>
          </cell>
          <cell r="B127" t="str">
            <v>ja</v>
          </cell>
          <cell r="C127" t="str">
            <v>パネルブレイク30 防御力大UP</v>
          </cell>
          <cell r="D127" t="str">
            <v>自身が先頭の時、1ターンの間に合計30個以上パネルを破壊した場合に防御力大UP</v>
          </cell>
        </row>
        <row r="128">
          <cell r="A128">
            <v>805</v>
          </cell>
          <cell r="B128" t="str">
            <v>ja</v>
          </cell>
          <cell r="C128" t="str">
            <v>パネルブレイク30 防御力特大UP</v>
          </cell>
          <cell r="D128" t="str">
            <v>自身が先頭の時、1ターンの間に合計30個以上パネルを破壊した場合に防御力特大UP</v>
          </cell>
        </row>
        <row r="129">
          <cell r="A129">
            <v>806</v>
          </cell>
          <cell r="B129" t="str">
            <v>ja</v>
          </cell>
          <cell r="C129" t="str">
            <v>ボムブレイク10 防御力UP</v>
          </cell>
          <cell r="D129" t="str">
            <v>自身または味方が1ターンの間に合計10個以上ボムパネルを破壊した場合に防御力UP</v>
          </cell>
        </row>
        <row r="130">
          <cell r="A130">
            <v>807</v>
          </cell>
          <cell r="B130" t="str">
            <v>ja</v>
          </cell>
          <cell r="C130" t="str">
            <v>パネル18 破壊フィーバーゲージ上昇</v>
          </cell>
          <cell r="D130" t="str">
            <v>自身が先頭の時、1ターンの間に合計18個以上パネルを破壊した場合にフィーバーゲージ上昇</v>
          </cell>
        </row>
        <row r="131">
          <cell r="A131">
            <v>808</v>
          </cell>
          <cell r="B131" t="str">
            <v>ja</v>
          </cell>
          <cell r="C131" t="str">
            <v>パネルブレイク40 防御力UP</v>
          </cell>
          <cell r="D131" t="str">
            <v>自身が先頭の時、1ターンの間に合計40個以上パネルを破壊した場合に青属性ユニットの防御力を400UP</v>
          </cell>
        </row>
        <row r="132">
          <cell r="A132">
            <v>809</v>
          </cell>
          <cell r="B132" t="str">
            <v>ja</v>
          </cell>
          <cell r="C132" t="str">
            <v>パネルブレイク40 攻撃力UP</v>
          </cell>
          <cell r="D132" t="str">
            <v>自身が先頭の時、1ターンの間に合計40個以上パネルを破壊した場合に攻撃力UP</v>
          </cell>
        </row>
        <row r="133">
          <cell r="A133">
            <v>810</v>
          </cell>
          <cell r="B133" t="str">
            <v>ja</v>
          </cell>
          <cell r="C133" t="str">
            <v>パネルブレイク40 攻撃力小UP</v>
          </cell>
          <cell r="D133" t="str">
            <v>自身が先頭の時、1ターンの間に合計40個以上パネルを破壊した場合に攻撃力小UP</v>
          </cell>
        </row>
        <row r="134">
          <cell r="A134">
            <v>811</v>
          </cell>
          <cell r="B134" t="str">
            <v>ja</v>
          </cell>
          <cell r="C134" t="str">
            <v>パネルブレイク30 攻撃力小UP</v>
          </cell>
          <cell r="D134" t="str">
            <v>自身が先頭の時、1ターンの間に合計30個以上パネルを破壊した場合に攻撃力小UP</v>
          </cell>
        </row>
        <row r="135">
          <cell r="A135">
            <v>812</v>
          </cell>
          <cell r="B135" t="str">
            <v>ja</v>
          </cell>
          <cell r="C135" t="str">
            <v>パネルブレイク40 HP小回復</v>
          </cell>
          <cell r="D135" t="str">
            <v>自身が先頭の時、1ターンの間に合計40個以上パネルを破壊した場合にターン終了時HP小回復</v>
          </cell>
        </row>
        <row r="136">
          <cell r="A136">
            <v>900</v>
          </cell>
          <cell r="B136" t="str">
            <v>ja</v>
          </cell>
          <cell r="C136" t="str">
            <v>チェイン12 攻撃力UP</v>
          </cell>
          <cell r="D136" t="str">
            <v>自身が先頭の時、1タップで12個以上パネルを繋げた場合に攻撃力UP</v>
          </cell>
        </row>
        <row r="137">
          <cell r="A137">
            <v>901</v>
          </cell>
          <cell r="B137" t="str">
            <v>ja</v>
          </cell>
          <cell r="C137" t="str">
            <v>チェイン12 回復力UP</v>
          </cell>
          <cell r="D137" t="str">
            <v>自身が先頭の時、1タップで12個以上パネルを繋げた場合に回復力UP</v>
          </cell>
        </row>
        <row r="138">
          <cell r="A138">
            <v>902</v>
          </cell>
          <cell r="B138" t="str">
            <v>ja</v>
          </cell>
          <cell r="C138" t="str">
            <v>チェイン12 タップ回数UP</v>
          </cell>
          <cell r="D138" t="str">
            <v>自身が先頭の時、1タップで12個以上パネルを繋げた場合にタップ回数を1回増やす</v>
          </cell>
        </row>
        <row r="139">
          <cell r="A139">
            <v>903</v>
          </cell>
          <cell r="B139" t="str">
            <v>ja</v>
          </cell>
          <cell r="C139" t="str">
            <v>チェイン18 スキルゲージUP</v>
          </cell>
          <cell r="D139" t="str">
            <v>自身が先頭の時、1タップで18個以上パネルを繋げた場合に自身のスキルゲージを1増やす(1ターンに1度だけ発動)</v>
          </cell>
        </row>
        <row r="140">
          <cell r="A140">
            <v>904</v>
          </cell>
          <cell r="B140" t="str">
            <v>ja</v>
          </cell>
          <cell r="C140" t="str">
            <v>チェイン17 回復力UP</v>
          </cell>
          <cell r="D140" t="str">
            <v>自身が先頭の時、1タップで17個以上パネルを繋げた場合に自身の回復力を2017UP</v>
          </cell>
        </row>
        <row r="141">
          <cell r="A141">
            <v>905</v>
          </cell>
          <cell r="B141" t="str">
            <v>ja</v>
          </cell>
          <cell r="C141" t="str">
            <v>チェイン12 攻撃力小UP</v>
          </cell>
          <cell r="D141" t="str">
            <v>自身が先頭の時、1タップで12個以上パネルを繋げた場合に攻撃力小UP</v>
          </cell>
        </row>
        <row r="142">
          <cell r="A142">
            <v>906</v>
          </cell>
          <cell r="B142" t="str">
            <v>ja</v>
          </cell>
          <cell r="C142" t="str">
            <v>チェイン14 回復力小UP</v>
          </cell>
          <cell r="D142" t="str">
            <v>自身が先頭の時、1タップで14個以上パネルを繋げた場合に回復力小UP</v>
          </cell>
        </row>
        <row r="143">
          <cell r="A143">
            <v>907</v>
          </cell>
          <cell r="B143" t="str">
            <v>ja</v>
          </cell>
          <cell r="C143" t="str">
            <v>チェイン14 攻撃力UP</v>
          </cell>
          <cell r="D143" t="str">
            <v>自身が先頭の時、1タップで14個以上パネルを繋げた場合に攻撃力UP</v>
          </cell>
        </row>
        <row r="144">
          <cell r="A144">
            <v>1100</v>
          </cell>
          <cell r="B144" t="str">
            <v>ja</v>
          </cell>
          <cell r="C144" t="str">
            <v>Cパネル生成短縮</v>
          </cell>
          <cell r="D144" t="str">
            <v>自身が先頭の時、Cパネル生成に必要なチェイン数を1短縮する</v>
          </cell>
        </row>
        <row r="145">
          <cell r="A145">
            <v>1101</v>
          </cell>
          <cell r="B145" t="str">
            <v>ja</v>
          </cell>
          <cell r="C145" t="str">
            <v>Cパネル生成短縮(大)</v>
          </cell>
          <cell r="D145" t="str">
            <v>自身が先頭の時、Cパネル生成に必要なチェイン数を2短縮する</v>
          </cell>
        </row>
        <row r="146">
          <cell r="A146">
            <v>1200</v>
          </cell>
          <cell r="B146" t="str">
            <v>ja</v>
          </cell>
          <cell r="C146" t="str">
            <v>フィーバー攻撃UP</v>
          </cell>
          <cell r="D146" t="str">
            <v>自身が先頭の時、フィーバー発動時に緑属性の攻撃力と回復力UP</v>
          </cell>
        </row>
        <row r="147">
          <cell r="A147">
            <v>1300</v>
          </cell>
          <cell r="B147" t="str">
            <v>ja</v>
          </cell>
          <cell r="C147" t="str">
            <v>チェイン12 HP回復</v>
          </cell>
          <cell r="D147" t="str">
            <v>自身が先頭の時、1タップで12個以上パネルを繋げた場合にHPを2000回復(1ターンに1度だけ発動)</v>
          </cell>
        </row>
        <row r="148">
          <cell r="A148">
            <v>1400</v>
          </cell>
          <cell r="B148" t="str">
            <v>ja</v>
          </cell>
          <cell r="C148" t="str">
            <v>カウンター威力UP</v>
          </cell>
          <cell r="D148" t="str">
            <v>4ターン毎に自身のカウンタースキルの威力が1ターンの間UP</v>
          </cell>
        </row>
        <row r="149">
          <cell r="A149">
            <v>1500</v>
          </cell>
          <cell r="B149" t="str">
            <v>ja</v>
          </cell>
          <cell r="C149" t="str">
            <v>バリア15000</v>
          </cell>
          <cell r="D149" t="str">
            <v>戦闘開始時に、自身への直接ダメージを15000まで防ぐバリアを一度だけ展開(バリアは破壊されると復活しない)</v>
          </cell>
        </row>
        <row r="150">
          <cell r="A150">
            <v>1501</v>
          </cell>
          <cell r="B150" t="str">
            <v>ja</v>
          </cell>
          <cell r="C150" t="str">
            <v>バリア</v>
          </cell>
          <cell r="D150" t="str">
            <v>戦闘開始時に、ダメージを25000まで防ぐバリアを一度だけ展開</v>
          </cell>
        </row>
        <row r="151">
          <cell r="A151">
            <v>1502</v>
          </cell>
          <cell r="B151" t="str">
            <v>ja</v>
          </cell>
          <cell r="C151" t="str">
            <v>バリア</v>
          </cell>
          <cell r="D151" t="str">
            <v>戦闘開始時に、ダメージを50000まで防ぐバリアを一度だけ展開</v>
          </cell>
        </row>
        <row r="152">
          <cell r="A152">
            <v>1503</v>
          </cell>
          <cell r="B152" t="str">
            <v>ja</v>
          </cell>
          <cell r="C152" t="str">
            <v>バリア8000</v>
          </cell>
          <cell r="D152" t="str">
            <v>戦闘開始時に、自身への直接ダメージを8000まで防ぐバリアを一度だけ展開(バリアは破壊されると復活しない)</v>
          </cell>
        </row>
        <row r="153">
          <cell r="A153">
            <v>1504</v>
          </cell>
          <cell r="B153" t="str">
            <v>ja</v>
          </cell>
          <cell r="C153" t="str">
            <v>バリア10000</v>
          </cell>
          <cell r="D153" t="str">
            <v>戦闘開始時に、自身への直接ダメージを10000まで防ぐバリアを一度だけ展開(バリアは破壊されると復活しない)</v>
          </cell>
        </row>
        <row r="154">
          <cell r="A154">
            <v>1505</v>
          </cell>
          <cell r="B154" t="str">
            <v>ja</v>
          </cell>
          <cell r="C154" t="str">
            <v>バリア3939</v>
          </cell>
          <cell r="D154" t="str">
            <v>戦闘開始時に、自身への直接ダメージを3939まで防ぐバリアを一度だけ展開(バリアは破壊されると復活しない)</v>
          </cell>
        </row>
        <row r="155">
          <cell r="A155">
            <v>1600</v>
          </cell>
          <cell r="B155" t="str">
            <v>ja</v>
          </cell>
          <cell r="C155" t="str">
            <v>攻撃力・回復力UP</v>
          </cell>
          <cell r="D155" t="str">
            <v>自身の攻撃力と回復力をUP</v>
          </cell>
        </row>
        <row r="156">
          <cell r="A156">
            <v>1700</v>
          </cell>
          <cell r="B156" t="str">
            <v>ja</v>
          </cell>
          <cell r="C156" t="str">
            <v>パネルブレイク30 ターンHP小回復</v>
          </cell>
          <cell r="D156" t="str">
            <v>自身が先頭の時、1ターンの間に合計30個以上パネルを破壊した場合に1ターン HP小回復</v>
          </cell>
        </row>
        <row r="157">
          <cell r="A157">
            <v>1800</v>
          </cell>
          <cell r="B157" t="str">
            <v>ja</v>
          </cell>
          <cell r="C157" t="str">
            <v>フィーバー強化</v>
          </cell>
          <cell r="D157" t="str">
            <v>フィーバー時自身の攻撃力、回復力を特大UP</v>
          </cell>
        </row>
        <row r="158">
          <cell r="A158">
            <v>1900</v>
          </cell>
          <cell r="B158" t="str">
            <v>ja</v>
          </cell>
          <cell r="C158" t="str">
            <v>ハート出現率UP</v>
          </cell>
          <cell r="D158" t="str">
            <v>自身が先頭の時、ハートパネルの出現率UP</v>
          </cell>
        </row>
        <row r="159">
          <cell r="A159">
            <v>2000</v>
          </cell>
          <cell r="B159" t="str">
            <v>ja</v>
          </cell>
          <cell r="C159" t="str">
            <v>赤パネル出現率UP</v>
          </cell>
          <cell r="D159" t="str">
            <v>自身が先頭の時、赤パネルの出現率UP</v>
          </cell>
        </row>
        <row r="160">
          <cell r="A160">
            <v>2100</v>
          </cell>
          <cell r="B160" t="str">
            <v>ja</v>
          </cell>
          <cell r="C160" t="str">
            <v>緑パネル出現率UP</v>
          </cell>
          <cell r="D160" t="str">
            <v>自身が先頭の時、緑パネルの出現率UP</v>
          </cell>
        </row>
        <row r="161">
          <cell r="A161">
            <v>2200</v>
          </cell>
          <cell r="B161" t="str">
            <v>ja</v>
          </cell>
          <cell r="C161" t="str">
            <v>青パネル出現率UP</v>
          </cell>
          <cell r="D161" t="str">
            <v>自身が先頭の時、青パネルの出現率UP</v>
          </cell>
        </row>
        <row r="162">
          <cell r="A162">
            <v>2300</v>
          </cell>
          <cell r="B162" t="str">
            <v>ja</v>
          </cell>
          <cell r="C162" t="str">
            <v>黄パネル出現率UP</v>
          </cell>
          <cell r="D162" t="str">
            <v>自身が先頭の時、黄パネルの出現率UP</v>
          </cell>
        </row>
        <row r="163">
          <cell r="A163">
            <v>2400</v>
          </cell>
          <cell r="B163" t="str">
            <v>ja</v>
          </cell>
          <cell r="C163" t="str">
            <v>ハートボムパネルドロップ</v>
          </cell>
          <cell r="D163" t="str">
            <v>自身が先頭の時、ハートパネルを確率でハートボムパネルに変換しドロップ</v>
          </cell>
        </row>
        <row r="164">
          <cell r="A164">
            <v>2500</v>
          </cell>
          <cell r="B164" t="str">
            <v>ja</v>
          </cell>
          <cell r="C164" t="str">
            <v>青パネルドロップ</v>
          </cell>
          <cell r="D164" t="str">
            <v>自身が先頭の時、緑パネルを確率で青パネルに変換しドロップ</v>
          </cell>
        </row>
        <row r="165">
          <cell r="A165">
            <v>2501</v>
          </cell>
          <cell r="B165" t="str">
            <v>ja</v>
          </cell>
          <cell r="C165" t="str">
            <v>黄パネルドロップ</v>
          </cell>
          <cell r="D165" t="str">
            <v>自身が先頭の時、青パネルを確率で黄パネルに変換しドロップ</v>
          </cell>
        </row>
        <row r="166">
          <cell r="A166">
            <v>2502</v>
          </cell>
          <cell r="B166" t="str">
            <v>ja</v>
          </cell>
          <cell r="C166" t="str">
            <v>赤パネルドロップ</v>
          </cell>
          <cell r="D166" t="str">
            <v>自身が先頭の時、黄パネルを確率で赤パネルに変換しドロップ</v>
          </cell>
        </row>
        <row r="167">
          <cell r="A167">
            <v>2503</v>
          </cell>
          <cell r="B167" t="str">
            <v>ja</v>
          </cell>
          <cell r="C167" t="str">
            <v>黄パネルドロップ</v>
          </cell>
          <cell r="D167" t="str">
            <v>自身が先頭の時、赤パネルを確率で黄パネルに変換しドロップ</v>
          </cell>
        </row>
        <row r="168">
          <cell r="A168">
            <v>2504</v>
          </cell>
          <cell r="B168" t="str">
            <v>ja</v>
          </cell>
          <cell r="C168" t="str">
            <v>SCパネルドロップ</v>
          </cell>
          <cell r="D168" t="str">
            <v>自身が先頭の時、緑パネルを確率でSCパネルに変換しドロップ</v>
          </cell>
        </row>
        <row r="169">
          <cell r="A169">
            <v>2505</v>
          </cell>
          <cell r="B169" t="str">
            <v>ja</v>
          </cell>
          <cell r="C169" t="str">
            <v>緑ボムパネル(大)ドロップ</v>
          </cell>
          <cell r="D169" t="str">
            <v>自身が先頭の時、低確率で緑ボムパネル(大)をドロップ</v>
          </cell>
        </row>
        <row r="170">
          <cell r="A170">
            <v>2600</v>
          </cell>
          <cell r="B170" t="str">
            <v>ja</v>
          </cell>
          <cell r="C170" t="str">
            <v>回復力400UP</v>
          </cell>
          <cell r="D170" t="str">
            <v>自身の回復力を400UP</v>
          </cell>
        </row>
        <row r="171">
          <cell r="A171">
            <v>2601</v>
          </cell>
          <cell r="B171" t="str">
            <v>ja</v>
          </cell>
          <cell r="C171" t="str">
            <v>回復力300UP</v>
          </cell>
          <cell r="D171" t="str">
            <v>自身の回復力を300UP</v>
          </cell>
        </row>
        <row r="172">
          <cell r="A172">
            <v>2700</v>
          </cell>
          <cell r="B172" t="str">
            <v>ja</v>
          </cell>
          <cell r="C172" t="str">
            <v>攻撃力UP</v>
          </cell>
          <cell r="D172" t="str">
            <v>自身の攻撃力を300UP</v>
          </cell>
        </row>
        <row r="173">
          <cell r="A173">
            <v>2701</v>
          </cell>
          <cell r="B173" t="str">
            <v>ja</v>
          </cell>
          <cell r="C173" t="str">
            <v>攻撃力UP</v>
          </cell>
          <cell r="D173" t="str">
            <v>自身の攻撃力を500UP</v>
          </cell>
        </row>
        <row r="174">
          <cell r="A174">
            <v>2800</v>
          </cell>
          <cell r="B174" t="str">
            <v>ja</v>
          </cell>
          <cell r="C174" t="str">
            <v>防御力UP</v>
          </cell>
          <cell r="D174" t="str">
            <v>自身の防御力を250UP</v>
          </cell>
        </row>
        <row r="175">
          <cell r="A175">
            <v>2801</v>
          </cell>
          <cell r="B175" t="str">
            <v>ja</v>
          </cell>
          <cell r="C175" t="str">
            <v>防御力UP</v>
          </cell>
          <cell r="D175" t="str">
            <v>自身の防御力を350UP</v>
          </cell>
        </row>
        <row r="176">
          <cell r="A176">
            <v>2900</v>
          </cell>
          <cell r="B176" t="str">
            <v>ja</v>
          </cell>
          <cell r="C176" t="str">
            <v>フィーバー50 攻撃力小UP</v>
          </cell>
          <cell r="D176" t="str">
            <v>フィーバーゲージが50％以上の時、自身の攻撃力小UP</v>
          </cell>
        </row>
        <row r="177">
          <cell r="A177">
            <v>2901</v>
          </cell>
          <cell r="B177" t="str">
            <v>ja</v>
          </cell>
          <cell r="C177" t="str">
            <v>フィーバー40 攻撃力UP</v>
          </cell>
          <cell r="D177" t="str">
            <v>フィーバーゲージが40％以上の時、自身の攻撃力UP</v>
          </cell>
        </row>
        <row r="178">
          <cell r="A178">
            <v>9000</v>
          </cell>
          <cell r="B178" t="str">
            <v>ja</v>
          </cell>
          <cell r="C178" t="str">
            <v>ハップルチャレンジ ダメージUP</v>
          </cell>
          <cell r="D178" t="str">
            <v>ハップルチャレンジ内で自身の全ての攻撃の威力をUP</v>
          </cell>
        </row>
        <row r="179">
          <cell r="A179">
            <v>119402</v>
          </cell>
          <cell r="B179" t="str">
            <v>ja</v>
          </cell>
          <cell r="C179" t="str">
            <v>ハロウィンナイトパニック！ 威力UP</v>
          </cell>
          <cell r="D179" t="str">
            <v>ハロウィンナイトパニック！内で自身の全ての攻撃の威力を究極UP</v>
          </cell>
        </row>
        <row r="180">
          <cell r="A180">
            <v>1101</v>
          </cell>
          <cell r="B180" t="str">
            <v>ja</v>
          </cell>
          <cell r="C180" t="str">
            <v>Cパネル生成短縮(大)</v>
          </cell>
          <cell r="D180" t="str">
            <v>自身が先頭の時、Cパネル生成に必要なチェイン数を2短縮する</v>
          </cell>
        </row>
        <row r="181">
          <cell r="A181">
            <v>1200</v>
          </cell>
          <cell r="B181" t="str">
            <v>ja</v>
          </cell>
          <cell r="C181" t="str">
            <v>フィーバー攻撃UP</v>
          </cell>
          <cell r="D181" t="str">
            <v>自身が先頭の時、フィーバー発動時に緑属性の攻撃力と回復力UP</v>
          </cell>
        </row>
        <row r="182">
          <cell r="A182">
            <v>1300</v>
          </cell>
          <cell r="B182" t="str">
            <v>ja</v>
          </cell>
          <cell r="C182" t="str">
            <v>チェイン12 HP回復</v>
          </cell>
          <cell r="D182" t="str">
            <v>自身が先頭の時、1タップで12個以上パネルを繋げた場合にHPを2000回復(1ターンに1度だけ発動)</v>
          </cell>
        </row>
        <row r="183">
          <cell r="A183">
            <v>1400</v>
          </cell>
          <cell r="B183" t="str">
            <v>ja</v>
          </cell>
          <cell r="C183" t="str">
            <v>カウンター威力UP</v>
          </cell>
          <cell r="D183" t="str">
            <v>4ターン毎に自身のカウンタースキルの威力が1ターンの間UP</v>
          </cell>
        </row>
        <row r="184">
          <cell r="A184">
            <v>1500</v>
          </cell>
          <cell r="B184" t="str">
            <v>ja</v>
          </cell>
          <cell r="C184" t="str">
            <v>バリア15000</v>
          </cell>
          <cell r="D184" t="str">
            <v>戦闘開始時に、自身への直接ダメージを15000まで防ぐバリアを一度だけ展開(バリアは破壊されると復活しない)</v>
          </cell>
        </row>
        <row r="185">
          <cell r="A185">
            <v>1501</v>
          </cell>
          <cell r="B185" t="str">
            <v>ja</v>
          </cell>
          <cell r="C185" t="str">
            <v>バリア</v>
          </cell>
          <cell r="D185" t="str">
            <v>戦闘開始時に、ダメージを25000まで防ぐバリアを一度だけ展開</v>
          </cell>
        </row>
        <row r="186">
          <cell r="A186">
            <v>1502</v>
          </cell>
          <cell r="B186" t="str">
            <v>ja</v>
          </cell>
          <cell r="C186" t="str">
            <v>バリア</v>
          </cell>
          <cell r="D186" t="str">
            <v>戦闘開始時に、ダメージを50000まで防ぐバリアを一度だけ展開</v>
          </cell>
        </row>
        <row r="187">
          <cell r="A187">
            <v>1503</v>
          </cell>
          <cell r="B187" t="str">
            <v>ja</v>
          </cell>
          <cell r="C187" t="str">
            <v>バリア8000</v>
          </cell>
          <cell r="D187" t="str">
            <v>戦闘開始時に、自身への直接ダメージを8000まで防ぐバリアを一度だけ展開(バリアは破壊されると復活しない)</v>
          </cell>
        </row>
        <row r="188">
          <cell r="A188">
            <v>1504</v>
          </cell>
          <cell r="B188" t="str">
            <v>ja</v>
          </cell>
          <cell r="C188" t="str">
            <v>バリア10000</v>
          </cell>
          <cell r="D188" t="str">
            <v>戦闘開始時に、自身への直接ダメージを10000まで防ぐバリアを一度だけ展開(バリアは破壊されると復活しない)</v>
          </cell>
        </row>
        <row r="189">
          <cell r="A189">
            <v>1505</v>
          </cell>
          <cell r="B189" t="str">
            <v>ja</v>
          </cell>
          <cell r="C189" t="str">
            <v>バリア3939</v>
          </cell>
          <cell r="D189" t="str">
            <v>戦闘開始時に、自身への直接ダメージを3939まで防ぐバリアを一度だけ展開(バリアは破壊されると復活しない)</v>
          </cell>
        </row>
        <row r="190">
          <cell r="A190">
            <v>1506</v>
          </cell>
          <cell r="B190" t="str">
            <v>ja</v>
          </cell>
          <cell r="C190" t="str">
            <v>バリア5000</v>
          </cell>
          <cell r="D190" t="str">
            <v>戦闘開始時に、自身への直接ダメージを5000まで防ぐバリアを一度だけ展開(バリアは破壊されると復活しない)</v>
          </cell>
        </row>
        <row r="191">
          <cell r="A191">
            <v>1600</v>
          </cell>
          <cell r="B191" t="str">
            <v>ja</v>
          </cell>
          <cell r="C191" t="str">
            <v>攻撃力・回復力UP</v>
          </cell>
          <cell r="D191" t="str">
            <v>自身の攻撃力と回復力をUP</v>
          </cell>
        </row>
        <row r="192">
          <cell r="A192">
            <v>1700</v>
          </cell>
          <cell r="B192" t="str">
            <v>ja</v>
          </cell>
          <cell r="C192" t="str">
            <v>パネルブレイク30 ターンHP小回復</v>
          </cell>
          <cell r="D192" t="str">
            <v>自身が先頭の時、1ターンの間に合計30個以上パネルを破壊した場合に1ターン HP小回復</v>
          </cell>
        </row>
        <row r="193">
          <cell r="A193">
            <v>1701</v>
          </cell>
          <cell r="B193" t="str">
            <v>ja</v>
          </cell>
          <cell r="C193" t="str">
            <v>ターン終了時HP回復</v>
          </cell>
          <cell r="D193" t="str">
            <v>最初の1ターン目と、その後3ターン毎のターン終了時、HPを1200回復する</v>
          </cell>
        </row>
        <row r="194">
          <cell r="A194">
            <v>1800</v>
          </cell>
          <cell r="B194" t="str">
            <v>ja</v>
          </cell>
          <cell r="C194" t="str">
            <v>フィーバー強化</v>
          </cell>
          <cell r="D194" t="str">
            <v>フィーバー時自身の攻撃力、回復力を特大UP</v>
          </cell>
        </row>
        <row r="195">
          <cell r="A195">
            <v>1900</v>
          </cell>
          <cell r="B195" t="str">
            <v>ja</v>
          </cell>
          <cell r="C195" t="str">
            <v>ハート出現率UP</v>
          </cell>
          <cell r="D195" t="str">
            <v>自身が先頭の時、ハートパネルの出現率UP</v>
          </cell>
        </row>
        <row r="196">
          <cell r="A196">
            <v>2000</v>
          </cell>
          <cell r="B196" t="str">
            <v>ja</v>
          </cell>
          <cell r="C196" t="str">
            <v>赤パネル出現率UP</v>
          </cell>
          <cell r="D196" t="str">
            <v>自身が先頭の時、赤パネルの出現率UP</v>
          </cell>
        </row>
        <row r="197">
          <cell r="A197">
            <v>2100</v>
          </cell>
          <cell r="B197" t="str">
            <v>ja</v>
          </cell>
          <cell r="C197" t="str">
            <v>緑パネル出現率UP</v>
          </cell>
          <cell r="D197" t="str">
            <v>自身が先頭の時、緑パネルの出現率UP</v>
          </cell>
        </row>
        <row r="198">
          <cell r="A198">
            <v>2101</v>
          </cell>
          <cell r="B198" t="str">
            <v>ja</v>
          </cell>
          <cell r="C198" t="str">
            <v>緑パネル出現率UP</v>
          </cell>
          <cell r="D198" t="str">
            <v>自身が先頭の時、緑パネルの出現率UP</v>
          </cell>
        </row>
        <row r="199">
          <cell r="A199">
            <v>2200</v>
          </cell>
          <cell r="B199" t="str">
            <v>ja</v>
          </cell>
          <cell r="C199" t="str">
            <v>青パネル出現率UP</v>
          </cell>
          <cell r="D199" t="str">
            <v>自身が先頭の時、青パネルの出現率UP</v>
          </cell>
        </row>
        <row r="200">
          <cell r="A200">
            <v>2201</v>
          </cell>
          <cell r="B200" t="str">
            <v>ja</v>
          </cell>
          <cell r="C200" t="str">
            <v>青パネル出現率UP</v>
          </cell>
          <cell r="D200" t="str">
            <v>自身が先頭の時、青パネルの出現率UP</v>
          </cell>
        </row>
        <row r="201">
          <cell r="A201">
            <v>2300</v>
          </cell>
          <cell r="B201" t="str">
            <v>ja</v>
          </cell>
          <cell r="C201" t="str">
            <v>黄パネル出現率UP</v>
          </cell>
          <cell r="D201" t="str">
            <v>自身が先頭の時、黄パネルの出現率UP</v>
          </cell>
        </row>
        <row r="202">
          <cell r="A202">
            <v>2400</v>
          </cell>
          <cell r="B202" t="str">
            <v>ja</v>
          </cell>
          <cell r="C202" t="str">
            <v>ハートボムパネルドロップ</v>
          </cell>
          <cell r="D202" t="str">
            <v>自身が先頭の時、ハートパネルを確率でハートボムパネルに変換しドロップ</v>
          </cell>
        </row>
        <row r="203">
          <cell r="A203">
            <v>2401</v>
          </cell>
          <cell r="B203" t="str">
            <v>ja</v>
          </cell>
          <cell r="C203" t="str">
            <v>赤ボムパネルドロップ</v>
          </cell>
          <cell r="D203" t="str">
            <v>自身が先頭の時、赤パネルを低確率で赤ボムパネルに変換しドロップ</v>
          </cell>
        </row>
        <row r="204">
          <cell r="A204">
            <v>2402</v>
          </cell>
          <cell r="B204" t="str">
            <v>ja</v>
          </cell>
          <cell r="C204" t="str">
            <v>緑ボムパネルドロップ</v>
          </cell>
          <cell r="D204" t="str">
            <v>自身が先頭の時、緑パネルを低確率で緑ボムパネルに変換しドロップ</v>
          </cell>
        </row>
        <row r="205">
          <cell r="A205">
            <v>2403</v>
          </cell>
          <cell r="B205" t="str">
            <v>ja</v>
          </cell>
          <cell r="C205" t="str">
            <v>青ボムパネルドロップ</v>
          </cell>
          <cell r="D205" t="str">
            <v>自身が先頭の時、青パネルを確率で青ボムパネルに変換しドロップ</v>
          </cell>
        </row>
        <row r="206">
          <cell r="A206">
            <v>2500</v>
          </cell>
          <cell r="B206" t="str">
            <v>ja</v>
          </cell>
          <cell r="C206" t="str">
            <v>青パネルドロップ</v>
          </cell>
          <cell r="D206" t="str">
            <v>自身が先頭の時、緑パネルを確率で青パネルに変換しドロップ</v>
          </cell>
        </row>
        <row r="207">
          <cell r="A207">
            <v>2501</v>
          </cell>
          <cell r="B207" t="str">
            <v>ja</v>
          </cell>
          <cell r="C207" t="str">
            <v>黄パネルドロップ</v>
          </cell>
          <cell r="D207" t="str">
            <v>自身が先頭の時、青パネルを確率で黄パネルに変換しドロップ</v>
          </cell>
        </row>
        <row r="208">
          <cell r="A208">
            <v>2502</v>
          </cell>
          <cell r="B208" t="str">
            <v>ja</v>
          </cell>
          <cell r="C208" t="str">
            <v>赤パネルドロップ</v>
          </cell>
          <cell r="D208" t="str">
            <v>自身が先頭の時、黄パネルを確率で赤パネルに変換しドロップ</v>
          </cell>
        </row>
        <row r="209">
          <cell r="A209">
            <v>2503</v>
          </cell>
          <cell r="B209" t="str">
            <v>ja</v>
          </cell>
          <cell r="C209" t="str">
            <v>黄パネルドロップ</v>
          </cell>
          <cell r="D209" t="str">
            <v>自身が先頭の時、赤パネルを確率で黄パネルに変換しドロップ</v>
          </cell>
        </row>
        <row r="210">
          <cell r="A210">
            <v>2504</v>
          </cell>
          <cell r="B210" t="str">
            <v>ja</v>
          </cell>
          <cell r="C210" t="str">
            <v>SCパネルドロップ</v>
          </cell>
          <cell r="D210" t="str">
            <v>自身が先頭の時、緑パネルを確率でSCパネルに変換しドロップ</v>
          </cell>
        </row>
        <row r="211">
          <cell r="A211">
            <v>2505</v>
          </cell>
          <cell r="B211" t="str">
            <v>ja</v>
          </cell>
          <cell r="C211" t="str">
            <v>緑ボムパネル(大)ドロップ</v>
          </cell>
          <cell r="D211" t="str">
            <v>自身が先頭の時、低確率で緑ボムパネル(大)をドロップ</v>
          </cell>
        </row>
        <row r="212">
          <cell r="A212">
            <v>2506</v>
          </cell>
          <cell r="B212" t="str">
            <v>ja</v>
          </cell>
          <cell r="C212" t="str">
            <v>ハートボムパネル(大)ドロップ</v>
          </cell>
          <cell r="D212" t="str">
            <v>自身が先頭の時、低確率でハートボムパネル(大)をドロップ</v>
          </cell>
        </row>
        <row r="213">
          <cell r="A213">
            <v>2507</v>
          </cell>
          <cell r="B213" t="str">
            <v>ja</v>
          </cell>
          <cell r="C213" t="str">
            <v>Cパネルドロップ</v>
          </cell>
          <cell r="D213" t="str">
            <v>自身が先頭の時、低確率でCパネルをドロップ</v>
          </cell>
        </row>
        <row r="214">
          <cell r="A214">
            <v>2508</v>
          </cell>
          <cell r="B214" t="str">
            <v>ja</v>
          </cell>
          <cell r="C214" t="str">
            <v>黄パネルドロップ</v>
          </cell>
          <cell r="D214" t="str">
            <v>自身が先頭の時、緑パネルを確率で黄パネルに変換しドロップ</v>
          </cell>
        </row>
        <row r="215">
          <cell r="A215">
            <v>2509</v>
          </cell>
          <cell r="B215" t="str">
            <v>ja</v>
          </cell>
          <cell r="C215" t="str">
            <v>赤ボムパネル(大)ドロップ</v>
          </cell>
          <cell r="D215" t="str">
            <v>自身が先頭の時、低確率で赤ボムパネル(大)をドロップ</v>
          </cell>
        </row>
        <row r="216">
          <cell r="A216">
            <v>2510</v>
          </cell>
          <cell r="B216" t="str">
            <v>ja</v>
          </cell>
          <cell r="C216" t="str">
            <v>青ボムパネル(大)ドロップ</v>
          </cell>
          <cell r="D216" t="str">
            <v>自身が先頭の時、低確率で青ボムパネル(大)をドロップ</v>
          </cell>
        </row>
        <row r="217">
          <cell r="A217">
            <v>2511</v>
          </cell>
          <cell r="B217" t="str">
            <v>ja</v>
          </cell>
          <cell r="C217" t="str">
            <v>緑ボムパネルドロップ</v>
          </cell>
          <cell r="D217" t="str">
            <v>自身が先頭の時、ハートパネルを確率で緑ボムパネルに変換しドロップ</v>
          </cell>
        </row>
        <row r="218">
          <cell r="A218">
            <v>2512</v>
          </cell>
          <cell r="B218" t="str">
            <v>ja</v>
          </cell>
          <cell r="C218" t="str">
            <v>ハートボムパネル(大)ドロップ</v>
          </cell>
          <cell r="D218" t="str">
            <v>自身が先頭の時、低確率でハートボムパネル(大)をドロップ</v>
          </cell>
        </row>
        <row r="219">
          <cell r="A219">
            <v>2513</v>
          </cell>
          <cell r="B219" t="str">
            <v>ja</v>
          </cell>
          <cell r="C219" t="str">
            <v>緑ボムパネル(大)ドロップ</v>
          </cell>
          <cell r="D219" t="str">
            <v>自身が先頭の時、低確率で緑ボムパネル(大)をドロップ</v>
          </cell>
        </row>
        <row r="220">
          <cell r="A220">
            <v>2600</v>
          </cell>
          <cell r="B220" t="str">
            <v>ja</v>
          </cell>
          <cell r="C220" t="str">
            <v>回復力400UP</v>
          </cell>
          <cell r="D220" t="str">
            <v>自身の回復力を400UP</v>
          </cell>
        </row>
        <row r="221">
          <cell r="A221">
            <v>2601</v>
          </cell>
          <cell r="B221" t="str">
            <v>ja</v>
          </cell>
          <cell r="C221" t="str">
            <v>回復力300UP</v>
          </cell>
          <cell r="D221" t="str">
            <v>自身の回復力を300UP</v>
          </cell>
        </row>
        <row r="222">
          <cell r="A222">
            <v>2700</v>
          </cell>
          <cell r="B222" t="str">
            <v>ja</v>
          </cell>
          <cell r="C222" t="str">
            <v>攻撃力UP</v>
          </cell>
          <cell r="D222" t="str">
            <v>自身の攻撃力を300UP</v>
          </cell>
        </row>
        <row r="223">
          <cell r="A223">
            <v>2701</v>
          </cell>
          <cell r="B223" t="str">
            <v>ja</v>
          </cell>
          <cell r="C223" t="str">
            <v>攻撃力UP</v>
          </cell>
          <cell r="D223" t="str">
            <v>自身の攻撃力を500UP</v>
          </cell>
        </row>
        <row r="224">
          <cell r="A224">
            <v>2800</v>
          </cell>
          <cell r="B224" t="str">
            <v>ja</v>
          </cell>
          <cell r="C224" t="str">
            <v>防御力UP</v>
          </cell>
          <cell r="D224" t="str">
            <v>自身の防御力を250UP</v>
          </cell>
        </row>
        <row r="225">
          <cell r="A225">
            <v>2801</v>
          </cell>
          <cell r="B225" t="str">
            <v>ja</v>
          </cell>
          <cell r="C225" t="str">
            <v>防御力UP</v>
          </cell>
          <cell r="D225" t="str">
            <v>自身の防御力を350UP</v>
          </cell>
        </row>
        <row r="226">
          <cell r="A226">
            <v>2802</v>
          </cell>
          <cell r="B226" t="str">
            <v>ja</v>
          </cell>
          <cell r="C226" t="str">
            <v>防御力UP</v>
          </cell>
          <cell r="D226" t="str">
            <v>自身の防御力を300UP</v>
          </cell>
        </row>
        <row r="227">
          <cell r="A227">
            <v>2803</v>
          </cell>
          <cell r="B227" t="str">
            <v>ja</v>
          </cell>
          <cell r="C227" t="str">
            <v>防御力UP</v>
          </cell>
          <cell r="D227" t="str">
            <v>自身の防御力を400UP</v>
          </cell>
        </row>
        <row r="228">
          <cell r="A228">
            <v>2804</v>
          </cell>
          <cell r="B228" t="str">
            <v>ja</v>
          </cell>
          <cell r="C228" t="str">
            <v>防御力UP</v>
          </cell>
          <cell r="D228" t="str">
            <v>自身の防御力を280UP</v>
          </cell>
        </row>
        <row r="229">
          <cell r="A229">
            <v>2805</v>
          </cell>
          <cell r="B229" t="str">
            <v>ja</v>
          </cell>
          <cell r="C229" t="str">
            <v>ターン経過防御力UP</v>
          </cell>
          <cell r="D229" t="str">
            <v>最初の1ターン目と、その後3ターン毎に1ターン緑属性ユニットの防御力を500UP</v>
          </cell>
        </row>
        <row r="230">
          <cell r="A230">
            <v>2900</v>
          </cell>
          <cell r="B230" t="str">
            <v>ja</v>
          </cell>
          <cell r="C230" t="str">
            <v>フィーバー50 攻撃力小UP</v>
          </cell>
          <cell r="D230" t="str">
            <v>フィーバーゲージが50％以上の時、自身の攻撃力小UP</v>
          </cell>
        </row>
        <row r="231">
          <cell r="A231">
            <v>2901</v>
          </cell>
          <cell r="B231" t="str">
            <v>ja</v>
          </cell>
          <cell r="C231" t="str">
            <v>フィーバー40 攻撃力UP</v>
          </cell>
          <cell r="D231" t="str">
            <v>フィーバーゲージが40％以上の時、自身の攻撃力UP</v>
          </cell>
        </row>
        <row r="232">
          <cell r="A232">
            <v>2902</v>
          </cell>
          <cell r="B232" t="str">
            <v>ja</v>
          </cell>
          <cell r="C232" t="str">
            <v>フィーバー80 攻撃力大UP</v>
          </cell>
          <cell r="D232" t="str">
            <v>フィーバーゲージが80％以上の時、自身の攻撃力大UP</v>
          </cell>
        </row>
        <row r="233">
          <cell r="A233">
            <v>2903</v>
          </cell>
          <cell r="B233" t="str">
            <v>ja</v>
          </cell>
          <cell r="C233" t="str">
            <v>フィーバー100 攻撃参加</v>
          </cell>
          <cell r="D233" t="str">
            <v>フィーバーゲージが100％の時、自身が先頭以外でも通常攻撃に参加する</v>
          </cell>
        </row>
        <row r="234">
          <cell r="A234">
            <v>3000</v>
          </cell>
          <cell r="B234" t="str">
            <v>ja</v>
          </cell>
          <cell r="C234" t="str">
            <v>攻撃参加</v>
          </cell>
          <cell r="D234" t="str">
            <v>最初の1ターン目と、その後7ターン毎に自身が先頭以外でも通常攻撃に参加する</v>
          </cell>
        </row>
        <row r="235">
          <cell r="A235">
            <v>3001</v>
          </cell>
          <cell r="B235" t="str">
            <v>ja</v>
          </cell>
          <cell r="C235" t="str">
            <v>攻撃参加</v>
          </cell>
          <cell r="D235" t="str">
            <v>最初の1ターン目と、その後6ターン毎に自身が先頭以外でも通常攻撃に参加する</v>
          </cell>
        </row>
        <row r="236">
          <cell r="A236">
            <v>3002</v>
          </cell>
          <cell r="B236" t="str">
            <v>ja</v>
          </cell>
          <cell r="C236" t="str">
            <v>攻撃参加</v>
          </cell>
          <cell r="D236" t="str">
            <v>最初の1ターン目と、その後9ターン毎に自身が先頭以外でも通常攻撃に参加する</v>
          </cell>
        </row>
        <row r="237">
          <cell r="A237">
            <v>3100</v>
          </cell>
          <cell r="B237" t="str">
            <v>ja</v>
          </cell>
          <cell r="C237" t="str">
            <v>ボスフロア Cパネル生成短縮(特大)</v>
          </cell>
          <cell r="D237" t="str">
            <v>ボスフロア内で自身が先頭の時、Cパネル生成に必要なチェイン数を短縮する</v>
          </cell>
        </row>
        <row r="238">
          <cell r="A238">
            <v>3101</v>
          </cell>
          <cell r="B238" t="str">
            <v>ja</v>
          </cell>
          <cell r="C238" t="str">
            <v>ボスフロア時 バリア3000</v>
          </cell>
          <cell r="D238" t="str">
            <v>ボスフロア到達時に自身への直接ダメージを3000まで防ぐバリアを一度だけ展開(バリアは破壊されると復活しない)</v>
          </cell>
        </row>
        <row r="239">
          <cell r="A239">
            <v>3102</v>
          </cell>
          <cell r="B239" t="str">
            <v>ja</v>
          </cell>
          <cell r="C239" t="str">
            <v>ボスフロア時 Cスキル威力UP</v>
          </cell>
          <cell r="D239" t="str">
            <v>ボスフロアの1ターン目終了時に自身のCスキルの威力をUP</v>
          </cell>
        </row>
        <row r="240">
          <cell r="A240">
            <v>3103</v>
          </cell>
          <cell r="B240" t="str">
            <v>ja</v>
          </cell>
          <cell r="C240" t="str">
            <v>ボスフロア 攻撃力UP</v>
          </cell>
          <cell r="D240" t="str">
            <v>ボスフロア内で自身の攻撃力を700UP</v>
          </cell>
        </row>
        <row r="241">
          <cell r="A241">
            <v>3104</v>
          </cell>
          <cell r="B241" t="str">
            <v>ja</v>
          </cell>
          <cell r="C241" t="str">
            <v>ボスフロア時 バリア5000</v>
          </cell>
          <cell r="D241" t="str">
            <v>ボスフロア到達時に自身への直接ダメージを5000まで防ぐバリアを一度だけ展開(バリアは破壊されると復活しない)</v>
          </cell>
        </row>
        <row r="242">
          <cell r="A242">
            <v>3200</v>
          </cell>
          <cell r="B242" t="str">
            <v>ja</v>
          </cell>
          <cell r="C242" t="str">
            <v>HP33%以下 攻撃力UP</v>
          </cell>
          <cell r="D242" t="str">
            <v>自身が先頭の時、残りHPが33%以下で攻撃力特大UP</v>
          </cell>
        </row>
        <row r="243">
          <cell r="A243">
            <v>3201</v>
          </cell>
          <cell r="B243" t="str">
            <v>ja</v>
          </cell>
          <cell r="C243" t="str">
            <v>HP35%以下 回復力UP</v>
          </cell>
          <cell r="D243" t="str">
            <v>自身が先頭の時、残りHPが35%以下で回復力40%UP</v>
          </cell>
        </row>
        <row r="244">
          <cell r="A244">
            <v>3202</v>
          </cell>
          <cell r="B244" t="str">
            <v>ja</v>
          </cell>
          <cell r="C244" t="str">
            <v>HP90%以上 全属性耐性15</v>
          </cell>
          <cell r="D244" t="str">
            <v>自身が先頭の時、残りHPが90%以上で全ユニットに対する全属性の敵からの攻撃を15％軽減</v>
          </cell>
        </row>
        <row r="245">
          <cell r="A245">
            <v>3203</v>
          </cell>
          <cell r="B245" t="str">
            <v>ja</v>
          </cell>
          <cell r="C245" t="str">
            <v>HP50%以下 防御力UP</v>
          </cell>
          <cell r="D245" t="str">
            <v>自身が先頭の時、残りHPが50%以下で防御力398UP</v>
          </cell>
        </row>
        <row r="246">
          <cell r="A246">
            <v>3204</v>
          </cell>
          <cell r="B246" t="str">
            <v>ja</v>
          </cell>
          <cell r="C246" t="str">
            <v>HP30%以下 攻撃力大UP</v>
          </cell>
          <cell r="D246" t="str">
            <v>自身が先頭の時、残りHPが30%以下で攻撃力大UP</v>
          </cell>
        </row>
        <row r="247">
          <cell r="A247">
            <v>3205</v>
          </cell>
          <cell r="B247" t="str">
            <v>ja</v>
          </cell>
          <cell r="C247" t="str">
            <v>HP90%以上 ダメージ軽減</v>
          </cell>
          <cell r="D247" t="str">
            <v>残りHPが90%以上の時、全ユニットが敵からの攻撃を15％軽減</v>
          </cell>
        </row>
        <row r="248">
          <cell r="A248">
            <v>4000</v>
          </cell>
          <cell r="B248" t="str">
            <v>ja</v>
          </cell>
          <cell r="C248" t="str">
            <v>被ダメージ時 HP回復</v>
          </cell>
          <cell r="D248" t="str">
            <v>自身が攻撃を受けた場合、次のターンの開始時にHP500回復する</v>
          </cell>
        </row>
        <row r="249">
          <cell r="A249">
            <v>8000</v>
          </cell>
          <cell r="B249" t="str">
            <v>ja</v>
          </cell>
          <cell r="C249" t="str">
            <v>ユニットが一番右にいるとき 攻撃力UP</v>
          </cell>
          <cell r="D249" t="str">
            <v>自身が一番右にいる場合、全ユニットの攻撃力UP</v>
          </cell>
        </row>
        <row r="250">
          <cell r="A250">
            <v>8001</v>
          </cell>
          <cell r="B250" t="str">
            <v>ja</v>
          </cell>
          <cell r="C250" t="str">
            <v>敵に青属性がいる場合 小カウンター</v>
          </cell>
          <cell r="D250" t="str">
            <v>敵に青属性がいる場合、小カウンター</v>
          </cell>
        </row>
        <row r="251">
          <cell r="A251">
            <v>8002</v>
          </cell>
          <cell r="B251" t="str">
            <v>ja</v>
          </cell>
          <cell r="C251" t="str">
            <v>テスト</v>
          </cell>
          <cell r="D251" t="str">
            <v>フロアスタート時、1ターン全ユニットの攻撃力UP</v>
          </cell>
        </row>
        <row r="252">
          <cell r="A252">
            <v>8003</v>
          </cell>
          <cell r="B252" t="str">
            <v>ja</v>
          </cell>
          <cell r="C252" t="str">
            <v>HP70%以上 ウィルス無効</v>
          </cell>
          <cell r="D252" t="str">
            <v>残りHPが70%以上で自身にかかるウィルスを無効化する</v>
          </cell>
        </row>
        <row r="253">
          <cell r="A253">
            <v>8004</v>
          </cell>
          <cell r="B253" t="str">
            <v>ja</v>
          </cell>
          <cell r="C253" t="str">
            <v>フロアスタート時 スキルブースト</v>
          </cell>
          <cell r="D253" t="str">
            <v>フロアスタート時、1ターンスキルブースト</v>
          </cell>
        </row>
        <row r="254">
          <cell r="A254">
            <v>9000</v>
          </cell>
          <cell r="B254" t="str">
            <v>ja</v>
          </cell>
          <cell r="C254" t="str">
            <v>ハップルチャレンジ ダメージUP</v>
          </cell>
          <cell r="D254" t="str">
            <v>ハップルチャレンジ内で自身の全ての攻撃の威力をUP</v>
          </cell>
        </row>
        <row r="255">
          <cell r="A255">
            <v>9001</v>
          </cell>
          <cell r="B255" t="str">
            <v>ja</v>
          </cell>
          <cell r="C255" t="str">
            <v>クロネッカーチャレンジ ダメージUP</v>
          </cell>
          <cell r="D255" t="str">
            <v>クロネッカーチャレンジ内で自身の全ての攻撃の威力をUP</v>
          </cell>
        </row>
        <row r="256">
          <cell r="A256">
            <v>9002</v>
          </cell>
          <cell r="B256" t="str">
            <v>ja</v>
          </cell>
          <cell r="C256" t="str">
            <v>クロネッカーチャレンジ ダメージUP</v>
          </cell>
          <cell r="D256" t="str">
            <v>クロネッカーチャレンジ内で自身の全ての攻撃+カウンターの威力をUP</v>
          </cell>
        </row>
        <row r="257">
          <cell r="A257">
            <v>9003</v>
          </cell>
          <cell r="B257" t="str">
            <v>ja</v>
          </cell>
          <cell r="C257" t="str">
            <v>オイラーチャレンジ ダメージUP</v>
          </cell>
          <cell r="D257" t="str">
            <v>オイラーチャレンジ内で自身の全ての攻撃の威力をUP</v>
          </cell>
        </row>
        <row r="258">
          <cell r="A258">
            <v>9004</v>
          </cell>
          <cell r="B258" t="str">
            <v>ja</v>
          </cell>
          <cell r="C258" t="str">
            <v>オイラーチャレンジ ダメージ究極UP</v>
          </cell>
          <cell r="D258" t="str">
            <v>オイラーチャレンジ内で自身の全ての攻撃の威力を究極UP</v>
          </cell>
        </row>
        <row r="259">
          <cell r="A259">
            <v>119402</v>
          </cell>
          <cell r="B259" t="str">
            <v>ja</v>
          </cell>
          <cell r="C259" t="str">
            <v>ハロウィンナイトパニック！ 威力UP</v>
          </cell>
          <cell r="D259" t="str">
            <v>ハロウィンナイトパニック！内で自身の全ての攻撃の威力を究極UP</v>
          </cell>
        </row>
        <row r="260">
          <cell r="A260">
            <v>500801</v>
          </cell>
          <cell r="B260" t="str">
            <v>ja</v>
          </cell>
          <cell r="C260" t="str">
            <v>パネルブレイク35 攻撃力小UP</v>
          </cell>
          <cell r="D260" t="str">
            <v>自身が先頭の時、1ターンの間に合計35個以上パネルを破壊した場合に攻撃力小UP</v>
          </cell>
        </row>
        <row r="261">
          <cell r="A261">
            <v>808082</v>
          </cell>
          <cell r="B261" t="str">
            <v>ja</v>
          </cell>
          <cell r="C261" t="str">
            <v>Cパネルドロップ</v>
          </cell>
          <cell r="D261" t="str">
            <v>自身が先頭の時、低確率でCパネルをドロップ</v>
          </cell>
        </row>
        <row r="262">
          <cell r="A262">
            <v>900000</v>
          </cell>
          <cell r="B262" t="str">
            <v>ja</v>
          </cell>
          <cell r="C262" t="str">
            <v>フィーバー100 プロテクトブレイク</v>
          </cell>
          <cell r="D262" t="str">
            <v>フィーバーゲージが100％以上の時、1ターンプロテクトブレイク</v>
          </cell>
        </row>
        <row r="263">
          <cell r="A263">
            <v>900001</v>
          </cell>
          <cell r="B263" t="str">
            <v>ja</v>
          </cell>
          <cell r="C263" t="str">
            <v>フィーバー100 お邪魔ブレイク</v>
          </cell>
          <cell r="D263" t="str">
            <v>フィーバーゲージが100％以上の時、1ターンお邪魔ブレイク</v>
          </cell>
        </row>
        <row r="264">
          <cell r="A264">
            <v>900402</v>
          </cell>
          <cell r="B264" t="str">
            <v>ja</v>
          </cell>
          <cell r="C264" t="str">
            <v>バリア3500</v>
          </cell>
          <cell r="D264" t="str">
            <v>戦闘開始時に、自身への直接ダメージを3500まで防ぐバリアを一度だけ展開(バリアは破壊されると復活しない)</v>
          </cell>
        </row>
        <row r="265">
          <cell r="A265">
            <v>810202</v>
          </cell>
          <cell r="B265" t="str">
            <v>ja</v>
          </cell>
          <cell r="C265" t="str">
            <v>パネルブレイク50 ダメージ軽減</v>
          </cell>
          <cell r="D265" t="str">
            <v>自身が先頭の時、1ターンの間に合計50個以上パネルを破壊した場合敵からのダメージを15%軽減（1ターンに1度だけ発動）</v>
          </cell>
        </row>
        <row r="266">
          <cell r="A266">
            <v>9003</v>
          </cell>
          <cell r="B266" t="str">
            <v>ja</v>
          </cell>
          <cell r="C266" t="str">
            <v>オイラーチャレンジ ダメージUP</v>
          </cell>
          <cell r="D266" t="str">
            <v>オイラーチャレンジ内で自身の全ての攻撃の威力をUP</v>
          </cell>
        </row>
        <row r="267">
          <cell r="A267">
            <v>9004</v>
          </cell>
          <cell r="B267" t="str">
            <v>ja</v>
          </cell>
          <cell r="C267" t="str">
            <v>オイラーチャレンジ ダメージ究極UP</v>
          </cell>
          <cell r="D267" t="str">
            <v>オイラーチャレンジ内で自身の全ての攻撃の威力を究極UP</v>
          </cell>
        </row>
        <row r="268">
          <cell r="A268">
            <v>9005</v>
          </cell>
          <cell r="B268" t="str">
            <v>ja</v>
          </cell>
          <cell r="C268" t="str">
            <v>ヘンペルチャレンジ ダメージUP</v>
          </cell>
          <cell r="D268" t="str">
            <v>ヘンペルチャレンジ内で自身の全ての攻撃の威力をUP</v>
          </cell>
        </row>
        <row r="269">
          <cell r="A269">
            <v>9006</v>
          </cell>
          <cell r="B269" t="str">
            <v>ja</v>
          </cell>
          <cell r="C269" t="str">
            <v>ヘンペルチャレンジ ダメージUP</v>
          </cell>
          <cell r="D269" t="str">
            <v>ヘンペルチャレンジ内で自身の全ての攻撃+カウンターの威力をUP</v>
          </cell>
        </row>
        <row r="270">
          <cell r="A270">
            <v>119402</v>
          </cell>
          <cell r="B270" t="str">
            <v>ja</v>
          </cell>
          <cell r="C270" t="str">
            <v>ハロウィンナイトパニック！ 威力UP</v>
          </cell>
          <cell r="D270" t="str">
            <v>ハロウィンナイトパニック！内で自身の全ての攻撃の威力を究極UP</v>
          </cell>
        </row>
        <row r="271">
          <cell r="A271">
            <v>500801</v>
          </cell>
          <cell r="B271" t="str">
            <v>ja</v>
          </cell>
          <cell r="C271" t="str">
            <v>パネルブレイク35 攻撃力小UP</v>
          </cell>
          <cell r="D271" t="str">
            <v>自身が先頭の時、1ターンの間に合計35個以上パネルを破壊した場合に攻撃力小UP</v>
          </cell>
        </row>
        <row r="272">
          <cell r="A272">
            <v>808082</v>
          </cell>
          <cell r="B272" t="str">
            <v>ja</v>
          </cell>
          <cell r="C272" t="str">
            <v>Cパネルドロップ</v>
          </cell>
          <cell r="D272" t="str">
            <v>自身が先頭の時、低確率でCパネルをドロップ</v>
          </cell>
        </row>
        <row r="273">
          <cell r="A273">
            <v>900000</v>
          </cell>
          <cell r="B273" t="str">
            <v>ja</v>
          </cell>
          <cell r="C273" t="str">
            <v>フィーバー100 プロテクトブレイク</v>
          </cell>
          <cell r="D273" t="str">
            <v>フィーバーゲージが100％以上の時、1ターンプロテクトブレイク</v>
          </cell>
        </row>
        <row r="274">
          <cell r="A274">
            <v>900001</v>
          </cell>
          <cell r="B274" t="str">
            <v>ja</v>
          </cell>
          <cell r="C274" t="str">
            <v>フィーバー100 お邪魔ブレイク</v>
          </cell>
          <cell r="D274" t="str">
            <v>フィーバーゲージが100％以上の時、1ターンお邪魔ブレイク</v>
          </cell>
        </row>
        <row r="275">
          <cell r="A275">
            <v>900402</v>
          </cell>
          <cell r="B275" t="str">
            <v>ja</v>
          </cell>
          <cell r="C275" t="str">
            <v>バリア3500</v>
          </cell>
          <cell r="D275" t="str">
            <v>戦闘開始時に、自身への直接ダメージを3500まで防ぐバリアを一度だけ展開(バリアは破壊されると復活しない)</v>
          </cell>
        </row>
        <row r="276">
          <cell r="A276">
            <v>810202</v>
          </cell>
          <cell r="B276" t="str">
            <v>ja</v>
          </cell>
          <cell r="C276" t="str">
            <v>パネルブレイク50 ダメージ軽減</v>
          </cell>
          <cell r="D276" t="str">
            <v>自身が先頭の時、1ターンの間に合計50個以上パネルを破壊した場合敵からのダメージを15%軽減（1ターンに1度だけ発動）</v>
          </cell>
        </row>
        <row r="277">
          <cell r="A277">
            <v>811802</v>
          </cell>
          <cell r="B277" t="str">
            <v>ja</v>
          </cell>
          <cell r="C277" t="str">
            <v>ターン攻撃力UP</v>
          </cell>
          <cell r="D277" t="str">
            <v>最初の1ターン目と、その後6ターン毎に1ターン種族ドラゴン・ファンタジー・アニマルの攻撃力1000UP</v>
          </cell>
        </row>
        <row r="278">
          <cell r="A278">
            <v>812002</v>
          </cell>
          <cell r="B278" t="str">
            <v>ja</v>
          </cell>
          <cell r="C278" t="str">
            <v>ターンタップ増加</v>
          </cell>
          <cell r="D278" t="str">
            <v>最初の1ターン目と、その後6ターン毎に1ターン種族ドラゴン・ファンタジー・アニマルのタップ数1増加</v>
          </cell>
        </row>
        <row r="279">
          <cell r="A279">
            <v>811803</v>
          </cell>
          <cell r="B279" t="str">
            <v>ja</v>
          </cell>
          <cell r="C279" t="str">
            <v>端午クエスト ダメージUP</v>
          </cell>
          <cell r="D279" t="str">
            <v>端午クエスト内で自身の全ての攻撃の威力をUP</v>
          </cell>
        </row>
        <row r="280">
          <cell r="A280">
            <v>900802</v>
          </cell>
          <cell r="B280" t="str">
            <v>ja</v>
          </cell>
          <cell r="C280" t="str">
            <v>ターン攻撃力UP</v>
          </cell>
          <cell r="D280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C24" sqref="C24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340</v>
      </c>
      <c r="B2" s="105" t="s">
        <v>129</v>
      </c>
      <c r="C2" s="162" t="s">
        <v>348</v>
      </c>
      <c r="D2" s="105" t="s">
        <v>128</v>
      </c>
      <c r="E2" s="104" t="str">
        <f>B2&amp;C2&amp;D2</f>
        <v>units_fes08.tmp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317</v>
      </c>
      <c r="S2" s="105"/>
      <c r="T2" s="105"/>
      <c r="U2" s="105"/>
      <c r="V2" s="105"/>
      <c r="W2" s="105"/>
    </row>
    <row r="3" spans="1:29" x14ac:dyDescent="0.15">
      <c r="A3" s="105" t="s">
        <v>340</v>
      </c>
      <c r="B3" s="105" t="s">
        <v>294</v>
      </c>
      <c r="C3" s="162" t="s">
        <v>348</v>
      </c>
      <c r="D3" s="105" t="s">
        <v>128</v>
      </c>
      <c r="E3" s="104" t="str">
        <f>B3&amp;C3&amp;D3</f>
        <v>fork_awake_units_fes08.tmp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340</v>
      </c>
      <c r="B4" s="105" t="s">
        <v>130</v>
      </c>
      <c r="C4" s="162" t="s">
        <v>347</v>
      </c>
      <c r="D4" s="105" t="s">
        <v>128</v>
      </c>
      <c r="E4" s="104" t="str">
        <f>B4&amp;C4&amp;D4</f>
        <v>awake_materials_fes08.tmp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340</v>
      </c>
      <c r="B5" s="105" t="s">
        <v>293</v>
      </c>
      <c r="C5" s="162" t="s">
        <v>347</v>
      </c>
      <c r="D5" s="105" t="s">
        <v>128</v>
      </c>
      <c r="E5" s="104" t="str">
        <f>B5&amp;C5&amp;D5</f>
        <v>fork_awake_materials_fes08.tmp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340</v>
      </c>
      <c r="B6" s="105" t="s">
        <v>131</v>
      </c>
      <c r="C6" s="162" t="s">
        <v>347</v>
      </c>
      <c r="D6" s="105" t="s">
        <v>132</v>
      </c>
      <c r="E6" s="104" t="str">
        <f t="shared" ref="E6" si="0">B6&amp;C6&amp;D6</f>
        <v>unit_levels_calc_fes08.tmp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340</v>
      </c>
      <c r="B7" s="105" t="s">
        <v>143</v>
      </c>
      <c r="C7" s="162" t="s">
        <v>347</v>
      </c>
      <c r="D7" s="105" t="s">
        <v>144</v>
      </c>
      <c r="E7" s="104" t="str">
        <f>B7&amp;C7&amp;D7</f>
        <v>unit_skills_data_fes08.tmp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340</v>
      </c>
      <c r="B8" s="105" t="s">
        <v>149</v>
      </c>
      <c r="C8" s="162" t="s">
        <v>347</v>
      </c>
      <c r="D8" s="105" t="s">
        <v>128</v>
      </c>
      <c r="E8" s="104" t="str">
        <f>B8&amp;C8&amp;D8</f>
        <v>unit_skills_i18n_fes08.tmp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340</v>
      </c>
      <c r="B9" s="105" t="s">
        <v>153</v>
      </c>
      <c r="C9" s="162" t="s">
        <v>347</v>
      </c>
      <c r="D9" s="105" t="s">
        <v>154</v>
      </c>
      <c r="E9" s="104" t="str">
        <f>B9&amp;C9&amp;D9</f>
        <v>crash_skills_data_fes08.tmp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340</v>
      </c>
      <c r="B10" s="105" t="s">
        <v>157</v>
      </c>
      <c r="C10" s="162" t="s">
        <v>347</v>
      </c>
      <c r="D10" s="105" t="s">
        <v>158</v>
      </c>
      <c r="E10" s="104" t="str">
        <f t="shared" ref="E10" si="1">B10&amp;C10&amp;D10</f>
        <v>crash_skills_i18n_fes08.tmp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340</v>
      </c>
      <c r="B11" s="108" t="s">
        <v>135</v>
      </c>
      <c r="C11" s="162" t="s">
        <v>347</v>
      </c>
      <c r="D11" s="105" t="s">
        <v>158</v>
      </c>
      <c r="E11" s="104" t="str">
        <f t="shared" ref="E11:E12" si="2">B11&amp;C11&amp;D11</f>
        <v>unit_serifs_data_fes08.tmp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191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340</v>
      </c>
      <c r="B12" s="108" t="s">
        <v>136</v>
      </c>
      <c r="C12" s="162" t="s">
        <v>347</v>
      </c>
      <c r="D12" s="105" t="s">
        <v>158</v>
      </c>
      <c r="E12" s="104" t="str">
        <f t="shared" si="2"/>
        <v>unit_serifs_i18n_fes08.tmp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184</v>
      </c>
      <c r="B13" s="105" t="s">
        <v>316</v>
      </c>
      <c r="C13" s="162" t="s">
        <v>347</v>
      </c>
      <c r="D13" s="105" t="s">
        <v>254</v>
      </c>
      <c r="E13" s="104" t="str">
        <f>B13&amp;C13&amp;D13</f>
        <v>abilities_tmp_fes08.tmp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184</v>
      </c>
      <c r="B14" s="105" t="s">
        <v>259</v>
      </c>
      <c r="C14" s="162" t="s">
        <v>347</v>
      </c>
      <c r="D14" s="105" t="s">
        <v>128</v>
      </c>
      <c r="E14" s="104" t="str">
        <f>B14&amp;C14&amp;D14</f>
        <v>abilities_i18n_fes08.tmp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340</v>
      </c>
      <c r="B15" s="105" t="s">
        <v>262</v>
      </c>
      <c r="C15" s="162" t="s">
        <v>347</v>
      </c>
      <c r="D15" s="105" t="s">
        <v>128</v>
      </c>
      <c r="E15" s="104" t="str">
        <f>B15&amp;C15&amp;D15</f>
        <v>unit_abilities_fes08.tmp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7"/>
  <sheetViews>
    <sheetView showGridLines="0" workbookViewId="0">
      <pane xSplit="9" ySplit="1" topLeftCell="AH3" activePane="bottomRight" state="frozen"/>
      <selection pane="topRight" activeCell="J1" sqref="J1"/>
      <selection pane="bottomLeft" activeCell="A3" sqref="A3"/>
      <selection pane="bottomRight" activeCell="A6" sqref="A6:XFD6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318</v>
      </c>
    </row>
    <row r="2" spans="1:70" ht="26" customHeight="1" x14ac:dyDescent="0.15">
      <c r="A2" s="186">
        <v>1488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デカルトR5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0">
        <f ca="1">VLOOKUP(I2,[1]属性!$A:$E,2,FALSE)</f>
        <v>1</v>
      </c>
      <c r="K2" s="10">
        <f ca="1">VLOOKUP(I2,[1]属性!$A:$E,3,FALSE)</f>
        <v>1.02</v>
      </c>
      <c r="L2" s="10">
        <f ca="1">VLOOKUP(I2,[1]属性!$A:$E,4,FALSE)</f>
        <v>1</v>
      </c>
      <c r="M2" s="10">
        <f ca="1">VLOOKUP(I2,[1]属性!$A:$E,5,FALSE)</f>
        <v>0.98</v>
      </c>
      <c r="N2" s="10">
        <f ca="1">INDEX(コスト!$A$1:$I$21,MATCH(H2,コスト!$A$1:$A$21,FALSE),MATCH(G2,コスト!$A$1:$I$1,FALSE))</f>
        <v>40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hp</v>
      </c>
      <c r="R2" s="5" t="str">
        <f ca="1">VLOOKUP(Q2,[1]character_type_i18n!$A:$H,3,FALSE)</f>
        <v>体力タイプ</v>
      </c>
      <c r="S2" s="10">
        <f ca="1">VLOOKUP(Q2,[1]character_type_i18n!$A:$H,4,FALSE)</f>
        <v>1.45</v>
      </c>
      <c r="T2" s="10">
        <f ca="1">VLOOKUP(Q2,[1]character_type_i18n!$A:$H,5,FALSE)</f>
        <v>0.85</v>
      </c>
      <c r="U2" s="10">
        <f ca="1">VLOOKUP(Q2,[1]character_type_i18n!$A:$H,6,FALSE)</f>
        <v>1</v>
      </c>
      <c r="V2" s="10">
        <f ca="1">VLOOKUP(Q2,[1]character_type_i18n!$A:$H,7,FALSE)</f>
        <v>0.7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academia</v>
      </c>
      <c r="X2" s="5" t="str">
        <f ca="1">VLOOKUP(W2,[1]character_tribe_i18n!$A:$H,3,FALSE)</f>
        <v>アカデミア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>
        <v>1489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デカルトR6</v>
      </c>
      <c r="AG2" s="187">
        <v>1488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デカルトR5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1488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デカルトR5スキル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下側をCPに、上側を最大1個赤ボム(大)変換+2ターン緑を赤ボムでドロップ、全ユニット防御力大UP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1488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デカルトR5Cスキル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自身のHPの最大値に比例して_x000D_単体に2回特大ダメージ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1</v>
      </c>
      <c r="AY2" s="64">
        <v>0.94979999999999998</v>
      </c>
      <c r="AZ2" s="64">
        <v>1.2002999999999999</v>
      </c>
      <c r="BA2" s="64">
        <v>0</v>
      </c>
      <c r="BB2" s="64">
        <v>1.0416000000000001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t="shared" ref="BE2:BE7" ca="1" si="3">ROUND(IFERROR(INDIRECT(ADDRESS(MATCH($A2,$AE:$AE,0),MATCH($BC$1,$1:$1,0))),0),0)</f>
        <v>0</v>
      </c>
      <c r="BF2" s="10">
        <f t="shared" ref="BF2:BF7" ca="1" si="4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3443</v>
      </c>
      <c r="BH2" s="15">
        <f ca="1">IF($BE2&lt;=0,ROUND(BL2*0.5,0), ROUND($BE2*T2*AB2*K2*AZ2*0.8*[1]ステータス!$C$2,0))</f>
        <v>1561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893</v>
      </c>
      <c r="BK2" s="10">
        <f ca="1">ROUND(BD2*S2*AA2*J2*AY2*[1]ステータス!$B$2,0)</f>
        <v>6886</v>
      </c>
      <c r="BL2" s="10">
        <f ca="1">ROUND(BD2*T2*AB2*K2*AZ2*[1]ステータス!$C$2,0)</f>
        <v>3122</v>
      </c>
      <c r="BM2" s="10">
        <f ca="1">ROUND(BD2*U2*AC2*L2*BA2*[1]ステータス!$D$2,0)</f>
        <v>0</v>
      </c>
      <c r="BN2" s="10">
        <f ca="1">ROUND(BD2*V2*AD2*M2*BB2*[1]ステータス!$E$2,0)</f>
        <v>1786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30000</v>
      </c>
    </row>
    <row r="3" spans="1:70" ht="26" customHeight="1" x14ac:dyDescent="0.15">
      <c r="A3" s="186">
        <v>1489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デカルトR6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0">
        <f ca="1">VLOOKUP(I3,[1]属性!$A:$E,2,FALSE)</f>
        <v>1</v>
      </c>
      <c r="K3" s="10">
        <f ca="1">VLOOKUP(I3,[1]属性!$A:$E,3,FALSE)</f>
        <v>1.02</v>
      </c>
      <c r="L3" s="10">
        <f ca="1">VLOOKUP(I3,[1]属性!$A:$E,4,FALSE)</f>
        <v>1</v>
      </c>
      <c r="M3" s="10">
        <f ca="1">VLOOKUP(I3,[1]属性!$A:$E,5,FALSE)</f>
        <v>0.98</v>
      </c>
      <c r="N3" s="10">
        <f ca="1">INDEX(コスト!$A$1:$I$21,MATCH(H3,コスト!$A$1:$A$21,FALSE),MATCH(G3,コスト!$A$1:$I$1,FALSE))</f>
        <v>55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hp</v>
      </c>
      <c r="R3" s="5" t="str">
        <f ca="1">VLOOKUP(Q3,[1]character_type_i18n!$A:$H,3,FALSE)</f>
        <v>体力タイプ</v>
      </c>
      <c r="S3" s="10">
        <f ca="1">VLOOKUP(Q3,[1]character_type_i18n!$A:$H,4,FALSE)</f>
        <v>1.45</v>
      </c>
      <c r="T3" s="10">
        <f ca="1">VLOOKUP(Q3,[1]character_type_i18n!$A:$H,5,FALSE)</f>
        <v>0.85</v>
      </c>
      <c r="U3" s="10">
        <f ca="1">VLOOKUP(Q3,[1]character_type_i18n!$A:$H,6,FALSE)</f>
        <v>1</v>
      </c>
      <c r="V3" s="10">
        <f ca="1">VLOOKUP(Q3,[1]character_type_i18n!$A:$H,7,FALSE)</f>
        <v>0.7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academia</v>
      </c>
      <c r="X3" s="5" t="str">
        <f ca="1">VLOOKUP(W3,[1]character_tribe_i18n!$A:$H,3,FALSE)</f>
        <v>アカデミア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1488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デカルトR5</v>
      </c>
      <c r="AI3" s="10" t="str">
        <f>IF(AE3="NULL","NULL",VLOOKUP(G3,ビット!$A$2:$B$7,2))</f>
        <v>NULL</v>
      </c>
      <c r="AJ3" s="6">
        <v>2</v>
      </c>
      <c r="AK3" s="7" t="str">
        <f t="shared" ref="AK3:AK4" si="5">IF(AJ3=1,"早熟",IF(AJ3=2,"普通",IF(AJ3=3,"晩成","")))</f>
        <v>普通</v>
      </c>
      <c r="AL3" s="10" t="str">
        <f ca="1">INDEX(経験値!$A$1:$I$21,MATCH(H3,経験値!$A$1:$A$21,FALSE),MATCH(G3,経験値!$A$1:$I$1,FALSE))</f>
        <v>required_exp_300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1489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デカルトR6スキル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下側をCP、上側を最大1つ赤ボム(特大)に変換+2ターン緑・黄パネルを赤ボムでドロップ、全ユニット防御力大UP+1ターンCP生成短縮超大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1489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デカルトR6Cスキル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自身のHPの最大値に比例して_x000D_単体に2回特大ダメージ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1</v>
      </c>
      <c r="AY3" s="64">
        <v>0.94979999999999998</v>
      </c>
      <c r="AZ3" s="64">
        <v>1.2002999999999999</v>
      </c>
      <c r="BA3" s="64">
        <v>0</v>
      </c>
      <c r="BB3" s="64">
        <v>1.0416000000000001</v>
      </c>
      <c r="BC3" s="10">
        <f ca="1">INDEX('RC6SV'!$A$1:$G$21,MATCH(H3,'RC6SV'!$A$1:$A$21,FALSE),MATCH(G3,'RC6SV'!$A$1:$G$1,FALSE))</f>
        <v>14000</v>
      </c>
      <c r="BD3" s="44">
        <f t="shared" ref="BD3:BD4" ca="1" si="6">ROUND(BC3*IF(AJ3=1,0.95,IF(AJ3=2,1,IF(AJ3,1.05,0))),0)</f>
        <v>14000</v>
      </c>
      <c r="BE3" s="10">
        <f t="shared" ca="1" si="3"/>
        <v>10000</v>
      </c>
      <c r="BF3" s="10">
        <f t="shared" ca="1" si="4"/>
        <v>1</v>
      </c>
      <c r="BG3" s="15">
        <f ca="1">IF($BE3&lt;=0,ROUND(BK3*0.5,0), ROUND($BE3*S3*AA3*J3*AY3*0.8*[1]ステータス!$B$2,0))</f>
        <v>5509</v>
      </c>
      <c r="BH3" s="15">
        <f ca="1">IF($BE3&lt;=0,ROUND(BL3*0.5,0), ROUND($BE3*T3*AB3*K3*AZ3*0.8*[1]ステータス!$C$2,0))</f>
        <v>2498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1429</v>
      </c>
      <c r="BK3" s="10">
        <f ca="1">ROUND(BD3*S3*AA3*J3*AY3*[1]ステータス!$B$2,0)</f>
        <v>9640</v>
      </c>
      <c r="BL3" s="10">
        <f ca="1">ROUND(BD3*T3*AB3*K3*AZ3*[1]ステータス!$C$2,0)</f>
        <v>4371</v>
      </c>
      <c r="BM3" s="10">
        <f ca="1">ROUND(BD3*U3*AC3*L3*BA3*[1]ステータス!$D$2,0)</f>
        <v>0</v>
      </c>
      <c r="BN3" s="10">
        <f ca="1">ROUND(BD3*V3*AD3*M3*BB3*[1]ステータス!$E$2,0)</f>
        <v>2501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30000</v>
      </c>
    </row>
    <row r="4" spans="1:70" ht="26" customHeight="1" x14ac:dyDescent="0.15">
      <c r="A4" s="186">
        <v>1490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パラケルスス</v>
      </c>
      <c r="C4" s="53" t="str">
        <f ca="1">VLOOKUP($A4,OFFSET([1]characters!$A$1,0,0,COUNTA([1]characters!$A:$A),MATCH(C$1,[1]characters!$1:$1,0)-MATCH($A$1,[1]characters!$1:$1,0)+1),MATCH(C$1,[1]characters!$1:$1,0)-MATCH($A$1,[1]characters!$1:$1,0)+1,FALSE)</f>
        <v>未定</v>
      </c>
      <c r="D4" s="53" t="str">
        <f ca="1">VLOOKUP($A4,OFFSET([1]characters!$A$1,0,0,COUNTA([1]characters!$A:$A),MATCH(D$1,[1]characters!$1:$1,0)-MATCH($A$1,[1]characters!$1:$1,0)+1),MATCH(D$1,[1]characters!$1:$1,0)-MATCH($A$1,[1]characters!$1:$1,0)+1,FALSE)</f>
        <v>アリス</v>
      </c>
      <c r="E4" s="53" t="str">
        <f ca="1">VLOOKUP($A4,OFFSET([1]characters!$A$1,0,0,COUNTA([1]characters!$A:$A),MATCH(E$1,[1]characters!$1:$1,0)-MATCH($A$1,[1]characters!$1:$1,0)+1),MATCH(E$1,[1]characters!$1:$1,0)-MATCH($A$1,[1]characters!$1:$1,0)+1,FALSE)</f>
        <v>世界観</v>
      </c>
      <c r="F4" s="53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10">
        <f ca="1">VLOOKUP(I4,[1]属性!$A:$E,2,FALSE)</f>
        <v>1</v>
      </c>
      <c r="K4" s="10">
        <f ca="1">VLOOKUP(I4,[1]属性!$A:$E,3,FALSE)</f>
        <v>1.02</v>
      </c>
      <c r="L4" s="10">
        <f ca="1">VLOOKUP(I4,[1]属性!$A:$E,4,FALSE)</f>
        <v>1</v>
      </c>
      <c r="M4" s="10">
        <f ca="1">VLOOKUP(I4,[1]属性!$A:$E,5,FALSE)</f>
        <v>0.98</v>
      </c>
      <c r="N4" s="10">
        <f ca="1">INDEX(コスト!$A$1:$I$21,MATCH(H4,コスト!$A$1:$A$21,FALSE),MATCH(G4,コスト!$A$1:$I$1,FALSE))</f>
        <v>40</v>
      </c>
      <c r="O4" s="10">
        <f ca="1">INDEX(レベル!$A$1:$I$22,MATCH(H4,レベル!$A$1:$A$22,FALSE),MATCH(G4,レベル!$A$1:$I$1,FALSE))</f>
        <v>80</v>
      </c>
      <c r="P4" s="44">
        <f t="shared" ref="P4:P5" ca="1" si="7">IF(G4 &gt;= 6, 99,G4*15)</f>
        <v>75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heal</v>
      </c>
      <c r="R4" s="5" t="str">
        <f ca="1">VLOOKUP(Q4,[1]character_type_i18n!$A:$H,3,FALSE)</f>
        <v>回復タイプ</v>
      </c>
      <c r="S4" s="10">
        <f ca="1">VLOOKUP(Q4,[1]character_type_i18n!$A:$H,4,FALSE)</f>
        <v>0.8</v>
      </c>
      <c r="T4" s="10">
        <f ca="1">VLOOKUP(Q4,[1]character_type_i18n!$A:$H,5,FALSE)</f>
        <v>0.78</v>
      </c>
      <c r="U4" s="10">
        <f ca="1">VLOOKUP(Q4,[1]character_type_i18n!$A:$H,6,FALSE)</f>
        <v>1</v>
      </c>
      <c r="V4" s="10">
        <f ca="1">VLOOKUP(Q4,[1]character_type_i18n!$A:$H,7,FALSE)</f>
        <v>1.42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academia</v>
      </c>
      <c r="X4" s="5" t="str">
        <f ca="1">VLOOKUP(W4,[1]character_tribe_i18n!$A:$H,3,FALSE)</f>
        <v>アカデミア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animal</v>
      </c>
      <c r="Z4" s="5" t="str">
        <f ca="1">VLOOKUP(Y4,[1]character_tribe_i18n!$A:$H,3,FALSE)</f>
        <v>アニマル</v>
      </c>
      <c r="AA4" s="10">
        <f ca="1">VLOOKUP(W4,[1]character_tribe_i18n!$A:$H,4,FALSE)</f>
        <v>1</v>
      </c>
      <c r="AB4" s="10">
        <f ca="1">VLOOKUP(W4,[1]character_tribe_i18n!$A:$H,5,FALSE)</f>
        <v>1</v>
      </c>
      <c r="AC4" s="10">
        <f ca="1">VLOOKUP(W4,[1]character_tribe_i18n!$A:$H,6,FALSE)</f>
        <v>1</v>
      </c>
      <c r="AD4" s="10">
        <f ca="1">VLOOKUP(W4,[1]character_tribe_i18n!$A:$H,7,FALSE)</f>
        <v>1</v>
      </c>
      <c r="AE4" s="187">
        <v>1491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真緋の紅玉 パラケルスス</v>
      </c>
      <c r="AG4" s="187">
        <v>1490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パラケルスス</v>
      </c>
      <c r="AI4" s="10">
        <f ca="1">IF(AE4="NULL","NULL",VLOOKUP(G4,ビット!$A$2:$B$7,2))</f>
        <v>200000</v>
      </c>
      <c r="AJ4" s="6">
        <v>2</v>
      </c>
      <c r="AK4" s="7" t="str">
        <f t="shared" si="5"/>
        <v>普通</v>
      </c>
      <c r="AL4" s="10" t="str">
        <f ca="1">INDEX(経験値!$A$1:$I$21,MATCH(H4,経験値!$A$1:$A$21,FALSE),MATCH(G4,経験値!$A$1:$I$1,FALSE))</f>
        <v>required_exp_250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63">
        <v>1490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ステータス：アルケウス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マグネットパネル(赤→青→黄→ハート)1個、黄をCPに、青･ダメージパネルを赤パネル変換+1ターン全ユニットのタップ数2増加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v>1490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シークレット・ストレージ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自身の回復力に比例して1体に特大ダメージ+1ターン全ユニットの回復力UP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4">
        <v>1.1040000000000001</v>
      </c>
      <c r="AZ4" s="64">
        <v>1.2004999999999999</v>
      </c>
      <c r="BA4" s="64">
        <v>0</v>
      </c>
      <c r="BB4" s="64">
        <v>0.92600000000000005</v>
      </c>
      <c r="BC4" s="10">
        <f ca="1">INDEX('RC6SV'!$A$1:$G$21,MATCH(H4,'RC6SV'!$A$1:$A$21,FALSE),MATCH(G4,'RC6SV'!$A$1:$G$1,FALSE))</f>
        <v>10000</v>
      </c>
      <c r="BD4" s="44">
        <f t="shared" ca="1" si="6"/>
        <v>10000</v>
      </c>
      <c r="BE4" s="10">
        <f t="shared" ca="1" si="3"/>
        <v>0</v>
      </c>
      <c r="BF4" s="10">
        <f t="shared" ca="1" si="4"/>
        <v>1</v>
      </c>
      <c r="BG4" s="15">
        <f ca="1">IF($BE4&lt;=0,ROUND(BK4*0.5,0), ROUND($BE4*S4*AA4*J4*AY4*0.8*[1]ステータス!$B$2,0))</f>
        <v>2208</v>
      </c>
      <c r="BH4" s="15">
        <f ca="1">IF($BE4&lt;=0,ROUND(BL4*0.5,0), ROUND($BE4*T4*AB4*K4*AZ4*0.8*[1]ステータス!$C$2,0))</f>
        <v>1433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1611</v>
      </c>
      <c r="BK4" s="10">
        <f ca="1">ROUND(BD4*S4*AA4*J4*AY4*[1]ステータス!$B$2,0)</f>
        <v>4416</v>
      </c>
      <c r="BL4" s="10">
        <f ca="1">ROUND(BD4*T4*AB4*K4*AZ4*[1]ステータス!$C$2,0)</f>
        <v>2865</v>
      </c>
      <c r="BM4" s="10">
        <f ca="1">ROUND(BD4*U4*AC4*L4*BA4*[1]ステータス!$D$2,0)</f>
        <v>0</v>
      </c>
      <c r="BN4" s="10">
        <f ca="1">ROUND(BD4*V4*AD4*M4*BB4*[1]ステータス!$E$2,0)</f>
        <v>3222</v>
      </c>
      <c r="BO4" s="9">
        <v>0</v>
      </c>
      <c r="BP4" s="9">
        <v>1</v>
      </c>
      <c r="BQ4" s="36" t="s">
        <v>47</v>
      </c>
      <c r="BR4" s="9">
        <f ca="1">VLOOKUP(H4,[2]ghosts_label!$A$2:$B$19,2,FALSE)</f>
        <v>30000</v>
      </c>
    </row>
    <row r="5" spans="1:70" ht="26" customHeight="1" x14ac:dyDescent="0.15">
      <c r="A5" s="186">
        <v>1491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真緋の紅玉 パラケルスス</v>
      </c>
      <c r="C5" s="53" t="str">
        <f ca="1">VLOOKUP($A5,OFFSET([1]characters!$A$1,0,0,COUNTA([1]characters!$A:$A),MATCH(C$1,[1]characters!$1:$1,0)-MATCH($A$1,[1]characters!$1:$1,0)+1),MATCH(C$1,[1]characters!$1:$1,0)-MATCH($A$1,[1]characters!$1:$1,0)+1,FALSE)</f>
        <v>未定</v>
      </c>
      <c r="D5" s="53" t="str">
        <f ca="1">VLOOKUP($A5,OFFSET([1]characters!$A$1,0,0,COUNTA([1]characters!$A:$A),MATCH(D$1,[1]characters!$1:$1,0)-MATCH($A$1,[1]characters!$1:$1,0)+1),MATCH(D$1,[1]characters!$1:$1,0)-MATCH($A$1,[1]characters!$1:$1,0)+1,FALSE)</f>
        <v>アリス</v>
      </c>
      <c r="E5" s="53" t="str">
        <f ca="1">VLOOKUP($A5,OFFSET([1]characters!$A$1,0,0,COUNTA([1]characters!$A:$A),MATCH(E$1,[1]characters!$1:$1,0)-MATCH($A$1,[1]characters!$1:$1,0)+1),MATCH(E$1,[1]characters!$1:$1,0)-MATCH($A$1,[1]characters!$1:$1,0)+1,FALSE)</f>
        <v>世界観</v>
      </c>
      <c r="F5" s="53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10">
        <f ca="1">VLOOKUP(I5,[1]属性!$A:$E,2,FALSE)</f>
        <v>1</v>
      </c>
      <c r="K5" s="10">
        <f ca="1">VLOOKUP(I5,[1]属性!$A:$E,3,FALSE)</f>
        <v>1.02</v>
      </c>
      <c r="L5" s="10">
        <f ca="1">VLOOKUP(I5,[1]属性!$A:$E,4,FALSE)</f>
        <v>1</v>
      </c>
      <c r="M5" s="10">
        <f ca="1">VLOOKUP(I5,[1]属性!$A:$E,5,FALSE)</f>
        <v>0.98</v>
      </c>
      <c r="N5" s="10">
        <f ca="1">INDEX(コスト!$A$1:$I$21,MATCH(H5,コスト!$A$1:$A$21,FALSE),MATCH(G5,コスト!$A$1:$I$1,FALSE))</f>
        <v>55</v>
      </c>
      <c r="O5" s="10">
        <f ca="1">INDEX(レベル!$A$1:$I$22,MATCH(H5,レベル!$A$1:$A$22,FALSE),MATCH(G5,レベル!$A$1:$I$1,FALSE))</f>
        <v>99</v>
      </c>
      <c r="P5" s="44">
        <f t="shared" ca="1" si="7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heal</v>
      </c>
      <c r="R5" s="5" t="str">
        <f ca="1">VLOOKUP(Q5,[1]character_type_i18n!$A:$H,3,FALSE)</f>
        <v>回復タイプ</v>
      </c>
      <c r="S5" s="10">
        <f ca="1">VLOOKUP(Q5,[1]character_type_i18n!$A:$H,4,FALSE)</f>
        <v>0.8</v>
      </c>
      <c r="T5" s="10">
        <f ca="1">VLOOKUP(Q5,[1]character_type_i18n!$A:$H,5,FALSE)</f>
        <v>0.78</v>
      </c>
      <c r="U5" s="10">
        <f ca="1">VLOOKUP(Q5,[1]character_type_i18n!$A:$H,6,FALSE)</f>
        <v>1</v>
      </c>
      <c r="V5" s="10">
        <f ca="1">VLOOKUP(Q5,[1]character_type_i18n!$A:$H,7,FALSE)</f>
        <v>1.42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academia</v>
      </c>
      <c r="X5" s="5" t="str">
        <f ca="1">VLOOKUP(W5,[1]character_tribe_i18n!$A:$H,3,FALSE)</f>
        <v>アカデミア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animal</v>
      </c>
      <c r="Z5" s="5" t="str">
        <f ca="1">VLOOKUP(Y5,[1]character_tribe_i18n!$A:$H,3,FALSE)</f>
        <v>アニマル</v>
      </c>
      <c r="AA5" s="10">
        <f ca="1">VLOOKUP(W5,[1]character_tribe_i18n!$A:$H,4,FALSE)</f>
        <v>1</v>
      </c>
      <c r="AB5" s="10">
        <f ca="1">VLOOKUP(W5,[1]character_tribe_i18n!$A:$H,5,FALSE)</f>
        <v>1</v>
      </c>
      <c r="AC5" s="10">
        <f ca="1">VLOOKUP(W5,[1]character_tribe_i18n!$A:$H,6,FALSE)</f>
        <v>1</v>
      </c>
      <c r="AD5" s="10">
        <f ca="1">VLOOKUP(W5,[1]character_tribe_i18n!$A:$H,7,FALSE)</f>
        <v>1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7">
        <v>1490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パラケルスス</v>
      </c>
      <c r="AI5" s="10" t="str">
        <f>IF(AE5="NULL","NULL",VLOOKUP(G5,ビット!$A$2:$B$7,2))</f>
        <v>NULL</v>
      </c>
      <c r="AJ5" s="6">
        <v>2</v>
      </c>
      <c r="AK5" s="7" t="str">
        <f t="shared" ref="AK5:AK6" si="8">IF(AJ5=1,"早熟",IF(AJ5=2,"普通",IF(AJ5=3,"晩成","")))</f>
        <v>普通</v>
      </c>
      <c r="AL5" s="10" t="str">
        <f ca="1">INDEX(経験値!$A$1:$I$21,MATCH(H5,経験値!$A$1:$A$21,FALSE),MATCH(G5,経験値!$A$1:$I$1,FALSE))</f>
        <v>required_exp_300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63">
        <v>1491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ステータス：アルキドクセン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マグネットパネル(赤→青→黄→ハート)1個、黄をCPに、青･ダメージパネルを赤パネル変換+1ターン全ユニットのタップ数2増加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3">
        <v>1491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スカーレット・ストレージ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自身の回復力に比例して1体に超大ダメージ+1ターン全ユニットの回復力UP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4">
        <v>1.1040000000000001</v>
      </c>
      <c r="AZ5" s="64">
        <v>1.2004999999999999</v>
      </c>
      <c r="BA5" s="64">
        <v>0</v>
      </c>
      <c r="BB5" s="64">
        <v>0.92600000000000005</v>
      </c>
      <c r="BC5" s="10">
        <f ca="1">INDEX('RC6SV'!$A$1:$G$21,MATCH(H5,'RC6SV'!$A$1:$A$21,FALSE),MATCH(G5,'RC6SV'!$A$1:$G$1,FALSE))</f>
        <v>14000</v>
      </c>
      <c r="BD5" s="44">
        <f t="shared" ref="BD5:BD6" ca="1" si="9">ROUND(BC5*IF(AJ5=1,0.95,IF(AJ5=2,1,IF(AJ5,1.05,0))),0)</f>
        <v>14000</v>
      </c>
      <c r="BE5" s="10">
        <f t="shared" ca="1" si="3"/>
        <v>10000</v>
      </c>
      <c r="BF5" s="10">
        <f t="shared" ca="1" si="4"/>
        <v>1</v>
      </c>
      <c r="BG5" s="15">
        <f ca="1">IF($BE5&lt;=0,ROUND(BK5*0.5,0), ROUND($BE5*S5*AA5*J5*AY5*0.8*[1]ステータス!$B$2,0))</f>
        <v>3533</v>
      </c>
      <c r="BH5" s="15">
        <f ca="1">IF($BE5&lt;=0,ROUND(BL5*0.5,0), ROUND($BE5*T5*AB5*K5*AZ5*0.8*[1]ステータス!$C$2,0))</f>
        <v>2292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2577</v>
      </c>
      <c r="BK5" s="10">
        <f ca="1">ROUND(BD5*S5*AA5*J5*AY5*[1]ステータス!$B$2,0)</f>
        <v>6182</v>
      </c>
      <c r="BL5" s="10">
        <f ca="1">ROUND(BD5*T5*AB5*K5*AZ5*[1]ステータス!$C$2,0)</f>
        <v>4011</v>
      </c>
      <c r="BM5" s="10">
        <f ca="1">ROUND(BD5*U5*AC5*L5*BA5*[1]ステータス!$D$2,0)</f>
        <v>0</v>
      </c>
      <c r="BN5" s="10">
        <f ca="1">ROUND(BD5*V5*AD5*M5*BB5*[1]ステータス!$E$2,0)</f>
        <v>4510</v>
      </c>
      <c r="BO5" s="9">
        <v>0</v>
      </c>
      <c r="BP5" s="9">
        <v>1</v>
      </c>
      <c r="BQ5" s="9" t="s">
        <v>47</v>
      </c>
      <c r="BR5" s="9">
        <f ca="1">VLOOKUP(H5,[2]ghosts_label!$A$2:$B$19,2,FALSE)</f>
        <v>30000</v>
      </c>
    </row>
    <row r="6" spans="1:70" ht="26" customHeight="1" x14ac:dyDescent="0.15">
      <c r="A6" s="186">
        <v>1035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スカルズ</v>
      </c>
      <c r="C6" s="53" t="str">
        <f ca="1">VLOOKUP($A6,OFFSET([1]characters!$A$1,0,0,COUNTA([1]characters!$A:$A),MATCH(C$1,[1]characters!$1:$1,0)-MATCH($A$1,[1]characters!$1:$1,0)+1),MATCH(C$1,[1]characters!$1:$1,0)-MATCH($A$1,[1]characters!$1:$1,0)+1,FALSE)</f>
        <v>ラプラス</v>
      </c>
      <c r="D6" s="53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3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3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DropWizS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0">
        <f ca="1">VLOOKUP(I6,[1]属性!$A:$E,2,FALSE)</f>
        <v>1.02</v>
      </c>
      <c r="K6" s="10">
        <f ca="1">VLOOKUP(I6,[1]属性!$A:$E,3,FALSE)</f>
        <v>0.98</v>
      </c>
      <c r="L6" s="10">
        <f ca="1">VLOOKUP(I6,[1]属性!$A:$E,4,FALSE)</f>
        <v>1</v>
      </c>
      <c r="M6" s="10">
        <f ca="1">VLOOKUP(I6,[1]属性!$A:$E,5,FALSE)</f>
        <v>1</v>
      </c>
      <c r="N6" s="10">
        <f ca="1">INDEX(コスト!$A$1:$I$21,MATCH(H6,コスト!$A$1:$A$21,FALSE),MATCH(G6,コスト!$A$1:$I$1,FALSE))</f>
        <v>30</v>
      </c>
      <c r="O6" s="10">
        <f ca="1">INDEX(レベル!$A$1:$I$22,MATCH(H6,レベル!$A$1:$A$22,FALSE),MATCH(G6,レベル!$A$1:$I$1,FALSE))</f>
        <v>80</v>
      </c>
      <c r="P6" s="44">
        <f t="shared" ref="P6:P7" ca="1" si="10">IF(G6 &gt;= 6, 99,G6*15)</f>
        <v>75</v>
      </c>
      <c r="Q6" s="53" t="str">
        <f ca="1">VLOOKUP($A6,OFFSET([1]characters!$A$1,0,0,COUNTA([1]characters!$A:$A),MATCH(Q$1,[1]characters!$1:$1,0)-MATCH($A$1,[1]characters!$1:$1,0)+1),MATCH(Q$1,[1]characters!$1:$1,0)-MATCH($A$1,[1]characters!$1:$1,0)+1,FALSE)</f>
        <v>hp</v>
      </c>
      <c r="R6" s="5" t="str">
        <f ca="1">VLOOKUP(Q6,[1]character_type_i18n!$A:$H,3,FALSE)</f>
        <v>体力タイプ</v>
      </c>
      <c r="S6" s="10">
        <f ca="1">VLOOKUP(Q6,[1]character_type_i18n!$A:$H,4,FALSE)</f>
        <v>1.45</v>
      </c>
      <c r="T6" s="10">
        <f ca="1">VLOOKUP(Q6,[1]character_type_i18n!$A:$H,5,FALSE)</f>
        <v>0.85</v>
      </c>
      <c r="U6" s="10">
        <f ca="1">VLOOKUP(Q6,[1]character_type_i18n!$A:$H,6,FALSE)</f>
        <v>1</v>
      </c>
      <c r="V6" s="10">
        <f ca="1">VLOOKUP(Q6,[1]character_type_i18n!$A:$H,7,FALSE)</f>
        <v>0.7</v>
      </c>
      <c r="W6" s="53" t="str">
        <f ca="1">VLOOKUP($A6,OFFSET([1]characters!$A$1,0,0,COUNTA([1]characters!$A:$A),MATCH(W$1,[1]characters!$1:$1,0)-MATCH($A$1,[1]characters!$1:$1,0)+1),MATCH(W$1,[1]characters!$1:$1,0)-MATCH($A$1,[1]characters!$1:$1,0)+1,FALSE)</f>
        <v>animal</v>
      </c>
      <c r="X6" s="5" t="str">
        <f ca="1">VLOOKUP(W6,[1]character_tribe_i18n!$A:$H,3,FALSE)</f>
        <v>アニマル</v>
      </c>
      <c r="Y6" s="53" t="str">
        <f ca="1">VLOOKUP($A6,OFFSET([1]characters!$A$1,0,0,COUNTA([1]characters!$A:$A),MATCH(Y$1,[1]characters!$1:$1,0)-MATCH($A$1,[1]characters!$1:$1,0)+1),MATCH(Y$1,[1]characters!$1:$1,0)-MATCH($A$1,[1]characters!$1:$1,0)+1,FALSE)</f>
        <v>unknown</v>
      </c>
      <c r="Z6" s="5" t="str">
        <f ca="1">VLOOKUP(Y6,[1]character_tribe_i18n!$A:$H,3,FALSE)</f>
        <v>Unknown</v>
      </c>
      <c r="AA6" s="10">
        <f ca="1">VLOOKUP(W6,[1]character_tribe_i18n!$A:$H,4,FALSE)</f>
        <v>1</v>
      </c>
      <c r="AB6" s="10">
        <f ca="1">VLOOKUP(W6,[1]character_tribe_i18n!$A:$H,5,FALSE)</f>
        <v>1.1000000000000001</v>
      </c>
      <c r="AC6" s="10">
        <f ca="1">VLOOKUP(W6,[1]character_tribe_i18n!$A:$H,6,FALSE)</f>
        <v>1</v>
      </c>
      <c r="AD6" s="10">
        <f ca="1">VLOOKUP(W6,[1]character_tribe_i18n!$A:$H,7,FALSE)</f>
        <v>0.9</v>
      </c>
      <c r="AE6" s="187">
        <v>1036</v>
      </c>
      <c r="AF6" s="58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復讐の形骸 スカルズ</v>
      </c>
      <c r="AG6" s="187">
        <v>1035</v>
      </c>
      <c r="AH6" s="58" t="str">
        <f ca="1">VLOOKUP($AG6,OFFSET([1]characters!$A$1,0,0,COUNTA([1]characters!$A:$A),MATCH(AH$1,[1]characters!$1:$1,0)-MATCH($A$1,[1]characters!$1:$1,0)+1),MATCH(AH$1,[1]characters!$1:$1,0)-MATCH($A$1,[1]characters!$1:$1,0)+1,FALSE)</f>
        <v>スカルズ</v>
      </c>
      <c r="AI6" s="10">
        <f ca="1">IF(AE6="NULL","NULL",VLOOKUP(G6,ビット!$A$2:$B$7,2))</f>
        <v>200000</v>
      </c>
      <c r="AJ6" s="6">
        <v>2</v>
      </c>
      <c r="AK6" s="7" t="str">
        <f t="shared" si="8"/>
        <v>普通</v>
      </c>
      <c r="AL6" s="10" t="str">
        <f ca="1">INDEX(経験値!$A$1:$I$21,MATCH(H6,経験値!$A$1:$A$21,FALSE),MATCH(G6,経験値!$A$1:$I$1,FALSE))</f>
        <v>required_exp_200</v>
      </c>
      <c r="AM6" s="8">
        <f ca="1">VLOOKUP(G6,経験値!$A$28:$B$32,2)</f>
        <v>6400</v>
      </c>
      <c r="AN6" s="16">
        <f ca="1">VLOOKUP(G6,ビット!$G$2:$H$7,2)</f>
        <v>900</v>
      </c>
      <c r="AO6" s="41"/>
      <c r="AP6" s="63">
        <v>1035</v>
      </c>
      <c r="AQ6" s="53" t="str">
        <f ca="1">VLOOKUP($AP6,OFFSET(unit_skills!$A$1,0,0,COUNTA(unit_skills!$A:$A),MATCH(AQ$1,unit_skills!$1:$1,0)-MATCH($AP$1,unit_skills!$1:$1,0)+1),MATCH(AQ$1,unit_skills!$1:$1,0)-MATCH($AP$1,unit_skills!$1:$1,0)+1,FALSE)</f>
        <v>レガシー・ネガ</v>
      </c>
      <c r="AR6" s="53" t="str">
        <f ca="1">VLOOKUP($AP6,OFFSET(unit_skills!$A$1,0,0,COUNTA(unit_skills!$A:$A),MATCH(AR$1,unit_skills!$1:$1,0)-MATCH($AP$1,unit_skills!$1:$1,0)+1),MATCH(AR$1,unit_skills!$1:$1,0)-MATCH($AP$1,unit_skills!$1:$1,0)+1,FALSE)</f>
        <v>黄を緑パネルに変換+1ターン緑属性にお邪魔ブレイクを付与、敵からのダメージを10%軽減+3ターン自身のタップ数を1増加</v>
      </c>
      <c r="AS6" s="53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63">
        <v>1035</v>
      </c>
      <c r="AU6" s="53" t="str">
        <f ca="1">VLOOKUP($AT6,OFFSET(crash_skills!$A$1,0,0,COUNTA(crash_skills!$A:$A),MATCH(AU$1,crash_skills!$1:$1,0)-MATCH($AT$1,crash_skills!$1:$1,0)+1),MATCH(AU$1,crash_skills!$1:$1,0)-MATCH($AT$1,crash_skills!$1:$1,0)+1,FALSE)</f>
        <v>アンスマート・ボーン</v>
      </c>
      <c r="AV6" s="53" t="str">
        <f ca="1">VLOOKUP($AT6,OFFSET(crash_skills!$A$1,0,0,COUNTA(crash_skills!$A:$A),MATCH(AV$1,crash_skills!$1:$1,0)-MATCH($AT$1,crash_skills!$1:$1,0)+1),MATCH(AV$1,crash_skills!$1:$1,0)-MATCH($AT$1,crash_skills!$1:$1,0)+1,FALSE)</f>
        <v>自身のHPの最大値に比例して1体に大ダメージ+HP固定回復</v>
      </c>
      <c r="AW6" s="53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4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4">
        <v>1.0255000000000001</v>
      </c>
      <c r="AZ6" s="64">
        <v>1.2306999999999999</v>
      </c>
      <c r="BA6" s="64">
        <v>0</v>
      </c>
      <c r="BB6" s="64">
        <v>0.36959999999999998</v>
      </c>
      <c r="BC6" s="10">
        <f ca="1">INDEX('RC6SV'!$A$1:$G$21,MATCH(H6,'RC6SV'!$A$1:$A$21,FALSE),MATCH(G6,'RC6SV'!$A$1:$G$1,FALSE))</f>
        <v>9000</v>
      </c>
      <c r="BD6" s="44">
        <f t="shared" ca="1" si="9"/>
        <v>9000</v>
      </c>
      <c r="BE6" s="10">
        <f t="shared" ca="1" si="3"/>
        <v>0</v>
      </c>
      <c r="BF6" s="10">
        <f t="shared" ca="1" si="4"/>
        <v>1</v>
      </c>
      <c r="BG6" s="15">
        <f ca="1">IF($BE6&lt;=0,ROUND(BK6*0.5,0), ROUND($BE6*S6*AA6*J6*AY6*0.8*[1]ステータス!$B$2,0))</f>
        <v>3413</v>
      </c>
      <c r="BH6" s="15">
        <f ca="1">IF($BE6&lt;=0,ROUND(BL6*0.5,0), ROUND($BE6*T6*AB6*K6*AZ6*0.8*[1]ステータス!$C$2,0))</f>
        <v>1523</v>
      </c>
      <c r="BI6" s="15">
        <f ca="1">IF($BE6&lt;=0,ROUND(BM6*0.5,0), ROUND($BE6*U6*AC6*L6*BA6*0.8*[1]ステータス!$D$2,0))</f>
        <v>0</v>
      </c>
      <c r="BJ6" s="15">
        <f ca="1">IF($BE6&lt;=0,ROUND(BN6*0.5,0), ROUND($BE6*V6*AD6*M6*BB6*0.8*[1]ステータス!$E$2,0))</f>
        <v>262</v>
      </c>
      <c r="BK6" s="10">
        <f ca="1">ROUND(BD6*S6*AA6*J6*AY6*[1]ステータス!$B$2,0)</f>
        <v>6825</v>
      </c>
      <c r="BL6" s="10">
        <f ca="1">ROUND(BD6*T6*AB6*K6*AZ6*[1]ステータス!$C$2,0)</f>
        <v>3045</v>
      </c>
      <c r="BM6" s="10">
        <f ca="1">ROUND(BD6*U6*AC6*L6*BA6*[1]ステータス!$D$2,0)</f>
        <v>0</v>
      </c>
      <c r="BN6" s="10">
        <f ca="1">ROUND(BD6*V6*AD6*M6*BB6*[1]ステータス!$E$2,0)</f>
        <v>524</v>
      </c>
      <c r="BO6" s="9">
        <v>0</v>
      </c>
      <c r="BP6" s="9">
        <v>1</v>
      </c>
      <c r="BQ6" s="36" t="s">
        <v>47</v>
      </c>
      <c r="BR6" s="9">
        <f ca="1">VLOOKUP(H6,[2]ghosts_label!$A$2:$B$19,2,FALSE)</f>
        <v>1</v>
      </c>
    </row>
    <row r="7" spans="1:70" ht="26" customHeight="1" x14ac:dyDescent="0.15">
      <c r="A7" s="186">
        <v>1036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復讐の形骸 スカルズ</v>
      </c>
      <c r="C7" s="53" t="str">
        <f ca="1">VLOOKUP($A7,OFFSET([1]characters!$A$1,0,0,COUNTA([1]characters!$A:$A),MATCH(C$1,[1]characters!$1:$1,0)-MATCH($A$1,[1]characters!$1:$1,0)+1),MATCH(C$1,[1]characters!$1:$1,0)-MATCH($A$1,[1]characters!$1:$1,0)+1,FALSE)</f>
        <v>ラプラス</v>
      </c>
      <c r="D7" s="53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3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3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DropWizS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10">
        <f ca="1">VLOOKUP(I7,[1]属性!$A:$E,2,FALSE)</f>
        <v>1.02</v>
      </c>
      <c r="K7" s="10">
        <f ca="1">VLOOKUP(I7,[1]属性!$A:$E,3,FALSE)</f>
        <v>0.98</v>
      </c>
      <c r="L7" s="10">
        <f ca="1">VLOOKUP(I7,[1]属性!$A:$E,4,FALSE)</f>
        <v>1</v>
      </c>
      <c r="M7" s="10">
        <f ca="1">VLOOKUP(I7,[1]属性!$A:$E,5,FALSE)</f>
        <v>1</v>
      </c>
      <c r="N7" s="10">
        <f ca="1">INDEX(コスト!$A$1:$I$21,MATCH(H7,コスト!$A$1:$A$21,FALSE),MATCH(G7,コスト!$A$1:$I$1,FALSE))</f>
        <v>45</v>
      </c>
      <c r="O7" s="10">
        <f ca="1">INDEX(レベル!$A$1:$I$22,MATCH(H7,レベル!$A$1:$A$22,FALSE),MATCH(G7,レベル!$A$1:$I$1,FALSE))</f>
        <v>99</v>
      </c>
      <c r="P7" s="44">
        <f t="shared" ca="1" si="10"/>
        <v>99</v>
      </c>
      <c r="Q7" s="53" t="str">
        <f ca="1">VLOOKUP($A7,OFFSET([1]characters!$A$1,0,0,COUNTA([1]characters!$A:$A),MATCH(Q$1,[1]characters!$1:$1,0)-MATCH($A$1,[1]characters!$1:$1,0)+1),MATCH(Q$1,[1]characters!$1:$1,0)-MATCH($A$1,[1]characters!$1:$1,0)+1,FALSE)</f>
        <v>hp</v>
      </c>
      <c r="R7" s="5" t="str">
        <f ca="1">VLOOKUP(Q7,[1]character_type_i18n!$A:$H,3,FALSE)</f>
        <v>体力タイプ</v>
      </c>
      <c r="S7" s="10">
        <f ca="1">VLOOKUP(Q7,[1]character_type_i18n!$A:$H,4,FALSE)</f>
        <v>1.45</v>
      </c>
      <c r="T7" s="10">
        <f ca="1">VLOOKUP(Q7,[1]character_type_i18n!$A:$H,5,FALSE)</f>
        <v>0.85</v>
      </c>
      <c r="U7" s="10">
        <f ca="1">VLOOKUP(Q7,[1]character_type_i18n!$A:$H,6,FALSE)</f>
        <v>1</v>
      </c>
      <c r="V7" s="10">
        <f ca="1">VLOOKUP(Q7,[1]character_type_i18n!$A:$H,7,FALSE)</f>
        <v>0.7</v>
      </c>
      <c r="W7" s="53" t="str">
        <f ca="1">VLOOKUP($A7,OFFSET([1]characters!$A$1,0,0,COUNTA([1]characters!$A:$A),MATCH(W$1,[1]characters!$1:$1,0)-MATCH($A$1,[1]characters!$1:$1,0)+1),MATCH(W$1,[1]characters!$1:$1,0)-MATCH($A$1,[1]characters!$1:$1,0)+1,FALSE)</f>
        <v>animal</v>
      </c>
      <c r="X7" s="5" t="str">
        <f ca="1">VLOOKUP(W7,[1]character_tribe_i18n!$A:$H,3,FALSE)</f>
        <v>アニマル</v>
      </c>
      <c r="Y7" s="53" t="str">
        <f ca="1">VLOOKUP($A7,OFFSET([1]characters!$A$1,0,0,COUNTA([1]characters!$A:$A),MATCH(Y$1,[1]characters!$1:$1,0)-MATCH($A$1,[1]characters!$1:$1,0)+1),MATCH(Y$1,[1]characters!$1:$1,0)-MATCH($A$1,[1]characters!$1:$1,0)+1,FALSE)</f>
        <v>unknown</v>
      </c>
      <c r="Z7" s="5" t="str">
        <f ca="1">VLOOKUP(Y7,[1]character_tribe_i18n!$A:$H,3,FALSE)</f>
        <v>Unknown</v>
      </c>
      <c r="AA7" s="10">
        <f ca="1">VLOOKUP(W7,[1]character_tribe_i18n!$A:$H,4,FALSE)</f>
        <v>1</v>
      </c>
      <c r="AB7" s="10">
        <f ca="1">VLOOKUP(W7,[1]character_tribe_i18n!$A:$H,5,FALSE)</f>
        <v>1.1000000000000001</v>
      </c>
      <c r="AC7" s="10">
        <f ca="1">VLOOKUP(W7,[1]character_tribe_i18n!$A:$H,6,FALSE)</f>
        <v>1</v>
      </c>
      <c r="AD7" s="10">
        <f ca="1">VLOOKUP(W7,[1]character_tribe_i18n!$A:$H,7,FALSE)</f>
        <v>0.9</v>
      </c>
      <c r="AE7" s="187" t="s">
        <v>183</v>
      </c>
      <c r="AF7" s="58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187">
        <v>1035</v>
      </c>
      <c r="AH7" s="58" t="str">
        <f ca="1">VLOOKUP($AG7,OFFSET([1]characters!$A$1,0,0,COUNTA([1]characters!$A:$A),MATCH(AH$1,[1]characters!$1:$1,0)-MATCH($A$1,[1]characters!$1:$1,0)+1),MATCH(AH$1,[1]characters!$1:$1,0)-MATCH($A$1,[1]characters!$1:$1,0)+1,FALSE)</f>
        <v>スカルズ</v>
      </c>
      <c r="AI7" s="10" t="str">
        <f>IF(AE7="NULL","NULL",VLOOKUP(G7,ビット!$A$2:$B$7,2))</f>
        <v>NULL</v>
      </c>
      <c r="AJ7" s="6">
        <v>2</v>
      </c>
      <c r="AK7" s="7" t="str">
        <f t="shared" ref="AK7" si="11">IF(AJ7=1,"早熟",IF(AJ7=2,"普通",IF(AJ7=3,"晩成","")))</f>
        <v>普通</v>
      </c>
      <c r="AL7" s="10" t="str">
        <f ca="1">INDEX(経験値!$A$1:$I$21,MATCH(H7,経験値!$A$1:$A$21,FALSE),MATCH(G7,経験値!$A$1:$I$1,FALSE))</f>
        <v>required_exp_250</v>
      </c>
      <c r="AM7" s="8">
        <f ca="1">VLOOKUP(G7,経験値!$A$28:$B$32,2)</f>
        <v>6400</v>
      </c>
      <c r="AN7" s="16">
        <f ca="1">VLOOKUP(G7,ビット!$G$2:$H$7,2)</f>
        <v>900</v>
      </c>
      <c r="AO7" s="41"/>
      <c r="AP7" s="63">
        <v>1036</v>
      </c>
      <c r="AQ7" s="53" t="str">
        <f ca="1">VLOOKUP($AP7,OFFSET(unit_skills!$A$1,0,0,COUNTA(unit_skills!$A:$A),MATCH(AQ$1,unit_skills!$1:$1,0)-MATCH($AP$1,unit_skills!$1:$1,0)+1),MATCH(AQ$1,unit_skills!$1:$1,0)-MATCH($AP$1,unit_skills!$1:$1,0)+1,FALSE)</f>
        <v>レガシー・ネガ・ブリンガ</v>
      </c>
      <c r="AR7" s="53" t="str">
        <f ca="1">VLOOKUP($AP7,OFFSET(unit_skills!$A$1,0,0,COUNTA(unit_skills!$A:$A),MATCH(AR$1,unit_skills!$1:$1,0)-MATCH($AP$1,unit_skills!$1:$1,0)+1),MATCH(AR$1,unit_skills!$1:$1,0)-MATCH($AP$1,unit_skills!$1:$1,0)+1,FALSE)</f>
        <v>黄を緑パネルに変換+1ターン緑属性にお邪魔ブレイクを付与、敵からのダメージを10%軽減+3ターン自身のタップ数を1増加</v>
      </c>
      <c r="AS7" s="53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63">
        <v>1036</v>
      </c>
      <c r="AU7" s="53" t="str">
        <f ca="1">VLOOKUP($AT7,OFFSET(crash_skills!$A$1,0,0,COUNTA(crash_skills!$A:$A),MATCH(AU$1,crash_skills!$1:$1,0)-MATCH($AT$1,crash_skills!$1:$1,0)+1),MATCH(AU$1,crash_skills!$1:$1,0)-MATCH($AT$1,crash_skills!$1:$1,0)+1,FALSE)</f>
        <v>アンスマート・キラーボーンズ</v>
      </c>
      <c r="AV7" s="53" t="str">
        <f ca="1">VLOOKUP($AT7,OFFSET(crash_skills!$A$1,0,0,COUNTA(crash_skills!$A:$A),MATCH(AV$1,crash_skills!$1:$1,0)-MATCH($AT$1,crash_skills!$1:$1,0)+1),MATCH(AV$1,crash_skills!$1:$1,0)-MATCH($AT$1,crash_skills!$1:$1,0)+1,FALSE)</f>
        <v>自身のHPの最大値に比例して1体に特大ダメージ+HP固定回復</v>
      </c>
      <c r="AW7" s="53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4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4">
        <v>1.0255000000000001</v>
      </c>
      <c r="AZ7" s="64">
        <v>1.2306999999999999</v>
      </c>
      <c r="BA7" s="64">
        <v>0</v>
      </c>
      <c r="BB7" s="64">
        <v>0.36959999999999998</v>
      </c>
      <c r="BC7" s="10">
        <f ca="1">INDEX('RC6SV'!$A$1:$G$21,MATCH(H7,'RC6SV'!$A$1:$A$21,FALSE),MATCH(G7,'RC6SV'!$A$1:$G$1,FALSE))</f>
        <v>12000</v>
      </c>
      <c r="BD7" s="44">
        <f t="shared" ref="BD7" ca="1" si="12">ROUND(BC7*IF(AJ7=1,0.95,IF(AJ7=2,1,IF(AJ7,1.05,0))),0)</f>
        <v>12000</v>
      </c>
      <c r="BE7" s="10">
        <f t="shared" ca="1" si="3"/>
        <v>9000</v>
      </c>
      <c r="BF7" s="10">
        <f t="shared" ca="1" si="4"/>
        <v>1</v>
      </c>
      <c r="BG7" s="15">
        <f ca="1">IF($BE7&lt;=0,ROUND(BK7*0.5,0), ROUND($BE7*S7*AA7*J7*AY7*0.8*[1]ステータス!$B$2,0))</f>
        <v>5460</v>
      </c>
      <c r="BH7" s="15">
        <f ca="1">IF($BE7&lt;=0,ROUND(BL7*0.5,0), ROUND($BE7*T7*AB7*K7*AZ7*0.8*[1]ステータス!$C$2,0))</f>
        <v>2436</v>
      </c>
      <c r="BI7" s="15">
        <f ca="1">IF($BE7&lt;=0,ROUND(BM7*0.5,0), ROUND($BE7*U7*AC7*L7*BA7*0.8*[1]ステータス!$D$2,0))</f>
        <v>0</v>
      </c>
      <c r="BJ7" s="15">
        <f ca="1">IF($BE7&lt;=0,ROUND(BN7*0.5,0), ROUND($BE7*V7*AD7*M7*BB7*0.8*[1]ステータス!$E$2,0))</f>
        <v>419</v>
      </c>
      <c r="BK7" s="10">
        <f ca="1">ROUND(BD7*S7*AA7*J7*AY7*[1]ステータス!$B$2,0)</f>
        <v>9100</v>
      </c>
      <c r="BL7" s="10">
        <f ca="1">ROUND(BD7*T7*AB7*K7*AZ7*[1]ステータス!$C$2,0)</f>
        <v>4060</v>
      </c>
      <c r="BM7" s="10">
        <f ca="1">ROUND(BD7*U7*AC7*L7*BA7*[1]ステータス!$D$2,0)</f>
        <v>0</v>
      </c>
      <c r="BN7" s="10">
        <f ca="1">ROUND(BD7*V7*AD7*M7*BB7*[1]ステータス!$E$2,0)</f>
        <v>699</v>
      </c>
      <c r="BO7" s="9">
        <v>0</v>
      </c>
      <c r="BP7" s="9">
        <v>1</v>
      </c>
      <c r="BQ7" s="9" t="s">
        <v>47</v>
      </c>
      <c r="BR7" s="9">
        <f ca="1">VLOOKUP(H7,[2]ghosts_label!$A$2:$B$19,2,FALSE)</f>
        <v>1</v>
      </c>
    </row>
  </sheetData>
  <autoFilter ref="A1:BQ1"/>
  <phoneticPr fontId="10"/>
  <conditionalFormatting sqref="BO1">
    <cfRule type="cellIs" dxfId="41" priority="120" stopIfTrue="1" operator="equal">
      <formula>1</formula>
    </cfRule>
  </conditionalFormatting>
  <conditionalFormatting sqref="BQ1">
    <cfRule type="cellIs" dxfId="4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7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I8" sqref="I8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185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1488</v>
      </c>
      <c r="B2" s="129" t="s">
        <v>186</v>
      </c>
      <c r="C2" s="188" t="s">
        <v>357</v>
      </c>
      <c r="D2" s="188" t="s">
        <v>365</v>
      </c>
      <c r="E2" s="131">
        <f t="shared" ref="E2" si="0">LEN(D2)</f>
        <v>49</v>
      </c>
      <c r="F2" s="63">
        <v>14</v>
      </c>
      <c r="G2" s="113">
        <v>7</v>
      </c>
      <c r="H2" s="132">
        <f>2001</f>
        <v>2001</v>
      </c>
      <c r="I2" s="189" t="s">
        <v>366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デカルトR5</v>
      </c>
      <c r="K2" s="133">
        <f>IFERROR(VLOOKUP(A2,[1]characters!$A:$R,18),0)</f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1489</v>
      </c>
      <c r="B3" s="129" t="s">
        <v>186</v>
      </c>
      <c r="C3" s="188" t="s">
        <v>358</v>
      </c>
      <c r="D3" s="188" t="s">
        <v>391</v>
      </c>
      <c r="E3" s="131">
        <f t="shared" ref="E3:E4" si="1">LEN(D3)</f>
        <v>68</v>
      </c>
      <c r="F3" s="63">
        <v>13</v>
      </c>
      <c r="G3" s="113">
        <v>7</v>
      </c>
      <c r="H3" s="132">
        <f>2001</f>
        <v>2001</v>
      </c>
      <c r="I3" s="189" t="s">
        <v>367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デカルトR6</v>
      </c>
      <c r="K3" s="133">
        <f>IFERROR(VLOOKUP(A3,[1]characters!$A:$R,18),0)</f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1490</v>
      </c>
      <c r="B4" s="129" t="s">
        <v>186</v>
      </c>
      <c r="C4" s="188" t="s">
        <v>368</v>
      </c>
      <c r="D4" s="188" t="s">
        <v>390</v>
      </c>
      <c r="E4" s="131">
        <f t="shared" si="1"/>
        <v>62</v>
      </c>
      <c r="F4" s="63">
        <v>14</v>
      </c>
      <c r="G4" s="113">
        <v>7</v>
      </c>
      <c r="H4" s="132">
        <f>2001</f>
        <v>2001</v>
      </c>
      <c r="I4" s="189" t="s">
        <v>359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パラケルスス</v>
      </c>
      <c r="K4" s="133">
        <f>IFERROR(VLOOKUP(A4,[1]characters!$A:$R,18),0)</f>
        <v>3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1491</v>
      </c>
      <c r="B5" s="129" t="s">
        <v>186</v>
      </c>
      <c r="C5" s="188" t="s">
        <v>369</v>
      </c>
      <c r="D5" s="188" t="s">
        <v>390</v>
      </c>
      <c r="E5" s="131">
        <f t="shared" ref="E5:E6" si="2">LEN(D5)</f>
        <v>62</v>
      </c>
      <c r="F5" s="63">
        <v>13</v>
      </c>
      <c r="G5" s="113">
        <v>7</v>
      </c>
      <c r="H5" s="132">
        <f>2001</f>
        <v>2001</v>
      </c>
      <c r="I5" s="189" t="s">
        <v>359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真緋の紅玉 パラケルスス</v>
      </c>
      <c r="K5" s="133">
        <f>IFERROR(VLOOKUP(A5,[1]characters!$A:$R,18),0)</f>
        <v>3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1035</v>
      </c>
      <c r="B6" s="129" t="s">
        <v>186</v>
      </c>
      <c r="C6" s="188" t="s">
        <v>370</v>
      </c>
      <c r="D6" s="198" t="s">
        <v>389</v>
      </c>
      <c r="E6" s="131">
        <f t="shared" si="2"/>
        <v>59</v>
      </c>
      <c r="F6" s="63">
        <v>11</v>
      </c>
      <c r="G6" s="113">
        <v>7</v>
      </c>
      <c r="H6" s="132">
        <f>2001</f>
        <v>2001</v>
      </c>
      <c r="I6" s="189" t="s">
        <v>392</v>
      </c>
      <c r="J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スカルズ</v>
      </c>
      <c r="K6" s="133">
        <f>IFERROR(VLOOKUP(A6,[1]characters!$A:$R,18),0)</f>
        <v>3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1036</v>
      </c>
      <c r="B7" s="129" t="s">
        <v>186</v>
      </c>
      <c r="C7" s="188" t="s">
        <v>371</v>
      </c>
      <c r="D7" s="198" t="s">
        <v>389</v>
      </c>
      <c r="E7" s="131">
        <f t="shared" ref="E7" si="3">LEN(D7)</f>
        <v>59</v>
      </c>
      <c r="F7" s="63">
        <v>10</v>
      </c>
      <c r="G7" s="113">
        <v>7</v>
      </c>
      <c r="H7" s="132">
        <f>2001</f>
        <v>2001</v>
      </c>
      <c r="I7" s="189" t="s">
        <v>392</v>
      </c>
      <c r="J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復讐の形骸 スカルズ</v>
      </c>
      <c r="K7" s="133">
        <f>IFERROR(VLOOKUP(A7,[1]characters!$A:$R,18),0)</f>
        <v>3</v>
      </c>
      <c r="L7" s="134"/>
      <c r="M7" s="135"/>
      <c r="N7" s="135"/>
      <c r="O7" s="135"/>
      <c r="P7" s="135"/>
      <c r="Q7" s="135"/>
      <c r="R7" s="130"/>
      <c r="S7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8:E1048576">
    <cfRule type="cellIs" dxfId="39" priority="28" operator="greaterThan">
      <formula>41</formula>
    </cfRule>
  </conditionalFormatting>
  <conditionalFormatting sqref="E2">
    <cfRule type="cellIs" dxfId="38" priority="22" operator="greaterThan">
      <formula>57</formula>
    </cfRule>
  </conditionalFormatting>
  <conditionalFormatting sqref="E3">
    <cfRule type="cellIs" dxfId="37" priority="21" operator="greaterThan">
      <formula>57</formula>
    </cfRule>
  </conditionalFormatting>
  <conditionalFormatting sqref="E4">
    <cfRule type="cellIs" dxfId="36" priority="4" operator="greaterThan">
      <formula>57</formula>
    </cfRule>
  </conditionalFormatting>
  <conditionalFormatting sqref="E5">
    <cfRule type="cellIs" dxfId="35" priority="3" operator="greaterThan">
      <formula>57</formula>
    </cfRule>
  </conditionalFormatting>
  <conditionalFormatting sqref="E6">
    <cfRule type="cellIs" dxfId="34" priority="2" operator="greaterThan">
      <formula>57</formula>
    </cfRule>
  </conditionalFormatting>
  <conditionalFormatting sqref="E7">
    <cfRule type="cellIs" dxfId="33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7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15" sqref="C15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185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1488</v>
      </c>
      <c r="B2" s="129" t="s">
        <v>187</v>
      </c>
      <c r="C2" s="188" t="s">
        <v>355</v>
      </c>
      <c r="D2" s="188" t="s">
        <v>352</v>
      </c>
      <c r="E2" s="131">
        <f t="shared" ref="E2" si="0">LEN(D2)</f>
        <v>26</v>
      </c>
      <c r="F2" s="197" t="s">
        <v>351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デカルトR5</v>
      </c>
      <c r="H2" s="132">
        <f>IFERROR(VLOOKUP(A2,[1]characters!$A:$R,18),0)</f>
        <v>1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1489</v>
      </c>
      <c r="B3" s="129" t="s">
        <v>187</v>
      </c>
      <c r="C3" s="188" t="s">
        <v>356</v>
      </c>
      <c r="D3" s="188" t="s">
        <v>352</v>
      </c>
      <c r="E3" s="131">
        <f t="shared" ref="E3:E4" si="1">LEN(D3)</f>
        <v>26</v>
      </c>
      <c r="F3" s="197" t="s">
        <v>351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デカルトR6</v>
      </c>
      <c r="H3" s="132">
        <f>IFERROR(VLOOKUP(A3,[1]characters!$A:$R,18),0)</f>
        <v>1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1490</v>
      </c>
      <c r="B4" s="129" t="s">
        <v>186</v>
      </c>
      <c r="C4" s="188" t="s">
        <v>372</v>
      </c>
      <c r="D4" s="188" t="s">
        <v>353</v>
      </c>
      <c r="E4" s="131">
        <f t="shared" si="1"/>
        <v>36</v>
      </c>
      <c r="F4" s="197" t="s">
        <v>349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パラケルスス</v>
      </c>
      <c r="H4" s="132">
        <f>IFERROR(VLOOKUP(A4,[1]characters!$A:$R,18),0)</f>
        <v>3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1491</v>
      </c>
      <c r="B5" s="129" t="s">
        <v>186</v>
      </c>
      <c r="C5" s="188" t="s">
        <v>373</v>
      </c>
      <c r="D5" s="188" t="s">
        <v>354</v>
      </c>
      <c r="E5" s="131">
        <f t="shared" ref="E5:E6" si="2">LEN(D5)</f>
        <v>36</v>
      </c>
      <c r="F5" s="197" t="s">
        <v>350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真緋の紅玉 パラケルスス</v>
      </c>
      <c r="H5" s="132">
        <f>IFERROR(VLOOKUP(A5,[1]characters!$A:$R,18),0)</f>
        <v>3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1035</v>
      </c>
      <c r="B6" s="129" t="s">
        <v>186</v>
      </c>
      <c r="C6" s="188" t="s">
        <v>374</v>
      </c>
      <c r="D6" s="188" t="s">
        <v>363</v>
      </c>
      <c r="E6" s="131">
        <f t="shared" si="2"/>
        <v>29</v>
      </c>
      <c r="F6" s="197" t="s">
        <v>361</v>
      </c>
      <c r="G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スカルズ</v>
      </c>
      <c r="H6" s="132">
        <f>IFERROR(VLOOKUP(A6,[1]characters!$A:$R,18),0)</f>
        <v>3</v>
      </c>
      <c r="I6" s="132"/>
      <c r="J6" s="137"/>
      <c r="K6" s="133"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1036</v>
      </c>
      <c r="B7" s="129" t="s">
        <v>186</v>
      </c>
      <c r="C7" s="188" t="s">
        <v>375</v>
      </c>
      <c r="D7" s="188" t="s">
        <v>364</v>
      </c>
      <c r="E7" s="131">
        <f t="shared" ref="E7" si="3">LEN(D7)</f>
        <v>30</v>
      </c>
      <c r="F7" s="197" t="s">
        <v>362</v>
      </c>
      <c r="G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復讐の形骸 スカルズ</v>
      </c>
      <c r="H7" s="132">
        <f>IFERROR(VLOOKUP(A7,[1]characters!$A:$R,18),0)</f>
        <v>3</v>
      </c>
      <c r="I7" s="132"/>
      <c r="J7" s="137"/>
      <c r="K7" s="133">
        <v>1</v>
      </c>
      <c r="L7" s="134"/>
      <c r="M7" s="135"/>
      <c r="N7" s="135"/>
      <c r="O7" s="135"/>
      <c r="P7" s="135"/>
      <c r="Q7" s="135"/>
      <c r="R7" s="130"/>
      <c r="S7" s="136"/>
    </row>
  </sheetData>
  <sheetProtection selectLockedCells="1" selectUnlockedCells="1"/>
  <autoFilter ref="A1:J1"/>
  <phoneticPr fontId="22"/>
  <conditionalFormatting sqref="E2">
    <cfRule type="cellIs" dxfId="32" priority="22" operator="greaterThan">
      <formula>57</formula>
    </cfRule>
  </conditionalFormatting>
  <conditionalFormatting sqref="E3">
    <cfRule type="cellIs" dxfId="31" priority="21" operator="greaterThan">
      <formula>57</formula>
    </cfRule>
  </conditionalFormatting>
  <conditionalFormatting sqref="E4">
    <cfRule type="cellIs" dxfId="30" priority="4" operator="greaterThan">
      <formula>57</formula>
    </cfRule>
  </conditionalFormatting>
  <conditionalFormatting sqref="E5">
    <cfRule type="cellIs" dxfId="29" priority="3" operator="greaterThan">
      <formula>57</formula>
    </cfRule>
  </conditionalFormatting>
  <conditionalFormatting sqref="E6">
    <cfRule type="cellIs" dxfId="28" priority="2" operator="greaterThan">
      <formula>57</formula>
    </cfRule>
  </conditionalFormatting>
  <conditionalFormatting sqref="E7">
    <cfRule type="cellIs" dxfId="27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8"/>
  <sheetViews>
    <sheetView zoomScale="110" workbookViewId="0">
      <selection activeCell="B20" sqref="B20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188</v>
      </c>
      <c r="B1" s="138" t="s">
        <v>189</v>
      </c>
      <c r="C1" s="110" t="s">
        <v>190</v>
      </c>
      <c r="D1" s="138" t="s">
        <v>192</v>
      </c>
      <c r="E1" s="138" t="s">
        <v>193</v>
      </c>
      <c r="F1" s="109" t="s">
        <v>194</v>
      </c>
      <c r="G1" s="110" t="s">
        <v>191</v>
      </c>
      <c r="H1" s="109" t="s">
        <v>195</v>
      </c>
    </row>
    <row r="2" spans="1:8" x14ac:dyDescent="0.15">
      <c r="A2" s="105">
        <v>1488</v>
      </c>
      <c r="B2" s="138" t="str">
        <f>VLOOKUP(A2,[1]characters!$A:$C,3,FALSE)</f>
        <v>デカルトR5</v>
      </c>
      <c r="C2" s="105" t="s">
        <v>196</v>
      </c>
      <c r="D2" s="138" t="str">
        <f t="shared" ref="D2" si="0">A2&amp;C2</f>
        <v>1488skill</v>
      </c>
      <c r="E2" s="138" t="str">
        <f>A2&amp;+(COUNTIF(A2:A$100,A2)-1)</f>
        <v>14883</v>
      </c>
      <c r="F2" s="105" t="s">
        <v>198</v>
      </c>
      <c r="G2" s="162" t="s">
        <v>197</v>
      </c>
      <c r="H2" s="162" t="s">
        <v>342</v>
      </c>
    </row>
    <row r="3" spans="1:8" x14ac:dyDescent="0.15">
      <c r="A3" s="105">
        <v>1488</v>
      </c>
      <c r="B3" s="138" t="str">
        <f>VLOOKUP(A3,[1]characters!$A:$C,3,FALSE)</f>
        <v>デカルトR5</v>
      </c>
      <c r="C3" s="105" t="s">
        <v>199</v>
      </c>
      <c r="D3" s="138" t="str">
        <f>A3&amp;C3</f>
        <v>1488cskill</v>
      </c>
      <c r="E3" s="138" t="str">
        <f>A3&amp;+(COUNTIF(A3:A$100,A3)-1)</f>
        <v>14882</v>
      </c>
      <c r="F3" s="105" t="s">
        <v>187</v>
      </c>
      <c r="G3" s="162" t="s">
        <v>197</v>
      </c>
      <c r="H3" s="162" t="s">
        <v>343</v>
      </c>
    </row>
    <row r="4" spans="1:8" x14ac:dyDescent="0.15">
      <c r="A4" s="105">
        <v>1488</v>
      </c>
      <c r="B4" s="138" t="str">
        <f>VLOOKUP(A4,[1]characters!$A:$C,3,FALSE)</f>
        <v>デカルトR5</v>
      </c>
      <c r="C4" s="105" t="s">
        <v>199</v>
      </c>
      <c r="D4" s="138" t="str">
        <f>A4&amp;C4</f>
        <v>1488cskill</v>
      </c>
      <c r="E4" s="138" t="str">
        <f>A4&amp;+(COUNTIF(A4:A$100,A4)-1)</f>
        <v>14881</v>
      </c>
      <c r="F4" s="105" t="s">
        <v>187</v>
      </c>
      <c r="G4" s="162" t="s">
        <v>341</v>
      </c>
      <c r="H4" s="162" t="s">
        <v>344</v>
      </c>
    </row>
    <row r="5" spans="1:8" x14ac:dyDescent="0.15">
      <c r="A5" s="105">
        <v>1488</v>
      </c>
      <c r="B5" s="138" t="str">
        <f>VLOOKUP(A5,[1]characters!$A:$C,3,FALSE)</f>
        <v>デカルトR5</v>
      </c>
      <c r="C5" s="105" t="s">
        <v>199</v>
      </c>
      <c r="D5" s="138" t="str">
        <f>A5&amp;C5</f>
        <v>1488cskill</v>
      </c>
      <c r="E5" s="138" t="str">
        <f>A5&amp;+(COUNTIF(A5:A$100,A5)-1)</f>
        <v>14880</v>
      </c>
      <c r="F5" s="105" t="s">
        <v>198</v>
      </c>
      <c r="G5" s="162" t="s">
        <v>341</v>
      </c>
      <c r="H5" s="162" t="s">
        <v>345</v>
      </c>
    </row>
    <row r="6" spans="1:8" x14ac:dyDescent="0.15">
      <c r="A6" s="105">
        <v>1489</v>
      </c>
      <c r="B6" s="138" t="str">
        <f>VLOOKUP(A6,[1]characters!$A:$C,3,FALSE)</f>
        <v>デカルトR6</v>
      </c>
      <c r="C6" s="105" t="s">
        <v>196</v>
      </c>
      <c r="D6" s="138" t="str">
        <f t="shared" ref="D6" si="1">A6&amp;C6</f>
        <v>1489skill</v>
      </c>
      <c r="E6" s="138" t="str">
        <f>A6&amp;+(COUNTIF(A6:A$100,A6)-1)</f>
        <v>14894</v>
      </c>
      <c r="F6" s="105" t="s">
        <v>187</v>
      </c>
      <c r="G6" s="162" t="s">
        <v>341</v>
      </c>
      <c r="H6" s="162" t="s">
        <v>342</v>
      </c>
    </row>
    <row r="7" spans="1:8" x14ac:dyDescent="0.15">
      <c r="A7" s="105">
        <v>1489</v>
      </c>
      <c r="B7" s="138" t="str">
        <f>VLOOKUP(A7,[1]characters!$A:$C,3,FALSE)</f>
        <v>デカルトR6</v>
      </c>
      <c r="C7" s="105" t="s">
        <v>199</v>
      </c>
      <c r="D7" s="138" t="str">
        <f>A7&amp;C7</f>
        <v>1489cskill</v>
      </c>
      <c r="E7" s="138" t="str">
        <f>A7&amp;+(COUNTIF(A7:A$100,A7)-1)</f>
        <v>14893</v>
      </c>
      <c r="F7" s="105" t="s">
        <v>187</v>
      </c>
      <c r="G7" s="162" t="s">
        <v>197</v>
      </c>
      <c r="H7" s="162" t="s">
        <v>343</v>
      </c>
    </row>
    <row r="8" spans="1:8" x14ac:dyDescent="0.15">
      <c r="A8" s="105">
        <v>1489</v>
      </c>
      <c r="B8" s="138" t="str">
        <f>VLOOKUP(A8,[1]characters!$A:$C,3,FALSE)</f>
        <v>デカルトR6</v>
      </c>
      <c r="C8" s="105" t="s">
        <v>199</v>
      </c>
      <c r="D8" s="138" t="str">
        <f>A8&amp;C8</f>
        <v>1489cskill</v>
      </c>
      <c r="E8" s="138" t="str">
        <f>A8&amp;+(COUNTIF(A8:A$100,A8)-1)</f>
        <v>14892</v>
      </c>
      <c r="F8" s="105" t="s">
        <v>187</v>
      </c>
      <c r="G8" s="162" t="s">
        <v>341</v>
      </c>
      <c r="H8" s="162" t="s">
        <v>344</v>
      </c>
    </row>
    <row r="9" spans="1:8" x14ac:dyDescent="0.15">
      <c r="A9" s="105">
        <v>1489</v>
      </c>
      <c r="B9" s="138" t="str">
        <f>VLOOKUP(A9,[1]characters!$A:$C,3,FALSE)</f>
        <v>デカルトR6</v>
      </c>
      <c r="C9" s="105" t="s">
        <v>199</v>
      </c>
      <c r="D9" s="138" t="str">
        <f>A9&amp;C9</f>
        <v>1489cskill</v>
      </c>
      <c r="E9" s="138" t="str">
        <f>A9&amp;+(COUNTIF(A9:A$100,A9)-1)</f>
        <v>14891</v>
      </c>
      <c r="F9" s="105" t="s">
        <v>187</v>
      </c>
      <c r="G9" s="162" t="s">
        <v>341</v>
      </c>
      <c r="H9" s="162" t="s">
        <v>345</v>
      </c>
    </row>
    <row r="10" spans="1:8" x14ac:dyDescent="0.15">
      <c r="A10" s="105">
        <v>1489</v>
      </c>
      <c r="B10" s="138" t="str">
        <f>VLOOKUP(A10,[1]characters!$A:$C,3,FALSE)</f>
        <v>デカルトR6</v>
      </c>
      <c r="C10" s="105" t="s">
        <v>199</v>
      </c>
      <c r="D10" s="138" t="str">
        <f>A10&amp;C10</f>
        <v>1489cskill</v>
      </c>
      <c r="E10" s="138" t="str">
        <f>A10&amp;+(COUNTIF(A10:A$100,A10)-1)</f>
        <v>14890</v>
      </c>
      <c r="F10" s="105" t="s">
        <v>187</v>
      </c>
      <c r="G10" s="162" t="s">
        <v>341</v>
      </c>
      <c r="H10" s="162" t="s">
        <v>346</v>
      </c>
    </row>
    <row r="11" spans="1:8" x14ac:dyDescent="0.15">
      <c r="A11" s="105">
        <v>1490</v>
      </c>
      <c r="B11" s="138" t="str">
        <f>VLOOKUP(A11,[1]characters!$A:$C,3,FALSE)</f>
        <v>パラケルスス</v>
      </c>
      <c r="C11" s="105" t="s">
        <v>196</v>
      </c>
      <c r="D11" s="138" t="str">
        <f t="shared" ref="D11" si="2">A11&amp;C11</f>
        <v>1490skill</v>
      </c>
      <c r="E11" s="138" t="str">
        <f>A11&amp;+(COUNTIF(A11:A$100,A11)-1)</f>
        <v>14903</v>
      </c>
      <c r="F11" s="105" t="s">
        <v>186</v>
      </c>
      <c r="G11" s="162" t="s">
        <v>197</v>
      </c>
      <c r="H11" s="162" t="s">
        <v>376</v>
      </c>
    </row>
    <row r="12" spans="1:8" x14ac:dyDescent="0.15">
      <c r="A12" s="105">
        <v>1490</v>
      </c>
      <c r="B12" s="138" t="str">
        <f>VLOOKUP(A12,[1]characters!$A:$C,3,FALSE)</f>
        <v>パラケルスス</v>
      </c>
      <c r="C12" s="105" t="s">
        <v>199</v>
      </c>
      <c r="D12" s="138" t="str">
        <f>A12&amp;C12</f>
        <v>1490cskill</v>
      </c>
      <c r="E12" s="138" t="str">
        <f>A12&amp;+(COUNTIF(A12:A$100,A12)-1)</f>
        <v>14902</v>
      </c>
      <c r="F12" s="105" t="s">
        <v>186</v>
      </c>
      <c r="G12" s="162" t="s">
        <v>341</v>
      </c>
      <c r="H12" s="162" t="s">
        <v>378</v>
      </c>
    </row>
    <row r="13" spans="1:8" x14ac:dyDescent="0.15">
      <c r="A13" s="105">
        <v>1490</v>
      </c>
      <c r="B13" s="138" t="str">
        <f>VLOOKUP(A13,[1]characters!$A:$C,3,FALSE)</f>
        <v>パラケルスス</v>
      </c>
      <c r="C13" s="105" t="s">
        <v>199</v>
      </c>
      <c r="D13" s="138" t="str">
        <f>A13&amp;C13</f>
        <v>1490cskill</v>
      </c>
      <c r="E13" s="138" t="str">
        <f>A13&amp;+(COUNTIF(A13:A$100,A13)-1)</f>
        <v>14901</v>
      </c>
      <c r="F13" s="105" t="s">
        <v>186</v>
      </c>
      <c r="G13" s="162" t="s">
        <v>379</v>
      </c>
      <c r="H13" s="162" t="s">
        <v>380</v>
      </c>
    </row>
    <row r="14" spans="1:8" x14ac:dyDescent="0.15">
      <c r="A14" s="105">
        <v>1490</v>
      </c>
      <c r="B14" s="138" t="str">
        <f>VLOOKUP(A14,[1]characters!$A:$C,3,FALSE)</f>
        <v>パラケルスス</v>
      </c>
      <c r="C14" s="105" t="s">
        <v>199</v>
      </c>
      <c r="D14" s="138" t="str">
        <f>A14&amp;C14</f>
        <v>1490cskill</v>
      </c>
      <c r="E14" s="138" t="str">
        <f>A14&amp;+(COUNTIF(A14:A$100,A14)-1)</f>
        <v>14900</v>
      </c>
      <c r="F14" s="105" t="s">
        <v>186</v>
      </c>
      <c r="G14" s="162" t="s">
        <v>379</v>
      </c>
      <c r="H14" s="162" t="s">
        <v>381</v>
      </c>
    </row>
    <row r="15" spans="1:8" x14ac:dyDescent="0.15">
      <c r="A15" s="105">
        <v>1491</v>
      </c>
      <c r="B15" s="138" t="str">
        <f>VLOOKUP(A15,[1]characters!$A:$C,3,FALSE)</f>
        <v>真緋の紅玉 パラケルスス</v>
      </c>
      <c r="C15" s="105" t="s">
        <v>196</v>
      </c>
      <c r="D15" s="138" t="str">
        <f t="shared" ref="D15" si="3">A15&amp;C15</f>
        <v>1491skill</v>
      </c>
      <c r="E15" s="138" t="str">
        <f>A15&amp;+(COUNTIF(A15:A$100,A15)-1)</f>
        <v>14914</v>
      </c>
      <c r="F15" s="105" t="s">
        <v>186</v>
      </c>
      <c r="G15" s="162" t="s">
        <v>197</v>
      </c>
      <c r="H15" s="162" t="s">
        <v>377</v>
      </c>
    </row>
    <row r="16" spans="1:8" x14ac:dyDescent="0.15">
      <c r="A16" s="105">
        <v>1491</v>
      </c>
      <c r="B16" s="138" t="str">
        <f>VLOOKUP(A16,[1]characters!$A:$C,3,FALSE)</f>
        <v>真緋の紅玉 パラケルスス</v>
      </c>
      <c r="C16" s="105" t="s">
        <v>199</v>
      </c>
      <c r="D16" s="138" t="str">
        <f>A16&amp;C16</f>
        <v>1491cskill</v>
      </c>
      <c r="E16" s="138" t="str">
        <f>A16&amp;+(COUNTIF(A16:A$100,A16)-1)</f>
        <v>14913</v>
      </c>
      <c r="F16" s="105" t="s">
        <v>186</v>
      </c>
      <c r="G16" s="162" t="s">
        <v>341</v>
      </c>
      <c r="H16" s="162" t="s">
        <v>378</v>
      </c>
    </row>
    <row r="17" spans="1:8" x14ac:dyDescent="0.15">
      <c r="A17" s="105">
        <v>1491</v>
      </c>
      <c r="B17" s="138" t="str">
        <f>VLOOKUP(A17,[1]characters!$A:$C,3,FALSE)</f>
        <v>真緋の紅玉 パラケルスス</v>
      </c>
      <c r="C17" s="105" t="s">
        <v>199</v>
      </c>
      <c r="D17" s="138" t="str">
        <f>A17&amp;C17</f>
        <v>1491cskill</v>
      </c>
      <c r="E17" s="138" t="str">
        <f>A17&amp;+(COUNTIF(A17:A$100,A17)-1)</f>
        <v>14912</v>
      </c>
      <c r="F17" s="105" t="s">
        <v>186</v>
      </c>
      <c r="G17" s="162" t="s">
        <v>379</v>
      </c>
      <c r="H17" s="162" t="s">
        <v>380</v>
      </c>
    </row>
    <row r="18" spans="1:8" x14ac:dyDescent="0.15">
      <c r="A18" s="105">
        <v>1491</v>
      </c>
      <c r="B18" s="138" t="str">
        <f>VLOOKUP(A18,[1]characters!$A:$C,3,FALSE)</f>
        <v>真緋の紅玉 パラケルスス</v>
      </c>
      <c r="C18" s="105" t="s">
        <v>199</v>
      </c>
      <c r="D18" s="138" t="str">
        <f>A18&amp;C18</f>
        <v>1491cskill</v>
      </c>
      <c r="E18" s="138" t="str">
        <f>A18&amp;+(COUNTIF(A18:A$100,A18)-1)</f>
        <v>14911</v>
      </c>
      <c r="F18" s="105" t="s">
        <v>186</v>
      </c>
      <c r="G18" s="162" t="s">
        <v>379</v>
      </c>
      <c r="H18" s="162" t="s">
        <v>381</v>
      </c>
    </row>
    <row r="19" spans="1:8" x14ac:dyDescent="0.15">
      <c r="A19" s="105">
        <v>1491</v>
      </c>
      <c r="B19" s="138" t="str">
        <f>VLOOKUP(A19,[1]characters!$A:$C,3,FALSE)</f>
        <v>真緋の紅玉 パラケルスス</v>
      </c>
      <c r="C19" s="105" t="s">
        <v>199</v>
      </c>
      <c r="D19" s="138" t="str">
        <f>A19&amp;C19</f>
        <v>1491cskill</v>
      </c>
      <c r="E19" s="138" t="str">
        <f>A19&amp;+(COUNTIF(A19:A$100,A19)-1)</f>
        <v>14910</v>
      </c>
      <c r="F19" s="105" t="s">
        <v>186</v>
      </c>
      <c r="G19" s="162" t="s">
        <v>197</v>
      </c>
      <c r="H19" s="162" t="s">
        <v>382</v>
      </c>
    </row>
    <row r="20" spans="1:8" x14ac:dyDescent="0.15">
      <c r="A20" s="105">
        <v>1035</v>
      </c>
      <c r="B20" s="138" t="str">
        <f>VLOOKUP(A20,[1]characters!$A:$C,3,FALSE)</f>
        <v>スカルズ</v>
      </c>
      <c r="C20" s="105" t="s">
        <v>196</v>
      </c>
      <c r="D20" s="138" t="str">
        <f t="shared" ref="D20" si="4">A20&amp;C20</f>
        <v>1035skill</v>
      </c>
      <c r="E20" s="138" t="str">
        <f>A20&amp;+(COUNTIF(A20:A$100,A20)-1)</f>
        <v>10353</v>
      </c>
      <c r="F20" s="105" t="s">
        <v>186</v>
      </c>
      <c r="G20" s="162" t="s">
        <v>379</v>
      </c>
      <c r="H20" s="162" t="s">
        <v>383</v>
      </c>
    </row>
    <row r="21" spans="1:8" x14ac:dyDescent="0.15">
      <c r="A21" s="105">
        <v>1035</v>
      </c>
      <c r="B21" s="138" t="str">
        <f>VLOOKUP(A21,[1]characters!$A:$C,3,FALSE)</f>
        <v>スカルズ</v>
      </c>
      <c r="C21" s="105" t="s">
        <v>199</v>
      </c>
      <c r="D21" s="138" t="str">
        <f>A21&amp;C21</f>
        <v>1035cskill</v>
      </c>
      <c r="E21" s="138" t="str">
        <f>A21&amp;+(COUNTIF(A21:A$100,A21)-1)</f>
        <v>10352</v>
      </c>
      <c r="F21" s="105" t="s">
        <v>186</v>
      </c>
      <c r="G21" s="162" t="s">
        <v>379</v>
      </c>
      <c r="H21" s="162" t="s">
        <v>385</v>
      </c>
    </row>
    <row r="22" spans="1:8" x14ac:dyDescent="0.15">
      <c r="A22" s="105">
        <v>1035</v>
      </c>
      <c r="B22" s="138" t="str">
        <f>VLOOKUP(A22,[1]characters!$A:$C,3,FALSE)</f>
        <v>スカルズ</v>
      </c>
      <c r="C22" s="105" t="s">
        <v>199</v>
      </c>
      <c r="D22" s="138" t="str">
        <f>A22&amp;C22</f>
        <v>1035cskill</v>
      </c>
      <c r="E22" s="138" t="str">
        <f>A22&amp;+(COUNTIF(A22:A$100,A22)-1)</f>
        <v>10351</v>
      </c>
      <c r="F22" s="105" t="s">
        <v>186</v>
      </c>
      <c r="G22" s="162" t="s">
        <v>379</v>
      </c>
      <c r="H22" s="162" t="s">
        <v>386</v>
      </c>
    </row>
    <row r="23" spans="1:8" x14ac:dyDescent="0.15">
      <c r="A23" s="105">
        <v>1035</v>
      </c>
      <c r="B23" s="138" t="str">
        <f>VLOOKUP(A23,[1]characters!$A:$C,3,FALSE)</f>
        <v>スカルズ</v>
      </c>
      <c r="C23" s="105" t="s">
        <v>199</v>
      </c>
      <c r="D23" s="138" t="str">
        <f>A23&amp;C23</f>
        <v>1035cskill</v>
      </c>
      <c r="E23" s="138" t="str">
        <f>A23&amp;+(COUNTIF(A23:A$100,A23)-1)</f>
        <v>10350</v>
      </c>
      <c r="F23" s="105" t="s">
        <v>186</v>
      </c>
      <c r="G23" s="162" t="s">
        <v>197</v>
      </c>
      <c r="H23" s="162" t="s">
        <v>387</v>
      </c>
    </row>
    <row r="24" spans="1:8" x14ac:dyDescent="0.15">
      <c r="A24" s="105">
        <v>1036</v>
      </c>
      <c r="B24" s="138" t="str">
        <f>VLOOKUP(A24,[1]characters!$A:$C,3,FALSE)</f>
        <v>復讐の形骸 スカルズ</v>
      </c>
      <c r="C24" s="105" t="s">
        <v>196</v>
      </c>
      <c r="D24" s="138" t="str">
        <f t="shared" ref="D24" si="5">A24&amp;C24</f>
        <v>1036skill</v>
      </c>
      <c r="E24" s="138" t="str">
        <f>A24&amp;+(COUNTIF(A24:A$100,A24)-1)</f>
        <v>10364</v>
      </c>
      <c r="F24" s="105" t="s">
        <v>186</v>
      </c>
      <c r="G24" s="162" t="s">
        <v>379</v>
      </c>
      <c r="H24" s="162" t="s">
        <v>384</v>
      </c>
    </row>
    <row r="25" spans="1:8" x14ac:dyDescent="0.15">
      <c r="A25" s="105">
        <v>1036</v>
      </c>
      <c r="B25" s="138" t="str">
        <f>VLOOKUP(A25,[1]characters!$A:$C,3,FALSE)</f>
        <v>復讐の形骸 スカルズ</v>
      </c>
      <c r="C25" s="105" t="s">
        <v>199</v>
      </c>
      <c r="D25" s="138" t="str">
        <f>A25&amp;C25</f>
        <v>1036cskill</v>
      </c>
      <c r="E25" s="138" t="str">
        <f>A25&amp;+(COUNTIF(A25:A$100,A25)-1)</f>
        <v>10363</v>
      </c>
      <c r="F25" s="105" t="s">
        <v>186</v>
      </c>
      <c r="G25" s="162" t="s">
        <v>379</v>
      </c>
      <c r="H25" s="162" t="s">
        <v>385</v>
      </c>
    </row>
    <row r="26" spans="1:8" x14ac:dyDescent="0.15">
      <c r="A26" s="105">
        <v>1036</v>
      </c>
      <c r="B26" s="138" t="str">
        <f>VLOOKUP(A26,[1]characters!$A:$C,3,FALSE)</f>
        <v>復讐の形骸 スカルズ</v>
      </c>
      <c r="C26" s="105" t="s">
        <v>199</v>
      </c>
      <c r="D26" s="138" t="str">
        <f>A26&amp;C26</f>
        <v>1036cskill</v>
      </c>
      <c r="E26" s="138" t="str">
        <f>A26&amp;+(COUNTIF(A26:A$100,A26)-1)</f>
        <v>10362</v>
      </c>
      <c r="F26" s="105" t="s">
        <v>186</v>
      </c>
      <c r="G26" s="162" t="s">
        <v>379</v>
      </c>
      <c r="H26" s="162" t="s">
        <v>386</v>
      </c>
    </row>
    <row r="27" spans="1:8" x14ac:dyDescent="0.15">
      <c r="A27" s="105">
        <v>1036</v>
      </c>
      <c r="B27" s="138" t="str">
        <f>VLOOKUP(A27,[1]characters!$A:$C,3,FALSE)</f>
        <v>復讐の形骸 スカルズ</v>
      </c>
      <c r="C27" s="105" t="s">
        <v>199</v>
      </c>
      <c r="D27" s="138" t="str">
        <f>A27&amp;C27</f>
        <v>1036cskill</v>
      </c>
      <c r="E27" s="138" t="str">
        <f>A27&amp;+(COUNTIF(A27:A$100,A27)-1)</f>
        <v>10361</v>
      </c>
      <c r="F27" s="105" t="s">
        <v>186</v>
      </c>
      <c r="G27" s="162" t="s">
        <v>197</v>
      </c>
      <c r="H27" s="162" t="s">
        <v>387</v>
      </c>
    </row>
    <row r="28" spans="1:8" x14ac:dyDescent="0.15">
      <c r="A28" s="105">
        <v>1036</v>
      </c>
      <c r="B28" s="138" t="str">
        <f>VLOOKUP(A28,[1]characters!$A:$C,3,FALSE)</f>
        <v>復讐の形骸 スカルズ</v>
      </c>
      <c r="C28" s="105" t="s">
        <v>199</v>
      </c>
      <c r="D28" s="138" t="str">
        <f>A28&amp;C28</f>
        <v>1036cskill</v>
      </c>
      <c r="E28" s="138" t="str">
        <f>A28&amp;+(COUNTIF(A28:A$100,A28)-1)</f>
        <v>10360</v>
      </c>
      <c r="F28" s="105" t="s">
        <v>186</v>
      </c>
      <c r="G28" s="162" t="s">
        <v>379</v>
      </c>
      <c r="H28" s="162" t="s">
        <v>388</v>
      </c>
    </row>
  </sheetData>
  <phoneticPr fontId="22"/>
  <dataValidations count="2">
    <dataValidation type="list" allowBlank="1" showInputMessage="1" showErrorMessage="1" sqref="G2:G28">
      <formula1>"maru,giza,kumo"</formula1>
    </dataValidation>
    <dataValidation type="list" allowBlank="1" showInputMessage="1" showErrorMessage="1" sqref="C2:C28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4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5" sqref="Q5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0">
        <v>1488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デカルトR5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1489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デカルトR6</v>
      </c>
      <c r="S2" s="5">
        <f ca="1">IF(ISNA(MATCH(A2,Q:Q,0)),A2,INDIRECT(ADDRESS(MATCH(A2,Q:Q,0),COLUMN())))</f>
        <v>1488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デカルトR5</v>
      </c>
      <c r="U2" s="10">
        <f ca="1">IF(Q2="NULL","NULL",VLOOKUP(G2,[3]ビット!$A$2:$B$7,2))</f>
        <v>200000</v>
      </c>
    </row>
    <row r="3" spans="1:21" ht="21" customHeight="1" x14ac:dyDescent="0.15">
      <c r="A3" s="190">
        <v>1490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パラケルスス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animal</v>
      </c>
      <c r="K3" s="5" t="str">
        <f ca="1">VLOOKUP(J3,[1]character_tribe_i18n!$A:$H,3,FALSE)</f>
        <v>アニマル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normal</v>
      </c>
      <c r="Q3" s="187">
        <v>1491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真緋の紅玉 パラケルスス</v>
      </c>
      <c r="S3" s="5">
        <f ca="1">IF(ISNA(MATCH(A3,Q:Q,0)),A3,INDIRECT(ADDRESS(MATCH(A3,Q:Q,0),COLUMN())))</f>
        <v>1490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パラケルスス</v>
      </c>
      <c r="U3" s="10">
        <f ca="1">IF(Q3="NULL","NULL",VLOOKUP(G3,[3]ビット!$A$2:$B$7,2))</f>
        <v>200000</v>
      </c>
    </row>
    <row r="4" spans="1:21" ht="21" customHeight="1" x14ac:dyDescent="0.15">
      <c r="A4" s="190">
        <v>1035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スカルズ</v>
      </c>
      <c r="C4" s="53" t="str">
        <f ca="1">VLOOKUP($A4,OFFSET([1]characters!$A$1,0,0,COUNTA([1]characters!$A:$A),MATCH(C$1,[1]characters!$1:$1,0)-MATCH($A$1,[1]characters!$1:$1,0)+1),MATCH(C$1,[1]characters!$1:$1,0)-MATCH($A$1,[1]characters!$1:$1,0)+1,FALSE)</f>
        <v>ラプラス</v>
      </c>
      <c r="D4" s="53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3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3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53" t="str">
        <f ca="1">VLOOKUP($A4,OFFSET([1]characters!$A$1,0,0,COUNTA([1]characters!$A:$A),MATCH(J$1,[1]characters!$1:$1,0)-MATCH($A$1,[1]characters!$1:$1,0)+1),MATCH(J$1,[1]characters!$1:$1,0)-MATCH($A$1,[1]characters!$1:$1,0)+1,FALSE)</f>
        <v>unknown</v>
      </c>
      <c r="K4" s="5" t="str">
        <f ca="1">VLOOKUP(J4,[1]character_tribe_i18n!$A:$H,3,FALSE)</f>
        <v>Unknown</v>
      </c>
      <c r="L4" s="10" t="e">
        <f>VLOOKUP(#REF!,[1]character_tribe_i18n!$A:$H,4,FALSE)</f>
        <v>#REF!</v>
      </c>
      <c r="M4" s="10" t="e">
        <f>VLOOKUP(#REF!,[1]character_tribe_i18n!$A:$H,5,FALSE)</f>
        <v>#REF!</v>
      </c>
      <c r="N4" s="10" t="e">
        <f>VLOOKUP(#REF!,[1]character_tribe_i18n!$A:$H,6,FALSE)</f>
        <v>#REF!</v>
      </c>
      <c r="O4" s="10" t="e">
        <f>VLOOKUP(#REF!,[1]character_tribe_i18n!$A:$H,7,FALSE)</f>
        <v>#REF!</v>
      </c>
      <c r="P4" s="176" t="str">
        <f>VLOOKUP(Q4,[1]characters!$A:$AC,20)</f>
        <v>normal</v>
      </c>
      <c r="Q4" s="187">
        <v>1036</v>
      </c>
      <c r="R4" s="58" t="str">
        <f ca="1">IF(Q4="NULL","",VLOOKUP($Q4,OFFSET([1]characters!$A$1,0,0,COUNTA([1]characters!$A:$A),MATCH(R$1,[1]characters!$1:$1,0)-MATCH($A$1,[1]characters!$1:$1,0)+1),MATCH(R$1,[1]characters!$1:$1,0)-MATCH($A$1,[1]characters!$1:$1,0)+1,FALSE))</f>
        <v>復讐の形骸 スカルズ</v>
      </c>
      <c r="S4" s="5">
        <f ca="1">IF(ISNA(MATCH(A4,Q:Q,0)),A4,INDIRECT(ADDRESS(MATCH(A4,Q:Q,0),COLUMN())))</f>
        <v>1035</v>
      </c>
      <c r="T4" s="58" t="str">
        <f ca="1">VLOOKUP($S4,OFFSET([1]characters!$A$1,0,0,COUNTA([1]characters!$A:$A),MATCH(T$1,[1]characters!$1:$1,0)-MATCH($A$1,[1]characters!$1:$1,0)+1),MATCH(T$1,[1]characters!$1:$1,0)-MATCH($A$1,[1]characters!$1:$1,0)+1,FALSE)</f>
        <v>スカルズ</v>
      </c>
      <c r="U4" s="10">
        <f ca="1">IF(Q4="NULL","NULL",VLOOKUP(G4,[3]ビット!$A$2:$B$7,2))</f>
        <v>200000</v>
      </c>
    </row>
  </sheetData>
  <autoFilter ref="A1:U2"/>
  <phoneticPr fontId="22"/>
  <conditionalFormatting sqref="W1:W2 W5:W1048576">
    <cfRule type="cellIs" dxfId="26" priority="8" operator="equal">
      <formula>"FALSE"</formula>
    </cfRule>
  </conditionalFormatting>
  <conditionalFormatting sqref="W3">
    <cfRule type="cellIs" dxfId="25" priority="2" operator="equal">
      <formula>"FALSE"</formula>
    </cfRule>
  </conditionalFormatting>
  <conditionalFormatting sqref="W4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13"/>
  <sheetViews>
    <sheetView showGridLines="0" workbookViewId="0">
      <pane ySplit="1" topLeftCell="A2" activePane="bottomLeft" state="frozen"/>
      <selection pane="bottomLeft" activeCell="M13" sqref="M13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 t="shared" ref="A2:A9" si="0">B2&amp;"_"&amp;I2</f>
        <v>1488_104</v>
      </c>
      <c r="B2" s="194">
        <v>1488</v>
      </c>
      <c r="C2" s="178">
        <f t="shared" ref="C2:C9" si="1">B2</f>
        <v>1488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デカルトR5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PremiumSSS</v>
      </c>
      <c r="G2" s="194">
        <v>1489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デカルトR6</v>
      </c>
      <c r="I2" s="193">
        <v>104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炎のマッドハッター</v>
      </c>
      <c r="K2" s="191">
        <v>1</v>
      </c>
      <c r="L2" s="192">
        <v>1</v>
      </c>
      <c r="M2" s="192">
        <v>10</v>
      </c>
      <c r="N2" s="2" t="s">
        <v>291</v>
      </c>
    </row>
    <row r="3" spans="1:14" ht="21" customHeight="1" x14ac:dyDescent="0.15">
      <c r="A3" s="61" t="str">
        <f t="shared" si="0"/>
        <v>1488_736</v>
      </c>
      <c r="B3" s="194">
        <v>1488</v>
      </c>
      <c r="C3" s="178">
        <f t="shared" si="1"/>
        <v>1488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デカルトR5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PremiumSSS</v>
      </c>
      <c r="G3" s="194">
        <v>1489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デカルトR6</v>
      </c>
      <c r="I3" s="193">
        <v>736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オルトロス</v>
      </c>
      <c r="K3" s="191">
        <v>1</v>
      </c>
      <c r="L3" s="192">
        <v>2</v>
      </c>
      <c r="M3" s="192">
        <v>100</v>
      </c>
      <c r="N3" s="2" t="s">
        <v>291</v>
      </c>
    </row>
    <row r="4" spans="1:14" ht="21" customHeight="1" x14ac:dyDescent="0.15">
      <c r="A4" s="61" t="str">
        <f t="shared" si="0"/>
        <v>1488_856</v>
      </c>
      <c r="B4" s="194">
        <v>1488</v>
      </c>
      <c r="C4" s="178">
        <f t="shared" si="1"/>
        <v>1488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デカルトR5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PremiumSSS</v>
      </c>
      <c r="G4" s="194">
        <v>1489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デカルトR6</v>
      </c>
      <c r="I4" s="193">
        <v>856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リフレクト＆M.I.R.R.O.R.</v>
      </c>
      <c r="K4" s="191">
        <v>1</v>
      </c>
      <c r="L4" s="192">
        <v>2</v>
      </c>
      <c r="M4" s="192">
        <v>100</v>
      </c>
      <c r="N4" s="2" t="s">
        <v>291</v>
      </c>
    </row>
    <row r="5" spans="1:14" ht="21" customHeight="1" x14ac:dyDescent="0.15">
      <c r="A5" s="61" t="str">
        <f t="shared" si="0"/>
        <v>1488_837</v>
      </c>
      <c r="B5" s="194">
        <v>1488</v>
      </c>
      <c r="C5" s="178">
        <f t="shared" si="1"/>
        <v>1488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デカルトR5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PremiumSSS</v>
      </c>
      <c r="G5" s="194">
        <v>1489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デカルトR6</v>
      </c>
      <c r="I5" s="193">
        <v>837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91">
        <v>1</v>
      </c>
      <c r="L5" s="192">
        <v>1</v>
      </c>
      <c r="M5" s="192">
        <v>1000</v>
      </c>
      <c r="N5" s="2" t="s">
        <v>291</v>
      </c>
    </row>
    <row r="6" spans="1:14" ht="21" customHeight="1" x14ac:dyDescent="0.15">
      <c r="A6" s="61" t="str">
        <f t="shared" si="0"/>
        <v>1490_104</v>
      </c>
      <c r="B6" s="194">
        <v>1490</v>
      </c>
      <c r="C6" s="178">
        <f t="shared" si="1"/>
        <v>1490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パラケルスス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PremiumSSS</v>
      </c>
      <c r="G6" s="194">
        <v>1491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真緋の紅玉 パラケルスス</v>
      </c>
      <c r="I6" s="193">
        <v>104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炎のマッドハッター</v>
      </c>
      <c r="K6" s="191">
        <v>1</v>
      </c>
      <c r="L6" s="192">
        <v>1</v>
      </c>
      <c r="M6" s="192">
        <v>10</v>
      </c>
      <c r="N6" s="2" t="s">
        <v>291</v>
      </c>
    </row>
    <row r="7" spans="1:14" ht="21" customHeight="1" x14ac:dyDescent="0.15">
      <c r="A7" s="61" t="str">
        <f t="shared" si="0"/>
        <v>1490_840</v>
      </c>
      <c r="B7" s="194">
        <v>1490</v>
      </c>
      <c r="C7" s="178">
        <f t="shared" si="1"/>
        <v>1490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パラケルスス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PremiumSSS</v>
      </c>
      <c r="G7" s="194">
        <v>1491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真緋の紅玉 パラケルスス</v>
      </c>
      <c r="I7" s="193">
        <v>840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フェニックス</v>
      </c>
      <c r="K7" s="191">
        <v>1</v>
      </c>
      <c r="L7" s="192">
        <v>2</v>
      </c>
      <c r="M7" s="192">
        <v>100</v>
      </c>
      <c r="N7" s="2" t="s">
        <v>291</v>
      </c>
    </row>
    <row r="8" spans="1:14" ht="21" customHeight="1" x14ac:dyDescent="0.15">
      <c r="A8" s="61" t="str">
        <f t="shared" si="0"/>
        <v>1490_577</v>
      </c>
      <c r="B8" s="194">
        <v>1490</v>
      </c>
      <c r="C8" s="178">
        <f t="shared" si="1"/>
        <v>1490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パラケルスス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PremiumSSS</v>
      </c>
      <c r="G8" s="194">
        <v>1491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真緋の紅玉 パラケルスス</v>
      </c>
      <c r="I8" s="193">
        <v>577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ビュグヴィルとベイラ</v>
      </c>
      <c r="K8" s="191">
        <v>1</v>
      </c>
      <c r="L8" s="192">
        <v>2</v>
      </c>
      <c r="M8" s="192">
        <v>100</v>
      </c>
      <c r="N8" s="2" t="s">
        <v>291</v>
      </c>
    </row>
    <row r="9" spans="1:14" ht="21" customHeight="1" x14ac:dyDescent="0.15">
      <c r="A9" s="61" t="str">
        <f t="shared" si="0"/>
        <v>1490_837</v>
      </c>
      <c r="B9" s="194">
        <v>1490</v>
      </c>
      <c r="C9" s="178">
        <f t="shared" si="1"/>
        <v>1490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パラケルスス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PremiumSSS</v>
      </c>
      <c r="G9" s="194">
        <v>1491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真緋の紅玉 パラケルスス</v>
      </c>
      <c r="I9" s="193">
        <v>837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リトルハンプティ</v>
      </c>
      <c r="K9" s="191">
        <v>1</v>
      </c>
      <c r="L9" s="192">
        <v>1</v>
      </c>
      <c r="M9" s="192">
        <v>1000</v>
      </c>
      <c r="N9" s="2" t="s">
        <v>291</v>
      </c>
    </row>
    <row r="10" spans="1:14" ht="21" customHeight="1" x14ac:dyDescent="0.15">
      <c r="A10" s="61" t="str">
        <f t="shared" ref="A10:A13" si="2">B10&amp;"_"&amp;I10</f>
        <v>1035_108</v>
      </c>
      <c r="B10" s="194">
        <v>1035</v>
      </c>
      <c r="C10" s="178">
        <f t="shared" ref="C10:C13" si="3">B10</f>
        <v>1035</v>
      </c>
      <c r="D10" s="53" t="str">
        <f ca="1">VLOOKUP($C10,OFFSET([1]characters!$A$1,0,0,COUNTA([1]characters!$A:$A),MATCH(D$1,[1]characters!$1:$1,0)-MATCH($C$1,[1]characters!$1:$1,0)+1),MATCH(D$1,[1]characters!$1:$1,0)-MATCH($C$1,[1]characters!$1:$1,0)+1,FALSE)</f>
        <v>スカルズ</v>
      </c>
      <c r="E10" s="53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3" t="str">
        <f ca="1">VLOOKUP($C10,OFFSET([1]characters!$A$1,0,0,COUNTA([1]characters!$A:$A),MATCH(F$1,[1]characters!$1:$1,0)-MATCH($C$1,[1]characters!$1:$1,0)+1),MATCH(F$1,[1]characters!$1:$1,0)-MATCH($C$1,[1]characters!$1:$1,0)+1,FALSE)</f>
        <v>DropWizS</v>
      </c>
      <c r="G10" s="194">
        <v>1036</v>
      </c>
      <c r="H10" s="53" t="str">
        <f ca="1">VLOOKUP($G10,OFFSET([1]characters!$A$1,0,0,COUNTA([1]characters!$A:$A),MATCH(H$1,[1]characters!$1:$1,0)-MATCH($C$1,[1]characters!$1:$1,0)+1),MATCH(H$1,[1]characters!$1:$1,0)-MATCH($C$1,[1]characters!$1:$1,0)+1,FALSE)</f>
        <v>復讐の形骸 スカルズ</v>
      </c>
      <c r="I10" s="193">
        <v>108</v>
      </c>
      <c r="J10" s="53" t="str">
        <f ca="1">VLOOKUP($I10,OFFSET([1]characters!$A$1,0,0,COUNTA([1]characters!$A:$A),MATCH(J$1,[1]characters!$1:$1,0)-MATCH($C$1,[1]characters!$1:$1,0)+1),MATCH(J$1,[1]characters!$1:$1,0)-MATCH($C$1,[1]characters!$1:$1,0)+1,FALSE)</f>
        <v>森のマッドハッター</v>
      </c>
      <c r="K10" s="191">
        <v>1</v>
      </c>
      <c r="L10" s="192">
        <v>1</v>
      </c>
      <c r="M10" s="192">
        <v>10</v>
      </c>
      <c r="N10" s="2" t="s">
        <v>291</v>
      </c>
    </row>
    <row r="11" spans="1:14" ht="21" customHeight="1" x14ac:dyDescent="0.15">
      <c r="A11" s="61" t="str">
        <f t="shared" si="2"/>
        <v>1035_837</v>
      </c>
      <c r="B11" s="194">
        <v>1035</v>
      </c>
      <c r="C11" s="178">
        <f t="shared" si="3"/>
        <v>1035</v>
      </c>
      <c r="D11" s="53" t="str">
        <f ca="1">VLOOKUP($C11,OFFSET([1]characters!$A$1,0,0,COUNTA([1]characters!$A:$A),MATCH(D$1,[1]characters!$1:$1,0)-MATCH($C$1,[1]characters!$1:$1,0)+1),MATCH(D$1,[1]characters!$1:$1,0)-MATCH($C$1,[1]characters!$1:$1,0)+1,FALSE)</f>
        <v>スカルズ</v>
      </c>
      <c r="E11" s="53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3" t="str">
        <f ca="1">VLOOKUP($C11,OFFSET([1]characters!$A$1,0,0,COUNTA([1]characters!$A:$A),MATCH(F$1,[1]characters!$1:$1,0)-MATCH($C$1,[1]characters!$1:$1,0)+1),MATCH(F$1,[1]characters!$1:$1,0)-MATCH($C$1,[1]characters!$1:$1,0)+1,FALSE)</f>
        <v>DropWizS</v>
      </c>
      <c r="G11" s="194">
        <v>1036</v>
      </c>
      <c r="H11" s="53" t="str">
        <f ca="1">VLOOKUP($G11,OFFSET([1]characters!$A$1,0,0,COUNTA([1]characters!$A:$A),MATCH(H$1,[1]characters!$1:$1,0)-MATCH($C$1,[1]characters!$1:$1,0)+1),MATCH(H$1,[1]characters!$1:$1,0)-MATCH($C$1,[1]characters!$1:$1,0)+1,FALSE)</f>
        <v>復讐の形骸 スカルズ</v>
      </c>
      <c r="I11" s="193">
        <v>837</v>
      </c>
      <c r="J11" s="53" t="str">
        <f ca="1">VLOOKUP($I11,OFFSET([1]characters!$A$1,0,0,COUNTA([1]characters!$A:$A),MATCH(J$1,[1]characters!$1:$1,0)-MATCH($C$1,[1]characters!$1:$1,0)+1),MATCH(J$1,[1]characters!$1:$1,0)-MATCH($C$1,[1]characters!$1:$1,0)+1,FALSE)</f>
        <v>リトルハンプティ</v>
      </c>
      <c r="K11" s="191">
        <v>1</v>
      </c>
      <c r="L11" s="192">
        <v>1</v>
      </c>
      <c r="M11" s="192">
        <v>1000</v>
      </c>
      <c r="N11" s="2" t="s">
        <v>291</v>
      </c>
    </row>
    <row r="12" spans="1:14" ht="21" customHeight="1" x14ac:dyDescent="0.15">
      <c r="A12" s="61" t="str">
        <f t="shared" si="2"/>
        <v>1035_1324</v>
      </c>
      <c r="B12" s="194">
        <v>1035</v>
      </c>
      <c r="C12" s="178">
        <f t="shared" si="3"/>
        <v>1035</v>
      </c>
      <c r="D12" s="53" t="str">
        <f ca="1">VLOOKUP($C12,OFFSET([1]characters!$A$1,0,0,COUNTA([1]characters!$A:$A),MATCH(D$1,[1]characters!$1:$1,0)-MATCH($C$1,[1]characters!$1:$1,0)+1),MATCH(D$1,[1]characters!$1:$1,0)-MATCH($C$1,[1]characters!$1:$1,0)+1,FALSE)</f>
        <v>スカルズ</v>
      </c>
      <c r="E12" s="53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3" t="str">
        <f ca="1">VLOOKUP($C12,OFFSET([1]characters!$A$1,0,0,COUNTA([1]characters!$A:$A),MATCH(F$1,[1]characters!$1:$1,0)-MATCH($C$1,[1]characters!$1:$1,0)+1),MATCH(F$1,[1]characters!$1:$1,0)-MATCH($C$1,[1]characters!$1:$1,0)+1,FALSE)</f>
        <v>DropWizS</v>
      </c>
      <c r="G12" s="194">
        <v>1036</v>
      </c>
      <c r="H12" s="53" t="str">
        <f ca="1">VLOOKUP($G12,OFFSET([1]characters!$A$1,0,0,COUNTA([1]characters!$A:$A),MATCH(H$1,[1]characters!$1:$1,0)-MATCH($C$1,[1]characters!$1:$1,0)+1),MATCH(H$1,[1]characters!$1:$1,0)-MATCH($C$1,[1]characters!$1:$1,0)+1,FALSE)</f>
        <v>復讐の形骸 スカルズ</v>
      </c>
      <c r="I12" s="193">
        <v>1324</v>
      </c>
      <c r="J12" s="53" t="str">
        <f ca="1">VLOOKUP($I12,OFFSET([1]characters!$A$1,0,0,COUNTA([1]characters!$A:$A),MATCH(J$1,[1]characters!$1:$1,0)-MATCH($C$1,[1]characters!$1:$1,0)+1),MATCH(J$1,[1]characters!$1:$1,0)-MATCH($C$1,[1]characters!$1:$1,0)+1,FALSE)</f>
        <v>アウリ</v>
      </c>
      <c r="K12" s="191">
        <v>1</v>
      </c>
      <c r="L12" s="192">
        <v>2</v>
      </c>
      <c r="M12" s="192">
        <v>100</v>
      </c>
      <c r="N12" s="2" t="s">
        <v>291</v>
      </c>
    </row>
    <row r="13" spans="1:14" ht="21" customHeight="1" x14ac:dyDescent="0.15">
      <c r="A13" s="61" t="str">
        <f t="shared" si="2"/>
        <v>1035_1059</v>
      </c>
      <c r="B13" s="194">
        <v>1035</v>
      </c>
      <c r="C13" s="178">
        <f t="shared" si="3"/>
        <v>1035</v>
      </c>
      <c r="D13" s="53" t="str">
        <f ca="1">VLOOKUP($C13,OFFSET([1]characters!$A$1,0,0,COUNTA([1]characters!$A:$A),MATCH(D$1,[1]characters!$1:$1,0)-MATCH($C$1,[1]characters!$1:$1,0)+1),MATCH(D$1,[1]characters!$1:$1,0)-MATCH($C$1,[1]characters!$1:$1,0)+1,FALSE)</f>
        <v>スカルズ</v>
      </c>
      <c r="E13" s="53">
        <f ca="1">VLOOKUP($C13,OFFSET([1]characters!$A$1,0,0,COUNTA([1]characters!$A:$A),MATCH(E$1,[1]characters!$1:$1,0)-MATCH($C$1,[1]characters!$1:$1,0)+1),MATCH(E$1,[1]characters!$1:$1,0)-MATCH($C$1,[1]characters!$1:$1,0)+1,FALSE)</f>
        <v>5</v>
      </c>
      <c r="F13" s="53" t="str">
        <f ca="1">VLOOKUP($C13,OFFSET([1]characters!$A$1,0,0,COUNTA([1]characters!$A:$A),MATCH(F$1,[1]characters!$1:$1,0)-MATCH($C$1,[1]characters!$1:$1,0)+1),MATCH(F$1,[1]characters!$1:$1,0)-MATCH($C$1,[1]characters!$1:$1,0)+1,FALSE)</f>
        <v>DropWizS</v>
      </c>
      <c r="G13" s="194">
        <v>1036</v>
      </c>
      <c r="H13" s="53" t="str">
        <f ca="1">VLOOKUP($G13,OFFSET([1]characters!$A$1,0,0,COUNTA([1]characters!$A:$A),MATCH(H$1,[1]characters!$1:$1,0)-MATCH($C$1,[1]characters!$1:$1,0)+1),MATCH(H$1,[1]characters!$1:$1,0)-MATCH($C$1,[1]characters!$1:$1,0)+1,FALSE)</f>
        <v>復讐の形骸 スカルズ</v>
      </c>
      <c r="I13" s="193">
        <v>1059</v>
      </c>
      <c r="J13" s="53" t="str">
        <f ca="1">VLOOKUP($I13,OFFSET([1]characters!$A$1,0,0,COUNTA([1]characters!$A:$A),MATCH(J$1,[1]characters!$1:$1,0)-MATCH($C$1,[1]characters!$1:$1,0)+1),MATCH(J$1,[1]characters!$1:$1,0)-MATCH($C$1,[1]characters!$1:$1,0)+1,FALSE)</f>
        <v>パズズ</v>
      </c>
      <c r="K13" s="191">
        <v>1</v>
      </c>
      <c r="L13" s="192">
        <v>3</v>
      </c>
      <c r="M13" s="192">
        <v>100</v>
      </c>
      <c r="N13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G26" sqref="G26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68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7"/>
  <sheetViews>
    <sheetView workbookViewId="0">
      <selection activeCell="D8" sqref="D8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>
        <v>1489</v>
      </c>
      <c r="B2" s="172" t="str">
        <f>VLOOKUP(A2,[1]characters!$A:$C,3)</f>
        <v>デカルトR6</v>
      </c>
      <c r="C2" s="195">
        <v>1</v>
      </c>
      <c r="D2" s="195">
        <v>100</v>
      </c>
      <c r="E2" s="173" t="str">
        <f>IF(ISERROR(VLOOKUP(D2,[4]abilities!A:D,3,FALSE))=FALSE,VLOOKUP(D2,[4]abilities!A:D,3),IF(ISERROR(VLOOKUP(D2,abilities!A:D,3,FALSE))=FALSE,VLOOKUP(D2,abilities!A:D,3),"なし"))</f>
        <v>プロテクトブレイク</v>
      </c>
      <c r="F2" s="173" t="str">
        <f>IF(ISERROR(VLOOKUP(D2,[4]abilities!A:D,4,FALSE))=FALSE,VLOOKUP(D2,[4]abilities!A:D,4),IF(ISERROR(VLOOKUP(D2,abilities!A:D,4,FALSE))=FALSE,VLOOKUP(D2,abilities!A:D,4),"なし"))</f>
        <v>自身が先頭の時、プロテクトを無視してパネル破壊できる</v>
      </c>
      <c r="G2" s="174" t="s">
        <v>275</v>
      </c>
      <c r="H2" s="196" t="s">
        <v>339</v>
      </c>
    </row>
    <row r="3" spans="1:8" s="4" customFormat="1" ht="21" customHeight="1" x14ac:dyDescent="0.15">
      <c r="A3" s="169">
        <v>1489</v>
      </c>
      <c r="B3" s="172" t="str">
        <f>VLOOKUP(A3,[1]characters!$A:$C,3)</f>
        <v>デカルトR6</v>
      </c>
      <c r="C3" s="195">
        <v>2</v>
      </c>
      <c r="D3" s="195">
        <v>3001</v>
      </c>
      <c r="E3" s="173" t="str">
        <f>IF(ISERROR(VLOOKUP(D3,[4]abilities!A:D,3,FALSE))=FALSE,VLOOKUP(D3,[4]abilities!A:D,3),IF(ISERROR(VLOOKUP(D3,abilities!A:D,3,FALSE))=FALSE,VLOOKUP(D3,abilities!A:D,3),"なし"))</f>
        <v>攻撃参加</v>
      </c>
      <c r="F3" s="173" t="str">
        <f>IF(ISERROR(VLOOKUP(D3,[4]abilities!A:D,4,FALSE))=FALSE,VLOOKUP(D3,[4]abilities!A:D,4),IF(ISERROR(VLOOKUP(D3,abilities!A:D,4,FALSE))=FALSE,VLOOKUP(D3,abilities!A:D,4),"なし"))</f>
        <v>最初の1ターン目と、その後6ターン毎に自身が先頭以外でも通常攻撃に参加する</v>
      </c>
      <c r="G3" s="174" t="s">
        <v>275</v>
      </c>
      <c r="H3" s="196" t="s">
        <v>339</v>
      </c>
    </row>
    <row r="4" spans="1:8" s="4" customFormat="1" ht="21" customHeight="1" x14ac:dyDescent="0.15">
      <c r="A4" s="169">
        <v>1491</v>
      </c>
      <c r="B4" s="172" t="str">
        <f>VLOOKUP(A4,[1]characters!$A:$C,3)</f>
        <v>真緋の紅玉 パラケルスス</v>
      </c>
      <c r="C4" s="195">
        <v>1</v>
      </c>
      <c r="D4" s="195">
        <v>103</v>
      </c>
      <c r="E4" s="173" t="str">
        <f>IF(ISERROR(VLOOKUP(D4,[4]abilities!A:D,3,FALSE))=FALSE,VLOOKUP(D4,[4]abilities!A:D,3),IF(ISERROR(VLOOKUP(D4,abilities!A:D,3,FALSE))=FALSE,VLOOKUP(D4,abilities!A:D,3),"なし"))</f>
        <v>お邪魔ブレイク</v>
      </c>
      <c r="F4" s="173" t="str">
        <f>IF(ISERROR(VLOOKUP(D4,[4]abilities!A:D,4,FALSE))=FALSE,VLOOKUP(D4,[4]abilities!A:D,4),IF(ISERROR(VLOOKUP(D4,abilities!A:D,4,FALSE))=FALSE,VLOOKUP(D4,abilities!A:D,4),"なし"))</f>
        <v>自身が先頭の時、お邪魔パネルを破壊できる</v>
      </c>
      <c r="G4" s="174" t="s">
        <v>275</v>
      </c>
      <c r="H4" s="196" t="s">
        <v>339</v>
      </c>
    </row>
    <row r="5" spans="1:8" s="4" customFormat="1" ht="21" customHeight="1" x14ac:dyDescent="0.15">
      <c r="A5" s="169">
        <v>1491</v>
      </c>
      <c r="B5" s="172" t="str">
        <f>VLOOKUP(A5,[1]characters!$A:$C,3)</f>
        <v>真緋の紅玉 パラケルスス</v>
      </c>
      <c r="C5" s="195">
        <v>2</v>
      </c>
      <c r="D5" s="195">
        <v>2510</v>
      </c>
      <c r="E5" s="173" t="str">
        <f>IF(ISERROR(VLOOKUP(D5,[4]abilities!A:D,3,FALSE))=FALSE,VLOOKUP(D5,[4]abilities!A:D,3),IF(ISERROR(VLOOKUP(D5,abilities!A:D,3,FALSE))=FALSE,VLOOKUP(D5,abilities!A:D,3),"なし"))</f>
        <v>青ボムパネル(大)ドロップ</v>
      </c>
      <c r="F5" s="173" t="str">
        <f>IF(ISERROR(VLOOKUP(D5,[4]abilities!A:D,4,FALSE))=FALSE,VLOOKUP(D5,[4]abilities!A:D,4),IF(ISERROR(VLOOKUP(D5,abilities!A:D,4,FALSE))=FALSE,VLOOKUP(D5,abilities!A:D,4),"なし"))</f>
        <v>自身が先頭の時、低確率で青ボムパネル(大)をドロップ</v>
      </c>
      <c r="G5" s="174" t="s">
        <v>275</v>
      </c>
      <c r="H5" s="196" t="s">
        <v>339</v>
      </c>
    </row>
    <row r="6" spans="1:8" s="4" customFormat="1" ht="21" customHeight="1" x14ac:dyDescent="0.15">
      <c r="A6" s="169">
        <v>1036</v>
      </c>
      <c r="B6" s="172" t="str">
        <f>VLOOKUP(A6,[1]characters!$A:$C,3)</f>
        <v>復讐の形骸 スカルズ</v>
      </c>
      <c r="C6" s="195">
        <v>1</v>
      </c>
      <c r="D6" s="195">
        <v>1506</v>
      </c>
      <c r="E6" s="173" t="str">
        <f>IF(ISERROR(VLOOKUP(D6,[4]abilities!A:D,3,FALSE))=FALSE,VLOOKUP(D6,[4]abilities!A:D,3),IF(ISERROR(VLOOKUP(D6,abilities!A:D,3,FALSE))=FALSE,VLOOKUP(D6,abilities!A:D,3),"なし"))</f>
        <v>バリア3939</v>
      </c>
      <c r="F6" s="173" t="str">
        <f>IF(ISERROR(VLOOKUP(D6,[4]abilities!A:D,4,FALSE))=FALSE,VLOOKUP(D6,[4]abilities!A:D,4),IF(ISERROR(VLOOKUP(D6,abilities!A:D,4,FALSE))=FALSE,VLOOKUP(D6,abilities!A:D,4),"なし"))</f>
        <v>戦闘開始時に、自身への直接ダメージを3939まで防ぐバリアを一度だけ展開(バリアは破壊されると復活しない)</v>
      </c>
      <c r="G6" s="174" t="s">
        <v>275</v>
      </c>
      <c r="H6" s="196" t="s">
        <v>339</v>
      </c>
    </row>
    <row r="7" spans="1:8" s="4" customFormat="1" ht="21" customHeight="1" x14ac:dyDescent="0.15">
      <c r="A7" s="169">
        <v>1036</v>
      </c>
      <c r="B7" s="172" t="str">
        <f>VLOOKUP(A7,[1]characters!$A:$C,3)</f>
        <v>復讐の形骸 スカルズ</v>
      </c>
      <c r="C7" s="195">
        <v>2</v>
      </c>
      <c r="D7" s="195">
        <v>2805</v>
      </c>
      <c r="E7" s="173" t="str">
        <f>IF(ISERROR(VLOOKUP(D7,[4]abilities!A:D,3,FALSE))=FALSE,VLOOKUP(D7,[4]abilities!A:D,3),IF(ISERROR(VLOOKUP(D7,abilities!A:D,3,FALSE))=FALSE,VLOOKUP(D7,abilities!A:D,3),"なし"))</f>
        <v>ターン経過防御力UP</v>
      </c>
      <c r="F7" s="173" t="str">
        <f>IF(ISERROR(VLOOKUP(D7,[4]abilities!A:D,4,FALSE))=FALSE,VLOOKUP(D7,[4]abilities!A:D,4),IF(ISERROR(VLOOKUP(D7,abilities!A:D,4,FALSE))=FALSE,VLOOKUP(D7,abilities!A:D,4),"なし"))</f>
        <v>最初の1ターン目と、その後3ターン毎に1ターン緑属性ユニットの防御力を500UP</v>
      </c>
      <c r="G7" s="174" t="s">
        <v>275</v>
      </c>
      <c r="H7" s="196" t="s">
        <v>360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235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236</v>
      </c>
      <c r="B2" s="142"/>
      <c r="C2" s="143"/>
      <c r="D2" s="144" t="s">
        <v>237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238</v>
      </c>
      <c r="B3" s="145"/>
      <c r="C3" s="146"/>
      <c r="D3" s="147" t="s">
        <v>237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239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242</v>
      </c>
      <c r="B7" s="43" t="s">
        <v>11</v>
      </c>
      <c r="C7" s="43" t="s">
        <v>11</v>
      </c>
      <c r="D7" s="37" t="s">
        <v>237</v>
      </c>
      <c r="E7" s="37" t="s">
        <v>237</v>
      </c>
      <c r="F7" s="37" t="s">
        <v>237</v>
      </c>
      <c r="G7" s="37" t="s">
        <v>237</v>
      </c>
      <c r="H7" s="37" t="s">
        <v>237</v>
      </c>
      <c r="I7" s="37" t="s">
        <v>237</v>
      </c>
    </row>
    <row r="8" spans="1:9" ht="21" customHeight="1" x14ac:dyDescent="0.15">
      <c r="A8" s="71" t="s">
        <v>243</v>
      </c>
      <c r="B8" s="43" t="s">
        <v>11</v>
      </c>
      <c r="C8" s="43" t="s">
        <v>11</v>
      </c>
      <c r="D8" s="37" t="s">
        <v>237</v>
      </c>
      <c r="E8" s="37">
        <v>30</v>
      </c>
      <c r="F8" s="37">
        <v>40</v>
      </c>
      <c r="G8" s="37">
        <f>15+F8</f>
        <v>55</v>
      </c>
      <c r="H8" s="37" t="s">
        <v>237</v>
      </c>
      <c r="I8" s="37" t="s">
        <v>237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244</v>
      </c>
      <c r="B10" s="26" t="s">
        <v>11</v>
      </c>
      <c r="C10" s="26" t="s">
        <v>11</v>
      </c>
      <c r="D10" s="102" t="s">
        <v>237</v>
      </c>
      <c r="E10" s="102">
        <v>25</v>
      </c>
      <c r="F10" s="102">
        <v>35</v>
      </c>
      <c r="G10" s="37">
        <f t="shared" ref="G10:G11" si="1">15+F10</f>
        <v>50</v>
      </c>
      <c r="H10" s="102" t="s">
        <v>237</v>
      </c>
      <c r="I10" s="102" t="s">
        <v>237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245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246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247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248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249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250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251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252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236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238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232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243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211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207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247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248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217</v>
      </c>
      <c r="F19" s="67" t="s">
        <v>217</v>
      </c>
      <c r="G19" s="67" t="s">
        <v>217</v>
      </c>
      <c r="H19" s="67" t="s">
        <v>217</v>
      </c>
      <c r="I19" s="67" t="s">
        <v>217</v>
      </c>
    </row>
    <row r="20" spans="1:9" ht="21" customHeight="1" x14ac:dyDescent="0.15">
      <c r="A20" s="74" t="s">
        <v>251</v>
      </c>
      <c r="B20" s="34">
        <v>10</v>
      </c>
      <c r="C20" s="34">
        <v>20</v>
      </c>
      <c r="D20" s="67" t="s">
        <v>217</v>
      </c>
      <c r="E20" s="67" t="s">
        <v>217</v>
      </c>
      <c r="F20" s="67" t="s">
        <v>217</v>
      </c>
      <c r="G20" s="67" t="s">
        <v>217</v>
      </c>
      <c r="H20" s="67" t="s">
        <v>217</v>
      </c>
      <c r="I20" s="67" t="s">
        <v>217</v>
      </c>
    </row>
    <row r="21" spans="1:9" ht="21" customHeight="1" x14ac:dyDescent="0.15">
      <c r="A21" s="35" t="s">
        <v>252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236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253</v>
      </c>
      <c r="H2" s="143"/>
      <c r="I2" s="143"/>
    </row>
    <row r="3" spans="1:11" s="4" customFormat="1" ht="21" customHeight="1" x14ac:dyDescent="0.15">
      <c r="A3" s="141" t="s">
        <v>238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231</v>
      </c>
      <c r="H3" s="146"/>
      <c r="I3" s="146"/>
    </row>
    <row r="4" spans="1:11" s="4" customFormat="1" ht="21" customHeight="1" x14ac:dyDescent="0.15">
      <c r="A4" s="141" t="s">
        <v>232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231</v>
      </c>
      <c r="H4" s="149"/>
      <c r="I4" s="149"/>
    </row>
    <row r="5" spans="1:11" s="4" customFormat="1" ht="21" customHeight="1" x14ac:dyDescent="0.15">
      <c r="A5" s="160" t="s">
        <v>240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221</v>
      </c>
      <c r="H5" s="156"/>
      <c r="I5" s="156"/>
    </row>
    <row r="6" spans="1:11" s="4" customFormat="1" ht="21" customHeight="1" x14ac:dyDescent="0.15">
      <c r="A6" s="160" t="s">
        <v>241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243</v>
      </c>
      <c r="B8" s="38" t="s">
        <v>109</v>
      </c>
      <c r="C8" s="38" t="s">
        <v>109</v>
      </c>
      <c r="D8" s="38" t="s">
        <v>218</v>
      </c>
      <c r="E8" s="48" t="s">
        <v>115</v>
      </c>
      <c r="F8" s="48" t="s">
        <v>115</v>
      </c>
      <c r="G8" s="48" t="s">
        <v>219</v>
      </c>
      <c r="H8" s="38" t="s">
        <v>218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220</v>
      </c>
      <c r="I10" s="62" t="s">
        <v>220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221</v>
      </c>
      <c r="H11" s="67" t="s">
        <v>220</v>
      </c>
      <c r="I11" s="67" t="s">
        <v>220</v>
      </c>
      <c r="K11" s="25" t="s">
        <v>12</v>
      </c>
    </row>
    <row r="12" spans="1:11" ht="21" customHeight="1" x14ac:dyDescent="0.15">
      <c r="A12" s="72" t="s">
        <v>211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221</v>
      </c>
      <c r="H12" s="67" t="s">
        <v>220</v>
      </c>
      <c r="I12" s="67" t="s">
        <v>220</v>
      </c>
      <c r="K12" s="27" t="s">
        <v>13</v>
      </c>
    </row>
    <row r="13" spans="1:11" ht="21" customHeight="1" x14ac:dyDescent="0.15">
      <c r="A13" s="72" t="s">
        <v>207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247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248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251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252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229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230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232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233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234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208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209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210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211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212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213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214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215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216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319</v>
      </c>
      <c r="B1" t="s">
        <v>320</v>
      </c>
    </row>
    <row r="2" spans="1:2" x14ac:dyDescent="0.15">
      <c r="A2" t="s">
        <v>321</v>
      </c>
      <c r="B2">
        <v>1</v>
      </c>
    </row>
    <row r="3" spans="1:2" x14ac:dyDescent="0.15">
      <c r="A3" t="s">
        <v>322</v>
      </c>
      <c r="B3">
        <v>1</v>
      </c>
    </row>
    <row r="4" spans="1:2" x14ac:dyDescent="0.15">
      <c r="A4" t="s">
        <v>323</v>
      </c>
      <c r="B4">
        <v>1</v>
      </c>
    </row>
    <row r="5" spans="1:2" x14ac:dyDescent="0.15">
      <c r="A5" t="s">
        <v>324</v>
      </c>
      <c r="B5">
        <v>1</v>
      </c>
    </row>
    <row r="6" spans="1:2" x14ac:dyDescent="0.15">
      <c r="A6" t="s">
        <v>325</v>
      </c>
      <c r="B6">
        <v>1</v>
      </c>
    </row>
    <row r="7" spans="1:2" x14ac:dyDescent="0.15">
      <c r="A7" t="s">
        <v>326</v>
      </c>
      <c r="B7">
        <v>1</v>
      </c>
    </row>
    <row r="8" spans="1:2" x14ac:dyDescent="0.15">
      <c r="A8" t="s">
        <v>327</v>
      </c>
      <c r="B8">
        <v>1</v>
      </c>
    </row>
    <row r="9" spans="1:2" x14ac:dyDescent="0.15">
      <c r="A9" t="s">
        <v>328</v>
      </c>
      <c r="B9">
        <v>1</v>
      </c>
    </row>
    <row r="10" spans="1:2" x14ac:dyDescent="0.15">
      <c r="A10" t="s">
        <v>329</v>
      </c>
      <c r="B10">
        <v>1</v>
      </c>
    </row>
    <row r="11" spans="1:2" x14ac:dyDescent="0.15">
      <c r="A11" t="s">
        <v>330</v>
      </c>
      <c r="B11">
        <v>1</v>
      </c>
    </row>
    <row r="12" spans="1:2" x14ac:dyDescent="0.15">
      <c r="A12" t="s">
        <v>331</v>
      </c>
      <c r="B12">
        <v>1</v>
      </c>
    </row>
    <row r="13" spans="1:2" x14ac:dyDescent="0.15">
      <c r="A13" t="s">
        <v>332</v>
      </c>
      <c r="B13">
        <v>0</v>
      </c>
    </row>
    <row r="14" spans="1:2" x14ac:dyDescent="0.15">
      <c r="A14" t="s">
        <v>333</v>
      </c>
      <c r="B14">
        <v>500</v>
      </c>
    </row>
    <row r="15" spans="1:2" x14ac:dyDescent="0.15">
      <c r="A15" t="s">
        <v>334</v>
      </c>
      <c r="B15">
        <v>600</v>
      </c>
    </row>
    <row r="16" spans="1:2" x14ac:dyDescent="0.15">
      <c r="A16" t="s">
        <v>335</v>
      </c>
      <c r="B16">
        <v>700</v>
      </c>
    </row>
    <row r="17" spans="1:2" x14ac:dyDescent="0.15">
      <c r="A17" t="s">
        <v>336</v>
      </c>
      <c r="B17">
        <v>5500</v>
      </c>
    </row>
    <row r="18" spans="1:2" x14ac:dyDescent="0.15">
      <c r="A18" t="s">
        <v>337</v>
      </c>
      <c r="B18">
        <v>6000</v>
      </c>
    </row>
    <row r="19" spans="1:2" x14ac:dyDescent="0.15">
      <c r="A19" t="s">
        <v>338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1">
        <v>591</v>
      </c>
    </row>
    <row r="3" spans="1:4" x14ac:dyDescent="0.15">
      <c r="A3" t="s">
        <v>201</v>
      </c>
      <c r="B3" s="128">
        <v>592</v>
      </c>
    </row>
    <row r="4" spans="1:4" x14ac:dyDescent="0.15">
      <c r="A4" t="s">
        <v>202</v>
      </c>
      <c r="B4" s="128">
        <v>593</v>
      </c>
    </row>
    <row r="7" spans="1:4" x14ac:dyDescent="0.15">
      <c r="A7" t="s">
        <v>203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222</v>
      </c>
    </row>
    <row r="13" spans="1:4" x14ac:dyDescent="0.15">
      <c r="B13" t="s">
        <v>226</v>
      </c>
      <c r="C13" t="s">
        <v>227</v>
      </c>
      <c r="D13" t="s">
        <v>228</v>
      </c>
    </row>
    <row r="14" spans="1:4" x14ac:dyDescent="0.15">
      <c r="A14" t="s">
        <v>224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205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206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2017-06-06T08:17:04Z</dcterms:modified>
</cp:coreProperties>
</file>