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0" yWindow="0" windowWidth="38400" windowHeight="21520" tabRatio="740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triggers" sheetId="11" r:id="rId6"/>
    <sheet name="enemy_skill_sets" sheetId="9" r:id="rId7"/>
  </sheets>
  <externalReferences>
    <externalReference r:id="rId8"/>
    <externalReference r:id="rId9"/>
    <externalReference r:id="rId10"/>
    <externalReference r:id="rId11"/>
    <externalReference r:id="rId12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6" hidden="1">enemy_skill_sets!$A$1:$R$1</definedName>
    <definedName name="_xlnm._FilterDatabase" localSheetId="5" hidden="1">enemy_skill_triggers!$A$1:$G$1</definedName>
    <definedName name="_xlnm._FilterDatabase" localSheetId="4" hidden="1">enemy_skills!$A$1:$I$1</definedName>
    <definedName name="Excel_BuiltIn__FilterDatabase_6_1" localSheetId="6">[1]unit_skills!#REF!</definedName>
    <definedName name="Excel_BuiltIn__FilterDatabase_6_1" localSheetId="5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4" i="9" l="1"/>
  <c r="D24" i="9"/>
  <c r="E24" i="9"/>
  <c r="G24" i="9"/>
  <c r="H24" i="9"/>
  <c r="I24" i="9"/>
  <c r="J24" i="9"/>
  <c r="K24" i="9"/>
  <c r="L24" i="9"/>
  <c r="M24" i="9"/>
  <c r="N24" i="9"/>
  <c r="J5" i="11"/>
  <c r="O24" i="9"/>
  <c r="A25" i="9"/>
  <c r="D25" i="9"/>
  <c r="E25" i="9"/>
  <c r="G25" i="9"/>
  <c r="H25" i="9"/>
  <c r="I25" i="9"/>
  <c r="J25" i="9"/>
  <c r="K25" i="9"/>
  <c r="L25" i="9"/>
  <c r="M25" i="9"/>
  <c r="N25" i="9"/>
  <c r="J3" i="11"/>
  <c r="O25" i="9"/>
  <c r="J4" i="11"/>
  <c r="O23" i="9"/>
  <c r="N23" i="9"/>
  <c r="M23" i="9"/>
  <c r="L23" i="9"/>
  <c r="K23" i="9"/>
  <c r="J23" i="9"/>
  <c r="I23" i="9"/>
  <c r="H23" i="9"/>
  <c r="G23" i="9"/>
  <c r="E23" i="9"/>
  <c r="D23" i="9"/>
  <c r="A23" i="9"/>
  <c r="J6" i="11"/>
  <c r="O22" i="9"/>
  <c r="N22" i="9"/>
  <c r="M22" i="9"/>
  <c r="L22" i="9"/>
  <c r="K22" i="9"/>
  <c r="J22" i="9"/>
  <c r="I22" i="9"/>
  <c r="H22" i="9"/>
  <c r="G22" i="9"/>
  <c r="E22" i="9"/>
  <c r="D22" i="9"/>
  <c r="A22" i="9"/>
  <c r="E3" i="9"/>
  <c r="X2" i="7"/>
  <c r="J12" i="11"/>
  <c r="O21" i="9"/>
  <c r="N21" i="9"/>
  <c r="M21" i="9"/>
  <c r="L21" i="9"/>
  <c r="K21" i="9"/>
  <c r="J21" i="9"/>
  <c r="I21" i="9"/>
  <c r="H21" i="9"/>
  <c r="G21" i="9"/>
  <c r="E21" i="9"/>
  <c r="D21" i="9"/>
  <c r="A21" i="9"/>
  <c r="J11" i="11"/>
  <c r="O20" i="9"/>
  <c r="N20" i="9"/>
  <c r="M20" i="9"/>
  <c r="L20" i="9"/>
  <c r="K20" i="9"/>
  <c r="J20" i="9"/>
  <c r="I20" i="9"/>
  <c r="H20" i="9"/>
  <c r="G20" i="9"/>
  <c r="E20" i="9"/>
  <c r="D20" i="9"/>
  <c r="A20" i="9"/>
  <c r="J10" i="11"/>
  <c r="O19" i="9"/>
  <c r="N19" i="9"/>
  <c r="M19" i="9"/>
  <c r="L19" i="9"/>
  <c r="K19" i="9"/>
  <c r="J19" i="9"/>
  <c r="I19" i="9"/>
  <c r="H19" i="9"/>
  <c r="G19" i="9"/>
  <c r="E19" i="9"/>
  <c r="D19" i="9"/>
  <c r="A19" i="9"/>
  <c r="J2" i="11"/>
  <c r="O18" i="9"/>
  <c r="N18" i="9"/>
  <c r="M18" i="9"/>
  <c r="L18" i="9"/>
  <c r="K18" i="9"/>
  <c r="J18" i="9"/>
  <c r="I18" i="9"/>
  <c r="H18" i="9"/>
  <c r="G18" i="9"/>
  <c r="E18" i="9"/>
  <c r="D18" i="9"/>
  <c r="A18" i="9"/>
  <c r="H13" i="1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J13" i="1"/>
  <c r="I13" i="1"/>
  <c r="H12" i="1"/>
  <c r="J12" i="1"/>
  <c r="I12" i="1"/>
  <c r="H11" i="1"/>
  <c r="J11" i="1"/>
  <c r="I11" i="1"/>
  <c r="H10" i="1"/>
  <c r="J10" i="1"/>
  <c r="I10" i="1"/>
  <c r="H9" i="1"/>
  <c r="J9" i="1"/>
  <c r="I9" i="1"/>
  <c r="H8" i="1"/>
  <c r="J8" i="1"/>
  <c r="I8" i="1"/>
  <c r="H7" i="1"/>
  <c r="J7" i="1"/>
  <c r="I7" i="1"/>
  <c r="H6" i="1"/>
  <c r="J6" i="1"/>
  <c r="I6" i="1"/>
  <c r="H5" i="1"/>
  <c r="J5" i="1"/>
  <c r="I5" i="1"/>
  <c r="H4" i="1"/>
  <c r="J4" i="1"/>
  <c r="I4" i="1"/>
  <c r="H3" i="1"/>
  <c r="J3" i="1"/>
  <c r="I3" i="1"/>
  <c r="H2" i="1"/>
  <c r="J2" i="1"/>
  <c r="I2" i="1"/>
  <c r="J13" i="11"/>
  <c r="O17" i="9"/>
  <c r="N17" i="9"/>
  <c r="M17" i="9"/>
  <c r="L17" i="9"/>
  <c r="K17" i="9"/>
  <c r="J17" i="9"/>
  <c r="I17" i="9"/>
  <c r="H17" i="9"/>
  <c r="G17" i="9"/>
  <c r="E17" i="9"/>
  <c r="D17" i="9"/>
  <c r="A17" i="9"/>
  <c r="O16" i="9"/>
  <c r="N16" i="9"/>
  <c r="M16" i="9"/>
  <c r="L16" i="9"/>
  <c r="K16" i="9"/>
  <c r="J16" i="9"/>
  <c r="I16" i="9"/>
  <c r="H16" i="9"/>
  <c r="G16" i="9"/>
  <c r="E16" i="9"/>
  <c r="D16" i="9"/>
  <c r="A16" i="9"/>
  <c r="L7" i="9"/>
  <c r="H27" i="1"/>
  <c r="J27" i="1"/>
  <c r="I27" i="1"/>
  <c r="H26" i="1"/>
  <c r="J26" i="1"/>
  <c r="I26" i="1"/>
  <c r="H25" i="1"/>
  <c r="J25" i="1"/>
  <c r="I25" i="1"/>
  <c r="H24" i="1"/>
  <c r="J24" i="1"/>
  <c r="I24" i="1"/>
  <c r="H23" i="1"/>
  <c r="J23" i="1"/>
  <c r="I23" i="1"/>
  <c r="H22" i="1"/>
  <c r="J22" i="1"/>
  <c r="I22" i="1"/>
  <c r="H21" i="1"/>
  <c r="J21" i="1"/>
  <c r="I21" i="1"/>
  <c r="H20" i="1"/>
  <c r="J20" i="1"/>
  <c r="I20" i="1"/>
  <c r="H19" i="1"/>
  <c r="J19" i="1"/>
  <c r="I19" i="1"/>
  <c r="H18" i="1"/>
  <c r="J18" i="1"/>
  <c r="I18" i="1"/>
  <c r="H17" i="1"/>
  <c r="J17" i="1"/>
  <c r="I17" i="1"/>
  <c r="H16" i="1"/>
  <c r="J16" i="1"/>
  <c r="I16" i="1"/>
  <c r="H15" i="1"/>
  <c r="J15" i="1"/>
  <c r="I15" i="1"/>
  <c r="AA25" i="1"/>
  <c r="A25" i="1"/>
  <c r="D25" i="1"/>
  <c r="E25" i="1"/>
  <c r="F25" i="1"/>
  <c r="M25" i="1"/>
  <c r="N25" i="1"/>
  <c r="O25" i="1"/>
  <c r="P25" i="1"/>
  <c r="Q25" i="1"/>
  <c r="V25" i="1"/>
  <c r="W25" i="1"/>
  <c r="AB25" i="1"/>
  <c r="AC25" i="1"/>
  <c r="AD25" i="1"/>
  <c r="AE25" i="1"/>
  <c r="AG25" i="1"/>
  <c r="AA26" i="1"/>
  <c r="A26" i="1"/>
  <c r="D26" i="1"/>
  <c r="E26" i="1"/>
  <c r="F26" i="1"/>
  <c r="M26" i="1"/>
  <c r="N26" i="1"/>
  <c r="O26" i="1"/>
  <c r="P26" i="1"/>
  <c r="Q26" i="1"/>
  <c r="V26" i="1"/>
  <c r="W26" i="1"/>
  <c r="AB26" i="1"/>
  <c r="AC26" i="1"/>
  <c r="AD26" i="1"/>
  <c r="AE26" i="1"/>
  <c r="AG26" i="1"/>
  <c r="A27" i="1"/>
  <c r="D27" i="1"/>
  <c r="E27" i="1"/>
  <c r="F27" i="1"/>
  <c r="M27" i="1"/>
  <c r="N27" i="1"/>
  <c r="O27" i="1"/>
  <c r="P27" i="1"/>
  <c r="Q27" i="1"/>
  <c r="E6" i="9"/>
  <c r="W27" i="1"/>
  <c r="AB27" i="1"/>
  <c r="AC27" i="1"/>
  <c r="AD27" i="1"/>
  <c r="AE27" i="1"/>
  <c r="AG27" i="1"/>
  <c r="AB7" i="1"/>
  <c r="AD7" i="1"/>
  <c r="AG7" i="1"/>
  <c r="AE7" i="1"/>
  <c r="AC7" i="1"/>
  <c r="AA7" i="1"/>
  <c r="W7" i="1"/>
  <c r="Q7" i="1"/>
  <c r="P7" i="1"/>
  <c r="O7" i="1"/>
  <c r="N7" i="1"/>
  <c r="M7" i="1"/>
  <c r="D7" i="1"/>
  <c r="F7" i="1"/>
  <c r="E7" i="1"/>
  <c r="A7" i="1"/>
  <c r="AB6" i="1"/>
  <c r="AD6" i="1"/>
  <c r="AG6" i="1"/>
  <c r="AE6" i="1"/>
  <c r="AC6" i="1"/>
  <c r="AA6" i="1"/>
  <c r="V6" i="1"/>
  <c r="W6" i="1"/>
  <c r="Q6" i="1"/>
  <c r="P6" i="1"/>
  <c r="O6" i="1"/>
  <c r="N6" i="1"/>
  <c r="M6" i="1"/>
  <c r="D6" i="1"/>
  <c r="F6" i="1"/>
  <c r="E6" i="1"/>
  <c r="A6" i="1"/>
  <c r="AB13" i="1"/>
  <c r="AD13" i="1"/>
  <c r="AG13" i="1"/>
  <c r="AE13" i="1"/>
  <c r="AC13" i="1"/>
  <c r="AA13" i="1"/>
  <c r="V13" i="1"/>
  <c r="W13" i="1"/>
  <c r="Q13" i="1"/>
  <c r="P13" i="1"/>
  <c r="O13" i="1"/>
  <c r="N13" i="1"/>
  <c r="M13" i="1"/>
  <c r="D13" i="1"/>
  <c r="F13" i="1"/>
  <c r="E13" i="1"/>
  <c r="A13" i="1"/>
  <c r="AB12" i="1"/>
  <c r="AD12" i="1"/>
  <c r="AG12" i="1"/>
  <c r="AE12" i="1"/>
  <c r="AC12" i="1"/>
  <c r="AA12" i="1"/>
  <c r="V12" i="1"/>
  <c r="W12" i="1"/>
  <c r="Q12" i="1"/>
  <c r="P12" i="1"/>
  <c r="O12" i="1"/>
  <c r="N12" i="1"/>
  <c r="M12" i="1"/>
  <c r="D12" i="1"/>
  <c r="F12" i="1"/>
  <c r="E12" i="1"/>
  <c r="A12" i="1"/>
  <c r="AB10" i="1"/>
  <c r="AD10" i="1"/>
  <c r="AG10" i="1"/>
  <c r="AE10" i="1"/>
  <c r="AC10" i="1"/>
  <c r="AA10" i="1"/>
  <c r="V10" i="1"/>
  <c r="W10" i="1"/>
  <c r="Q10" i="1"/>
  <c r="P10" i="1"/>
  <c r="O10" i="1"/>
  <c r="N10" i="1"/>
  <c r="M10" i="1"/>
  <c r="D10" i="1"/>
  <c r="F10" i="1"/>
  <c r="E10" i="1"/>
  <c r="A10" i="1"/>
  <c r="AB5" i="1"/>
  <c r="AD5" i="1"/>
  <c r="AG5" i="1"/>
  <c r="AE5" i="1"/>
  <c r="AC5" i="1"/>
  <c r="AA5" i="1"/>
  <c r="V5" i="1"/>
  <c r="W5" i="1"/>
  <c r="Q5" i="1"/>
  <c r="P5" i="1"/>
  <c r="O5" i="1"/>
  <c r="N5" i="1"/>
  <c r="M5" i="1"/>
  <c r="D5" i="1"/>
  <c r="F5" i="1"/>
  <c r="E5" i="1"/>
  <c r="A5" i="1"/>
  <c r="AB20" i="1"/>
  <c r="AD20" i="1"/>
  <c r="AG20" i="1"/>
  <c r="AE20" i="1"/>
  <c r="AC20" i="1"/>
  <c r="AA20" i="1"/>
  <c r="W20" i="1"/>
  <c r="Q20" i="1"/>
  <c r="P20" i="1"/>
  <c r="O20" i="1"/>
  <c r="N20" i="1"/>
  <c r="M20" i="1"/>
  <c r="D20" i="1"/>
  <c r="F20" i="1"/>
  <c r="E20" i="1"/>
  <c r="A20" i="1"/>
  <c r="AB19" i="1"/>
  <c r="AD19" i="1"/>
  <c r="AG19" i="1"/>
  <c r="AE19" i="1"/>
  <c r="AC19" i="1"/>
  <c r="AA19" i="1"/>
  <c r="W19" i="1"/>
  <c r="Q19" i="1"/>
  <c r="P19" i="1"/>
  <c r="O19" i="1"/>
  <c r="N19" i="1"/>
  <c r="M19" i="1"/>
  <c r="D19" i="1"/>
  <c r="F19" i="1"/>
  <c r="E19" i="1"/>
  <c r="A19" i="1"/>
  <c r="J9" i="11"/>
  <c r="J8" i="11"/>
  <c r="J7" i="11"/>
  <c r="A6" i="9"/>
  <c r="D6" i="9"/>
  <c r="G6" i="9"/>
  <c r="H6" i="9"/>
  <c r="I6" i="9"/>
  <c r="J6" i="9"/>
  <c r="K6" i="9"/>
  <c r="L6" i="9"/>
  <c r="M6" i="9"/>
  <c r="N6" i="9"/>
  <c r="O6" i="9"/>
  <c r="A7" i="9"/>
  <c r="D7" i="9"/>
  <c r="E7" i="9"/>
  <c r="G7" i="9"/>
  <c r="H7" i="9"/>
  <c r="I7" i="9"/>
  <c r="J7" i="9"/>
  <c r="K7" i="9"/>
  <c r="M7" i="9"/>
  <c r="N7" i="9"/>
  <c r="O7" i="9"/>
  <c r="A8" i="9"/>
  <c r="D8" i="9"/>
  <c r="E8" i="9"/>
  <c r="G8" i="9"/>
  <c r="H8" i="9"/>
  <c r="I8" i="9"/>
  <c r="J8" i="9"/>
  <c r="K8" i="9"/>
  <c r="L8" i="9"/>
  <c r="M8" i="9"/>
  <c r="N8" i="9"/>
  <c r="O8" i="9"/>
  <c r="A9" i="9"/>
  <c r="D9" i="9"/>
  <c r="E9" i="9"/>
  <c r="G9" i="9"/>
  <c r="H9" i="9"/>
  <c r="I9" i="9"/>
  <c r="J9" i="9"/>
  <c r="K9" i="9"/>
  <c r="L9" i="9"/>
  <c r="M9" i="9"/>
  <c r="N9" i="9"/>
  <c r="O9" i="9"/>
  <c r="A10" i="9"/>
  <c r="D10" i="9"/>
  <c r="E10" i="9"/>
  <c r="G10" i="9"/>
  <c r="H10" i="9"/>
  <c r="I10" i="9"/>
  <c r="J10" i="9"/>
  <c r="K10" i="9"/>
  <c r="L10" i="9"/>
  <c r="M10" i="9"/>
  <c r="N10" i="9"/>
  <c r="O10" i="9"/>
  <c r="A11" i="9"/>
  <c r="D11" i="9"/>
  <c r="E11" i="9"/>
  <c r="G11" i="9"/>
  <c r="H11" i="9"/>
  <c r="I11" i="9"/>
  <c r="J11" i="9"/>
  <c r="K11" i="9"/>
  <c r="L11" i="9"/>
  <c r="M11" i="9"/>
  <c r="N11" i="9"/>
  <c r="O11" i="9"/>
  <c r="A12" i="9"/>
  <c r="D12" i="9"/>
  <c r="E12" i="9"/>
  <c r="G12" i="9"/>
  <c r="H12" i="9"/>
  <c r="I12" i="9"/>
  <c r="J12" i="9"/>
  <c r="K12" i="9"/>
  <c r="L12" i="9"/>
  <c r="M12" i="9"/>
  <c r="N12" i="9"/>
  <c r="O12" i="9"/>
  <c r="A13" i="9"/>
  <c r="D13" i="9"/>
  <c r="E13" i="9"/>
  <c r="G13" i="9"/>
  <c r="H13" i="9"/>
  <c r="I13" i="9"/>
  <c r="J13" i="9"/>
  <c r="K13" i="9"/>
  <c r="L13" i="9"/>
  <c r="M13" i="9"/>
  <c r="N13" i="9"/>
  <c r="O13" i="9"/>
  <c r="A14" i="9"/>
  <c r="D14" i="9"/>
  <c r="E14" i="9"/>
  <c r="G14" i="9"/>
  <c r="H14" i="9"/>
  <c r="I14" i="9"/>
  <c r="J14" i="9"/>
  <c r="K14" i="9"/>
  <c r="L14" i="9"/>
  <c r="M14" i="9"/>
  <c r="N14" i="9"/>
  <c r="O14" i="9"/>
  <c r="A15" i="9"/>
  <c r="D15" i="9"/>
  <c r="E15" i="9"/>
  <c r="G15" i="9"/>
  <c r="H15" i="9"/>
  <c r="I15" i="9"/>
  <c r="J15" i="9"/>
  <c r="K15" i="9"/>
  <c r="L15" i="9"/>
  <c r="M15" i="9"/>
  <c r="N15" i="9"/>
  <c r="O15" i="9"/>
  <c r="A2" i="9"/>
  <c r="D2" i="9"/>
  <c r="E2" i="9"/>
  <c r="G2" i="9"/>
  <c r="H2" i="9"/>
  <c r="I2" i="9"/>
  <c r="J2" i="9"/>
  <c r="K2" i="9"/>
  <c r="L2" i="9"/>
  <c r="M2" i="9"/>
  <c r="N2" i="9"/>
  <c r="O2" i="9"/>
  <c r="A3" i="9"/>
  <c r="D3" i="9"/>
  <c r="G3" i="9"/>
  <c r="H3" i="9"/>
  <c r="I3" i="9"/>
  <c r="J3" i="9"/>
  <c r="K3" i="9"/>
  <c r="L3" i="9"/>
  <c r="M3" i="9"/>
  <c r="N3" i="9"/>
  <c r="O3" i="9"/>
  <c r="A4" i="9"/>
  <c r="D4" i="9"/>
  <c r="E4" i="9"/>
  <c r="G4" i="9"/>
  <c r="H4" i="9"/>
  <c r="I4" i="9"/>
  <c r="J4" i="9"/>
  <c r="K4" i="9"/>
  <c r="L4" i="9"/>
  <c r="M4" i="9"/>
  <c r="N4" i="9"/>
  <c r="O4" i="9"/>
  <c r="A5" i="9"/>
  <c r="D5" i="9"/>
  <c r="E5" i="9"/>
  <c r="G5" i="9"/>
  <c r="H5" i="9"/>
  <c r="I5" i="9"/>
  <c r="J5" i="9"/>
  <c r="K5" i="9"/>
  <c r="L5" i="9"/>
  <c r="M5" i="9"/>
  <c r="N5" i="9"/>
  <c r="O5" i="9"/>
  <c r="A4" i="7"/>
  <c r="D4" i="7"/>
  <c r="E4" i="7"/>
  <c r="F4" i="7"/>
  <c r="H4" i="7"/>
  <c r="I4" i="7"/>
  <c r="J4" i="7"/>
  <c r="N4" i="7"/>
  <c r="O4" i="7"/>
  <c r="P4" i="7"/>
  <c r="Q4" i="7"/>
  <c r="R4" i="7"/>
  <c r="X4" i="7"/>
  <c r="A5" i="7"/>
  <c r="D5" i="7"/>
  <c r="E5" i="7"/>
  <c r="F5" i="7"/>
  <c r="H5" i="7"/>
  <c r="I5" i="7"/>
  <c r="J5" i="7"/>
  <c r="N5" i="7"/>
  <c r="O5" i="7"/>
  <c r="P5" i="7"/>
  <c r="Q5" i="7"/>
  <c r="R5" i="7"/>
  <c r="X5" i="7"/>
  <c r="X3" i="7"/>
  <c r="R3" i="7"/>
  <c r="Q3" i="7"/>
  <c r="P3" i="7"/>
  <c r="O3" i="7"/>
  <c r="N3" i="7"/>
  <c r="H3" i="7"/>
  <c r="J3" i="7"/>
  <c r="I3" i="7"/>
  <c r="D3" i="7"/>
  <c r="F3" i="7"/>
  <c r="E3" i="7"/>
  <c r="A3" i="7"/>
  <c r="AB3" i="1"/>
  <c r="AB4" i="1"/>
  <c r="H11" i="2"/>
  <c r="E11" i="2"/>
  <c r="D11" i="2"/>
  <c r="H14" i="1"/>
  <c r="B11" i="2"/>
  <c r="H10" i="2"/>
  <c r="E10" i="2"/>
  <c r="D10" i="2"/>
  <c r="B10" i="2"/>
  <c r="H9" i="2"/>
  <c r="E9" i="2"/>
  <c r="D9" i="2"/>
  <c r="B9" i="2"/>
  <c r="H8" i="2"/>
  <c r="E8" i="2"/>
  <c r="D8" i="2"/>
  <c r="B8" i="2"/>
  <c r="H7" i="2"/>
  <c r="E7" i="2"/>
  <c r="D7" i="2"/>
  <c r="B7" i="2"/>
  <c r="AB24" i="1"/>
  <c r="AD24" i="1"/>
  <c r="AG24" i="1"/>
  <c r="AE24" i="1"/>
  <c r="AC24" i="1"/>
  <c r="AA24" i="1"/>
  <c r="V24" i="1"/>
  <c r="W24" i="1"/>
  <c r="Q24" i="1"/>
  <c r="P24" i="1"/>
  <c r="O24" i="1"/>
  <c r="N24" i="1"/>
  <c r="M24" i="1"/>
  <c r="D24" i="1"/>
  <c r="F24" i="1"/>
  <c r="E24" i="1"/>
  <c r="A24" i="1"/>
  <c r="AB23" i="1"/>
  <c r="AD23" i="1"/>
  <c r="AG23" i="1"/>
  <c r="AE23" i="1"/>
  <c r="AC23" i="1"/>
  <c r="AA23" i="1"/>
  <c r="V23" i="1"/>
  <c r="W23" i="1"/>
  <c r="Q23" i="1"/>
  <c r="P23" i="1"/>
  <c r="O23" i="1"/>
  <c r="N23" i="1"/>
  <c r="M23" i="1"/>
  <c r="D23" i="1"/>
  <c r="F23" i="1"/>
  <c r="E23" i="1"/>
  <c r="A23" i="1"/>
  <c r="AB22" i="1"/>
  <c r="AD22" i="1"/>
  <c r="AG22" i="1"/>
  <c r="AE22" i="1"/>
  <c r="AC22" i="1"/>
  <c r="AA22" i="1"/>
  <c r="W22" i="1"/>
  <c r="Q22" i="1"/>
  <c r="P22" i="1"/>
  <c r="O22" i="1"/>
  <c r="N22" i="1"/>
  <c r="M22" i="1"/>
  <c r="D22" i="1"/>
  <c r="F22" i="1"/>
  <c r="E22" i="1"/>
  <c r="A22" i="1"/>
  <c r="AB21" i="1"/>
  <c r="AD21" i="1"/>
  <c r="AG21" i="1"/>
  <c r="AE21" i="1"/>
  <c r="AC21" i="1"/>
  <c r="AA21" i="1"/>
  <c r="W21" i="1"/>
  <c r="Q21" i="1"/>
  <c r="P21" i="1"/>
  <c r="O21" i="1"/>
  <c r="N21" i="1"/>
  <c r="M21" i="1"/>
  <c r="D21" i="1"/>
  <c r="F21" i="1"/>
  <c r="E21" i="1"/>
  <c r="A21" i="1"/>
  <c r="AB18" i="1"/>
  <c r="AD18" i="1"/>
  <c r="AG18" i="1"/>
  <c r="AE18" i="1"/>
  <c r="AC18" i="1"/>
  <c r="AA18" i="1"/>
  <c r="V18" i="1"/>
  <c r="W18" i="1"/>
  <c r="Q18" i="1"/>
  <c r="P18" i="1"/>
  <c r="O18" i="1"/>
  <c r="N18" i="1"/>
  <c r="M18" i="1"/>
  <c r="D18" i="1"/>
  <c r="F18" i="1"/>
  <c r="E18" i="1"/>
  <c r="A18" i="1"/>
  <c r="AB17" i="1"/>
  <c r="AD17" i="1"/>
  <c r="AG17" i="1"/>
  <c r="AE17" i="1"/>
  <c r="AC17" i="1"/>
  <c r="AA17" i="1"/>
  <c r="V17" i="1"/>
  <c r="W17" i="1"/>
  <c r="Q17" i="1"/>
  <c r="P17" i="1"/>
  <c r="O17" i="1"/>
  <c r="N17" i="1"/>
  <c r="M17" i="1"/>
  <c r="D17" i="1"/>
  <c r="F17" i="1"/>
  <c r="E17" i="1"/>
  <c r="A17" i="1"/>
  <c r="AB16" i="1"/>
  <c r="AD16" i="1"/>
  <c r="AG16" i="1"/>
  <c r="AE16" i="1"/>
  <c r="AC16" i="1"/>
  <c r="AA16" i="1"/>
  <c r="V16" i="1"/>
  <c r="W16" i="1"/>
  <c r="Q16" i="1"/>
  <c r="P16" i="1"/>
  <c r="O16" i="1"/>
  <c r="N16" i="1"/>
  <c r="M16" i="1"/>
  <c r="D16" i="1"/>
  <c r="F16" i="1"/>
  <c r="E16" i="1"/>
  <c r="A16" i="1"/>
  <c r="AB15" i="1"/>
  <c r="AD15" i="1"/>
  <c r="AG15" i="1"/>
  <c r="AE15" i="1"/>
  <c r="AC15" i="1"/>
  <c r="AA15" i="1"/>
  <c r="V15" i="1"/>
  <c r="W15" i="1"/>
  <c r="Q15" i="1"/>
  <c r="P15" i="1"/>
  <c r="O15" i="1"/>
  <c r="N15" i="1"/>
  <c r="M15" i="1"/>
  <c r="D15" i="1"/>
  <c r="F15" i="1"/>
  <c r="E15" i="1"/>
  <c r="A15" i="1"/>
  <c r="B3" i="2"/>
  <c r="D3" i="2"/>
  <c r="E3" i="2"/>
  <c r="H3" i="2"/>
  <c r="B4" i="2"/>
  <c r="D4" i="2"/>
  <c r="E4" i="2"/>
  <c r="H4" i="2"/>
  <c r="B5" i="2"/>
  <c r="D5" i="2"/>
  <c r="E5" i="2"/>
  <c r="H5" i="2"/>
  <c r="B6" i="2"/>
  <c r="D6" i="2"/>
  <c r="E6" i="2"/>
  <c r="H6" i="2"/>
  <c r="AB14" i="1"/>
  <c r="AD14" i="1"/>
  <c r="AG14" i="1"/>
  <c r="AE14" i="1"/>
  <c r="AC14" i="1"/>
  <c r="W14" i="1"/>
  <c r="Q14" i="1"/>
  <c r="P14" i="1"/>
  <c r="O14" i="1"/>
  <c r="N14" i="1"/>
  <c r="M14" i="1"/>
  <c r="J14" i="1"/>
  <c r="I14" i="1"/>
  <c r="D14" i="1"/>
  <c r="F14" i="1"/>
  <c r="E14" i="1"/>
  <c r="A14" i="1"/>
  <c r="AA8" i="1"/>
  <c r="A8" i="1"/>
  <c r="D8" i="1"/>
  <c r="E8" i="1"/>
  <c r="F8" i="1"/>
  <c r="M8" i="1"/>
  <c r="N8" i="1"/>
  <c r="O8" i="1"/>
  <c r="P8" i="1"/>
  <c r="Q8" i="1"/>
  <c r="W8" i="1"/>
  <c r="AB8" i="1"/>
  <c r="AC8" i="1"/>
  <c r="AD8" i="1"/>
  <c r="AE8" i="1"/>
  <c r="AG8" i="1"/>
  <c r="AA9" i="1"/>
  <c r="A9" i="1"/>
  <c r="D9" i="1"/>
  <c r="E9" i="1"/>
  <c r="F9" i="1"/>
  <c r="M9" i="1"/>
  <c r="N9" i="1"/>
  <c r="O9" i="1"/>
  <c r="P9" i="1"/>
  <c r="Q9" i="1"/>
  <c r="W9" i="1"/>
  <c r="AB9" i="1"/>
  <c r="AC9" i="1"/>
  <c r="AD9" i="1"/>
  <c r="AE9" i="1"/>
  <c r="AG9" i="1"/>
  <c r="AA3" i="1"/>
  <c r="A3" i="1"/>
  <c r="D3" i="1"/>
  <c r="E3" i="1"/>
  <c r="F3" i="1"/>
  <c r="M3" i="1"/>
  <c r="N3" i="1"/>
  <c r="O3" i="1"/>
  <c r="P3" i="1"/>
  <c r="Q3" i="1"/>
  <c r="V3" i="1"/>
  <c r="W3" i="1"/>
  <c r="AC3" i="1"/>
  <c r="AD3" i="1"/>
  <c r="AE3" i="1"/>
  <c r="AG3" i="1"/>
  <c r="AA4" i="1"/>
  <c r="A4" i="1"/>
  <c r="D4" i="1"/>
  <c r="E4" i="1"/>
  <c r="F4" i="1"/>
  <c r="M4" i="1"/>
  <c r="N4" i="1"/>
  <c r="O4" i="1"/>
  <c r="P4" i="1"/>
  <c r="Q4" i="1"/>
  <c r="V4" i="1"/>
  <c r="W4" i="1"/>
  <c r="AC4" i="1"/>
  <c r="AD4" i="1"/>
  <c r="AE4" i="1"/>
  <c r="AG4" i="1"/>
  <c r="AA11" i="1"/>
  <c r="A11" i="1"/>
  <c r="D11" i="1"/>
  <c r="E11" i="1"/>
  <c r="F11" i="1"/>
  <c r="M11" i="1"/>
  <c r="N11" i="1"/>
  <c r="O11" i="1"/>
  <c r="P11" i="1"/>
  <c r="Q11" i="1"/>
  <c r="V11" i="1"/>
  <c r="W11" i="1"/>
  <c r="AB11" i="1"/>
  <c r="AC11" i="1"/>
  <c r="AD11" i="1"/>
  <c r="AE11" i="1"/>
  <c r="AG11" i="1"/>
  <c r="C3" i="16"/>
  <c r="C4" i="16"/>
  <c r="C5" i="16"/>
  <c r="C6" i="16"/>
  <c r="C7" i="16"/>
  <c r="C8" i="16"/>
  <c r="C2" i="16"/>
  <c r="AB2" i="1"/>
  <c r="AE2" i="1"/>
  <c r="AD2" i="1"/>
  <c r="AC2" i="1"/>
  <c r="N2" i="1"/>
  <c r="O2" i="1"/>
  <c r="M2" i="1"/>
  <c r="AG2" i="1"/>
  <c r="H2" i="7"/>
  <c r="J2" i="7"/>
  <c r="V2" i="1"/>
  <c r="W2" i="1"/>
  <c r="N2" i="7"/>
  <c r="R2" i="7"/>
  <c r="Q2" i="7"/>
  <c r="P2" i="7"/>
  <c r="O2" i="7"/>
  <c r="AA2" i="1"/>
  <c r="Q2" i="1"/>
  <c r="P2" i="1"/>
  <c r="E8" i="16"/>
  <c r="E7" i="16"/>
  <c r="E6" i="16"/>
  <c r="E5" i="16"/>
  <c r="E4" i="16"/>
  <c r="E3" i="16"/>
  <c r="E2" i="16"/>
  <c r="A2" i="1"/>
  <c r="A2" i="7"/>
  <c r="I2" i="7"/>
  <c r="D2" i="7"/>
  <c r="F2" i="7"/>
  <c r="E2" i="7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2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sharedStrings.xml><?xml version="1.0" encoding="utf-8"?>
<sst xmlns="http://schemas.openxmlformats.org/spreadsheetml/2006/main" count="412" uniqueCount="209">
  <si>
    <t>quest_id</t>
  </si>
  <si>
    <t>stage_id</t>
  </si>
  <si>
    <t>character_id</t>
  </si>
  <si>
    <t>level</t>
  </si>
  <si>
    <t>skill_set_id</t>
    <phoneticPr fontId="3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</si>
  <si>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</si>
  <si>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</si>
  <si>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</si>
  <si>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</si>
  <si>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</si>
  <si>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</si>
  <si>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</si>
  <si>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</si>
  <si>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</si>
  <si>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</si>
  <si>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</si>
  <si>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3"/>
  </si>
  <si>
    <t>rare</t>
    <phoneticPr fontId="3"/>
  </si>
  <si>
    <t>name</t>
    <phoneticPr fontId="3"/>
  </si>
  <si>
    <t>floor_id</t>
    <phoneticPr fontId="3"/>
  </si>
  <si>
    <t>name</t>
    <phoneticPr fontId="3"/>
  </si>
  <si>
    <t>name</t>
    <phoneticPr fontId="3"/>
  </si>
  <si>
    <t>skill_set_id</t>
  </si>
  <si>
    <t>drop_label</t>
    <phoneticPr fontId="3"/>
  </si>
  <si>
    <t>color</t>
    <phoneticPr fontId="3"/>
  </si>
  <si>
    <t>size</t>
    <phoneticPr fontId="3"/>
  </si>
  <si>
    <t>character_main_tribe_id</t>
    <phoneticPr fontId="3"/>
  </si>
  <si>
    <t>drop_label</t>
    <phoneticPr fontId="5"/>
  </si>
  <si>
    <t>temp_stage</t>
    <phoneticPr fontId="3"/>
  </si>
  <si>
    <t>temp_habitats</t>
    <phoneticPr fontId="3"/>
  </si>
  <si>
    <t>temp_floor</t>
    <phoneticPr fontId="3"/>
  </si>
  <si>
    <t>スキル</t>
    <phoneticPr fontId="3"/>
  </si>
  <si>
    <t>temp_stage</t>
    <phoneticPr fontId="3"/>
  </si>
  <si>
    <t>位置付け</t>
    <rPh sb="0" eb="3">
      <t>イチヅ</t>
    </rPh>
    <phoneticPr fontId="3"/>
  </si>
  <si>
    <t>name</t>
    <phoneticPr fontId="3"/>
  </si>
  <si>
    <t>temp_floor</t>
    <phoneticPr fontId="3"/>
  </si>
  <si>
    <t>status</t>
    <phoneticPr fontId="3"/>
  </si>
  <si>
    <t>hp_plus</t>
  </si>
  <si>
    <t>hp_plus</t>
    <phoneticPr fontId="3"/>
  </si>
  <si>
    <t>attack_plus</t>
  </si>
  <si>
    <t>attack_plus</t>
    <phoneticPr fontId="3"/>
  </si>
  <si>
    <t>defense_plus</t>
  </si>
  <si>
    <t>defense_plus</t>
    <phoneticPr fontId="3"/>
  </si>
  <si>
    <t>heal_plus</t>
  </si>
  <si>
    <t>heal_plus</t>
    <phoneticPr fontId="3"/>
  </si>
  <si>
    <t>bug</t>
  </si>
  <si>
    <t>bug</t>
    <phoneticPr fontId="3"/>
  </si>
  <si>
    <t>hp_coefficient</t>
  </si>
  <si>
    <t>hp_coefficient</t>
    <phoneticPr fontId="3"/>
  </si>
  <si>
    <t>attack_coefficient</t>
  </si>
  <si>
    <t>attack_coefficient</t>
    <phoneticPr fontId="3"/>
  </si>
  <si>
    <t>defense_correction</t>
  </si>
  <si>
    <t>defense_correction</t>
    <phoneticPr fontId="3"/>
  </si>
  <si>
    <t>seq_no</t>
    <phoneticPr fontId="3"/>
  </si>
  <si>
    <t>state_no</t>
    <phoneticPr fontId="3"/>
  </si>
  <si>
    <t>character_id</t>
    <phoneticPr fontId="3"/>
  </si>
  <si>
    <t>level</t>
    <phoneticPr fontId="3"/>
  </si>
  <si>
    <t>speed</t>
    <phoneticPr fontId="3"/>
  </si>
  <si>
    <t>skill_set_id</t>
    <phoneticPr fontId="3"/>
  </si>
  <si>
    <t>temp_id</t>
    <phoneticPr fontId="3"/>
  </si>
  <si>
    <t>skill_set_id</t>
    <phoneticPr fontId="5"/>
  </si>
  <si>
    <t>skill_id</t>
    <phoneticPr fontId="5"/>
  </si>
  <si>
    <t>name</t>
    <phoneticPr fontId="5"/>
  </si>
  <si>
    <t>comment</t>
    <phoneticPr fontId="5"/>
  </si>
  <si>
    <t>skill_trigger_id</t>
    <phoneticPr fontId="5"/>
  </si>
  <si>
    <t>first_time</t>
    <phoneticPr fontId="3"/>
  </si>
  <si>
    <t>priority</t>
    <phoneticPr fontId="3"/>
  </si>
  <si>
    <t>priority</t>
    <phoneticPr fontId="3"/>
  </si>
  <si>
    <t>invoke_rate</t>
    <phoneticPr fontId="3"/>
  </si>
  <si>
    <t>hp_threshold</t>
    <phoneticPr fontId="3"/>
  </si>
  <si>
    <t>hp_termination</t>
    <phoneticPr fontId="3"/>
  </si>
  <si>
    <t>invoke_times</t>
    <phoneticPr fontId="3"/>
  </si>
  <si>
    <t>every_time_count</t>
    <phoneticPr fontId="3"/>
  </si>
  <si>
    <t>neighbor_dead_id</t>
    <phoneticPr fontId="3"/>
  </si>
  <si>
    <t>invoke_weight</t>
    <phoneticPr fontId="3"/>
  </si>
  <si>
    <t>作成者</t>
    <rPh sb="0" eb="3">
      <t>サクセイシャ</t>
    </rPh>
    <phoneticPr fontId="3"/>
  </si>
  <si>
    <t>更新日</t>
    <rPh sb="0" eb="3">
      <t>コウシンニチジ</t>
    </rPh>
    <phoneticPr fontId="3"/>
  </si>
  <si>
    <t>備考（使用箇所）</t>
    <rPh sb="0" eb="2">
      <t>ビコウ</t>
    </rPh>
    <rPh sb="3" eb="7">
      <t>シヨウカショ</t>
    </rPh>
    <phoneticPr fontId="3"/>
  </si>
  <si>
    <t>enemy_skill_id</t>
  </si>
  <si>
    <t>effect_param</t>
    <phoneticPr fontId="3"/>
  </si>
  <si>
    <t>valid_flg</t>
  </si>
  <si>
    <t>name</t>
    <phoneticPr fontId="5"/>
  </si>
  <si>
    <t>comment</t>
    <phoneticPr fontId="5"/>
  </si>
  <si>
    <t>skill_trigger_id</t>
    <phoneticPr fontId="5"/>
  </si>
  <si>
    <t>first_time</t>
    <phoneticPr fontId="3"/>
  </si>
  <si>
    <t>priority</t>
    <phoneticPr fontId="3"/>
  </si>
  <si>
    <t>invoke_rate</t>
    <phoneticPr fontId="3"/>
  </si>
  <si>
    <t>重複チェック</t>
    <rPh sb="0" eb="2">
      <t>チョウフク</t>
    </rPh>
    <phoneticPr fontId="3"/>
  </si>
  <si>
    <t>null</t>
    <phoneticPr fontId="3"/>
  </si>
  <si>
    <t>null</t>
    <phoneticPr fontId="3"/>
  </si>
  <si>
    <t>enemy_skills</t>
    <phoneticPr fontId="3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</si>
  <si>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</si>
  <si>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</si>
  <si>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</si>
  <si>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</si>
  <si>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</si>
  <si>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</si>
  <si>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</si>
  <si>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</si>
  <si>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</si>
  <si>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3"/>
  </si>
  <si>
    <t>識別子</t>
    <rPh sb="0" eb="3">
      <t>シキベツシ</t>
    </rPh>
    <phoneticPr fontId="3"/>
  </si>
  <si>
    <t>形式</t>
    <rPh sb="0" eb="2">
      <t>ケイシキ</t>
    </rPh>
    <phoneticPr fontId="3"/>
  </si>
  <si>
    <t>出力ファイル名</t>
    <rPh sb="0" eb="2">
      <t>シュツリョク</t>
    </rPh>
    <rPh sb="6" eb="7">
      <t>メイ</t>
    </rPh>
    <phoneticPr fontId="3"/>
  </si>
  <si>
    <t>入力シート名</t>
    <rPh sb="0" eb="2">
      <t>ニュウリョク</t>
    </rPh>
    <rPh sb="5" eb="6">
      <t>メイ</t>
    </rPh>
    <phoneticPr fontId="3"/>
  </si>
  <si>
    <t>出力データ</t>
    <rPh sb="0" eb="2">
      <t>シュツリョク</t>
    </rPh>
    <phoneticPr fontId="3"/>
  </si>
  <si>
    <t>floors_</t>
    <phoneticPr fontId="3"/>
  </si>
  <si>
    <t>.tmp</t>
    <phoneticPr fontId="3"/>
  </si>
  <si>
    <t>floors</t>
    <phoneticPr fontId="3"/>
  </si>
  <si>
    <t>enemy_habitats_</t>
    <phoneticPr fontId="3"/>
  </si>
  <si>
    <t>enemy_habitats</t>
    <phoneticPr fontId="3"/>
  </si>
  <si>
    <t>enemy_habitat_S_</t>
    <phoneticPr fontId="3"/>
  </si>
  <si>
    <t>enemy_habitat_S</t>
    <phoneticPr fontId="3"/>
  </si>
  <si>
    <t>enemy_skill_sets_</t>
    <phoneticPr fontId="3"/>
  </si>
  <si>
    <t>enemy_skill_sets</t>
    <phoneticPr fontId="3"/>
  </si>
  <si>
    <t>enemy_skills_tmp_</t>
    <phoneticPr fontId="3"/>
  </si>
  <si>
    <t>.tmp</t>
    <phoneticPr fontId="3"/>
  </si>
  <si>
    <t>enemy_skills_i18n_</t>
    <phoneticPr fontId="3"/>
  </si>
  <si>
    <t>enemy_skills</t>
    <phoneticPr fontId="3"/>
  </si>
  <si>
    <t>enemy_skill_triggers_</t>
    <phoneticPr fontId="3"/>
  </si>
  <si>
    <t>.tmp</t>
    <phoneticPr fontId="3"/>
  </si>
  <si>
    <t>enemy_skill_triggers</t>
    <phoneticPr fontId="3"/>
  </si>
  <si>
    <t>hp_termination</t>
    <phoneticPr fontId="3"/>
  </si>
  <si>
    <t>invoke_weight</t>
    <phoneticPr fontId="3"/>
  </si>
  <si>
    <t>every_time_count</t>
    <phoneticPr fontId="3"/>
  </si>
  <si>
    <t>neighbor_dead_id</t>
    <phoneticPr fontId="3"/>
  </si>
  <si>
    <t>language</t>
    <phoneticPr fontId="3"/>
  </si>
  <si>
    <t>skill_set_id</t>
    <phoneticPr fontId="3"/>
  </si>
  <si>
    <t>スキル</t>
    <phoneticPr fontId="3"/>
  </si>
  <si>
    <t>出力flg</t>
    <rPh sb="0" eb="2">
      <t>シュツリョク</t>
    </rPh>
    <phoneticPr fontId="3"/>
  </si>
  <si>
    <t>old</t>
    <phoneticPr fontId="3"/>
  </si>
  <si>
    <t>old</t>
    <phoneticPr fontId="3"/>
  </si>
  <si>
    <t>null</t>
    <phoneticPr fontId="3"/>
  </si>
  <si>
    <t>null</t>
    <phoneticPr fontId="3"/>
  </si>
  <si>
    <t>ja</t>
    <phoneticPr fontId="3"/>
  </si>
  <si>
    <t>[effect:nothing]</t>
    <phoneticPr fontId="3"/>
  </si>
  <si>
    <t>久保</t>
    <rPh sb="0" eb="2">
      <t>クb</t>
    </rPh>
    <phoneticPr fontId="3"/>
  </si>
  <si>
    <t>マルチ4-3アズラエル</t>
    <phoneticPr fontId="3"/>
  </si>
  <si>
    <t>マルチ4-3ルキフグス</t>
    <phoneticPr fontId="3"/>
  </si>
  <si>
    <t>[effect:heal, target:enemy_all, val:0.25, animation:enemy_heal]</t>
    <phoneticPr fontId="3"/>
  </si>
  <si>
    <t>回復</t>
    <rPh sb="0" eb="2">
      <t>カ</t>
    </rPh>
    <phoneticPr fontId="3"/>
  </si>
  <si>
    <t>マルチ4-3アズラエル</t>
    <phoneticPr fontId="3"/>
  </si>
  <si>
    <t>ja</t>
  </si>
  <si>
    <t>死神の微笑み</t>
    <rPh sb="0" eb="6">
      <t>シン</t>
    </rPh>
    <phoneticPr fontId="3"/>
  </si>
  <si>
    <t>マルチ4-3アズラエル</t>
    <phoneticPr fontId="3"/>
  </si>
  <si>
    <t>[effect:dark, turn:4,target:unit_all,animation:enemy_dark]</t>
    <phoneticPr fontId="3"/>
  </si>
  <si>
    <t>光からの逃奔</t>
    <rPh sb="0" eb="4">
      <t>ヒカr</t>
    </rPh>
    <rPh sb="4" eb="5">
      <t>ニg</t>
    </rPh>
    <rPh sb="5" eb="6">
      <t>ホンソ</t>
    </rPh>
    <phoneticPr fontId="3"/>
  </si>
  <si>
    <t>4ターンパネルの色が分からなくなる !</t>
    <phoneticPr fontId="3"/>
  </si>
  <si>
    <t>ja</t>
    <phoneticPr fontId="3"/>
  </si>
  <si>
    <t>全体攻撃</t>
    <rPh sb="0" eb="4">
      <t>ゼンタイコウゲキ</t>
    </rPh>
    <phoneticPr fontId="3"/>
  </si>
  <si>
    <t>null</t>
    <phoneticPr fontId="3"/>
  </si>
  <si>
    <t>null</t>
    <phoneticPr fontId="3"/>
  </si>
  <si>
    <t>null</t>
    <phoneticPr fontId="3"/>
  </si>
  <si>
    <t>null</t>
    <phoneticPr fontId="3"/>
  </si>
  <si>
    <t>…なにしに来たの？</t>
    <rPh sb="5" eb="9">
      <t>キt</t>
    </rPh>
    <phoneticPr fontId="3"/>
  </si>
  <si>
    <t>マルチ4-3シュガフル</t>
    <phoneticPr fontId="3"/>
  </si>
  <si>
    <t>[effect:rush, count:1, val:1]</t>
    <phoneticPr fontId="3"/>
  </si>
  <si>
    <t>きひひひっ！</t>
    <phoneticPr fontId="3"/>
  </si>
  <si>
    <t>不気味に笑っている…</t>
    <rPh sb="0" eb="4">
      <t>ブk</t>
    </rPh>
    <rPh sb="4" eb="9">
      <t>ワラッt</t>
    </rPh>
    <phoneticPr fontId="3"/>
  </si>
  <si>
    <t>[effect:spread, val:0.35, animation:enemy_spread]</t>
    <phoneticPr fontId="3"/>
  </si>
  <si>
    <t>串刺しナイフ♪</t>
    <rPh sb="0" eb="3">
      <t>クシザs</t>
    </rPh>
    <phoneticPr fontId="3"/>
  </si>
  <si>
    <t>全体攻撃</t>
    <rPh sb="0" eb="4">
      <t>ゼンタ</t>
    </rPh>
    <phoneticPr fontId="3"/>
  </si>
  <si>
    <t>みらくるーしゅがふるー♪</t>
    <phoneticPr fontId="3"/>
  </si>
  <si>
    <t>余裕そうだ…</t>
    <rPh sb="0" eb="5">
      <t>ヨユ</t>
    </rPh>
    <phoneticPr fontId="3"/>
  </si>
  <si>
    <t>ja</t>
    <phoneticPr fontId="3"/>
  </si>
  <si>
    <t>ぱちぱちキャンディ♪</t>
    <phoneticPr fontId="3"/>
  </si>
  <si>
    <t>Cパネル生成延長</t>
    <rPh sb="4" eb="8">
      <t>セ</t>
    </rPh>
    <phoneticPr fontId="3"/>
  </si>
  <si>
    <t>呪文詠唱中…</t>
    <rPh sb="0" eb="4">
      <t>ジュモン</t>
    </rPh>
    <rPh sb="4" eb="5">
      <t>チュウ</t>
    </rPh>
    <phoneticPr fontId="3"/>
  </si>
  <si>
    <t>次のターンに大ダメージ</t>
    <rPh sb="0" eb="5">
      <t>ツg</t>
    </rPh>
    <rPh sb="6" eb="11">
      <t>ダ</t>
    </rPh>
    <phoneticPr fontId="3"/>
  </si>
  <si>
    <t>諦めなさいよ！</t>
    <rPh sb="0" eb="5">
      <t>アキラメ</t>
    </rPh>
    <phoneticPr fontId="3"/>
  </si>
  <si>
    <t>やだ…来ないで！</t>
    <rPh sb="3" eb="8">
      <t>コナイd</t>
    </rPh>
    <phoneticPr fontId="3"/>
  </si>
  <si>
    <t>2ターンスキルが使えない！</t>
    <phoneticPr fontId="3"/>
  </si>
  <si>
    <t>[effect:hungup, target:unit_all, turn:2, rate:1.0, animation:enemy_hungup],[effect:rush, count:1, val:0.3]</t>
    <phoneticPr fontId="3"/>
  </si>
  <si>
    <t>かえれ！かえれ！</t>
    <phoneticPr fontId="3"/>
  </si>
  <si>
    <t>連続攻撃</t>
    <rPh sb="0" eb="4">
      <t>レンゾk</t>
    </rPh>
    <phoneticPr fontId="3"/>
  </si>
  <si>
    <t>[effect:charge, status:attack, val:5]</t>
    <phoneticPr fontId="5"/>
  </si>
  <si>
    <t>おにぃちゃん…</t>
    <phoneticPr fontId="3"/>
  </si>
  <si>
    <t>危険！次のターンに超攻撃！</t>
    <rPh sb="0" eb="3">
      <t>キk</t>
    </rPh>
    <rPh sb="3" eb="9">
      <t>ツg</t>
    </rPh>
    <rPh sb="9" eb="12">
      <t>チョ</t>
    </rPh>
    <phoneticPr fontId="3"/>
  </si>
  <si>
    <t>null</t>
    <phoneticPr fontId="3"/>
  </si>
  <si>
    <t>彼岸への誘い</t>
    <rPh sb="0" eb="4">
      <t>ヒg</t>
    </rPh>
    <rPh sb="4" eb="6">
      <t>イザン</t>
    </rPh>
    <phoneticPr fontId="3"/>
  </si>
  <si>
    <t>悪魔の手助け</t>
    <rPh sb="0" eb="3">
      <t>アk</t>
    </rPh>
    <rPh sb="3" eb="6">
      <t>テd</t>
    </rPh>
    <phoneticPr fontId="3"/>
  </si>
  <si>
    <t>[effect:spread, val:0.4, animation:enemy_spread]</t>
    <phoneticPr fontId="3"/>
  </si>
  <si>
    <t>青パネルを時限式ダメージパネルに変換</t>
    <rPh sb="0" eb="1">
      <t>ア</t>
    </rPh>
    <rPh sb="5" eb="8">
      <t>ジゲンシキ</t>
    </rPh>
    <rPh sb="16" eb="18">
      <t>ヘンカン</t>
    </rPh>
    <phoneticPr fontId="3"/>
  </si>
  <si>
    <t>[effect:rush, count:2, val:0.8]</t>
    <phoneticPr fontId="3"/>
  </si>
  <si>
    <t>[effect:rush, count:1, val:0.7]</t>
    <phoneticPr fontId="3"/>
  </si>
  <si>
    <t>黄色パネルを時限式ダメージパネルに変換</t>
    <rPh sb="0" eb="2">
      <t>キ</t>
    </rPh>
    <rPh sb="6" eb="9">
      <t>ジゲンシキ</t>
    </rPh>
    <rPh sb="17" eb="19">
      <t>ヘンカン</t>
    </rPh>
    <phoneticPr fontId="3"/>
  </si>
  <si>
    <t>[effect:change_block, new_block:time_bomb, target:block_blue, count:0, val:0.8, animation:change_block],[effect:rush, count:1, val:0.8]</t>
    <phoneticPr fontId="3"/>
  </si>
  <si>
    <t>赤色パネルを時限式ダメージパネルに変換</t>
    <rPh sb="0" eb="1">
      <t>アk</t>
    </rPh>
    <rPh sb="1" eb="2">
      <t>キ</t>
    </rPh>
    <rPh sb="6" eb="9">
      <t>ジゲンシキ</t>
    </rPh>
    <rPh sb="17" eb="19">
      <t>ヘンカン</t>
    </rPh>
    <phoneticPr fontId="3"/>
  </si>
  <si>
    <t>パンくずトラップ</t>
    <phoneticPr fontId="3"/>
  </si>
  <si>
    <t>null</t>
    <phoneticPr fontId="3"/>
  </si>
  <si>
    <t>[effect:change_block, new_block:time_bomb, target:block_yellow, count:0, val:0.5, animation:change_block]</t>
    <phoneticPr fontId="3"/>
  </si>
  <si>
    <t>[effect:change_block, new_block:time_bomb, target:block_red, count:0, val:0.5, animation:change_block]</t>
    <phoneticPr fontId="3"/>
  </si>
  <si>
    <t>[effect:charge, status:attack, val:2]</t>
    <phoneticPr fontId="5"/>
  </si>
  <si>
    <t>迷子かしら？</t>
    <rPh sb="0" eb="2">
      <t>マイg</t>
    </rPh>
    <phoneticPr fontId="3"/>
  </si>
  <si>
    <t>不敵な笑みを浮かべている</t>
    <rPh sb="0" eb="2">
      <t>フテk</t>
    </rPh>
    <rPh sb="3" eb="4">
      <t>エ</t>
    </rPh>
    <phoneticPr fontId="3"/>
  </si>
  <si>
    <t>マルチ4-3ヒロ</t>
    <phoneticPr fontId="3"/>
  </si>
  <si>
    <t>マルチ4-3ブレット</t>
    <phoneticPr fontId="3"/>
  </si>
  <si>
    <t>[effect:heal, target:enemy_all, val:0.2, animation:enemy_heal]</t>
    <phoneticPr fontId="3"/>
  </si>
  <si>
    <t>[effect:dark, turn:3,target:unit_all,animation:enemy_dark]</t>
    <phoneticPr fontId="3"/>
  </si>
  <si>
    <t>3ターンパネルの色が分からなくなる !</t>
    <phoneticPr fontId="3"/>
  </si>
  <si>
    <t>[effect:sleep, target:unit_one, turn:2, rate:1.0, animation:enemy_sleep]</t>
    <phoneticPr fontId="3"/>
  </si>
  <si>
    <t>ユニット1体に2ターンスリープ</t>
    <phoneticPr fontId="3"/>
  </si>
  <si>
    <t>[effect:spread, val:0.35, animation:enemy_spread]</t>
    <phoneticPr fontId="3"/>
  </si>
  <si>
    <t>攻撃力×1.3倍の攻撃</t>
    <phoneticPr fontId="3"/>
  </si>
  <si>
    <t>ja</t>
    <phoneticPr fontId="3"/>
  </si>
  <si>
    <t>かえってよ！</t>
    <phoneticPr fontId="3"/>
  </si>
  <si>
    <t>[effect:critical, val:1.3, animation:enemy_critical]</t>
    <phoneticPr fontId="3"/>
  </si>
  <si>
    <t>[effect:crash_condition, target:unit_all, val:2, turn:-1, animation:enemy_crash_extend]</t>
    <phoneticPr fontId="3"/>
  </si>
  <si>
    <t>[effect:crash_condition, target:unit_all, val:4, turn:-1, animation:enemy_crash_extend],[effect:rush, count:1, val:0.3]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</si>
</sst>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27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b/>
      <u/>
      <sz val="10"/>
      <color theme="1"/>
      <name val="ＭＳ Ｐゴシック"/>
      <charset val="128"/>
    </font>
  </fonts>
  <fills count="2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theme="4" tint="0.79998168889431442"/>
        <bgColor indexed="2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2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59999389629810485"/>
        <bgColor indexed="24"/>
      </patternFill>
    </fill>
    <fill>
      <patternFill patternType="solid">
        <fgColor rgb="FFD9D9D9"/>
        <bgColor rgb="FF63AAFE"/>
      </patternFill>
    </fill>
    <fill>
      <patternFill patternType="solid">
        <fgColor rgb="FFFFFF00"/>
        <bgColor indexed="2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664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6" fillId="0" borderId="0"/>
    <xf numFmtId="38" fontId="17" fillId="0" borderId="0" applyFill="0" applyBorder="0" applyAlignment="0" applyProtection="0"/>
    <xf numFmtId="0" fontId="18" fillId="8" borderId="0" applyNumberFormat="0" applyBorder="0" applyAlignment="0" applyProtection="0"/>
    <xf numFmtId="0" fontId="19" fillId="9" borderId="0" applyNumberFormat="0" applyBorder="0" applyAlignment="0" applyProtection="0"/>
    <xf numFmtId="0" fontId="20" fillId="0" borderId="0"/>
    <xf numFmtId="0" fontId="21" fillId="0" borderId="0">
      <alignment vertical="center"/>
    </xf>
    <xf numFmtId="0" fontId="22" fillId="0" borderId="0">
      <alignment vertical="center"/>
    </xf>
    <xf numFmtId="0" fontId="23" fillId="10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94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4" fillId="5" borderId="3" xfId="0" applyFont="1" applyFill="1" applyBorder="1" applyAlignment="1">
      <alignment vertical="center"/>
    </xf>
    <xf numFmtId="0" fontId="6" fillId="0" borderId="4" xfId="0" applyFont="1" applyBorder="1" applyAlignment="1">
      <alignment vertical="center"/>
    </xf>
    <xf numFmtId="0" fontId="2" fillId="0" borderId="1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3" borderId="7" xfId="0" applyFont="1" applyFill="1" applyBorder="1" applyAlignment="1">
      <alignment horizontal="center" vertical="center"/>
    </xf>
    <xf numFmtId="0" fontId="10" fillId="7" borderId="0" xfId="0" applyFont="1" applyFill="1" applyAlignment="1">
      <alignment vertical="center"/>
    </xf>
    <xf numFmtId="0" fontId="4" fillId="5" borderId="9" xfId="0" applyFont="1" applyFill="1" applyBorder="1" applyAlignment="1">
      <alignment vertical="center"/>
    </xf>
    <xf numFmtId="0" fontId="4" fillId="5" borderId="11" xfId="0" applyFont="1" applyFill="1" applyBorder="1" applyAlignment="1">
      <alignment vertical="center"/>
    </xf>
    <xf numFmtId="0" fontId="4" fillId="5" borderId="7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176" fontId="2" fillId="0" borderId="3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2" fillId="3" borderId="1" xfId="0" applyFont="1" applyFill="1" applyBorder="1" applyAlignment="1">
      <alignment vertical="center"/>
    </xf>
    <xf numFmtId="177" fontId="6" fillId="0" borderId="4" xfId="0" applyNumberFormat="1" applyFont="1" applyBorder="1" applyAlignment="1">
      <alignment vertical="center"/>
    </xf>
    <xf numFmtId="0" fontId="2" fillId="2" borderId="7" xfId="0" applyFont="1" applyFill="1" applyBorder="1" applyAlignment="1">
      <alignment horizontal="left" vertical="center"/>
    </xf>
    <xf numFmtId="0" fontId="10" fillId="7" borderId="0" xfId="0" applyFont="1" applyFill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2" fillId="3" borderId="7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2" fillId="3" borderId="8" xfId="0" applyFont="1" applyFill="1" applyBorder="1" applyAlignment="1">
      <alignment horizontal="left" vertical="center"/>
    </xf>
    <xf numFmtId="0" fontId="2" fillId="3" borderId="10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6" borderId="7" xfId="0" applyFont="1" applyFill="1" applyBorder="1" applyAlignment="1">
      <alignment horizontal="left" vertical="center"/>
    </xf>
    <xf numFmtId="0" fontId="2" fillId="6" borderId="1" xfId="0" applyFont="1" applyFill="1" applyBorder="1" applyAlignment="1">
      <alignment horizontal="left" vertical="center"/>
    </xf>
    <xf numFmtId="0" fontId="4" fillId="0" borderId="7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4" fillId="6" borderId="7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14" fillId="0" borderId="0" xfId="0" applyFont="1" applyAlignment="1">
      <alignment vertical="center"/>
    </xf>
    <xf numFmtId="0" fontId="14" fillId="3" borderId="7" xfId="0" applyFont="1" applyFill="1" applyBorder="1" applyAlignment="1">
      <alignment horizontal="left" vertical="center"/>
    </xf>
    <xf numFmtId="0" fontId="14" fillId="0" borderId="7" xfId="0" applyFont="1" applyFill="1" applyBorder="1" applyAlignment="1">
      <alignment vertical="center"/>
    </xf>
    <xf numFmtId="0" fontId="14" fillId="3" borderId="7" xfId="0" applyFont="1" applyFill="1" applyBorder="1" applyAlignment="1">
      <alignment vertical="center"/>
    </xf>
    <xf numFmtId="0" fontId="14" fillId="0" borderId="0" xfId="0" applyFont="1" applyFill="1" applyAlignment="1">
      <alignment vertical="center"/>
    </xf>
    <xf numFmtId="0" fontId="14" fillId="0" borderId="7" xfId="0" applyFont="1" applyFill="1" applyBorder="1" applyAlignment="1">
      <alignment horizontal="left" vertical="center"/>
    </xf>
    <xf numFmtId="0" fontId="14" fillId="0" borderId="7" xfId="0" applyFont="1" applyFill="1" applyBorder="1" applyAlignment="1">
      <alignment horizontal="left" vertical="center" wrapText="1"/>
    </xf>
    <xf numFmtId="14" fontId="14" fillId="0" borderId="7" xfId="0" applyNumberFormat="1" applyFont="1" applyFill="1" applyBorder="1" applyAlignment="1">
      <alignment horizontal="left" vertical="center"/>
    </xf>
    <xf numFmtId="0" fontId="9" fillId="6" borderId="2" xfId="0" applyFont="1" applyFill="1" applyBorder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11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4" fillId="12" borderId="7" xfId="0" applyFont="1" applyFill="1" applyBorder="1"/>
    <xf numFmtId="0" fontId="11" fillId="11" borderId="7" xfId="434" applyFont="1" applyFill="1" applyBorder="1" applyAlignment="1"/>
    <xf numFmtId="0" fontId="22" fillId="0" borderId="7" xfId="434" applyBorder="1" applyAlignment="1"/>
    <xf numFmtId="176" fontId="2" fillId="6" borderId="3" xfId="0" applyNumberFormat="1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4" fillId="13" borderId="3" xfId="0" applyFont="1" applyFill="1" applyBorder="1" applyAlignment="1">
      <alignment vertical="center"/>
    </xf>
    <xf numFmtId="0" fontId="4" fillId="6" borderId="7" xfId="0" applyFont="1" applyFill="1" applyBorder="1" applyAlignment="1">
      <alignment vertical="center"/>
    </xf>
    <xf numFmtId="0" fontId="6" fillId="6" borderId="4" xfId="0" applyFont="1" applyFill="1" applyBorder="1" applyAlignment="1">
      <alignment vertical="center"/>
    </xf>
    <xf numFmtId="177" fontId="6" fillId="6" borderId="4" xfId="0" applyNumberFormat="1" applyFont="1" applyFill="1" applyBorder="1" applyAlignment="1">
      <alignment vertical="center"/>
    </xf>
    <xf numFmtId="0" fontId="2" fillId="6" borderId="5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6" xfId="0" applyFont="1" applyFill="1" applyBorder="1" applyAlignment="1">
      <alignment vertical="center"/>
    </xf>
    <xf numFmtId="176" fontId="2" fillId="14" borderId="3" xfId="0" applyNumberFormat="1" applyFont="1" applyFill="1" applyBorder="1" applyAlignment="1">
      <alignment horizontal="center" vertical="center"/>
    </xf>
    <xf numFmtId="0" fontId="2" fillId="14" borderId="1" xfId="0" applyFont="1" applyFill="1" applyBorder="1" applyAlignment="1">
      <alignment horizontal="center" vertical="center"/>
    </xf>
    <xf numFmtId="0" fontId="2" fillId="14" borderId="7" xfId="0" applyFont="1" applyFill="1" applyBorder="1" applyAlignment="1">
      <alignment horizontal="center" vertical="center"/>
    </xf>
    <xf numFmtId="0" fontId="4" fillId="15" borderId="3" xfId="0" applyFont="1" applyFill="1" applyBorder="1" applyAlignment="1">
      <alignment vertical="center"/>
    </xf>
    <xf numFmtId="0" fontId="4" fillId="14" borderId="7" xfId="0" applyFont="1" applyFill="1" applyBorder="1" applyAlignment="1">
      <alignment vertical="center"/>
    </xf>
    <xf numFmtId="0" fontId="6" fillId="14" borderId="4" xfId="0" applyFont="1" applyFill="1" applyBorder="1" applyAlignment="1">
      <alignment vertical="center"/>
    </xf>
    <xf numFmtId="177" fontId="6" fillId="14" borderId="4" xfId="0" applyNumberFormat="1" applyFont="1" applyFill="1" applyBorder="1" applyAlignment="1">
      <alignment vertical="center"/>
    </xf>
    <xf numFmtId="0" fontId="2" fillId="14" borderId="5" xfId="0" applyFont="1" applyFill="1" applyBorder="1" applyAlignment="1">
      <alignment vertical="center"/>
    </xf>
    <xf numFmtId="0" fontId="2" fillId="14" borderId="1" xfId="0" applyFont="1" applyFill="1" applyBorder="1" applyAlignment="1">
      <alignment vertical="center"/>
    </xf>
    <xf numFmtId="0" fontId="2" fillId="14" borderId="6" xfId="0" applyFont="1" applyFill="1" applyBorder="1" applyAlignment="1">
      <alignment vertical="center"/>
    </xf>
    <xf numFmtId="0" fontId="14" fillId="0" borderId="7" xfId="0" applyFont="1" applyFill="1" applyBorder="1" applyAlignment="1">
      <alignment horizontal="right" vertical="center"/>
    </xf>
    <xf numFmtId="0" fontId="9" fillId="0" borderId="7" xfId="0" applyFont="1" applyBorder="1" applyAlignment="1">
      <alignment vertical="center"/>
    </xf>
    <xf numFmtId="0" fontId="9" fillId="0" borderId="10" xfId="0" applyFont="1" applyBorder="1" applyAlignment="1">
      <alignment horizontal="left" vertical="center"/>
    </xf>
    <xf numFmtId="0" fontId="9" fillId="0" borderId="10" xfId="0" applyFont="1" applyBorder="1" applyAlignment="1">
      <alignment vertical="center"/>
    </xf>
    <xf numFmtId="0" fontId="9" fillId="16" borderId="7" xfId="0" applyFont="1" applyFill="1" applyBorder="1" applyAlignment="1">
      <alignment vertical="center"/>
    </xf>
    <xf numFmtId="0" fontId="14" fillId="0" borderId="7" xfId="0" applyFont="1" applyBorder="1" applyAlignment="1">
      <alignment vertical="center"/>
    </xf>
    <xf numFmtId="0" fontId="4" fillId="17" borderId="3" xfId="0" applyFont="1" applyFill="1" applyBorder="1" applyAlignment="1">
      <alignment vertical="center"/>
    </xf>
    <xf numFmtId="0" fontId="25" fillId="18" borderId="12" xfId="0" applyFont="1" applyFill="1" applyBorder="1" applyAlignment="1">
      <alignment vertical="center"/>
    </xf>
    <xf numFmtId="0" fontId="4" fillId="19" borderId="3" xfId="0" applyFont="1" applyFill="1" applyBorder="1" applyAlignment="1">
      <alignment vertical="center"/>
    </xf>
    <xf numFmtId="0" fontId="14" fillId="16" borderId="7" xfId="0" applyFont="1" applyFill="1" applyBorder="1" applyAlignment="1">
      <alignment vertical="center"/>
    </xf>
    <xf numFmtId="0" fontId="26" fillId="6" borderId="1" xfId="0" applyFont="1" applyFill="1" applyBorder="1" applyAlignment="1">
      <alignment horizontal="center" vertical="center"/>
    </xf>
    <xf numFmtId="0" fontId="26" fillId="14" borderId="1" xfId="0" applyFont="1" applyFill="1" applyBorder="1" applyAlignment="1">
      <alignment horizontal="center" vertical="center"/>
    </xf>
    <xf numFmtId="0" fontId="9" fillId="0" borderId="13" xfId="0" applyFont="1" applyBorder="1" applyAlignment="1">
      <alignment vertical="center"/>
    </xf>
  </cellXfs>
  <cellStyles count="664">
    <cellStyle name="Excel Built-in Normal" xfId="428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桁区切り 2" xfId="429"/>
    <cellStyle name="標準" xfId="0" builtinId="0"/>
    <cellStyle name="標準 2" xfId="432"/>
    <cellStyle name="標準 2 2" xfId="433"/>
    <cellStyle name="標準 3" xfId="434"/>
    <cellStyle name="標準 4" xfId="11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赤字強調" xfId="431"/>
    <cellStyle name="青字強調" xfId="43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4.xml"/><Relationship Id="rId12" Type="http://schemas.openxmlformats.org/officeDocument/2006/relationships/externalLink" Target="externalLinks/externalLink5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externalLink" Target="externalLinks/externalLink2.xml"/><Relationship Id="rId10" Type="http://schemas.openxmlformats.org/officeDocument/2006/relationships/externalLink" Target="externalLinks/externalLink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48701_1</v>
          </cell>
        </row>
        <row r="875">
          <cell r="A875" t="str">
            <v>48701_2</v>
          </cell>
        </row>
        <row r="876">
          <cell r="A876" t="str">
            <v>49001_1</v>
          </cell>
        </row>
        <row r="877">
          <cell r="A877" t="str">
            <v>49002_1</v>
          </cell>
        </row>
        <row r="878">
          <cell r="A878" t="str">
            <v>49002_2</v>
          </cell>
        </row>
        <row r="879">
          <cell r="A879" t="str">
            <v>49003_1</v>
          </cell>
        </row>
        <row r="880">
          <cell r="A880" t="str">
            <v>49003_2</v>
          </cell>
        </row>
        <row r="881">
          <cell r="A881" t="str">
            <v>49004_1</v>
          </cell>
        </row>
        <row r="882">
          <cell r="A882" t="str">
            <v>49004_2</v>
          </cell>
        </row>
        <row r="883">
          <cell r="A883" t="str">
            <v>49004_3</v>
          </cell>
        </row>
        <row r="884">
          <cell r="A884" t="str">
            <v>49005_1</v>
          </cell>
        </row>
        <row r="885">
          <cell r="A885" t="str">
            <v>49006_1</v>
          </cell>
        </row>
        <row r="886">
          <cell r="A886" t="str">
            <v>49006_2</v>
          </cell>
        </row>
        <row r="887">
          <cell r="A887" t="str">
            <v>49007_1</v>
          </cell>
        </row>
        <row r="888">
          <cell r="A888" t="str">
            <v>49007_2</v>
          </cell>
        </row>
        <row r="889">
          <cell r="A889" t="str">
            <v>49007_3</v>
          </cell>
        </row>
        <row r="890">
          <cell r="A890" t="str">
            <v>49008_1</v>
          </cell>
        </row>
        <row r="891">
          <cell r="A891" t="str">
            <v>49009_1</v>
          </cell>
        </row>
        <row r="892">
          <cell r="A892" t="str">
            <v>49010_1</v>
          </cell>
        </row>
        <row r="893">
          <cell r="A893" t="str">
            <v>49011_1</v>
          </cell>
        </row>
        <row r="894">
          <cell r="A894" t="str">
            <v>49012_1</v>
          </cell>
        </row>
        <row r="895">
          <cell r="A895" t="str">
            <v>49013_1</v>
          </cell>
        </row>
        <row r="896">
          <cell r="A896" t="str">
            <v>49014_1</v>
          </cell>
        </row>
        <row r="897">
          <cell r="A897" t="str">
            <v>49014_2</v>
          </cell>
        </row>
        <row r="898">
          <cell r="A898" t="str">
            <v>49015_1</v>
          </cell>
        </row>
        <row r="899">
          <cell r="A899" t="str">
            <v>49015_2</v>
          </cell>
        </row>
        <row r="900">
          <cell r="A900" t="str">
            <v>49015_3</v>
          </cell>
        </row>
        <row r="901">
          <cell r="A901" t="str">
            <v>50001_1</v>
          </cell>
        </row>
        <row r="902">
          <cell r="A902" t="str">
            <v>50002_1</v>
          </cell>
        </row>
        <row r="903">
          <cell r="A903" t="str">
            <v>50003_1</v>
          </cell>
        </row>
        <row r="904">
          <cell r="A904" t="str">
            <v>50004_1</v>
          </cell>
        </row>
        <row r="905">
          <cell r="A905" t="str">
            <v>50005_1</v>
          </cell>
        </row>
        <row r="906">
          <cell r="A906" t="str">
            <v>50006_1</v>
          </cell>
        </row>
        <row r="907">
          <cell r="A907" t="str">
            <v>50007_1</v>
          </cell>
        </row>
        <row r="908">
          <cell r="A908" t="str">
            <v>50008_1</v>
          </cell>
        </row>
        <row r="909">
          <cell r="A909" t="str">
            <v>50009_1</v>
          </cell>
        </row>
        <row r="910">
          <cell r="A910" t="str">
            <v>50010_1</v>
          </cell>
        </row>
        <row r="911">
          <cell r="A911" t="str">
            <v>50011_1</v>
          </cell>
        </row>
        <row r="912">
          <cell r="A912" t="str">
            <v>50012_1</v>
          </cell>
        </row>
        <row r="913">
          <cell r="A913" t="str">
            <v>50013_1</v>
          </cell>
        </row>
        <row r="914">
          <cell r="A914" t="str">
            <v>50014_1</v>
          </cell>
        </row>
        <row r="915">
          <cell r="A915" t="str">
            <v>51001_1</v>
          </cell>
        </row>
        <row r="916">
          <cell r="A916" t="str">
            <v>51002_1</v>
          </cell>
        </row>
        <row r="917">
          <cell r="A917" t="str">
            <v>58001_1</v>
          </cell>
        </row>
        <row r="918">
          <cell r="A918" t="str">
            <v>59001_1</v>
          </cell>
        </row>
        <row r="919">
          <cell r="A919" t="str">
            <v>59002_1</v>
          </cell>
        </row>
        <row r="920">
          <cell r="A920" t="str">
            <v>60001_1</v>
          </cell>
        </row>
        <row r="921">
          <cell r="A921" t="str">
            <v>60002_1</v>
          </cell>
        </row>
        <row r="922">
          <cell r="A922" t="str">
            <v>60002_2</v>
          </cell>
        </row>
        <row r="923">
          <cell r="A923" t="str">
            <v>60003_1</v>
          </cell>
        </row>
        <row r="924">
          <cell r="A924" t="str">
            <v>60003_2</v>
          </cell>
        </row>
        <row r="925">
          <cell r="A925" t="str">
            <v>60003_3</v>
          </cell>
        </row>
        <row r="926">
          <cell r="A926" t="str">
            <v>60004_1</v>
          </cell>
        </row>
        <row r="927">
          <cell r="A927" t="str">
            <v>60005_1</v>
          </cell>
        </row>
        <row r="928">
          <cell r="A928" t="str">
            <v>60006_1</v>
          </cell>
        </row>
        <row r="929">
          <cell r="A929" t="str">
            <v>60006_2</v>
          </cell>
        </row>
        <row r="930">
          <cell r="A930" t="str">
            <v>60006_3</v>
          </cell>
        </row>
        <row r="931">
          <cell r="A931" t="str">
            <v>60007_1</v>
          </cell>
        </row>
        <row r="932">
          <cell r="A932" t="str">
            <v>60007_2</v>
          </cell>
        </row>
        <row r="933">
          <cell r="A933" t="str">
            <v>60007_3</v>
          </cell>
        </row>
        <row r="934">
          <cell r="A934" t="str">
            <v>60010_1</v>
          </cell>
        </row>
        <row r="935">
          <cell r="A935" t="str">
            <v>60011_1</v>
          </cell>
        </row>
        <row r="936">
          <cell r="A936" t="str">
            <v>60011_2</v>
          </cell>
        </row>
        <row r="937">
          <cell r="A937" t="str">
            <v>60012_1</v>
          </cell>
        </row>
        <row r="938">
          <cell r="A938" t="str">
            <v>60013_1</v>
          </cell>
        </row>
        <row r="939">
          <cell r="A939" t="str">
            <v>60013_2</v>
          </cell>
        </row>
        <row r="940">
          <cell r="A940" t="str">
            <v>60013_3</v>
          </cell>
        </row>
        <row r="941">
          <cell r="A941" t="str">
            <v>60014_1</v>
          </cell>
        </row>
        <row r="942">
          <cell r="A942" t="str">
            <v>60015_1</v>
          </cell>
        </row>
        <row r="943">
          <cell r="A943" t="str">
            <v>60016_1</v>
          </cell>
        </row>
        <row r="944">
          <cell r="A944" t="str">
            <v>60017_1</v>
          </cell>
        </row>
        <row r="945">
          <cell r="A945" t="str">
            <v>60018_1</v>
          </cell>
        </row>
        <row r="946">
          <cell r="A946" t="str">
            <v>60019_1</v>
          </cell>
        </row>
        <row r="947">
          <cell r="A947" t="str">
            <v>60020_1</v>
          </cell>
        </row>
        <row r="948">
          <cell r="A948" t="str">
            <v>60021_3</v>
          </cell>
        </row>
        <row r="949">
          <cell r="A949" t="str">
            <v>60022_3</v>
          </cell>
        </row>
        <row r="950">
          <cell r="A950" t="str">
            <v>60023_3</v>
          </cell>
        </row>
        <row r="951">
          <cell r="A951" t="str">
            <v>60024_3</v>
          </cell>
        </row>
        <row r="952">
          <cell r="A952" t="str">
            <v>60025_1</v>
          </cell>
        </row>
        <row r="953">
          <cell r="A953" t="str">
            <v>60026_1</v>
          </cell>
        </row>
        <row r="954">
          <cell r="A954" t="str">
            <v>61011_1</v>
          </cell>
        </row>
        <row r="955">
          <cell r="A955" t="str">
            <v>60027_1</v>
          </cell>
        </row>
        <row r="956">
          <cell r="A956" t="str">
            <v>60028_1</v>
          </cell>
        </row>
        <row r="957">
          <cell r="A957" t="str">
            <v>65525_1</v>
          </cell>
        </row>
        <row r="958">
          <cell r="A958" t="str">
            <v>65526_1</v>
          </cell>
        </row>
        <row r="959">
          <cell r="A959" t="str">
            <v>65526_2</v>
          </cell>
        </row>
        <row r="960">
          <cell r="A960" t="str">
            <v>65527_1</v>
          </cell>
        </row>
        <row r="961">
          <cell r="A961" t="str">
            <v>65528_1</v>
          </cell>
        </row>
        <row r="962">
          <cell r="A962" t="str">
            <v>65529_1</v>
          </cell>
        </row>
        <row r="963">
          <cell r="A963" t="str">
            <v>65530_1</v>
          </cell>
        </row>
        <row r="964">
          <cell r="A964" t="str">
            <v>65531_1</v>
          </cell>
        </row>
        <row r="965">
          <cell r="A965" t="str">
            <v>65531_2</v>
          </cell>
        </row>
        <row r="966">
          <cell r="A966" t="str">
            <v>65532_1</v>
          </cell>
        </row>
        <row r="967">
          <cell r="A967" t="str">
            <v>65532_2</v>
          </cell>
        </row>
        <row r="968">
          <cell r="A968" t="str">
            <v>65533_1</v>
          </cell>
        </row>
        <row r="969">
          <cell r="A969" t="str">
            <v>65533_2</v>
          </cell>
        </row>
        <row r="970">
          <cell r="A970" t="str">
            <v>65534_1</v>
          </cell>
        </row>
        <row r="971">
          <cell r="A971" t="str">
            <v>65534_2</v>
          </cell>
        </row>
        <row r="972">
          <cell r="A972" t="str">
            <v>65535_1</v>
          </cell>
        </row>
        <row r="973">
          <cell r="A973" t="str">
            <v>65535_2</v>
          </cell>
        </row>
        <row r="974">
          <cell r="A974" t="str">
            <v>65535_3</v>
          </cell>
        </row>
        <row r="975">
          <cell r="A975" t="str">
            <v>65535_4</v>
          </cell>
        </row>
        <row r="976">
          <cell r="A976" t="str">
            <v>65535_5</v>
          </cell>
        </row>
        <row r="977">
          <cell r="A977" t="str">
            <v>65535_6</v>
          </cell>
        </row>
        <row r="978">
          <cell r="A978" t="str">
            <v>65535_7</v>
          </cell>
        </row>
        <row r="979">
          <cell r="A979" t="str">
            <v>65535_8</v>
          </cell>
        </row>
        <row r="980">
          <cell r="A980" t="str">
            <v>65535_9</v>
          </cell>
        </row>
        <row r="981">
          <cell r="A98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</row>
        <row r="2">
          <cell r="A2">
            <v>1</v>
          </cell>
          <cell r="B2" t="str">
            <v>ジェリー</v>
          </cell>
          <cell r="C2">
            <v>1</v>
          </cell>
          <cell r="D2" t="str">
            <v>red</v>
          </cell>
          <cell r="E2">
            <v>1</v>
          </cell>
          <cell r="F2">
            <v>1.02</v>
          </cell>
          <cell r="G2">
            <v>1</v>
          </cell>
          <cell r="H2" t="str">
            <v>attack</v>
          </cell>
          <cell r="I2" t="str">
            <v>攻撃タイプ</v>
          </cell>
          <cell r="J2">
            <v>1</v>
          </cell>
          <cell r="K2">
            <v>1.33</v>
          </cell>
          <cell r="L2">
            <v>1</v>
          </cell>
          <cell r="M2" t="str">
            <v>unknown</v>
          </cell>
          <cell r="N2" t="str">
            <v>Unknown</v>
          </cell>
          <cell r="O2">
            <v>1</v>
          </cell>
          <cell r="P2">
            <v>1</v>
          </cell>
          <cell r="Q2">
            <v>1</v>
          </cell>
          <cell r="R2" t="str">
            <v>Normal</v>
          </cell>
          <cell r="S2">
            <v>1</v>
          </cell>
          <cell r="T2">
            <v>1</v>
          </cell>
          <cell r="U2">
            <v>1</v>
          </cell>
          <cell r="V2">
            <v>1</v>
          </cell>
          <cell r="W2">
            <v>0.55000000000000004</v>
          </cell>
          <cell r="X2">
            <v>15</v>
          </cell>
          <cell r="Y2">
            <v>1</v>
          </cell>
          <cell r="Z2">
            <v>1</v>
          </cell>
          <cell r="AA2">
            <v>1</v>
          </cell>
          <cell r="AB2">
            <v>0</v>
          </cell>
        </row>
        <row r="3">
          <cell r="A3">
            <v>2</v>
          </cell>
          <cell r="B3" t="str">
            <v>イレギュラー・ジェリー</v>
          </cell>
          <cell r="C3">
            <v>2</v>
          </cell>
          <cell r="D3" t="str">
            <v>red</v>
          </cell>
          <cell r="E3">
            <v>1</v>
          </cell>
          <cell r="F3">
            <v>1.02</v>
          </cell>
          <cell r="G3">
            <v>1</v>
          </cell>
          <cell r="H3" t="str">
            <v>attack</v>
          </cell>
          <cell r="I3" t="str">
            <v>攻撃タイプ</v>
          </cell>
          <cell r="J3">
            <v>1</v>
          </cell>
          <cell r="K3">
            <v>1.33</v>
          </cell>
          <cell r="L3">
            <v>1</v>
          </cell>
          <cell r="M3" t="str">
            <v>unknown</v>
          </cell>
          <cell r="N3" t="str">
            <v>Unknown</v>
          </cell>
          <cell r="O3">
            <v>1</v>
          </cell>
          <cell r="P3">
            <v>1</v>
          </cell>
          <cell r="Q3">
            <v>1</v>
          </cell>
          <cell r="R3" t="str">
            <v>Normal</v>
          </cell>
          <cell r="S3">
            <v>1</v>
          </cell>
          <cell r="T3">
            <v>1</v>
          </cell>
          <cell r="U3">
            <v>1</v>
          </cell>
          <cell r="V3">
            <v>1</v>
          </cell>
          <cell r="W3">
            <v>0.55000000000000004</v>
          </cell>
          <cell r="X3">
            <v>15</v>
          </cell>
          <cell r="Y3">
            <v>1</v>
          </cell>
          <cell r="Z3">
            <v>1</v>
          </cell>
          <cell r="AA3">
            <v>1</v>
          </cell>
          <cell r="AB3">
            <v>0</v>
          </cell>
        </row>
        <row r="4">
          <cell r="A4">
            <v>3</v>
          </cell>
          <cell r="B4" t="str">
            <v>エージェント ジョー</v>
          </cell>
          <cell r="C4">
            <v>1</v>
          </cell>
          <cell r="D4" t="str">
            <v>green</v>
          </cell>
          <cell r="E4">
            <v>1.02</v>
          </cell>
          <cell r="F4">
            <v>0.98</v>
          </cell>
          <cell r="G4">
            <v>1</v>
          </cell>
          <cell r="H4" t="str">
            <v>balance</v>
          </cell>
          <cell r="I4" t="str">
            <v>バランスタイプ</v>
          </cell>
          <cell r="J4">
            <v>1</v>
          </cell>
          <cell r="K4">
            <v>1</v>
          </cell>
          <cell r="L4">
            <v>1</v>
          </cell>
          <cell r="M4" t="str">
            <v>unknown</v>
          </cell>
          <cell r="N4" t="str">
            <v>Unknown</v>
          </cell>
          <cell r="O4">
            <v>1</v>
          </cell>
          <cell r="P4">
            <v>1</v>
          </cell>
          <cell r="Q4">
            <v>1</v>
          </cell>
          <cell r="R4" t="str">
            <v>Normal</v>
          </cell>
          <cell r="S4">
            <v>1</v>
          </cell>
          <cell r="T4">
            <v>1</v>
          </cell>
          <cell r="U4">
            <v>1</v>
          </cell>
          <cell r="V4">
            <v>2</v>
          </cell>
          <cell r="W4">
            <v>0.75</v>
          </cell>
          <cell r="X4">
            <v>15</v>
          </cell>
          <cell r="Y4">
            <v>1</v>
          </cell>
          <cell r="Z4">
            <v>1</v>
          </cell>
          <cell r="AA4">
            <v>1</v>
          </cell>
          <cell r="AB4">
            <v>0</v>
          </cell>
        </row>
        <row r="5">
          <cell r="A5">
            <v>4</v>
          </cell>
          <cell r="B5" t="str">
            <v>エースエージェント ジョー</v>
          </cell>
          <cell r="C5">
            <v>2</v>
          </cell>
          <cell r="D5" t="str">
            <v>green</v>
          </cell>
          <cell r="E5">
            <v>1.02</v>
          </cell>
          <cell r="F5">
            <v>0.98</v>
          </cell>
          <cell r="G5">
            <v>1</v>
          </cell>
          <cell r="H5" t="str">
            <v>balance</v>
          </cell>
          <cell r="I5" t="str">
            <v>バランスタイプ</v>
          </cell>
          <cell r="J5">
            <v>1</v>
          </cell>
          <cell r="K5">
            <v>1</v>
          </cell>
          <cell r="L5">
            <v>1</v>
          </cell>
          <cell r="M5" t="str">
            <v>unknown</v>
          </cell>
          <cell r="N5" t="str">
            <v>Unknown</v>
          </cell>
          <cell r="O5">
            <v>1</v>
          </cell>
          <cell r="P5">
            <v>1</v>
          </cell>
          <cell r="Q5">
            <v>1</v>
          </cell>
          <cell r="R5" t="str">
            <v>Normal</v>
          </cell>
          <cell r="S5">
            <v>1</v>
          </cell>
          <cell r="T5">
            <v>1</v>
          </cell>
          <cell r="U5">
            <v>1</v>
          </cell>
          <cell r="V5">
            <v>2</v>
          </cell>
          <cell r="W5">
            <v>0.75</v>
          </cell>
          <cell r="X5">
            <v>15</v>
          </cell>
          <cell r="Y5">
            <v>1</v>
          </cell>
          <cell r="Z5">
            <v>1</v>
          </cell>
          <cell r="AA5">
            <v>1</v>
          </cell>
          <cell r="AB5">
            <v>0</v>
          </cell>
        </row>
        <row r="6">
          <cell r="A6">
            <v>5</v>
          </cell>
          <cell r="B6" t="str">
            <v>パトドッグ ポチ</v>
          </cell>
          <cell r="C6">
            <v>1</v>
          </cell>
          <cell r="D6" t="str">
            <v>blue</v>
          </cell>
          <cell r="E6">
            <v>1</v>
          </cell>
          <cell r="F6">
            <v>0.98</v>
          </cell>
          <cell r="G6">
            <v>1</v>
          </cell>
          <cell r="H6" t="str">
            <v>heal</v>
          </cell>
          <cell r="I6" t="str">
            <v>回復タイプ</v>
          </cell>
          <cell r="J6">
            <v>0.8</v>
          </cell>
          <cell r="K6">
            <v>0.78</v>
          </cell>
          <cell r="L6">
            <v>1</v>
          </cell>
          <cell r="M6" t="str">
            <v>unknown</v>
          </cell>
          <cell r="N6" t="str">
            <v>Unknown</v>
          </cell>
          <cell r="O6">
            <v>1</v>
          </cell>
          <cell r="P6">
            <v>1</v>
          </cell>
          <cell r="Q6">
            <v>1</v>
          </cell>
          <cell r="R6" t="str">
            <v>Normal</v>
          </cell>
          <cell r="S6">
            <v>1</v>
          </cell>
          <cell r="T6">
            <v>1</v>
          </cell>
          <cell r="U6">
            <v>1</v>
          </cell>
          <cell r="V6">
            <v>3</v>
          </cell>
          <cell r="W6">
            <v>1</v>
          </cell>
          <cell r="X6">
            <v>15</v>
          </cell>
          <cell r="Y6">
            <v>1</v>
          </cell>
          <cell r="Z6">
            <v>1</v>
          </cell>
          <cell r="AA6">
            <v>1</v>
          </cell>
          <cell r="AB6">
            <v>0</v>
          </cell>
        </row>
        <row r="7">
          <cell r="A7">
            <v>6</v>
          </cell>
          <cell r="B7" t="str">
            <v>パトドッグリーダー ポチ</v>
          </cell>
          <cell r="C7">
            <v>2</v>
          </cell>
          <cell r="D7" t="str">
            <v>blue</v>
          </cell>
          <cell r="E7">
            <v>1</v>
          </cell>
          <cell r="F7">
            <v>0.98</v>
          </cell>
          <cell r="G7">
            <v>1</v>
          </cell>
          <cell r="H7" t="str">
            <v>heal</v>
          </cell>
          <cell r="I7" t="str">
            <v>回復タイプ</v>
          </cell>
          <cell r="J7">
            <v>0.8</v>
          </cell>
          <cell r="K7">
            <v>0.78</v>
          </cell>
          <cell r="L7">
            <v>1</v>
          </cell>
          <cell r="M7" t="str">
            <v>unknown</v>
          </cell>
          <cell r="N7" t="str">
            <v>Unknown</v>
          </cell>
          <cell r="O7">
            <v>1</v>
          </cell>
          <cell r="P7">
            <v>1</v>
          </cell>
          <cell r="Q7">
            <v>1</v>
          </cell>
          <cell r="R7" t="str">
            <v>Normal</v>
          </cell>
          <cell r="S7">
            <v>1</v>
          </cell>
          <cell r="T7">
            <v>1</v>
          </cell>
          <cell r="U7">
            <v>1</v>
          </cell>
          <cell r="V7">
            <v>3</v>
          </cell>
          <cell r="W7">
            <v>1</v>
          </cell>
          <cell r="X7">
            <v>15</v>
          </cell>
          <cell r="Y7">
            <v>1</v>
          </cell>
          <cell r="Z7">
            <v>1</v>
          </cell>
          <cell r="AA7">
            <v>1</v>
          </cell>
          <cell r="AB7">
            <v>0</v>
          </cell>
        </row>
        <row r="8">
          <cell r="A8">
            <v>7</v>
          </cell>
          <cell r="B8" t="str">
            <v>エレキポット</v>
          </cell>
          <cell r="C8">
            <v>1</v>
          </cell>
          <cell r="D8" t="str">
            <v>yellow</v>
          </cell>
          <cell r="E8">
            <v>0.98</v>
          </cell>
          <cell r="F8">
            <v>1.01</v>
          </cell>
          <cell r="G8">
            <v>1</v>
          </cell>
          <cell r="H8" t="str">
            <v>attack</v>
          </cell>
          <cell r="I8" t="str">
            <v>攻撃タイプ</v>
          </cell>
          <cell r="J8">
            <v>1</v>
          </cell>
          <cell r="K8">
            <v>1.33</v>
          </cell>
          <cell r="L8">
            <v>1</v>
          </cell>
          <cell r="M8" t="str">
            <v>unknown</v>
          </cell>
          <cell r="N8" t="str">
            <v>Unknown</v>
          </cell>
          <cell r="O8">
            <v>1</v>
          </cell>
          <cell r="P8">
            <v>1</v>
          </cell>
          <cell r="Q8">
            <v>1</v>
          </cell>
          <cell r="R8" t="str">
            <v>Normal</v>
          </cell>
          <cell r="S8">
            <v>1</v>
          </cell>
          <cell r="T8">
            <v>1</v>
          </cell>
          <cell r="U8">
            <v>1</v>
          </cell>
          <cell r="V8">
            <v>2</v>
          </cell>
          <cell r="W8">
            <v>0.75</v>
          </cell>
          <cell r="X8">
            <v>15</v>
          </cell>
          <cell r="Y8">
            <v>1</v>
          </cell>
          <cell r="Z8">
            <v>1</v>
          </cell>
          <cell r="AA8">
            <v>1</v>
          </cell>
          <cell r="AB8">
            <v>0</v>
          </cell>
        </row>
        <row r="9">
          <cell r="A9">
            <v>8</v>
          </cell>
          <cell r="B9" t="str">
            <v>ハイボルテージ エレキポット</v>
          </cell>
          <cell r="C9">
            <v>2</v>
          </cell>
          <cell r="D9" t="str">
            <v>yellow</v>
          </cell>
          <cell r="E9">
            <v>0.98</v>
          </cell>
          <cell r="F9">
            <v>1.01</v>
          </cell>
          <cell r="G9">
            <v>1</v>
          </cell>
          <cell r="H9" t="str">
            <v>attack</v>
          </cell>
          <cell r="I9" t="str">
            <v>攻撃タイプ</v>
          </cell>
          <cell r="J9">
            <v>1</v>
          </cell>
          <cell r="K9">
            <v>1.33</v>
          </cell>
          <cell r="L9">
            <v>1</v>
          </cell>
          <cell r="M9" t="str">
            <v>unknown</v>
          </cell>
          <cell r="N9" t="str">
            <v>Unknown</v>
          </cell>
          <cell r="O9">
            <v>1</v>
          </cell>
          <cell r="P9">
            <v>1</v>
          </cell>
          <cell r="Q9">
            <v>1</v>
          </cell>
          <cell r="R9" t="str">
            <v>Normal</v>
          </cell>
          <cell r="S9">
            <v>1</v>
          </cell>
          <cell r="T9">
            <v>1</v>
          </cell>
          <cell r="U9">
            <v>1</v>
          </cell>
          <cell r="V9">
            <v>2</v>
          </cell>
          <cell r="W9">
            <v>0.75</v>
          </cell>
          <cell r="X9">
            <v>15</v>
          </cell>
          <cell r="Y9">
            <v>1</v>
          </cell>
          <cell r="Z9">
            <v>1</v>
          </cell>
          <cell r="AA9">
            <v>1</v>
          </cell>
          <cell r="AB9">
            <v>0</v>
          </cell>
        </row>
        <row r="10">
          <cell r="A10">
            <v>9</v>
          </cell>
          <cell r="B10" t="str">
            <v>ブレット</v>
          </cell>
          <cell r="C10">
            <v>1</v>
          </cell>
          <cell r="D10" t="str">
            <v>red</v>
          </cell>
          <cell r="E10">
            <v>1</v>
          </cell>
          <cell r="F10">
            <v>1.02</v>
          </cell>
          <cell r="G10">
            <v>1</v>
          </cell>
          <cell r="H10" t="str">
            <v>attack</v>
          </cell>
          <cell r="I10" t="str">
            <v>攻撃タイプ</v>
          </cell>
          <cell r="J10">
            <v>1</v>
          </cell>
          <cell r="K10">
            <v>1.33</v>
          </cell>
          <cell r="L10">
            <v>1</v>
          </cell>
          <cell r="M10" t="str">
            <v>animal</v>
          </cell>
          <cell r="N10" t="str">
            <v>アニマル</v>
          </cell>
          <cell r="O10">
            <v>1</v>
          </cell>
          <cell r="P10">
            <v>1.1000000000000001</v>
          </cell>
          <cell r="Q10">
            <v>1</v>
          </cell>
          <cell r="R10" t="str">
            <v>Normal</v>
          </cell>
          <cell r="S10">
            <v>1</v>
          </cell>
          <cell r="T10">
            <v>1</v>
          </cell>
          <cell r="U10">
            <v>1</v>
          </cell>
          <cell r="V10">
            <v>2</v>
          </cell>
          <cell r="W10">
            <v>0.75</v>
          </cell>
          <cell r="X10">
            <v>15</v>
          </cell>
          <cell r="Y10">
            <v>1</v>
          </cell>
          <cell r="Z10">
            <v>1</v>
          </cell>
          <cell r="AA10">
            <v>1</v>
          </cell>
          <cell r="AB10">
            <v>0</v>
          </cell>
        </row>
        <row r="11">
          <cell r="A11">
            <v>10</v>
          </cell>
          <cell r="B11" t="str">
            <v>燃える悪戯魂 ブレット</v>
          </cell>
          <cell r="C11">
            <v>2</v>
          </cell>
          <cell r="D11" t="str">
            <v>red</v>
          </cell>
          <cell r="E11">
            <v>1</v>
          </cell>
          <cell r="F11">
            <v>1.02</v>
          </cell>
          <cell r="G11">
            <v>1</v>
          </cell>
          <cell r="H11" t="str">
            <v>attack</v>
          </cell>
          <cell r="I11" t="str">
            <v>攻撃タイプ</v>
          </cell>
          <cell r="J11">
            <v>1</v>
          </cell>
          <cell r="K11">
            <v>1.33</v>
          </cell>
          <cell r="L11">
            <v>1</v>
          </cell>
          <cell r="M11" t="str">
            <v>animal</v>
          </cell>
          <cell r="N11" t="str">
            <v>アニマル</v>
          </cell>
          <cell r="O11">
            <v>1</v>
          </cell>
          <cell r="P11">
            <v>1.1000000000000001</v>
          </cell>
          <cell r="Q11">
            <v>1</v>
          </cell>
          <cell r="R11" t="str">
            <v>Normal</v>
          </cell>
          <cell r="S11">
            <v>1</v>
          </cell>
          <cell r="T11">
            <v>1</v>
          </cell>
          <cell r="U11">
            <v>1</v>
          </cell>
          <cell r="V11">
            <v>2</v>
          </cell>
          <cell r="W11">
            <v>0.75</v>
          </cell>
          <cell r="X11">
            <v>15</v>
          </cell>
          <cell r="Y11">
            <v>1</v>
          </cell>
          <cell r="Z11">
            <v>1</v>
          </cell>
          <cell r="AA11">
            <v>1</v>
          </cell>
          <cell r="AB11">
            <v>0</v>
          </cell>
        </row>
        <row r="12">
          <cell r="A12">
            <v>11</v>
          </cell>
          <cell r="B12" t="str">
            <v>マグリット</v>
          </cell>
          <cell r="C12">
            <v>1</v>
          </cell>
          <cell r="D12" t="str">
            <v>green</v>
          </cell>
          <cell r="E12">
            <v>1.02</v>
          </cell>
          <cell r="F12">
            <v>0.98</v>
          </cell>
          <cell r="G12">
            <v>1</v>
          </cell>
          <cell r="H12" t="str">
            <v>heal</v>
          </cell>
          <cell r="I12" t="str">
            <v>回復タイプ</v>
          </cell>
          <cell r="J12">
            <v>0.8</v>
          </cell>
          <cell r="K12">
            <v>0.78</v>
          </cell>
          <cell r="L12">
            <v>1</v>
          </cell>
          <cell r="M12" t="str">
            <v>animal</v>
          </cell>
          <cell r="N12" t="str">
            <v>アニマル</v>
          </cell>
          <cell r="O12">
            <v>1</v>
          </cell>
          <cell r="P12">
            <v>1.1000000000000001</v>
          </cell>
          <cell r="Q12">
            <v>1</v>
          </cell>
          <cell r="R12" t="str">
            <v>Normal</v>
          </cell>
          <cell r="S12">
            <v>1</v>
          </cell>
          <cell r="T12">
            <v>1</v>
          </cell>
          <cell r="U12">
            <v>1</v>
          </cell>
          <cell r="V12">
            <v>3</v>
          </cell>
          <cell r="W12">
            <v>1</v>
          </cell>
          <cell r="X12">
            <v>15</v>
          </cell>
          <cell r="Y12">
            <v>1</v>
          </cell>
          <cell r="Z12">
            <v>1</v>
          </cell>
          <cell r="AA12">
            <v>1</v>
          </cell>
          <cell r="AB12">
            <v>0</v>
          </cell>
        </row>
        <row r="13">
          <cell r="A13">
            <v>12</v>
          </cell>
          <cell r="B13" t="str">
            <v>癒しのグラフィティ マグリット</v>
          </cell>
          <cell r="C13">
            <v>2</v>
          </cell>
          <cell r="D13" t="str">
            <v>green</v>
          </cell>
          <cell r="E13">
            <v>1.02</v>
          </cell>
          <cell r="F13">
            <v>0.98</v>
          </cell>
          <cell r="G13">
            <v>1</v>
          </cell>
          <cell r="H13" t="str">
            <v>heal</v>
          </cell>
          <cell r="I13" t="str">
            <v>回復タイプ</v>
          </cell>
          <cell r="J13">
            <v>0.8</v>
          </cell>
          <cell r="K13">
            <v>0.78</v>
          </cell>
          <cell r="L13">
            <v>1</v>
          </cell>
          <cell r="M13" t="str">
            <v>animal</v>
          </cell>
          <cell r="N13" t="str">
            <v>アニマル</v>
          </cell>
          <cell r="O13">
            <v>1</v>
          </cell>
          <cell r="P13">
            <v>1.1000000000000001</v>
          </cell>
          <cell r="Q13">
            <v>1</v>
          </cell>
          <cell r="R13" t="str">
            <v>Normal</v>
          </cell>
          <cell r="S13">
            <v>1</v>
          </cell>
          <cell r="T13">
            <v>1</v>
          </cell>
          <cell r="U13">
            <v>1</v>
          </cell>
          <cell r="V13">
            <v>3</v>
          </cell>
          <cell r="W13">
            <v>1</v>
          </cell>
          <cell r="X13">
            <v>15</v>
          </cell>
          <cell r="Y13">
            <v>1</v>
          </cell>
          <cell r="Z13">
            <v>1</v>
          </cell>
          <cell r="AA13">
            <v>1</v>
          </cell>
          <cell r="AB13">
            <v>0</v>
          </cell>
        </row>
        <row r="14">
          <cell r="A14">
            <v>13</v>
          </cell>
          <cell r="B14" t="str">
            <v>ミミ</v>
          </cell>
          <cell r="C14">
            <v>1</v>
          </cell>
          <cell r="D14" t="str">
            <v>yellow</v>
          </cell>
          <cell r="E14">
            <v>0.98</v>
          </cell>
          <cell r="F14">
            <v>1.01</v>
          </cell>
          <cell r="G14">
            <v>1</v>
          </cell>
          <cell r="H14" t="str">
            <v>attack</v>
          </cell>
          <cell r="I14" t="str">
            <v>攻撃タイプ</v>
          </cell>
          <cell r="J14">
            <v>1</v>
          </cell>
          <cell r="K14">
            <v>1.33</v>
          </cell>
          <cell r="L14">
            <v>1</v>
          </cell>
          <cell r="M14" t="str">
            <v>animal</v>
          </cell>
          <cell r="N14" t="str">
            <v>アニマル</v>
          </cell>
          <cell r="O14">
            <v>1</v>
          </cell>
          <cell r="P14">
            <v>1.1000000000000001</v>
          </cell>
          <cell r="Q14">
            <v>1</v>
          </cell>
          <cell r="R14" t="str">
            <v>Normal</v>
          </cell>
          <cell r="S14">
            <v>1</v>
          </cell>
          <cell r="T14">
            <v>1</v>
          </cell>
          <cell r="U14">
            <v>1</v>
          </cell>
          <cell r="V14">
            <v>2</v>
          </cell>
          <cell r="W14">
            <v>0.75</v>
          </cell>
          <cell r="X14">
            <v>15</v>
          </cell>
          <cell r="Y14">
            <v>1</v>
          </cell>
          <cell r="Z14">
            <v>1</v>
          </cell>
          <cell r="AA14">
            <v>1</v>
          </cell>
          <cell r="AB14">
            <v>0</v>
          </cell>
        </row>
        <row r="15">
          <cell r="A15">
            <v>14</v>
          </cell>
          <cell r="B15" t="str">
            <v>ミミ・ザ・ガンマンキャット</v>
          </cell>
          <cell r="C15">
            <v>2</v>
          </cell>
          <cell r="D15" t="str">
            <v>yellow</v>
          </cell>
          <cell r="E15">
            <v>0.98</v>
          </cell>
          <cell r="F15">
            <v>1.01</v>
          </cell>
          <cell r="G15">
            <v>1</v>
          </cell>
          <cell r="H15" t="str">
            <v>attack</v>
          </cell>
          <cell r="I15" t="str">
            <v>攻撃タイプ</v>
          </cell>
          <cell r="J15">
            <v>1</v>
          </cell>
          <cell r="K15">
            <v>1.33</v>
          </cell>
          <cell r="L15">
            <v>1</v>
          </cell>
          <cell r="M15" t="str">
            <v>animal</v>
          </cell>
          <cell r="N15" t="str">
            <v>アニマル</v>
          </cell>
          <cell r="O15">
            <v>1</v>
          </cell>
          <cell r="P15">
            <v>1.1000000000000001</v>
          </cell>
          <cell r="Q15">
            <v>1</v>
          </cell>
          <cell r="R15" t="str">
            <v>Normal</v>
          </cell>
          <cell r="S15">
            <v>1</v>
          </cell>
          <cell r="T15">
            <v>1</v>
          </cell>
          <cell r="U15">
            <v>1</v>
          </cell>
          <cell r="V15">
            <v>2</v>
          </cell>
          <cell r="W15">
            <v>0.75</v>
          </cell>
          <cell r="X15">
            <v>15</v>
          </cell>
          <cell r="Y15">
            <v>1</v>
          </cell>
          <cell r="Z15">
            <v>1</v>
          </cell>
          <cell r="AA15">
            <v>1</v>
          </cell>
          <cell r="AB15">
            <v>0</v>
          </cell>
        </row>
        <row r="16">
          <cell r="A16">
            <v>15</v>
          </cell>
          <cell r="B16" t="str">
            <v>アカネ</v>
          </cell>
          <cell r="C16">
            <v>1</v>
          </cell>
          <cell r="D16" t="str">
            <v>red</v>
          </cell>
          <cell r="E16">
            <v>1</v>
          </cell>
          <cell r="F16">
            <v>1.02</v>
          </cell>
          <cell r="G16">
            <v>1</v>
          </cell>
          <cell r="H16" t="str">
            <v>balance</v>
          </cell>
          <cell r="I16" t="str">
            <v>バランスタイプ</v>
          </cell>
          <cell r="J16">
            <v>1</v>
          </cell>
          <cell r="K16">
            <v>1</v>
          </cell>
          <cell r="L16">
            <v>1</v>
          </cell>
          <cell r="M16" t="str">
            <v>human</v>
          </cell>
          <cell r="N16" t="str">
            <v>ヒューマン</v>
          </cell>
          <cell r="O16">
            <v>0.94</v>
          </cell>
          <cell r="P16">
            <v>0.99</v>
          </cell>
          <cell r="Q16">
            <v>1</v>
          </cell>
          <cell r="R16" t="str">
            <v>Normal</v>
          </cell>
          <cell r="S16">
            <v>1</v>
          </cell>
          <cell r="T16">
            <v>1</v>
          </cell>
          <cell r="U16">
            <v>1</v>
          </cell>
          <cell r="V16">
            <v>3</v>
          </cell>
          <cell r="W16">
            <v>1</v>
          </cell>
          <cell r="X16">
            <v>15</v>
          </cell>
          <cell r="Y16">
            <v>1</v>
          </cell>
          <cell r="Z16">
            <v>1</v>
          </cell>
          <cell r="AA16">
            <v>1</v>
          </cell>
          <cell r="AB16">
            <v>0</v>
          </cell>
        </row>
        <row r="17">
          <cell r="A17">
            <v>16</v>
          </cell>
          <cell r="B17" t="str">
            <v>炎戦少女 アカネ</v>
          </cell>
          <cell r="C17">
            <v>2</v>
          </cell>
          <cell r="D17" t="str">
            <v>red</v>
          </cell>
          <cell r="E17">
            <v>1</v>
          </cell>
          <cell r="F17">
            <v>1.02</v>
          </cell>
          <cell r="G17">
            <v>1</v>
          </cell>
          <cell r="H17" t="str">
            <v>balance</v>
          </cell>
          <cell r="I17" t="str">
            <v>バランスタイプ</v>
          </cell>
          <cell r="J17">
            <v>1</v>
          </cell>
          <cell r="K17">
            <v>1</v>
          </cell>
          <cell r="L17">
            <v>1</v>
          </cell>
          <cell r="M17" t="str">
            <v>human</v>
          </cell>
          <cell r="N17" t="str">
            <v>ヒューマン</v>
          </cell>
          <cell r="O17">
            <v>0.94</v>
          </cell>
          <cell r="P17">
            <v>0.99</v>
          </cell>
          <cell r="Q17">
            <v>1</v>
          </cell>
          <cell r="R17" t="str">
            <v>Normal</v>
          </cell>
          <cell r="S17">
            <v>1</v>
          </cell>
          <cell r="T17">
            <v>1</v>
          </cell>
          <cell r="U17">
            <v>1</v>
          </cell>
          <cell r="V17">
            <v>3</v>
          </cell>
          <cell r="W17">
            <v>1</v>
          </cell>
          <cell r="X17">
            <v>15</v>
          </cell>
          <cell r="Y17">
            <v>1</v>
          </cell>
          <cell r="Z17">
            <v>1</v>
          </cell>
          <cell r="AA17">
            <v>1</v>
          </cell>
          <cell r="AB17">
            <v>0</v>
          </cell>
        </row>
        <row r="18">
          <cell r="A18">
            <v>17</v>
          </cell>
          <cell r="B18" t="str">
            <v>リム</v>
          </cell>
          <cell r="C18">
            <v>1</v>
          </cell>
          <cell r="D18" t="str">
            <v>blue</v>
          </cell>
          <cell r="E18">
            <v>1</v>
          </cell>
          <cell r="F18">
            <v>0.98</v>
          </cell>
          <cell r="G18">
            <v>1</v>
          </cell>
          <cell r="H18" t="str">
            <v>balance</v>
          </cell>
          <cell r="I18" t="str">
            <v>バランスタイプ</v>
          </cell>
          <cell r="J18">
            <v>1</v>
          </cell>
          <cell r="K18">
            <v>1</v>
          </cell>
          <cell r="L18">
            <v>1</v>
          </cell>
          <cell r="M18" t="str">
            <v>human</v>
          </cell>
          <cell r="N18" t="str">
            <v>ヒューマン</v>
          </cell>
          <cell r="O18">
            <v>0.94</v>
          </cell>
          <cell r="P18">
            <v>0.99</v>
          </cell>
          <cell r="Q18">
            <v>1</v>
          </cell>
          <cell r="R18" t="str">
            <v>Normal</v>
          </cell>
          <cell r="S18">
            <v>1</v>
          </cell>
          <cell r="T18">
            <v>1</v>
          </cell>
          <cell r="U18">
            <v>1</v>
          </cell>
          <cell r="V18">
            <v>2</v>
          </cell>
          <cell r="W18">
            <v>0.75</v>
          </cell>
          <cell r="X18">
            <v>15</v>
          </cell>
          <cell r="Y18">
            <v>1</v>
          </cell>
          <cell r="Z18">
            <v>1</v>
          </cell>
          <cell r="AA18">
            <v>1</v>
          </cell>
          <cell r="AB18">
            <v>0</v>
          </cell>
        </row>
        <row r="19">
          <cell r="A19">
            <v>18</v>
          </cell>
          <cell r="B19" t="str">
            <v>戦闘案内人 リム</v>
          </cell>
          <cell r="C19">
            <v>2</v>
          </cell>
          <cell r="D19" t="str">
            <v>blue</v>
          </cell>
          <cell r="E19">
            <v>1</v>
          </cell>
          <cell r="F19">
            <v>0.98</v>
          </cell>
          <cell r="G19">
            <v>1</v>
          </cell>
          <cell r="H19" t="str">
            <v>balance</v>
          </cell>
          <cell r="I19" t="str">
            <v>バランスタイプ</v>
          </cell>
          <cell r="J19">
            <v>1</v>
          </cell>
          <cell r="K19">
            <v>1</v>
          </cell>
          <cell r="L19">
            <v>1</v>
          </cell>
          <cell r="M19" t="str">
            <v>human</v>
          </cell>
          <cell r="N19" t="str">
            <v>ヒューマン</v>
          </cell>
          <cell r="O19">
            <v>0.94</v>
          </cell>
          <cell r="P19">
            <v>0.99</v>
          </cell>
          <cell r="Q19">
            <v>1</v>
          </cell>
          <cell r="R19" t="str">
            <v>Normal</v>
          </cell>
          <cell r="S19">
            <v>1</v>
          </cell>
          <cell r="T19">
            <v>1</v>
          </cell>
          <cell r="U19">
            <v>1</v>
          </cell>
          <cell r="V19">
            <v>2</v>
          </cell>
          <cell r="W19">
            <v>0.75</v>
          </cell>
          <cell r="X19">
            <v>15</v>
          </cell>
          <cell r="Y19">
            <v>1</v>
          </cell>
          <cell r="Z19">
            <v>1</v>
          </cell>
          <cell r="AA19">
            <v>1</v>
          </cell>
          <cell r="AB19">
            <v>0</v>
          </cell>
        </row>
        <row r="20">
          <cell r="A20">
            <v>19</v>
          </cell>
          <cell r="B20" t="str">
            <v>ティンク</v>
          </cell>
          <cell r="C20">
            <v>1</v>
          </cell>
          <cell r="D20" t="str">
            <v>yellow</v>
          </cell>
          <cell r="E20">
            <v>0.98</v>
          </cell>
          <cell r="F20">
            <v>1.01</v>
          </cell>
          <cell r="G20">
            <v>1</v>
          </cell>
          <cell r="H20" t="str">
            <v>balance</v>
          </cell>
          <cell r="I20" t="str">
            <v>バランスタイプ</v>
          </cell>
          <cell r="J20">
            <v>1</v>
          </cell>
          <cell r="K20">
            <v>1</v>
          </cell>
          <cell r="L20">
            <v>1</v>
          </cell>
          <cell r="M20" t="str">
            <v>human</v>
          </cell>
          <cell r="N20" t="str">
            <v>ヒューマン</v>
          </cell>
          <cell r="O20">
            <v>0.94</v>
          </cell>
          <cell r="P20">
            <v>0.99</v>
          </cell>
          <cell r="Q20">
            <v>1</v>
          </cell>
          <cell r="R20" t="str">
            <v>Normal</v>
          </cell>
          <cell r="S20">
            <v>1</v>
          </cell>
          <cell r="T20">
            <v>1</v>
          </cell>
          <cell r="U20">
            <v>1</v>
          </cell>
          <cell r="V20">
            <v>3</v>
          </cell>
          <cell r="W20">
            <v>1</v>
          </cell>
          <cell r="X20">
            <v>15</v>
          </cell>
          <cell r="Y20">
            <v>1</v>
          </cell>
          <cell r="Z20">
            <v>1</v>
          </cell>
          <cell r="AA20">
            <v>1</v>
          </cell>
          <cell r="AB20">
            <v>0</v>
          </cell>
        </row>
        <row r="21">
          <cell r="A21">
            <v>20</v>
          </cell>
          <cell r="B21" t="str">
            <v>電子妖精 ティンク</v>
          </cell>
          <cell r="C21">
            <v>2</v>
          </cell>
          <cell r="D21" t="str">
            <v>yellow</v>
          </cell>
          <cell r="E21">
            <v>0.98</v>
          </cell>
          <cell r="F21">
            <v>1.01</v>
          </cell>
          <cell r="G21">
            <v>1</v>
          </cell>
          <cell r="H21" t="str">
            <v>balance</v>
          </cell>
          <cell r="I21" t="str">
            <v>バランスタイプ</v>
          </cell>
          <cell r="J21">
            <v>1</v>
          </cell>
          <cell r="K21">
            <v>1</v>
          </cell>
          <cell r="L21">
            <v>1</v>
          </cell>
          <cell r="M21" t="str">
            <v>human</v>
          </cell>
          <cell r="N21" t="str">
            <v>ヒューマン</v>
          </cell>
          <cell r="O21">
            <v>0.94</v>
          </cell>
          <cell r="P21">
            <v>0.99</v>
          </cell>
          <cell r="Q21">
            <v>1</v>
          </cell>
          <cell r="R21" t="str">
            <v>Normal</v>
          </cell>
          <cell r="S21">
            <v>1</v>
          </cell>
          <cell r="T21">
            <v>1</v>
          </cell>
          <cell r="U21">
            <v>1</v>
          </cell>
          <cell r="V21">
            <v>3</v>
          </cell>
          <cell r="W21">
            <v>1</v>
          </cell>
          <cell r="X21">
            <v>15</v>
          </cell>
          <cell r="Y21">
            <v>1</v>
          </cell>
          <cell r="Z21">
            <v>1</v>
          </cell>
          <cell r="AA21">
            <v>1</v>
          </cell>
          <cell r="AB21">
            <v>0</v>
          </cell>
        </row>
        <row r="22">
          <cell r="A22">
            <v>21</v>
          </cell>
          <cell r="B22" t="str">
            <v>ヴェロキー</v>
          </cell>
          <cell r="C22">
            <v>1</v>
          </cell>
          <cell r="D22" t="str">
            <v>red</v>
          </cell>
          <cell r="E22">
            <v>1</v>
          </cell>
          <cell r="F22">
            <v>1.02</v>
          </cell>
          <cell r="G22">
            <v>1</v>
          </cell>
          <cell r="H22" t="str">
            <v>hp</v>
          </cell>
          <cell r="I22" t="str">
            <v>体力タイプ</v>
          </cell>
          <cell r="J22">
            <v>1.45</v>
          </cell>
          <cell r="K22">
            <v>0.85</v>
          </cell>
          <cell r="L22">
            <v>1</v>
          </cell>
          <cell r="M22" t="str">
            <v>dragon</v>
          </cell>
          <cell r="N22" t="str">
            <v>ドラゴン</v>
          </cell>
          <cell r="O22">
            <v>1.1499999999999999</v>
          </cell>
          <cell r="P22">
            <v>1.1000000000000001</v>
          </cell>
          <cell r="Q22">
            <v>1</v>
          </cell>
          <cell r="R22" t="str">
            <v>Normal</v>
          </cell>
          <cell r="S22">
            <v>1</v>
          </cell>
          <cell r="T22">
            <v>1</v>
          </cell>
          <cell r="U22">
            <v>1</v>
          </cell>
          <cell r="V22">
            <v>2</v>
          </cell>
          <cell r="W22">
            <v>0.75</v>
          </cell>
          <cell r="X22">
            <v>15</v>
          </cell>
          <cell r="Y22">
            <v>1</v>
          </cell>
          <cell r="Z22">
            <v>1</v>
          </cell>
          <cell r="AA22">
            <v>1</v>
          </cell>
          <cell r="AB22">
            <v>0</v>
          </cell>
        </row>
        <row r="23">
          <cell r="A23">
            <v>22</v>
          </cell>
          <cell r="B23" t="str">
            <v>突然変異ヴェロキー</v>
          </cell>
          <cell r="C23">
            <v>2</v>
          </cell>
          <cell r="D23" t="str">
            <v>red</v>
          </cell>
          <cell r="E23">
            <v>1</v>
          </cell>
          <cell r="F23">
            <v>1.02</v>
          </cell>
          <cell r="G23">
            <v>1</v>
          </cell>
          <cell r="H23" t="str">
            <v>hp</v>
          </cell>
          <cell r="I23" t="str">
            <v>体力タイプ</v>
          </cell>
          <cell r="J23">
            <v>1.45</v>
          </cell>
          <cell r="K23">
            <v>0.85</v>
          </cell>
          <cell r="L23">
            <v>1</v>
          </cell>
          <cell r="M23" t="str">
            <v>dragon</v>
          </cell>
          <cell r="N23" t="str">
            <v>ドラゴン</v>
          </cell>
          <cell r="O23">
            <v>1.1499999999999999</v>
          </cell>
          <cell r="P23">
            <v>1.1000000000000001</v>
          </cell>
          <cell r="Q23">
            <v>1</v>
          </cell>
          <cell r="R23" t="str">
            <v>Normal</v>
          </cell>
          <cell r="S23">
            <v>1</v>
          </cell>
          <cell r="T23">
            <v>1</v>
          </cell>
          <cell r="U23">
            <v>1</v>
          </cell>
          <cell r="V23">
            <v>2</v>
          </cell>
          <cell r="W23">
            <v>0.75</v>
          </cell>
          <cell r="X23">
            <v>15</v>
          </cell>
          <cell r="Y23">
            <v>1</v>
          </cell>
          <cell r="Z23">
            <v>1</v>
          </cell>
          <cell r="AA23">
            <v>1</v>
          </cell>
          <cell r="AB23">
            <v>0</v>
          </cell>
        </row>
        <row r="24">
          <cell r="A24">
            <v>23</v>
          </cell>
          <cell r="B24" t="str">
            <v>ミール</v>
          </cell>
          <cell r="C24">
            <v>1</v>
          </cell>
          <cell r="D24" t="str">
            <v>green</v>
          </cell>
          <cell r="E24">
            <v>1.02</v>
          </cell>
          <cell r="F24">
            <v>0.98</v>
          </cell>
          <cell r="G24">
            <v>1</v>
          </cell>
          <cell r="H24" t="str">
            <v>hp</v>
          </cell>
          <cell r="I24" t="str">
            <v>体力タイプ</v>
          </cell>
          <cell r="J24">
            <v>1.45</v>
          </cell>
          <cell r="K24">
            <v>0.85</v>
          </cell>
          <cell r="L24">
            <v>1</v>
          </cell>
          <cell r="M24" t="str">
            <v>animal</v>
          </cell>
          <cell r="N24" t="str">
            <v>アニマル</v>
          </cell>
          <cell r="O24">
            <v>1</v>
          </cell>
          <cell r="P24">
            <v>1.1000000000000001</v>
          </cell>
          <cell r="Q24">
            <v>1</v>
          </cell>
          <cell r="R24" t="str">
            <v>Normal</v>
          </cell>
          <cell r="S24">
            <v>1</v>
          </cell>
          <cell r="T24">
            <v>1</v>
          </cell>
          <cell r="U24">
            <v>1</v>
          </cell>
          <cell r="V24">
            <v>4</v>
          </cell>
          <cell r="W24">
            <v>1.2</v>
          </cell>
          <cell r="X24">
            <v>15</v>
          </cell>
          <cell r="Y24">
            <v>1</v>
          </cell>
          <cell r="Z24">
            <v>1</v>
          </cell>
          <cell r="AA24">
            <v>1</v>
          </cell>
          <cell r="AB24">
            <v>0</v>
          </cell>
        </row>
        <row r="25">
          <cell r="A25">
            <v>24</v>
          </cell>
          <cell r="B25" t="str">
            <v>天翔のミール</v>
          </cell>
          <cell r="C25">
            <v>2</v>
          </cell>
          <cell r="D25" t="str">
            <v>green</v>
          </cell>
          <cell r="E25">
            <v>1.02</v>
          </cell>
          <cell r="F25">
            <v>0.98</v>
          </cell>
          <cell r="G25">
            <v>1</v>
          </cell>
          <cell r="H25" t="str">
            <v>hp</v>
          </cell>
          <cell r="I25" t="str">
            <v>体力タイプ</v>
          </cell>
          <cell r="J25">
            <v>1.45</v>
          </cell>
          <cell r="K25">
            <v>0.85</v>
          </cell>
          <cell r="L25">
            <v>1</v>
          </cell>
          <cell r="M25" t="str">
            <v>animal</v>
          </cell>
          <cell r="N25" t="str">
            <v>アニマル</v>
          </cell>
          <cell r="O25">
            <v>1</v>
          </cell>
          <cell r="P25">
            <v>1.1000000000000001</v>
          </cell>
          <cell r="Q25">
            <v>1</v>
          </cell>
          <cell r="R25" t="str">
            <v>Normal</v>
          </cell>
          <cell r="S25">
            <v>1</v>
          </cell>
          <cell r="T25">
            <v>1</v>
          </cell>
          <cell r="U25">
            <v>1</v>
          </cell>
          <cell r="V25">
            <v>4</v>
          </cell>
          <cell r="W25">
            <v>1.2</v>
          </cell>
          <cell r="X25">
            <v>15</v>
          </cell>
          <cell r="Y25">
            <v>1</v>
          </cell>
          <cell r="Z25">
            <v>1</v>
          </cell>
          <cell r="AA25">
            <v>1</v>
          </cell>
          <cell r="AB25">
            <v>0</v>
          </cell>
        </row>
        <row r="26">
          <cell r="A26">
            <v>25</v>
          </cell>
          <cell r="B26" t="str">
            <v>ハチ</v>
          </cell>
          <cell r="C26">
            <v>1</v>
          </cell>
          <cell r="D26" t="str">
            <v>blue</v>
          </cell>
          <cell r="E26">
            <v>1</v>
          </cell>
          <cell r="F26">
            <v>0.98</v>
          </cell>
          <cell r="G26">
            <v>1</v>
          </cell>
          <cell r="H26" t="str">
            <v>hp</v>
          </cell>
          <cell r="I26" t="str">
            <v>体力タイプ</v>
          </cell>
          <cell r="J26">
            <v>1.45</v>
          </cell>
          <cell r="K26">
            <v>0.85</v>
          </cell>
          <cell r="L26">
            <v>1</v>
          </cell>
          <cell r="M26" t="str">
            <v>animal</v>
          </cell>
          <cell r="N26" t="str">
            <v>アニマル</v>
          </cell>
          <cell r="O26">
            <v>1</v>
          </cell>
          <cell r="P26">
            <v>1.1000000000000001</v>
          </cell>
          <cell r="Q26">
            <v>1</v>
          </cell>
          <cell r="R26" t="str">
            <v>Normal</v>
          </cell>
          <cell r="S26">
            <v>1</v>
          </cell>
          <cell r="T26">
            <v>1</v>
          </cell>
          <cell r="U26">
            <v>1</v>
          </cell>
          <cell r="V26">
            <v>3</v>
          </cell>
          <cell r="W26">
            <v>1</v>
          </cell>
          <cell r="X26">
            <v>15</v>
          </cell>
          <cell r="Y26">
            <v>1</v>
          </cell>
          <cell r="Z26">
            <v>1</v>
          </cell>
          <cell r="AA26">
            <v>1</v>
          </cell>
          <cell r="AB26">
            <v>0</v>
          </cell>
        </row>
        <row r="27">
          <cell r="A27">
            <v>26</v>
          </cell>
          <cell r="B27" t="str">
            <v>勇犬 ハチ</v>
          </cell>
          <cell r="C27">
            <v>2</v>
          </cell>
          <cell r="D27" t="str">
            <v>blue</v>
          </cell>
          <cell r="E27">
            <v>1</v>
          </cell>
          <cell r="F27">
            <v>0.98</v>
          </cell>
          <cell r="G27">
            <v>1</v>
          </cell>
          <cell r="H27" t="str">
            <v>hp</v>
          </cell>
          <cell r="I27" t="str">
            <v>体力タイプ</v>
          </cell>
          <cell r="J27">
            <v>1.45</v>
          </cell>
          <cell r="K27">
            <v>0.85</v>
          </cell>
          <cell r="L27">
            <v>1</v>
          </cell>
          <cell r="M27" t="str">
            <v>animal</v>
          </cell>
          <cell r="N27" t="str">
            <v>アニマル</v>
          </cell>
          <cell r="O27">
            <v>1</v>
          </cell>
          <cell r="P27">
            <v>1.1000000000000001</v>
          </cell>
          <cell r="Q27">
            <v>1</v>
          </cell>
          <cell r="R27" t="str">
            <v>Normal</v>
          </cell>
          <cell r="S27">
            <v>1</v>
          </cell>
          <cell r="T27">
            <v>1</v>
          </cell>
          <cell r="U27">
            <v>1</v>
          </cell>
          <cell r="V27">
            <v>3</v>
          </cell>
          <cell r="W27">
            <v>1</v>
          </cell>
          <cell r="X27">
            <v>15</v>
          </cell>
          <cell r="Y27">
            <v>1</v>
          </cell>
          <cell r="Z27">
            <v>1</v>
          </cell>
          <cell r="AA27">
            <v>1</v>
          </cell>
          <cell r="AB27">
            <v>0</v>
          </cell>
        </row>
        <row r="28">
          <cell r="A28">
            <v>27</v>
          </cell>
          <cell r="B28" t="str">
            <v>パトライン</v>
          </cell>
          <cell r="C28">
            <v>1</v>
          </cell>
          <cell r="D28" t="str">
            <v>green</v>
          </cell>
          <cell r="E28">
            <v>1.02</v>
          </cell>
          <cell r="F28">
            <v>0.98</v>
          </cell>
          <cell r="G28">
            <v>1</v>
          </cell>
          <cell r="H28" t="str">
            <v>heal</v>
          </cell>
          <cell r="I28" t="str">
            <v>回復タイプ</v>
          </cell>
          <cell r="J28">
            <v>0.8</v>
          </cell>
          <cell r="K28">
            <v>0.78</v>
          </cell>
          <cell r="L28">
            <v>1</v>
          </cell>
          <cell r="M28" t="str">
            <v>machine</v>
          </cell>
          <cell r="N28" t="str">
            <v>マシン</v>
          </cell>
          <cell r="O28">
            <v>1</v>
          </cell>
          <cell r="P28">
            <v>1</v>
          </cell>
          <cell r="Q28">
            <v>1</v>
          </cell>
          <cell r="R28" t="str">
            <v>Normal</v>
          </cell>
          <cell r="S28">
            <v>1</v>
          </cell>
          <cell r="T28">
            <v>1</v>
          </cell>
          <cell r="U28">
            <v>1</v>
          </cell>
          <cell r="V28">
            <v>1</v>
          </cell>
          <cell r="W28">
            <v>0.55000000000000004</v>
          </cell>
          <cell r="X28">
            <v>15</v>
          </cell>
          <cell r="Y28">
            <v>1</v>
          </cell>
          <cell r="Z28">
            <v>1</v>
          </cell>
          <cell r="AA28">
            <v>1</v>
          </cell>
          <cell r="AB28">
            <v>0</v>
          </cell>
        </row>
        <row r="29">
          <cell r="A29">
            <v>28</v>
          </cell>
          <cell r="B29" t="str">
            <v>現場急行 パトラインカスタム</v>
          </cell>
          <cell r="C29">
            <v>2</v>
          </cell>
          <cell r="D29" t="str">
            <v>green</v>
          </cell>
          <cell r="E29">
            <v>1.02</v>
          </cell>
          <cell r="F29">
            <v>0.98</v>
          </cell>
          <cell r="G29">
            <v>1</v>
          </cell>
          <cell r="H29" t="str">
            <v>heal</v>
          </cell>
          <cell r="I29" t="str">
            <v>回復タイプ</v>
          </cell>
          <cell r="J29">
            <v>0.8</v>
          </cell>
          <cell r="K29">
            <v>0.78</v>
          </cell>
          <cell r="L29">
            <v>1</v>
          </cell>
          <cell r="M29" t="str">
            <v>machine</v>
          </cell>
          <cell r="N29" t="str">
            <v>マシン</v>
          </cell>
          <cell r="O29">
            <v>1</v>
          </cell>
          <cell r="P29">
            <v>1</v>
          </cell>
          <cell r="Q29">
            <v>1</v>
          </cell>
          <cell r="R29" t="str">
            <v>Normal</v>
          </cell>
          <cell r="S29">
            <v>1</v>
          </cell>
          <cell r="T29">
            <v>1</v>
          </cell>
          <cell r="U29">
            <v>1</v>
          </cell>
          <cell r="V29">
            <v>1</v>
          </cell>
          <cell r="W29">
            <v>0.55000000000000004</v>
          </cell>
          <cell r="X29">
            <v>15</v>
          </cell>
          <cell r="Y29">
            <v>1</v>
          </cell>
          <cell r="Z29">
            <v>1</v>
          </cell>
          <cell r="AA29">
            <v>1</v>
          </cell>
          <cell r="AB29">
            <v>28</v>
          </cell>
        </row>
        <row r="30">
          <cell r="A30">
            <v>29</v>
          </cell>
          <cell r="B30" t="str">
            <v>スケアクロウ</v>
          </cell>
          <cell r="C30">
            <v>1</v>
          </cell>
          <cell r="D30" t="str">
            <v>blue</v>
          </cell>
          <cell r="E30">
            <v>1</v>
          </cell>
          <cell r="F30">
            <v>0.98</v>
          </cell>
          <cell r="G30">
            <v>1</v>
          </cell>
          <cell r="H30" t="str">
            <v>heal</v>
          </cell>
          <cell r="I30" t="str">
            <v>回復タイプ</v>
          </cell>
          <cell r="J30">
            <v>0.8</v>
          </cell>
          <cell r="K30">
            <v>0.78</v>
          </cell>
          <cell r="L30">
            <v>1</v>
          </cell>
          <cell r="M30" t="str">
            <v>machine</v>
          </cell>
          <cell r="N30" t="str">
            <v>マシン</v>
          </cell>
          <cell r="O30">
            <v>1</v>
          </cell>
          <cell r="P30">
            <v>1</v>
          </cell>
          <cell r="Q30">
            <v>1</v>
          </cell>
          <cell r="R30" t="str">
            <v>Normal</v>
          </cell>
          <cell r="S30">
            <v>1</v>
          </cell>
          <cell r="T30">
            <v>1</v>
          </cell>
          <cell r="U30">
            <v>1</v>
          </cell>
          <cell r="V30">
            <v>2</v>
          </cell>
          <cell r="W30">
            <v>0.75</v>
          </cell>
          <cell r="X30">
            <v>15</v>
          </cell>
          <cell r="Y30">
            <v>1</v>
          </cell>
          <cell r="Z30">
            <v>1</v>
          </cell>
          <cell r="AA30">
            <v>1</v>
          </cell>
          <cell r="AB30">
            <v>0</v>
          </cell>
        </row>
        <row r="31">
          <cell r="A31">
            <v>30</v>
          </cell>
          <cell r="B31" t="str">
            <v>護衛機人 スケアクロウ</v>
          </cell>
          <cell r="C31">
            <v>2</v>
          </cell>
          <cell r="D31" t="str">
            <v>blue</v>
          </cell>
          <cell r="E31">
            <v>1</v>
          </cell>
          <cell r="F31">
            <v>0.98</v>
          </cell>
          <cell r="G31">
            <v>1</v>
          </cell>
          <cell r="H31" t="str">
            <v>heal</v>
          </cell>
          <cell r="I31" t="str">
            <v>回復タイプ</v>
          </cell>
          <cell r="J31">
            <v>0.8</v>
          </cell>
          <cell r="K31">
            <v>0.78</v>
          </cell>
          <cell r="L31">
            <v>1</v>
          </cell>
          <cell r="M31" t="str">
            <v>machine</v>
          </cell>
          <cell r="N31" t="str">
            <v>マシン</v>
          </cell>
          <cell r="O31">
            <v>1</v>
          </cell>
          <cell r="P31">
            <v>1</v>
          </cell>
          <cell r="Q31">
            <v>1</v>
          </cell>
          <cell r="R31" t="str">
            <v>Normal</v>
          </cell>
          <cell r="S31">
            <v>1</v>
          </cell>
          <cell r="T31">
            <v>1</v>
          </cell>
          <cell r="U31">
            <v>1</v>
          </cell>
          <cell r="V31">
            <v>2</v>
          </cell>
          <cell r="W31">
            <v>0.75</v>
          </cell>
          <cell r="X31">
            <v>15</v>
          </cell>
          <cell r="Y31">
            <v>1</v>
          </cell>
          <cell r="Z31">
            <v>1</v>
          </cell>
          <cell r="AA31">
            <v>1</v>
          </cell>
          <cell r="AB31">
            <v>30</v>
          </cell>
        </row>
        <row r="32">
          <cell r="A32">
            <v>31</v>
          </cell>
          <cell r="B32" t="str">
            <v>マービー</v>
          </cell>
          <cell r="C32">
            <v>1</v>
          </cell>
          <cell r="D32" t="str">
            <v>yellow</v>
          </cell>
          <cell r="E32">
            <v>0.98</v>
          </cell>
          <cell r="F32">
            <v>1.01</v>
          </cell>
          <cell r="G32">
            <v>1</v>
          </cell>
          <cell r="H32" t="str">
            <v>technical</v>
          </cell>
          <cell r="I32" t="str">
            <v>テクニカルタイプ</v>
          </cell>
          <cell r="J32">
            <v>0.9</v>
          </cell>
          <cell r="K32">
            <v>0.9</v>
          </cell>
          <cell r="L32">
            <v>1</v>
          </cell>
          <cell r="M32" t="str">
            <v>machine</v>
          </cell>
          <cell r="N32" t="str">
            <v>マシン</v>
          </cell>
          <cell r="O32">
            <v>1</v>
          </cell>
          <cell r="P32">
            <v>1</v>
          </cell>
          <cell r="Q32">
            <v>1</v>
          </cell>
          <cell r="R32" t="str">
            <v>Normal</v>
          </cell>
          <cell r="S32">
            <v>1</v>
          </cell>
          <cell r="T32">
            <v>1</v>
          </cell>
          <cell r="U32">
            <v>1</v>
          </cell>
          <cell r="V32">
            <v>2</v>
          </cell>
          <cell r="W32">
            <v>0.75</v>
          </cell>
          <cell r="X32">
            <v>15</v>
          </cell>
          <cell r="Y32">
            <v>1</v>
          </cell>
          <cell r="Z32">
            <v>1</v>
          </cell>
          <cell r="AA32">
            <v>1</v>
          </cell>
          <cell r="AB32">
            <v>0</v>
          </cell>
        </row>
        <row r="33">
          <cell r="A33">
            <v>32</v>
          </cell>
          <cell r="B33" t="str">
            <v>沈黙のジャミング マービー</v>
          </cell>
          <cell r="C33">
            <v>2</v>
          </cell>
          <cell r="D33" t="str">
            <v>yellow</v>
          </cell>
          <cell r="E33">
            <v>0.98</v>
          </cell>
          <cell r="F33">
            <v>1.01</v>
          </cell>
          <cell r="G33">
            <v>1</v>
          </cell>
          <cell r="H33" t="str">
            <v>technical</v>
          </cell>
          <cell r="I33" t="str">
            <v>テクニカルタイプ</v>
          </cell>
          <cell r="J33">
            <v>0.9</v>
          </cell>
          <cell r="K33">
            <v>0.9</v>
          </cell>
          <cell r="L33">
            <v>1</v>
          </cell>
          <cell r="M33" t="str">
            <v>machine</v>
          </cell>
          <cell r="N33" t="str">
            <v>マシン</v>
          </cell>
          <cell r="O33">
            <v>1</v>
          </cell>
          <cell r="P33">
            <v>1</v>
          </cell>
          <cell r="Q33">
            <v>1</v>
          </cell>
          <cell r="R33" t="str">
            <v>Normal</v>
          </cell>
          <cell r="S33">
            <v>1</v>
          </cell>
          <cell r="T33">
            <v>1</v>
          </cell>
          <cell r="U33">
            <v>1</v>
          </cell>
          <cell r="V33">
            <v>5</v>
          </cell>
          <cell r="W33">
            <v>1.5</v>
          </cell>
          <cell r="X33">
            <v>15</v>
          </cell>
          <cell r="Y33">
            <v>1</v>
          </cell>
          <cell r="Z33">
            <v>1</v>
          </cell>
          <cell r="AA33">
            <v>1</v>
          </cell>
          <cell r="AB33">
            <v>0</v>
          </cell>
        </row>
        <row r="34">
          <cell r="A34">
            <v>33</v>
          </cell>
          <cell r="B34" t="str">
            <v>ゴクウ</v>
          </cell>
          <cell r="C34">
            <v>2</v>
          </cell>
          <cell r="D34" t="str">
            <v>red</v>
          </cell>
          <cell r="E34">
            <v>1</v>
          </cell>
          <cell r="F34">
            <v>1.02</v>
          </cell>
          <cell r="G34">
            <v>1</v>
          </cell>
          <cell r="H34" t="str">
            <v>attack</v>
          </cell>
          <cell r="I34" t="str">
            <v>攻撃タイプ</v>
          </cell>
          <cell r="J34">
            <v>1</v>
          </cell>
          <cell r="K34">
            <v>1.33</v>
          </cell>
          <cell r="L34">
            <v>1</v>
          </cell>
          <cell r="M34" t="str">
            <v>animal</v>
          </cell>
          <cell r="N34" t="str">
            <v>アニマル</v>
          </cell>
          <cell r="O34">
            <v>1</v>
          </cell>
          <cell r="P34">
            <v>1.1000000000000001</v>
          </cell>
          <cell r="Q34">
            <v>1</v>
          </cell>
          <cell r="R34" t="str">
            <v>Normal</v>
          </cell>
          <cell r="S34">
            <v>1</v>
          </cell>
          <cell r="T34">
            <v>1</v>
          </cell>
          <cell r="U34">
            <v>1</v>
          </cell>
          <cell r="V34">
            <v>2</v>
          </cell>
          <cell r="W34">
            <v>0.75</v>
          </cell>
          <cell r="X34">
            <v>15</v>
          </cell>
          <cell r="Y34">
            <v>1</v>
          </cell>
          <cell r="Z34">
            <v>1</v>
          </cell>
          <cell r="AA34">
            <v>1</v>
          </cell>
          <cell r="AB34">
            <v>33</v>
          </cell>
        </row>
        <row r="35">
          <cell r="A35">
            <v>34</v>
          </cell>
          <cell r="B35" t="str">
            <v>斉天大聖 ゴクウ</v>
          </cell>
          <cell r="C35">
            <v>3</v>
          </cell>
          <cell r="D35" t="str">
            <v>red</v>
          </cell>
          <cell r="E35">
            <v>1</v>
          </cell>
          <cell r="F35">
            <v>1.02</v>
          </cell>
          <cell r="G35">
            <v>1</v>
          </cell>
          <cell r="H35" t="str">
            <v>attack</v>
          </cell>
          <cell r="I35" t="str">
            <v>攻撃タイプ</v>
          </cell>
          <cell r="J35">
            <v>1</v>
          </cell>
          <cell r="K35">
            <v>1.33</v>
          </cell>
          <cell r="L35">
            <v>1</v>
          </cell>
          <cell r="M35" t="str">
            <v>animal</v>
          </cell>
          <cell r="N35" t="str">
            <v>アニマル</v>
          </cell>
          <cell r="O35">
            <v>1</v>
          </cell>
          <cell r="P35">
            <v>1.1000000000000001</v>
          </cell>
          <cell r="Q35">
            <v>1</v>
          </cell>
          <cell r="R35" t="str">
            <v>MiddleBoss</v>
          </cell>
          <cell r="S35">
            <v>3</v>
          </cell>
          <cell r="T35">
            <v>1.4</v>
          </cell>
          <cell r="U35">
            <v>0.8</v>
          </cell>
          <cell r="V35">
            <v>2</v>
          </cell>
          <cell r="W35">
            <v>0.75</v>
          </cell>
          <cell r="X35">
            <v>20</v>
          </cell>
          <cell r="Y35">
            <v>1.1000000000000001</v>
          </cell>
          <cell r="Z35">
            <v>1.2</v>
          </cell>
          <cell r="AA35">
            <v>1.2</v>
          </cell>
          <cell r="AB35">
            <v>34</v>
          </cell>
        </row>
        <row r="36">
          <cell r="A36">
            <v>35</v>
          </cell>
          <cell r="B36" t="str">
            <v>F2</v>
          </cell>
          <cell r="C36">
            <v>2</v>
          </cell>
          <cell r="D36" t="str">
            <v>green</v>
          </cell>
          <cell r="E36">
            <v>1.02</v>
          </cell>
          <cell r="F36">
            <v>0.98</v>
          </cell>
          <cell r="G36">
            <v>1</v>
          </cell>
          <cell r="H36" t="str">
            <v>technical</v>
          </cell>
          <cell r="I36" t="str">
            <v>テクニカルタイプ</v>
          </cell>
          <cell r="J36">
            <v>0.9</v>
          </cell>
          <cell r="K36">
            <v>0.9</v>
          </cell>
          <cell r="L36">
            <v>1</v>
          </cell>
          <cell r="M36" t="str">
            <v>machine</v>
          </cell>
          <cell r="N36" t="str">
            <v>マシン</v>
          </cell>
          <cell r="O36">
            <v>1</v>
          </cell>
          <cell r="P36">
            <v>1</v>
          </cell>
          <cell r="Q36">
            <v>1</v>
          </cell>
          <cell r="R36" t="str">
            <v>Normal</v>
          </cell>
          <cell r="S36">
            <v>1</v>
          </cell>
          <cell r="T36">
            <v>1</v>
          </cell>
          <cell r="U36">
            <v>1</v>
          </cell>
          <cell r="V36">
            <v>4</v>
          </cell>
          <cell r="W36">
            <v>1.2</v>
          </cell>
          <cell r="X36">
            <v>15</v>
          </cell>
          <cell r="Y36">
            <v>1</v>
          </cell>
          <cell r="Z36">
            <v>1</v>
          </cell>
          <cell r="AA36">
            <v>1</v>
          </cell>
          <cell r="AB36">
            <v>35</v>
          </cell>
        </row>
        <row r="37">
          <cell r="A37">
            <v>36</v>
          </cell>
          <cell r="B37" t="str">
            <v>オフィス追尾型移動地雷F3</v>
          </cell>
          <cell r="C37">
            <v>3</v>
          </cell>
          <cell r="D37" t="str">
            <v>green</v>
          </cell>
          <cell r="E37">
            <v>1.02</v>
          </cell>
          <cell r="F37">
            <v>0.98</v>
          </cell>
          <cell r="G37">
            <v>1</v>
          </cell>
          <cell r="H37" t="str">
            <v>technical</v>
          </cell>
          <cell r="I37" t="str">
            <v>テクニカルタイプ</v>
          </cell>
          <cell r="J37">
            <v>0.9</v>
          </cell>
          <cell r="K37">
            <v>0.9</v>
          </cell>
          <cell r="L37">
            <v>1</v>
          </cell>
          <cell r="M37" t="str">
            <v>machine</v>
          </cell>
          <cell r="N37" t="str">
            <v>マシン</v>
          </cell>
          <cell r="O37">
            <v>1</v>
          </cell>
          <cell r="P37">
            <v>1</v>
          </cell>
          <cell r="Q37">
            <v>1</v>
          </cell>
          <cell r="R37" t="str">
            <v>MiddleBoss</v>
          </cell>
          <cell r="S37">
            <v>3</v>
          </cell>
          <cell r="T37">
            <v>1.4</v>
          </cell>
          <cell r="U37">
            <v>0.8</v>
          </cell>
          <cell r="V37">
            <v>6</v>
          </cell>
          <cell r="W37">
            <v>3</v>
          </cell>
          <cell r="X37">
            <v>20</v>
          </cell>
          <cell r="Y37">
            <v>1.1000000000000001</v>
          </cell>
          <cell r="Z37">
            <v>1.2</v>
          </cell>
          <cell r="AA37">
            <v>1.2</v>
          </cell>
          <cell r="AB37">
            <v>36</v>
          </cell>
        </row>
        <row r="38">
          <cell r="A38">
            <v>37</v>
          </cell>
          <cell r="B38" t="str">
            <v>ガイル</v>
          </cell>
          <cell r="C38">
            <v>2</v>
          </cell>
          <cell r="D38" t="str">
            <v>blue</v>
          </cell>
          <cell r="E38">
            <v>1</v>
          </cell>
          <cell r="F38">
            <v>0.98</v>
          </cell>
          <cell r="G38">
            <v>1</v>
          </cell>
          <cell r="H38" t="str">
            <v>balance</v>
          </cell>
          <cell r="I38" t="str">
            <v>バランスタイプ</v>
          </cell>
          <cell r="J38">
            <v>1</v>
          </cell>
          <cell r="K38">
            <v>1</v>
          </cell>
          <cell r="L38">
            <v>1</v>
          </cell>
          <cell r="M38" t="str">
            <v>animal</v>
          </cell>
          <cell r="N38" t="str">
            <v>アニマル</v>
          </cell>
          <cell r="O38">
            <v>1</v>
          </cell>
          <cell r="P38">
            <v>1.1000000000000001</v>
          </cell>
          <cell r="Q38">
            <v>1</v>
          </cell>
          <cell r="R38" t="str">
            <v>Normal</v>
          </cell>
          <cell r="S38">
            <v>1</v>
          </cell>
          <cell r="T38">
            <v>1</v>
          </cell>
          <cell r="U38">
            <v>1</v>
          </cell>
          <cell r="V38">
            <v>3</v>
          </cell>
          <cell r="W38">
            <v>1</v>
          </cell>
          <cell r="X38">
            <v>15</v>
          </cell>
          <cell r="Y38">
            <v>1</v>
          </cell>
          <cell r="Z38">
            <v>1</v>
          </cell>
          <cell r="AA38">
            <v>1</v>
          </cell>
          <cell r="AB38">
            <v>37</v>
          </cell>
        </row>
        <row r="39">
          <cell r="A39">
            <v>38</v>
          </cell>
          <cell r="B39" t="str">
            <v>通話対応型 ガイル</v>
          </cell>
          <cell r="C39">
            <v>3</v>
          </cell>
          <cell r="D39" t="str">
            <v>blue</v>
          </cell>
          <cell r="E39">
            <v>1</v>
          </cell>
          <cell r="F39">
            <v>0.98</v>
          </cell>
          <cell r="G39">
            <v>1</v>
          </cell>
          <cell r="H39" t="str">
            <v>balance</v>
          </cell>
          <cell r="I39" t="str">
            <v>バランスタイプ</v>
          </cell>
          <cell r="J39">
            <v>1</v>
          </cell>
          <cell r="K39">
            <v>1</v>
          </cell>
          <cell r="L39">
            <v>1</v>
          </cell>
          <cell r="M39" t="str">
            <v>animal</v>
          </cell>
          <cell r="N39" t="str">
            <v>アニマル</v>
          </cell>
          <cell r="O39">
            <v>1</v>
          </cell>
          <cell r="P39">
            <v>1.1000000000000001</v>
          </cell>
          <cell r="Q39">
            <v>1</v>
          </cell>
          <cell r="R39" t="str">
            <v>MiddleBoss</v>
          </cell>
          <cell r="S39">
            <v>3</v>
          </cell>
          <cell r="T39">
            <v>1.4</v>
          </cell>
          <cell r="U39">
            <v>0.8</v>
          </cell>
          <cell r="V39">
            <v>3</v>
          </cell>
          <cell r="W39">
            <v>1</v>
          </cell>
          <cell r="X39">
            <v>20</v>
          </cell>
          <cell r="Y39">
            <v>1.1000000000000001</v>
          </cell>
          <cell r="Z39">
            <v>1.2</v>
          </cell>
          <cell r="AA39">
            <v>1.2</v>
          </cell>
          <cell r="AB39">
            <v>38</v>
          </cell>
        </row>
        <row r="40">
          <cell r="A40">
            <v>39</v>
          </cell>
          <cell r="B40" t="str">
            <v>マーロン</v>
          </cell>
          <cell r="C40">
            <v>2</v>
          </cell>
          <cell r="D40" t="str">
            <v>yellow</v>
          </cell>
          <cell r="E40">
            <v>0.98</v>
          </cell>
          <cell r="F40">
            <v>1.01</v>
          </cell>
          <cell r="G40">
            <v>1</v>
          </cell>
          <cell r="H40" t="str">
            <v>balance</v>
          </cell>
          <cell r="I40" t="str">
            <v>バランスタイプ</v>
          </cell>
          <cell r="J40">
            <v>1</v>
          </cell>
          <cell r="K40">
            <v>1</v>
          </cell>
          <cell r="L40">
            <v>1</v>
          </cell>
          <cell r="M40" t="str">
            <v>human</v>
          </cell>
          <cell r="N40" t="str">
            <v>ヒューマン</v>
          </cell>
          <cell r="O40">
            <v>0.94</v>
          </cell>
          <cell r="P40">
            <v>0.99</v>
          </cell>
          <cell r="Q40">
            <v>1</v>
          </cell>
          <cell r="R40" t="str">
            <v>Normal</v>
          </cell>
          <cell r="S40">
            <v>1</v>
          </cell>
          <cell r="T40">
            <v>1</v>
          </cell>
          <cell r="U40">
            <v>1</v>
          </cell>
          <cell r="V40">
            <v>3</v>
          </cell>
          <cell r="W40">
            <v>1</v>
          </cell>
          <cell r="X40">
            <v>15</v>
          </cell>
          <cell r="Y40">
            <v>1</v>
          </cell>
          <cell r="Z40">
            <v>1</v>
          </cell>
          <cell r="AA40">
            <v>1</v>
          </cell>
          <cell r="AB40">
            <v>39</v>
          </cell>
        </row>
        <row r="41">
          <cell r="A41">
            <v>40</v>
          </cell>
          <cell r="B41" t="str">
            <v>デジタルマジシャン マーロン</v>
          </cell>
          <cell r="C41">
            <v>3</v>
          </cell>
          <cell r="D41" t="str">
            <v>yellow</v>
          </cell>
          <cell r="E41">
            <v>0.98</v>
          </cell>
          <cell r="F41">
            <v>1.01</v>
          </cell>
          <cell r="G41">
            <v>1</v>
          </cell>
          <cell r="H41" t="str">
            <v>balance</v>
          </cell>
          <cell r="I41" t="str">
            <v>バランスタイプ</v>
          </cell>
          <cell r="J41">
            <v>1</v>
          </cell>
          <cell r="K41">
            <v>1</v>
          </cell>
          <cell r="L41">
            <v>1</v>
          </cell>
          <cell r="M41" t="str">
            <v>human</v>
          </cell>
          <cell r="N41" t="str">
            <v>ヒューマン</v>
          </cell>
          <cell r="O41">
            <v>0.94</v>
          </cell>
          <cell r="P41">
            <v>0.99</v>
          </cell>
          <cell r="Q41">
            <v>1</v>
          </cell>
          <cell r="R41" t="str">
            <v>MiddleBoss</v>
          </cell>
          <cell r="S41">
            <v>3</v>
          </cell>
          <cell r="T41">
            <v>1.4</v>
          </cell>
          <cell r="U41">
            <v>0.8</v>
          </cell>
          <cell r="V41">
            <v>3</v>
          </cell>
          <cell r="W41">
            <v>1</v>
          </cell>
          <cell r="X41">
            <v>20</v>
          </cell>
          <cell r="Y41">
            <v>1.1000000000000001</v>
          </cell>
          <cell r="Z41">
            <v>1.2</v>
          </cell>
          <cell r="AA41">
            <v>1.2</v>
          </cell>
          <cell r="AB41">
            <v>40</v>
          </cell>
        </row>
        <row r="42">
          <cell r="A42">
            <v>41</v>
          </cell>
          <cell r="B42" t="str">
            <v>ヒュウガ</v>
          </cell>
          <cell r="C42">
            <v>2</v>
          </cell>
          <cell r="D42" t="str">
            <v>red</v>
          </cell>
          <cell r="E42">
            <v>1</v>
          </cell>
          <cell r="F42">
            <v>1.02</v>
          </cell>
          <cell r="G42">
            <v>1</v>
          </cell>
          <cell r="H42" t="str">
            <v>attack</v>
          </cell>
          <cell r="I42" t="str">
            <v>攻撃タイプ</v>
          </cell>
          <cell r="J42">
            <v>1</v>
          </cell>
          <cell r="K42">
            <v>1.33</v>
          </cell>
          <cell r="L42">
            <v>1</v>
          </cell>
          <cell r="M42" t="str">
            <v>dragon</v>
          </cell>
          <cell r="N42" t="str">
            <v>ドラゴン</v>
          </cell>
          <cell r="O42">
            <v>1.1499999999999999</v>
          </cell>
          <cell r="P42">
            <v>1.1000000000000001</v>
          </cell>
          <cell r="Q42">
            <v>1</v>
          </cell>
          <cell r="R42" t="str">
            <v>Normal</v>
          </cell>
          <cell r="S42">
            <v>1</v>
          </cell>
          <cell r="T42">
            <v>1</v>
          </cell>
          <cell r="U42">
            <v>1</v>
          </cell>
          <cell r="V42">
            <v>1</v>
          </cell>
          <cell r="W42">
            <v>0.55000000000000004</v>
          </cell>
          <cell r="X42">
            <v>15</v>
          </cell>
          <cell r="Y42">
            <v>1</v>
          </cell>
          <cell r="Z42">
            <v>1</v>
          </cell>
          <cell r="AA42">
            <v>1</v>
          </cell>
          <cell r="AB42">
            <v>0</v>
          </cell>
        </row>
        <row r="43">
          <cell r="A43">
            <v>42</v>
          </cell>
          <cell r="B43" t="str">
            <v>燃えゆる吐息 ヒュウガ</v>
          </cell>
          <cell r="C43">
            <v>3</v>
          </cell>
          <cell r="D43" t="str">
            <v>red</v>
          </cell>
          <cell r="E43">
            <v>1</v>
          </cell>
          <cell r="F43">
            <v>1.02</v>
          </cell>
          <cell r="G43">
            <v>1</v>
          </cell>
          <cell r="H43" t="str">
            <v>attack</v>
          </cell>
          <cell r="I43" t="str">
            <v>攻撃タイプ</v>
          </cell>
          <cell r="J43">
            <v>1</v>
          </cell>
          <cell r="K43">
            <v>1.33</v>
          </cell>
          <cell r="L43">
            <v>1</v>
          </cell>
          <cell r="M43" t="str">
            <v>dragon</v>
          </cell>
          <cell r="N43" t="str">
            <v>ドラゴン</v>
          </cell>
          <cell r="O43">
            <v>1.1499999999999999</v>
          </cell>
          <cell r="P43">
            <v>1.1000000000000001</v>
          </cell>
          <cell r="Q43">
            <v>1</v>
          </cell>
          <cell r="R43" t="str">
            <v>MiddleBoss</v>
          </cell>
          <cell r="S43">
            <v>3</v>
          </cell>
          <cell r="T43">
            <v>1.4</v>
          </cell>
          <cell r="U43">
            <v>0.8</v>
          </cell>
          <cell r="V43">
            <v>1</v>
          </cell>
          <cell r="W43">
            <v>0.55000000000000004</v>
          </cell>
          <cell r="X43">
            <v>20</v>
          </cell>
          <cell r="Y43">
            <v>1.1000000000000001</v>
          </cell>
          <cell r="Z43">
            <v>1.2</v>
          </cell>
          <cell r="AA43">
            <v>1.2</v>
          </cell>
          <cell r="AB43">
            <v>0</v>
          </cell>
        </row>
        <row r="44">
          <cell r="A44">
            <v>43</v>
          </cell>
          <cell r="B44" t="str">
            <v>ムゥ</v>
          </cell>
          <cell r="C44">
            <v>2</v>
          </cell>
          <cell r="D44" t="str">
            <v>green</v>
          </cell>
          <cell r="E44">
            <v>1.02</v>
          </cell>
          <cell r="F44">
            <v>0.98</v>
          </cell>
          <cell r="G44">
            <v>1</v>
          </cell>
          <cell r="H44" t="str">
            <v>technical</v>
          </cell>
          <cell r="I44" t="str">
            <v>テクニカルタイプ</v>
          </cell>
          <cell r="J44">
            <v>0.9</v>
          </cell>
          <cell r="K44">
            <v>0.9</v>
          </cell>
          <cell r="L44">
            <v>1</v>
          </cell>
          <cell r="M44" t="str">
            <v>dragon</v>
          </cell>
          <cell r="N44" t="str">
            <v>ドラゴン</v>
          </cell>
          <cell r="O44">
            <v>1.1499999999999999</v>
          </cell>
          <cell r="P44">
            <v>1.1000000000000001</v>
          </cell>
          <cell r="Q44">
            <v>1</v>
          </cell>
          <cell r="R44" t="str">
            <v>Normal</v>
          </cell>
          <cell r="S44">
            <v>1</v>
          </cell>
          <cell r="T44">
            <v>1</v>
          </cell>
          <cell r="U44">
            <v>1</v>
          </cell>
          <cell r="V44">
            <v>2</v>
          </cell>
          <cell r="W44">
            <v>0.75</v>
          </cell>
          <cell r="X44">
            <v>15</v>
          </cell>
          <cell r="Y44">
            <v>1</v>
          </cell>
          <cell r="Z44">
            <v>1</v>
          </cell>
          <cell r="AA44">
            <v>1</v>
          </cell>
          <cell r="AB44">
            <v>0</v>
          </cell>
        </row>
        <row r="45">
          <cell r="A45">
            <v>44</v>
          </cell>
          <cell r="B45" t="str">
            <v>遠い星からやってきたムゥ</v>
          </cell>
          <cell r="C45">
            <v>3</v>
          </cell>
          <cell r="D45" t="str">
            <v>green</v>
          </cell>
          <cell r="E45">
            <v>1.02</v>
          </cell>
          <cell r="F45">
            <v>0.98</v>
          </cell>
          <cell r="G45">
            <v>1</v>
          </cell>
          <cell r="H45" t="str">
            <v>technical</v>
          </cell>
          <cell r="I45" t="str">
            <v>テクニカルタイプ</v>
          </cell>
          <cell r="J45">
            <v>0.9</v>
          </cell>
          <cell r="K45">
            <v>0.9</v>
          </cell>
          <cell r="L45">
            <v>1</v>
          </cell>
          <cell r="M45" t="str">
            <v>dragon</v>
          </cell>
          <cell r="N45" t="str">
            <v>ドラゴン</v>
          </cell>
          <cell r="O45">
            <v>1.1499999999999999</v>
          </cell>
          <cell r="P45">
            <v>1.1000000000000001</v>
          </cell>
          <cell r="Q45">
            <v>1</v>
          </cell>
          <cell r="R45" t="str">
            <v>MiddleBoss</v>
          </cell>
          <cell r="S45">
            <v>3</v>
          </cell>
          <cell r="T45">
            <v>1.4</v>
          </cell>
          <cell r="U45">
            <v>0.8</v>
          </cell>
          <cell r="V45">
            <v>2</v>
          </cell>
          <cell r="W45">
            <v>0.75</v>
          </cell>
          <cell r="X45">
            <v>20</v>
          </cell>
          <cell r="Y45">
            <v>1.1000000000000001</v>
          </cell>
          <cell r="Z45">
            <v>1.2</v>
          </cell>
          <cell r="AA45">
            <v>1.2</v>
          </cell>
          <cell r="AB45">
            <v>0</v>
          </cell>
        </row>
        <row r="46">
          <cell r="A46">
            <v>45</v>
          </cell>
          <cell r="B46" t="str">
            <v>ショウイン</v>
          </cell>
          <cell r="C46">
            <v>2</v>
          </cell>
          <cell r="D46" t="str">
            <v>blue</v>
          </cell>
          <cell r="E46">
            <v>1</v>
          </cell>
          <cell r="F46">
            <v>0.98</v>
          </cell>
          <cell r="G46">
            <v>1</v>
          </cell>
          <cell r="H46" t="str">
            <v>hp</v>
          </cell>
          <cell r="I46" t="str">
            <v>体力タイプ</v>
          </cell>
          <cell r="J46">
            <v>1.45</v>
          </cell>
          <cell r="K46">
            <v>0.85</v>
          </cell>
          <cell r="L46">
            <v>1</v>
          </cell>
          <cell r="M46" t="str">
            <v>animal</v>
          </cell>
          <cell r="N46" t="str">
            <v>アニマル</v>
          </cell>
          <cell r="O46">
            <v>1</v>
          </cell>
          <cell r="P46">
            <v>1.1000000000000001</v>
          </cell>
          <cell r="Q46">
            <v>1</v>
          </cell>
          <cell r="R46" t="str">
            <v>Normal</v>
          </cell>
          <cell r="S46">
            <v>1</v>
          </cell>
          <cell r="T46">
            <v>1</v>
          </cell>
          <cell r="U46">
            <v>1</v>
          </cell>
          <cell r="V46">
            <v>3</v>
          </cell>
          <cell r="W46">
            <v>1</v>
          </cell>
          <cell r="X46">
            <v>15</v>
          </cell>
          <cell r="Y46">
            <v>1</v>
          </cell>
          <cell r="Z46">
            <v>1</v>
          </cell>
          <cell r="AA46">
            <v>1</v>
          </cell>
          <cell r="AB46">
            <v>0</v>
          </cell>
        </row>
        <row r="47">
          <cell r="A47">
            <v>46</v>
          </cell>
          <cell r="B47" t="str">
            <v>微笑みの筆跡 ショウイン</v>
          </cell>
          <cell r="C47">
            <v>3</v>
          </cell>
          <cell r="D47" t="str">
            <v>blue</v>
          </cell>
          <cell r="E47">
            <v>1</v>
          </cell>
          <cell r="F47">
            <v>0.98</v>
          </cell>
          <cell r="G47">
            <v>1</v>
          </cell>
          <cell r="H47" t="str">
            <v>hp</v>
          </cell>
          <cell r="I47" t="str">
            <v>体力タイプ</v>
          </cell>
          <cell r="J47">
            <v>1.45</v>
          </cell>
          <cell r="K47">
            <v>0.85</v>
          </cell>
          <cell r="L47">
            <v>1</v>
          </cell>
          <cell r="M47" t="str">
            <v>animal</v>
          </cell>
          <cell r="N47" t="str">
            <v>アニマル</v>
          </cell>
          <cell r="O47">
            <v>1</v>
          </cell>
          <cell r="P47">
            <v>1.1000000000000001</v>
          </cell>
          <cell r="Q47">
            <v>1</v>
          </cell>
          <cell r="R47" t="str">
            <v>MiddleBoss</v>
          </cell>
          <cell r="S47">
            <v>3</v>
          </cell>
          <cell r="T47">
            <v>1.4</v>
          </cell>
          <cell r="U47">
            <v>0.8</v>
          </cell>
          <cell r="V47">
            <v>3</v>
          </cell>
          <cell r="W47">
            <v>1</v>
          </cell>
          <cell r="X47">
            <v>20</v>
          </cell>
          <cell r="Y47">
            <v>1.1000000000000001</v>
          </cell>
          <cell r="Z47">
            <v>1.2</v>
          </cell>
          <cell r="AA47">
            <v>1.2</v>
          </cell>
          <cell r="AB47">
            <v>0</v>
          </cell>
        </row>
        <row r="48">
          <cell r="A48">
            <v>47</v>
          </cell>
          <cell r="B48" t="str">
            <v>ヒロ</v>
          </cell>
          <cell r="C48">
            <v>2</v>
          </cell>
          <cell r="D48" t="str">
            <v>yellow</v>
          </cell>
          <cell r="E48">
            <v>0.98</v>
          </cell>
          <cell r="F48">
            <v>1.01</v>
          </cell>
          <cell r="G48">
            <v>1</v>
          </cell>
          <cell r="H48" t="str">
            <v>attack</v>
          </cell>
          <cell r="I48" t="str">
            <v>攻撃タイプ</v>
          </cell>
          <cell r="J48">
            <v>1</v>
          </cell>
          <cell r="K48">
            <v>1.33</v>
          </cell>
          <cell r="L48">
            <v>1</v>
          </cell>
          <cell r="M48" t="str">
            <v>animal</v>
          </cell>
          <cell r="N48" t="str">
            <v>アニマル</v>
          </cell>
          <cell r="O48">
            <v>1</v>
          </cell>
          <cell r="P48">
            <v>1.1000000000000001</v>
          </cell>
          <cell r="Q48">
            <v>1</v>
          </cell>
          <cell r="R48" t="str">
            <v>Normal</v>
          </cell>
          <cell r="S48">
            <v>1</v>
          </cell>
          <cell r="T48">
            <v>1</v>
          </cell>
          <cell r="U48">
            <v>1</v>
          </cell>
          <cell r="V48">
            <v>1</v>
          </cell>
          <cell r="W48">
            <v>0.55000000000000004</v>
          </cell>
          <cell r="X48">
            <v>15</v>
          </cell>
          <cell r="Y48">
            <v>1</v>
          </cell>
          <cell r="Z48">
            <v>1</v>
          </cell>
          <cell r="AA48">
            <v>1</v>
          </cell>
          <cell r="AB48">
            <v>0</v>
          </cell>
        </row>
        <row r="49">
          <cell r="A49">
            <v>48</v>
          </cell>
          <cell r="B49" t="str">
            <v>サンダーステップのヒロ</v>
          </cell>
          <cell r="C49">
            <v>3</v>
          </cell>
          <cell r="D49" t="str">
            <v>yellow</v>
          </cell>
          <cell r="E49">
            <v>0.98</v>
          </cell>
          <cell r="F49">
            <v>1.01</v>
          </cell>
          <cell r="G49">
            <v>1</v>
          </cell>
          <cell r="H49" t="str">
            <v>attack</v>
          </cell>
          <cell r="I49" t="str">
            <v>攻撃タイプ</v>
          </cell>
          <cell r="J49">
            <v>1</v>
          </cell>
          <cell r="K49">
            <v>1.33</v>
          </cell>
          <cell r="L49">
            <v>1</v>
          </cell>
          <cell r="M49" t="str">
            <v>animal</v>
          </cell>
          <cell r="N49" t="str">
            <v>アニマル</v>
          </cell>
          <cell r="O49">
            <v>1</v>
          </cell>
          <cell r="P49">
            <v>1.1000000000000001</v>
          </cell>
          <cell r="Q49">
            <v>1</v>
          </cell>
          <cell r="R49" t="str">
            <v>MiddleBoss</v>
          </cell>
          <cell r="S49">
            <v>3</v>
          </cell>
          <cell r="T49">
            <v>1.4</v>
          </cell>
          <cell r="U49">
            <v>0.8</v>
          </cell>
          <cell r="V49">
            <v>1</v>
          </cell>
          <cell r="W49">
            <v>0.55000000000000004</v>
          </cell>
          <cell r="X49">
            <v>20</v>
          </cell>
          <cell r="Y49">
            <v>1.1000000000000001</v>
          </cell>
          <cell r="Z49">
            <v>1.2</v>
          </cell>
          <cell r="AA49">
            <v>1.2</v>
          </cell>
          <cell r="AB49">
            <v>0</v>
          </cell>
        </row>
        <row r="50">
          <cell r="A50">
            <v>49</v>
          </cell>
          <cell r="B50" t="str">
            <v>ヨシタカ</v>
          </cell>
          <cell r="C50">
            <v>2</v>
          </cell>
          <cell r="D50" t="str">
            <v>red</v>
          </cell>
          <cell r="E50">
            <v>1</v>
          </cell>
          <cell r="F50">
            <v>1.02</v>
          </cell>
          <cell r="G50">
            <v>1</v>
          </cell>
          <cell r="H50" t="str">
            <v>hp</v>
          </cell>
          <cell r="I50" t="str">
            <v>体力タイプ</v>
          </cell>
          <cell r="J50">
            <v>1.45</v>
          </cell>
          <cell r="K50">
            <v>0.85</v>
          </cell>
          <cell r="L50">
            <v>1</v>
          </cell>
          <cell r="M50" t="str">
            <v>human</v>
          </cell>
          <cell r="N50" t="str">
            <v>ヒューマン</v>
          </cell>
          <cell r="O50">
            <v>0.94</v>
          </cell>
          <cell r="P50">
            <v>0.99</v>
          </cell>
          <cell r="Q50">
            <v>1</v>
          </cell>
          <cell r="R50" t="str">
            <v>Normal</v>
          </cell>
          <cell r="S50">
            <v>1</v>
          </cell>
          <cell r="T50">
            <v>1</v>
          </cell>
          <cell r="U50">
            <v>1</v>
          </cell>
          <cell r="V50">
            <v>2</v>
          </cell>
          <cell r="W50">
            <v>0.75</v>
          </cell>
          <cell r="X50">
            <v>15</v>
          </cell>
          <cell r="Y50">
            <v>1</v>
          </cell>
          <cell r="Z50">
            <v>1</v>
          </cell>
          <cell r="AA50">
            <v>1</v>
          </cell>
          <cell r="AB50">
            <v>49</v>
          </cell>
        </row>
        <row r="51">
          <cell r="A51">
            <v>50</v>
          </cell>
          <cell r="B51" t="str">
            <v>炎銃のレジスタンス ヨシタカ</v>
          </cell>
          <cell r="C51">
            <v>3</v>
          </cell>
          <cell r="D51" t="str">
            <v>red</v>
          </cell>
          <cell r="E51">
            <v>1</v>
          </cell>
          <cell r="F51">
            <v>1.02</v>
          </cell>
          <cell r="G51">
            <v>1</v>
          </cell>
          <cell r="H51" t="str">
            <v>hp</v>
          </cell>
          <cell r="I51" t="str">
            <v>体力タイプ</v>
          </cell>
          <cell r="J51">
            <v>1.45</v>
          </cell>
          <cell r="K51">
            <v>0.85</v>
          </cell>
          <cell r="L51">
            <v>1</v>
          </cell>
          <cell r="M51" t="str">
            <v>human</v>
          </cell>
          <cell r="N51" t="str">
            <v>ヒューマン</v>
          </cell>
          <cell r="O51">
            <v>0.94</v>
          </cell>
          <cell r="P51">
            <v>0.99</v>
          </cell>
          <cell r="Q51">
            <v>1</v>
          </cell>
          <cell r="R51" t="str">
            <v>MiddleBoss</v>
          </cell>
          <cell r="S51">
            <v>3</v>
          </cell>
          <cell r="T51">
            <v>1.4</v>
          </cell>
          <cell r="U51">
            <v>0.8</v>
          </cell>
          <cell r="V51">
            <v>2</v>
          </cell>
          <cell r="W51">
            <v>0.75</v>
          </cell>
          <cell r="X51">
            <v>20</v>
          </cell>
          <cell r="Y51">
            <v>1.1000000000000001</v>
          </cell>
          <cell r="Z51">
            <v>1.2</v>
          </cell>
          <cell r="AA51">
            <v>1.2</v>
          </cell>
          <cell r="AB51">
            <v>50</v>
          </cell>
        </row>
        <row r="52">
          <cell r="A52">
            <v>51</v>
          </cell>
          <cell r="B52" t="str">
            <v>マイ</v>
          </cell>
          <cell r="C52">
            <v>2</v>
          </cell>
          <cell r="D52" t="str">
            <v>green</v>
          </cell>
          <cell r="E52">
            <v>1.02</v>
          </cell>
          <cell r="F52">
            <v>0.98</v>
          </cell>
          <cell r="G52">
            <v>1</v>
          </cell>
          <cell r="H52" t="str">
            <v>attack</v>
          </cell>
          <cell r="I52" t="str">
            <v>攻撃タイプ</v>
          </cell>
          <cell r="J52">
            <v>1</v>
          </cell>
          <cell r="K52">
            <v>1.33</v>
          </cell>
          <cell r="L52">
            <v>1</v>
          </cell>
          <cell r="M52" t="str">
            <v>human</v>
          </cell>
          <cell r="N52" t="str">
            <v>ヒューマン</v>
          </cell>
          <cell r="O52">
            <v>0.94</v>
          </cell>
          <cell r="P52">
            <v>0.99</v>
          </cell>
          <cell r="Q52">
            <v>1</v>
          </cell>
          <cell r="R52" t="str">
            <v>Normal</v>
          </cell>
          <cell r="S52">
            <v>1</v>
          </cell>
          <cell r="T52">
            <v>1</v>
          </cell>
          <cell r="U52">
            <v>1</v>
          </cell>
          <cell r="V52">
            <v>2</v>
          </cell>
          <cell r="W52">
            <v>0.75</v>
          </cell>
          <cell r="X52">
            <v>15</v>
          </cell>
          <cell r="Y52">
            <v>1</v>
          </cell>
          <cell r="Z52">
            <v>1</v>
          </cell>
          <cell r="AA52">
            <v>1</v>
          </cell>
          <cell r="AB52">
            <v>51</v>
          </cell>
        </row>
        <row r="53">
          <cell r="A53">
            <v>52</v>
          </cell>
          <cell r="B53" t="str">
            <v>翠槍のレジスタンス マイ</v>
          </cell>
          <cell r="C53">
            <v>3</v>
          </cell>
          <cell r="D53" t="str">
            <v>green</v>
          </cell>
          <cell r="E53">
            <v>1.02</v>
          </cell>
          <cell r="F53">
            <v>0.98</v>
          </cell>
          <cell r="G53">
            <v>1</v>
          </cell>
          <cell r="H53" t="str">
            <v>attack</v>
          </cell>
          <cell r="I53" t="str">
            <v>攻撃タイプ</v>
          </cell>
          <cell r="J53">
            <v>1</v>
          </cell>
          <cell r="K53">
            <v>1.33</v>
          </cell>
          <cell r="L53">
            <v>1</v>
          </cell>
          <cell r="M53" t="str">
            <v>human</v>
          </cell>
          <cell r="N53" t="str">
            <v>ヒューマン</v>
          </cell>
          <cell r="O53">
            <v>0.94</v>
          </cell>
          <cell r="P53">
            <v>0.99</v>
          </cell>
          <cell r="Q53">
            <v>1</v>
          </cell>
          <cell r="R53" t="str">
            <v>MiddleBoss</v>
          </cell>
          <cell r="S53">
            <v>3</v>
          </cell>
          <cell r="T53">
            <v>1.4</v>
          </cell>
          <cell r="U53">
            <v>0.8</v>
          </cell>
          <cell r="V53">
            <v>2</v>
          </cell>
          <cell r="W53">
            <v>0.75</v>
          </cell>
          <cell r="X53">
            <v>20</v>
          </cell>
          <cell r="Y53">
            <v>1.1000000000000001</v>
          </cell>
          <cell r="Z53">
            <v>1.2</v>
          </cell>
          <cell r="AA53">
            <v>1.2</v>
          </cell>
          <cell r="AB53">
            <v>51</v>
          </cell>
        </row>
        <row r="54">
          <cell r="A54">
            <v>53</v>
          </cell>
          <cell r="B54" t="str">
            <v>ケンジ</v>
          </cell>
          <cell r="C54">
            <v>2</v>
          </cell>
          <cell r="D54" t="str">
            <v>blue</v>
          </cell>
          <cell r="E54">
            <v>1</v>
          </cell>
          <cell r="F54">
            <v>0.98</v>
          </cell>
          <cell r="G54">
            <v>1</v>
          </cell>
          <cell r="H54" t="str">
            <v>balance</v>
          </cell>
          <cell r="I54" t="str">
            <v>バランスタイプ</v>
          </cell>
          <cell r="J54">
            <v>1</v>
          </cell>
          <cell r="K54">
            <v>1</v>
          </cell>
          <cell r="L54">
            <v>1</v>
          </cell>
          <cell r="M54" t="str">
            <v>human</v>
          </cell>
          <cell r="N54" t="str">
            <v>ヒューマン</v>
          </cell>
          <cell r="O54">
            <v>0.94</v>
          </cell>
          <cell r="P54">
            <v>0.99</v>
          </cell>
          <cell r="Q54">
            <v>1</v>
          </cell>
          <cell r="R54" t="str">
            <v>Normal</v>
          </cell>
          <cell r="S54">
            <v>1</v>
          </cell>
          <cell r="T54">
            <v>1</v>
          </cell>
          <cell r="U54">
            <v>1</v>
          </cell>
          <cell r="V54">
            <v>2</v>
          </cell>
          <cell r="W54">
            <v>0.75</v>
          </cell>
          <cell r="X54">
            <v>15</v>
          </cell>
          <cell r="Y54">
            <v>1</v>
          </cell>
          <cell r="Z54">
            <v>1</v>
          </cell>
          <cell r="AA54">
            <v>1</v>
          </cell>
          <cell r="AB54">
            <v>53</v>
          </cell>
        </row>
        <row r="55">
          <cell r="A55">
            <v>54</v>
          </cell>
          <cell r="B55" t="str">
            <v>蒼斬のレジスタンス ケンジ</v>
          </cell>
          <cell r="C55">
            <v>3</v>
          </cell>
          <cell r="D55" t="str">
            <v>blue</v>
          </cell>
          <cell r="E55">
            <v>1</v>
          </cell>
          <cell r="F55">
            <v>0.98</v>
          </cell>
          <cell r="G55">
            <v>1</v>
          </cell>
          <cell r="H55" t="str">
            <v>balance</v>
          </cell>
          <cell r="I55" t="str">
            <v>バランスタイプ</v>
          </cell>
          <cell r="J55">
            <v>1</v>
          </cell>
          <cell r="K55">
            <v>1</v>
          </cell>
          <cell r="L55">
            <v>1</v>
          </cell>
          <cell r="M55" t="str">
            <v>human</v>
          </cell>
          <cell r="N55" t="str">
            <v>ヒューマン</v>
          </cell>
          <cell r="O55">
            <v>0.94</v>
          </cell>
          <cell r="P55">
            <v>0.99</v>
          </cell>
          <cell r="Q55">
            <v>1</v>
          </cell>
          <cell r="R55" t="str">
            <v>MiddleBoss</v>
          </cell>
          <cell r="S55">
            <v>3</v>
          </cell>
          <cell r="T55">
            <v>1.4</v>
          </cell>
          <cell r="U55">
            <v>0.8</v>
          </cell>
          <cell r="V55">
            <v>2</v>
          </cell>
          <cell r="W55">
            <v>0.75</v>
          </cell>
          <cell r="X55">
            <v>20</v>
          </cell>
          <cell r="Y55">
            <v>1.1000000000000001</v>
          </cell>
          <cell r="Z55">
            <v>1.2</v>
          </cell>
          <cell r="AA55">
            <v>1.2</v>
          </cell>
          <cell r="AB55">
            <v>53</v>
          </cell>
        </row>
        <row r="56">
          <cell r="A56">
            <v>55</v>
          </cell>
          <cell r="B56" t="str">
            <v>マミコ</v>
          </cell>
          <cell r="C56">
            <v>2</v>
          </cell>
          <cell r="D56" t="str">
            <v>yellow</v>
          </cell>
          <cell r="E56">
            <v>0.98</v>
          </cell>
          <cell r="F56">
            <v>1.01</v>
          </cell>
          <cell r="G56">
            <v>1</v>
          </cell>
          <cell r="H56" t="str">
            <v>balance</v>
          </cell>
          <cell r="I56" t="str">
            <v>バランスタイプ</v>
          </cell>
          <cell r="J56">
            <v>1</v>
          </cell>
          <cell r="K56">
            <v>1</v>
          </cell>
          <cell r="L56">
            <v>1</v>
          </cell>
          <cell r="M56" t="str">
            <v>human</v>
          </cell>
          <cell r="N56" t="str">
            <v>ヒューマン</v>
          </cell>
          <cell r="O56">
            <v>0.94</v>
          </cell>
          <cell r="P56">
            <v>0.99</v>
          </cell>
          <cell r="Q56">
            <v>1</v>
          </cell>
          <cell r="R56" t="str">
            <v>Normal</v>
          </cell>
          <cell r="S56">
            <v>1</v>
          </cell>
          <cell r="T56">
            <v>1</v>
          </cell>
          <cell r="U56">
            <v>1</v>
          </cell>
          <cell r="V56">
            <v>4</v>
          </cell>
          <cell r="W56">
            <v>1.2</v>
          </cell>
          <cell r="X56">
            <v>15</v>
          </cell>
          <cell r="Y56">
            <v>1</v>
          </cell>
          <cell r="Z56">
            <v>1</v>
          </cell>
          <cell r="AA56">
            <v>1</v>
          </cell>
          <cell r="AB56">
            <v>55</v>
          </cell>
        </row>
        <row r="57">
          <cell r="A57">
            <v>56</v>
          </cell>
          <cell r="B57" t="str">
            <v>黄槌のレジスタンス マミコ</v>
          </cell>
          <cell r="C57">
            <v>3</v>
          </cell>
          <cell r="D57" t="str">
            <v>yellow</v>
          </cell>
          <cell r="E57">
            <v>0.98</v>
          </cell>
          <cell r="F57">
            <v>1.01</v>
          </cell>
          <cell r="G57">
            <v>1</v>
          </cell>
          <cell r="H57" t="str">
            <v>balance</v>
          </cell>
          <cell r="I57" t="str">
            <v>バランスタイプ</v>
          </cell>
          <cell r="J57">
            <v>1</v>
          </cell>
          <cell r="K57">
            <v>1</v>
          </cell>
          <cell r="L57">
            <v>1</v>
          </cell>
          <cell r="M57" t="str">
            <v>human</v>
          </cell>
          <cell r="N57" t="str">
            <v>ヒューマン</v>
          </cell>
          <cell r="O57">
            <v>0.94</v>
          </cell>
          <cell r="P57">
            <v>0.99</v>
          </cell>
          <cell r="Q57">
            <v>1</v>
          </cell>
          <cell r="R57" t="str">
            <v>MiddleBoss</v>
          </cell>
          <cell r="S57">
            <v>3</v>
          </cell>
          <cell r="T57">
            <v>1.4</v>
          </cell>
          <cell r="U57">
            <v>0.8</v>
          </cell>
          <cell r="V57">
            <v>4</v>
          </cell>
          <cell r="W57">
            <v>1.2</v>
          </cell>
          <cell r="X57">
            <v>20</v>
          </cell>
          <cell r="Y57">
            <v>1.1000000000000001</v>
          </cell>
          <cell r="Z57">
            <v>1.2</v>
          </cell>
          <cell r="AA57">
            <v>1.2</v>
          </cell>
          <cell r="AB57">
            <v>56</v>
          </cell>
        </row>
        <row r="58">
          <cell r="A58">
            <v>57</v>
          </cell>
          <cell r="B58" t="str">
            <v>チェン・リー</v>
          </cell>
          <cell r="C58">
            <v>2</v>
          </cell>
          <cell r="D58" t="str">
            <v>red</v>
          </cell>
          <cell r="E58">
            <v>1</v>
          </cell>
          <cell r="F58">
            <v>1.02</v>
          </cell>
          <cell r="G58">
            <v>1</v>
          </cell>
          <cell r="H58" t="str">
            <v>balance</v>
          </cell>
          <cell r="I58" t="str">
            <v>バランスタイプ</v>
          </cell>
          <cell r="J58">
            <v>1</v>
          </cell>
          <cell r="K58">
            <v>1</v>
          </cell>
          <cell r="L58">
            <v>1</v>
          </cell>
          <cell r="M58" t="str">
            <v>animal</v>
          </cell>
          <cell r="N58" t="str">
            <v>アニマル</v>
          </cell>
          <cell r="O58">
            <v>1</v>
          </cell>
          <cell r="P58">
            <v>1.1000000000000001</v>
          </cell>
          <cell r="Q58">
            <v>1</v>
          </cell>
          <cell r="R58" t="str">
            <v>Normal</v>
          </cell>
          <cell r="S58">
            <v>1</v>
          </cell>
          <cell r="T58">
            <v>1</v>
          </cell>
          <cell r="U58">
            <v>1</v>
          </cell>
          <cell r="V58">
            <v>2</v>
          </cell>
          <cell r="W58">
            <v>0.75</v>
          </cell>
          <cell r="X58">
            <v>15</v>
          </cell>
          <cell r="Y58">
            <v>1</v>
          </cell>
          <cell r="Z58">
            <v>1</v>
          </cell>
          <cell r="AA58">
            <v>1</v>
          </cell>
          <cell r="AB58">
            <v>57</v>
          </cell>
        </row>
        <row r="59">
          <cell r="A59">
            <v>58</v>
          </cell>
          <cell r="B59" t="str">
            <v>ドランクマスター チェン・リー</v>
          </cell>
          <cell r="C59">
            <v>3</v>
          </cell>
          <cell r="D59" t="str">
            <v>red</v>
          </cell>
          <cell r="E59">
            <v>1</v>
          </cell>
          <cell r="F59">
            <v>1.02</v>
          </cell>
          <cell r="G59">
            <v>1</v>
          </cell>
          <cell r="H59" t="str">
            <v>balance</v>
          </cell>
          <cell r="I59" t="str">
            <v>バランスタイプ</v>
          </cell>
          <cell r="J59">
            <v>1</v>
          </cell>
          <cell r="K59">
            <v>1</v>
          </cell>
          <cell r="L59">
            <v>1</v>
          </cell>
          <cell r="M59" t="str">
            <v>animal</v>
          </cell>
          <cell r="N59" t="str">
            <v>アニマル</v>
          </cell>
          <cell r="O59">
            <v>1</v>
          </cell>
          <cell r="P59">
            <v>1.1000000000000001</v>
          </cell>
          <cell r="Q59">
            <v>1</v>
          </cell>
          <cell r="R59" t="str">
            <v>MiddleBoss</v>
          </cell>
          <cell r="S59">
            <v>3</v>
          </cell>
          <cell r="T59">
            <v>1.4</v>
          </cell>
          <cell r="U59">
            <v>0.8</v>
          </cell>
          <cell r="V59">
            <v>2</v>
          </cell>
          <cell r="W59">
            <v>0.75</v>
          </cell>
          <cell r="X59">
            <v>20</v>
          </cell>
          <cell r="Y59">
            <v>1.1000000000000001</v>
          </cell>
          <cell r="Z59">
            <v>1.2</v>
          </cell>
          <cell r="AA59">
            <v>1.2</v>
          </cell>
          <cell r="AB59">
            <v>0</v>
          </cell>
        </row>
        <row r="60">
          <cell r="A60">
            <v>59</v>
          </cell>
          <cell r="B60" t="str">
            <v>マーチ</v>
          </cell>
          <cell r="C60">
            <v>2</v>
          </cell>
          <cell r="D60" t="str">
            <v>green</v>
          </cell>
          <cell r="E60">
            <v>1.02</v>
          </cell>
          <cell r="F60">
            <v>0.98</v>
          </cell>
          <cell r="G60">
            <v>1</v>
          </cell>
          <cell r="H60" t="str">
            <v>heal</v>
          </cell>
          <cell r="I60" t="str">
            <v>回復タイプ</v>
          </cell>
          <cell r="J60">
            <v>0.8</v>
          </cell>
          <cell r="K60">
            <v>0.78</v>
          </cell>
          <cell r="L60">
            <v>1</v>
          </cell>
          <cell r="M60" t="str">
            <v>animal</v>
          </cell>
          <cell r="N60" t="str">
            <v>アニマル</v>
          </cell>
          <cell r="O60">
            <v>1</v>
          </cell>
          <cell r="P60">
            <v>1.1000000000000001</v>
          </cell>
          <cell r="Q60">
            <v>1</v>
          </cell>
          <cell r="R60" t="str">
            <v>Normal</v>
          </cell>
          <cell r="S60">
            <v>1</v>
          </cell>
          <cell r="T60">
            <v>1</v>
          </cell>
          <cell r="U60">
            <v>1</v>
          </cell>
          <cell r="V60">
            <v>2</v>
          </cell>
          <cell r="W60">
            <v>0.75</v>
          </cell>
          <cell r="X60">
            <v>15</v>
          </cell>
          <cell r="Y60">
            <v>1</v>
          </cell>
          <cell r="Z60">
            <v>1</v>
          </cell>
          <cell r="AA60">
            <v>1</v>
          </cell>
          <cell r="AB60">
            <v>59</v>
          </cell>
        </row>
        <row r="61">
          <cell r="A61">
            <v>60</v>
          </cell>
          <cell r="B61" t="str">
            <v>おでかけマーチ</v>
          </cell>
          <cell r="C61">
            <v>3</v>
          </cell>
          <cell r="D61" t="str">
            <v>green</v>
          </cell>
          <cell r="E61">
            <v>1.02</v>
          </cell>
          <cell r="F61">
            <v>0.98</v>
          </cell>
          <cell r="G61">
            <v>1</v>
          </cell>
          <cell r="H61" t="str">
            <v>heal</v>
          </cell>
          <cell r="I61" t="str">
            <v>回復タイプ</v>
          </cell>
          <cell r="J61">
            <v>0.8</v>
          </cell>
          <cell r="K61">
            <v>0.78</v>
          </cell>
          <cell r="L61">
            <v>1</v>
          </cell>
          <cell r="M61" t="str">
            <v>animal</v>
          </cell>
          <cell r="N61" t="str">
            <v>アニマル</v>
          </cell>
          <cell r="O61">
            <v>1</v>
          </cell>
          <cell r="P61">
            <v>1.1000000000000001</v>
          </cell>
          <cell r="Q61">
            <v>1</v>
          </cell>
          <cell r="R61" t="str">
            <v>MiddleBoss</v>
          </cell>
          <cell r="S61">
            <v>3</v>
          </cell>
          <cell r="T61">
            <v>1.4</v>
          </cell>
          <cell r="U61">
            <v>0.8</v>
          </cell>
          <cell r="V61">
            <v>2</v>
          </cell>
          <cell r="W61">
            <v>0.75</v>
          </cell>
          <cell r="X61">
            <v>20</v>
          </cell>
          <cell r="Y61">
            <v>1.1000000000000001</v>
          </cell>
          <cell r="Z61">
            <v>1.2</v>
          </cell>
          <cell r="AA61">
            <v>1.2</v>
          </cell>
          <cell r="AB61">
            <v>0</v>
          </cell>
        </row>
        <row r="62">
          <cell r="A62">
            <v>61</v>
          </cell>
          <cell r="B62" t="str">
            <v>クロウ</v>
          </cell>
          <cell r="C62">
            <v>2</v>
          </cell>
          <cell r="D62" t="str">
            <v>blue</v>
          </cell>
          <cell r="E62">
            <v>1</v>
          </cell>
          <cell r="F62">
            <v>0.98</v>
          </cell>
          <cell r="G62">
            <v>1</v>
          </cell>
          <cell r="H62" t="str">
            <v>heal</v>
          </cell>
          <cell r="I62" t="str">
            <v>回復タイプ</v>
          </cell>
          <cell r="J62">
            <v>0.8</v>
          </cell>
          <cell r="K62">
            <v>0.78</v>
          </cell>
          <cell r="L62">
            <v>1</v>
          </cell>
          <cell r="M62" t="str">
            <v>animal</v>
          </cell>
          <cell r="N62" t="str">
            <v>アニマル</v>
          </cell>
          <cell r="O62">
            <v>1</v>
          </cell>
          <cell r="P62">
            <v>1.1000000000000001</v>
          </cell>
          <cell r="Q62">
            <v>1</v>
          </cell>
          <cell r="R62" t="str">
            <v>Normal</v>
          </cell>
          <cell r="S62">
            <v>1</v>
          </cell>
          <cell r="T62">
            <v>1</v>
          </cell>
          <cell r="U62">
            <v>1</v>
          </cell>
          <cell r="V62">
            <v>2</v>
          </cell>
          <cell r="W62">
            <v>0.75</v>
          </cell>
          <cell r="X62">
            <v>15</v>
          </cell>
          <cell r="Y62">
            <v>1</v>
          </cell>
          <cell r="Z62">
            <v>1</v>
          </cell>
          <cell r="AA62">
            <v>1</v>
          </cell>
          <cell r="AB62">
            <v>61</v>
          </cell>
        </row>
        <row r="63">
          <cell r="A63">
            <v>62</v>
          </cell>
          <cell r="B63" t="str">
            <v>脈動旋律のクロウ</v>
          </cell>
          <cell r="C63">
            <v>3</v>
          </cell>
          <cell r="D63" t="str">
            <v>blue</v>
          </cell>
          <cell r="E63">
            <v>1</v>
          </cell>
          <cell r="F63">
            <v>0.98</v>
          </cell>
          <cell r="G63">
            <v>1</v>
          </cell>
          <cell r="H63" t="str">
            <v>heal</v>
          </cell>
          <cell r="I63" t="str">
            <v>回復タイプ</v>
          </cell>
          <cell r="J63">
            <v>0.8</v>
          </cell>
          <cell r="K63">
            <v>0.78</v>
          </cell>
          <cell r="L63">
            <v>1</v>
          </cell>
          <cell r="M63" t="str">
            <v>animal</v>
          </cell>
          <cell r="N63" t="str">
            <v>アニマル</v>
          </cell>
          <cell r="O63">
            <v>1</v>
          </cell>
          <cell r="P63">
            <v>1.1000000000000001</v>
          </cell>
          <cell r="Q63">
            <v>1</v>
          </cell>
          <cell r="R63" t="str">
            <v>MiddleBoss</v>
          </cell>
          <cell r="S63">
            <v>3</v>
          </cell>
          <cell r="T63">
            <v>1.4</v>
          </cell>
          <cell r="U63">
            <v>0.8</v>
          </cell>
          <cell r="V63">
            <v>2</v>
          </cell>
          <cell r="W63">
            <v>0.75</v>
          </cell>
          <cell r="X63">
            <v>20</v>
          </cell>
          <cell r="Y63">
            <v>1.1000000000000001</v>
          </cell>
          <cell r="Z63">
            <v>1.2</v>
          </cell>
          <cell r="AA63">
            <v>1.2</v>
          </cell>
          <cell r="AB63">
            <v>0</v>
          </cell>
        </row>
        <row r="64">
          <cell r="A64">
            <v>63</v>
          </cell>
          <cell r="B64" t="str">
            <v>トニー</v>
          </cell>
          <cell r="C64">
            <v>2</v>
          </cell>
          <cell r="D64" t="str">
            <v>yellow</v>
          </cell>
          <cell r="E64">
            <v>0.98</v>
          </cell>
          <cell r="F64">
            <v>1.01</v>
          </cell>
          <cell r="G64">
            <v>1</v>
          </cell>
          <cell r="H64" t="str">
            <v>technical</v>
          </cell>
          <cell r="I64" t="str">
            <v>テクニカルタイプ</v>
          </cell>
          <cell r="J64">
            <v>0.9</v>
          </cell>
          <cell r="K64">
            <v>0.9</v>
          </cell>
          <cell r="L64">
            <v>1</v>
          </cell>
          <cell r="M64" t="str">
            <v>animal</v>
          </cell>
          <cell r="N64" t="str">
            <v>アニマル</v>
          </cell>
          <cell r="O64">
            <v>1</v>
          </cell>
          <cell r="P64">
            <v>1.1000000000000001</v>
          </cell>
          <cell r="Q64">
            <v>1</v>
          </cell>
          <cell r="R64" t="str">
            <v>Normal</v>
          </cell>
          <cell r="S64">
            <v>1</v>
          </cell>
          <cell r="T64">
            <v>1</v>
          </cell>
          <cell r="U64">
            <v>1</v>
          </cell>
          <cell r="V64">
            <v>2</v>
          </cell>
          <cell r="W64">
            <v>0.75</v>
          </cell>
          <cell r="X64">
            <v>15</v>
          </cell>
          <cell r="Y64">
            <v>1</v>
          </cell>
          <cell r="Z64">
            <v>1</v>
          </cell>
          <cell r="AA64">
            <v>1</v>
          </cell>
          <cell r="AB64">
            <v>63</v>
          </cell>
        </row>
        <row r="65">
          <cell r="A65">
            <v>64</v>
          </cell>
          <cell r="B65" t="str">
            <v>フレイムエッジ トニー</v>
          </cell>
          <cell r="C65">
            <v>3</v>
          </cell>
          <cell r="D65" t="str">
            <v>yellow</v>
          </cell>
          <cell r="E65">
            <v>0.98</v>
          </cell>
          <cell r="F65">
            <v>1.01</v>
          </cell>
          <cell r="G65">
            <v>1</v>
          </cell>
          <cell r="H65" t="str">
            <v>technical</v>
          </cell>
          <cell r="I65" t="str">
            <v>テクニカルタイプ</v>
          </cell>
          <cell r="J65">
            <v>0.9</v>
          </cell>
          <cell r="K65">
            <v>0.9</v>
          </cell>
          <cell r="L65">
            <v>1</v>
          </cell>
          <cell r="M65" t="str">
            <v>animal</v>
          </cell>
          <cell r="N65" t="str">
            <v>アニマル</v>
          </cell>
          <cell r="O65">
            <v>1</v>
          </cell>
          <cell r="P65">
            <v>1.1000000000000001</v>
          </cell>
          <cell r="Q65">
            <v>1</v>
          </cell>
          <cell r="R65" t="str">
            <v>MiddleBoss</v>
          </cell>
          <cell r="S65">
            <v>3</v>
          </cell>
          <cell r="T65">
            <v>1.4</v>
          </cell>
          <cell r="U65">
            <v>0.8</v>
          </cell>
          <cell r="V65">
            <v>1</v>
          </cell>
          <cell r="W65">
            <v>0.55000000000000004</v>
          </cell>
          <cell r="X65">
            <v>20</v>
          </cell>
          <cell r="Y65">
            <v>1.1000000000000001</v>
          </cell>
          <cell r="Z65">
            <v>1.2</v>
          </cell>
          <cell r="AA65">
            <v>1.2</v>
          </cell>
          <cell r="AB65">
            <v>64</v>
          </cell>
        </row>
        <row r="66">
          <cell r="A66">
            <v>65</v>
          </cell>
          <cell r="B66" t="str">
            <v>ファイアフォックス</v>
          </cell>
          <cell r="C66">
            <v>2</v>
          </cell>
          <cell r="D66" t="str">
            <v>red</v>
          </cell>
          <cell r="E66">
            <v>1</v>
          </cell>
          <cell r="F66">
            <v>1.02</v>
          </cell>
          <cell r="G66">
            <v>1</v>
          </cell>
          <cell r="H66" t="str">
            <v>attack</v>
          </cell>
          <cell r="I66" t="str">
            <v>攻撃タイプ</v>
          </cell>
          <cell r="J66">
            <v>1</v>
          </cell>
          <cell r="K66">
            <v>1.33</v>
          </cell>
          <cell r="L66">
            <v>1</v>
          </cell>
          <cell r="M66" t="str">
            <v>animal</v>
          </cell>
          <cell r="N66" t="str">
            <v>アニマル</v>
          </cell>
          <cell r="O66">
            <v>1</v>
          </cell>
          <cell r="P66">
            <v>1.1000000000000001</v>
          </cell>
          <cell r="Q66">
            <v>1</v>
          </cell>
          <cell r="R66" t="str">
            <v>Normal</v>
          </cell>
          <cell r="S66">
            <v>1</v>
          </cell>
          <cell r="T66">
            <v>1</v>
          </cell>
          <cell r="U66">
            <v>1</v>
          </cell>
          <cell r="V66">
            <v>2</v>
          </cell>
          <cell r="W66">
            <v>0.75</v>
          </cell>
          <cell r="X66">
            <v>15</v>
          </cell>
          <cell r="Y66">
            <v>1</v>
          </cell>
          <cell r="Z66">
            <v>1</v>
          </cell>
          <cell r="AA66">
            <v>1</v>
          </cell>
          <cell r="AB66">
            <v>0</v>
          </cell>
        </row>
        <row r="67">
          <cell r="A67">
            <v>66</v>
          </cell>
          <cell r="B67" t="str">
            <v>探索者 ファイアフォックス</v>
          </cell>
          <cell r="C67">
            <v>3</v>
          </cell>
          <cell r="D67" t="str">
            <v>red</v>
          </cell>
          <cell r="E67">
            <v>1</v>
          </cell>
          <cell r="F67">
            <v>1.02</v>
          </cell>
          <cell r="G67">
            <v>1</v>
          </cell>
          <cell r="H67" t="str">
            <v>attack</v>
          </cell>
          <cell r="I67" t="str">
            <v>攻撃タイプ</v>
          </cell>
          <cell r="J67">
            <v>1</v>
          </cell>
          <cell r="K67">
            <v>1.33</v>
          </cell>
          <cell r="L67">
            <v>1</v>
          </cell>
          <cell r="M67" t="str">
            <v>animal</v>
          </cell>
          <cell r="N67" t="str">
            <v>アニマル</v>
          </cell>
          <cell r="O67">
            <v>1</v>
          </cell>
          <cell r="P67">
            <v>1.1000000000000001</v>
          </cell>
          <cell r="Q67">
            <v>1</v>
          </cell>
          <cell r="R67" t="str">
            <v>MiddleBoss</v>
          </cell>
          <cell r="S67">
            <v>3</v>
          </cell>
          <cell r="T67">
            <v>1.4</v>
          </cell>
          <cell r="U67">
            <v>0.8</v>
          </cell>
          <cell r="V67">
            <v>2</v>
          </cell>
          <cell r="W67">
            <v>0.75</v>
          </cell>
          <cell r="X67">
            <v>20</v>
          </cell>
          <cell r="Y67">
            <v>1.1000000000000001</v>
          </cell>
          <cell r="Z67">
            <v>1.2</v>
          </cell>
          <cell r="AA67">
            <v>1.2</v>
          </cell>
          <cell r="AB67">
            <v>66</v>
          </cell>
        </row>
        <row r="68">
          <cell r="A68">
            <v>67</v>
          </cell>
          <cell r="B68" t="str">
            <v>双炎の探索者 ファイアフォックス</v>
          </cell>
          <cell r="C68">
            <v>4</v>
          </cell>
          <cell r="D68" t="str">
            <v>red</v>
          </cell>
          <cell r="E68">
            <v>1</v>
          </cell>
          <cell r="F68">
            <v>1.02</v>
          </cell>
          <cell r="G68">
            <v>1</v>
          </cell>
          <cell r="H68" t="str">
            <v>attack</v>
          </cell>
          <cell r="I68" t="str">
            <v>攻撃タイプ</v>
          </cell>
          <cell r="J68">
            <v>1</v>
          </cell>
          <cell r="K68">
            <v>1.33</v>
          </cell>
          <cell r="L68">
            <v>1</v>
          </cell>
          <cell r="M68" t="str">
            <v>animal</v>
          </cell>
          <cell r="N68" t="str">
            <v>アニマル</v>
          </cell>
          <cell r="O68">
            <v>1</v>
          </cell>
          <cell r="P68">
            <v>1.1000000000000001</v>
          </cell>
          <cell r="Q68">
            <v>1</v>
          </cell>
          <cell r="R68" t="str">
            <v>Boss</v>
          </cell>
          <cell r="S68">
            <v>5</v>
          </cell>
          <cell r="T68">
            <v>1.3</v>
          </cell>
          <cell r="U68">
            <v>0.8</v>
          </cell>
          <cell r="V68">
            <v>2</v>
          </cell>
          <cell r="W68">
            <v>0.75</v>
          </cell>
          <cell r="X68">
            <v>30</v>
          </cell>
          <cell r="Y68">
            <v>1.3</v>
          </cell>
          <cell r="Z68">
            <v>1.3</v>
          </cell>
          <cell r="AA68">
            <v>1.1000000000000001</v>
          </cell>
          <cell r="AB68">
            <v>67</v>
          </cell>
        </row>
        <row r="69">
          <cell r="A69">
            <v>68</v>
          </cell>
          <cell r="B69" t="str">
            <v>ストール</v>
          </cell>
          <cell r="C69">
            <v>2</v>
          </cell>
          <cell r="D69" t="str">
            <v>green</v>
          </cell>
          <cell r="E69">
            <v>1.02</v>
          </cell>
          <cell r="F69">
            <v>0.98</v>
          </cell>
          <cell r="G69">
            <v>1</v>
          </cell>
          <cell r="H69" t="str">
            <v>hp</v>
          </cell>
          <cell r="I69" t="str">
            <v>体力タイプ</v>
          </cell>
          <cell r="J69">
            <v>1.45</v>
          </cell>
          <cell r="K69">
            <v>0.85</v>
          </cell>
          <cell r="L69">
            <v>1</v>
          </cell>
          <cell r="M69" t="str">
            <v>animal</v>
          </cell>
          <cell r="N69" t="str">
            <v>アニマル</v>
          </cell>
          <cell r="O69">
            <v>1</v>
          </cell>
          <cell r="P69">
            <v>1.1000000000000001</v>
          </cell>
          <cell r="Q69">
            <v>1</v>
          </cell>
          <cell r="R69" t="str">
            <v>Normal</v>
          </cell>
          <cell r="S69">
            <v>1</v>
          </cell>
          <cell r="T69">
            <v>1</v>
          </cell>
          <cell r="U69">
            <v>1</v>
          </cell>
          <cell r="V69">
            <v>4</v>
          </cell>
          <cell r="W69">
            <v>1.2</v>
          </cell>
          <cell r="X69">
            <v>15</v>
          </cell>
          <cell r="Y69">
            <v>1</v>
          </cell>
          <cell r="Z69">
            <v>1</v>
          </cell>
          <cell r="AA69">
            <v>1</v>
          </cell>
          <cell r="AB69">
            <v>0</v>
          </cell>
        </row>
        <row r="70">
          <cell r="A70">
            <v>69</v>
          </cell>
          <cell r="B70" t="str">
            <v>思想家 ストール</v>
          </cell>
          <cell r="C70">
            <v>3</v>
          </cell>
          <cell r="D70" t="str">
            <v>green</v>
          </cell>
          <cell r="E70">
            <v>1.02</v>
          </cell>
          <cell r="F70">
            <v>0.98</v>
          </cell>
          <cell r="G70">
            <v>1</v>
          </cell>
          <cell r="H70" t="str">
            <v>hp</v>
          </cell>
          <cell r="I70" t="str">
            <v>体力タイプ</v>
          </cell>
          <cell r="J70">
            <v>1.45</v>
          </cell>
          <cell r="K70">
            <v>0.85</v>
          </cell>
          <cell r="L70">
            <v>1</v>
          </cell>
          <cell r="M70" t="str">
            <v>animal</v>
          </cell>
          <cell r="N70" t="str">
            <v>アニマル</v>
          </cell>
          <cell r="O70">
            <v>1</v>
          </cell>
          <cell r="P70">
            <v>1.1000000000000001</v>
          </cell>
          <cell r="Q70">
            <v>1</v>
          </cell>
          <cell r="R70" t="str">
            <v>MiddleBoss</v>
          </cell>
          <cell r="S70">
            <v>3</v>
          </cell>
          <cell r="T70">
            <v>1.4</v>
          </cell>
          <cell r="U70">
            <v>0.8</v>
          </cell>
          <cell r="V70">
            <v>4</v>
          </cell>
          <cell r="W70">
            <v>1.2</v>
          </cell>
          <cell r="X70">
            <v>20</v>
          </cell>
          <cell r="Y70">
            <v>1.1000000000000001</v>
          </cell>
          <cell r="Z70">
            <v>1.2</v>
          </cell>
          <cell r="AA70">
            <v>1.2</v>
          </cell>
          <cell r="AB70">
            <v>69</v>
          </cell>
        </row>
        <row r="71">
          <cell r="A71">
            <v>70</v>
          </cell>
          <cell r="B71" t="str">
            <v>自由の思想家 ストール</v>
          </cell>
          <cell r="C71">
            <v>4</v>
          </cell>
          <cell r="D71" t="str">
            <v>green</v>
          </cell>
          <cell r="E71">
            <v>1.02</v>
          </cell>
          <cell r="F71">
            <v>0.98</v>
          </cell>
          <cell r="G71">
            <v>1</v>
          </cell>
          <cell r="H71" t="str">
            <v>hp</v>
          </cell>
          <cell r="I71" t="str">
            <v>体力タイプ</v>
          </cell>
          <cell r="J71">
            <v>1.45</v>
          </cell>
          <cell r="K71">
            <v>0.85</v>
          </cell>
          <cell r="L71">
            <v>1</v>
          </cell>
          <cell r="M71" t="str">
            <v>animal</v>
          </cell>
          <cell r="N71" t="str">
            <v>アニマル</v>
          </cell>
          <cell r="O71">
            <v>1</v>
          </cell>
          <cell r="P71">
            <v>1.1000000000000001</v>
          </cell>
          <cell r="Q71">
            <v>1</v>
          </cell>
          <cell r="R71" t="str">
            <v>Boss</v>
          </cell>
          <cell r="S71">
            <v>5</v>
          </cell>
          <cell r="T71">
            <v>1.3</v>
          </cell>
          <cell r="U71">
            <v>0.8</v>
          </cell>
          <cell r="V71">
            <v>4</v>
          </cell>
          <cell r="W71">
            <v>1.2</v>
          </cell>
          <cell r="X71">
            <v>30</v>
          </cell>
          <cell r="Y71">
            <v>1.3</v>
          </cell>
          <cell r="Z71">
            <v>1.3</v>
          </cell>
          <cell r="AA71">
            <v>1.1000000000000001</v>
          </cell>
          <cell r="AB71">
            <v>0</v>
          </cell>
        </row>
        <row r="72">
          <cell r="A72">
            <v>71</v>
          </cell>
          <cell r="B72" t="str">
            <v>ダックス</v>
          </cell>
          <cell r="C72">
            <v>2</v>
          </cell>
          <cell r="D72" t="str">
            <v>blue</v>
          </cell>
          <cell r="E72">
            <v>1</v>
          </cell>
          <cell r="F72">
            <v>0.98</v>
          </cell>
          <cell r="G72">
            <v>1</v>
          </cell>
          <cell r="H72" t="str">
            <v>balance</v>
          </cell>
          <cell r="I72" t="str">
            <v>バランスタイプ</v>
          </cell>
          <cell r="J72">
            <v>1</v>
          </cell>
          <cell r="K72">
            <v>1</v>
          </cell>
          <cell r="L72">
            <v>1</v>
          </cell>
          <cell r="M72" t="str">
            <v>animal</v>
          </cell>
          <cell r="N72" t="str">
            <v>アニマル</v>
          </cell>
          <cell r="O72">
            <v>1</v>
          </cell>
          <cell r="P72">
            <v>1.1000000000000001</v>
          </cell>
          <cell r="Q72">
            <v>1</v>
          </cell>
          <cell r="R72" t="str">
            <v>Normal</v>
          </cell>
          <cell r="S72">
            <v>1</v>
          </cell>
          <cell r="T72">
            <v>1</v>
          </cell>
          <cell r="U72">
            <v>1</v>
          </cell>
          <cell r="V72">
            <v>4</v>
          </cell>
          <cell r="W72">
            <v>1.2</v>
          </cell>
          <cell r="X72">
            <v>15</v>
          </cell>
          <cell r="Y72">
            <v>1</v>
          </cell>
          <cell r="Z72">
            <v>1</v>
          </cell>
          <cell r="AA72">
            <v>1</v>
          </cell>
          <cell r="AB72">
            <v>71</v>
          </cell>
        </row>
        <row r="73">
          <cell r="A73">
            <v>72</v>
          </cell>
          <cell r="B73" t="str">
            <v>探求者 ダックス</v>
          </cell>
          <cell r="C73">
            <v>3</v>
          </cell>
          <cell r="D73" t="str">
            <v>blue</v>
          </cell>
          <cell r="E73">
            <v>1</v>
          </cell>
          <cell r="F73">
            <v>0.98</v>
          </cell>
          <cell r="G73">
            <v>1</v>
          </cell>
          <cell r="H73" t="str">
            <v>balance</v>
          </cell>
          <cell r="I73" t="str">
            <v>バランスタイプ</v>
          </cell>
          <cell r="J73">
            <v>1</v>
          </cell>
          <cell r="K73">
            <v>1</v>
          </cell>
          <cell r="L73">
            <v>1</v>
          </cell>
          <cell r="M73" t="str">
            <v>animal</v>
          </cell>
          <cell r="N73" t="str">
            <v>アニマル</v>
          </cell>
          <cell r="O73">
            <v>1</v>
          </cell>
          <cell r="P73">
            <v>1.1000000000000001</v>
          </cell>
          <cell r="Q73">
            <v>1</v>
          </cell>
          <cell r="R73" t="str">
            <v>MiddleBoss</v>
          </cell>
          <cell r="S73">
            <v>3</v>
          </cell>
          <cell r="T73">
            <v>1.4</v>
          </cell>
          <cell r="U73">
            <v>0.8</v>
          </cell>
          <cell r="V73">
            <v>4</v>
          </cell>
          <cell r="W73">
            <v>1.2</v>
          </cell>
          <cell r="X73">
            <v>20</v>
          </cell>
          <cell r="Y73">
            <v>1.1000000000000001</v>
          </cell>
          <cell r="Z73">
            <v>1.2</v>
          </cell>
          <cell r="AA73">
            <v>1.2</v>
          </cell>
          <cell r="AB73">
            <v>72</v>
          </cell>
        </row>
        <row r="74">
          <cell r="A74">
            <v>73</v>
          </cell>
          <cell r="B74" t="str">
            <v>自由の探求者 ダックス</v>
          </cell>
          <cell r="C74">
            <v>4</v>
          </cell>
          <cell r="D74" t="str">
            <v>blue</v>
          </cell>
          <cell r="E74">
            <v>1</v>
          </cell>
          <cell r="F74">
            <v>0.98</v>
          </cell>
          <cell r="G74">
            <v>1</v>
          </cell>
          <cell r="H74" t="str">
            <v>balance</v>
          </cell>
          <cell r="I74" t="str">
            <v>バランスタイプ</v>
          </cell>
          <cell r="J74">
            <v>1</v>
          </cell>
          <cell r="K74">
            <v>1</v>
          </cell>
          <cell r="L74">
            <v>1</v>
          </cell>
          <cell r="M74" t="str">
            <v>animal</v>
          </cell>
          <cell r="N74" t="str">
            <v>アニマル</v>
          </cell>
          <cell r="O74">
            <v>1</v>
          </cell>
          <cell r="P74">
            <v>1.1000000000000001</v>
          </cell>
          <cell r="Q74">
            <v>1</v>
          </cell>
          <cell r="R74" t="str">
            <v>Boss</v>
          </cell>
          <cell r="S74">
            <v>5</v>
          </cell>
          <cell r="T74">
            <v>1.3</v>
          </cell>
          <cell r="U74">
            <v>0.8</v>
          </cell>
          <cell r="V74">
            <v>4</v>
          </cell>
          <cell r="W74">
            <v>1.2</v>
          </cell>
          <cell r="X74">
            <v>30</v>
          </cell>
          <cell r="Y74">
            <v>1.3</v>
          </cell>
          <cell r="Z74">
            <v>1.3</v>
          </cell>
          <cell r="AA74">
            <v>1.1000000000000001</v>
          </cell>
          <cell r="AB74">
            <v>0</v>
          </cell>
        </row>
        <row r="75">
          <cell r="A75">
            <v>74</v>
          </cell>
          <cell r="B75" t="str">
            <v>サンダーバード</v>
          </cell>
          <cell r="C75">
            <v>2</v>
          </cell>
          <cell r="D75" t="str">
            <v>yellow</v>
          </cell>
          <cell r="E75">
            <v>0.98</v>
          </cell>
          <cell r="F75">
            <v>1.01</v>
          </cell>
          <cell r="G75">
            <v>1</v>
          </cell>
          <cell r="H75" t="str">
            <v>attack</v>
          </cell>
          <cell r="I75" t="str">
            <v>攻撃タイプ</v>
          </cell>
          <cell r="J75">
            <v>1</v>
          </cell>
          <cell r="K75">
            <v>1.33</v>
          </cell>
          <cell r="L75">
            <v>1</v>
          </cell>
          <cell r="M75" t="str">
            <v>animal</v>
          </cell>
          <cell r="N75" t="str">
            <v>アニマル</v>
          </cell>
          <cell r="O75">
            <v>1</v>
          </cell>
          <cell r="P75">
            <v>1.1000000000000001</v>
          </cell>
          <cell r="Q75">
            <v>1</v>
          </cell>
          <cell r="R75" t="str">
            <v>Normal</v>
          </cell>
          <cell r="S75">
            <v>1</v>
          </cell>
          <cell r="T75">
            <v>1</v>
          </cell>
          <cell r="U75">
            <v>1</v>
          </cell>
          <cell r="V75">
            <v>3</v>
          </cell>
          <cell r="W75">
            <v>1</v>
          </cell>
          <cell r="X75">
            <v>15</v>
          </cell>
          <cell r="Y75">
            <v>1</v>
          </cell>
          <cell r="Z75">
            <v>1</v>
          </cell>
          <cell r="AA75">
            <v>1</v>
          </cell>
          <cell r="AB75">
            <v>74</v>
          </cell>
        </row>
        <row r="76">
          <cell r="A76">
            <v>75</v>
          </cell>
          <cell r="B76" t="str">
            <v>伝令者 サンダーバード</v>
          </cell>
          <cell r="C76">
            <v>3</v>
          </cell>
          <cell r="D76" t="str">
            <v>yellow</v>
          </cell>
          <cell r="E76">
            <v>0.98</v>
          </cell>
          <cell r="F76">
            <v>1.01</v>
          </cell>
          <cell r="G76">
            <v>1</v>
          </cell>
          <cell r="H76" t="str">
            <v>attack</v>
          </cell>
          <cell r="I76" t="str">
            <v>攻撃タイプ</v>
          </cell>
          <cell r="J76">
            <v>1</v>
          </cell>
          <cell r="K76">
            <v>1.33</v>
          </cell>
          <cell r="L76">
            <v>1</v>
          </cell>
          <cell r="M76" t="str">
            <v>animal</v>
          </cell>
          <cell r="N76" t="str">
            <v>アニマル</v>
          </cell>
          <cell r="O76">
            <v>1</v>
          </cell>
          <cell r="P76">
            <v>1.1000000000000001</v>
          </cell>
          <cell r="Q76">
            <v>1</v>
          </cell>
          <cell r="R76" t="str">
            <v>MiddleBoss</v>
          </cell>
          <cell r="S76">
            <v>3</v>
          </cell>
          <cell r="T76">
            <v>1.4</v>
          </cell>
          <cell r="U76">
            <v>0.8</v>
          </cell>
          <cell r="V76">
            <v>3</v>
          </cell>
          <cell r="W76">
            <v>1</v>
          </cell>
          <cell r="X76">
            <v>20</v>
          </cell>
          <cell r="Y76">
            <v>1.1000000000000001</v>
          </cell>
          <cell r="Z76">
            <v>1.2</v>
          </cell>
          <cell r="AA76">
            <v>1.2</v>
          </cell>
          <cell r="AB76">
            <v>75</v>
          </cell>
        </row>
        <row r="77">
          <cell r="A77">
            <v>76</v>
          </cell>
          <cell r="B77" t="str">
            <v>閃速の伝令者 サンダーバード</v>
          </cell>
          <cell r="C77">
            <v>4</v>
          </cell>
          <cell r="D77" t="str">
            <v>yellow</v>
          </cell>
          <cell r="E77">
            <v>0.98</v>
          </cell>
          <cell r="F77">
            <v>1.01</v>
          </cell>
          <cell r="G77">
            <v>1</v>
          </cell>
          <cell r="H77" t="str">
            <v>attack</v>
          </cell>
          <cell r="I77" t="str">
            <v>攻撃タイプ</v>
          </cell>
          <cell r="J77">
            <v>1</v>
          </cell>
          <cell r="K77">
            <v>1.33</v>
          </cell>
          <cell r="L77">
            <v>1</v>
          </cell>
          <cell r="M77" t="str">
            <v>animal</v>
          </cell>
          <cell r="N77" t="str">
            <v>アニマル</v>
          </cell>
          <cell r="O77">
            <v>1</v>
          </cell>
          <cell r="P77">
            <v>1.1000000000000001</v>
          </cell>
          <cell r="Q77">
            <v>1</v>
          </cell>
          <cell r="R77" t="str">
            <v>Boss</v>
          </cell>
          <cell r="S77">
            <v>5</v>
          </cell>
          <cell r="T77">
            <v>1.3</v>
          </cell>
          <cell r="U77">
            <v>0.8</v>
          </cell>
          <cell r="V77">
            <v>1</v>
          </cell>
          <cell r="W77">
            <v>0.55000000000000004</v>
          </cell>
          <cell r="X77">
            <v>30</v>
          </cell>
          <cell r="Y77">
            <v>1.3</v>
          </cell>
          <cell r="Z77">
            <v>1.3</v>
          </cell>
          <cell r="AA77">
            <v>1.1000000000000001</v>
          </cell>
          <cell r="AB77">
            <v>76</v>
          </cell>
        </row>
        <row r="78">
          <cell r="A78">
            <v>77</v>
          </cell>
          <cell r="B78" t="str">
            <v>潜伏型メリッサ</v>
          </cell>
          <cell r="C78">
            <v>3</v>
          </cell>
          <cell r="D78" t="str">
            <v>red</v>
          </cell>
          <cell r="E78">
            <v>1</v>
          </cell>
          <cell r="F78">
            <v>1.02</v>
          </cell>
          <cell r="G78">
            <v>1</v>
          </cell>
          <cell r="H78" t="str">
            <v>technical</v>
          </cell>
          <cell r="I78" t="str">
            <v>テクニカルタイプ</v>
          </cell>
          <cell r="J78">
            <v>0.9</v>
          </cell>
          <cell r="K78">
            <v>0.9</v>
          </cell>
          <cell r="L78">
            <v>1</v>
          </cell>
          <cell r="M78" t="str">
            <v>unknown</v>
          </cell>
          <cell r="N78" t="str">
            <v>Unknown</v>
          </cell>
          <cell r="O78">
            <v>1</v>
          </cell>
          <cell r="P78">
            <v>1</v>
          </cell>
          <cell r="Q78">
            <v>1</v>
          </cell>
          <cell r="R78" t="str">
            <v>Boss_HPx1.5</v>
          </cell>
          <cell r="S78">
            <v>7.5</v>
          </cell>
          <cell r="T78">
            <v>1</v>
          </cell>
          <cell r="U78">
            <v>0.8</v>
          </cell>
          <cell r="V78">
            <v>1</v>
          </cell>
          <cell r="W78">
            <v>0.55000000000000004</v>
          </cell>
          <cell r="X78">
            <v>20</v>
          </cell>
          <cell r="Y78">
            <v>1.1000000000000001</v>
          </cell>
          <cell r="Z78">
            <v>1.2</v>
          </cell>
          <cell r="AA78">
            <v>1.2</v>
          </cell>
          <cell r="AB78">
            <v>77</v>
          </cell>
        </row>
        <row r="79">
          <cell r="A79">
            <v>78</v>
          </cell>
          <cell r="B79" t="str">
            <v>擬態潜伏型メリッサ2.0</v>
          </cell>
          <cell r="C79">
            <v>4</v>
          </cell>
          <cell r="D79" t="str">
            <v>red</v>
          </cell>
          <cell r="E79">
            <v>1</v>
          </cell>
          <cell r="F79">
            <v>1.02</v>
          </cell>
          <cell r="G79">
            <v>1</v>
          </cell>
          <cell r="H79" t="str">
            <v>technical</v>
          </cell>
          <cell r="I79" t="str">
            <v>テクニカルタイプ</v>
          </cell>
          <cell r="J79">
            <v>0.9</v>
          </cell>
          <cell r="K79">
            <v>0.9</v>
          </cell>
          <cell r="L79">
            <v>1</v>
          </cell>
          <cell r="M79" t="str">
            <v>unknown</v>
          </cell>
          <cell r="N79" t="str">
            <v>Unknown</v>
          </cell>
          <cell r="O79">
            <v>1</v>
          </cell>
          <cell r="P79">
            <v>1</v>
          </cell>
          <cell r="Q79">
            <v>1</v>
          </cell>
          <cell r="R79" t="str">
            <v>Boss</v>
          </cell>
          <cell r="S79">
            <v>5</v>
          </cell>
          <cell r="T79">
            <v>1.3</v>
          </cell>
          <cell r="U79">
            <v>0.8</v>
          </cell>
          <cell r="V79">
            <v>1</v>
          </cell>
          <cell r="W79">
            <v>0.55000000000000004</v>
          </cell>
          <cell r="X79">
            <v>30</v>
          </cell>
          <cell r="Y79">
            <v>1.3</v>
          </cell>
          <cell r="Z79">
            <v>1.3</v>
          </cell>
          <cell r="AA79">
            <v>1.1000000000000001</v>
          </cell>
          <cell r="AB79">
            <v>0</v>
          </cell>
        </row>
        <row r="80">
          <cell r="A80">
            <v>79</v>
          </cell>
          <cell r="B80" t="str">
            <v>ハッピー100</v>
          </cell>
          <cell r="C80">
            <v>3</v>
          </cell>
          <cell r="D80" t="str">
            <v>green</v>
          </cell>
          <cell r="E80">
            <v>1.02</v>
          </cell>
          <cell r="F80">
            <v>0.98</v>
          </cell>
          <cell r="G80">
            <v>1</v>
          </cell>
          <cell r="H80" t="str">
            <v>heal</v>
          </cell>
          <cell r="I80" t="str">
            <v>回復タイプ</v>
          </cell>
          <cell r="J80">
            <v>0.8</v>
          </cell>
          <cell r="K80">
            <v>0.78</v>
          </cell>
          <cell r="L80">
            <v>1</v>
          </cell>
          <cell r="M80" t="str">
            <v>unknown</v>
          </cell>
          <cell r="N80" t="str">
            <v>Unknown</v>
          </cell>
          <cell r="O80">
            <v>1</v>
          </cell>
          <cell r="P80">
            <v>1</v>
          </cell>
          <cell r="Q80">
            <v>1</v>
          </cell>
          <cell r="R80" t="str">
            <v>Boss</v>
          </cell>
          <cell r="S80">
            <v>5</v>
          </cell>
          <cell r="T80">
            <v>1.3</v>
          </cell>
          <cell r="U80">
            <v>0.8</v>
          </cell>
          <cell r="V80">
            <v>2</v>
          </cell>
          <cell r="W80">
            <v>0.75</v>
          </cell>
          <cell r="X80">
            <v>20</v>
          </cell>
          <cell r="Y80">
            <v>1.1000000000000001</v>
          </cell>
          <cell r="Z80">
            <v>1.2</v>
          </cell>
          <cell r="AA80">
            <v>1.2</v>
          </cell>
          <cell r="AB80">
            <v>79</v>
          </cell>
        </row>
        <row r="81">
          <cell r="A81">
            <v>80</v>
          </cell>
          <cell r="B81" t="str">
            <v>ハッピー101</v>
          </cell>
          <cell r="C81">
            <v>4</v>
          </cell>
          <cell r="D81" t="str">
            <v>green</v>
          </cell>
          <cell r="E81">
            <v>1.02</v>
          </cell>
          <cell r="F81">
            <v>0.98</v>
          </cell>
          <cell r="G81">
            <v>1</v>
          </cell>
          <cell r="H81" t="str">
            <v>heal</v>
          </cell>
          <cell r="I81" t="str">
            <v>回復タイプ</v>
          </cell>
          <cell r="J81">
            <v>0.8</v>
          </cell>
          <cell r="K81">
            <v>0.78</v>
          </cell>
          <cell r="L81">
            <v>1</v>
          </cell>
          <cell r="M81" t="str">
            <v>unknown</v>
          </cell>
          <cell r="N81" t="str">
            <v>Unknown</v>
          </cell>
          <cell r="O81">
            <v>1</v>
          </cell>
          <cell r="P81">
            <v>1</v>
          </cell>
          <cell r="Q81">
            <v>1</v>
          </cell>
          <cell r="R81" t="str">
            <v>Boss</v>
          </cell>
          <cell r="S81">
            <v>5</v>
          </cell>
          <cell r="T81">
            <v>1.3</v>
          </cell>
          <cell r="U81">
            <v>0.8</v>
          </cell>
          <cell r="V81">
            <v>2</v>
          </cell>
          <cell r="W81">
            <v>0.75</v>
          </cell>
          <cell r="X81">
            <v>30</v>
          </cell>
          <cell r="Y81">
            <v>1.3</v>
          </cell>
          <cell r="Z81">
            <v>1.3</v>
          </cell>
          <cell r="AA81">
            <v>1.1000000000000001</v>
          </cell>
          <cell r="AB81">
            <v>0</v>
          </cell>
        </row>
        <row r="82">
          <cell r="A82">
            <v>81</v>
          </cell>
          <cell r="B82" t="str">
            <v>増幅型モリス</v>
          </cell>
          <cell r="C82">
            <v>3</v>
          </cell>
          <cell r="D82" t="str">
            <v>blue</v>
          </cell>
          <cell r="E82">
            <v>1</v>
          </cell>
          <cell r="F82">
            <v>0.98</v>
          </cell>
          <cell r="G82">
            <v>1</v>
          </cell>
          <cell r="H82" t="str">
            <v>balance</v>
          </cell>
          <cell r="I82" t="str">
            <v>バランスタイプ</v>
          </cell>
          <cell r="J82">
            <v>1</v>
          </cell>
          <cell r="K82">
            <v>1</v>
          </cell>
          <cell r="L82">
            <v>1</v>
          </cell>
          <cell r="M82" t="str">
            <v>unknown</v>
          </cell>
          <cell r="N82" t="str">
            <v>Unknown</v>
          </cell>
          <cell r="O82">
            <v>1</v>
          </cell>
          <cell r="P82">
            <v>1</v>
          </cell>
          <cell r="Q82">
            <v>1</v>
          </cell>
          <cell r="R82" t="str">
            <v>Boss_HPx1.5</v>
          </cell>
          <cell r="S82">
            <v>7.5</v>
          </cell>
          <cell r="T82">
            <v>1</v>
          </cell>
          <cell r="U82">
            <v>0.8</v>
          </cell>
          <cell r="V82">
            <v>5</v>
          </cell>
          <cell r="W82">
            <v>1.5</v>
          </cell>
          <cell r="X82">
            <v>20</v>
          </cell>
          <cell r="Y82">
            <v>1.1000000000000001</v>
          </cell>
          <cell r="Z82">
            <v>1.2</v>
          </cell>
          <cell r="AA82">
            <v>1.2</v>
          </cell>
          <cell r="AB82">
            <v>81</v>
          </cell>
        </row>
        <row r="83">
          <cell r="A83">
            <v>82</v>
          </cell>
          <cell r="B83" t="str">
            <v>偽装増幅型G・モリス</v>
          </cell>
          <cell r="C83">
            <v>4</v>
          </cell>
          <cell r="D83" t="str">
            <v>blue</v>
          </cell>
          <cell r="E83">
            <v>1</v>
          </cell>
          <cell r="F83">
            <v>0.98</v>
          </cell>
          <cell r="G83">
            <v>1</v>
          </cell>
          <cell r="H83" t="str">
            <v>balance</v>
          </cell>
          <cell r="I83" t="str">
            <v>バランスタイプ</v>
          </cell>
          <cell r="J83">
            <v>1</v>
          </cell>
          <cell r="K83">
            <v>1</v>
          </cell>
          <cell r="L83">
            <v>1</v>
          </cell>
          <cell r="M83" t="str">
            <v>unknown</v>
          </cell>
          <cell r="N83" t="str">
            <v>Unknown</v>
          </cell>
          <cell r="O83">
            <v>1</v>
          </cell>
          <cell r="P83">
            <v>1</v>
          </cell>
          <cell r="Q83">
            <v>1</v>
          </cell>
          <cell r="R83" t="str">
            <v>Boss</v>
          </cell>
          <cell r="S83">
            <v>5</v>
          </cell>
          <cell r="T83">
            <v>1.3</v>
          </cell>
          <cell r="U83">
            <v>0.8</v>
          </cell>
          <cell r="V83">
            <v>2</v>
          </cell>
          <cell r="W83">
            <v>0.75</v>
          </cell>
          <cell r="X83">
            <v>30</v>
          </cell>
          <cell r="Y83">
            <v>1.3</v>
          </cell>
          <cell r="Z83">
            <v>1.3</v>
          </cell>
          <cell r="AA83">
            <v>1.1000000000000001</v>
          </cell>
          <cell r="AB83">
            <v>0</v>
          </cell>
        </row>
        <row r="84">
          <cell r="A84">
            <v>83</v>
          </cell>
          <cell r="B84" t="str">
            <v>拡散性ニムダ</v>
          </cell>
          <cell r="C84">
            <v>3</v>
          </cell>
          <cell r="D84" t="str">
            <v>yellow</v>
          </cell>
          <cell r="E84">
            <v>0.98</v>
          </cell>
          <cell r="F84">
            <v>1.01</v>
          </cell>
          <cell r="G84">
            <v>1</v>
          </cell>
          <cell r="H84" t="str">
            <v>heal</v>
          </cell>
          <cell r="I84" t="str">
            <v>回復タイプ</v>
          </cell>
          <cell r="J84">
            <v>0.8</v>
          </cell>
          <cell r="K84">
            <v>0.78</v>
          </cell>
          <cell r="L84">
            <v>1</v>
          </cell>
          <cell r="M84" t="str">
            <v>unknown</v>
          </cell>
          <cell r="N84" t="str">
            <v>Unknown</v>
          </cell>
          <cell r="O84">
            <v>1</v>
          </cell>
          <cell r="P84">
            <v>1</v>
          </cell>
          <cell r="Q84">
            <v>1</v>
          </cell>
          <cell r="R84" t="str">
            <v>Boss</v>
          </cell>
          <cell r="S84">
            <v>5</v>
          </cell>
          <cell r="T84">
            <v>1.3</v>
          </cell>
          <cell r="U84">
            <v>0.8</v>
          </cell>
          <cell r="V84">
            <v>2</v>
          </cell>
          <cell r="W84">
            <v>0.75</v>
          </cell>
          <cell r="X84">
            <v>20</v>
          </cell>
          <cell r="Y84">
            <v>1.1000000000000001</v>
          </cell>
          <cell r="Z84">
            <v>1.2</v>
          </cell>
          <cell r="AA84">
            <v>1.2</v>
          </cell>
          <cell r="AB84">
            <v>83</v>
          </cell>
        </row>
        <row r="85">
          <cell r="A85">
            <v>84</v>
          </cell>
          <cell r="B85" t="str">
            <v>高速拡散性ニムダE</v>
          </cell>
          <cell r="C85">
            <v>4</v>
          </cell>
          <cell r="D85" t="str">
            <v>yellow</v>
          </cell>
          <cell r="E85">
            <v>0.98</v>
          </cell>
          <cell r="F85">
            <v>1.01</v>
          </cell>
          <cell r="G85">
            <v>1</v>
          </cell>
          <cell r="H85" t="str">
            <v>heal</v>
          </cell>
          <cell r="I85" t="str">
            <v>回復タイプ</v>
          </cell>
          <cell r="J85">
            <v>0.8</v>
          </cell>
          <cell r="K85">
            <v>0.78</v>
          </cell>
          <cell r="L85">
            <v>1</v>
          </cell>
          <cell r="M85" t="str">
            <v>unknown</v>
          </cell>
          <cell r="N85" t="str">
            <v>Unknown</v>
          </cell>
          <cell r="O85">
            <v>1</v>
          </cell>
          <cell r="P85">
            <v>1</v>
          </cell>
          <cell r="Q85">
            <v>1</v>
          </cell>
          <cell r="R85" t="str">
            <v>Boss</v>
          </cell>
          <cell r="S85">
            <v>5</v>
          </cell>
          <cell r="T85">
            <v>1.3</v>
          </cell>
          <cell r="U85">
            <v>0.8</v>
          </cell>
          <cell r="V85">
            <v>2</v>
          </cell>
          <cell r="W85">
            <v>0.75</v>
          </cell>
          <cell r="X85">
            <v>30</v>
          </cell>
          <cell r="Y85">
            <v>1.3</v>
          </cell>
          <cell r="Z85">
            <v>1.3</v>
          </cell>
          <cell r="AA85">
            <v>1.1000000000000001</v>
          </cell>
          <cell r="AB85">
            <v>0</v>
          </cell>
        </row>
        <row r="86">
          <cell r="A86">
            <v>85</v>
          </cell>
          <cell r="B86" t="str">
            <v>朱雀</v>
          </cell>
          <cell r="C86">
            <v>3</v>
          </cell>
          <cell r="D86" t="str">
            <v>red</v>
          </cell>
          <cell r="E86">
            <v>1</v>
          </cell>
          <cell r="F86">
            <v>1.02</v>
          </cell>
          <cell r="G86">
            <v>1</v>
          </cell>
          <cell r="H86" t="str">
            <v>balance</v>
          </cell>
          <cell r="I86" t="str">
            <v>バランスタイプ</v>
          </cell>
          <cell r="J86">
            <v>1</v>
          </cell>
          <cell r="K86">
            <v>1</v>
          </cell>
          <cell r="L86">
            <v>1</v>
          </cell>
          <cell r="M86" t="str">
            <v>animal</v>
          </cell>
          <cell r="N86" t="str">
            <v>アニマル</v>
          </cell>
          <cell r="O86">
            <v>1</v>
          </cell>
          <cell r="P86">
            <v>1.1000000000000001</v>
          </cell>
          <cell r="Q86">
            <v>1</v>
          </cell>
          <cell r="R86" t="str">
            <v>Boss</v>
          </cell>
          <cell r="S86">
            <v>5</v>
          </cell>
          <cell r="T86">
            <v>1.3</v>
          </cell>
          <cell r="U86">
            <v>0.8</v>
          </cell>
          <cell r="V86">
            <v>2</v>
          </cell>
          <cell r="W86">
            <v>0.75</v>
          </cell>
          <cell r="X86">
            <v>20</v>
          </cell>
          <cell r="Y86">
            <v>1.1000000000000001</v>
          </cell>
          <cell r="Z86">
            <v>1.2</v>
          </cell>
          <cell r="AA86">
            <v>1.2</v>
          </cell>
          <cell r="AB86">
            <v>85</v>
          </cell>
        </row>
        <row r="87">
          <cell r="A87">
            <v>86</v>
          </cell>
          <cell r="B87" t="str">
            <v>守護者 朱雀</v>
          </cell>
          <cell r="C87">
            <v>4</v>
          </cell>
          <cell r="D87" t="str">
            <v>red</v>
          </cell>
          <cell r="E87">
            <v>1</v>
          </cell>
          <cell r="F87">
            <v>1.02</v>
          </cell>
          <cell r="G87">
            <v>1</v>
          </cell>
          <cell r="H87" t="str">
            <v>balance</v>
          </cell>
          <cell r="I87" t="str">
            <v>バランスタイプ</v>
          </cell>
          <cell r="J87">
            <v>1</v>
          </cell>
          <cell r="K87">
            <v>1</v>
          </cell>
          <cell r="L87">
            <v>1</v>
          </cell>
          <cell r="M87" t="str">
            <v>animal</v>
          </cell>
          <cell r="N87" t="str">
            <v>アニマル</v>
          </cell>
          <cell r="O87">
            <v>1</v>
          </cell>
          <cell r="P87">
            <v>1.1000000000000001</v>
          </cell>
          <cell r="Q87">
            <v>1</v>
          </cell>
          <cell r="R87" t="str">
            <v>Boss</v>
          </cell>
          <cell r="S87">
            <v>5</v>
          </cell>
          <cell r="T87">
            <v>1.3</v>
          </cell>
          <cell r="U87">
            <v>0.8</v>
          </cell>
          <cell r="V87">
            <v>2</v>
          </cell>
          <cell r="W87">
            <v>0.75</v>
          </cell>
          <cell r="X87">
            <v>30</v>
          </cell>
          <cell r="Y87">
            <v>1.3</v>
          </cell>
          <cell r="Z87">
            <v>1.3</v>
          </cell>
          <cell r="AA87">
            <v>1.1000000000000001</v>
          </cell>
          <cell r="AB87">
            <v>86</v>
          </cell>
        </row>
        <row r="88">
          <cell r="A88">
            <v>87</v>
          </cell>
          <cell r="B88" t="str">
            <v>朱南の守護神 朱雀</v>
          </cell>
          <cell r="C88">
            <v>5</v>
          </cell>
          <cell r="D88" t="str">
            <v>red</v>
          </cell>
          <cell r="E88">
            <v>1</v>
          </cell>
          <cell r="F88">
            <v>1.02</v>
          </cell>
          <cell r="G88">
            <v>1</v>
          </cell>
          <cell r="H88" t="str">
            <v>balance</v>
          </cell>
          <cell r="I88" t="str">
            <v>バランスタイプ</v>
          </cell>
          <cell r="J88">
            <v>1</v>
          </cell>
          <cell r="K88">
            <v>1</v>
          </cell>
          <cell r="L88">
            <v>1</v>
          </cell>
          <cell r="M88" t="str">
            <v>animal</v>
          </cell>
          <cell r="N88" t="str">
            <v>アニマル</v>
          </cell>
          <cell r="O88">
            <v>1</v>
          </cell>
          <cell r="P88">
            <v>1.1000000000000001</v>
          </cell>
          <cell r="Q88">
            <v>1</v>
          </cell>
          <cell r="R88" t="str">
            <v>Boss</v>
          </cell>
          <cell r="S88">
            <v>5</v>
          </cell>
          <cell r="T88">
            <v>1.3</v>
          </cell>
          <cell r="U88">
            <v>0.8</v>
          </cell>
          <cell r="V88">
            <v>2</v>
          </cell>
          <cell r="W88">
            <v>0.75</v>
          </cell>
          <cell r="X88">
            <v>60</v>
          </cell>
          <cell r="Y88">
            <v>1.7</v>
          </cell>
          <cell r="Z88">
            <v>1.4</v>
          </cell>
          <cell r="AA88">
            <v>1</v>
          </cell>
          <cell r="AB88">
            <v>0</v>
          </cell>
        </row>
        <row r="89">
          <cell r="A89">
            <v>88</v>
          </cell>
          <cell r="B89" t="str">
            <v>玄武</v>
          </cell>
          <cell r="C89">
            <v>3</v>
          </cell>
          <cell r="D89" t="str">
            <v>green</v>
          </cell>
          <cell r="E89">
            <v>1.02</v>
          </cell>
          <cell r="F89">
            <v>0.98</v>
          </cell>
          <cell r="G89">
            <v>1</v>
          </cell>
          <cell r="H89" t="str">
            <v>technical</v>
          </cell>
          <cell r="I89" t="str">
            <v>テクニカルタイプ</v>
          </cell>
          <cell r="J89">
            <v>0.9</v>
          </cell>
          <cell r="K89">
            <v>0.9</v>
          </cell>
          <cell r="L89">
            <v>1</v>
          </cell>
          <cell r="M89" t="str">
            <v>dragon</v>
          </cell>
          <cell r="N89" t="str">
            <v>ドラゴン</v>
          </cell>
          <cell r="O89">
            <v>1.1499999999999999</v>
          </cell>
          <cell r="P89">
            <v>1.1000000000000001</v>
          </cell>
          <cell r="Q89">
            <v>1</v>
          </cell>
          <cell r="R89" t="str">
            <v>Boss</v>
          </cell>
          <cell r="S89">
            <v>5</v>
          </cell>
          <cell r="T89">
            <v>1.3</v>
          </cell>
          <cell r="U89">
            <v>0.8</v>
          </cell>
          <cell r="V89">
            <v>2</v>
          </cell>
          <cell r="W89">
            <v>0.75</v>
          </cell>
          <cell r="X89">
            <v>20</v>
          </cell>
          <cell r="Y89">
            <v>1.1000000000000001</v>
          </cell>
          <cell r="Z89">
            <v>1.2</v>
          </cell>
          <cell r="AA89">
            <v>1.2</v>
          </cell>
          <cell r="AB89">
            <v>88</v>
          </cell>
        </row>
        <row r="90">
          <cell r="A90">
            <v>89</v>
          </cell>
          <cell r="B90" t="str">
            <v>守護者 玄武</v>
          </cell>
          <cell r="C90">
            <v>4</v>
          </cell>
          <cell r="D90" t="str">
            <v>green</v>
          </cell>
          <cell r="E90">
            <v>1.02</v>
          </cell>
          <cell r="F90">
            <v>0.98</v>
          </cell>
          <cell r="G90">
            <v>1</v>
          </cell>
          <cell r="H90" t="str">
            <v>technical</v>
          </cell>
          <cell r="I90" t="str">
            <v>テクニカルタイプ</v>
          </cell>
          <cell r="J90">
            <v>0.9</v>
          </cell>
          <cell r="K90">
            <v>0.9</v>
          </cell>
          <cell r="L90">
            <v>1</v>
          </cell>
          <cell r="M90" t="str">
            <v>dragon</v>
          </cell>
          <cell r="N90" t="str">
            <v>ドラゴン</v>
          </cell>
          <cell r="O90">
            <v>1.1499999999999999</v>
          </cell>
          <cell r="P90">
            <v>1.1000000000000001</v>
          </cell>
          <cell r="Q90">
            <v>1</v>
          </cell>
          <cell r="R90" t="str">
            <v>Boss</v>
          </cell>
          <cell r="S90">
            <v>5</v>
          </cell>
          <cell r="T90">
            <v>1.3</v>
          </cell>
          <cell r="U90">
            <v>0.8</v>
          </cell>
          <cell r="V90">
            <v>2</v>
          </cell>
          <cell r="W90">
            <v>0.75</v>
          </cell>
          <cell r="X90">
            <v>30</v>
          </cell>
          <cell r="Y90">
            <v>1.3</v>
          </cell>
          <cell r="Z90">
            <v>1.3</v>
          </cell>
          <cell r="AA90">
            <v>1.1000000000000001</v>
          </cell>
          <cell r="AB90">
            <v>89</v>
          </cell>
        </row>
        <row r="91">
          <cell r="A91">
            <v>90</v>
          </cell>
          <cell r="B91" t="str">
            <v>翠北の守護神 玄武</v>
          </cell>
          <cell r="C91">
            <v>5</v>
          </cell>
          <cell r="D91" t="str">
            <v>green</v>
          </cell>
          <cell r="E91">
            <v>1.02</v>
          </cell>
          <cell r="F91">
            <v>0.98</v>
          </cell>
          <cell r="G91">
            <v>1</v>
          </cell>
          <cell r="H91" t="str">
            <v>technical</v>
          </cell>
          <cell r="I91" t="str">
            <v>テクニカルタイプ</v>
          </cell>
          <cell r="J91">
            <v>0.9</v>
          </cell>
          <cell r="K91">
            <v>0.9</v>
          </cell>
          <cell r="L91">
            <v>1</v>
          </cell>
          <cell r="M91" t="str">
            <v>dragon</v>
          </cell>
          <cell r="N91" t="str">
            <v>ドラゴン</v>
          </cell>
          <cell r="O91">
            <v>1.1499999999999999</v>
          </cell>
          <cell r="P91">
            <v>1.1000000000000001</v>
          </cell>
          <cell r="Q91">
            <v>1</v>
          </cell>
          <cell r="R91" t="str">
            <v>Boss</v>
          </cell>
          <cell r="S91">
            <v>5</v>
          </cell>
          <cell r="T91">
            <v>1.3</v>
          </cell>
          <cell r="U91">
            <v>0.8</v>
          </cell>
          <cell r="V91">
            <v>2</v>
          </cell>
          <cell r="W91">
            <v>0.75</v>
          </cell>
          <cell r="X91">
            <v>60</v>
          </cell>
          <cell r="Y91">
            <v>1.7</v>
          </cell>
          <cell r="Z91">
            <v>1.4</v>
          </cell>
          <cell r="AA91">
            <v>1</v>
          </cell>
          <cell r="AB91">
            <v>0</v>
          </cell>
        </row>
        <row r="92">
          <cell r="A92">
            <v>91</v>
          </cell>
          <cell r="B92" t="str">
            <v>青龍</v>
          </cell>
          <cell r="C92">
            <v>3</v>
          </cell>
          <cell r="D92" t="str">
            <v>blue</v>
          </cell>
          <cell r="E92">
            <v>1</v>
          </cell>
          <cell r="F92">
            <v>0.98</v>
          </cell>
          <cell r="G92">
            <v>1</v>
          </cell>
          <cell r="H92" t="str">
            <v>balance</v>
          </cell>
          <cell r="I92" t="str">
            <v>バランスタイプ</v>
          </cell>
          <cell r="J92">
            <v>1</v>
          </cell>
          <cell r="K92">
            <v>1</v>
          </cell>
          <cell r="L92">
            <v>1</v>
          </cell>
          <cell r="M92" t="str">
            <v>dragon</v>
          </cell>
          <cell r="N92" t="str">
            <v>ドラゴン</v>
          </cell>
          <cell r="O92">
            <v>1.1499999999999999</v>
          </cell>
          <cell r="P92">
            <v>1.1000000000000001</v>
          </cell>
          <cell r="Q92">
            <v>1</v>
          </cell>
          <cell r="R92" t="str">
            <v>Boss</v>
          </cell>
          <cell r="S92">
            <v>5</v>
          </cell>
          <cell r="T92">
            <v>1.3</v>
          </cell>
          <cell r="U92">
            <v>0.8</v>
          </cell>
          <cell r="V92">
            <v>3</v>
          </cell>
          <cell r="W92">
            <v>1</v>
          </cell>
          <cell r="X92">
            <v>20</v>
          </cell>
          <cell r="Y92">
            <v>1.1000000000000001</v>
          </cell>
          <cell r="Z92">
            <v>1.2</v>
          </cell>
          <cell r="AA92">
            <v>1.2</v>
          </cell>
          <cell r="AB92">
            <v>0</v>
          </cell>
        </row>
        <row r="93">
          <cell r="A93">
            <v>92</v>
          </cell>
          <cell r="B93" t="str">
            <v>守護者 青龍</v>
          </cell>
          <cell r="C93">
            <v>4</v>
          </cell>
          <cell r="D93" t="str">
            <v>blue</v>
          </cell>
          <cell r="E93">
            <v>1</v>
          </cell>
          <cell r="F93">
            <v>0.98</v>
          </cell>
          <cell r="G93">
            <v>1</v>
          </cell>
          <cell r="H93" t="str">
            <v>balance</v>
          </cell>
          <cell r="I93" t="str">
            <v>バランスタイプ</v>
          </cell>
          <cell r="J93">
            <v>1</v>
          </cell>
          <cell r="K93">
            <v>1</v>
          </cell>
          <cell r="L93">
            <v>1</v>
          </cell>
          <cell r="M93" t="str">
            <v>dragon</v>
          </cell>
          <cell r="N93" t="str">
            <v>ドラゴン</v>
          </cell>
          <cell r="O93">
            <v>1.1499999999999999</v>
          </cell>
          <cell r="P93">
            <v>1.1000000000000001</v>
          </cell>
          <cell r="Q93">
            <v>1</v>
          </cell>
          <cell r="R93" t="str">
            <v>Boss</v>
          </cell>
          <cell r="S93">
            <v>5</v>
          </cell>
          <cell r="T93">
            <v>1.3</v>
          </cell>
          <cell r="U93">
            <v>0.8</v>
          </cell>
          <cell r="V93">
            <v>3</v>
          </cell>
          <cell r="W93">
            <v>1</v>
          </cell>
          <cell r="X93">
            <v>30</v>
          </cell>
          <cell r="Y93">
            <v>1.3</v>
          </cell>
          <cell r="Z93">
            <v>1.3</v>
          </cell>
          <cell r="AA93">
            <v>1.1000000000000001</v>
          </cell>
          <cell r="AB93">
            <v>0</v>
          </cell>
        </row>
        <row r="94">
          <cell r="A94">
            <v>93</v>
          </cell>
          <cell r="B94" t="str">
            <v>碧東の守護神 青龍</v>
          </cell>
          <cell r="C94">
            <v>5</v>
          </cell>
          <cell r="D94" t="str">
            <v>blue</v>
          </cell>
          <cell r="E94">
            <v>1</v>
          </cell>
          <cell r="F94">
            <v>0.98</v>
          </cell>
          <cell r="G94">
            <v>1</v>
          </cell>
          <cell r="H94" t="str">
            <v>balance</v>
          </cell>
          <cell r="I94" t="str">
            <v>バランスタイプ</v>
          </cell>
          <cell r="J94">
            <v>1</v>
          </cell>
          <cell r="K94">
            <v>1</v>
          </cell>
          <cell r="L94">
            <v>1</v>
          </cell>
          <cell r="M94" t="str">
            <v>dragon</v>
          </cell>
          <cell r="N94" t="str">
            <v>ドラゴン</v>
          </cell>
          <cell r="O94">
            <v>1.1499999999999999</v>
          </cell>
          <cell r="P94">
            <v>1.1000000000000001</v>
          </cell>
          <cell r="Q94">
            <v>1</v>
          </cell>
          <cell r="R94" t="str">
            <v>Boss</v>
          </cell>
          <cell r="S94">
            <v>5</v>
          </cell>
          <cell r="T94">
            <v>1.3</v>
          </cell>
          <cell r="U94">
            <v>0.8</v>
          </cell>
          <cell r="V94">
            <v>3</v>
          </cell>
          <cell r="W94">
            <v>1</v>
          </cell>
          <cell r="X94">
            <v>60</v>
          </cell>
          <cell r="Y94">
            <v>1.7</v>
          </cell>
          <cell r="Z94">
            <v>1.4</v>
          </cell>
          <cell r="AA94">
            <v>1</v>
          </cell>
          <cell r="AB94">
            <v>0</v>
          </cell>
        </row>
        <row r="95">
          <cell r="A95">
            <v>94</v>
          </cell>
          <cell r="B95" t="str">
            <v>白虎</v>
          </cell>
          <cell r="C95">
            <v>3</v>
          </cell>
          <cell r="D95" t="str">
            <v>yellow</v>
          </cell>
          <cell r="E95">
            <v>0.98</v>
          </cell>
          <cell r="F95">
            <v>1.01</v>
          </cell>
          <cell r="G95">
            <v>1</v>
          </cell>
          <cell r="H95" t="str">
            <v>attack</v>
          </cell>
          <cell r="I95" t="str">
            <v>攻撃タイプ</v>
          </cell>
          <cell r="J95">
            <v>1</v>
          </cell>
          <cell r="K95">
            <v>1.33</v>
          </cell>
          <cell r="L95">
            <v>1</v>
          </cell>
          <cell r="M95" t="str">
            <v>animal</v>
          </cell>
          <cell r="N95" t="str">
            <v>アニマル</v>
          </cell>
          <cell r="O95">
            <v>1</v>
          </cell>
          <cell r="P95">
            <v>1.1000000000000001</v>
          </cell>
          <cell r="Q95">
            <v>1</v>
          </cell>
          <cell r="R95" t="str">
            <v>Boss</v>
          </cell>
          <cell r="S95">
            <v>5</v>
          </cell>
          <cell r="T95">
            <v>1.3</v>
          </cell>
          <cell r="U95">
            <v>0.8</v>
          </cell>
          <cell r="V95">
            <v>6</v>
          </cell>
          <cell r="W95">
            <v>3</v>
          </cell>
          <cell r="X95">
            <v>20</v>
          </cell>
          <cell r="Y95">
            <v>1.1000000000000001</v>
          </cell>
          <cell r="Z95">
            <v>1.2</v>
          </cell>
          <cell r="AA95">
            <v>1.2</v>
          </cell>
          <cell r="AB95">
            <v>0</v>
          </cell>
        </row>
        <row r="96">
          <cell r="A96">
            <v>95</v>
          </cell>
          <cell r="B96" t="str">
            <v>守護者 白虎</v>
          </cell>
          <cell r="C96">
            <v>4</v>
          </cell>
          <cell r="D96" t="str">
            <v>yellow</v>
          </cell>
          <cell r="E96">
            <v>0.98</v>
          </cell>
          <cell r="F96">
            <v>1.01</v>
          </cell>
          <cell r="G96">
            <v>1</v>
          </cell>
          <cell r="H96" t="str">
            <v>attack</v>
          </cell>
          <cell r="I96" t="str">
            <v>攻撃タイプ</v>
          </cell>
          <cell r="J96">
            <v>1</v>
          </cell>
          <cell r="K96">
            <v>1.33</v>
          </cell>
          <cell r="L96">
            <v>1</v>
          </cell>
          <cell r="M96" t="str">
            <v>animal</v>
          </cell>
          <cell r="N96" t="str">
            <v>アニマル</v>
          </cell>
          <cell r="O96">
            <v>1</v>
          </cell>
          <cell r="P96">
            <v>1.1000000000000001</v>
          </cell>
          <cell r="Q96">
            <v>1</v>
          </cell>
          <cell r="R96" t="str">
            <v>Boss</v>
          </cell>
          <cell r="S96">
            <v>5</v>
          </cell>
          <cell r="T96">
            <v>1.3</v>
          </cell>
          <cell r="U96">
            <v>0.8</v>
          </cell>
          <cell r="V96">
            <v>6</v>
          </cell>
          <cell r="W96">
            <v>3</v>
          </cell>
          <cell r="X96">
            <v>30</v>
          </cell>
          <cell r="Y96">
            <v>1.3</v>
          </cell>
          <cell r="Z96">
            <v>1.3</v>
          </cell>
          <cell r="AA96">
            <v>1.1000000000000001</v>
          </cell>
          <cell r="AB96">
            <v>0</v>
          </cell>
        </row>
        <row r="97">
          <cell r="A97">
            <v>96</v>
          </cell>
          <cell r="B97" t="str">
            <v>金西の守護神 白虎</v>
          </cell>
          <cell r="C97">
            <v>5</v>
          </cell>
          <cell r="D97" t="str">
            <v>yellow</v>
          </cell>
          <cell r="E97">
            <v>0.98</v>
          </cell>
          <cell r="F97">
            <v>1.01</v>
          </cell>
          <cell r="G97">
            <v>1</v>
          </cell>
          <cell r="H97" t="str">
            <v>attack</v>
          </cell>
          <cell r="I97" t="str">
            <v>攻撃タイプ</v>
          </cell>
          <cell r="J97">
            <v>1</v>
          </cell>
          <cell r="K97">
            <v>1.33</v>
          </cell>
          <cell r="L97">
            <v>1</v>
          </cell>
          <cell r="M97" t="str">
            <v>animal</v>
          </cell>
          <cell r="N97" t="str">
            <v>アニマル</v>
          </cell>
          <cell r="O97">
            <v>1</v>
          </cell>
          <cell r="P97">
            <v>1.1000000000000001</v>
          </cell>
          <cell r="Q97">
            <v>1</v>
          </cell>
          <cell r="R97" t="str">
            <v>Boss</v>
          </cell>
          <cell r="S97">
            <v>5</v>
          </cell>
          <cell r="T97">
            <v>1.3</v>
          </cell>
          <cell r="U97">
            <v>0.8</v>
          </cell>
          <cell r="V97">
            <v>6</v>
          </cell>
          <cell r="W97">
            <v>3</v>
          </cell>
          <cell r="X97">
            <v>60</v>
          </cell>
          <cell r="Y97">
            <v>1.7</v>
          </cell>
          <cell r="Z97">
            <v>1.4</v>
          </cell>
          <cell r="AA97">
            <v>1</v>
          </cell>
          <cell r="AB97">
            <v>0</v>
          </cell>
        </row>
        <row r="98">
          <cell r="A98">
            <v>97</v>
          </cell>
          <cell r="B98" t="str">
            <v>炎のミリオンダック</v>
          </cell>
          <cell r="C98">
            <v>6</v>
          </cell>
          <cell r="D98" t="str">
            <v>red</v>
          </cell>
          <cell r="E98">
            <v>1</v>
          </cell>
          <cell r="F98">
            <v>1.02</v>
          </cell>
          <cell r="G98">
            <v>1</v>
          </cell>
          <cell r="H98" t="str">
            <v>exp</v>
          </cell>
          <cell r="I98" t="str">
            <v>強化素材タイプ</v>
          </cell>
          <cell r="J98">
            <v>0.1</v>
          </cell>
          <cell r="K98">
            <v>0.05</v>
          </cell>
          <cell r="L98">
            <v>1</v>
          </cell>
          <cell r="M98" t="str">
            <v>unknown</v>
          </cell>
          <cell r="N98" t="str">
            <v>Unknown</v>
          </cell>
          <cell r="O98">
            <v>1</v>
          </cell>
          <cell r="P98">
            <v>1</v>
          </cell>
          <cell r="Q98">
            <v>1</v>
          </cell>
          <cell r="R98" t="str">
            <v>Normal</v>
          </cell>
          <cell r="S98">
            <v>1</v>
          </cell>
          <cell r="T98">
            <v>1</v>
          </cell>
          <cell r="U98">
            <v>1</v>
          </cell>
          <cell r="V98">
            <v>1</v>
          </cell>
          <cell r="W98">
            <v>0.55000000000000004</v>
          </cell>
          <cell r="X98">
            <v>20</v>
          </cell>
          <cell r="Y98">
            <v>1.1000000000000001</v>
          </cell>
          <cell r="Z98">
            <v>1.2</v>
          </cell>
          <cell r="AA98">
            <v>1.2</v>
          </cell>
          <cell r="AB98">
            <v>0</v>
          </cell>
        </row>
        <row r="99">
          <cell r="A99">
            <v>98</v>
          </cell>
          <cell r="B99" t="str">
            <v>森のミリオンダック</v>
          </cell>
          <cell r="C99">
            <v>6</v>
          </cell>
          <cell r="D99" t="str">
            <v>green</v>
          </cell>
          <cell r="E99">
            <v>1.02</v>
          </cell>
          <cell r="F99">
            <v>0.98</v>
          </cell>
          <cell r="G99">
            <v>1</v>
          </cell>
          <cell r="H99" t="str">
            <v>exp</v>
          </cell>
          <cell r="I99" t="str">
            <v>強化素材タイプ</v>
          </cell>
          <cell r="J99">
            <v>0.1</v>
          </cell>
          <cell r="K99">
            <v>0.05</v>
          </cell>
          <cell r="L99">
            <v>1</v>
          </cell>
          <cell r="M99" t="str">
            <v>unknown</v>
          </cell>
          <cell r="N99" t="str">
            <v>Unknown</v>
          </cell>
          <cell r="O99">
            <v>1</v>
          </cell>
          <cell r="P99">
            <v>1</v>
          </cell>
          <cell r="Q99">
            <v>1</v>
          </cell>
          <cell r="R99" t="str">
            <v>Normal</v>
          </cell>
          <cell r="S99">
            <v>1</v>
          </cell>
          <cell r="T99">
            <v>1</v>
          </cell>
          <cell r="U99">
            <v>1</v>
          </cell>
          <cell r="V99">
            <v>1</v>
          </cell>
          <cell r="W99">
            <v>0.55000000000000004</v>
          </cell>
          <cell r="X99">
            <v>20</v>
          </cell>
          <cell r="Y99">
            <v>1.1000000000000001</v>
          </cell>
          <cell r="Z99">
            <v>1.2</v>
          </cell>
          <cell r="AA99">
            <v>1.2</v>
          </cell>
          <cell r="AB99">
            <v>0</v>
          </cell>
        </row>
        <row r="100">
          <cell r="A100">
            <v>99</v>
          </cell>
          <cell r="B100" t="str">
            <v>水のミリオンダック</v>
          </cell>
          <cell r="C100">
            <v>6</v>
          </cell>
          <cell r="D100" t="str">
            <v>blue</v>
          </cell>
          <cell r="E100">
            <v>1</v>
          </cell>
          <cell r="F100">
            <v>0.98</v>
          </cell>
          <cell r="G100">
            <v>1</v>
          </cell>
          <cell r="H100" t="str">
            <v>exp</v>
          </cell>
          <cell r="I100" t="str">
            <v>強化素材タイプ</v>
          </cell>
          <cell r="J100">
            <v>0.1</v>
          </cell>
          <cell r="K100">
            <v>0.05</v>
          </cell>
          <cell r="L100">
            <v>1</v>
          </cell>
          <cell r="M100" t="str">
            <v>unknown</v>
          </cell>
          <cell r="N100" t="str">
            <v>Unknown</v>
          </cell>
          <cell r="O100">
            <v>1</v>
          </cell>
          <cell r="P100">
            <v>1</v>
          </cell>
          <cell r="Q100">
            <v>1</v>
          </cell>
          <cell r="R100" t="str">
            <v>Normal</v>
          </cell>
          <cell r="S100">
            <v>1</v>
          </cell>
          <cell r="T100">
            <v>1</v>
          </cell>
          <cell r="U100">
            <v>1</v>
          </cell>
          <cell r="V100">
            <v>1</v>
          </cell>
          <cell r="W100">
            <v>0.55000000000000004</v>
          </cell>
          <cell r="X100">
            <v>20</v>
          </cell>
          <cell r="Y100">
            <v>1.1000000000000001</v>
          </cell>
          <cell r="Z100">
            <v>1.2</v>
          </cell>
          <cell r="AA100">
            <v>1.2</v>
          </cell>
          <cell r="AB100">
            <v>0</v>
          </cell>
        </row>
        <row r="101">
          <cell r="A101">
            <v>100</v>
          </cell>
          <cell r="B101" t="str">
            <v>雷のミリオンダック</v>
          </cell>
          <cell r="C101">
            <v>6</v>
          </cell>
          <cell r="D101" t="str">
            <v>yellow</v>
          </cell>
          <cell r="E101">
            <v>0.98</v>
          </cell>
          <cell r="F101">
            <v>1.01</v>
          </cell>
          <cell r="G101">
            <v>1</v>
          </cell>
          <cell r="H101" t="str">
            <v>exp</v>
          </cell>
          <cell r="I101" t="str">
            <v>強化素材タイプ</v>
          </cell>
          <cell r="J101">
            <v>0.1</v>
          </cell>
          <cell r="K101">
            <v>0.05</v>
          </cell>
          <cell r="L101">
            <v>1</v>
          </cell>
          <cell r="M101" t="str">
            <v>unknown</v>
          </cell>
          <cell r="N101" t="str">
            <v>Unknown</v>
          </cell>
          <cell r="O101">
            <v>1</v>
          </cell>
          <cell r="P101">
            <v>1</v>
          </cell>
          <cell r="Q101">
            <v>1</v>
          </cell>
          <cell r="R101" t="str">
            <v>Normal</v>
          </cell>
          <cell r="S101">
            <v>1</v>
          </cell>
          <cell r="T101">
            <v>1</v>
          </cell>
          <cell r="U101">
            <v>1</v>
          </cell>
          <cell r="V101">
            <v>1</v>
          </cell>
          <cell r="W101">
            <v>0.55000000000000004</v>
          </cell>
          <cell r="X101">
            <v>20</v>
          </cell>
          <cell r="Y101">
            <v>1.1000000000000001</v>
          </cell>
          <cell r="Z101">
            <v>1.2</v>
          </cell>
          <cell r="AA101">
            <v>1.2</v>
          </cell>
          <cell r="AB101">
            <v>0</v>
          </cell>
        </row>
        <row r="102">
          <cell r="A102">
            <v>101</v>
          </cell>
          <cell r="B102" t="str">
            <v>レッドチェシャ</v>
          </cell>
          <cell r="C102">
            <v>2</v>
          </cell>
          <cell r="D102" t="str">
            <v>red</v>
          </cell>
          <cell r="E102">
            <v>1</v>
          </cell>
          <cell r="F102">
            <v>1.02</v>
          </cell>
          <cell r="G102">
            <v>1</v>
          </cell>
          <cell r="H102" t="str">
            <v>evolution</v>
          </cell>
          <cell r="I102" t="str">
            <v>覚醒素材タイプ</v>
          </cell>
          <cell r="J102">
            <v>0.1</v>
          </cell>
          <cell r="K102">
            <v>0.05</v>
          </cell>
          <cell r="L102">
            <v>1</v>
          </cell>
          <cell r="M102" t="str">
            <v>unknown</v>
          </cell>
          <cell r="N102" t="str">
            <v>Unknown</v>
          </cell>
          <cell r="O102">
            <v>1</v>
          </cell>
          <cell r="P102">
            <v>1</v>
          </cell>
          <cell r="Q102">
            <v>1</v>
          </cell>
          <cell r="R102" t="str">
            <v>Normal</v>
          </cell>
          <cell r="S102">
            <v>1</v>
          </cell>
          <cell r="T102">
            <v>1</v>
          </cell>
          <cell r="U102">
            <v>1</v>
          </cell>
          <cell r="V102">
            <v>1</v>
          </cell>
          <cell r="W102">
            <v>0.55000000000000004</v>
          </cell>
          <cell r="X102">
            <v>15</v>
          </cell>
          <cell r="Y102">
            <v>1</v>
          </cell>
          <cell r="Z102">
            <v>1</v>
          </cell>
          <cell r="AA102">
            <v>1</v>
          </cell>
          <cell r="AB102">
            <v>0</v>
          </cell>
        </row>
        <row r="103">
          <cell r="A103">
            <v>102</v>
          </cell>
          <cell r="B103" t="str">
            <v>レッドラビット</v>
          </cell>
          <cell r="C103">
            <v>3</v>
          </cell>
          <cell r="D103" t="str">
            <v>red</v>
          </cell>
          <cell r="E103">
            <v>1</v>
          </cell>
          <cell r="F103">
            <v>1.02</v>
          </cell>
          <cell r="G103">
            <v>1</v>
          </cell>
          <cell r="H103" t="str">
            <v>evolution</v>
          </cell>
          <cell r="I103" t="str">
            <v>覚醒素材タイプ</v>
          </cell>
          <cell r="J103">
            <v>0.1</v>
          </cell>
          <cell r="K103">
            <v>0.05</v>
          </cell>
          <cell r="L103">
            <v>1</v>
          </cell>
          <cell r="M103" t="str">
            <v>unknown</v>
          </cell>
          <cell r="N103" t="str">
            <v>Unknown</v>
          </cell>
          <cell r="O103">
            <v>1</v>
          </cell>
          <cell r="P103">
            <v>1</v>
          </cell>
          <cell r="Q103">
            <v>1</v>
          </cell>
          <cell r="R103" t="str">
            <v>Normal</v>
          </cell>
          <cell r="S103">
            <v>1</v>
          </cell>
          <cell r="T103">
            <v>1</v>
          </cell>
          <cell r="U103">
            <v>1</v>
          </cell>
          <cell r="V103">
            <v>2</v>
          </cell>
          <cell r="W103">
            <v>0.75</v>
          </cell>
          <cell r="X103">
            <v>15</v>
          </cell>
          <cell r="Y103">
            <v>1</v>
          </cell>
          <cell r="Z103">
            <v>1</v>
          </cell>
          <cell r="AA103">
            <v>1</v>
          </cell>
          <cell r="AB103">
            <v>0</v>
          </cell>
        </row>
        <row r="104">
          <cell r="A104">
            <v>103</v>
          </cell>
          <cell r="B104" t="str">
            <v>レッドキャタップ</v>
          </cell>
          <cell r="C104">
            <v>4</v>
          </cell>
          <cell r="D104" t="str">
            <v>red</v>
          </cell>
          <cell r="E104">
            <v>1</v>
          </cell>
          <cell r="F104">
            <v>1.02</v>
          </cell>
          <cell r="G104">
            <v>1</v>
          </cell>
          <cell r="H104" t="str">
            <v>evolution</v>
          </cell>
          <cell r="I104" t="str">
            <v>覚醒素材タイプ</v>
          </cell>
          <cell r="J104">
            <v>0.1</v>
          </cell>
          <cell r="K104">
            <v>0.05</v>
          </cell>
          <cell r="L104">
            <v>1</v>
          </cell>
          <cell r="M104" t="str">
            <v>unknown</v>
          </cell>
          <cell r="N104" t="str">
            <v>Unknown</v>
          </cell>
          <cell r="O104">
            <v>1</v>
          </cell>
          <cell r="P104">
            <v>1</v>
          </cell>
          <cell r="Q104">
            <v>1</v>
          </cell>
          <cell r="R104" t="str">
            <v>Normal</v>
          </cell>
          <cell r="S104">
            <v>1</v>
          </cell>
          <cell r="T104">
            <v>1</v>
          </cell>
          <cell r="U104">
            <v>1</v>
          </cell>
          <cell r="V104">
            <v>3</v>
          </cell>
          <cell r="W104">
            <v>1</v>
          </cell>
          <cell r="X104">
            <v>15</v>
          </cell>
          <cell r="Y104">
            <v>1</v>
          </cell>
          <cell r="Z104">
            <v>1</v>
          </cell>
          <cell r="AA104">
            <v>1</v>
          </cell>
          <cell r="AB104">
            <v>0</v>
          </cell>
        </row>
        <row r="105">
          <cell r="A105">
            <v>104</v>
          </cell>
          <cell r="B105" t="str">
            <v>炎のマッドハッター</v>
          </cell>
          <cell r="C105">
            <v>5</v>
          </cell>
          <cell r="D105" t="str">
            <v>red</v>
          </cell>
          <cell r="E105">
            <v>1</v>
          </cell>
          <cell r="F105">
            <v>1.02</v>
          </cell>
          <cell r="G105">
            <v>1</v>
          </cell>
          <cell r="H105" t="str">
            <v>evolution</v>
          </cell>
          <cell r="I105" t="str">
            <v>覚醒素材タイプ</v>
          </cell>
          <cell r="J105">
            <v>0.1</v>
          </cell>
          <cell r="K105">
            <v>0.05</v>
          </cell>
          <cell r="L105">
            <v>1</v>
          </cell>
          <cell r="M105" t="str">
            <v>unknown</v>
          </cell>
          <cell r="N105" t="str">
            <v>Unknown</v>
          </cell>
          <cell r="O105">
            <v>1</v>
          </cell>
          <cell r="P105">
            <v>1</v>
          </cell>
          <cell r="Q105">
            <v>1</v>
          </cell>
          <cell r="R105" t="str">
            <v>Normal</v>
          </cell>
          <cell r="S105">
            <v>1</v>
          </cell>
          <cell r="T105">
            <v>1</v>
          </cell>
          <cell r="U105">
            <v>1</v>
          </cell>
          <cell r="V105">
            <v>2</v>
          </cell>
          <cell r="W105">
            <v>0.75</v>
          </cell>
          <cell r="X105">
            <v>20</v>
          </cell>
          <cell r="Y105">
            <v>1.1000000000000001</v>
          </cell>
          <cell r="Z105">
            <v>1.2</v>
          </cell>
          <cell r="AA105">
            <v>1.2</v>
          </cell>
          <cell r="AB105">
            <v>0</v>
          </cell>
        </row>
        <row r="106">
          <cell r="A106">
            <v>105</v>
          </cell>
          <cell r="B106" t="str">
            <v>グリーンチェシャ</v>
          </cell>
          <cell r="C106">
            <v>2</v>
          </cell>
          <cell r="D106" t="str">
            <v>green</v>
          </cell>
          <cell r="E106">
            <v>1.02</v>
          </cell>
          <cell r="F106">
            <v>0.98</v>
          </cell>
          <cell r="G106">
            <v>1</v>
          </cell>
          <cell r="H106" t="str">
            <v>evolution</v>
          </cell>
          <cell r="I106" t="str">
            <v>覚醒素材タイプ</v>
          </cell>
          <cell r="J106">
            <v>0.1</v>
          </cell>
          <cell r="K106">
            <v>0.05</v>
          </cell>
          <cell r="L106">
            <v>1</v>
          </cell>
          <cell r="M106" t="str">
            <v>unknown</v>
          </cell>
          <cell r="N106" t="str">
            <v>Unknown</v>
          </cell>
          <cell r="O106">
            <v>1</v>
          </cell>
          <cell r="P106">
            <v>1</v>
          </cell>
          <cell r="Q106">
            <v>1</v>
          </cell>
          <cell r="R106" t="str">
            <v>Normal</v>
          </cell>
          <cell r="S106">
            <v>1</v>
          </cell>
          <cell r="T106">
            <v>1</v>
          </cell>
          <cell r="U106">
            <v>1</v>
          </cell>
          <cell r="V106">
            <v>1</v>
          </cell>
          <cell r="W106">
            <v>0.55000000000000004</v>
          </cell>
          <cell r="X106">
            <v>15</v>
          </cell>
          <cell r="Y106">
            <v>1</v>
          </cell>
          <cell r="Z106">
            <v>1</v>
          </cell>
          <cell r="AA106">
            <v>1</v>
          </cell>
          <cell r="AB106">
            <v>0</v>
          </cell>
        </row>
        <row r="107">
          <cell r="A107">
            <v>106</v>
          </cell>
          <cell r="B107" t="str">
            <v>グリーンラビット</v>
          </cell>
          <cell r="C107">
            <v>3</v>
          </cell>
          <cell r="D107" t="str">
            <v>green</v>
          </cell>
          <cell r="E107">
            <v>1.02</v>
          </cell>
          <cell r="F107">
            <v>0.98</v>
          </cell>
          <cell r="G107">
            <v>1</v>
          </cell>
          <cell r="H107" t="str">
            <v>evolution</v>
          </cell>
          <cell r="I107" t="str">
            <v>覚醒素材タイプ</v>
          </cell>
          <cell r="J107">
            <v>0.1</v>
          </cell>
          <cell r="K107">
            <v>0.05</v>
          </cell>
          <cell r="L107">
            <v>1</v>
          </cell>
          <cell r="M107" t="str">
            <v>unknown</v>
          </cell>
          <cell r="N107" t="str">
            <v>Unknown</v>
          </cell>
          <cell r="O107">
            <v>1</v>
          </cell>
          <cell r="P107">
            <v>1</v>
          </cell>
          <cell r="Q107">
            <v>1</v>
          </cell>
          <cell r="R107" t="str">
            <v>Normal</v>
          </cell>
          <cell r="S107">
            <v>1</v>
          </cell>
          <cell r="T107">
            <v>1</v>
          </cell>
          <cell r="U107">
            <v>1</v>
          </cell>
          <cell r="V107">
            <v>2</v>
          </cell>
          <cell r="W107">
            <v>0.75</v>
          </cell>
          <cell r="X107">
            <v>15</v>
          </cell>
          <cell r="Y107">
            <v>1</v>
          </cell>
          <cell r="Z107">
            <v>1</v>
          </cell>
          <cell r="AA107">
            <v>1</v>
          </cell>
          <cell r="AB107">
            <v>0</v>
          </cell>
        </row>
        <row r="108">
          <cell r="A108">
            <v>107</v>
          </cell>
          <cell r="B108" t="str">
            <v>グリーンキャタップ</v>
          </cell>
          <cell r="C108">
            <v>4</v>
          </cell>
          <cell r="D108" t="str">
            <v>green</v>
          </cell>
          <cell r="E108">
            <v>1.02</v>
          </cell>
          <cell r="F108">
            <v>0.98</v>
          </cell>
          <cell r="G108">
            <v>1</v>
          </cell>
          <cell r="H108" t="str">
            <v>evolution</v>
          </cell>
          <cell r="I108" t="str">
            <v>覚醒素材タイプ</v>
          </cell>
          <cell r="J108">
            <v>0.1</v>
          </cell>
          <cell r="K108">
            <v>0.05</v>
          </cell>
          <cell r="L108">
            <v>1</v>
          </cell>
          <cell r="M108" t="str">
            <v>unknown</v>
          </cell>
          <cell r="N108" t="str">
            <v>Unknown</v>
          </cell>
          <cell r="O108">
            <v>1</v>
          </cell>
          <cell r="P108">
            <v>1</v>
          </cell>
          <cell r="Q108">
            <v>1</v>
          </cell>
          <cell r="R108" t="str">
            <v>Normal</v>
          </cell>
          <cell r="S108">
            <v>1</v>
          </cell>
          <cell r="T108">
            <v>1</v>
          </cell>
          <cell r="U108">
            <v>1</v>
          </cell>
          <cell r="V108">
            <v>1</v>
          </cell>
          <cell r="W108">
            <v>0.55000000000000004</v>
          </cell>
          <cell r="X108">
            <v>15</v>
          </cell>
          <cell r="Y108">
            <v>1</v>
          </cell>
          <cell r="Z108">
            <v>1</v>
          </cell>
          <cell r="AA108">
            <v>1</v>
          </cell>
          <cell r="AB108">
            <v>0</v>
          </cell>
        </row>
        <row r="109">
          <cell r="A109">
            <v>108</v>
          </cell>
          <cell r="B109" t="str">
            <v>森のマッドハッター</v>
          </cell>
          <cell r="C109">
            <v>5</v>
          </cell>
          <cell r="D109" t="str">
            <v>green</v>
          </cell>
          <cell r="E109">
            <v>1.02</v>
          </cell>
          <cell r="F109">
            <v>0.98</v>
          </cell>
          <cell r="G109">
            <v>1</v>
          </cell>
          <cell r="H109" t="str">
            <v>evolution</v>
          </cell>
          <cell r="I109" t="str">
            <v>覚醒素材タイプ</v>
          </cell>
          <cell r="J109">
            <v>0.1</v>
          </cell>
          <cell r="K109">
            <v>0.05</v>
          </cell>
          <cell r="L109">
            <v>1</v>
          </cell>
          <cell r="M109" t="str">
            <v>unknown</v>
          </cell>
          <cell r="N109" t="str">
            <v>Unknown</v>
          </cell>
          <cell r="O109">
            <v>1</v>
          </cell>
          <cell r="P109">
            <v>1</v>
          </cell>
          <cell r="Q109">
            <v>1</v>
          </cell>
          <cell r="R109" t="str">
            <v>Normal</v>
          </cell>
          <cell r="S109">
            <v>1</v>
          </cell>
          <cell r="T109">
            <v>1</v>
          </cell>
          <cell r="U109">
            <v>1</v>
          </cell>
          <cell r="V109">
            <v>2</v>
          </cell>
          <cell r="W109">
            <v>0.75</v>
          </cell>
          <cell r="X109">
            <v>20</v>
          </cell>
          <cell r="Y109">
            <v>1.1000000000000001</v>
          </cell>
          <cell r="Z109">
            <v>1.2</v>
          </cell>
          <cell r="AA109">
            <v>1.2</v>
          </cell>
          <cell r="AB109">
            <v>0</v>
          </cell>
        </row>
        <row r="110">
          <cell r="A110">
            <v>109</v>
          </cell>
          <cell r="B110" t="str">
            <v>ブルーチェシャ</v>
          </cell>
          <cell r="C110">
            <v>2</v>
          </cell>
          <cell r="D110" t="str">
            <v>blue</v>
          </cell>
          <cell r="E110">
            <v>1</v>
          </cell>
          <cell r="F110">
            <v>0.98</v>
          </cell>
          <cell r="G110">
            <v>1</v>
          </cell>
          <cell r="H110" t="str">
            <v>evolution</v>
          </cell>
          <cell r="I110" t="str">
            <v>覚醒素材タイプ</v>
          </cell>
          <cell r="J110">
            <v>0.1</v>
          </cell>
          <cell r="K110">
            <v>0.05</v>
          </cell>
          <cell r="L110">
            <v>1</v>
          </cell>
          <cell r="M110" t="str">
            <v>unknown</v>
          </cell>
          <cell r="N110" t="str">
            <v>Unknown</v>
          </cell>
          <cell r="O110">
            <v>1</v>
          </cell>
          <cell r="P110">
            <v>1</v>
          </cell>
          <cell r="Q110">
            <v>1</v>
          </cell>
          <cell r="R110" t="str">
            <v>Normal</v>
          </cell>
          <cell r="S110">
            <v>1</v>
          </cell>
          <cell r="T110">
            <v>1</v>
          </cell>
          <cell r="U110">
            <v>1</v>
          </cell>
          <cell r="V110">
            <v>2</v>
          </cell>
          <cell r="W110">
            <v>0.75</v>
          </cell>
          <cell r="X110">
            <v>15</v>
          </cell>
          <cell r="Y110">
            <v>1</v>
          </cell>
          <cell r="Z110">
            <v>1</v>
          </cell>
          <cell r="AA110">
            <v>1</v>
          </cell>
          <cell r="AB110">
            <v>0</v>
          </cell>
        </row>
        <row r="111">
          <cell r="A111">
            <v>110</v>
          </cell>
          <cell r="B111" t="str">
            <v>ブルーラビット</v>
          </cell>
          <cell r="C111">
            <v>3</v>
          </cell>
          <cell r="D111" t="str">
            <v>blue</v>
          </cell>
          <cell r="E111">
            <v>1</v>
          </cell>
          <cell r="F111">
            <v>0.98</v>
          </cell>
          <cell r="G111">
            <v>1</v>
          </cell>
          <cell r="H111" t="str">
            <v>evolution</v>
          </cell>
          <cell r="I111" t="str">
            <v>覚醒素材タイプ</v>
          </cell>
          <cell r="J111">
            <v>0.1</v>
          </cell>
          <cell r="K111">
            <v>0.05</v>
          </cell>
          <cell r="L111">
            <v>1</v>
          </cell>
          <cell r="M111" t="str">
            <v>unknown</v>
          </cell>
          <cell r="N111" t="str">
            <v>Unknown</v>
          </cell>
          <cell r="O111">
            <v>1</v>
          </cell>
          <cell r="P111">
            <v>1</v>
          </cell>
          <cell r="Q111">
            <v>1</v>
          </cell>
          <cell r="R111" t="str">
            <v>Normal</v>
          </cell>
          <cell r="S111">
            <v>1</v>
          </cell>
          <cell r="T111">
            <v>1</v>
          </cell>
          <cell r="U111">
            <v>1</v>
          </cell>
          <cell r="V111">
            <v>4</v>
          </cell>
          <cell r="W111">
            <v>1.2</v>
          </cell>
          <cell r="X111">
            <v>15</v>
          </cell>
          <cell r="Y111">
            <v>1</v>
          </cell>
          <cell r="Z111">
            <v>1</v>
          </cell>
          <cell r="AA111">
            <v>1</v>
          </cell>
          <cell r="AB111">
            <v>0</v>
          </cell>
        </row>
        <row r="112">
          <cell r="A112">
            <v>111</v>
          </cell>
          <cell r="B112" t="str">
            <v>ブルーキャタップ</v>
          </cell>
          <cell r="C112">
            <v>4</v>
          </cell>
          <cell r="D112" t="str">
            <v>blue</v>
          </cell>
          <cell r="E112">
            <v>1</v>
          </cell>
          <cell r="F112">
            <v>0.98</v>
          </cell>
          <cell r="G112">
            <v>1</v>
          </cell>
          <cell r="H112" t="str">
            <v>evolution</v>
          </cell>
          <cell r="I112" t="str">
            <v>覚醒素材タイプ</v>
          </cell>
          <cell r="J112">
            <v>0.1</v>
          </cell>
          <cell r="K112">
            <v>0.05</v>
          </cell>
          <cell r="L112">
            <v>1</v>
          </cell>
          <cell r="M112" t="str">
            <v>unknown</v>
          </cell>
          <cell r="N112" t="str">
            <v>Unknown</v>
          </cell>
          <cell r="O112">
            <v>1</v>
          </cell>
          <cell r="P112">
            <v>1</v>
          </cell>
          <cell r="Q112">
            <v>1</v>
          </cell>
          <cell r="R112" t="str">
            <v>Normal</v>
          </cell>
          <cell r="S112">
            <v>1</v>
          </cell>
          <cell r="T112">
            <v>1</v>
          </cell>
          <cell r="U112">
            <v>1</v>
          </cell>
          <cell r="V112">
            <v>1</v>
          </cell>
          <cell r="W112">
            <v>0.55000000000000004</v>
          </cell>
          <cell r="X112">
            <v>15</v>
          </cell>
          <cell r="Y112">
            <v>1</v>
          </cell>
          <cell r="Z112">
            <v>1</v>
          </cell>
          <cell r="AA112">
            <v>1</v>
          </cell>
          <cell r="AB112">
            <v>0</v>
          </cell>
        </row>
        <row r="113">
          <cell r="A113">
            <v>112</v>
          </cell>
          <cell r="B113" t="str">
            <v>水のマッドハッター</v>
          </cell>
          <cell r="C113">
            <v>5</v>
          </cell>
          <cell r="D113" t="str">
            <v>blue</v>
          </cell>
          <cell r="E113">
            <v>1</v>
          </cell>
          <cell r="F113">
            <v>0.98</v>
          </cell>
          <cell r="G113">
            <v>1</v>
          </cell>
          <cell r="H113" t="str">
            <v>evolution</v>
          </cell>
          <cell r="I113" t="str">
            <v>覚醒素材タイプ</v>
          </cell>
          <cell r="J113">
            <v>0.1</v>
          </cell>
          <cell r="K113">
            <v>0.05</v>
          </cell>
          <cell r="L113">
            <v>1</v>
          </cell>
          <cell r="M113" t="str">
            <v>unknown</v>
          </cell>
          <cell r="N113" t="str">
            <v>Unknown</v>
          </cell>
          <cell r="O113">
            <v>1</v>
          </cell>
          <cell r="P113">
            <v>1</v>
          </cell>
          <cell r="Q113">
            <v>1</v>
          </cell>
          <cell r="R113" t="str">
            <v>Normal</v>
          </cell>
          <cell r="S113">
            <v>1</v>
          </cell>
          <cell r="T113">
            <v>1</v>
          </cell>
          <cell r="U113">
            <v>1</v>
          </cell>
          <cell r="V113">
            <v>2</v>
          </cell>
          <cell r="W113">
            <v>0.75</v>
          </cell>
          <cell r="X113">
            <v>20</v>
          </cell>
          <cell r="Y113">
            <v>1.1000000000000001</v>
          </cell>
          <cell r="Z113">
            <v>1.2</v>
          </cell>
          <cell r="AA113">
            <v>1.2</v>
          </cell>
          <cell r="AB113">
            <v>0</v>
          </cell>
        </row>
        <row r="114">
          <cell r="A114">
            <v>113</v>
          </cell>
          <cell r="B114" t="str">
            <v>イエローチェシャ</v>
          </cell>
          <cell r="C114">
            <v>2</v>
          </cell>
          <cell r="D114" t="str">
            <v>yellow</v>
          </cell>
          <cell r="E114">
            <v>0.98</v>
          </cell>
          <cell r="F114">
            <v>1.01</v>
          </cell>
          <cell r="G114">
            <v>1</v>
          </cell>
          <cell r="H114" t="str">
            <v>evolution</v>
          </cell>
          <cell r="I114" t="str">
            <v>覚醒素材タイプ</v>
          </cell>
          <cell r="J114">
            <v>0.1</v>
          </cell>
          <cell r="K114">
            <v>0.05</v>
          </cell>
          <cell r="L114">
            <v>1</v>
          </cell>
          <cell r="M114" t="str">
            <v>unknown</v>
          </cell>
          <cell r="N114" t="str">
            <v>Unknown</v>
          </cell>
          <cell r="O114">
            <v>1</v>
          </cell>
          <cell r="P114">
            <v>1</v>
          </cell>
          <cell r="Q114">
            <v>1</v>
          </cell>
          <cell r="R114" t="str">
            <v>Normal</v>
          </cell>
          <cell r="S114">
            <v>1</v>
          </cell>
          <cell r="T114">
            <v>1</v>
          </cell>
          <cell r="U114">
            <v>1</v>
          </cell>
          <cell r="V114">
            <v>1</v>
          </cell>
          <cell r="W114">
            <v>0.55000000000000004</v>
          </cell>
          <cell r="X114">
            <v>15</v>
          </cell>
          <cell r="Y114">
            <v>1</v>
          </cell>
          <cell r="Z114">
            <v>1</v>
          </cell>
          <cell r="AA114">
            <v>1</v>
          </cell>
          <cell r="AB114">
            <v>0</v>
          </cell>
        </row>
        <row r="115">
          <cell r="A115">
            <v>114</v>
          </cell>
          <cell r="B115" t="str">
            <v>イエローラビット</v>
          </cell>
          <cell r="C115">
            <v>3</v>
          </cell>
          <cell r="D115" t="str">
            <v>yellow</v>
          </cell>
          <cell r="E115">
            <v>0.98</v>
          </cell>
          <cell r="F115">
            <v>1.01</v>
          </cell>
          <cell r="G115">
            <v>1</v>
          </cell>
          <cell r="H115" t="str">
            <v>evolution</v>
          </cell>
          <cell r="I115" t="str">
            <v>覚醒素材タイプ</v>
          </cell>
          <cell r="J115">
            <v>0.1</v>
          </cell>
          <cell r="K115">
            <v>0.05</v>
          </cell>
          <cell r="L115">
            <v>1</v>
          </cell>
          <cell r="M115" t="str">
            <v>unknown</v>
          </cell>
          <cell r="N115" t="str">
            <v>Unknown</v>
          </cell>
          <cell r="O115">
            <v>1</v>
          </cell>
          <cell r="P115">
            <v>1</v>
          </cell>
          <cell r="Q115">
            <v>1</v>
          </cell>
          <cell r="R115" t="str">
            <v>Normal</v>
          </cell>
          <cell r="S115">
            <v>1</v>
          </cell>
          <cell r="T115">
            <v>1</v>
          </cell>
          <cell r="U115">
            <v>1</v>
          </cell>
          <cell r="V115">
            <v>2</v>
          </cell>
          <cell r="W115">
            <v>0.75</v>
          </cell>
          <cell r="X115">
            <v>15</v>
          </cell>
          <cell r="Y115">
            <v>1</v>
          </cell>
          <cell r="Z115">
            <v>1</v>
          </cell>
          <cell r="AA115">
            <v>1</v>
          </cell>
          <cell r="AB115">
            <v>0</v>
          </cell>
        </row>
        <row r="116">
          <cell r="A116">
            <v>115</v>
          </cell>
          <cell r="B116" t="str">
            <v>イエローキャタップ</v>
          </cell>
          <cell r="C116">
            <v>4</v>
          </cell>
          <cell r="D116" t="str">
            <v>yellow</v>
          </cell>
          <cell r="E116">
            <v>0.98</v>
          </cell>
          <cell r="F116">
            <v>1.01</v>
          </cell>
          <cell r="G116">
            <v>1</v>
          </cell>
          <cell r="H116" t="str">
            <v>evolution</v>
          </cell>
          <cell r="I116" t="str">
            <v>覚醒素材タイプ</v>
          </cell>
          <cell r="J116">
            <v>0.1</v>
          </cell>
          <cell r="K116">
            <v>0.05</v>
          </cell>
          <cell r="L116">
            <v>1</v>
          </cell>
          <cell r="M116" t="str">
            <v>unknown</v>
          </cell>
          <cell r="N116" t="str">
            <v>Unknown</v>
          </cell>
          <cell r="O116">
            <v>1</v>
          </cell>
          <cell r="P116">
            <v>1</v>
          </cell>
          <cell r="Q116">
            <v>1</v>
          </cell>
          <cell r="R116" t="str">
            <v>Normal</v>
          </cell>
          <cell r="S116">
            <v>1</v>
          </cell>
          <cell r="T116">
            <v>1</v>
          </cell>
          <cell r="U116">
            <v>1</v>
          </cell>
          <cell r="V116">
            <v>2</v>
          </cell>
          <cell r="W116">
            <v>0.75</v>
          </cell>
          <cell r="X116">
            <v>15</v>
          </cell>
          <cell r="Y116">
            <v>1</v>
          </cell>
          <cell r="Z116">
            <v>1</v>
          </cell>
          <cell r="AA116">
            <v>1</v>
          </cell>
          <cell r="AB116">
            <v>0</v>
          </cell>
        </row>
        <row r="117">
          <cell r="A117">
            <v>116</v>
          </cell>
          <cell r="B117" t="str">
            <v>雷のマッドハッター</v>
          </cell>
          <cell r="C117">
            <v>5</v>
          </cell>
          <cell r="D117" t="str">
            <v>yellow</v>
          </cell>
          <cell r="E117">
            <v>0.98</v>
          </cell>
          <cell r="F117">
            <v>1.01</v>
          </cell>
          <cell r="G117">
            <v>1</v>
          </cell>
          <cell r="H117" t="str">
            <v>evolution</v>
          </cell>
          <cell r="I117" t="str">
            <v>覚醒素材タイプ</v>
          </cell>
          <cell r="J117">
            <v>0.1</v>
          </cell>
          <cell r="K117">
            <v>0.05</v>
          </cell>
          <cell r="L117">
            <v>1</v>
          </cell>
          <cell r="M117" t="str">
            <v>unknown</v>
          </cell>
          <cell r="N117" t="str">
            <v>Unknown</v>
          </cell>
          <cell r="O117">
            <v>1</v>
          </cell>
          <cell r="P117">
            <v>1</v>
          </cell>
          <cell r="Q117">
            <v>1</v>
          </cell>
          <cell r="R117" t="str">
            <v>Normal</v>
          </cell>
          <cell r="S117">
            <v>1</v>
          </cell>
          <cell r="T117">
            <v>1</v>
          </cell>
          <cell r="U117">
            <v>1</v>
          </cell>
          <cell r="V117">
            <v>2</v>
          </cell>
          <cell r="W117">
            <v>0.75</v>
          </cell>
          <cell r="X117">
            <v>20</v>
          </cell>
          <cell r="Y117">
            <v>1.1000000000000001</v>
          </cell>
          <cell r="Z117">
            <v>1.2</v>
          </cell>
          <cell r="AA117">
            <v>1.2</v>
          </cell>
          <cell r="AB117">
            <v>0</v>
          </cell>
        </row>
        <row r="118">
          <cell r="A118">
            <v>117</v>
          </cell>
          <cell r="B118" t="str">
            <v>ゴールドピヨピヨ</v>
          </cell>
          <cell r="C118">
            <v>3</v>
          </cell>
          <cell r="D118" t="str">
            <v>yellow</v>
          </cell>
          <cell r="E118">
            <v>0.98</v>
          </cell>
          <cell r="F118">
            <v>1.01</v>
          </cell>
          <cell r="G118">
            <v>1</v>
          </cell>
          <cell r="H118" t="str">
            <v>coin</v>
          </cell>
          <cell r="I118" t="str">
            <v>コインタイプ</v>
          </cell>
          <cell r="J118">
            <v>0.1</v>
          </cell>
          <cell r="K118">
            <v>0.05</v>
          </cell>
          <cell r="L118">
            <v>1</v>
          </cell>
          <cell r="M118" t="str">
            <v>unknown</v>
          </cell>
          <cell r="N118" t="str">
            <v>Unknown</v>
          </cell>
          <cell r="O118">
            <v>1</v>
          </cell>
          <cell r="P118">
            <v>1</v>
          </cell>
          <cell r="Q118">
            <v>1</v>
          </cell>
          <cell r="R118" t="str">
            <v>Normal</v>
          </cell>
          <cell r="S118">
            <v>1</v>
          </cell>
          <cell r="T118">
            <v>1</v>
          </cell>
          <cell r="U118">
            <v>1</v>
          </cell>
          <cell r="V118">
            <v>1</v>
          </cell>
          <cell r="W118">
            <v>0.55000000000000004</v>
          </cell>
          <cell r="X118">
            <v>15</v>
          </cell>
          <cell r="Y118">
            <v>1</v>
          </cell>
          <cell r="Z118">
            <v>1</v>
          </cell>
          <cell r="AA118">
            <v>1</v>
          </cell>
          <cell r="AB118">
            <v>0</v>
          </cell>
        </row>
        <row r="119">
          <cell r="A119">
            <v>118</v>
          </cell>
          <cell r="B119" t="str">
            <v>ゴールドチック</v>
          </cell>
          <cell r="C119">
            <v>4</v>
          </cell>
          <cell r="D119" t="str">
            <v>yellow</v>
          </cell>
          <cell r="E119">
            <v>0.98</v>
          </cell>
          <cell r="F119">
            <v>1.01</v>
          </cell>
          <cell r="G119">
            <v>1</v>
          </cell>
          <cell r="H119" t="str">
            <v>coin</v>
          </cell>
          <cell r="I119" t="str">
            <v>コインタイプ</v>
          </cell>
          <cell r="J119">
            <v>0.1</v>
          </cell>
          <cell r="K119">
            <v>0.05</v>
          </cell>
          <cell r="L119">
            <v>1</v>
          </cell>
          <cell r="M119" t="str">
            <v>unknown</v>
          </cell>
          <cell r="N119" t="str">
            <v>Unknown</v>
          </cell>
          <cell r="O119">
            <v>1</v>
          </cell>
          <cell r="P119">
            <v>1</v>
          </cell>
          <cell r="Q119">
            <v>1</v>
          </cell>
          <cell r="R119" t="str">
            <v>Normal</v>
          </cell>
          <cell r="S119">
            <v>1</v>
          </cell>
          <cell r="T119">
            <v>1</v>
          </cell>
          <cell r="U119">
            <v>1</v>
          </cell>
          <cell r="V119">
            <v>2</v>
          </cell>
          <cell r="W119">
            <v>0.75</v>
          </cell>
          <cell r="X119">
            <v>15</v>
          </cell>
          <cell r="Y119">
            <v>1</v>
          </cell>
          <cell r="Z119">
            <v>1</v>
          </cell>
          <cell r="AA119">
            <v>1</v>
          </cell>
          <cell r="AB119">
            <v>0</v>
          </cell>
        </row>
        <row r="120">
          <cell r="A120">
            <v>119</v>
          </cell>
          <cell r="B120" t="str">
            <v>ゴールドダック</v>
          </cell>
          <cell r="C120">
            <v>5</v>
          </cell>
          <cell r="D120" t="str">
            <v>yellow</v>
          </cell>
          <cell r="E120">
            <v>0.98</v>
          </cell>
          <cell r="F120">
            <v>1.01</v>
          </cell>
          <cell r="G120">
            <v>1</v>
          </cell>
          <cell r="H120" t="str">
            <v>coin</v>
          </cell>
          <cell r="I120" t="str">
            <v>コインタイプ</v>
          </cell>
          <cell r="J120">
            <v>0.1</v>
          </cell>
          <cell r="K120">
            <v>0.05</v>
          </cell>
          <cell r="L120">
            <v>1</v>
          </cell>
          <cell r="M120" t="str">
            <v>unknown</v>
          </cell>
          <cell r="N120" t="str">
            <v>Unknown</v>
          </cell>
          <cell r="O120">
            <v>1</v>
          </cell>
          <cell r="P120">
            <v>1</v>
          </cell>
          <cell r="Q120">
            <v>1</v>
          </cell>
          <cell r="R120" t="str">
            <v>Normal</v>
          </cell>
          <cell r="S120">
            <v>1</v>
          </cell>
          <cell r="T120">
            <v>1</v>
          </cell>
          <cell r="U120">
            <v>1</v>
          </cell>
          <cell r="V120">
            <v>3</v>
          </cell>
          <cell r="W120">
            <v>1</v>
          </cell>
          <cell r="X120">
            <v>20</v>
          </cell>
          <cell r="Y120">
            <v>1.1000000000000001</v>
          </cell>
          <cell r="Z120">
            <v>1.2</v>
          </cell>
          <cell r="AA120">
            <v>1.2</v>
          </cell>
          <cell r="AB120">
            <v>0</v>
          </cell>
        </row>
        <row r="121">
          <cell r="A121">
            <v>120</v>
          </cell>
          <cell r="B121" t="str">
            <v>ゴールドキング</v>
          </cell>
          <cell r="C121">
            <v>6</v>
          </cell>
          <cell r="D121" t="str">
            <v>yellow</v>
          </cell>
          <cell r="E121">
            <v>0.98</v>
          </cell>
          <cell r="F121">
            <v>1.01</v>
          </cell>
          <cell r="G121">
            <v>1</v>
          </cell>
          <cell r="H121" t="str">
            <v>coin</v>
          </cell>
          <cell r="I121" t="str">
            <v>コインタイプ</v>
          </cell>
          <cell r="J121">
            <v>0.1</v>
          </cell>
          <cell r="K121">
            <v>0.05</v>
          </cell>
          <cell r="L121">
            <v>1</v>
          </cell>
          <cell r="M121" t="str">
            <v>unknown</v>
          </cell>
          <cell r="N121" t="str">
            <v>Unknown</v>
          </cell>
          <cell r="O121">
            <v>1</v>
          </cell>
          <cell r="P121">
            <v>1</v>
          </cell>
          <cell r="Q121">
            <v>1</v>
          </cell>
          <cell r="R121" t="str">
            <v>Normal</v>
          </cell>
          <cell r="S121">
            <v>1</v>
          </cell>
          <cell r="T121">
            <v>1</v>
          </cell>
          <cell r="U121">
            <v>1</v>
          </cell>
          <cell r="V121">
            <v>4</v>
          </cell>
          <cell r="W121">
            <v>1.2</v>
          </cell>
          <cell r="X121">
            <v>20</v>
          </cell>
          <cell r="Y121">
            <v>1.1000000000000001</v>
          </cell>
          <cell r="Z121">
            <v>1.2</v>
          </cell>
          <cell r="AA121">
            <v>1.2</v>
          </cell>
          <cell r="AB121">
            <v>0</v>
          </cell>
        </row>
        <row r="122">
          <cell r="A122">
            <v>121</v>
          </cell>
          <cell r="B122" t="str">
            <v>攻めの果実</v>
          </cell>
          <cell r="C122">
            <v>3</v>
          </cell>
          <cell r="D122" t="str">
            <v>red</v>
          </cell>
          <cell r="E122">
            <v>1</v>
          </cell>
          <cell r="F122">
            <v>1.02</v>
          </cell>
          <cell r="G122">
            <v>1</v>
          </cell>
          <cell r="H122" t="str">
            <v>attack</v>
          </cell>
          <cell r="I122" t="str">
            <v>攻撃タイプ</v>
          </cell>
          <cell r="J122">
            <v>1</v>
          </cell>
          <cell r="K122">
            <v>1.33</v>
          </cell>
          <cell r="L122">
            <v>1</v>
          </cell>
          <cell r="M122" t="str">
            <v>unknown</v>
          </cell>
          <cell r="N122" t="str">
            <v>Unknown</v>
          </cell>
          <cell r="O122">
            <v>1</v>
          </cell>
          <cell r="P122">
            <v>1</v>
          </cell>
          <cell r="Q122">
            <v>1</v>
          </cell>
          <cell r="R122" t="str">
            <v>Normal</v>
          </cell>
          <cell r="S122">
            <v>1</v>
          </cell>
          <cell r="T122">
            <v>1</v>
          </cell>
          <cell r="U122">
            <v>1</v>
          </cell>
          <cell r="V122">
            <v>1</v>
          </cell>
          <cell r="W122">
            <v>0.55000000000000004</v>
          </cell>
          <cell r="X122">
            <v>20</v>
          </cell>
          <cell r="Y122">
            <v>1.1000000000000001</v>
          </cell>
          <cell r="Z122">
            <v>1.2</v>
          </cell>
          <cell r="AA122">
            <v>1.2</v>
          </cell>
          <cell r="AB122">
            <v>0</v>
          </cell>
        </row>
        <row r="123">
          <cell r="A123">
            <v>122</v>
          </cell>
          <cell r="B123" t="str">
            <v>生命の果実</v>
          </cell>
          <cell r="C123">
            <v>3</v>
          </cell>
          <cell r="D123" t="str">
            <v>green</v>
          </cell>
          <cell r="E123">
            <v>1.02</v>
          </cell>
          <cell r="F123">
            <v>0.98</v>
          </cell>
          <cell r="G123">
            <v>1</v>
          </cell>
          <cell r="H123" t="str">
            <v>hp</v>
          </cell>
          <cell r="I123" t="str">
            <v>体力タイプ</v>
          </cell>
          <cell r="J123">
            <v>1.45</v>
          </cell>
          <cell r="K123">
            <v>0.85</v>
          </cell>
          <cell r="L123">
            <v>1</v>
          </cell>
          <cell r="M123" t="str">
            <v>unknown</v>
          </cell>
          <cell r="N123" t="str">
            <v>Unknown</v>
          </cell>
          <cell r="O123">
            <v>1</v>
          </cell>
          <cell r="P123">
            <v>1</v>
          </cell>
          <cell r="Q123">
            <v>1</v>
          </cell>
          <cell r="R123" t="str">
            <v>Normal</v>
          </cell>
          <cell r="S123">
            <v>1</v>
          </cell>
          <cell r="T123">
            <v>1</v>
          </cell>
          <cell r="U123">
            <v>1</v>
          </cell>
          <cell r="V123">
            <v>3</v>
          </cell>
          <cell r="W123">
            <v>1</v>
          </cell>
          <cell r="X123">
            <v>20</v>
          </cell>
          <cell r="Y123">
            <v>1.1000000000000001</v>
          </cell>
          <cell r="Z123">
            <v>1.2</v>
          </cell>
          <cell r="AA123">
            <v>1.2</v>
          </cell>
          <cell r="AB123">
            <v>0</v>
          </cell>
        </row>
        <row r="124">
          <cell r="A124">
            <v>123</v>
          </cell>
          <cell r="B124" t="str">
            <v>癒しの果実</v>
          </cell>
          <cell r="C124">
            <v>3</v>
          </cell>
          <cell r="D124" t="str">
            <v>blue</v>
          </cell>
          <cell r="E124">
            <v>1</v>
          </cell>
          <cell r="F124">
            <v>0.98</v>
          </cell>
          <cell r="G124">
            <v>1</v>
          </cell>
          <cell r="H124" t="str">
            <v>heal</v>
          </cell>
          <cell r="I124" t="str">
            <v>回復タイプ</v>
          </cell>
          <cell r="J124">
            <v>0.8</v>
          </cell>
          <cell r="K124">
            <v>0.78</v>
          </cell>
          <cell r="L124">
            <v>1</v>
          </cell>
          <cell r="M124" t="str">
            <v>unknown</v>
          </cell>
          <cell r="N124" t="str">
            <v>Unknown</v>
          </cell>
          <cell r="O124">
            <v>1</v>
          </cell>
          <cell r="P124">
            <v>1</v>
          </cell>
          <cell r="Q124">
            <v>1</v>
          </cell>
          <cell r="R124" t="str">
            <v>Normal</v>
          </cell>
          <cell r="S124">
            <v>1</v>
          </cell>
          <cell r="T124">
            <v>1</v>
          </cell>
          <cell r="U124">
            <v>1</v>
          </cell>
          <cell r="V124">
            <v>2</v>
          </cell>
          <cell r="W124">
            <v>0.75</v>
          </cell>
          <cell r="X124">
            <v>20</v>
          </cell>
          <cell r="Y124">
            <v>1.1000000000000001</v>
          </cell>
          <cell r="Z124">
            <v>1.2</v>
          </cell>
          <cell r="AA124">
            <v>1.2</v>
          </cell>
          <cell r="AB124">
            <v>0</v>
          </cell>
        </row>
        <row r="125">
          <cell r="A125">
            <v>124</v>
          </cell>
          <cell r="B125" t="str">
            <v>黄金の果実</v>
          </cell>
          <cell r="C125">
            <v>3</v>
          </cell>
          <cell r="D125" t="str">
            <v>yellow</v>
          </cell>
          <cell r="E125">
            <v>0.98</v>
          </cell>
          <cell r="F125">
            <v>1.01</v>
          </cell>
          <cell r="G125">
            <v>1</v>
          </cell>
          <cell r="H125" t="str">
            <v>technical</v>
          </cell>
          <cell r="I125" t="str">
            <v>テクニカルタイプ</v>
          </cell>
          <cell r="J125">
            <v>0.9</v>
          </cell>
          <cell r="K125">
            <v>0.9</v>
          </cell>
          <cell r="L125">
            <v>1</v>
          </cell>
          <cell r="M125" t="str">
            <v>unknown</v>
          </cell>
          <cell r="N125" t="str">
            <v>Unknown</v>
          </cell>
          <cell r="O125">
            <v>1</v>
          </cell>
          <cell r="P125">
            <v>1</v>
          </cell>
          <cell r="Q125">
            <v>1</v>
          </cell>
          <cell r="R125" t="str">
            <v>Normal</v>
          </cell>
          <cell r="S125">
            <v>1</v>
          </cell>
          <cell r="T125">
            <v>1</v>
          </cell>
          <cell r="U125">
            <v>1</v>
          </cell>
          <cell r="V125">
            <v>2</v>
          </cell>
          <cell r="W125">
            <v>0.75</v>
          </cell>
          <cell r="X125">
            <v>20</v>
          </cell>
          <cell r="Y125">
            <v>1.1000000000000001</v>
          </cell>
          <cell r="Z125">
            <v>1.2</v>
          </cell>
          <cell r="AA125">
            <v>1.2</v>
          </cell>
          <cell r="AB125">
            <v>0</v>
          </cell>
        </row>
        <row r="126">
          <cell r="A126">
            <v>125</v>
          </cell>
          <cell r="B126" t="str">
            <v>秘術の果実</v>
          </cell>
          <cell r="C126">
            <v>3</v>
          </cell>
          <cell r="D126" t="str">
            <v>blue</v>
          </cell>
          <cell r="E126">
            <v>1</v>
          </cell>
          <cell r="F126">
            <v>0.98</v>
          </cell>
          <cell r="G126">
            <v>1</v>
          </cell>
          <cell r="H126" t="str">
            <v>balance</v>
          </cell>
          <cell r="I126" t="str">
            <v>バランスタイプ</v>
          </cell>
          <cell r="J126">
            <v>1</v>
          </cell>
          <cell r="K126">
            <v>1</v>
          </cell>
          <cell r="L126">
            <v>1</v>
          </cell>
          <cell r="M126" t="str">
            <v>unknown</v>
          </cell>
          <cell r="N126" t="str">
            <v>Unknown</v>
          </cell>
          <cell r="O126">
            <v>1</v>
          </cell>
          <cell r="P126">
            <v>1</v>
          </cell>
          <cell r="Q126">
            <v>1</v>
          </cell>
          <cell r="R126" t="str">
            <v>Normal</v>
          </cell>
          <cell r="S126">
            <v>1</v>
          </cell>
          <cell r="T126">
            <v>1</v>
          </cell>
          <cell r="U126">
            <v>1</v>
          </cell>
          <cell r="V126">
            <v>4</v>
          </cell>
          <cell r="W126">
            <v>1.2</v>
          </cell>
          <cell r="X126">
            <v>20</v>
          </cell>
          <cell r="Y126">
            <v>1.1000000000000001</v>
          </cell>
          <cell r="Z126">
            <v>1.2</v>
          </cell>
          <cell r="AA126">
            <v>1.2</v>
          </cell>
          <cell r="AB126">
            <v>0</v>
          </cell>
        </row>
        <row r="127">
          <cell r="A127">
            <v>126</v>
          </cell>
          <cell r="B127" t="str">
            <v>骨器使い ユノ</v>
          </cell>
          <cell r="C127">
            <v>3</v>
          </cell>
          <cell r="D127" t="str">
            <v>red</v>
          </cell>
          <cell r="E127">
            <v>1</v>
          </cell>
          <cell r="F127">
            <v>1.02</v>
          </cell>
          <cell r="G127">
            <v>1</v>
          </cell>
          <cell r="H127" t="str">
            <v>attack</v>
          </cell>
          <cell r="I127" t="str">
            <v>攻撃タイプ</v>
          </cell>
          <cell r="J127">
            <v>1</v>
          </cell>
          <cell r="K127">
            <v>1.33</v>
          </cell>
          <cell r="L127">
            <v>1</v>
          </cell>
          <cell r="M127" t="str">
            <v>human</v>
          </cell>
          <cell r="N127" t="str">
            <v>ヒューマン</v>
          </cell>
          <cell r="O127">
            <v>0.94</v>
          </cell>
          <cell r="P127">
            <v>0.99</v>
          </cell>
          <cell r="Q127">
            <v>1</v>
          </cell>
          <cell r="R127" t="str">
            <v>Boss</v>
          </cell>
          <cell r="S127">
            <v>5</v>
          </cell>
          <cell r="T127">
            <v>1.3</v>
          </cell>
          <cell r="U127">
            <v>0.8</v>
          </cell>
          <cell r="V127">
            <v>1</v>
          </cell>
          <cell r="W127">
            <v>0.55000000000000004</v>
          </cell>
          <cell r="X127">
            <v>20</v>
          </cell>
          <cell r="Y127">
            <v>1.1000000000000001</v>
          </cell>
          <cell r="Z127">
            <v>1.2</v>
          </cell>
          <cell r="AA127">
            <v>1.2</v>
          </cell>
          <cell r="AB127">
            <v>126</v>
          </cell>
        </row>
        <row r="128">
          <cell r="A128">
            <v>127</v>
          </cell>
          <cell r="B128" t="str">
            <v>狂喜の賢者 ユノ</v>
          </cell>
          <cell r="C128">
            <v>4</v>
          </cell>
          <cell r="D128" t="str">
            <v>red</v>
          </cell>
          <cell r="E128">
            <v>1</v>
          </cell>
          <cell r="F128">
            <v>1.02</v>
          </cell>
          <cell r="G128">
            <v>1</v>
          </cell>
          <cell r="H128" t="str">
            <v>attack</v>
          </cell>
          <cell r="I128" t="str">
            <v>攻撃タイプ</v>
          </cell>
          <cell r="J128">
            <v>1</v>
          </cell>
          <cell r="K128">
            <v>1.33</v>
          </cell>
          <cell r="L128">
            <v>1</v>
          </cell>
          <cell r="M128" t="str">
            <v>human</v>
          </cell>
          <cell r="N128" t="str">
            <v>ヒューマン</v>
          </cell>
          <cell r="O128">
            <v>0.94</v>
          </cell>
          <cell r="P128">
            <v>0.99</v>
          </cell>
          <cell r="Q128">
            <v>1</v>
          </cell>
          <cell r="R128" t="str">
            <v>Boss</v>
          </cell>
          <cell r="S128">
            <v>5</v>
          </cell>
          <cell r="T128">
            <v>1.3</v>
          </cell>
          <cell r="U128">
            <v>0.8</v>
          </cell>
          <cell r="V128">
            <v>1</v>
          </cell>
          <cell r="W128">
            <v>0.55000000000000004</v>
          </cell>
          <cell r="X128">
            <v>30</v>
          </cell>
          <cell r="Y128">
            <v>1.3</v>
          </cell>
          <cell r="Z128">
            <v>1.3</v>
          </cell>
          <cell r="AA128">
            <v>1.1000000000000001</v>
          </cell>
          <cell r="AB128">
            <v>0</v>
          </cell>
        </row>
        <row r="129">
          <cell r="A129">
            <v>128</v>
          </cell>
          <cell r="B129" t="str">
            <v>野生児 アマラ</v>
          </cell>
          <cell r="C129">
            <v>3</v>
          </cell>
          <cell r="D129" t="str">
            <v>green</v>
          </cell>
          <cell r="E129">
            <v>1.02</v>
          </cell>
          <cell r="F129">
            <v>0.98</v>
          </cell>
          <cell r="G129">
            <v>1</v>
          </cell>
          <cell r="H129" t="str">
            <v>attack</v>
          </cell>
          <cell r="I129" t="str">
            <v>攻撃タイプ</v>
          </cell>
          <cell r="J129">
            <v>1</v>
          </cell>
          <cell r="K129">
            <v>1.33</v>
          </cell>
          <cell r="L129">
            <v>1</v>
          </cell>
          <cell r="M129" t="str">
            <v>human</v>
          </cell>
          <cell r="N129" t="str">
            <v>ヒューマン</v>
          </cell>
          <cell r="O129">
            <v>0.94</v>
          </cell>
          <cell r="P129">
            <v>0.99</v>
          </cell>
          <cell r="Q129">
            <v>1</v>
          </cell>
          <cell r="R129" t="str">
            <v>Boss_HPx1.5</v>
          </cell>
          <cell r="S129">
            <v>7.5</v>
          </cell>
          <cell r="T129">
            <v>1</v>
          </cell>
          <cell r="U129">
            <v>0.8</v>
          </cell>
          <cell r="V129">
            <v>2</v>
          </cell>
          <cell r="W129">
            <v>0.75</v>
          </cell>
          <cell r="X129">
            <v>20</v>
          </cell>
          <cell r="Y129">
            <v>1.1000000000000001</v>
          </cell>
          <cell r="Z129">
            <v>1.2</v>
          </cell>
          <cell r="AA129">
            <v>1.2</v>
          </cell>
          <cell r="AB129">
            <v>128</v>
          </cell>
        </row>
        <row r="130">
          <cell r="A130">
            <v>129</v>
          </cell>
          <cell r="B130" t="str">
            <v>孤高の狼憑き アマラ</v>
          </cell>
          <cell r="C130">
            <v>4</v>
          </cell>
          <cell r="D130" t="str">
            <v>green</v>
          </cell>
          <cell r="E130">
            <v>1.02</v>
          </cell>
          <cell r="F130">
            <v>0.98</v>
          </cell>
          <cell r="G130">
            <v>1</v>
          </cell>
          <cell r="H130" t="str">
            <v>attack</v>
          </cell>
          <cell r="I130" t="str">
            <v>攻撃タイプ</v>
          </cell>
          <cell r="J130">
            <v>1</v>
          </cell>
          <cell r="K130">
            <v>1.33</v>
          </cell>
          <cell r="L130">
            <v>1</v>
          </cell>
          <cell r="M130" t="str">
            <v>human</v>
          </cell>
          <cell r="N130" t="str">
            <v>ヒューマン</v>
          </cell>
          <cell r="O130">
            <v>0.94</v>
          </cell>
          <cell r="P130">
            <v>0.99</v>
          </cell>
          <cell r="Q130">
            <v>1</v>
          </cell>
          <cell r="R130" t="str">
            <v>Boss_HPx2.0</v>
          </cell>
          <cell r="S130">
            <v>10</v>
          </cell>
          <cell r="T130">
            <v>1</v>
          </cell>
          <cell r="U130">
            <v>0.8</v>
          </cell>
          <cell r="V130">
            <v>3</v>
          </cell>
          <cell r="W130">
            <v>1</v>
          </cell>
          <cell r="X130">
            <v>30</v>
          </cell>
          <cell r="Y130">
            <v>1.3</v>
          </cell>
          <cell r="Z130">
            <v>1.3</v>
          </cell>
          <cell r="AA130">
            <v>1.1000000000000001</v>
          </cell>
          <cell r="AB130">
            <v>0</v>
          </cell>
        </row>
        <row r="131">
          <cell r="A131">
            <v>130</v>
          </cell>
          <cell r="B131" t="str">
            <v>狼男 ローレンス</v>
          </cell>
          <cell r="C131">
            <v>3</v>
          </cell>
          <cell r="D131" t="str">
            <v>blue</v>
          </cell>
          <cell r="E131">
            <v>1</v>
          </cell>
          <cell r="F131">
            <v>0.98</v>
          </cell>
          <cell r="G131">
            <v>1</v>
          </cell>
          <cell r="H131" t="str">
            <v>attack</v>
          </cell>
          <cell r="I131" t="str">
            <v>攻撃タイプ</v>
          </cell>
          <cell r="J131">
            <v>1</v>
          </cell>
          <cell r="K131">
            <v>1.33</v>
          </cell>
          <cell r="L131">
            <v>1</v>
          </cell>
          <cell r="M131" t="str">
            <v>animal</v>
          </cell>
          <cell r="N131" t="str">
            <v>アニマル</v>
          </cell>
          <cell r="O131">
            <v>1</v>
          </cell>
          <cell r="P131">
            <v>1.1000000000000001</v>
          </cell>
          <cell r="Q131">
            <v>1</v>
          </cell>
          <cell r="R131" t="str">
            <v>Boss</v>
          </cell>
          <cell r="S131">
            <v>5</v>
          </cell>
          <cell r="T131">
            <v>1.3</v>
          </cell>
          <cell r="U131">
            <v>0.8</v>
          </cell>
          <cell r="V131">
            <v>3</v>
          </cell>
          <cell r="W131">
            <v>1</v>
          </cell>
          <cell r="X131">
            <v>20</v>
          </cell>
          <cell r="Y131">
            <v>1.1000000000000001</v>
          </cell>
          <cell r="Z131">
            <v>1.2</v>
          </cell>
          <cell r="AA131">
            <v>1.2</v>
          </cell>
          <cell r="AB131">
            <v>130</v>
          </cell>
        </row>
        <row r="132">
          <cell r="A132">
            <v>131</v>
          </cell>
          <cell r="B132" t="str">
            <v>月下の人狼 ローレンス</v>
          </cell>
          <cell r="C132">
            <v>4</v>
          </cell>
          <cell r="D132" t="str">
            <v>blue</v>
          </cell>
          <cell r="E132">
            <v>1</v>
          </cell>
          <cell r="F132">
            <v>0.98</v>
          </cell>
          <cell r="G132">
            <v>1</v>
          </cell>
          <cell r="H132" t="str">
            <v>attack</v>
          </cell>
          <cell r="I132" t="str">
            <v>攻撃タイプ</v>
          </cell>
          <cell r="J132">
            <v>1</v>
          </cell>
          <cell r="K132">
            <v>1.33</v>
          </cell>
          <cell r="L132">
            <v>1</v>
          </cell>
          <cell r="M132" t="str">
            <v>animal</v>
          </cell>
          <cell r="N132" t="str">
            <v>アニマル</v>
          </cell>
          <cell r="O132">
            <v>1</v>
          </cell>
          <cell r="P132">
            <v>1.1000000000000001</v>
          </cell>
          <cell r="Q132">
            <v>1</v>
          </cell>
          <cell r="R132" t="str">
            <v>Boss</v>
          </cell>
          <cell r="S132">
            <v>5</v>
          </cell>
          <cell r="T132">
            <v>1.3</v>
          </cell>
          <cell r="U132">
            <v>0.8</v>
          </cell>
          <cell r="V132">
            <v>3</v>
          </cell>
          <cell r="W132">
            <v>1</v>
          </cell>
          <cell r="X132">
            <v>30</v>
          </cell>
          <cell r="Y132">
            <v>1.3</v>
          </cell>
          <cell r="Z132">
            <v>1.3</v>
          </cell>
          <cell r="AA132">
            <v>1.1000000000000001</v>
          </cell>
          <cell r="AB132">
            <v>130</v>
          </cell>
        </row>
        <row r="133">
          <cell r="A133">
            <v>132</v>
          </cell>
          <cell r="B133" t="str">
            <v>鳥人ハヤト</v>
          </cell>
          <cell r="C133">
            <v>3</v>
          </cell>
          <cell r="D133" t="str">
            <v>yellow</v>
          </cell>
          <cell r="E133">
            <v>0.98</v>
          </cell>
          <cell r="F133">
            <v>1.01</v>
          </cell>
          <cell r="G133">
            <v>1</v>
          </cell>
          <cell r="H133" t="str">
            <v>attack</v>
          </cell>
          <cell r="I133" t="str">
            <v>攻撃タイプ</v>
          </cell>
          <cell r="J133">
            <v>1</v>
          </cell>
          <cell r="K133">
            <v>1.33</v>
          </cell>
          <cell r="L133">
            <v>1</v>
          </cell>
          <cell r="M133" t="str">
            <v>human</v>
          </cell>
          <cell r="N133" t="str">
            <v>ヒューマン</v>
          </cell>
          <cell r="O133">
            <v>0.94</v>
          </cell>
          <cell r="P133">
            <v>0.99</v>
          </cell>
          <cell r="Q133">
            <v>1</v>
          </cell>
          <cell r="R133" t="str">
            <v>Boss</v>
          </cell>
          <cell r="S133">
            <v>5</v>
          </cell>
          <cell r="T133">
            <v>1.3</v>
          </cell>
          <cell r="U133">
            <v>0.8</v>
          </cell>
          <cell r="V133">
            <v>3</v>
          </cell>
          <cell r="W133">
            <v>1</v>
          </cell>
          <cell r="X133">
            <v>20</v>
          </cell>
          <cell r="Y133">
            <v>1.1000000000000001</v>
          </cell>
          <cell r="Z133">
            <v>1.2</v>
          </cell>
          <cell r="AA133">
            <v>1.2</v>
          </cell>
          <cell r="AB133">
            <v>0</v>
          </cell>
        </row>
        <row r="134">
          <cell r="A134">
            <v>133</v>
          </cell>
          <cell r="B134" t="str">
            <v>迅雷の刀剣 ハヤト</v>
          </cell>
          <cell r="C134">
            <v>4</v>
          </cell>
          <cell r="D134" t="str">
            <v>yellow</v>
          </cell>
          <cell r="E134">
            <v>0.98</v>
          </cell>
          <cell r="F134">
            <v>1.01</v>
          </cell>
          <cell r="G134">
            <v>1</v>
          </cell>
          <cell r="H134" t="str">
            <v>attack</v>
          </cell>
          <cell r="I134" t="str">
            <v>攻撃タイプ</v>
          </cell>
          <cell r="J134">
            <v>1</v>
          </cell>
          <cell r="K134">
            <v>1.33</v>
          </cell>
          <cell r="L134">
            <v>1</v>
          </cell>
          <cell r="M134" t="str">
            <v>human</v>
          </cell>
          <cell r="N134" t="str">
            <v>ヒューマン</v>
          </cell>
          <cell r="O134">
            <v>0.94</v>
          </cell>
          <cell r="P134">
            <v>0.99</v>
          </cell>
          <cell r="Q134">
            <v>1</v>
          </cell>
          <cell r="R134" t="str">
            <v>Boss</v>
          </cell>
          <cell r="S134">
            <v>5</v>
          </cell>
          <cell r="T134">
            <v>1.3</v>
          </cell>
          <cell r="U134">
            <v>0.8</v>
          </cell>
          <cell r="V134">
            <v>3</v>
          </cell>
          <cell r="W134">
            <v>1</v>
          </cell>
          <cell r="X134">
            <v>30</v>
          </cell>
          <cell r="Y134">
            <v>1.3</v>
          </cell>
          <cell r="Z134">
            <v>1.3</v>
          </cell>
          <cell r="AA134">
            <v>1.1000000000000001</v>
          </cell>
          <cell r="AB134">
            <v>0</v>
          </cell>
        </row>
        <row r="135">
          <cell r="A135">
            <v>134</v>
          </cell>
          <cell r="B135" t="str">
            <v>妖炎の夕霧</v>
          </cell>
          <cell r="C135">
            <v>3</v>
          </cell>
          <cell r="D135" t="str">
            <v>red</v>
          </cell>
          <cell r="E135">
            <v>1</v>
          </cell>
          <cell r="F135">
            <v>1.02</v>
          </cell>
          <cell r="G135">
            <v>1</v>
          </cell>
          <cell r="H135" t="str">
            <v>balance</v>
          </cell>
          <cell r="I135" t="str">
            <v>バランスタイプ</v>
          </cell>
          <cell r="J135">
            <v>1</v>
          </cell>
          <cell r="K135">
            <v>1</v>
          </cell>
          <cell r="L135">
            <v>1</v>
          </cell>
          <cell r="M135" t="str">
            <v>human</v>
          </cell>
          <cell r="N135" t="str">
            <v>ヒューマン</v>
          </cell>
          <cell r="O135">
            <v>0.94</v>
          </cell>
          <cell r="P135">
            <v>0.99</v>
          </cell>
          <cell r="Q135">
            <v>1</v>
          </cell>
          <cell r="R135" t="str">
            <v>Boss</v>
          </cell>
          <cell r="S135">
            <v>5</v>
          </cell>
          <cell r="T135">
            <v>1.3</v>
          </cell>
          <cell r="U135">
            <v>0.8</v>
          </cell>
          <cell r="V135">
            <v>3</v>
          </cell>
          <cell r="W135">
            <v>1</v>
          </cell>
          <cell r="X135">
            <v>20</v>
          </cell>
          <cell r="Y135">
            <v>1.1000000000000001</v>
          </cell>
          <cell r="Z135">
            <v>1.2</v>
          </cell>
          <cell r="AA135">
            <v>1.2</v>
          </cell>
          <cell r="AB135">
            <v>134</v>
          </cell>
        </row>
        <row r="136">
          <cell r="A136">
            <v>135</v>
          </cell>
          <cell r="B136" t="str">
            <v>京の炎華夕霧</v>
          </cell>
          <cell r="C136">
            <v>4</v>
          </cell>
          <cell r="D136" t="str">
            <v>red</v>
          </cell>
          <cell r="E136">
            <v>1</v>
          </cell>
          <cell r="F136">
            <v>1.02</v>
          </cell>
          <cell r="G136">
            <v>1</v>
          </cell>
          <cell r="H136" t="str">
            <v>balance</v>
          </cell>
          <cell r="I136" t="str">
            <v>バランスタイプ</v>
          </cell>
          <cell r="J136">
            <v>1</v>
          </cell>
          <cell r="K136">
            <v>1</v>
          </cell>
          <cell r="L136">
            <v>1</v>
          </cell>
          <cell r="M136" t="str">
            <v>human</v>
          </cell>
          <cell r="N136" t="str">
            <v>ヒューマン</v>
          </cell>
          <cell r="O136">
            <v>0.94</v>
          </cell>
          <cell r="P136">
            <v>0.99</v>
          </cell>
          <cell r="Q136">
            <v>1</v>
          </cell>
          <cell r="R136" t="str">
            <v>Boss_HPx1.5</v>
          </cell>
          <cell r="S136">
            <v>7.5</v>
          </cell>
          <cell r="T136">
            <v>1</v>
          </cell>
          <cell r="U136">
            <v>0.8</v>
          </cell>
          <cell r="V136">
            <v>3</v>
          </cell>
          <cell r="W136">
            <v>1</v>
          </cell>
          <cell r="X136">
            <v>30</v>
          </cell>
          <cell r="Y136">
            <v>1.3</v>
          </cell>
          <cell r="Z136">
            <v>1.3</v>
          </cell>
          <cell r="AA136">
            <v>1.1000000000000001</v>
          </cell>
          <cell r="AB136">
            <v>134</v>
          </cell>
        </row>
        <row r="137">
          <cell r="A137">
            <v>136</v>
          </cell>
          <cell r="B137" t="str">
            <v>お針子チハヤ</v>
          </cell>
          <cell r="C137">
            <v>3</v>
          </cell>
          <cell r="D137" t="str">
            <v>green</v>
          </cell>
          <cell r="E137">
            <v>1.02</v>
          </cell>
          <cell r="F137">
            <v>0.98</v>
          </cell>
          <cell r="G137">
            <v>1</v>
          </cell>
          <cell r="H137" t="str">
            <v>balance</v>
          </cell>
          <cell r="I137" t="str">
            <v>バランスタイプ</v>
          </cell>
          <cell r="J137">
            <v>1</v>
          </cell>
          <cell r="K137">
            <v>1</v>
          </cell>
          <cell r="L137">
            <v>1</v>
          </cell>
          <cell r="M137" t="str">
            <v>human</v>
          </cell>
          <cell r="N137" t="str">
            <v>ヒューマン</v>
          </cell>
          <cell r="O137">
            <v>0.94</v>
          </cell>
          <cell r="P137">
            <v>0.99</v>
          </cell>
          <cell r="Q137">
            <v>1</v>
          </cell>
          <cell r="R137" t="str">
            <v>Boss</v>
          </cell>
          <cell r="S137">
            <v>5</v>
          </cell>
          <cell r="T137">
            <v>1.3</v>
          </cell>
          <cell r="U137">
            <v>0.8</v>
          </cell>
          <cell r="V137">
            <v>4</v>
          </cell>
          <cell r="W137">
            <v>1.2</v>
          </cell>
          <cell r="X137">
            <v>20</v>
          </cell>
          <cell r="Y137">
            <v>1.1000000000000001</v>
          </cell>
          <cell r="Z137">
            <v>1.2</v>
          </cell>
          <cell r="AA137">
            <v>1.2</v>
          </cell>
          <cell r="AB137">
            <v>136</v>
          </cell>
        </row>
        <row r="138">
          <cell r="A138">
            <v>137</v>
          </cell>
          <cell r="B138" t="str">
            <v>清福の仕立屋 チハヤ</v>
          </cell>
          <cell r="C138">
            <v>4</v>
          </cell>
          <cell r="D138" t="str">
            <v>green</v>
          </cell>
          <cell r="E138">
            <v>1.02</v>
          </cell>
          <cell r="F138">
            <v>0.98</v>
          </cell>
          <cell r="G138">
            <v>1</v>
          </cell>
          <cell r="H138" t="str">
            <v>balance</v>
          </cell>
          <cell r="I138" t="str">
            <v>バランスタイプ</v>
          </cell>
          <cell r="J138">
            <v>1</v>
          </cell>
          <cell r="K138">
            <v>1</v>
          </cell>
          <cell r="L138">
            <v>1</v>
          </cell>
          <cell r="M138" t="str">
            <v>human</v>
          </cell>
          <cell r="N138" t="str">
            <v>ヒューマン</v>
          </cell>
          <cell r="O138">
            <v>0.94</v>
          </cell>
          <cell r="P138">
            <v>0.99</v>
          </cell>
          <cell r="Q138">
            <v>1</v>
          </cell>
          <cell r="R138" t="str">
            <v>Boss</v>
          </cell>
          <cell r="S138">
            <v>5</v>
          </cell>
          <cell r="T138">
            <v>1.3</v>
          </cell>
          <cell r="U138">
            <v>0.8</v>
          </cell>
          <cell r="V138">
            <v>4</v>
          </cell>
          <cell r="W138">
            <v>1.2</v>
          </cell>
          <cell r="X138">
            <v>30</v>
          </cell>
          <cell r="Y138">
            <v>1.3</v>
          </cell>
          <cell r="Z138">
            <v>1.3</v>
          </cell>
          <cell r="AA138">
            <v>1.1000000000000001</v>
          </cell>
          <cell r="AB138">
            <v>136</v>
          </cell>
        </row>
        <row r="139">
          <cell r="A139">
            <v>138</v>
          </cell>
          <cell r="B139" t="str">
            <v>蒼薙のトモエ</v>
          </cell>
          <cell r="C139">
            <v>3</v>
          </cell>
          <cell r="D139" t="str">
            <v>blue</v>
          </cell>
          <cell r="E139">
            <v>1</v>
          </cell>
          <cell r="F139">
            <v>0.98</v>
          </cell>
          <cell r="G139">
            <v>1</v>
          </cell>
          <cell r="H139" t="str">
            <v>balance</v>
          </cell>
          <cell r="I139" t="str">
            <v>バランスタイプ</v>
          </cell>
          <cell r="J139">
            <v>1</v>
          </cell>
          <cell r="K139">
            <v>1</v>
          </cell>
          <cell r="L139">
            <v>1</v>
          </cell>
          <cell r="M139" t="str">
            <v>human</v>
          </cell>
          <cell r="N139" t="str">
            <v>ヒューマン</v>
          </cell>
          <cell r="O139">
            <v>0.94</v>
          </cell>
          <cell r="P139">
            <v>0.99</v>
          </cell>
          <cell r="Q139">
            <v>1</v>
          </cell>
          <cell r="R139" t="str">
            <v>Boss</v>
          </cell>
          <cell r="S139">
            <v>5</v>
          </cell>
          <cell r="T139">
            <v>1.3</v>
          </cell>
          <cell r="U139">
            <v>0.8</v>
          </cell>
          <cell r="V139">
            <v>2</v>
          </cell>
          <cell r="W139">
            <v>0.75</v>
          </cell>
          <cell r="X139">
            <v>20</v>
          </cell>
          <cell r="Y139">
            <v>1.1000000000000001</v>
          </cell>
          <cell r="Z139">
            <v>1.2</v>
          </cell>
          <cell r="AA139">
            <v>1.2</v>
          </cell>
          <cell r="AB139">
            <v>0</v>
          </cell>
        </row>
        <row r="140">
          <cell r="A140">
            <v>139</v>
          </cell>
          <cell r="B140" t="str">
            <v>蒼昇刃姫 トモエ</v>
          </cell>
          <cell r="C140">
            <v>4</v>
          </cell>
          <cell r="D140" t="str">
            <v>blue</v>
          </cell>
          <cell r="E140">
            <v>1</v>
          </cell>
          <cell r="F140">
            <v>0.98</v>
          </cell>
          <cell r="G140">
            <v>1</v>
          </cell>
          <cell r="H140" t="str">
            <v>balance</v>
          </cell>
          <cell r="I140" t="str">
            <v>バランスタイプ</v>
          </cell>
          <cell r="J140">
            <v>1</v>
          </cell>
          <cell r="K140">
            <v>1</v>
          </cell>
          <cell r="L140">
            <v>1</v>
          </cell>
          <cell r="M140" t="str">
            <v>human</v>
          </cell>
          <cell r="N140" t="str">
            <v>ヒューマン</v>
          </cell>
          <cell r="O140">
            <v>0.94</v>
          </cell>
          <cell r="P140">
            <v>0.99</v>
          </cell>
          <cell r="Q140">
            <v>1</v>
          </cell>
          <cell r="R140" t="str">
            <v>Boss</v>
          </cell>
          <cell r="S140">
            <v>5</v>
          </cell>
          <cell r="T140">
            <v>1.3</v>
          </cell>
          <cell r="U140">
            <v>0.8</v>
          </cell>
          <cell r="V140">
            <v>2</v>
          </cell>
          <cell r="W140">
            <v>0.75</v>
          </cell>
          <cell r="X140">
            <v>30</v>
          </cell>
          <cell r="Y140">
            <v>1.3</v>
          </cell>
          <cell r="Z140">
            <v>1.3</v>
          </cell>
          <cell r="AA140">
            <v>1.1000000000000001</v>
          </cell>
          <cell r="AB140">
            <v>139</v>
          </cell>
        </row>
        <row r="141">
          <cell r="A141">
            <v>140</v>
          </cell>
          <cell r="B141" t="str">
            <v>秋祭のタマモ</v>
          </cell>
          <cell r="C141">
            <v>3</v>
          </cell>
          <cell r="D141" t="str">
            <v>yellow</v>
          </cell>
          <cell r="E141">
            <v>0.98</v>
          </cell>
          <cell r="F141">
            <v>1.01</v>
          </cell>
          <cell r="G141">
            <v>1</v>
          </cell>
          <cell r="H141" t="str">
            <v>balance</v>
          </cell>
          <cell r="I141" t="str">
            <v>バランスタイプ</v>
          </cell>
          <cell r="J141">
            <v>1</v>
          </cell>
          <cell r="K141">
            <v>1</v>
          </cell>
          <cell r="L141">
            <v>1</v>
          </cell>
          <cell r="M141" t="str">
            <v>animal</v>
          </cell>
          <cell r="N141" t="str">
            <v>アニマル</v>
          </cell>
          <cell r="O141">
            <v>1</v>
          </cell>
          <cell r="P141">
            <v>1.1000000000000001</v>
          </cell>
          <cell r="Q141">
            <v>1</v>
          </cell>
          <cell r="R141" t="str">
            <v>Boss</v>
          </cell>
          <cell r="S141">
            <v>5</v>
          </cell>
          <cell r="T141">
            <v>1.3</v>
          </cell>
          <cell r="U141">
            <v>0.8</v>
          </cell>
          <cell r="V141">
            <v>2</v>
          </cell>
          <cell r="W141">
            <v>0.75</v>
          </cell>
          <cell r="X141">
            <v>20</v>
          </cell>
          <cell r="Y141">
            <v>1.1000000000000001</v>
          </cell>
          <cell r="Z141">
            <v>1.2</v>
          </cell>
          <cell r="AA141">
            <v>1.2</v>
          </cell>
          <cell r="AB141">
            <v>0</v>
          </cell>
        </row>
        <row r="142">
          <cell r="A142">
            <v>141</v>
          </cell>
          <cell r="B142" t="str">
            <v>妖狐演舞 タマモ</v>
          </cell>
          <cell r="C142">
            <v>4</v>
          </cell>
          <cell r="D142" t="str">
            <v>yellow</v>
          </cell>
          <cell r="E142">
            <v>0.98</v>
          </cell>
          <cell r="F142">
            <v>1.01</v>
          </cell>
          <cell r="G142">
            <v>1</v>
          </cell>
          <cell r="H142" t="str">
            <v>balance</v>
          </cell>
          <cell r="I142" t="str">
            <v>バランスタイプ</v>
          </cell>
          <cell r="J142">
            <v>1</v>
          </cell>
          <cell r="K142">
            <v>1</v>
          </cell>
          <cell r="L142">
            <v>1</v>
          </cell>
          <cell r="M142" t="str">
            <v>animal</v>
          </cell>
          <cell r="N142" t="str">
            <v>アニマル</v>
          </cell>
          <cell r="O142">
            <v>1</v>
          </cell>
          <cell r="P142">
            <v>1.1000000000000001</v>
          </cell>
          <cell r="Q142">
            <v>1</v>
          </cell>
          <cell r="R142" t="str">
            <v>Boss_HPx1.5</v>
          </cell>
          <cell r="S142">
            <v>7.5</v>
          </cell>
          <cell r="T142">
            <v>1</v>
          </cell>
          <cell r="U142">
            <v>0.8</v>
          </cell>
          <cell r="V142">
            <v>2</v>
          </cell>
          <cell r="W142">
            <v>0.75</v>
          </cell>
          <cell r="X142">
            <v>30</v>
          </cell>
          <cell r="Y142">
            <v>1.3</v>
          </cell>
          <cell r="Z142">
            <v>1.3</v>
          </cell>
          <cell r="AA142">
            <v>1.1000000000000001</v>
          </cell>
          <cell r="AB142">
            <v>141</v>
          </cell>
        </row>
        <row r="143">
          <cell r="A143">
            <v>142</v>
          </cell>
          <cell r="B143" t="str">
            <v>赤ずきん</v>
          </cell>
          <cell r="C143">
            <v>3</v>
          </cell>
          <cell r="D143" t="str">
            <v>red</v>
          </cell>
          <cell r="E143">
            <v>1</v>
          </cell>
          <cell r="F143">
            <v>1.02</v>
          </cell>
          <cell r="G143">
            <v>1</v>
          </cell>
          <cell r="H143" t="str">
            <v>balance</v>
          </cell>
          <cell r="I143" t="str">
            <v>バランスタイプ</v>
          </cell>
          <cell r="J143">
            <v>1</v>
          </cell>
          <cell r="K143">
            <v>1</v>
          </cell>
          <cell r="L143">
            <v>1</v>
          </cell>
          <cell r="M143" t="str">
            <v>human</v>
          </cell>
          <cell r="N143" t="str">
            <v>ヒューマン</v>
          </cell>
          <cell r="O143">
            <v>0.94</v>
          </cell>
          <cell r="P143">
            <v>0.99</v>
          </cell>
          <cell r="Q143">
            <v>1</v>
          </cell>
          <cell r="R143" t="str">
            <v>Boss</v>
          </cell>
          <cell r="S143">
            <v>5</v>
          </cell>
          <cell r="T143">
            <v>1.3</v>
          </cell>
          <cell r="U143">
            <v>0.8</v>
          </cell>
          <cell r="V143">
            <v>2</v>
          </cell>
          <cell r="W143">
            <v>0.75</v>
          </cell>
          <cell r="X143">
            <v>20</v>
          </cell>
          <cell r="Y143">
            <v>1.1000000000000001</v>
          </cell>
          <cell r="Z143">
            <v>1.2</v>
          </cell>
          <cell r="AA143">
            <v>1.2</v>
          </cell>
          <cell r="AB143">
            <v>0</v>
          </cell>
        </row>
        <row r="144">
          <cell r="A144">
            <v>143</v>
          </cell>
          <cell r="B144" t="str">
            <v>深紅の死神 赤ずきん</v>
          </cell>
          <cell r="C144">
            <v>4</v>
          </cell>
          <cell r="D144" t="str">
            <v>red</v>
          </cell>
          <cell r="E144">
            <v>1</v>
          </cell>
          <cell r="F144">
            <v>1.02</v>
          </cell>
          <cell r="G144">
            <v>1</v>
          </cell>
          <cell r="H144" t="str">
            <v>balance</v>
          </cell>
          <cell r="I144" t="str">
            <v>バランスタイプ</v>
          </cell>
          <cell r="J144">
            <v>1</v>
          </cell>
          <cell r="K144">
            <v>1</v>
          </cell>
          <cell r="L144">
            <v>1</v>
          </cell>
          <cell r="M144" t="str">
            <v>human</v>
          </cell>
          <cell r="N144" t="str">
            <v>ヒューマン</v>
          </cell>
          <cell r="O144">
            <v>0.94</v>
          </cell>
          <cell r="P144">
            <v>0.99</v>
          </cell>
          <cell r="Q144">
            <v>1</v>
          </cell>
          <cell r="R144" t="str">
            <v>Boss</v>
          </cell>
          <cell r="S144">
            <v>5</v>
          </cell>
          <cell r="T144">
            <v>1.3</v>
          </cell>
          <cell r="U144">
            <v>0.8</v>
          </cell>
          <cell r="V144">
            <v>2</v>
          </cell>
          <cell r="W144">
            <v>0.75</v>
          </cell>
          <cell r="X144">
            <v>30</v>
          </cell>
          <cell r="Y144">
            <v>1.3</v>
          </cell>
          <cell r="Z144">
            <v>1.3</v>
          </cell>
          <cell r="AA144">
            <v>1.1000000000000001</v>
          </cell>
          <cell r="AB144">
            <v>0</v>
          </cell>
        </row>
        <row r="145">
          <cell r="A145">
            <v>144</v>
          </cell>
          <cell r="B145" t="str">
            <v>かぐや</v>
          </cell>
          <cell r="C145">
            <v>3</v>
          </cell>
          <cell r="D145" t="str">
            <v>green</v>
          </cell>
          <cell r="E145">
            <v>1.02</v>
          </cell>
          <cell r="F145">
            <v>0.98</v>
          </cell>
          <cell r="G145">
            <v>1</v>
          </cell>
          <cell r="H145" t="str">
            <v>hp</v>
          </cell>
          <cell r="I145" t="str">
            <v>体力タイプ</v>
          </cell>
          <cell r="J145">
            <v>1.45</v>
          </cell>
          <cell r="K145">
            <v>0.85</v>
          </cell>
          <cell r="L145">
            <v>1</v>
          </cell>
          <cell r="M145" t="str">
            <v>human</v>
          </cell>
          <cell r="N145" t="str">
            <v>ヒューマン</v>
          </cell>
          <cell r="O145">
            <v>0.94</v>
          </cell>
          <cell r="P145">
            <v>0.99</v>
          </cell>
          <cell r="Q145">
            <v>1</v>
          </cell>
          <cell r="R145" t="str">
            <v>Boss</v>
          </cell>
          <cell r="S145">
            <v>5</v>
          </cell>
          <cell r="T145">
            <v>1.3</v>
          </cell>
          <cell r="U145">
            <v>0.8</v>
          </cell>
          <cell r="V145">
            <v>2</v>
          </cell>
          <cell r="W145">
            <v>0.75</v>
          </cell>
          <cell r="X145">
            <v>20</v>
          </cell>
          <cell r="Y145">
            <v>1.1000000000000001</v>
          </cell>
          <cell r="Z145">
            <v>1.2</v>
          </cell>
          <cell r="AA145">
            <v>1.2</v>
          </cell>
          <cell r="AB145">
            <v>0</v>
          </cell>
        </row>
        <row r="146">
          <cell r="A146">
            <v>145</v>
          </cell>
          <cell r="B146" t="str">
            <v>魔性妖艶 かぐや</v>
          </cell>
          <cell r="C146">
            <v>4</v>
          </cell>
          <cell r="D146" t="str">
            <v>green</v>
          </cell>
          <cell r="E146">
            <v>1.02</v>
          </cell>
          <cell r="F146">
            <v>0.98</v>
          </cell>
          <cell r="G146">
            <v>1</v>
          </cell>
          <cell r="H146" t="str">
            <v>hp</v>
          </cell>
          <cell r="I146" t="str">
            <v>体力タイプ</v>
          </cell>
          <cell r="J146">
            <v>1.45</v>
          </cell>
          <cell r="K146">
            <v>0.85</v>
          </cell>
          <cell r="L146">
            <v>1</v>
          </cell>
          <cell r="M146" t="str">
            <v>human</v>
          </cell>
          <cell r="N146" t="str">
            <v>ヒューマン</v>
          </cell>
          <cell r="O146">
            <v>0.94</v>
          </cell>
          <cell r="P146">
            <v>0.99</v>
          </cell>
          <cell r="Q146">
            <v>1</v>
          </cell>
          <cell r="R146" t="str">
            <v>Boss</v>
          </cell>
          <cell r="S146">
            <v>5</v>
          </cell>
          <cell r="T146">
            <v>1.3</v>
          </cell>
          <cell r="U146">
            <v>0.8</v>
          </cell>
          <cell r="V146">
            <v>2</v>
          </cell>
          <cell r="W146">
            <v>0.75</v>
          </cell>
          <cell r="X146">
            <v>30</v>
          </cell>
          <cell r="Y146">
            <v>1.3</v>
          </cell>
          <cell r="Z146">
            <v>1.3</v>
          </cell>
          <cell r="AA146">
            <v>1.1000000000000001</v>
          </cell>
          <cell r="AB146">
            <v>0</v>
          </cell>
        </row>
        <row r="147">
          <cell r="A147">
            <v>146</v>
          </cell>
          <cell r="B147" t="str">
            <v>マーメイド</v>
          </cell>
          <cell r="C147">
            <v>3</v>
          </cell>
          <cell r="D147" t="str">
            <v>blue</v>
          </cell>
          <cell r="E147">
            <v>1</v>
          </cell>
          <cell r="F147">
            <v>0.98</v>
          </cell>
          <cell r="G147">
            <v>1</v>
          </cell>
          <cell r="H147" t="str">
            <v>hp</v>
          </cell>
          <cell r="I147" t="str">
            <v>体力タイプ</v>
          </cell>
          <cell r="J147">
            <v>1.45</v>
          </cell>
          <cell r="K147">
            <v>0.85</v>
          </cell>
          <cell r="L147">
            <v>1</v>
          </cell>
          <cell r="M147" t="str">
            <v>human</v>
          </cell>
          <cell r="N147" t="str">
            <v>ヒューマン</v>
          </cell>
          <cell r="O147">
            <v>0.94</v>
          </cell>
          <cell r="P147">
            <v>0.99</v>
          </cell>
          <cell r="Q147">
            <v>1</v>
          </cell>
          <cell r="R147" t="str">
            <v>Boss</v>
          </cell>
          <cell r="S147">
            <v>5</v>
          </cell>
          <cell r="T147">
            <v>1.3</v>
          </cell>
          <cell r="U147">
            <v>0.8</v>
          </cell>
          <cell r="V147">
            <v>3</v>
          </cell>
          <cell r="W147">
            <v>1</v>
          </cell>
          <cell r="X147">
            <v>20</v>
          </cell>
          <cell r="Y147">
            <v>1.1000000000000001</v>
          </cell>
          <cell r="Z147">
            <v>1.2</v>
          </cell>
          <cell r="AA147">
            <v>1.2</v>
          </cell>
          <cell r="AB147">
            <v>146</v>
          </cell>
        </row>
        <row r="148">
          <cell r="A148">
            <v>147</v>
          </cell>
          <cell r="B148" t="str">
            <v>蒼き閃光 元マーメイド</v>
          </cell>
          <cell r="C148">
            <v>4</v>
          </cell>
          <cell r="D148" t="str">
            <v>blue</v>
          </cell>
          <cell r="E148">
            <v>1</v>
          </cell>
          <cell r="F148">
            <v>0.98</v>
          </cell>
          <cell r="G148">
            <v>1</v>
          </cell>
          <cell r="H148" t="str">
            <v>hp</v>
          </cell>
          <cell r="I148" t="str">
            <v>体力タイプ</v>
          </cell>
          <cell r="J148">
            <v>1.45</v>
          </cell>
          <cell r="K148">
            <v>0.85</v>
          </cell>
          <cell r="L148">
            <v>1</v>
          </cell>
          <cell r="M148" t="str">
            <v>human</v>
          </cell>
          <cell r="N148" t="str">
            <v>ヒューマン</v>
          </cell>
          <cell r="O148">
            <v>0.94</v>
          </cell>
          <cell r="P148">
            <v>0.99</v>
          </cell>
          <cell r="Q148">
            <v>1</v>
          </cell>
          <cell r="R148" t="str">
            <v>Boss</v>
          </cell>
          <cell r="S148">
            <v>5</v>
          </cell>
          <cell r="T148">
            <v>1.3</v>
          </cell>
          <cell r="U148">
            <v>0.8</v>
          </cell>
          <cell r="V148">
            <v>3</v>
          </cell>
          <cell r="W148">
            <v>1</v>
          </cell>
          <cell r="X148">
            <v>30</v>
          </cell>
          <cell r="Y148">
            <v>1.3</v>
          </cell>
          <cell r="Z148">
            <v>1.3</v>
          </cell>
          <cell r="AA148">
            <v>1.1000000000000001</v>
          </cell>
          <cell r="AB148">
            <v>146</v>
          </cell>
        </row>
        <row r="149">
          <cell r="A149">
            <v>148</v>
          </cell>
          <cell r="B149" t="str">
            <v>シンデレラ</v>
          </cell>
          <cell r="C149">
            <v>3</v>
          </cell>
          <cell r="D149" t="str">
            <v>yellow</v>
          </cell>
          <cell r="E149">
            <v>0.98</v>
          </cell>
          <cell r="F149">
            <v>1.01</v>
          </cell>
          <cell r="G149">
            <v>1</v>
          </cell>
          <cell r="H149" t="str">
            <v>balance</v>
          </cell>
          <cell r="I149" t="str">
            <v>バランスタイプ</v>
          </cell>
          <cell r="J149">
            <v>1</v>
          </cell>
          <cell r="K149">
            <v>1</v>
          </cell>
          <cell r="L149">
            <v>1</v>
          </cell>
          <cell r="M149" t="str">
            <v>human</v>
          </cell>
          <cell r="N149" t="str">
            <v>ヒューマン</v>
          </cell>
          <cell r="O149">
            <v>0.94</v>
          </cell>
          <cell r="P149">
            <v>0.99</v>
          </cell>
          <cell r="Q149">
            <v>1</v>
          </cell>
          <cell r="R149" t="str">
            <v>Boss</v>
          </cell>
          <cell r="S149">
            <v>5</v>
          </cell>
          <cell r="T149">
            <v>1.3</v>
          </cell>
          <cell r="U149">
            <v>0.8</v>
          </cell>
          <cell r="V149">
            <v>2</v>
          </cell>
          <cell r="W149">
            <v>0.75</v>
          </cell>
          <cell r="X149">
            <v>20</v>
          </cell>
          <cell r="Y149">
            <v>1.1000000000000001</v>
          </cell>
          <cell r="Z149">
            <v>1.2</v>
          </cell>
          <cell r="AA149">
            <v>1.2</v>
          </cell>
          <cell r="AB149">
            <v>148</v>
          </cell>
        </row>
        <row r="150">
          <cell r="A150">
            <v>149</v>
          </cell>
          <cell r="B150" t="str">
            <v>雷撃蹴技を極めし者 シンデレラ</v>
          </cell>
          <cell r="C150">
            <v>4</v>
          </cell>
          <cell r="D150" t="str">
            <v>yellow</v>
          </cell>
          <cell r="E150">
            <v>0.98</v>
          </cell>
          <cell r="F150">
            <v>1.01</v>
          </cell>
          <cell r="G150">
            <v>1</v>
          </cell>
          <cell r="H150" t="str">
            <v>balance</v>
          </cell>
          <cell r="I150" t="str">
            <v>バランスタイプ</v>
          </cell>
          <cell r="J150">
            <v>1</v>
          </cell>
          <cell r="K150">
            <v>1</v>
          </cell>
          <cell r="L150">
            <v>1</v>
          </cell>
          <cell r="M150" t="str">
            <v>human</v>
          </cell>
          <cell r="N150" t="str">
            <v>ヒューマン</v>
          </cell>
          <cell r="O150">
            <v>0.94</v>
          </cell>
          <cell r="P150">
            <v>0.99</v>
          </cell>
          <cell r="Q150">
            <v>1</v>
          </cell>
          <cell r="R150" t="str">
            <v>Boss</v>
          </cell>
          <cell r="S150">
            <v>5</v>
          </cell>
          <cell r="T150">
            <v>1.3</v>
          </cell>
          <cell r="U150">
            <v>0.8</v>
          </cell>
          <cell r="V150">
            <v>1</v>
          </cell>
          <cell r="W150">
            <v>0.55000000000000004</v>
          </cell>
          <cell r="X150">
            <v>30</v>
          </cell>
          <cell r="Y150">
            <v>1.3</v>
          </cell>
          <cell r="Z150">
            <v>1.3</v>
          </cell>
          <cell r="AA150">
            <v>1.1000000000000001</v>
          </cell>
          <cell r="AB150">
            <v>149</v>
          </cell>
        </row>
        <row r="151">
          <cell r="A151">
            <v>150</v>
          </cell>
          <cell r="B151" t="str">
            <v>ポイズンマスターサキ</v>
          </cell>
          <cell r="C151">
            <v>3</v>
          </cell>
          <cell r="D151" t="str">
            <v>red</v>
          </cell>
          <cell r="E151">
            <v>1</v>
          </cell>
          <cell r="F151">
            <v>1.02</v>
          </cell>
          <cell r="G151">
            <v>1</v>
          </cell>
          <cell r="H151" t="str">
            <v>technical</v>
          </cell>
          <cell r="I151" t="str">
            <v>テクニカルタイプ</v>
          </cell>
          <cell r="J151">
            <v>0.9</v>
          </cell>
          <cell r="K151">
            <v>0.9</v>
          </cell>
          <cell r="L151">
            <v>1</v>
          </cell>
          <cell r="M151" t="str">
            <v>human</v>
          </cell>
          <cell r="N151" t="str">
            <v>ヒューマン</v>
          </cell>
          <cell r="O151">
            <v>0.94</v>
          </cell>
          <cell r="P151">
            <v>0.99</v>
          </cell>
          <cell r="Q151">
            <v>1</v>
          </cell>
          <cell r="R151" t="str">
            <v>Boss</v>
          </cell>
          <cell r="S151">
            <v>5</v>
          </cell>
          <cell r="T151">
            <v>1.3</v>
          </cell>
          <cell r="U151">
            <v>0.8</v>
          </cell>
          <cell r="V151">
            <v>2</v>
          </cell>
          <cell r="W151">
            <v>0.75</v>
          </cell>
          <cell r="X151">
            <v>20</v>
          </cell>
          <cell r="Y151">
            <v>1.1000000000000001</v>
          </cell>
          <cell r="Z151">
            <v>1.2</v>
          </cell>
          <cell r="AA151">
            <v>1.2</v>
          </cell>
          <cell r="AB151">
            <v>0</v>
          </cell>
        </row>
        <row r="152">
          <cell r="A152">
            <v>151</v>
          </cell>
          <cell r="B152" t="str">
            <v>毒煙の処刑人サキ</v>
          </cell>
          <cell r="C152">
            <v>4</v>
          </cell>
          <cell r="D152" t="str">
            <v>red</v>
          </cell>
          <cell r="E152">
            <v>1</v>
          </cell>
          <cell r="F152">
            <v>1.02</v>
          </cell>
          <cell r="G152">
            <v>1</v>
          </cell>
          <cell r="H152" t="str">
            <v>technical</v>
          </cell>
          <cell r="I152" t="str">
            <v>テクニカルタイプ</v>
          </cell>
          <cell r="J152">
            <v>0.9</v>
          </cell>
          <cell r="K152">
            <v>0.9</v>
          </cell>
          <cell r="L152">
            <v>1</v>
          </cell>
          <cell r="M152" t="str">
            <v>human</v>
          </cell>
          <cell r="N152" t="str">
            <v>ヒューマン</v>
          </cell>
          <cell r="O152">
            <v>0.94</v>
          </cell>
          <cell r="P152">
            <v>0.99</v>
          </cell>
          <cell r="Q152">
            <v>1</v>
          </cell>
          <cell r="R152" t="str">
            <v>Boss</v>
          </cell>
          <cell r="S152">
            <v>5</v>
          </cell>
          <cell r="T152">
            <v>1.3</v>
          </cell>
          <cell r="U152">
            <v>0.8</v>
          </cell>
          <cell r="V152">
            <v>2</v>
          </cell>
          <cell r="W152">
            <v>0.75</v>
          </cell>
          <cell r="X152">
            <v>30</v>
          </cell>
          <cell r="Y152">
            <v>1.3</v>
          </cell>
          <cell r="Z152">
            <v>1.3</v>
          </cell>
          <cell r="AA152">
            <v>1.1000000000000001</v>
          </cell>
          <cell r="AB152">
            <v>151</v>
          </cell>
        </row>
        <row r="153">
          <cell r="A153">
            <v>152</v>
          </cell>
          <cell r="B153" t="str">
            <v>功夫少女ランラン</v>
          </cell>
          <cell r="C153">
            <v>3</v>
          </cell>
          <cell r="D153" t="str">
            <v>green</v>
          </cell>
          <cell r="E153">
            <v>1.02</v>
          </cell>
          <cell r="F153">
            <v>0.98</v>
          </cell>
          <cell r="G153">
            <v>1</v>
          </cell>
          <cell r="H153" t="str">
            <v>heal</v>
          </cell>
          <cell r="I153" t="str">
            <v>回復タイプ</v>
          </cell>
          <cell r="J153">
            <v>0.8</v>
          </cell>
          <cell r="K153">
            <v>0.78</v>
          </cell>
          <cell r="L153">
            <v>1</v>
          </cell>
          <cell r="M153" t="str">
            <v>human</v>
          </cell>
          <cell r="N153" t="str">
            <v>ヒューマン</v>
          </cell>
          <cell r="O153">
            <v>0.94</v>
          </cell>
          <cell r="P153">
            <v>0.99</v>
          </cell>
          <cell r="Q153">
            <v>1</v>
          </cell>
          <cell r="R153" t="str">
            <v>Boss</v>
          </cell>
          <cell r="S153">
            <v>5</v>
          </cell>
          <cell r="T153">
            <v>1.3</v>
          </cell>
          <cell r="U153">
            <v>0.8</v>
          </cell>
          <cell r="V153">
            <v>1</v>
          </cell>
          <cell r="W153">
            <v>0.55000000000000004</v>
          </cell>
          <cell r="X153">
            <v>20</v>
          </cell>
          <cell r="Y153">
            <v>1.1000000000000001</v>
          </cell>
          <cell r="Z153">
            <v>1.2</v>
          </cell>
          <cell r="AA153">
            <v>1.2</v>
          </cell>
          <cell r="AB153">
            <v>152</v>
          </cell>
        </row>
        <row r="154">
          <cell r="A154">
            <v>153</v>
          </cell>
          <cell r="B154" t="str">
            <v>拳聖ランラン</v>
          </cell>
          <cell r="C154">
            <v>4</v>
          </cell>
          <cell r="D154" t="str">
            <v>green</v>
          </cell>
          <cell r="E154">
            <v>1.02</v>
          </cell>
          <cell r="F154">
            <v>0.98</v>
          </cell>
          <cell r="G154">
            <v>1</v>
          </cell>
          <cell r="H154" t="str">
            <v>heal</v>
          </cell>
          <cell r="I154" t="str">
            <v>回復タイプ</v>
          </cell>
          <cell r="J154">
            <v>0.8</v>
          </cell>
          <cell r="K154">
            <v>0.78</v>
          </cell>
          <cell r="L154">
            <v>1</v>
          </cell>
          <cell r="M154" t="str">
            <v>human</v>
          </cell>
          <cell r="N154" t="str">
            <v>ヒューマン</v>
          </cell>
          <cell r="O154">
            <v>0.94</v>
          </cell>
          <cell r="P154">
            <v>0.99</v>
          </cell>
          <cell r="Q154">
            <v>1</v>
          </cell>
          <cell r="R154" t="str">
            <v>Boss</v>
          </cell>
          <cell r="S154">
            <v>5</v>
          </cell>
          <cell r="T154">
            <v>1.3</v>
          </cell>
          <cell r="U154">
            <v>0.8</v>
          </cell>
          <cell r="V154">
            <v>1</v>
          </cell>
          <cell r="W154">
            <v>0.55000000000000004</v>
          </cell>
          <cell r="X154">
            <v>30</v>
          </cell>
          <cell r="Y154">
            <v>1.3</v>
          </cell>
          <cell r="Z154">
            <v>1.3</v>
          </cell>
          <cell r="AA154">
            <v>1.1000000000000001</v>
          </cell>
          <cell r="AB154">
            <v>153</v>
          </cell>
        </row>
        <row r="155">
          <cell r="A155">
            <v>154</v>
          </cell>
          <cell r="B155" t="str">
            <v>始末屋 ハンナ</v>
          </cell>
          <cell r="C155">
            <v>3</v>
          </cell>
          <cell r="D155" t="str">
            <v>blue</v>
          </cell>
          <cell r="E155">
            <v>1</v>
          </cell>
          <cell r="F155">
            <v>0.98</v>
          </cell>
          <cell r="G155">
            <v>1</v>
          </cell>
          <cell r="H155" t="str">
            <v>heal</v>
          </cell>
          <cell r="I155" t="str">
            <v>回復タイプ</v>
          </cell>
          <cell r="J155">
            <v>0.8</v>
          </cell>
          <cell r="K155">
            <v>0.78</v>
          </cell>
          <cell r="L155">
            <v>1</v>
          </cell>
          <cell r="M155" t="str">
            <v>human</v>
          </cell>
          <cell r="N155" t="str">
            <v>ヒューマン</v>
          </cell>
          <cell r="O155">
            <v>0.94</v>
          </cell>
          <cell r="P155">
            <v>0.99</v>
          </cell>
          <cell r="Q155">
            <v>1</v>
          </cell>
          <cell r="R155" t="str">
            <v>Boss</v>
          </cell>
          <cell r="S155">
            <v>5</v>
          </cell>
          <cell r="T155">
            <v>1.3</v>
          </cell>
          <cell r="U155">
            <v>0.8</v>
          </cell>
          <cell r="V155">
            <v>3</v>
          </cell>
          <cell r="W155">
            <v>1</v>
          </cell>
          <cell r="X155">
            <v>20</v>
          </cell>
          <cell r="Y155">
            <v>1.1000000000000001</v>
          </cell>
          <cell r="Z155">
            <v>1.2</v>
          </cell>
          <cell r="AA155">
            <v>1.2</v>
          </cell>
          <cell r="AB155">
            <v>154</v>
          </cell>
        </row>
        <row r="156">
          <cell r="A156">
            <v>155</v>
          </cell>
          <cell r="B156" t="str">
            <v>隻眼の掃除屋 ハンナ</v>
          </cell>
          <cell r="C156">
            <v>4</v>
          </cell>
          <cell r="D156" t="str">
            <v>blue</v>
          </cell>
          <cell r="E156">
            <v>1</v>
          </cell>
          <cell r="F156">
            <v>0.98</v>
          </cell>
          <cell r="G156">
            <v>1</v>
          </cell>
          <cell r="H156" t="str">
            <v>heal</v>
          </cell>
          <cell r="I156" t="str">
            <v>回復タイプ</v>
          </cell>
          <cell r="J156">
            <v>0.8</v>
          </cell>
          <cell r="K156">
            <v>0.78</v>
          </cell>
          <cell r="L156">
            <v>1</v>
          </cell>
          <cell r="M156" t="str">
            <v>human</v>
          </cell>
          <cell r="N156" t="str">
            <v>ヒューマン</v>
          </cell>
          <cell r="O156">
            <v>0.94</v>
          </cell>
          <cell r="P156">
            <v>0.99</v>
          </cell>
          <cell r="Q156">
            <v>1</v>
          </cell>
          <cell r="R156" t="str">
            <v>Boss</v>
          </cell>
          <cell r="S156">
            <v>5</v>
          </cell>
          <cell r="T156">
            <v>1.3</v>
          </cell>
          <cell r="U156">
            <v>0.8</v>
          </cell>
          <cell r="V156">
            <v>3</v>
          </cell>
          <cell r="W156">
            <v>1</v>
          </cell>
          <cell r="X156">
            <v>30</v>
          </cell>
          <cell r="Y156">
            <v>1.3</v>
          </cell>
          <cell r="Z156">
            <v>1.3</v>
          </cell>
          <cell r="AA156">
            <v>1.1000000000000001</v>
          </cell>
          <cell r="AB156">
            <v>154</v>
          </cell>
        </row>
        <row r="157">
          <cell r="A157">
            <v>156</v>
          </cell>
          <cell r="B157" t="str">
            <v>踊り子 エレナ</v>
          </cell>
          <cell r="C157">
            <v>3</v>
          </cell>
          <cell r="D157" t="str">
            <v>yellow</v>
          </cell>
          <cell r="E157">
            <v>0.98</v>
          </cell>
          <cell r="F157">
            <v>1.01</v>
          </cell>
          <cell r="G157">
            <v>1</v>
          </cell>
          <cell r="H157" t="str">
            <v>heal</v>
          </cell>
          <cell r="I157" t="str">
            <v>回復タイプ</v>
          </cell>
          <cell r="J157">
            <v>0.8</v>
          </cell>
          <cell r="K157">
            <v>0.78</v>
          </cell>
          <cell r="L157">
            <v>1</v>
          </cell>
          <cell r="M157" t="str">
            <v>human</v>
          </cell>
          <cell r="N157" t="str">
            <v>ヒューマン</v>
          </cell>
          <cell r="O157">
            <v>0.94</v>
          </cell>
          <cell r="P157">
            <v>0.99</v>
          </cell>
          <cell r="Q157">
            <v>1</v>
          </cell>
          <cell r="R157" t="str">
            <v>Boss</v>
          </cell>
          <cell r="S157">
            <v>5</v>
          </cell>
          <cell r="T157">
            <v>1.3</v>
          </cell>
          <cell r="U157">
            <v>0.8</v>
          </cell>
          <cell r="V157">
            <v>2</v>
          </cell>
          <cell r="W157">
            <v>0.75</v>
          </cell>
          <cell r="X157">
            <v>20</v>
          </cell>
          <cell r="Y157">
            <v>1.1000000000000001</v>
          </cell>
          <cell r="Z157">
            <v>1.2</v>
          </cell>
          <cell r="AA157">
            <v>1.2</v>
          </cell>
          <cell r="AB157">
            <v>156</v>
          </cell>
        </row>
        <row r="158">
          <cell r="A158">
            <v>157</v>
          </cell>
          <cell r="B158" t="str">
            <v>雷光舞姫 エレナ</v>
          </cell>
          <cell r="C158">
            <v>4</v>
          </cell>
          <cell r="D158" t="str">
            <v>yellow</v>
          </cell>
          <cell r="E158">
            <v>0.98</v>
          </cell>
          <cell r="F158">
            <v>1.01</v>
          </cell>
          <cell r="G158">
            <v>1</v>
          </cell>
          <cell r="H158" t="str">
            <v>heal</v>
          </cell>
          <cell r="I158" t="str">
            <v>回復タイプ</v>
          </cell>
          <cell r="J158">
            <v>0.8</v>
          </cell>
          <cell r="K158">
            <v>0.78</v>
          </cell>
          <cell r="L158">
            <v>1</v>
          </cell>
          <cell r="M158" t="str">
            <v>human</v>
          </cell>
          <cell r="N158" t="str">
            <v>ヒューマン</v>
          </cell>
          <cell r="O158">
            <v>0.94</v>
          </cell>
          <cell r="P158">
            <v>0.99</v>
          </cell>
          <cell r="Q158">
            <v>1</v>
          </cell>
          <cell r="R158" t="str">
            <v>Boss_HPx2.0</v>
          </cell>
          <cell r="S158">
            <v>10</v>
          </cell>
          <cell r="T158">
            <v>1</v>
          </cell>
          <cell r="U158">
            <v>0.8</v>
          </cell>
          <cell r="V158">
            <v>1</v>
          </cell>
          <cell r="W158">
            <v>0.55000000000000004</v>
          </cell>
          <cell r="X158">
            <v>30</v>
          </cell>
          <cell r="Y158">
            <v>1.3</v>
          </cell>
          <cell r="Z158">
            <v>1.3</v>
          </cell>
          <cell r="AA158">
            <v>1.1000000000000001</v>
          </cell>
          <cell r="AB158">
            <v>157</v>
          </cell>
        </row>
        <row r="159">
          <cell r="A159">
            <v>158</v>
          </cell>
          <cell r="B159" t="str">
            <v>シスター シャルロッテ</v>
          </cell>
          <cell r="C159">
            <v>3</v>
          </cell>
          <cell r="D159" t="str">
            <v>red</v>
          </cell>
          <cell r="E159">
            <v>1</v>
          </cell>
          <cell r="F159">
            <v>1.02</v>
          </cell>
          <cell r="G159">
            <v>1</v>
          </cell>
          <cell r="H159" t="str">
            <v>heal</v>
          </cell>
          <cell r="I159" t="str">
            <v>回復タイプ</v>
          </cell>
          <cell r="J159">
            <v>0.8</v>
          </cell>
          <cell r="K159">
            <v>0.78</v>
          </cell>
          <cell r="L159">
            <v>1</v>
          </cell>
          <cell r="M159" t="str">
            <v>human</v>
          </cell>
          <cell r="N159" t="str">
            <v>ヒューマン</v>
          </cell>
          <cell r="O159">
            <v>0.94</v>
          </cell>
          <cell r="P159">
            <v>0.99</v>
          </cell>
          <cell r="Q159">
            <v>1</v>
          </cell>
          <cell r="R159" t="str">
            <v>Boss</v>
          </cell>
          <cell r="S159">
            <v>5</v>
          </cell>
          <cell r="T159">
            <v>1.3</v>
          </cell>
          <cell r="U159">
            <v>0.8</v>
          </cell>
          <cell r="V159">
            <v>2</v>
          </cell>
          <cell r="W159">
            <v>0.75</v>
          </cell>
          <cell r="X159">
            <v>20</v>
          </cell>
          <cell r="Y159">
            <v>1.1000000000000001</v>
          </cell>
          <cell r="Z159">
            <v>1.2</v>
          </cell>
          <cell r="AA159">
            <v>1.2</v>
          </cell>
          <cell r="AB159">
            <v>0</v>
          </cell>
        </row>
        <row r="160">
          <cell r="A160">
            <v>159</v>
          </cell>
          <cell r="B160" t="str">
            <v>邪を狩りし者 シャルロッテ</v>
          </cell>
          <cell r="C160">
            <v>4</v>
          </cell>
          <cell r="D160" t="str">
            <v>red</v>
          </cell>
          <cell r="E160">
            <v>1</v>
          </cell>
          <cell r="F160">
            <v>1.02</v>
          </cell>
          <cell r="G160">
            <v>1</v>
          </cell>
          <cell r="H160" t="str">
            <v>heal</v>
          </cell>
          <cell r="I160" t="str">
            <v>回復タイプ</v>
          </cell>
          <cell r="J160">
            <v>0.8</v>
          </cell>
          <cell r="K160">
            <v>0.78</v>
          </cell>
          <cell r="L160">
            <v>1</v>
          </cell>
          <cell r="M160" t="str">
            <v>human</v>
          </cell>
          <cell r="N160" t="str">
            <v>ヒューマン</v>
          </cell>
          <cell r="O160">
            <v>0.94</v>
          </cell>
          <cell r="P160">
            <v>0.99</v>
          </cell>
          <cell r="Q160">
            <v>1</v>
          </cell>
          <cell r="R160" t="str">
            <v>Boss</v>
          </cell>
          <cell r="S160">
            <v>5</v>
          </cell>
          <cell r="T160">
            <v>1.3</v>
          </cell>
          <cell r="U160">
            <v>0.8</v>
          </cell>
          <cell r="V160">
            <v>2</v>
          </cell>
          <cell r="W160">
            <v>0.75</v>
          </cell>
          <cell r="X160">
            <v>30</v>
          </cell>
          <cell r="Y160">
            <v>1.3</v>
          </cell>
          <cell r="Z160">
            <v>1.3</v>
          </cell>
          <cell r="AA160">
            <v>1.1000000000000001</v>
          </cell>
          <cell r="AB160">
            <v>0</v>
          </cell>
        </row>
        <row r="161">
          <cell r="A161">
            <v>160</v>
          </cell>
          <cell r="B161" t="str">
            <v>反逆者 クリエ</v>
          </cell>
          <cell r="C161">
            <v>3</v>
          </cell>
          <cell r="D161" t="str">
            <v>green</v>
          </cell>
          <cell r="E161">
            <v>1.02</v>
          </cell>
          <cell r="F161">
            <v>0.98</v>
          </cell>
          <cell r="G161">
            <v>1</v>
          </cell>
          <cell r="H161" t="str">
            <v>balance</v>
          </cell>
          <cell r="I161" t="str">
            <v>バランスタイプ</v>
          </cell>
          <cell r="J161">
            <v>1</v>
          </cell>
          <cell r="K161">
            <v>1</v>
          </cell>
          <cell r="L161">
            <v>1</v>
          </cell>
          <cell r="M161" t="str">
            <v>human</v>
          </cell>
          <cell r="N161" t="str">
            <v>ヒューマン</v>
          </cell>
          <cell r="O161">
            <v>0.94</v>
          </cell>
          <cell r="P161">
            <v>0.99</v>
          </cell>
          <cell r="Q161">
            <v>1</v>
          </cell>
          <cell r="R161" t="str">
            <v>Boss</v>
          </cell>
          <cell r="S161">
            <v>5</v>
          </cell>
          <cell r="T161">
            <v>1.3</v>
          </cell>
          <cell r="U161">
            <v>0.8</v>
          </cell>
          <cell r="V161">
            <v>1</v>
          </cell>
          <cell r="W161">
            <v>0.55000000000000004</v>
          </cell>
          <cell r="X161">
            <v>20</v>
          </cell>
          <cell r="Y161">
            <v>1.1000000000000001</v>
          </cell>
          <cell r="Z161">
            <v>1.2</v>
          </cell>
          <cell r="AA161">
            <v>1.2</v>
          </cell>
          <cell r="AB161">
            <v>160</v>
          </cell>
        </row>
        <row r="162">
          <cell r="A162">
            <v>161</v>
          </cell>
          <cell r="B162" t="str">
            <v>咆哮の先導者 クリエ</v>
          </cell>
          <cell r="C162">
            <v>4</v>
          </cell>
          <cell r="D162" t="str">
            <v>green</v>
          </cell>
          <cell r="E162">
            <v>1.02</v>
          </cell>
          <cell r="F162">
            <v>0.98</v>
          </cell>
          <cell r="G162">
            <v>1</v>
          </cell>
          <cell r="H162" t="str">
            <v>balance</v>
          </cell>
          <cell r="I162" t="str">
            <v>バランスタイプ</v>
          </cell>
          <cell r="J162">
            <v>1</v>
          </cell>
          <cell r="K162">
            <v>1</v>
          </cell>
          <cell r="L162">
            <v>1</v>
          </cell>
          <cell r="M162" t="str">
            <v>human</v>
          </cell>
          <cell r="N162" t="str">
            <v>ヒューマン</v>
          </cell>
          <cell r="O162">
            <v>0.94</v>
          </cell>
          <cell r="P162">
            <v>0.99</v>
          </cell>
          <cell r="Q162">
            <v>1</v>
          </cell>
          <cell r="R162" t="str">
            <v>Boss_HPx1.5</v>
          </cell>
          <cell r="S162">
            <v>7.5</v>
          </cell>
          <cell r="T162">
            <v>1</v>
          </cell>
          <cell r="U162">
            <v>0.8</v>
          </cell>
          <cell r="V162">
            <v>1</v>
          </cell>
          <cell r="W162">
            <v>0.55000000000000004</v>
          </cell>
          <cell r="X162">
            <v>30</v>
          </cell>
          <cell r="Y162">
            <v>1.3</v>
          </cell>
          <cell r="Z162">
            <v>1.3</v>
          </cell>
          <cell r="AA162">
            <v>1.1000000000000001</v>
          </cell>
          <cell r="AB162">
            <v>0</v>
          </cell>
        </row>
        <row r="163">
          <cell r="A163">
            <v>162</v>
          </cell>
          <cell r="B163" t="str">
            <v>狂女 クララ</v>
          </cell>
          <cell r="C163">
            <v>3</v>
          </cell>
          <cell r="D163" t="str">
            <v>blue</v>
          </cell>
          <cell r="E163">
            <v>1</v>
          </cell>
          <cell r="F163">
            <v>0.98</v>
          </cell>
          <cell r="G163">
            <v>1</v>
          </cell>
          <cell r="H163" t="str">
            <v>attack</v>
          </cell>
          <cell r="I163" t="str">
            <v>攻撃タイプ</v>
          </cell>
          <cell r="J163">
            <v>1</v>
          </cell>
          <cell r="K163">
            <v>1.33</v>
          </cell>
          <cell r="L163">
            <v>1</v>
          </cell>
          <cell r="M163" t="str">
            <v>human</v>
          </cell>
          <cell r="N163" t="str">
            <v>ヒューマン</v>
          </cell>
          <cell r="O163">
            <v>0.94</v>
          </cell>
          <cell r="P163">
            <v>0.99</v>
          </cell>
          <cell r="Q163">
            <v>1</v>
          </cell>
          <cell r="R163" t="str">
            <v>Boss</v>
          </cell>
          <cell r="S163">
            <v>5</v>
          </cell>
          <cell r="T163">
            <v>1.3</v>
          </cell>
          <cell r="U163">
            <v>0.8</v>
          </cell>
          <cell r="V163">
            <v>2</v>
          </cell>
          <cell r="W163">
            <v>0.75</v>
          </cell>
          <cell r="X163">
            <v>20</v>
          </cell>
          <cell r="Y163">
            <v>1.1000000000000001</v>
          </cell>
          <cell r="Z163">
            <v>1.2</v>
          </cell>
          <cell r="AA163">
            <v>1.2</v>
          </cell>
          <cell r="AB163">
            <v>0</v>
          </cell>
        </row>
        <row r="164">
          <cell r="A164">
            <v>163</v>
          </cell>
          <cell r="B164" t="str">
            <v>冷酷な狂嬢 クララ</v>
          </cell>
          <cell r="C164">
            <v>4</v>
          </cell>
          <cell r="D164" t="str">
            <v>blue</v>
          </cell>
          <cell r="E164">
            <v>1</v>
          </cell>
          <cell r="F164">
            <v>0.98</v>
          </cell>
          <cell r="G164">
            <v>1</v>
          </cell>
          <cell r="H164" t="str">
            <v>attack</v>
          </cell>
          <cell r="I164" t="str">
            <v>攻撃タイプ</v>
          </cell>
          <cell r="J164">
            <v>1</v>
          </cell>
          <cell r="K164">
            <v>1.33</v>
          </cell>
          <cell r="L164">
            <v>1</v>
          </cell>
          <cell r="M164" t="str">
            <v>human</v>
          </cell>
          <cell r="N164" t="str">
            <v>ヒューマン</v>
          </cell>
          <cell r="O164">
            <v>0.94</v>
          </cell>
          <cell r="P164">
            <v>0.99</v>
          </cell>
          <cell r="Q164">
            <v>1</v>
          </cell>
          <cell r="R164" t="str">
            <v>Boss</v>
          </cell>
          <cell r="S164">
            <v>5</v>
          </cell>
          <cell r="T164">
            <v>1.3</v>
          </cell>
          <cell r="U164">
            <v>0.8</v>
          </cell>
          <cell r="V164">
            <v>2</v>
          </cell>
          <cell r="W164">
            <v>0.75</v>
          </cell>
          <cell r="X164">
            <v>30</v>
          </cell>
          <cell r="Y164">
            <v>1.3</v>
          </cell>
          <cell r="Z164">
            <v>1.3</v>
          </cell>
          <cell r="AA164">
            <v>1.1000000000000001</v>
          </cell>
          <cell r="AB164">
            <v>0</v>
          </cell>
        </row>
        <row r="165">
          <cell r="A165">
            <v>164</v>
          </cell>
          <cell r="B165" t="str">
            <v>イブとトモダチ</v>
          </cell>
          <cell r="C165">
            <v>3</v>
          </cell>
          <cell r="D165" t="str">
            <v>yellow</v>
          </cell>
          <cell r="E165">
            <v>0.98</v>
          </cell>
          <cell r="F165">
            <v>1.01</v>
          </cell>
          <cell r="G165">
            <v>1</v>
          </cell>
          <cell r="H165" t="str">
            <v>technical</v>
          </cell>
          <cell r="I165" t="str">
            <v>テクニカルタイプ</v>
          </cell>
          <cell r="J165">
            <v>0.9</v>
          </cell>
          <cell r="K165">
            <v>0.9</v>
          </cell>
          <cell r="L165">
            <v>1</v>
          </cell>
          <cell r="M165" t="str">
            <v>human</v>
          </cell>
          <cell r="N165" t="str">
            <v>ヒューマン</v>
          </cell>
          <cell r="O165">
            <v>0.94</v>
          </cell>
          <cell r="P165">
            <v>0.99</v>
          </cell>
          <cell r="Q165">
            <v>1</v>
          </cell>
          <cell r="R165" t="str">
            <v>Boss_HPx1.5</v>
          </cell>
          <cell r="S165">
            <v>7.5</v>
          </cell>
          <cell r="T165">
            <v>1</v>
          </cell>
          <cell r="U165">
            <v>0.8</v>
          </cell>
          <cell r="V165">
            <v>3</v>
          </cell>
          <cell r="W165">
            <v>1</v>
          </cell>
          <cell r="X165">
            <v>20</v>
          </cell>
          <cell r="Y165">
            <v>1.1000000000000001</v>
          </cell>
          <cell r="Z165">
            <v>1.2</v>
          </cell>
          <cell r="AA165">
            <v>1.2</v>
          </cell>
          <cell r="AB165">
            <v>164</v>
          </cell>
        </row>
        <row r="166">
          <cell r="A166">
            <v>165</v>
          </cell>
          <cell r="B166" t="str">
            <v>イブとたったひとりのトモダチ</v>
          </cell>
          <cell r="C166">
            <v>4</v>
          </cell>
          <cell r="D166" t="str">
            <v>yellow</v>
          </cell>
          <cell r="E166">
            <v>0.98</v>
          </cell>
          <cell r="F166">
            <v>1.01</v>
          </cell>
          <cell r="G166">
            <v>1</v>
          </cell>
          <cell r="H166" t="str">
            <v>technical</v>
          </cell>
          <cell r="I166" t="str">
            <v>テクニカルタイプ</v>
          </cell>
          <cell r="J166">
            <v>0.9</v>
          </cell>
          <cell r="K166">
            <v>0.9</v>
          </cell>
          <cell r="L166">
            <v>1</v>
          </cell>
          <cell r="M166" t="str">
            <v>human</v>
          </cell>
          <cell r="N166" t="str">
            <v>ヒューマン</v>
          </cell>
          <cell r="O166">
            <v>0.94</v>
          </cell>
          <cell r="P166">
            <v>0.99</v>
          </cell>
          <cell r="Q166">
            <v>1</v>
          </cell>
          <cell r="R166" t="str">
            <v>Boss</v>
          </cell>
          <cell r="S166">
            <v>5</v>
          </cell>
          <cell r="T166">
            <v>1.3</v>
          </cell>
          <cell r="U166">
            <v>0.8</v>
          </cell>
          <cell r="V166">
            <v>3</v>
          </cell>
          <cell r="W166">
            <v>1</v>
          </cell>
          <cell r="X166">
            <v>30</v>
          </cell>
          <cell r="Y166">
            <v>1.3</v>
          </cell>
          <cell r="Z166">
            <v>1.3</v>
          </cell>
          <cell r="AA166">
            <v>1.1000000000000001</v>
          </cell>
          <cell r="AB166">
            <v>0</v>
          </cell>
        </row>
        <row r="167">
          <cell r="A167">
            <v>166</v>
          </cell>
          <cell r="B167" t="str">
            <v>ベリアル</v>
          </cell>
          <cell r="C167">
            <v>3</v>
          </cell>
          <cell r="D167" t="str">
            <v>red</v>
          </cell>
          <cell r="E167">
            <v>1</v>
          </cell>
          <cell r="F167">
            <v>1.02</v>
          </cell>
          <cell r="G167">
            <v>1</v>
          </cell>
          <cell r="H167" t="str">
            <v>attack</v>
          </cell>
          <cell r="I167" t="str">
            <v>攻撃タイプ</v>
          </cell>
          <cell r="J167">
            <v>1</v>
          </cell>
          <cell r="K167">
            <v>1.33</v>
          </cell>
          <cell r="L167">
            <v>1</v>
          </cell>
          <cell r="M167" t="str">
            <v>god</v>
          </cell>
          <cell r="N167" t="str">
            <v>ゴッド</v>
          </cell>
          <cell r="O167">
            <v>0.96</v>
          </cell>
          <cell r="P167">
            <v>1.02</v>
          </cell>
          <cell r="Q167">
            <v>1</v>
          </cell>
          <cell r="R167" t="str">
            <v>Boss</v>
          </cell>
          <cell r="S167">
            <v>5</v>
          </cell>
          <cell r="T167">
            <v>1.3</v>
          </cell>
          <cell r="U167">
            <v>0.8</v>
          </cell>
          <cell r="V167">
            <v>2</v>
          </cell>
          <cell r="W167">
            <v>0.75</v>
          </cell>
          <cell r="X167">
            <v>20</v>
          </cell>
          <cell r="Y167">
            <v>1.1000000000000001</v>
          </cell>
          <cell r="Z167">
            <v>1.2</v>
          </cell>
          <cell r="AA167">
            <v>1.2</v>
          </cell>
          <cell r="AB167">
            <v>0</v>
          </cell>
        </row>
        <row r="168">
          <cell r="A168">
            <v>167</v>
          </cell>
          <cell r="B168" t="str">
            <v>逆徒 ベリアル</v>
          </cell>
          <cell r="C168">
            <v>4</v>
          </cell>
          <cell r="D168" t="str">
            <v>red</v>
          </cell>
          <cell r="E168">
            <v>1</v>
          </cell>
          <cell r="F168">
            <v>1.02</v>
          </cell>
          <cell r="G168">
            <v>1</v>
          </cell>
          <cell r="H168" t="str">
            <v>attack</v>
          </cell>
          <cell r="I168" t="str">
            <v>攻撃タイプ</v>
          </cell>
          <cell r="J168">
            <v>1</v>
          </cell>
          <cell r="K168">
            <v>1.33</v>
          </cell>
          <cell r="L168">
            <v>1</v>
          </cell>
          <cell r="M168" t="str">
            <v>god</v>
          </cell>
          <cell r="N168" t="str">
            <v>ゴッド</v>
          </cell>
          <cell r="O168">
            <v>0.96</v>
          </cell>
          <cell r="P168">
            <v>1.02</v>
          </cell>
          <cell r="Q168">
            <v>1</v>
          </cell>
          <cell r="R168" t="str">
            <v>Boss</v>
          </cell>
          <cell r="S168">
            <v>5</v>
          </cell>
          <cell r="T168">
            <v>1.3</v>
          </cell>
          <cell r="U168">
            <v>0.8</v>
          </cell>
          <cell r="V168">
            <v>2</v>
          </cell>
          <cell r="W168">
            <v>0.75</v>
          </cell>
          <cell r="X168">
            <v>30</v>
          </cell>
          <cell r="Y168">
            <v>1.3</v>
          </cell>
          <cell r="Z168">
            <v>1.3</v>
          </cell>
          <cell r="AA168">
            <v>1.1000000000000001</v>
          </cell>
          <cell r="AB168">
            <v>0</v>
          </cell>
        </row>
        <row r="169">
          <cell r="A169">
            <v>168</v>
          </cell>
          <cell r="B169" t="str">
            <v>猛進の大逆者 ベリアル</v>
          </cell>
          <cell r="C169">
            <v>5</v>
          </cell>
          <cell r="D169" t="str">
            <v>red</v>
          </cell>
          <cell r="E169">
            <v>1</v>
          </cell>
          <cell r="F169">
            <v>1.02</v>
          </cell>
          <cell r="G169">
            <v>1</v>
          </cell>
          <cell r="H169" t="str">
            <v>attack</v>
          </cell>
          <cell r="I169" t="str">
            <v>攻撃タイプ</v>
          </cell>
          <cell r="J169">
            <v>1</v>
          </cell>
          <cell r="K169">
            <v>1.33</v>
          </cell>
          <cell r="L169">
            <v>1</v>
          </cell>
          <cell r="M169" t="str">
            <v>god</v>
          </cell>
          <cell r="N169" t="str">
            <v>ゴッド</v>
          </cell>
          <cell r="O169">
            <v>0.96</v>
          </cell>
          <cell r="P169">
            <v>1.02</v>
          </cell>
          <cell r="Q169">
            <v>1</v>
          </cell>
          <cell r="R169" t="str">
            <v>Boss</v>
          </cell>
          <cell r="S169">
            <v>5</v>
          </cell>
          <cell r="T169">
            <v>1.3</v>
          </cell>
          <cell r="U169">
            <v>0.8</v>
          </cell>
          <cell r="V169">
            <v>2</v>
          </cell>
          <cell r="W169">
            <v>0.75</v>
          </cell>
          <cell r="X169">
            <v>60</v>
          </cell>
          <cell r="Y169">
            <v>1.7</v>
          </cell>
          <cell r="Z169">
            <v>1.4</v>
          </cell>
          <cell r="AA169">
            <v>1</v>
          </cell>
          <cell r="AB169">
            <v>0</v>
          </cell>
        </row>
        <row r="170">
          <cell r="A170">
            <v>169</v>
          </cell>
          <cell r="B170" t="str">
            <v>オセ</v>
          </cell>
          <cell r="C170">
            <v>3</v>
          </cell>
          <cell r="D170" t="str">
            <v>green</v>
          </cell>
          <cell r="E170">
            <v>1.02</v>
          </cell>
          <cell r="F170">
            <v>0.98</v>
          </cell>
          <cell r="G170">
            <v>1</v>
          </cell>
          <cell r="H170" t="str">
            <v>attack</v>
          </cell>
          <cell r="I170" t="str">
            <v>攻撃タイプ</v>
          </cell>
          <cell r="J170">
            <v>1</v>
          </cell>
          <cell r="K170">
            <v>1.33</v>
          </cell>
          <cell r="L170">
            <v>1</v>
          </cell>
          <cell r="M170" t="str">
            <v>god</v>
          </cell>
          <cell r="N170" t="str">
            <v>ゴッド</v>
          </cell>
          <cell r="O170">
            <v>0.96</v>
          </cell>
          <cell r="P170">
            <v>1.02</v>
          </cell>
          <cell r="Q170">
            <v>1</v>
          </cell>
          <cell r="R170" t="str">
            <v>Boss</v>
          </cell>
          <cell r="S170">
            <v>5</v>
          </cell>
          <cell r="T170">
            <v>1.3</v>
          </cell>
          <cell r="U170">
            <v>0.8</v>
          </cell>
          <cell r="V170">
            <v>2</v>
          </cell>
          <cell r="W170">
            <v>0.75</v>
          </cell>
          <cell r="X170">
            <v>20</v>
          </cell>
          <cell r="Y170">
            <v>1.1000000000000001</v>
          </cell>
          <cell r="Z170">
            <v>1.2</v>
          </cell>
          <cell r="AA170">
            <v>1.2</v>
          </cell>
          <cell r="AB170">
            <v>169</v>
          </cell>
        </row>
        <row r="171">
          <cell r="A171">
            <v>170</v>
          </cell>
          <cell r="B171" t="str">
            <v>識徒 オセ</v>
          </cell>
          <cell r="C171">
            <v>4</v>
          </cell>
          <cell r="D171" t="str">
            <v>green</v>
          </cell>
          <cell r="E171">
            <v>1.02</v>
          </cell>
          <cell r="F171">
            <v>0.98</v>
          </cell>
          <cell r="G171">
            <v>1</v>
          </cell>
          <cell r="H171" t="str">
            <v>attack</v>
          </cell>
          <cell r="I171" t="str">
            <v>攻撃タイプ</v>
          </cell>
          <cell r="J171">
            <v>1</v>
          </cell>
          <cell r="K171">
            <v>1.33</v>
          </cell>
          <cell r="L171">
            <v>1</v>
          </cell>
          <cell r="M171" t="str">
            <v>god</v>
          </cell>
          <cell r="N171" t="str">
            <v>ゴッド</v>
          </cell>
          <cell r="O171">
            <v>0.96</v>
          </cell>
          <cell r="P171">
            <v>1.02</v>
          </cell>
          <cell r="Q171">
            <v>1</v>
          </cell>
          <cell r="R171" t="str">
            <v>Boss</v>
          </cell>
          <cell r="S171">
            <v>5</v>
          </cell>
          <cell r="T171">
            <v>1.3</v>
          </cell>
          <cell r="U171">
            <v>0.8</v>
          </cell>
          <cell r="V171">
            <v>2</v>
          </cell>
          <cell r="W171">
            <v>0.75</v>
          </cell>
          <cell r="X171">
            <v>30</v>
          </cell>
          <cell r="Y171">
            <v>1.3</v>
          </cell>
          <cell r="Z171">
            <v>1.3</v>
          </cell>
          <cell r="AA171">
            <v>1.1000000000000001</v>
          </cell>
          <cell r="AB171">
            <v>0</v>
          </cell>
        </row>
        <row r="172">
          <cell r="A172">
            <v>171</v>
          </cell>
          <cell r="B172" t="str">
            <v>精解の預知者 オセ</v>
          </cell>
          <cell r="C172">
            <v>5</v>
          </cell>
          <cell r="D172" t="str">
            <v>green</v>
          </cell>
          <cell r="E172">
            <v>1.02</v>
          </cell>
          <cell r="F172">
            <v>0.98</v>
          </cell>
          <cell r="G172">
            <v>1</v>
          </cell>
          <cell r="H172" t="str">
            <v>attack</v>
          </cell>
          <cell r="I172" t="str">
            <v>攻撃タイプ</v>
          </cell>
          <cell r="J172">
            <v>1</v>
          </cell>
          <cell r="K172">
            <v>1.33</v>
          </cell>
          <cell r="L172">
            <v>1</v>
          </cell>
          <cell r="M172" t="str">
            <v>god</v>
          </cell>
          <cell r="N172" t="str">
            <v>ゴッド</v>
          </cell>
          <cell r="O172">
            <v>0.96</v>
          </cell>
          <cell r="P172">
            <v>1.02</v>
          </cell>
          <cell r="Q172">
            <v>1</v>
          </cell>
          <cell r="R172" t="str">
            <v>Boss</v>
          </cell>
          <cell r="S172">
            <v>5</v>
          </cell>
          <cell r="T172">
            <v>1.3</v>
          </cell>
          <cell r="U172">
            <v>0.8</v>
          </cell>
          <cell r="V172">
            <v>2</v>
          </cell>
          <cell r="W172">
            <v>0.75</v>
          </cell>
          <cell r="X172">
            <v>60</v>
          </cell>
          <cell r="Y172">
            <v>1.7</v>
          </cell>
          <cell r="Z172">
            <v>1.4</v>
          </cell>
          <cell r="AA172">
            <v>1</v>
          </cell>
          <cell r="AB172">
            <v>0</v>
          </cell>
        </row>
        <row r="173">
          <cell r="A173">
            <v>172</v>
          </cell>
          <cell r="B173" t="str">
            <v>フォルネウス</v>
          </cell>
          <cell r="C173">
            <v>3</v>
          </cell>
          <cell r="D173" t="str">
            <v>blue</v>
          </cell>
          <cell r="E173">
            <v>1</v>
          </cell>
          <cell r="F173">
            <v>0.98</v>
          </cell>
          <cell r="G173">
            <v>1</v>
          </cell>
          <cell r="H173" t="str">
            <v>attack</v>
          </cell>
          <cell r="I173" t="str">
            <v>攻撃タイプ</v>
          </cell>
          <cell r="J173">
            <v>1</v>
          </cell>
          <cell r="K173">
            <v>1.33</v>
          </cell>
          <cell r="L173">
            <v>1</v>
          </cell>
          <cell r="M173" t="str">
            <v>god</v>
          </cell>
          <cell r="N173" t="str">
            <v>ゴッド</v>
          </cell>
          <cell r="O173">
            <v>0.96</v>
          </cell>
          <cell r="P173">
            <v>1.02</v>
          </cell>
          <cell r="Q173">
            <v>1</v>
          </cell>
          <cell r="R173" t="str">
            <v>Boss</v>
          </cell>
          <cell r="S173">
            <v>5</v>
          </cell>
          <cell r="T173">
            <v>1.3</v>
          </cell>
          <cell r="U173">
            <v>0.8</v>
          </cell>
          <cell r="V173">
            <v>2</v>
          </cell>
          <cell r="W173">
            <v>0.75</v>
          </cell>
          <cell r="X173">
            <v>20</v>
          </cell>
          <cell r="Y173">
            <v>1.1000000000000001</v>
          </cell>
          <cell r="Z173">
            <v>1.2</v>
          </cell>
          <cell r="AA173">
            <v>1.2</v>
          </cell>
          <cell r="AB173">
            <v>172</v>
          </cell>
        </row>
        <row r="174">
          <cell r="A174">
            <v>173</v>
          </cell>
          <cell r="B174" t="str">
            <v>公爵 フォルネウス</v>
          </cell>
          <cell r="C174">
            <v>4</v>
          </cell>
          <cell r="D174" t="str">
            <v>blue</v>
          </cell>
          <cell r="E174">
            <v>1</v>
          </cell>
          <cell r="F174">
            <v>0.98</v>
          </cell>
          <cell r="G174">
            <v>1</v>
          </cell>
          <cell r="H174" t="str">
            <v>attack</v>
          </cell>
          <cell r="I174" t="str">
            <v>攻撃タイプ</v>
          </cell>
          <cell r="J174">
            <v>1</v>
          </cell>
          <cell r="K174">
            <v>1.33</v>
          </cell>
          <cell r="L174">
            <v>1</v>
          </cell>
          <cell r="M174" t="str">
            <v>god</v>
          </cell>
          <cell r="N174" t="str">
            <v>ゴッド</v>
          </cell>
          <cell r="O174">
            <v>0.96</v>
          </cell>
          <cell r="P174">
            <v>1.02</v>
          </cell>
          <cell r="Q174">
            <v>1</v>
          </cell>
          <cell r="R174" t="str">
            <v>Boss</v>
          </cell>
          <cell r="S174">
            <v>5</v>
          </cell>
          <cell r="T174">
            <v>1.3</v>
          </cell>
          <cell r="U174">
            <v>0.8</v>
          </cell>
          <cell r="V174">
            <v>2</v>
          </cell>
          <cell r="W174">
            <v>0.75</v>
          </cell>
          <cell r="X174">
            <v>30</v>
          </cell>
          <cell r="Y174">
            <v>1.3</v>
          </cell>
          <cell r="Z174">
            <v>1.3</v>
          </cell>
          <cell r="AA174">
            <v>1.1000000000000001</v>
          </cell>
          <cell r="AB174">
            <v>0</v>
          </cell>
        </row>
        <row r="175">
          <cell r="A175">
            <v>174</v>
          </cell>
          <cell r="B175" t="str">
            <v>偽愛の大公爵 フォルネウス</v>
          </cell>
          <cell r="C175">
            <v>5</v>
          </cell>
          <cell r="D175" t="str">
            <v>blue</v>
          </cell>
          <cell r="E175">
            <v>1</v>
          </cell>
          <cell r="F175">
            <v>0.98</v>
          </cell>
          <cell r="G175">
            <v>1</v>
          </cell>
          <cell r="H175" t="str">
            <v>attack</v>
          </cell>
          <cell r="I175" t="str">
            <v>攻撃タイプ</v>
          </cell>
          <cell r="J175">
            <v>1</v>
          </cell>
          <cell r="K175">
            <v>1.33</v>
          </cell>
          <cell r="L175">
            <v>1</v>
          </cell>
          <cell r="M175" t="str">
            <v>god</v>
          </cell>
          <cell r="N175" t="str">
            <v>ゴッド</v>
          </cell>
          <cell r="O175">
            <v>0.96</v>
          </cell>
          <cell r="P175">
            <v>1.02</v>
          </cell>
          <cell r="Q175">
            <v>1</v>
          </cell>
          <cell r="R175" t="str">
            <v>Boss</v>
          </cell>
          <cell r="S175">
            <v>5</v>
          </cell>
          <cell r="T175">
            <v>1.3</v>
          </cell>
          <cell r="U175">
            <v>0.8</v>
          </cell>
          <cell r="V175">
            <v>2</v>
          </cell>
          <cell r="W175">
            <v>0.75</v>
          </cell>
          <cell r="X175">
            <v>60</v>
          </cell>
          <cell r="Y175">
            <v>1.7</v>
          </cell>
          <cell r="Z175">
            <v>1.4</v>
          </cell>
          <cell r="AA175">
            <v>1</v>
          </cell>
          <cell r="AB175">
            <v>0</v>
          </cell>
        </row>
        <row r="176">
          <cell r="A176">
            <v>175</v>
          </cell>
          <cell r="B176" t="str">
            <v>バフォメット</v>
          </cell>
          <cell r="C176">
            <v>3</v>
          </cell>
          <cell r="D176" t="str">
            <v>yellow</v>
          </cell>
          <cell r="E176">
            <v>0.98</v>
          </cell>
          <cell r="F176">
            <v>1.01</v>
          </cell>
          <cell r="G176">
            <v>1</v>
          </cell>
          <cell r="H176" t="str">
            <v>attack</v>
          </cell>
          <cell r="I176" t="str">
            <v>攻撃タイプ</v>
          </cell>
          <cell r="J176">
            <v>1</v>
          </cell>
          <cell r="K176">
            <v>1.33</v>
          </cell>
          <cell r="L176">
            <v>1</v>
          </cell>
          <cell r="M176" t="str">
            <v>god</v>
          </cell>
          <cell r="N176" t="str">
            <v>ゴッド</v>
          </cell>
          <cell r="O176">
            <v>0.96</v>
          </cell>
          <cell r="P176">
            <v>1.02</v>
          </cell>
          <cell r="Q176">
            <v>1</v>
          </cell>
          <cell r="R176" t="str">
            <v>Boss</v>
          </cell>
          <cell r="S176">
            <v>5</v>
          </cell>
          <cell r="T176">
            <v>1.3</v>
          </cell>
          <cell r="U176">
            <v>0.8</v>
          </cell>
          <cell r="V176">
            <v>2</v>
          </cell>
          <cell r="W176">
            <v>0.75</v>
          </cell>
          <cell r="X176">
            <v>20</v>
          </cell>
          <cell r="Y176">
            <v>1.1000000000000001</v>
          </cell>
          <cell r="Z176">
            <v>1.2</v>
          </cell>
          <cell r="AA176">
            <v>1.2</v>
          </cell>
          <cell r="AB176">
            <v>0</v>
          </cell>
        </row>
        <row r="177">
          <cell r="A177">
            <v>176</v>
          </cell>
          <cell r="B177" t="str">
            <v>異教徒 バフォメット</v>
          </cell>
          <cell r="C177">
            <v>4</v>
          </cell>
          <cell r="D177" t="str">
            <v>yellow</v>
          </cell>
          <cell r="E177">
            <v>0.98</v>
          </cell>
          <cell r="F177">
            <v>1.01</v>
          </cell>
          <cell r="G177">
            <v>1</v>
          </cell>
          <cell r="H177" t="str">
            <v>attack</v>
          </cell>
          <cell r="I177" t="str">
            <v>攻撃タイプ</v>
          </cell>
          <cell r="J177">
            <v>1</v>
          </cell>
          <cell r="K177">
            <v>1.33</v>
          </cell>
          <cell r="L177">
            <v>1</v>
          </cell>
          <cell r="M177" t="str">
            <v>god</v>
          </cell>
          <cell r="N177" t="str">
            <v>ゴッド</v>
          </cell>
          <cell r="O177">
            <v>0.96</v>
          </cell>
          <cell r="P177">
            <v>1.02</v>
          </cell>
          <cell r="Q177">
            <v>1</v>
          </cell>
          <cell r="R177" t="str">
            <v>Boss</v>
          </cell>
          <cell r="S177">
            <v>5</v>
          </cell>
          <cell r="T177">
            <v>1.3</v>
          </cell>
          <cell r="U177">
            <v>0.8</v>
          </cell>
          <cell r="V177">
            <v>2</v>
          </cell>
          <cell r="W177">
            <v>0.75</v>
          </cell>
          <cell r="X177">
            <v>30</v>
          </cell>
          <cell r="Y177">
            <v>1.3</v>
          </cell>
          <cell r="Z177">
            <v>1.3</v>
          </cell>
          <cell r="AA177">
            <v>1.1000000000000001</v>
          </cell>
          <cell r="AB177">
            <v>0</v>
          </cell>
        </row>
        <row r="178">
          <cell r="A178">
            <v>177</v>
          </cell>
          <cell r="B178" t="str">
            <v>黒魔の異端師 バフォメット</v>
          </cell>
          <cell r="C178">
            <v>5</v>
          </cell>
          <cell r="D178" t="str">
            <v>yellow</v>
          </cell>
          <cell r="E178">
            <v>0.98</v>
          </cell>
          <cell r="F178">
            <v>1.01</v>
          </cell>
          <cell r="G178">
            <v>1</v>
          </cell>
          <cell r="H178" t="str">
            <v>attack</v>
          </cell>
          <cell r="I178" t="str">
            <v>攻撃タイプ</v>
          </cell>
          <cell r="J178">
            <v>1</v>
          </cell>
          <cell r="K178">
            <v>1.33</v>
          </cell>
          <cell r="L178">
            <v>1</v>
          </cell>
          <cell r="M178" t="str">
            <v>god</v>
          </cell>
          <cell r="N178" t="str">
            <v>ゴッド</v>
          </cell>
          <cell r="O178">
            <v>0.96</v>
          </cell>
          <cell r="P178">
            <v>1.02</v>
          </cell>
          <cell r="Q178">
            <v>1</v>
          </cell>
          <cell r="R178" t="str">
            <v>Boss</v>
          </cell>
          <cell r="S178">
            <v>5</v>
          </cell>
          <cell r="T178">
            <v>1.3</v>
          </cell>
          <cell r="U178">
            <v>0.8</v>
          </cell>
          <cell r="V178">
            <v>2</v>
          </cell>
          <cell r="W178">
            <v>0.75</v>
          </cell>
          <cell r="X178">
            <v>60</v>
          </cell>
          <cell r="Y178">
            <v>1.7</v>
          </cell>
          <cell r="Z178">
            <v>1.4</v>
          </cell>
          <cell r="AA178">
            <v>1</v>
          </cell>
          <cell r="AB178">
            <v>0</v>
          </cell>
        </row>
        <row r="179">
          <cell r="A179">
            <v>178</v>
          </cell>
          <cell r="B179" t="str">
            <v>ケルベロス</v>
          </cell>
          <cell r="C179">
            <v>3</v>
          </cell>
          <cell r="D179" t="str">
            <v>red</v>
          </cell>
          <cell r="E179">
            <v>1</v>
          </cell>
          <cell r="F179">
            <v>1.02</v>
          </cell>
          <cell r="G179">
            <v>1</v>
          </cell>
          <cell r="H179" t="str">
            <v>balance</v>
          </cell>
          <cell r="I179" t="str">
            <v>バランスタイプ</v>
          </cell>
          <cell r="J179">
            <v>1</v>
          </cell>
          <cell r="K179">
            <v>1</v>
          </cell>
          <cell r="L179">
            <v>1</v>
          </cell>
          <cell r="M179" t="str">
            <v>animal</v>
          </cell>
          <cell r="N179" t="str">
            <v>アニマル</v>
          </cell>
          <cell r="O179">
            <v>1</v>
          </cell>
          <cell r="P179">
            <v>1.1000000000000001</v>
          </cell>
          <cell r="Q179">
            <v>1</v>
          </cell>
          <cell r="R179" t="str">
            <v>Boss</v>
          </cell>
          <cell r="S179">
            <v>5</v>
          </cell>
          <cell r="T179">
            <v>1.3</v>
          </cell>
          <cell r="U179">
            <v>0.8</v>
          </cell>
          <cell r="V179">
            <v>3</v>
          </cell>
          <cell r="W179">
            <v>1</v>
          </cell>
          <cell r="X179">
            <v>20</v>
          </cell>
          <cell r="Y179">
            <v>1.1000000000000001</v>
          </cell>
          <cell r="Z179">
            <v>1.2</v>
          </cell>
          <cell r="AA179">
            <v>1.2</v>
          </cell>
          <cell r="AB179">
            <v>178</v>
          </cell>
        </row>
        <row r="180">
          <cell r="A180">
            <v>179</v>
          </cell>
          <cell r="B180" t="str">
            <v>番犬 ケルベロス</v>
          </cell>
          <cell r="C180">
            <v>4</v>
          </cell>
          <cell r="D180" t="str">
            <v>red</v>
          </cell>
          <cell r="E180">
            <v>1</v>
          </cell>
          <cell r="F180">
            <v>1.02</v>
          </cell>
          <cell r="G180">
            <v>1</v>
          </cell>
          <cell r="H180" t="str">
            <v>balance</v>
          </cell>
          <cell r="I180" t="str">
            <v>バランスタイプ</v>
          </cell>
          <cell r="J180">
            <v>1</v>
          </cell>
          <cell r="K180">
            <v>1</v>
          </cell>
          <cell r="L180">
            <v>1</v>
          </cell>
          <cell r="M180" t="str">
            <v>animal</v>
          </cell>
          <cell r="N180" t="str">
            <v>アニマル</v>
          </cell>
          <cell r="O180">
            <v>1</v>
          </cell>
          <cell r="P180">
            <v>1.1000000000000001</v>
          </cell>
          <cell r="Q180">
            <v>1</v>
          </cell>
          <cell r="R180" t="str">
            <v>Boss</v>
          </cell>
          <cell r="S180">
            <v>5</v>
          </cell>
          <cell r="T180">
            <v>1.3</v>
          </cell>
          <cell r="U180">
            <v>0.8</v>
          </cell>
          <cell r="V180">
            <v>3</v>
          </cell>
          <cell r="W180">
            <v>1</v>
          </cell>
          <cell r="X180">
            <v>30</v>
          </cell>
          <cell r="Y180">
            <v>1.3</v>
          </cell>
          <cell r="Z180">
            <v>1.3</v>
          </cell>
          <cell r="AA180">
            <v>1.1000000000000001</v>
          </cell>
          <cell r="AB180">
            <v>178</v>
          </cell>
        </row>
        <row r="181">
          <cell r="A181">
            <v>180</v>
          </cell>
          <cell r="B181" t="str">
            <v>地獄の大門番 ケルベロス</v>
          </cell>
          <cell r="C181">
            <v>5</v>
          </cell>
          <cell r="D181" t="str">
            <v>red</v>
          </cell>
          <cell r="E181">
            <v>1</v>
          </cell>
          <cell r="F181">
            <v>1.02</v>
          </cell>
          <cell r="G181">
            <v>1</v>
          </cell>
          <cell r="H181" t="str">
            <v>balance</v>
          </cell>
          <cell r="I181" t="str">
            <v>バランスタイプ</v>
          </cell>
          <cell r="J181">
            <v>1</v>
          </cell>
          <cell r="K181">
            <v>1</v>
          </cell>
          <cell r="L181">
            <v>1</v>
          </cell>
          <cell r="M181" t="str">
            <v>animal</v>
          </cell>
          <cell r="N181" t="str">
            <v>アニマル</v>
          </cell>
          <cell r="O181">
            <v>1</v>
          </cell>
          <cell r="P181">
            <v>1.1000000000000001</v>
          </cell>
          <cell r="Q181">
            <v>1</v>
          </cell>
          <cell r="R181" t="str">
            <v>Boss</v>
          </cell>
          <cell r="S181">
            <v>5</v>
          </cell>
          <cell r="T181">
            <v>1.3</v>
          </cell>
          <cell r="U181">
            <v>0.8</v>
          </cell>
          <cell r="V181">
            <v>3</v>
          </cell>
          <cell r="W181">
            <v>1</v>
          </cell>
          <cell r="X181">
            <v>60</v>
          </cell>
          <cell r="Y181">
            <v>1.7</v>
          </cell>
          <cell r="Z181">
            <v>1.4</v>
          </cell>
          <cell r="AA181">
            <v>1</v>
          </cell>
          <cell r="AB181">
            <v>0</v>
          </cell>
        </row>
        <row r="182">
          <cell r="A182">
            <v>181</v>
          </cell>
          <cell r="B182" t="str">
            <v>ベヒモス</v>
          </cell>
          <cell r="C182">
            <v>3</v>
          </cell>
          <cell r="D182" t="str">
            <v>green</v>
          </cell>
          <cell r="E182">
            <v>1.02</v>
          </cell>
          <cell r="F182">
            <v>0.98</v>
          </cell>
          <cell r="G182">
            <v>1</v>
          </cell>
          <cell r="H182" t="str">
            <v>hp</v>
          </cell>
          <cell r="I182" t="str">
            <v>体力タイプ</v>
          </cell>
          <cell r="J182">
            <v>1.45</v>
          </cell>
          <cell r="K182">
            <v>0.85</v>
          </cell>
          <cell r="L182">
            <v>1</v>
          </cell>
          <cell r="M182" t="str">
            <v>animal</v>
          </cell>
          <cell r="N182" t="str">
            <v>アニマル</v>
          </cell>
          <cell r="O182">
            <v>1</v>
          </cell>
          <cell r="P182">
            <v>1.1000000000000001</v>
          </cell>
          <cell r="Q182">
            <v>1</v>
          </cell>
          <cell r="R182" t="str">
            <v>Boss</v>
          </cell>
          <cell r="S182">
            <v>5</v>
          </cell>
          <cell r="T182">
            <v>1.3</v>
          </cell>
          <cell r="U182">
            <v>0.8</v>
          </cell>
          <cell r="V182">
            <v>2</v>
          </cell>
          <cell r="W182">
            <v>0.75</v>
          </cell>
          <cell r="X182">
            <v>20</v>
          </cell>
          <cell r="Y182">
            <v>1.1000000000000001</v>
          </cell>
          <cell r="Z182">
            <v>1.2</v>
          </cell>
          <cell r="AA182">
            <v>1.2</v>
          </cell>
          <cell r="AB182">
            <v>0</v>
          </cell>
        </row>
        <row r="183">
          <cell r="A183">
            <v>182</v>
          </cell>
          <cell r="B183" t="str">
            <v>放蕩者 ベヒモス</v>
          </cell>
          <cell r="C183">
            <v>4</v>
          </cell>
          <cell r="D183" t="str">
            <v>green</v>
          </cell>
          <cell r="E183">
            <v>1.02</v>
          </cell>
          <cell r="F183">
            <v>0.98</v>
          </cell>
          <cell r="G183">
            <v>1</v>
          </cell>
          <cell r="H183" t="str">
            <v>hp</v>
          </cell>
          <cell r="I183" t="str">
            <v>体力タイプ</v>
          </cell>
          <cell r="J183">
            <v>1.45</v>
          </cell>
          <cell r="K183">
            <v>0.85</v>
          </cell>
          <cell r="L183">
            <v>1</v>
          </cell>
          <cell r="M183" t="str">
            <v>animal</v>
          </cell>
          <cell r="N183" t="str">
            <v>アニマル</v>
          </cell>
          <cell r="O183">
            <v>1</v>
          </cell>
          <cell r="P183">
            <v>1.1000000000000001</v>
          </cell>
          <cell r="Q183">
            <v>1</v>
          </cell>
          <cell r="R183" t="str">
            <v>Boss</v>
          </cell>
          <cell r="S183">
            <v>5</v>
          </cell>
          <cell r="T183">
            <v>1.3</v>
          </cell>
          <cell r="U183">
            <v>0.8</v>
          </cell>
          <cell r="V183">
            <v>2</v>
          </cell>
          <cell r="W183">
            <v>0.75</v>
          </cell>
          <cell r="X183">
            <v>30</v>
          </cell>
          <cell r="Y183">
            <v>1.3</v>
          </cell>
          <cell r="Z183">
            <v>1.3</v>
          </cell>
          <cell r="AA183">
            <v>1.1000000000000001</v>
          </cell>
          <cell r="AB183">
            <v>182</v>
          </cell>
        </row>
        <row r="184">
          <cell r="A184">
            <v>183</v>
          </cell>
          <cell r="B184" t="str">
            <v>鈍重な彷徨者 ベヒモス</v>
          </cell>
          <cell r="C184">
            <v>5</v>
          </cell>
          <cell r="D184" t="str">
            <v>green</v>
          </cell>
          <cell r="E184">
            <v>1.02</v>
          </cell>
          <cell r="F184">
            <v>0.98</v>
          </cell>
          <cell r="G184">
            <v>1</v>
          </cell>
          <cell r="H184" t="str">
            <v>hp</v>
          </cell>
          <cell r="I184" t="str">
            <v>体力タイプ</v>
          </cell>
          <cell r="J184">
            <v>1.45</v>
          </cell>
          <cell r="K184">
            <v>0.85</v>
          </cell>
          <cell r="L184">
            <v>1</v>
          </cell>
          <cell r="M184" t="str">
            <v>animal</v>
          </cell>
          <cell r="N184" t="str">
            <v>アニマル</v>
          </cell>
          <cell r="O184">
            <v>1</v>
          </cell>
          <cell r="P184">
            <v>1.1000000000000001</v>
          </cell>
          <cell r="Q184">
            <v>1</v>
          </cell>
          <cell r="R184" t="str">
            <v>Boss</v>
          </cell>
          <cell r="S184">
            <v>5</v>
          </cell>
          <cell r="T184">
            <v>1.3</v>
          </cell>
          <cell r="U184">
            <v>0.8</v>
          </cell>
          <cell r="V184">
            <v>2</v>
          </cell>
          <cell r="W184">
            <v>0.75</v>
          </cell>
          <cell r="X184">
            <v>60</v>
          </cell>
          <cell r="Y184">
            <v>1.7</v>
          </cell>
          <cell r="Z184">
            <v>1.4</v>
          </cell>
          <cell r="AA184">
            <v>1</v>
          </cell>
          <cell r="AB184">
            <v>0</v>
          </cell>
        </row>
        <row r="185">
          <cell r="A185">
            <v>184</v>
          </cell>
          <cell r="B185" t="str">
            <v>クラーケン</v>
          </cell>
          <cell r="C185">
            <v>3</v>
          </cell>
          <cell r="D185" t="str">
            <v>blue</v>
          </cell>
          <cell r="E185">
            <v>1</v>
          </cell>
          <cell r="F185">
            <v>0.98</v>
          </cell>
          <cell r="G185">
            <v>1</v>
          </cell>
          <cell r="H185" t="str">
            <v>heal</v>
          </cell>
          <cell r="I185" t="str">
            <v>回復タイプ</v>
          </cell>
          <cell r="J185">
            <v>0.8</v>
          </cell>
          <cell r="K185">
            <v>0.78</v>
          </cell>
          <cell r="L185">
            <v>1</v>
          </cell>
          <cell r="M185" t="str">
            <v>animal</v>
          </cell>
          <cell r="N185" t="str">
            <v>アニマル</v>
          </cell>
          <cell r="O185">
            <v>1</v>
          </cell>
          <cell r="P185">
            <v>1.1000000000000001</v>
          </cell>
          <cell r="Q185">
            <v>1</v>
          </cell>
          <cell r="R185" t="str">
            <v>Boss</v>
          </cell>
          <cell r="S185">
            <v>5</v>
          </cell>
          <cell r="T185">
            <v>1.3</v>
          </cell>
          <cell r="U185">
            <v>0.8</v>
          </cell>
          <cell r="V185">
            <v>3</v>
          </cell>
          <cell r="W185">
            <v>1</v>
          </cell>
          <cell r="X185">
            <v>20</v>
          </cell>
          <cell r="Y185">
            <v>1.1000000000000001</v>
          </cell>
          <cell r="Z185">
            <v>1.2</v>
          </cell>
          <cell r="AA185">
            <v>1.2</v>
          </cell>
          <cell r="AB185">
            <v>184</v>
          </cell>
        </row>
        <row r="186">
          <cell r="A186">
            <v>185</v>
          </cell>
          <cell r="B186" t="str">
            <v>海姫 クラーケン</v>
          </cell>
          <cell r="C186">
            <v>4</v>
          </cell>
          <cell r="D186" t="str">
            <v>blue</v>
          </cell>
          <cell r="E186">
            <v>1</v>
          </cell>
          <cell r="F186">
            <v>0.98</v>
          </cell>
          <cell r="G186">
            <v>1</v>
          </cell>
          <cell r="H186" t="str">
            <v>heal</v>
          </cell>
          <cell r="I186" t="str">
            <v>回復タイプ</v>
          </cell>
          <cell r="J186">
            <v>0.8</v>
          </cell>
          <cell r="K186">
            <v>0.78</v>
          </cell>
          <cell r="L186">
            <v>1</v>
          </cell>
          <cell r="M186" t="str">
            <v>animal</v>
          </cell>
          <cell r="N186" t="str">
            <v>アニマル</v>
          </cell>
          <cell r="O186">
            <v>1</v>
          </cell>
          <cell r="P186">
            <v>1.1000000000000001</v>
          </cell>
          <cell r="Q186">
            <v>1</v>
          </cell>
          <cell r="R186" t="str">
            <v>Boss_HPx1.5</v>
          </cell>
          <cell r="S186">
            <v>7.5</v>
          </cell>
          <cell r="T186">
            <v>1</v>
          </cell>
          <cell r="U186">
            <v>0.8</v>
          </cell>
          <cell r="V186">
            <v>3</v>
          </cell>
          <cell r="W186">
            <v>1</v>
          </cell>
          <cell r="X186">
            <v>30</v>
          </cell>
          <cell r="Y186">
            <v>1.3</v>
          </cell>
          <cell r="Z186">
            <v>1.3</v>
          </cell>
          <cell r="AA186">
            <v>1.1000000000000001</v>
          </cell>
          <cell r="AB186">
            <v>185</v>
          </cell>
        </row>
        <row r="187">
          <cell r="A187">
            <v>186</v>
          </cell>
          <cell r="B187" t="str">
            <v>誇り高き多触姫・クラーケン</v>
          </cell>
          <cell r="C187">
            <v>5</v>
          </cell>
          <cell r="D187" t="str">
            <v>blue</v>
          </cell>
          <cell r="E187">
            <v>1</v>
          </cell>
          <cell r="F187">
            <v>0.98</v>
          </cell>
          <cell r="G187">
            <v>1</v>
          </cell>
          <cell r="H187" t="str">
            <v>heal</v>
          </cell>
          <cell r="I187" t="str">
            <v>回復タイプ</v>
          </cell>
          <cell r="J187">
            <v>0.8</v>
          </cell>
          <cell r="K187">
            <v>0.78</v>
          </cell>
          <cell r="L187">
            <v>1</v>
          </cell>
          <cell r="M187" t="str">
            <v>animal</v>
          </cell>
          <cell r="N187" t="str">
            <v>アニマル</v>
          </cell>
          <cell r="O187">
            <v>1</v>
          </cell>
          <cell r="P187">
            <v>1.1000000000000001</v>
          </cell>
          <cell r="Q187">
            <v>1</v>
          </cell>
          <cell r="R187" t="str">
            <v>Boss</v>
          </cell>
          <cell r="S187">
            <v>5</v>
          </cell>
          <cell r="T187">
            <v>1.3</v>
          </cell>
          <cell r="U187">
            <v>0.8</v>
          </cell>
          <cell r="V187">
            <v>3</v>
          </cell>
          <cell r="W187">
            <v>1</v>
          </cell>
          <cell r="X187">
            <v>60</v>
          </cell>
          <cell r="Y187">
            <v>1.7</v>
          </cell>
          <cell r="Z187">
            <v>1.4</v>
          </cell>
          <cell r="AA187">
            <v>1</v>
          </cell>
          <cell r="AB187">
            <v>0</v>
          </cell>
        </row>
        <row r="188">
          <cell r="A188">
            <v>187</v>
          </cell>
          <cell r="B188" t="str">
            <v>ホルス</v>
          </cell>
          <cell r="C188">
            <v>3</v>
          </cell>
          <cell r="D188" t="str">
            <v>yellow</v>
          </cell>
          <cell r="E188">
            <v>0.98</v>
          </cell>
          <cell r="F188">
            <v>1.01</v>
          </cell>
          <cell r="G188">
            <v>1</v>
          </cell>
          <cell r="H188" t="str">
            <v>attack</v>
          </cell>
          <cell r="I188" t="str">
            <v>攻撃タイプ</v>
          </cell>
          <cell r="J188">
            <v>1</v>
          </cell>
          <cell r="K188">
            <v>1.33</v>
          </cell>
          <cell r="L188">
            <v>1</v>
          </cell>
          <cell r="M188" t="str">
            <v>animal</v>
          </cell>
          <cell r="N188" t="str">
            <v>アニマル</v>
          </cell>
          <cell r="O188">
            <v>1</v>
          </cell>
          <cell r="P188">
            <v>1.1000000000000001</v>
          </cell>
          <cell r="Q188">
            <v>1</v>
          </cell>
          <cell r="R188" t="str">
            <v>Boss</v>
          </cell>
          <cell r="S188">
            <v>5</v>
          </cell>
          <cell r="T188">
            <v>1.3</v>
          </cell>
          <cell r="U188">
            <v>0.8</v>
          </cell>
          <cell r="V188">
            <v>1</v>
          </cell>
          <cell r="W188">
            <v>0.55000000000000004</v>
          </cell>
          <cell r="X188">
            <v>20</v>
          </cell>
          <cell r="Y188">
            <v>1.1000000000000001</v>
          </cell>
          <cell r="Z188">
            <v>1.2</v>
          </cell>
          <cell r="AA188">
            <v>1.2</v>
          </cell>
          <cell r="AB188">
            <v>187</v>
          </cell>
        </row>
        <row r="189">
          <cell r="A189">
            <v>188</v>
          </cell>
          <cell r="B189" t="str">
            <v>猛禽 ホルス</v>
          </cell>
          <cell r="C189">
            <v>4</v>
          </cell>
          <cell r="D189" t="str">
            <v>yellow</v>
          </cell>
          <cell r="E189">
            <v>0.98</v>
          </cell>
          <cell r="F189">
            <v>1.01</v>
          </cell>
          <cell r="G189">
            <v>1</v>
          </cell>
          <cell r="H189" t="str">
            <v>attack</v>
          </cell>
          <cell r="I189" t="str">
            <v>攻撃タイプ</v>
          </cell>
          <cell r="J189">
            <v>1</v>
          </cell>
          <cell r="K189">
            <v>1.33</v>
          </cell>
          <cell r="L189">
            <v>1</v>
          </cell>
          <cell r="M189" t="str">
            <v>animal</v>
          </cell>
          <cell r="N189" t="str">
            <v>アニマル</v>
          </cell>
          <cell r="O189">
            <v>1</v>
          </cell>
          <cell r="P189">
            <v>1.1000000000000001</v>
          </cell>
          <cell r="Q189">
            <v>1</v>
          </cell>
          <cell r="R189" t="str">
            <v>Boss</v>
          </cell>
          <cell r="S189">
            <v>5</v>
          </cell>
          <cell r="T189">
            <v>1.3</v>
          </cell>
          <cell r="U189">
            <v>0.8</v>
          </cell>
          <cell r="V189">
            <v>1</v>
          </cell>
          <cell r="W189">
            <v>0.55000000000000004</v>
          </cell>
          <cell r="X189">
            <v>30</v>
          </cell>
          <cell r="Y189">
            <v>1.3</v>
          </cell>
          <cell r="Z189">
            <v>1.3</v>
          </cell>
          <cell r="AA189">
            <v>1.1000000000000001</v>
          </cell>
          <cell r="AB189">
            <v>0</v>
          </cell>
        </row>
        <row r="190">
          <cell r="A190">
            <v>189</v>
          </cell>
          <cell r="B190" t="str">
            <v>迅雷の王禽 ホルス</v>
          </cell>
          <cell r="C190">
            <v>5</v>
          </cell>
          <cell r="D190" t="str">
            <v>yellow</v>
          </cell>
          <cell r="E190">
            <v>0.98</v>
          </cell>
          <cell r="F190">
            <v>1.01</v>
          </cell>
          <cell r="G190">
            <v>1</v>
          </cell>
          <cell r="H190" t="str">
            <v>attack</v>
          </cell>
          <cell r="I190" t="str">
            <v>攻撃タイプ</v>
          </cell>
          <cell r="J190">
            <v>1</v>
          </cell>
          <cell r="K190">
            <v>1.33</v>
          </cell>
          <cell r="L190">
            <v>1</v>
          </cell>
          <cell r="M190" t="str">
            <v>animal</v>
          </cell>
          <cell r="N190" t="str">
            <v>アニマル</v>
          </cell>
          <cell r="O190">
            <v>1</v>
          </cell>
          <cell r="P190">
            <v>1.1000000000000001</v>
          </cell>
          <cell r="Q190">
            <v>1</v>
          </cell>
          <cell r="R190" t="str">
            <v>Boss</v>
          </cell>
          <cell r="S190">
            <v>5</v>
          </cell>
          <cell r="T190">
            <v>1.3</v>
          </cell>
          <cell r="U190">
            <v>0.8</v>
          </cell>
          <cell r="V190">
            <v>2</v>
          </cell>
          <cell r="W190">
            <v>0.75</v>
          </cell>
          <cell r="X190">
            <v>60</v>
          </cell>
          <cell r="Y190">
            <v>1.7</v>
          </cell>
          <cell r="Z190">
            <v>1.4</v>
          </cell>
          <cell r="AA190">
            <v>1</v>
          </cell>
          <cell r="AB190">
            <v>0</v>
          </cell>
        </row>
        <row r="191">
          <cell r="A191">
            <v>190</v>
          </cell>
          <cell r="B191" t="str">
            <v>卑弥呼</v>
          </cell>
          <cell r="C191">
            <v>3</v>
          </cell>
          <cell r="D191" t="str">
            <v>red</v>
          </cell>
          <cell r="E191">
            <v>1</v>
          </cell>
          <cell r="F191">
            <v>1.02</v>
          </cell>
          <cell r="G191">
            <v>1</v>
          </cell>
          <cell r="H191" t="str">
            <v>balance</v>
          </cell>
          <cell r="I191" t="str">
            <v>バランスタイプ</v>
          </cell>
          <cell r="J191">
            <v>1</v>
          </cell>
          <cell r="K191">
            <v>1</v>
          </cell>
          <cell r="L191">
            <v>1</v>
          </cell>
          <cell r="M191" t="str">
            <v>human</v>
          </cell>
          <cell r="N191" t="str">
            <v>ヒューマン</v>
          </cell>
          <cell r="O191">
            <v>0.94</v>
          </cell>
          <cell r="P191">
            <v>0.99</v>
          </cell>
          <cell r="Q191">
            <v>1</v>
          </cell>
          <cell r="R191" t="str">
            <v>Boss</v>
          </cell>
          <cell r="S191">
            <v>5</v>
          </cell>
          <cell r="T191">
            <v>1.3</v>
          </cell>
          <cell r="U191">
            <v>0.8</v>
          </cell>
          <cell r="V191">
            <v>3</v>
          </cell>
          <cell r="W191">
            <v>1</v>
          </cell>
          <cell r="X191">
            <v>20</v>
          </cell>
          <cell r="Y191">
            <v>1.1000000000000001</v>
          </cell>
          <cell r="Z191">
            <v>1.2</v>
          </cell>
          <cell r="AA191">
            <v>1.2</v>
          </cell>
          <cell r="AB191">
            <v>0</v>
          </cell>
        </row>
        <row r="192">
          <cell r="A192">
            <v>191</v>
          </cell>
          <cell r="B192" t="str">
            <v>始祖 卑弥呼</v>
          </cell>
          <cell r="C192">
            <v>4</v>
          </cell>
          <cell r="D192" t="str">
            <v>red</v>
          </cell>
          <cell r="E192">
            <v>1</v>
          </cell>
          <cell r="F192">
            <v>1.02</v>
          </cell>
          <cell r="G192">
            <v>1</v>
          </cell>
          <cell r="H192" t="str">
            <v>balance</v>
          </cell>
          <cell r="I192" t="str">
            <v>バランスタイプ</v>
          </cell>
          <cell r="J192">
            <v>1</v>
          </cell>
          <cell r="K192">
            <v>1</v>
          </cell>
          <cell r="L192">
            <v>1</v>
          </cell>
          <cell r="M192" t="str">
            <v>human</v>
          </cell>
          <cell r="N192" t="str">
            <v>ヒューマン</v>
          </cell>
          <cell r="O192">
            <v>0.94</v>
          </cell>
          <cell r="P192">
            <v>0.99</v>
          </cell>
          <cell r="Q192">
            <v>1</v>
          </cell>
          <cell r="R192" t="str">
            <v>Boss</v>
          </cell>
          <cell r="S192">
            <v>5</v>
          </cell>
          <cell r="T192">
            <v>1.3</v>
          </cell>
          <cell r="U192">
            <v>0.8</v>
          </cell>
          <cell r="V192">
            <v>3</v>
          </cell>
          <cell r="W192">
            <v>1</v>
          </cell>
          <cell r="X192">
            <v>30</v>
          </cell>
          <cell r="Y192">
            <v>1.3</v>
          </cell>
          <cell r="Z192">
            <v>1.3</v>
          </cell>
          <cell r="AA192">
            <v>1.1000000000000001</v>
          </cell>
          <cell r="AB192">
            <v>0</v>
          </cell>
        </row>
        <row r="193">
          <cell r="A193">
            <v>192</v>
          </cell>
          <cell r="B193" t="str">
            <v>荘厳なる始祖帝 卑弥呼</v>
          </cell>
          <cell r="C193">
            <v>5</v>
          </cell>
          <cell r="D193" t="str">
            <v>red</v>
          </cell>
          <cell r="E193">
            <v>1</v>
          </cell>
          <cell r="F193">
            <v>1.02</v>
          </cell>
          <cell r="G193">
            <v>1</v>
          </cell>
          <cell r="H193" t="str">
            <v>balance</v>
          </cell>
          <cell r="I193" t="str">
            <v>バランスタイプ</v>
          </cell>
          <cell r="J193">
            <v>1</v>
          </cell>
          <cell r="K193">
            <v>1</v>
          </cell>
          <cell r="L193">
            <v>1</v>
          </cell>
          <cell r="M193" t="str">
            <v>human</v>
          </cell>
          <cell r="N193" t="str">
            <v>ヒューマン</v>
          </cell>
          <cell r="O193">
            <v>0.94</v>
          </cell>
          <cell r="P193">
            <v>0.99</v>
          </cell>
          <cell r="Q193">
            <v>1</v>
          </cell>
          <cell r="R193" t="str">
            <v>Boss</v>
          </cell>
          <cell r="S193">
            <v>5</v>
          </cell>
          <cell r="T193">
            <v>1.3</v>
          </cell>
          <cell r="U193">
            <v>0.8</v>
          </cell>
          <cell r="V193">
            <v>3</v>
          </cell>
          <cell r="W193">
            <v>1</v>
          </cell>
          <cell r="X193">
            <v>60</v>
          </cell>
          <cell r="Y193">
            <v>1.7</v>
          </cell>
          <cell r="Z193">
            <v>1.4</v>
          </cell>
          <cell r="AA193">
            <v>1</v>
          </cell>
          <cell r="AB193">
            <v>192</v>
          </cell>
        </row>
        <row r="194">
          <cell r="A194">
            <v>193</v>
          </cell>
          <cell r="B194" t="str">
            <v>ロビンフッド</v>
          </cell>
          <cell r="C194">
            <v>3</v>
          </cell>
          <cell r="D194" t="str">
            <v>green</v>
          </cell>
          <cell r="E194">
            <v>1.02</v>
          </cell>
          <cell r="F194">
            <v>0.98</v>
          </cell>
          <cell r="G194">
            <v>1</v>
          </cell>
          <cell r="H194" t="str">
            <v>balance</v>
          </cell>
          <cell r="I194" t="str">
            <v>バランスタイプ</v>
          </cell>
          <cell r="J194">
            <v>1</v>
          </cell>
          <cell r="K194">
            <v>1</v>
          </cell>
          <cell r="L194">
            <v>1</v>
          </cell>
          <cell r="M194" t="str">
            <v>human</v>
          </cell>
          <cell r="N194" t="str">
            <v>ヒューマン</v>
          </cell>
          <cell r="O194">
            <v>0.94</v>
          </cell>
          <cell r="P194">
            <v>0.99</v>
          </cell>
          <cell r="Q194">
            <v>1</v>
          </cell>
          <cell r="R194" t="str">
            <v>Boss_HPx2.0</v>
          </cell>
          <cell r="S194">
            <v>10</v>
          </cell>
          <cell r="T194">
            <v>1</v>
          </cell>
          <cell r="U194">
            <v>0.8</v>
          </cell>
          <cell r="V194">
            <v>3</v>
          </cell>
          <cell r="W194">
            <v>1</v>
          </cell>
          <cell r="X194">
            <v>20</v>
          </cell>
          <cell r="Y194">
            <v>1.1000000000000001</v>
          </cell>
          <cell r="Z194">
            <v>1.2</v>
          </cell>
          <cell r="AA194">
            <v>1.2</v>
          </cell>
          <cell r="AB194">
            <v>193</v>
          </cell>
        </row>
        <row r="195">
          <cell r="A195">
            <v>194</v>
          </cell>
          <cell r="B195" t="str">
            <v>スナイパー ロビンフッド</v>
          </cell>
          <cell r="C195">
            <v>4</v>
          </cell>
          <cell r="D195" t="str">
            <v>green</v>
          </cell>
          <cell r="E195">
            <v>1.02</v>
          </cell>
          <cell r="F195">
            <v>0.98</v>
          </cell>
          <cell r="G195">
            <v>1</v>
          </cell>
          <cell r="H195" t="str">
            <v>balance</v>
          </cell>
          <cell r="I195" t="str">
            <v>バランスタイプ</v>
          </cell>
          <cell r="J195">
            <v>1</v>
          </cell>
          <cell r="K195">
            <v>1</v>
          </cell>
          <cell r="L195">
            <v>1</v>
          </cell>
          <cell r="M195" t="str">
            <v>human</v>
          </cell>
          <cell r="N195" t="str">
            <v>ヒューマン</v>
          </cell>
          <cell r="O195">
            <v>0.94</v>
          </cell>
          <cell r="P195">
            <v>0.99</v>
          </cell>
          <cell r="Q195">
            <v>1</v>
          </cell>
          <cell r="R195" t="str">
            <v>Boss</v>
          </cell>
          <cell r="S195">
            <v>5</v>
          </cell>
          <cell r="T195">
            <v>1.3</v>
          </cell>
          <cell r="U195">
            <v>0.8</v>
          </cell>
          <cell r="V195">
            <v>3</v>
          </cell>
          <cell r="W195">
            <v>1</v>
          </cell>
          <cell r="X195">
            <v>30</v>
          </cell>
          <cell r="Y195">
            <v>1.3</v>
          </cell>
          <cell r="Z195">
            <v>1.3</v>
          </cell>
          <cell r="AA195">
            <v>1.1000000000000001</v>
          </cell>
          <cell r="AB195">
            <v>194</v>
          </cell>
        </row>
        <row r="196">
          <cell r="A196">
            <v>195</v>
          </cell>
          <cell r="B196" t="str">
            <v>グランドハンター ロビンフッド</v>
          </cell>
          <cell r="C196">
            <v>5</v>
          </cell>
          <cell r="D196" t="str">
            <v>green</v>
          </cell>
          <cell r="E196">
            <v>1.02</v>
          </cell>
          <cell r="F196">
            <v>0.98</v>
          </cell>
          <cell r="G196">
            <v>1</v>
          </cell>
          <cell r="H196" t="str">
            <v>balance</v>
          </cell>
          <cell r="I196" t="str">
            <v>バランスタイプ</v>
          </cell>
          <cell r="J196">
            <v>1</v>
          </cell>
          <cell r="K196">
            <v>1</v>
          </cell>
          <cell r="L196">
            <v>1</v>
          </cell>
          <cell r="M196" t="str">
            <v>human</v>
          </cell>
          <cell r="N196" t="str">
            <v>ヒューマン</v>
          </cell>
          <cell r="O196">
            <v>0.94</v>
          </cell>
          <cell r="P196">
            <v>0.99</v>
          </cell>
          <cell r="Q196">
            <v>1</v>
          </cell>
          <cell r="R196" t="str">
            <v>Boss</v>
          </cell>
          <cell r="S196">
            <v>5</v>
          </cell>
          <cell r="T196">
            <v>1.3</v>
          </cell>
          <cell r="U196">
            <v>0.8</v>
          </cell>
          <cell r="V196">
            <v>3</v>
          </cell>
          <cell r="W196">
            <v>1</v>
          </cell>
          <cell r="X196">
            <v>60</v>
          </cell>
          <cell r="Y196">
            <v>1.7</v>
          </cell>
          <cell r="Z196">
            <v>1.4</v>
          </cell>
          <cell r="AA196">
            <v>1</v>
          </cell>
          <cell r="AB196">
            <v>0</v>
          </cell>
        </row>
        <row r="197">
          <cell r="A197">
            <v>196</v>
          </cell>
          <cell r="B197" t="str">
            <v>アキレス</v>
          </cell>
          <cell r="C197">
            <v>3</v>
          </cell>
          <cell r="D197" t="str">
            <v>yellow</v>
          </cell>
          <cell r="E197">
            <v>0.98</v>
          </cell>
          <cell r="F197">
            <v>1.01</v>
          </cell>
          <cell r="G197">
            <v>1</v>
          </cell>
          <cell r="H197" t="str">
            <v>balance</v>
          </cell>
          <cell r="I197" t="str">
            <v>バランスタイプ</v>
          </cell>
          <cell r="J197">
            <v>1</v>
          </cell>
          <cell r="K197">
            <v>1</v>
          </cell>
          <cell r="L197">
            <v>1</v>
          </cell>
          <cell r="M197" t="str">
            <v>human</v>
          </cell>
          <cell r="N197" t="str">
            <v>ヒューマン</v>
          </cell>
          <cell r="O197">
            <v>0.94</v>
          </cell>
          <cell r="P197">
            <v>0.99</v>
          </cell>
          <cell r="Q197">
            <v>1</v>
          </cell>
          <cell r="R197" t="str">
            <v>Boss</v>
          </cell>
          <cell r="S197">
            <v>5</v>
          </cell>
          <cell r="T197">
            <v>1.3</v>
          </cell>
          <cell r="U197">
            <v>0.8</v>
          </cell>
          <cell r="V197">
            <v>2</v>
          </cell>
          <cell r="W197">
            <v>0.75</v>
          </cell>
          <cell r="X197">
            <v>20</v>
          </cell>
          <cell r="Y197">
            <v>1.1000000000000001</v>
          </cell>
          <cell r="Z197">
            <v>1.2</v>
          </cell>
          <cell r="AA197">
            <v>1.2</v>
          </cell>
          <cell r="AB197">
            <v>0</v>
          </cell>
        </row>
        <row r="198">
          <cell r="A198">
            <v>197</v>
          </cell>
          <cell r="B198" t="str">
            <v>鉄腕 アキレス</v>
          </cell>
          <cell r="C198">
            <v>4</v>
          </cell>
          <cell r="D198" t="str">
            <v>yellow</v>
          </cell>
          <cell r="E198">
            <v>0.98</v>
          </cell>
          <cell r="F198">
            <v>1.01</v>
          </cell>
          <cell r="G198">
            <v>1</v>
          </cell>
          <cell r="H198" t="str">
            <v>balance</v>
          </cell>
          <cell r="I198" t="str">
            <v>バランスタイプ</v>
          </cell>
          <cell r="J198">
            <v>1</v>
          </cell>
          <cell r="K198">
            <v>1</v>
          </cell>
          <cell r="L198">
            <v>1</v>
          </cell>
          <cell r="M198" t="str">
            <v>human</v>
          </cell>
          <cell r="N198" t="str">
            <v>ヒューマン</v>
          </cell>
          <cell r="O198">
            <v>0.94</v>
          </cell>
          <cell r="P198">
            <v>0.99</v>
          </cell>
          <cell r="Q198">
            <v>1</v>
          </cell>
          <cell r="R198" t="str">
            <v>Boss_HPx1.5</v>
          </cell>
          <cell r="S198">
            <v>7.5</v>
          </cell>
          <cell r="T198">
            <v>1</v>
          </cell>
          <cell r="U198">
            <v>0.8</v>
          </cell>
          <cell r="V198">
            <v>2</v>
          </cell>
          <cell r="W198">
            <v>0.75</v>
          </cell>
          <cell r="X198">
            <v>30</v>
          </cell>
          <cell r="Y198">
            <v>1.3</v>
          </cell>
          <cell r="Z198">
            <v>1.3</v>
          </cell>
          <cell r="AA198">
            <v>1.1000000000000001</v>
          </cell>
          <cell r="AB198">
            <v>198</v>
          </cell>
        </row>
        <row r="199">
          <cell r="A199">
            <v>198</v>
          </cell>
          <cell r="B199" t="str">
            <v>砕骨の剛腕 アキレス</v>
          </cell>
          <cell r="C199">
            <v>5</v>
          </cell>
          <cell r="D199" t="str">
            <v>yellow</v>
          </cell>
          <cell r="E199">
            <v>0.98</v>
          </cell>
          <cell r="F199">
            <v>1.01</v>
          </cell>
          <cell r="G199">
            <v>1</v>
          </cell>
          <cell r="H199" t="str">
            <v>balance</v>
          </cell>
          <cell r="I199" t="str">
            <v>バランスタイプ</v>
          </cell>
          <cell r="J199">
            <v>1</v>
          </cell>
          <cell r="K199">
            <v>1</v>
          </cell>
          <cell r="L199">
            <v>1</v>
          </cell>
          <cell r="M199" t="str">
            <v>human</v>
          </cell>
          <cell r="N199" t="str">
            <v>ヒューマン</v>
          </cell>
          <cell r="O199">
            <v>0.94</v>
          </cell>
          <cell r="P199">
            <v>0.99</v>
          </cell>
          <cell r="Q199">
            <v>1</v>
          </cell>
          <cell r="R199" t="str">
            <v>Boss</v>
          </cell>
          <cell r="S199">
            <v>5</v>
          </cell>
          <cell r="T199">
            <v>1.3</v>
          </cell>
          <cell r="U199">
            <v>0.8</v>
          </cell>
          <cell r="V199">
            <v>2</v>
          </cell>
          <cell r="W199">
            <v>0.75</v>
          </cell>
          <cell r="X199">
            <v>60</v>
          </cell>
          <cell r="Y199">
            <v>1.7</v>
          </cell>
          <cell r="Z199">
            <v>1.4</v>
          </cell>
          <cell r="AA199">
            <v>1</v>
          </cell>
          <cell r="AB199">
            <v>198</v>
          </cell>
        </row>
        <row r="200">
          <cell r="A200">
            <v>199</v>
          </cell>
          <cell r="B200" t="str">
            <v>ジークフリート</v>
          </cell>
          <cell r="C200">
            <v>3</v>
          </cell>
          <cell r="D200" t="str">
            <v>blue</v>
          </cell>
          <cell r="E200">
            <v>1</v>
          </cell>
          <cell r="F200">
            <v>0.98</v>
          </cell>
          <cell r="G200">
            <v>1</v>
          </cell>
          <cell r="H200" t="str">
            <v>balance</v>
          </cell>
          <cell r="I200" t="str">
            <v>バランスタイプ</v>
          </cell>
          <cell r="J200">
            <v>1</v>
          </cell>
          <cell r="K200">
            <v>1</v>
          </cell>
          <cell r="L200">
            <v>1</v>
          </cell>
          <cell r="M200" t="str">
            <v>human</v>
          </cell>
          <cell r="N200" t="str">
            <v>ヒューマン</v>
          </cell>
          <cell r="O200">
            <v>0.94</v>
          </cell>
          <cell r="P200">
            <v>0.99</v>
          </cell>
          <cell r="Q200">
            <v>1</v>
          </cell>
          <cell r="R200" t="str">
            <v>Boss_HPx1.5</v>
          </cell>
          <cell r="S200">
            <v>7.5</v>
          </cell>
          <cell r="T200">
            <v>1</v>
          </cell>
          <cell r="U200">
            <v>0.8</v>
          </cell>
          <cell r="V200">
            <v>2</v>
          </cell>
          <cell r="W200">
            <v>0.75</v>
          </cell>
          <cell r="X200">
            <v>20</v>
          </cell>
          <cell r="Y200">
            <v>1.1000000000000001</v>
          </cell>
          <cell r="Z200">
            <v>1.2</v>
          </cell>
          <cell r="AA200">
            <v>1.2</v>
          </cell>
          <cell r="AB200">
            <v>199</v>
          </cell>
        </row>
        <row r="201">
          <cell r="A201">
            <v>200</v>
          </cell>
          <cell r="B201" t="str">
            <v>大剣士 ジークフリート</v>
          </cell>
          <cell r="C201">
            <v>4</v>
          </cell>
          <cell r="D201" t="str">
            <v>blue</v>
          </cell>
          <cell r="E201">
            <v>1</v>
          </cell>
          <cell r="F201">
            <v>0.98</v>
          </cell>
          <cell r="G201">
            <v>1</v>
          </cell>
          <cell r="H201" t="str">
            <v>balance</v>
          </cell>
          <cell r="I201" t="str">
            <v>バランスタイプ</v>
          </cell>
          <cell r="J201">
            <v>1</v>
          </cell>
          <cell r="K201">
            <v>1</v>
          </cell>
          <cell r="L201">
            <v>1</v>
          </cell>
          <cell r="M201" t="str">
            <v>human</v>
          </cell>
          <cell r="N201" t="str">
            <v>ヒューマン</v>
          </cell>
          <cell r="O201">
            <v>0.94</v>
          </cell>
          <cell r="P201">
            <v>0.99</v>
          </cell>
          <cell r="Q201">
            <v>1</v>
          </cell>
          <cell r="R201" t="str">
            <v>Boss</v>
          </cell>
          <cell r="S201">
            <v>5</v>
          </cell>
          <cell r="T201">
            <v>1.3</v>
          </cell>
          <cell r="U201">
            <v>0.8</v>
          </cell>
          <cell r="V201">
            <v>2</v>
          </cell>
          <cell r="W201">
            <v>0.75</v>
          </cell>
          <cell r="X201">
            <v>30</v>
          </cell>
          <cell r="Y201">
            <v>1.3</v>
          </cell>
          <cell r="Z201">
            <v>1.3</v>
          </cell>
          <cell r="AA201">
            <v>1.1000000000000001</v>
          </cell>
          <cell r="AB201">
            <v>200</v>
          </cell>
        </row>
        <row r="202">
          <cell r="A202">
            <v>201</v>
          </cell>
          <cell r="B202" t="str">
            <v>斬空の大破剣 ジークフリート</v>
          </cell>
          <cell r="C202">
            <v>5</v>
          </cell>
          <cell r="D202" t="str">
            <v>blue</v>
          </cell>
          <cell r="E202">
            <v>1</v>
          </cell>
          <cell r="F202">
            <v>0.98</v>
          </cell>
          <cell r="G202">
            <v>1</v>
          </cell>
          <cell r="H202" t="str">
            <v>balance</v>
          </cell>
          <cell r="I202" t="str">
            <v>バランスタイプ</v>
          </cell>
          <cell r="J202">
            <v>1</v>
          </cell>
          <cell r="K202">
            <v>1</v>
          </cell>
          <cell r="L202">
            <v>1</v>
          </cell>
          <cell r="M202" t="str">
            <v>human</v>
          </cell>
          <cell r="N202" t="str">
            <v>ヒューマン</v>
          </cell>
          <cell r="O202">
            <v>0.94</v>
          </cell>
          <cell r="P202">
            <v>0.99</v>
          </cell>
          <cell r="Q202">
            <v>1</v>
          </cell>
          <cell r="R202" t="str">
            <v>Boss</v>
          </cell>
          <cell r="S202">
            <v>5</v>
          </cell>
          <cell r="T202">
            <v>1.3</v>
          </cell>
          <cell r="U202">
            <v>0.8</v>
          </cell>
          <cell r="V202">
            <v>2</v>
          </cell>
          <cell r="W202">
            <v>0.75</v>
          </cell>
          <cell r="X202">
            <v>60</v>
          </cell>
          <cell r="Y202">
            <v>1.7</v>
          </cell>
          <cell r="Z202">
            <v>1.4</v>
          </cell>
          <cell r="AA202">
            <v>1</v>
          </cell>
          <cell r="AB202">
            <v>0</v>
          </cell>
        </row>
        <row r="203">
          <cell r="A203">
            <v>202</v>
          </cell>
          <cell r="B203" t="str">
            <v>プロメテウス</v>
          </cell>
          <cell r="C203">
            <v>3</v>
          </cell>
          <cell r="D203" t="str">
            <v>red</v>
          </cell>
          <cell r="E203">
            <v>1</v>
          </cell>
          <cell r="F203">
            <v>1.02</v>
          </cell>
          <cell r="G203">
            <v>1</v>
          </cell>
          <cell r="H203" t="str">
            <v>hp</v>
          </cell>
          <cell r="I203" t="str">
            <v>体力タイプ</v>
          </cell>
          <cell r="J203">
            <v>1.45</v>
          </cell>
          <cell r="K203">
            <v>0.85</v>
          </cell>
          <cell r="L203">
            <v>1</v>
          </cell>
          <cell r="M203" t="str">
            <v>god</v>
          </cell>
          <cell r="N203" t="str">
            <v>ゴッド</v>
          </cell>
          <cell r="O203">
            <v>0.96</v>
          </cell>
          <cell r="P203">
            <v>1.02</v>
          </cell>
          <cell r="Q203">
            <v>1</v>
          </cell>
          <cell r="R203" t="str">
            <v>Boss</v>
          </cell>
          <cell r="S203">
            <v>5</v>
          </cell>
          <cell r="T203">
            <v>1.3</v>
          </cell>
          <cell r="U203">
            <v>0.8</v>
          </cell>
          <cell r="V203">
            <v>3</v>
          </cell>
          <cell r="W203">
            <v>1</v>
          </cell>
          <cell r="X203">
            <v>20</v>
          </cell>
          <cell r="Y203">
            <v>1.1000000000000001</v>
          </cell>
          <cell r="Z203">
            <v>1.2</v>
          </cell>
          <cell r="AA203">
            <v>1.2</v>
          </cell>
          <cell r="AB203">
            <v>202</v>
          </cell>
        </row>
        <row r="204">
          <cell r="A204">
            <v>203</v>
          </cell>
          <cell r="B204" t="str">
            <v>焔神 プロメテウス</v>
          </cell>
          <cell r="C204">
            <v>4</v>
          </cell>
          <cell r="D204" t="str">
            <v>red</v>
          </cell>
          <cell r="E204">
            <v>1</v>
          </cell>
          <cell r="F204">
            <v>1.02</v>
          </cell>
          <cell r="G204">
            <v>1</v>
          </cell>
          <cell r="H204" t="str">
            <v>hp</v>
          </cell>
          <cell r="I204" t="str">
            <v>体力タイプ</v>
          </cell>
          <cell r="J204">
            <v>1.45</v>
          </cell>
          <cell r="K204">
            <v>0.85</v>
          </cell>
          <cell r="L204">
            <v>1</v>
          </cell>
          <cell r="M204" t="str">
            <v>god</v>
          </cell>
          <cell r="N204" t="str">
            <v>ゴッド</v>
          </cell>
          <cell r="O204">
            <v>0.96</v>
          </cell>
          <cell r="P204">
            <v>1.02</v>
          </cell>
          <cell r="Q204">
            <v>1</v>
          </cell>
          <cell r="R204" t="str">
            <v>Boss_HPx1.5</v>
          </cell>
          <cell r="S204">
            <v>7.5</v>
          </cell>
          <cell r="T204">
            <v>1</v>
          </cell>
          <cell r="U204">
            <v>0.8</v>
          </cell>
          <cell r="V204">
            <v>3</v>
          </cell>
          <cell r="W204">
            <v>1</v>
          </cell>
          <cell r="X204">
            <v>30</v>
          </cell>
          <cell r="Y204">
            <v>1.3</v>
          </cell>
          <cell r="Z204">
            <v>1.3</v>
          </cell>
          <cell r="AA204">
            <v>1.1000000000000001</v>
          </cell>
          <cell r="AB204">
            <v>203</v>
          </cell>
        </row>
        <row r="205">
          <cell r="A205">
            <v>204</v>
          </cell>
          <cell r="B205" t="str">
            <v>慟哭の巨焔 プロメテウス</v>
          </cell>
          <cell r="C205">
            <v>5</v>
          </cell>
          <cell r="D205" t="str">
            <v>red</v>
          </cell>
          <cell r="E205">
            <v>1</v>
          </cell>
          <cell r="F205">
            <v>1.02</v>
          </cell>
          <cell r="G205">
            <v>1</v>
          </cell>
          <cell r="H205" t="str">
            <v>hp</v>
          </cell>
          <cell r="I205" t="str">
            <v>体力タイプ</v>
          </cell>
          <cell r="J205">
            <v>1.45</v>
          </cell>
          <cell r="K205">
            <v>0.85</v>
          </cell>
          <cell r="L205">
            <v>1</v>
          </cell>
          <cell r="M205" t="str">
            <v>god</v>
          </cell>
          <cell r="N205" t="str">
            <v>ゴッド</v>
          </cell>
          <cell r="O205">
            <v>0.96</v>
          </cell>
          <cell r="P205">
            <v>1.02</v>
          </cell>
          <cell r="Q205">
            <v>1</v>
          </cell>
          <cell r="R205" t="str">
            <v>Boss</v>
          </cell>
          <cell r="S205">
            <v>5</v>
          </cell>
          <cell r="T205">
            <v>1.3</v>
          </cell>
          <cell r="U205">
            <v>0.8</v>
          </cell>
          <cell r="V205">
            <v>3</v>
          </cell>
          <cell r="W205">
            <v>1</v>
          </cell>
          <cell r="X205">
            <v>60</v>
          </cell>
          <cell r="Y205">
            <v>1.7</v>
          </cell>
          <cell r="Z205">
            <v>1.4</v>
          </cell>
          <cell r="AA205">
            <v>1</v>
          </cell>
          <cell r="AB205">
            <v>0</v>
          </cell>
        </row>
        <row r="206">
          <cell r="A206">
            <v>205</v>
          </cell>
          <cell r="B206" t="str">
            <v>アフロディーテ</v>
          </cell>
          <cell r="C206">
            <v>3</v>
          </cell>
          <cell r="D206" t="str">
            <v>green</v>
          </cell>
          <cell r="E206">
            <v>1.02</v>
          </cell>
          <cell r="F206">
            <v>0.98</v>
          </cell>
          <cell r="G206">
            <v>1</v>
          </cell>
          <cell r="H206" t="str">
            <v>hp</v>
          </cell>
          <cell r="I206" t="str">
            <v>体力タイプ</v>
          </cell>
          <cell r="J206">
            <v>1.45</v>
          </cell>
          <cell r="K206">
            <v>0.85</v>
          </cell>
          <cell r="L206">
            <v>1</v>
          </cell>
          <cell r="M206" t="str">
            <v>god</v>
          </cell>
          <cell r="N206" t="str">
            <v>ゴッド</v>
          </cell>
          <cell r="O206">
            <v>0.96</v>
          </cell>
          <cell r="P206">
            <v>1.02</v>
          </cell>
          <cell r="Q206">
            <v>1</v>
          </cell>
          <cell r="R206" t="str">
            <v>Boss</v>
          </cell>
          <cell r="S206">
            <v>5</v>
          </cell>
          <cell r="T206">
            <v>1.3</v>
          </cell>
          <cell r="U206">
            <v>0.8</v>
          </cell>
          <cell r="V206">
            <v>3</v>
          </cell>
          <cell r="W206">
            <v>1</v>
          </cell>
          <cell r="X206">
            <v>20</v>
          </cell>
          <cell r="Y206">
            <v>1.1000000000000001</v>
          </cell>
          <cell r="Z206">
            <v>1.2</v>
          </cell>
          <cell r="AA206">
            <v>1.2</v>
          </cell>
          <cell r="AB206">
            <v>0</v>
          </cell>
        </row>
        <row r="207">
          <cell r="A207">
            <v>206</v>
          </cell>
          <cell r="B207" t="str">
            <v>美神 アフロディーテ</v>
          </cell>
          <cell r="C207">
            <v>4</v>
          </cell>
          <cell r="D207" t="str">
            <v>green</v>
          </cell>
          <cell r="E207">
            <v>1.02</v>
          </cell>
          <cell r="F207">
            <v>0.98</v>
          </cell>
          <cell r="G207">
            <v>1</v>
          </cell>
          <cell r="H207" t="str">
            <v>hp</v>
          </cell>
          <cell r="I207" t="str">
            <v>体力タイプ</v>
          </cell>
          <cell r="J207">
            <v>1.45</v>
          </cell>
          <cell r="K207">
            <v>0.85</v>
          </cell>
          <cell r="L207">
            <v>1</v>
          </cell>
          <cell r="M207" t="str">
            <v>god</v>
          </cell>
          <cell r="N207" t="str">
            <v>ゴッド</v>
          </cell>
          <cell r="O207">
            <v>0.96</v>
          </cell>
          <cell r="P207">
            <v>1.02</v>
          </cell>
          <cell r="Q207">
            <v>1</v>
          </cell>
          <cell r="R207" t="str">
            <v>Boss</v>
          </cell>
          <cell r="S207">
            <v>5</v>
          </cell>
          <cell r="T207">
            <v>1.3</v>
          </cell>
          <cell r="U207">
            <v>0.8</v>
          </cell>
          <cell r="V207">
            <v>3</v>
          </cell>
          <cell r="W207">
            <v>1</v>
          </cell>
          <cell r="X207">
            <v>30</v>
          </cell>
          <cell r="Y207">
            <v>1.3</v>
          </cell>
          <cell r="Z207">
            <v>1.3</v>
          </cell>
          <cell r="AA207">
            <v>1.1000000000000001</v>
          </cell>
          <cell r="AB207">
            <v>206</v>
          </cell>
        </row>
        <row r="208">
          <cell r="A208">
            <v>207</v>
          </cell>
          <cell r="B208" t="str">
            <v>豊穣の麗神・アフロディーテ</v>
          </cell>
          <cell r="C208">
            <v>5</v>
          </cell>
          <cell r="D208" t="str">
            <v>green</v>
          </cell>
          <cell r="E208">
            <v>1.02</v>
          </cell>
          <cell r="F208">
            <v>0.98</v>
          </cell>
          <cell r="G208">
            <v>1</v>
          </cell>
          <cell r="H208" t="str">
            <v>hp</v>
          </cell>
          <cell r="I208" t="str">
            <v>体力タイプ</v>
          </cell>
          <cell r="J208">
            <v>1.45</v>
          </cell>
          <cell r="K208">
            <v>0.85</v>
          </cell>
          <cell r="L208">
            <v>1</v>
          </cell>
          <cell r="M208" t="str">
            <v>god</v>
          </cell>
          <cell r="N208" t="str">
            <v>ゴッド</v>
          </cell>
          <cell r="O208">
            <v>0.96</v>
          </cell>
          <cell r="P208">
            <v>1.02</v>
          </cell>
          <cell r="Q208">
            <v>1</v>
          </cell>
          <cell r="R208" t="str">
            <v>Boss</v>
          </cell>
          <cell r="S208">
            <v>5</v>
          </cell>
          <cell r="T208">
            <v>1.3</v>
          </cell>
          <cell r="U208">
            <v>0.8</v>
          </cell>
          <cell r="V208">
            <v>3</v>
          </cell>
          <cell r="W208">
            <v>1</v>
          </cell>
          <cell r="X208">
            <v>60</v>
          </cell>
          <cell r="Y208">
            <v>1.7</v>
          </cell>
          <cell r="Z208">
            <v>1.4</v>
          </cell>
          <cell r="AA208">
            <v>1</v>
          </cell>
          <cell r="AB208">
            <v>0</v>
          </cell>
        </row>
        <row r="209">
          <cell r="A209">
            <v>208</v>
          </cell>
          <cell r="B209" t="str">
            <v>テティス</v>
          </cell>
          <cell r="C209">
            <v>3</v>
          </cell>
          <cell r="D209" t="str">
            <v>blue</v>
          </cell>
          <cell r="E209">
            <v>1</v>
          </cell>
          <cell r="F209">
            <v>0.98</v>
          </cell>
          <cell r="G209">
            <v>1</v>
          </cell>
          <cell r="H209" t="str">
            <v>hp</v>
          </cell>
          <cell r="I209" t="str">
            <v>体力タイプ</v>
          </cell>
          <cell r="J209">
            <v>1.45</v>
          </cell>
          <cell r="K209">
            <v>0.85</v>
          </cell>
          <cell r="L209">
            <v>1</v>
          </cell>
          <cell r="M209" t="str">
            <v>god</v>
          </cell>
          <cell r="N209" t="str">
            <v>ゴッド</v>
          </cell>
          <cell r="O209">
            <v>0.96</v>
          </cell>
          <cell r="P209">
            <v>1.02</v>
          </cell>
          <cell r="Q209">
            <v>1</v>
          </cell>
          <cell r="R209" t="str">
            <v>Boss</v>
          </cell>
          <cell r="S209">
            <v>5</v>
          </cell>
          <cell r="T209">
            <v>1.3</v>
          </cell>
          <cell r="U209">
            <v>0.8</v>
          </cell>
          <cell r="V209">
            <v>2</v>
          </cell>
          <cell r="W209">
            <v>0.75</v>
          </cell>
          <cell r="X209">
            <v>20</v>
          </cell>
          <cell r="Y209">
            <v>1.1000000000000001</v>
          </cell>
          <cell r="Z209">
            <v>1.2</v>
          </cell>
          <cell r="AA209">
            <v>1.2</v>
          </cell>
          <cell r="AB209">
            <v>0</v>
          </cell>
        </row>
        <row r="210">
          <cell r="A210">
            <v>209</v>
          </cell>
          <cell r="B210" t="str">
            <v>孤神 テティス</v>
          </cell>
          <cell r="C210">
            <v>4</v>
          </cell>
          <cell r="D210" t="str">
            <v>blue</v>
          </cell>
          <cell r="E210">
            <v>1</v>
          </cell>
          <cell r="F210">
            <v>0.98</v>
          </cell>
          <cell r="G210">
            <v>1</v>
          </cell>
          <cell r="H210" t="str">
            <v>hp</v>
          </cell>
          <cell r="I210" t="str">
            <v>体力タイプ</v>
          </cell>
          <cell r="J210">
            <v>1.45</v>
          </cell>
          <cell r="K210">
            <v>0.85</v>
          </cell>
          <cell r="L210">
            <v>1</v>
          </cell>
          <cell r="M210" t="str">
            <v>god</v>
          </cell>
          <cell r="N210" t="str">
            <v>ゴッド</v>
          </cell>
          <cell r="O210">
            <v>0.96</v>
          </cell>
          <cell r="P210">
            <v>1.02</v>
          </cell>
          <cell r="Q210">
            <v>1</v>
          </cell>
          <cell r="R210" t="str">
            <v>Boss</v>
          </cell>
          <cell r="S210">
            <v>5</v>
          </cell>
          <cell r="T210">
            <v>1.3</v>
          </cell>
          <cell r="U210">
            <v>0.8</v>
          </cell>
          <cell r="V210">
            <v>2</v>
          </cell>
          <cell r="W210">
            <v>0.75</v>
          </cell>
          <cell r="X210">
            <v>30</v>
          </cell>
          <cell r="Y210">
            <v>1.3</v>
          </cell>
          <cell r="Z210">
            <v>1.3</v>
          </cell>
          <cell r="AA210">
            <v>1.1000000000000001</v>
          </cell>
          <cell r="AB210">
            <v>0</v>
          </cell>
        </row>
        <row r="211">
          <cell r="A211">
            <v>210</v>
          </cell>
          <cell r="B211" t="str">
            <v>海底の孤高神 テティス</v>
          </cell>
          <cell r="C211">
            <v>5</v>
          </cell>
          <cell r="D211" t="str">
            <v>blue</v>
          </cell>
          <cell r="E211">
            <v>1</v>
          </cell>
          <cell r="F211">
            <v>0.98</v>
          </cell>
          <cell r="G211">
            <v>1</v>
          </cell>
          <cell r="H211" t="str">
            <v>hp</v>
          </cell>
          <cell r="I211" t="str">
            <v>体力タイプ</v>
          </cell>
          <cell r="J211">
            <v>1.45</v>
          </cell>
          <cell r="K211">
            <v>0.85</v>
          </cell>
          <cell r="L211">
            <v>1</v>
          </cell>
          <cell r="M211" t="str">
            <v>god</v>
          </cell>
          <cell r="N211" t="str">
            <v>ゴッド</v>
          </cell>
          <cell r="O211">
            <v>0.96</v>
          </cell>
          <cell r="P211">
            <v>1.02</v>
          </cell>
          <cell r="Q211">
            <v>1</v>
          </cell>
          <cell r="R211" t="str">
            <v>Boss</v>
          </cell>
          <cell r="S211">
            <v>5</v>
          </cell>
          <cell r="T211">
            <v>1.3</v>
          </cell>
          <cell r="U211">
            <v>0.8</v>
          </cell>
          <cell r="V211">
            <v>2</v>
          </cell>
          <cell r="W211">
            <v>0.75</v>
          </cell>
          <cell r="X211">
            <v>60</v>
          </cell>
          <cell r="Y211">
            <v>1.7</v>
          </cell>
          <cell r="Z211">
            <v>1.4</v>
          </cell>
          <cell r="AA211">
            <v>1</v>
          </cell>
          <cell r="AB211">
            <v>0</v>
          </cell>
        </row>
        <row r="212">
          <cell r="A212">
            <v>211</v>
          </cell>
          <cell r="B212" t="str">
            <v>アストライアー</v>
          </cell>
          <cell r="C212">
            <v>3</v>
          </cell>
          <cell r="D212" t="str">
            <v>yellow</v>
          </cell>
          <cell r="E212">
            <v>0.98</v>
          </cell>
          <cell r="F212">
            <v>1.01</v>
          </cell>
          <cell r="G212">
            <v>1</v>
          </cell>
          <cell r="H212" t="str">
            <v>balance</v>
          </cell>
          <cell r="I212" t="str">
            <v>バランスタイプ</v>
          </cell>
          <cell r="J212">
            <v>1</v>
          </cell>
          <cell r="K212">
            <v>1</v>
          </cell>
          <cell r="L212">
            <v>1</v>
          </cell>
          <cell r="M212" t="str">
            <v>god</v>
          </cell>
          <cell r="N212" t="str">
            <v>ゴッド</v>
          </cell>
          <cell r="O212">
            <v>0.96</v>
          </cell>
          <cell r="P212">
            <v>1.02</v>
          </cell>
          <cell r="Q212">
            <v>1</v>
          </cell>
          <cell r="R212" t="str">
            <v>Boss</v>
          </cell>
          <cell r="S212">
            <v>5</v>
          </cell>
          <cell r="T212">
            <v>1.3</v>
          </cell>
          <cell r="U212">
            <v>0.8</v>
          </cell>
          <cell r="V212">
            <v>2</v>
          </cell>
          <cell r="W212">
            <v>0.75</v>
          </cell>
          <cell r="X212">
            <v>20</v>
          </cell>
          <cell r="Y212">
            <v>1.1000000000000001</v>
          </cell>
          <cell r="Z212">
            <v>1.2</v>
          </cell>
          <cell r="AA212">
            <v>1.2</v>
          </cell>
          <cell r="AB212">
            <v>211</v>
          </cell>
        </row>
        <row r="213">
          <cell r="A213">
            <v>212</v>
          </cell>
          <cell r="B213" t="str">
            <v>星神 アストライアー</v>
          </cell>
          <cell r="C213">
            <v>4</v>
          </cell>
          <cell r="D213" t="str">
            <v>yellow</v>
          </cell>
          <cell r="E213">
            <v>0.98</v>
          </cell>
          <cell r="F213">
            <v>1.01</v>
          </cell>
          <cell r="G213">
            <v>1</v>
          </cell>
          <cell r="H213" t="str">
            <v>balance</v>
          </cell>
          <cell r="I213" t="str">
            <v>バランスタイプ</v>
          </cell>
          <cell r="J213">
            <v>1</v>
          </cell>
          <cell r="K213">
            <v>1</v>
          </cell>
          <cell r="L213">
            <v>1</v>
          </cell>
          <cell r="M213" t="str">
            <v>god</v>
          </cell>
          <cell r="N213" t="str">
            <v>ゴッド</v>
          </cell>
          <cell r="O213">
            <v>0.96</v>
          </cell>
          <cell r="P213">
            <v>1.02</v>
          </cell>
          <cell r="Q213">
            <v>1</v>
          </cell>
          <cell r="R213" t="str">
            <v>Boss</v>
          </cell>
          <cell r="S213">
            <v>5</v>
          </cell>
          <cell r="T213">
            <v>1.3</v>
          </cell>
          <cell r="U213">
            <v>0.8</v>
          </cell>
          <cell r="V213">
            <v>1</v>
          </cell>
          <cell r="W213">
            <v>0.55000000000000004</v>
          </cell>
          <cell r="X213">
            <v>30</v>
          </cell>
          <cell r="Y213">
            <v>1.3</v>
          </cell>
          <cell r="Z213">
            <v>1.3</v>
          </cell>
          <cell r="AA213">
            <v>1.1000000000000001</v>
          </cell>
          <cell r="AB213">
            <v>212</v>
          </cell>
        </row>
        <row r="214">
          <cell r="A214">
            <v>213</v>
          </cell>
          <cell r="B214" t="str">
            <v>満天の星降神 アストライアー</v>
          </cell>
          <cell r="C214">
            <v>5</v>
          </cell>
          <cell r="D214" t="str">
            <v>yellow</v>
          </cell>
          <cell r="E214">
            <v>0.98</v>
          </cell>
          <cell r="F214">
            <v>1.01</v>
          </cell>
          <cell r="G214">
            <v>1</v>
          </cell>
          <cell r="H214" t="str">
            <v>balance</v>
          </cell>
          <cell r="I214" t="str">
            <v>バランスタイプ</v>
          </cell>
          <cell r="J214">
            <v>1</v>
          </cell>
          <cell r="K214">
            <v>1</v>
          </cell>
          <cell r="L214">
            <v>1</v>
          </cell>
          <cell r="M214" t="str">
            <v>god</v>
          </cell>
          <cell r="N214" t="str">
            <v>ゴッド</v>
          </cell>
          <cell r="O214">
            <v>0.96</v>
          </cell>
          <cell r="P214">
            <v>1.02</v>
          </cell>
          <cell r="Q214">
            <v>1</v>
          </cell>
          <cell r="R214" t="str">
            <v>Boss</v>
          </cell>
          <cell r="S214">
            <v>5</v>
          </cell>
          <cell r="T214">
            <v>1.3</v>
          </cell>
          <cell r="U214">
            <v>0.8</v>
          </cell>
          <cell r="V214">
            <v>1</v>
          </cell>
          <cell r="W214">
            <v>0.55000000000000004</v>
          </cell>
          <cell r="X214">
            <v>60</v>
          </cell>
          <cell r="Y214">
            <v>1.7</v>
          </cell>
          <cell r="Z214">
            <v>1.4</v>
          </cell>
          <cell r="AA214">
            <v>1</v>
          </cell>
          <cell r="AB214">
            <v>0</v>
          </cell>
        </row>
        <row r="215">
          <cell r="A215">
            <v>214</v>
          </cell>
          <cell r="B215" t="str">
            <v>アズラエル</v>
          </cell>
          <cell r="C215">
            <v>3</v>
          </cell>
          <cell r="D215" t="str">
            <v>red</v>
          </cell>
          <cell r="E215">
            <v>1</v>
          </cell>
          <cell r="F215">
            <v>1.02</v>
          </cell>
          <cell r="G215">
            <v>1</v>
          </cell>
          <cell r="H215" t="str">
            <v>balance</v>
          </cell>
          <cell r="I215" t="str">
            <v>バランスタイプ</v>
          </cell>
          <cell r="J215">
            <v>1</v>
          </cell>
          <cell r="K215">
            <v>1</v>
          </cell>
          <cell r="L215">
            <v>1</v>
          </cell>
          <cell r="M215" t="str">
            <v>god</v>
          </cell>
          <cell r="N215" t="str">
            <v>ゴッド</v>
          </cell>
          <cell r="O215">
            <v>0.96</v>
          </cell>
          <cell r="P215">
            <v>1.02</v>
          </cell>
          <cell r="Q215">
            <v>1</v>
          </cell>
          <cell r="R215" t="str">
            <v>Boss</v>
          </cell>
          <cell r="S215">
            <v>5</v>
          </cell>
          <cell r="T215">
            <v>1.3</v>
          </cell>
          <cell r="U215">
            <v>0.8</v>
          </cell>
          <cell r="V215">
            <v>2</v>
          </cell>
          <cell r="W215">
            <v>0.75</v>
          </cell>
          <cell r="X215">
            <v>20</v>
          </cell>
          <cell r="Y215">
            <v>1.1000000000000001</v>
          </cell>
          <cell r="Z215">
            <v>1.2</v>
          </cell>
          <cell r="AA215">
            <v>1.2</v>
          </cell>
          <cell r="AB215">
            <v>0</v>
          </cell>
        </row>
        <row r="216">
          <cell r="A216">
            <v>215</v>
          </cell>
          <cell r="B216" t="str">
            <v>死導者 アズラエル</v>
          </cell>
          <cell r="C216">
            <v>4</v>
          </cell>
          <cell r="D216" t="str">
            <v>red</v>
          </cell>
          <cell r="E216">
            <v>1</v>
          </cell>
          <cell r="F216">
            <v>1.02</v>
          </cell>
          <cell r="G216">
            <v>1</v>
          </cell>
          <cell r="H216" t="str">
            <v>balance</v>
          </cell>
          <cell r="I216" t="str">
            <v>バランスタイプ</v>
          </cell>
          <cell r="J216">
            <v>1</v>
          </cell>
          <cell r="K216">
            <v>1</v>
          </cell>
          <cell r="L216">
            <v>1</v>
          </cell>
          <cell r="M216" t="str">
            <v>god</v>
          </cell>
          <cell r="N216" t="str">
            <v>ゴッド</v>
          </cell>
          <cell r="O216">
            <v>0.96</v>
          </cell>
          <cell r="P216">
            <v>1.02</v>
          </cell>
          <cell r="Q216">
            <v>1</v>
          </cell>
          <cell r="R216" t="str">
            <v>Boss_HPx1.5</v>
          </cell>
          <cell r="S216">
            <v>7.5</v>
          </cell>
          <cell r="T216">
            <v>1</v>
          </cell>
          <cell r="U216">
            <v>0.8</v>
          </cell>
          <cell r="V216">
            <v>2</v>
          </cell>
          <cell r="W216">
            <v>0.75</v>
          </cell>
          <cell r="X216">
            <v>30</v>
          </cell>
          <cell r="Y216">
            <v>1.3</v>
          </cell>
          <cell r="Z216">
            <v>1.3</v>
          </cell>
          <cell r="AA216">
            <v>1.1000000000000001</v>
          </cell>
          <cell r="AB216">
            <v>215</v>
          </cell>
        </row>
        <row r="217">
          <cell r="A217">
            <v>216</v>
          </cell>
          <cell r="B217" t="str">
            <v>百読の死導司書 アズラエル</v>
          </cell>
          <cell r="C217">
            <v>5</v>
          </cell>
          <cell r="D217" t="str">
            <v>red</v>
          </cell>
          <cell r="E217">
            <v>1</v>
          </cell>
          <cell r="F217">
            <v>1.02</v>
          </cell>
          <cell r="G217">
            <v>1</v>
          </cell>
          <cell r="H217" t="str">
            <v>balance</v>
          </cell>
          <cell r="I217" t="str">
            <v>バランスタイプ</v>
          </cell>
          <cell r="J217">
            <v>1</v>
          </cell>
          <cell r="K217">
            <v>1</v>
          </cell>
          <cell r="L217">
            <v>1</v>
          </cell>
          <cell r="M217" t="str">
            <v>god</v>
          </cell>
          <cell r="N217" t="str">
            <v>ゴッド</v>
          </cell>
          <cell r="O217">
            <v>0.96</v>
          </cell>
          <cell r="P217">
            <v>1.02</v>
          </cell>
          <cell r="Q217">
            <v>1</v>
          </cell>
          <cell r="R217" t="str">
            <v>Boss</v>
          </cell>
          <cell r="S217">
            <v>5</v>
          </cell>
          <cell r="T217">
            <v>1.3</v>
          </cell>
          <cell r="U217">
            <v>0.8</v>
          </cell>
          <cell r="V217">
            <v>2</v>
          </cell>
          <cell r="W217">
            <v>0.75</v>
          </cell>
          <cell r="X217">
            <v>60</v>
          </cell>
          <cell r="Y217">
            <v>1.7</v>
          </cell>
          <cell r="Z217">
            <v>1.4</v>
          </cell>
          <cell r="AA217">
            <v>1</v>
          </cell>
          <cell r="AB217">
            <v>0</v>
          </cell>
        </row>
        <row r="218">
          <cell r="A218">
            <v>217</v>
          </cell>
          <cell r="B218" t="str">
            <v>ケツァクアトル</v>
          </cell>
          <cell r="C218">
            <v>3</v>
          </cell>
          <cell r="D218" t="str">
            <v>green</v>
          </cell>
          <cell r="E218">
            <v>1.02</v>
          </cell>
          <cell r="F218">
            <v>0.98</v>
          </cell>
          <cell r="G218">
            <v>1</v>
          </cell>
          <cell r="H218" t="str">
            <v>hp</v>
          </cell>
          <cell r="I218" t="str">
            <v>体力タイプ</v>
          </cell>
          <cell r="J218">
            <v>1.45</v>
          </cell>
          <cell r="K218">
            <v>0.85</v>
          </cell>
          <cell r="L218">
            <v>1</v>
          </cell>
          <cell r="M218" t="str">
            <v>dragon</v>
          </cell>
          <cell r="N218" t="str">
            <v>ドラゴン</v>
          </cell>
          <cell r="O218">
            <v>1.1499999999999999</v>
          </cell>
          <cell r="P218">
            <v>1.1000000000000001</v>
          </cell>
          <cell r="Q218">
            <v>1</v>
          </cell>
          <cell r="R218" t="str">
            <v>Boss</v>
          </cell>
          <cell r="S218">
            <v>5</v>
          </cell>
          <cell r="T218">
            <v>1.3</v>
          </cell>
          <cell r="U218">
            <v>0.8</v>
          </cell>
          <cell r="V218">
            <v>3</v>
          </cell>
          <cell r="W218">
            <v>1</v>
          </cell>
          <cell r="X218">
            <v>20</v>
          </cell>
          <cell r="Y218">
            <v>1.1000000000000001</v>
          </cell>
          <cell r="Z218">
            <v>1.2</v>
          </cell>
          <cell r="AA218">
            <v>1.2</v>
          </cell>
          <cell r="AB218">
            <v>0</v>
          </cell>
        </row>
        <row r="219">
          <cell r="A219">
            <v>218</v>
          </cell>
          <cell r="B219" t="str">
            <v>聖蛇 ケツァクアトル</v>
          </cell>
          <cell r="C219">
            <v>4</v>
          </cell>
          <cell r="D219" t="str">
            <v>green</v>
          </cell>
          <cell r="E219">
            <v>1.02</v>
          </cell>
          <cell r="F219">
            <v>0.98</v>
          </cell>
          <cell r="G219">
            <v>1</v>
          </cell>
          <cell r="H219" t="str">
            <v>hp</v>
          </cell>
          <cell r="I219" t="str">
            <v>体力タイプ</v>
          </cell>
          <cell r="J219">
            <v>1.45</v>
          </cell>
          <cell r="K219">
            <v>0.85</v>
          </cell>
          <cell r="L219">
            <v>1</v>
          </cell>
          <cell r="M219" t="str">
            <v>dragon</v>
          </cell>
          <cell r="N219" t="str">
            <v>ドラゴン</v>
          </cell>
          <cell r="O219">
            <v>1.1499999999999999</v>
          </cell>
          <cell r="P219">
            <v>1.1000000000000001</v>
          </cell>
          <cell r="Q219">
            <v>1</v>
          </cell>
          <cell r="R219" t="str">
            <v>Boss</v>
          </cell>
          <cell r="S219">
            <v>5</v>
          </cell>
          <cell r="T219">
            <v>1.3</v>
          </cell>
          <cell r="U219">
            <v>0.8</v>
          </cell>
          <cell r="V219">
            <v>3</v>
          </cell>
          <cell r="W219">
            <v>1</v>
          </cell>
          <cell r="X219">
            <v>30</v>
          </cell>
          <cell r="Y219">
            <v>1.3</v>
          </cell>
          <cell r="Z219">
            <v>1.3</v>
          </cell>
          <cell r="AA219">
            <v>1.1000000000000001</v>
          </cell>
          <cell r="AB219">
            <v>0</v>
          </cell>
        </row>
        <row r="220">
          <cell r="A220">
            <v>219</v>
          </cell>
          <cell r="B220" t="str">
            <v>覇翼の聖蛇竜 ケツァクアトル</v>
          </cell>
          <cell r="C220">
            <v>5</v>
          </cell>
          <cell r="D220" t="str">
            <v>green</v>
          </cell>
          <cell r="E220">
            <v>1.02</v>
          </cell>
          <cell r="F220">
            <v>0.98</v>
          </cell>
          <cell r="G220">
            <v>1</v>
          </cell>
          <cell r="H220" t="str">
            <v>hp</v>
          </cell>
          <cell r="I220" t="str">
            <v>体力タイプ</v>
          </cell>
          <cell r="J220">
            <v>1.45</v>
          </cell>
          <cell r="K220">
            <v>0.85</v>
          </cell>
          <cell r="L220">
            <v>1</v>
          </cell>
          <cell r="M220" t="str">
            <v>dragon</v>
          </cell>
          <cell r="N220" t="str">
            <v>ドラゴン</v>
          </cell>
          <cell r="O220">
            <v>1.1499999999999999</v>
          </cell>
          <cell r="P220">
            <v>1.1000000000000001</v>
          </cell>
          <cell r="Q220">
            <v>1</v>
          </cell>
          <cell r="R220" t="str">
            <v>Boss</v>
          </cell>
          <cell r="S220">
            <v>5</v>
          </cell>
          <cell r="T220">
            <v>1.3</v>
          </cell>
          <cell r="U220">
            <v>0.8</v>
          </cell>
          <cell r="V220">
            <v>3</v>
          </cell>
          <cell r="W220">
            <v>1</v>
          </cell>
          <cell r="X220">
            <v>60</v>
          </cell>
          <cell r="Y220">
            <v>1.7</v>
          </cell>
          <cell r="Z220">
            <v>1.4</v>
          </cell>
          <cell r="AA220">
            <v>1</v>
          </cell>
          <cell r="AB220">
            <v>219</v>
          </cell>
        </row>
        <row r="221">
          <cell r="A221">
            <v>220</v>
          </cell>
          <cell r="B221" t="str">
            <v>ルキフグス</v>
          </cell>
          <cell r="C221">
            <v>3</v>
          </cell>
          <cell r="D221" t="str">
            <v>blue</v>
          </cell>
          <cell r="E221">
            <v>1</v>
          </cell>
          <cell r="F221">
            <v>0.98</v>
          </cell>
          <cell r="G221">
            <v>1</v>
          </cell>
          <cell r="H221" t="str">
            <v>balance</v>
          </cell>
          <cell r="I221" t="str">
            <v>バランスタイプ</v>
          </cell>
          <cell r="J221">
            <v>1</v>
          </cell>
          <cell r="K221">
            <v>1</v>
          </cell>
          <cell r="L221">
            <v>1</v>
          </cell>
          <cell r="M221" t="str">
            <v>god</v>
          </cell>
          <cell r="N221" t="str">
            <v>ゴッド</v>
          </cell>
          <cell r="O221">
            <v>0.96</v>
          </cell>
          <cell r="P221">
            <v>1.02</v>
          </cell>
          <cell r="Q221">
            <v>1</v>
          </cell>
          <cell r="R221" t="str">
            <v>Boss</v>
          </cell>
          <cell r="S221">
            <v>5</v>
          </cell>
          <cell r="T221">
            <v>1.3</v>
          </cell>
          <cell r="U221">
            <v>0.8</v>
          </cell>
          <cell r="V221">
            <v>2</v>
          </cell>
          <cell r="W221">
            <v>0.75</v>
          </cell>
          <cell r="X221">
            <v>20</v>
          </cell>
          <cell r="Y221">
            <v>1.1000000000000001</v>
          </cell>
          <cell r="Z221">
            <v>1.2</v>
          </cell>
          <cell r="AA221">
            <v>1.2</v>
          </cell>
          <cell r="AB221">
            <v>0</v>
          </cell>
        </row>
        <row r="222">
          <cell r="A222">
            <v>221</v>
          </cell>
          <cell r="B222" t="str">
            <v>宰相 ルキフグス</v>
          </cell>
          <cell r="C222">
            <v>4</v>
          </cell>
          <cell r="D222" t="str">
            <v>blue</v>
          </cell>
          <cell r="E222">
            <v>1</v>
          </cell>
          <cell r="F222">
            <v>0.98</v>
          </cell>
          <cell r="G222">
            <v>1</v>
          </cell>
          <cell r="H222" t="str">
            <v>balance</v>
          </cell>
          <cell r="I222" t="str">
            <v>バランスタイプ</v>
          </cell>
          <cell r="J222">
            <v>1</v>
          </cell>
          <cell r="K222">
            <v>1</v>
          </cell>
          <cell r="L222">
            <v>1</v>
          </cell>
          <cell r="M222" t="str">
            <v>god</v>
          </cell>
          <cell r="N222" t="str">
            <v>ゴッド</v>
          </cell>
          <cell r="O222">
            <v>0.96</v>
          </cell>
          <cell r="P222">
            <v>1.02</v>
          </cell>
          <cell r="Q222">
            <v>1</v>
          </cell>
          <cell r="R222" t="str">
            <v>Boss</v>
          </cell>
          <cell r="S222">
            <v>5</v>
          </cell>
          <cell r="T222">
            <v>1.3</v>
          </cell>
          <cell r="U222">
            <v>0.8</v>
          </cell>
          <cell r="V222">
            <v>2</v>
          </cell>
          <cell r="W222">
            <v>0.75</v>
          </cell>
          <cell r="X222">
            <v>30</v>
          </cell>
          <cell r="Y222">
            <v>1.3</v>
          </cell>
          <cell r="Z222">
            <v>1.3</v>
          </cell>
          <cell r="AA222">
            <v>1.1000000000000001</v>
          </cell>
          <cell r="AB222">
            <v>0</v>
          </cell>
        </row>
        <row r="223">
          <cell r="A223">
            <v>222</v>
          </cell>
          <cell r="B223" t="str">
            <v>避光の鉄鎖宰相 ルキフグス</v>
          </cell>
          <cell r="C223">
            <v>5</v>
          </cell>
          <cell r="D223" t="str">
            <v>blue</v>
          </cell>
          <cell r="E223">
            <v>1</v>
          </cell>
          <cell r="F223">
            <v>0.98</v>
          </cell>
          <cell r="G223">
            <v>1</v>
          </cell>
          <cell r="H223" t="str">
            <v>balance</v>
          </cell>
          <cell r="I223" t="str">
            <v>バランスタイプ</v>
          </cell>
          <cell r="J223">
            <v>1</v>
          </cell>
          <cell r="K223">
            <v>1</v>
          </cell>
          <cell r="L223">
            <v>1</v>
          </cell>
          <cell r="M223" t="str">
            <v>god</v>
          </cell>
          <cell r="N223" t="str">
            <v>ゴッド</v>
          </cell>
          <cell r="O223">
            <v>0.96</v>
          </cell>
          <cell r="P223">
            <v>1.02</v>
          </cell>
          <cell r="Q223">
            <v>1</v>
          </cell>
          <cell r="R223" t="str">
            <v>Boss</v>
          </cell>
          <cell r="S223">
            <v>5</v>
          </cell>
          <cell r="T223">
            <v>1.3</v>
          </cell>
          <cell r="U223">
            <v>0.8</v>
          </cell>
          <cell r="V223">
            <v>2</v>
          </cell>
          <cell r="W223">
            <v>0.75</v>
          </cell>
          <cell r="X223">
            <v>60</v>
          </cell>
          <cell r="Y223">
            <v>1.7</v>
          </cell>
          <cell r="Z223">
            <v>1.4</v>
          </cell>
          <cell r="AA223">
            <v>1</v>
          </cell>
          <cell r="AB223">
            <v>0</v>
          </cell>
        </row>
        <row r="224">
          <cell r="A224">
            <v>223</v>
          </cell>
          <cell r="B224" t="str">
            <v>ヘラクレス</v>
          </cell>
          <cell r="C224">
            <v>3</v>
          </cell>
          <cell r="D224" t="str">
            <v>yellow</v>
          </cell>
          <cell r="E224">
            <v>0.98</v>
          </cell>
          <cell r="F224">
            <v>1.01</v>
          </cell>
          <cell r="G224">
            <v>1</v>
          </cell>
          <cell r="H224" t="str">
            <v>balance</v>
          </cell>
          <cell r="I224" t="str">
            <v>バランスタイプ</v>
          </cell>
          <cell r="J224">
            <v>1</v>
          </cell>
          <cell r="K224">
            <v>1</v>
          </cell>
          <cell r="L224">
            <v>1</v>
          </cell>
          <cell r="M224" t="str">
            <v>human</v>
          </cell>
          <cell r="N224" t="str">
            <v>ヒューマン</v>
          </cell>
          <cell r="O224">
            <v>0.94</v>
          </cell>
          <cell r="P224">
            <v>0.99</v>
          </cell>
          <cell r="Q224">
            <v>1</v>
          </cell>
          <cell r="R224" t="str">
            <v>Boss</v>
          </cell>
          <cell r="S224">
            <v>5</v>
          </cell>
          <cell r="T224">
            <v>1.3</v>
          </cell>
          <cell r="U224">
            <v>0.8</v>
          </cell>
          <cell r="V224">
            <v>2</v>
          </cell>
          <cell r="W224">
            <v>0.75</v>
          </cell>
          <cell r="X224">
            <v>20</v>
          </cell>
          <cell r="Y224">
            <v>1.1000000000000001</v>
          </cell>
          <cell r="Z224">
            <v>1.2</v>
          </cell>
          <cell r="AA224">
            <v>1.2</v>
          </cell>
          <cell r="AB224">
            <v>0</v>
          </cell>
        </row>
        <row r="225">
          <cell r="A225">
            <v>224</v>
          </cell>
          <cell r="B225" t="str">
            <v>巨腕 ヘラクレス</v>
          </cell>
          <cell r="C225">
            <v>4</v>
          </cell>
          <cell r="D225" t="str">
            <v>yellow</v>
          </cell>
          <cell r="E225">
            <v>0.98</v>
          </cell>
          <cell r="F225">
            <v>1.01</v>
          </cell>
          <cell r="G225">
            <v>1</v>
          </cell>
          <cell r="H225" t="str">
            <v>balance</v>
          </cell>
          <cell r="I225" t="str">
            <v>バランスタイプ</v>
          </cell>
          <cell r="J225">
            <v>1</v>
          </cell>
          <cell r="K225">
            <v>1</v>
          </cell>
          <cell r="L225">
            <v>1</v>
          </cell>
          <cell r="M225" t="str">
            <v>human</v>
          </cell>
          <cell r="N225" t="str">
            <v>ヒューマン</v>
          </cell>
          <cell r="O225">
            <v>0.94</v>
          </cell>
          <cell r="P225">
            <v>0.99</v>
          </cell>
          <cell r="Q225">
            <v>1</v>
          </cell>
          <cell r="R225" t="str">
            <v>Boss</v>
          </cell>
          <cell r="S225">
            <v>5</v>
          </cell>
          <cell r="T225">
            <v>1.3</v>
          </cell>
          <cell r="U225">
            <v>0.8</v>
          </cell>
          <cell r="V225">
            <v>2</v>
          </cell>
          <cell r="W225">
            <v>0.75</v>
          </cell>
          <cell r="X225">
            <v>30</v>
          </cell>
          <cell r="Y225">
            <v>1.3</v>
          </cell>
          <cell r="Z225">
            <v>1.3</v>
          </cell>
          <cell r="AA225">
            <v>1.1000000000000001</v>
          </cell>
          <cell r="AB225">
            <v>224</v>
          </cell>
        </row>
        <row r="226">
          <cell r="A226">
            <v>225</v>
          </cell>
          <cell r="B226" t="str">
            <v>咆哮の巨獅腕 ヘラクレス</v>
          </cell>
          <cell r="C226">
            <v>5</v>
          </cell>
          <cell r="D226" t="str">
            <v>yellow</v>
          </cell>
          <cell r="E226">
            <v>0.98</v>
          </cell>
          <cell r="F226">
            <v>1.01</v>
          </cell>
          <cell r="G226">
            <v>1</v>
          </cell>
          <cell r="H226" t="str">
            <v>balance</v>
          </cell>
          <cell r="I226" t="str">
            <v>バランスタイプ</v>
          </cell>
          <cell r="J226">
            <v>1</v>
          </cell>
          <cell r="K226">
            <v>1</v>
          </cell>
          <cell r="L226">
            <v>1</v>
          </cell>
          <cell r="M226" t="str">
            <v>human</v>
          </cell>
          <cell r="N226" t="str">
            <v>ヒューマン</v>
          </cell>
          <cell r="O226">
            <v>0.94</v>
          </cell>
          <cell r="P226">
            <v>0.99</v>
          </cell>
          <cell r="Q226">
            <v>1</v>
          </cell>
          <cell r="R226" t="str">
            <v>Boss</v>
          </cell>
          <cell r="S226">
            <v>5</v>
          </cell>
          <cell r="T226">
            <v>1.3</v>
          </cell>
          <cell r="U226">
            <v>0.8</v>
          </cell>
          <cell r="V226">
            <v>2</v>
          </cell>
          <cell r="W226">
            <v>0.75</v>
          </cell>
          <cell r="X226">
            <v>60</v>
          </cell>
          <cell r="Y226">
            <v>1.7</v>
          </cell>
          <cell r="Z226">
            <v>1.4</v>
          </cell>
          <cell r="AA226">
            <v>1</v>
          </cell>
          <cell r="AB226">
            <v>0</v>
          </cell>
        </row>
        <row r="227">
          <cell r="A227">
            <v>226</v>
          </cell>
          <cell r="B227" t="str">
            <v>アレス</v>
          </cell>
          <cell r="C227">
            <v>3</v>
          </cell>
          <cell r="D227" t="str">
            <v>red</v>
          </cell>
          <cell r="E227">
            <v>1</v>
          </cell>
          <cell r="F227">
            <v>1.02</v>
          </cell>
          <cell r="G227">
            <v>1</v>
          </cell>
          <cell r="H227" t="str">
            <v>attack</v>
          </cell>
          <cell r="I227" t="str">
            <v>攻撃タイプ</v>
          </cell>
          <cell r="J227">
            <v>1</v>
          </cell>
          <cell r="K227">
            <v>1.33</v>
          </cell>
          <cell r="L227">
            <v>1</v>
          </cell>
          <cell r="M227" t="str">
            <v>god</v>
          </cell>
          <cell r="N227" t="str">
            <v>ゴッド</v>
          </cell>
          <cell r="O227">
            <v>0.96</v>
          </cell>
          <cell r="P227">
            <v>1.02</v>
          </cell>
          <cell r="Q227">
            <v>1</v>
          </cell>
          <cell r="R227" t="str">
            <v>Boss_HPx1.5</v>
          </cell>
          <cell r="S227">
            <v>7.5</v>
          </cell>
          <cell r="T227">
            <v>1</v>
          </cell>
          <cell r="U227">
            <v>0.8</v>
          </cell>
          <cell r="V227">
            <v>1</v>
          </cell>
          <cell r="W227">
            <v>0.55000000000000004</v>
          </cell>
          <cell r="X227">
            <v>20</v>
          </cell>
          <cell r="Y227">
            <v>1.1000000000000001</v>
          </cell>
          <cell r="Z227">
            <v>1.2</v>
          </cell>
          <cell r="AA227">
            <v>1.2</v>
          </cell>
          <cell r="AB227">
            <v>0</v>
          </cell>
        </row>
        <row r="228">
          <cell r="A228">
            <v>227</v>
          </cell>
          <cell r="B228" t="str">
            <v>滅弾 アレス</v>
          </cell>
          <cell r="C228">
            <v>4</v>
          </cell>
          <cell r="D228" t="str">
            <v>red</v>
          </cell>
          <cell r="E228">
            <v>1</v>
          </cell>
          <cell r="F228">
            <v>1.02</v>
          </cell>
          <cell r="G228">
            <v>1</v>
          </cell>
          <cell r="H228" t="str">
            <v>attack</v>
          </cell>
          <cell r="I228" t="str">
            <v>攻撃タイプ</v>
          </cell>
          <cell r="J228">
            <v>1</v>
          </cell>
          <cell r="K228">
            <v>1.33</v>
          </cell>
          <cell r="L228">
            <v>1</v>
          </cell>
          <cell r="M228" t="str">
            <v>god</v>
          </cell>
          <cell r="N228" t="str">
            <v>ゴッド</v>
          </cell>
          <cell r="O228">
            <v>0.96</v>
          </cell>
          <cell r="P228">
            <v>1.02</v>
          </cell>
          <cell r="Q228">
            <v>1</v>
          </cell>
          <cell r="R228" t="str">
            <v>Boss</v>
          </cell>
          <cell r="S228">
            <v>5</v>
          </cell>
          <cell r="T228">
            <v>1.3</v>
          </cell>
          <cell r="U228">
            <v>0.8</v>
          </cell>
          <cell r="V228">
            <v>1</v>
          </cell>
          <cell r="W228">
            <v>0.55000000000000004</v>
          </cell>
          <cell r="X228">
            <v>30</v>
          </cell>
          <cell r="Y228">
            <v>1.3</v>
          </cell>
          <cell r="Z228">
            <v>1.3</v>
          </cell>
          <cell r="AA228">
            <v>1.1000000000000001</v>
          </cell>
          <cell r="AB228">
            <v>0</v>
          </cell>
        </row>
        <row r="229">
          <cell r="A229">
            <v>228</v>
          </cell>
          <cell r="B229" t="str">
            <v>殲滅の掃射砲 アレス</v>
          </cell>
          <cell r="C229">
            <v>5</v>
          </cell>
          <cell r="D229" t="str">
            <v>red</v>
          </cell>
          <cell r="E229">
            <v>1</v>
          </cell>
          <cell r="F229">
            <v>1.02</v>
          </cell>
          <cell r="G229">
            <v>1</v>
          </cell>
          <cell r="H229" t="str">
            <v>attack</v>
          </cell>
          <cell r="I229" t="str">
            <v>攻撃タイプ</v>
          </cell>
          <cell r="J229">
            <v>1</v>
          </cell>
          <cell r="K229">
            <v>1.33</v>
          </cell>
          <cell r="L229">
            <v>1</v>
          </cell>
          <cell r="M229" t="str">
            <v>god</v>
          </cell>
          <cell r="N229" t="str">
            <v>ゴッド</v>
          </cell>
          <cell r="O229">
            <v>0.96</v>
          </cell>
          <cell r="P229">
            <v>1.02</v>
          </cell>
          <cell r="Q229">
            <v>1</v>
          </cell>
          <cell r="R229" t="str">
            <v>Boss</v>
          </cell>
          <cell r="S229">
            <v>5</v>
          </cell>
          <cell r="T229">
            <v>1.3</v>
          </cell>
          <cell r="U229">
            <v>0.8</v>
          </cell>
          <cell r="V229">
            <v>1</v>
          </cell>
          <cell r="W229">
            <v>0.55000000000000004</v>
          </cell>
          <cell r="X229">
            <v>60</v>
          </cell>
          <cell r="Y229">
            <v>1.7</v>
          </cell>
          <cell r="Z229">
            <v>1.4</v>
          </cell>
          <cell r="AA229">
            <v>1</v>
          </cell>
          <cell r="AB229">
            <v>0</v>
          </cell>
        </row>
        <row r="230">
          <cell r="A230">
            <v>229</v>
          </cell>
          <cell r="B230" t="str">
            <v>ヨルムンガンド</v>
          </cell>
          <cell r="C230">
            <v>3</v>
          </cell>
          <cell r="D230" t="str">
            <v>green</v>
          </cell>
          <cell r="E230">
            <v>1.02</v>
          </cell>
          <cell r="F230">
            <v>0.98</v>
          </cell>
          <cell r="G230">
            <v>1</v>
          </cell>
          <cell r="H230" t="str">
            <v>technical</v>
          </cell>
          <cell r="I230" t="str">
            <v>テクニカルタイプ</v>
          </cell>
          <cell r="J230">
            <v>0.9</v>
          </cell>
          <cell r="K230">
            <v>0.9</v>
          </cell>
          <cell r="L230">
            <v>1</v>
          </cell>
          <cell r="M230" t="str">
            <v>dragon</v>
          </cell>
          <cell r="N230" t="str">
            <v>ドラゴン</v>
          </cell>
          <cell r="O230">
            <v>1.1499999999999999</v>
          </cell>
          <cell r="P230">
            <v>1.1000000000000001</v>
          </cell>
          <cell r="Q230">
            <v>1</v>
          </cell>
          <cell r="R230" t="str">
            <v>Boss</v>
          </cell>
          <cell r="S230">
            <v>5</v>
          </cell>
          <cell r="T230">
            <v>1.3</v>
          </cell>
          <cell r="U230">
            <v>0.8</v>
          </cell>
          <cell r="V230">
            <v>2</v>
          </cell>
          <cell r="W230">
            <v>0.75</v>
          </cell>
          <cell r="X230">
            <v>20</v>
          </cell>
          <cell r="Y230">
            <v>1.1000000000000001</v>
          </cell>
          <cell r="Z230">
            <v>1.2</v>
          </cell>
          <cell r="AA230">
            <v>1.2</v>
          </cell>
          <cell r="AB230">
            <v>229</v>
          </cell>
        </row>
        <row r="231">
          <cell r="A231">
            <v>230</v>
          </cell>
          <cell r="B231" t="str">
            <v>毒銃 ヨルムンガンド</v>
          </cell>
          <cell r="C231">
            <v>4</v>
          </cell>
          <cell r="D231" t="str">
            <v>green</v>
          </cell>
          <cell r="E231">
            <v>1.02</v>
          </cell>
          <cell r="F231">
            <v>0.98</v>
          </cell>
          <cell r="G231">
            <v>1</v>
          </cell>
          <cell r="H231" t="str">
            <v>technical</v>
          </cell>
          <cell r="I231" t="str">
            <v>テクニカルタイプ</v>
          </cell>
          <cell r="J231">
            <v>0.9</v>
          </cell>
          <cell r="K231">
            <v>0.9</v>
          </cell>
          <cell r="L231">
            <v>1</v>
          </cell>
          <cell r="M231" t="str">
            <v>dragon</v>
          </cell>
          <cell r="N231" t="str">
            <v>ドラゴン</v>
          </cell>
          <cell r="O231">
            <v>1.1499999999999999</v>
          </cell>
          <cell r="P231">
            <v>1.1000000000000001</v>
          </cell>
          <cell r="Q231">
            <v>1</v>
          </cell>
          <cell r="R231" t="str">
            <v>Boss_HPx1.5</v>
          </cell>
          <cell r="S231">
            <v>7.5</v>
          </cell>
          <cell r="T231">
            <v>1</v>
          </cell>
          <cell r="U231">
            <v>0.8</v>
          </cell>
          <cell r="V231">
            <v>5</v>
          </cell>
          <cell r="W231">
            <v>1.5</v>
          </cell>
          <cell r="X231">
            <v>30</v>
          </cell>
          <cell r="Y231">
            <v>1.3</v>
          </cell>
          <cell r="Z231">
            <v>1.3</v>
          </cell>
          <cell r="AA231">
            <v>1.1000000000000001</v>
          </cell>
          <cell r="AB231">
            <v>230</v>
          </cell>
        </row>
        <row r="232">
          <cell r="A232">
            <v>231</v>
          </cell>
          <cell r="B232" t="str">
            <v>必中の咬銃 ヨルムンガンド</v>
          </cell>
          <cell r="C232">
            <v>5</v>
          </cell>
          <cell r="D232" t="str">
            <v>green</v>
          </cell>
          <cell r="E232">
            <v>1.02</v>
          </cell>
          <cell r="F232">
            <v>0.98</v>
          </cell>
          <cell r="G232">
            <v>1</v>
          </cell>
          <cell r="H232" t="str">
            <v>technical</v>
          </cell>
          <cell r="I232" t="str">
            <v>テクニカルタイプ</v>
          </cell>
          <cell r="J232">
            <v>0.9</v>
          </cell>
          <cell r="K232">
            <v>0.9</v>
          </cell>
          <cell r="L232">
            <v>1</v>
          </cell>
          <cell r="M232" t="str">
            <v>dragon</v>
          </cell>
          <cell r="N232" t="str">
            <v>ドラゴン</v>
          </cell>
          <cell r="O232">
            <v>1.1499999999999999</v>
          </cell>
          <cell r="P232">
            <v>1.1000000000000001</v>
          </cell>
          <cell r="Q232">
            <v>1</v>
          </cell>
          <cell r="R232" t="str">
            <v>Boss</v>
          </cell>
          <cell r="S232">
            <v>5</v>
          </cell>
          <cell r="T232">
            <v>1.3</v>
          </cell>
          <cell r="U232">
            <v>0.8</v>
          </cell>
          <cell r="V232">
            <v>2</v>
          </cell>
          <cell r="W232">
            <v>0.75</v>
          </cell>
          <cell r="X232">
            <v>60</v>
          </cell>
          <cell r="Y232">
            <v>1.7</v>
          </cell>
          <cell r="Z232">
            <v>1.4</v>
          </cell>
          <cell r="AA232">
            <v>1</v>
          </cell>
          <cell r="AB232">
            <v>231</v>
          </cell>
        </row>
        <row r="233">
          <cell r="A233">
            <v>232</v>
          </cell>
          <cell r="B233" t="str">
            <v>パーシヴァル</v>
          </cell>
          <cell r="C233">
            <v>3</v>
          </cell>
          <cell r="D233" t="str">
            <v>blue</v>
          </cell>
          <cell r="E233">
            <v>1</v>
          </cell>
          <cell r="F233">
            <v>0.98</v>
          </cell>
          <cell r="G233">
            <v>1</v>
          </cell>
          <cell r="H233" t="str">
            <v>technical</v>
          </cell>
          <cell r="I233" t="str">
            <v>テクニカルタイプ</v>
          </cell>
          <cell r="J233">
            <v>0.9</v>
          </cell>
          <cell r="K233">
            <v>0.9</v>
          </cell>
          <cell r="L233">
            <v>1</v>
          </cell>
          <cell r="M233" t="str">
            <v>human</v>
          </cell>
          <cell r="N233" t="str">
            <v>ヒューマン</v>
          </cell>
          <cell r="O233">
            <v>0.94</v>
          </cell>
          <cell r="P233">
            <v>0.99</v>
          </cell>
          <cell r="Q233">
            <v>1</v>
          </cell>
          <cell r="R233" t="str">
            <v>Boss</v>
          </cell>
          <cell r="S233">
            <v>5</v>
          </cell>
          <cell r="T233">
            <v>1.3</v>
          </cell>
          <cell r="U233">
            <v>0.8</v>
          </cell>
          <cell r="V233">
            <v>2</v>
          </cell>
          <cell r="W233">
            <v>0.75</v>
          </cell>
          <cell r="X233">
            <v>20</v>
          </cell>
          <cell r="Y233">
            <v>1.1000000000000001</v>
          </cell>
          <cell r="Z233">
            <v>1.2</v>
          </cell>
          <cell r="AA233">
            <v>1.2</v>
          </cell>
          <cell r="AB233">
            <v>232</v>
          </cell>
        </row>
        <row r="234">
          <cell r="A234">
            <v>233</v>
          </cell>
          <cell r="B234" t="str">
            <v>遂行 パーシヴァル</v>
          </cell>
          <cell r="C234">
            <v>4</v>
          </cell>
          <cell r="D234" t="str">
            <v>blue</v>
          </cell>
          <cell r="E234">
            <v>1</v>
          </cell>
          <cell r="F234">
            <v>0.98</v>
          </cell>
          <cell r="G234">
            <v>1</v>
          </cell>
          <cell r="H234" t="str">
            <v>technical</v>
          </cell>
          <cell r="I234" t="str">
            <v>テクニカルタイプ</v>
          </cell>
          <cell r="J234">
            <v>0.9</v>
          </cell>
          <cell r="K234">
            <v>0.9</v>
          </cell>
          <cell r="L234">
            <v>1</v>
          </cell>
          <cell r="M234" t="str">
            <v>human</v>
          </cell>
          <cell r="N234" t="str">
            <v>ヒューマン</v>
          </cell>
          <cell r="O234">
            <v>0.94</v>
          </cell>
          <cell r="P234">
            <v>0.99</v>
          </cell>
          <cell r="Q234">
            <v>1</v>
          </cell>
          <cell r="R234" t="str">
            <v>Boss</v>
          </cell>
          <cell r="S234">
            <v>5</v>
          </cell>
          <cell r="T234">
            <v>1.3</v>
          </cell>
          <cell r="U234">
            <v>0.8</v>
          </cell>
          <cell r="V234">
            <v>2</v>
          </cell>
          <cell r="W234">
            <v>0.75</v>
          </cell>
          <cell r="X234">
            <v>30</v>
          </cell>
          <cell r="Y234">
            <v>1.3</v>
          </cell>
          <cell r="Z234">
            <v>1.3</v>
          </cell>
          <cell r="AA234">
            <v>1.1000000000000001</v>
          </cell>
          <cell r="AB234">
            <v>233</v>
          </cell>
        </row>
        <row r="235">
          <cell r="A235">
            <v>234</v>
          </cell>
          <cell r="B235" t="str">
            <v>精密なる照準 パーシヴァル</v>
          </cell>
          <cell r="C235">
            <v>5</v>
          </cell>
          <cell r="D235" t="str">
            <v>blue</v>
          </cell>
          <cell r="E235">
            <v>1</v>
          </cell>
          <cell r="F235">
            <v>0.98</v>
          </cell>
          <cell r="G235">
            <v>1</v>
          </cell>
          <cell r="H235" t="str">
            <v>technical</v>
          </cell>
          <cell r="I235" t="str">
            <v>テクニカルタイプ</v>
          </cell>
          <cell r="J235">
            <v>0.9</v>
          </cell>
          <cell r="K235">
            <v>0.9</v>
          </cell>
          <cell r="L235">
            <v>1</v>
          </cell>
          <cell r="M235" t="str">
            <v>human</v>
          </cell>
          <cell r="N235" t="str">
            <v>ヒューマン</v>
          </cell>
          <cell r="O235">
            <v>0.94</v>
          </cell>
          <cell r="P235">
            <v>0.99</v>
          </cell>
          <cell r="Q235">
            <v>1</v>
          </cell>
          <cell r="R235" t="str">
            <v>Boss</v>
          </cell>
          <cell r="S235">
            <v>5</v>
          </cell>
          <cell r="T235">
            <v>1.3</v>
          </cell>
          <cell r="U235">
            <v>0.8</v>
          </cell>
          <cell r="V235">
            <v>2</v>
          </cell>
          <cell r="W235">
            <v>0.75</v>
          </cell>
          <cell r="X235">
            <v>60</v>
          </cell>
          <cell r="Y235">
            <v>1.7</v>
          </cell>
          <cell r="Z235">
            <v>1.4</v>
          </cell>
          <cell r="AA235">
            <v>1</v>
          </cell>
          <cell r="AB235">
            <v>0</v>
          </cell>
        </row>
        <row r="236">
          <cell r="A236">
            <v>235</v>
          </cell>
          <cell r="B236" t="str">
            <v>イザナミ</v>
          </cell>
          <cell r="C236">
            <v>3</v>
          </cell>
          <cell r="D236" t="str">
            <v>yellow</v>
          </cell>
          <cell r="E236">
            <v>0.98</v>
          </cell>
          <cell r="F236">
            <v>1.01</v>
          </cell>
          <cell r="G236">
            <v>1</v>
          </cell>
          <cell r="H236" t="str">
            <v>attack</v>
          </cell>
          <cell r="I236" t="str">
            <v>攻撃タイプ</v>
          </cell>
          <cell r="J236">
            <v>1</v>
          </cell>
          <cell r="K236">
            <v>1.33</v>
          </cell>
          <cell r="L236">
            <v>1</v>
          </cell>
          <cell r="M236" t="str">
            <v>god</v>
          </cell>
          <cell r="N236" t="str">
            <v>ゴッド</v>
          </cell>
          <cell r="O236">
            <v>0.96</v>
          </cell>
          <cell r="P236">
            <v>1.02</v>
          </cell>
          <cell r="Q236">
            <v>1</v>
          </cell>
          <cell r="R236" t="str">
            <v>Boss</v>
          </cell>
          <cell r="S236">
            <v>5</v>
          </cell>
          <cell r="T236">
            <v>1.3</v>
          </cell>
          <cell r="U236">
            <v>0.8</v>
          </cell>
          <cell r="V236">
            <v>2</v>
          </cell>
          <cell r="W236">
            <v>0.75</v>
          </cell>
          <cell r="X236">
            <v>20</v>
          </cell>
          <cell r="Y236">
            <v>1.1000000000000001</v>
          </cell>
          <cell r="Z236">
            <v>1.2</v>
          </cell>
          <cell r="AA236">
            <v>1.2</v>
          </cell>
          <cell r="AB236">
            <v>0</v>
          </cell>
        </row>
        <row r="237">
          <cell r="A237">
            <v>236</v>
          </cell>
          <cell r="B237" t="str">
            <v>神産 イザナミ</v>
          </cell>
          <cell r="C237">
            <v>4</v>
          </cell>
          <cell r="D237" t="str">
            <v>yellow</v>
          </cell>
          <cell r="E237">
            <v>0.98</v>
          </cell>
          <cell r="F237">
            <v>1.01</v>
          </cell>
          <cell r="G237">
            <v>1</v>
          </cell>
          <cell r="H237" t="str">
            <v>attack</v>
          </cell>
          <cell r="I237" t="str">
            <v>攻撃タイプ</v>
          </cell>
          <cell r="J237">
            <v>1</v>
          </cell>
          <cell r="K237">
            <v>1.33</v>
          </cell>
          <cell r="L237">
            <v>1</v>
          </cell>
          <cell r="M237" t="str">
            <v>god</v>
          </cell>
          <cell r="N237" t="str">
            <v>ゴッド</v>
          </cell>
          <cell r="O237">
            <v>0.96</v>
          </cell>
          <cell r="P237">
            <v>1.02</v>
          </cell>
          <cell r="Q237">
            <v>1</v>
          </cell>
          <cell r="R237" t="str">
            <v>Boss</v>
          </cell>
          <cell r="S237">
            <v>5</v>
          </cell>
          <cell r="T237">
            <v>1.3</v>
          </cell>
          <cell r="U237">
            <v>0.8</v>
          </cell>
          <cell r="V237">
            <v>2</v>
          </cell>
          <cell r="W237">
            <v>0.75</v>
          </cell>
          <cell r="X237">
            <v>30</v>
          </cell>
          <cell r="Y237">
            <v>1.3</v>
          </cell>
          <cell r="Z237">
            <v>1.3</v>
          </cell>
          <cell r="AA237">
            <v>1.1000000000000001</v>
          </cell>
          <cell r="AB237">
            <v>0</v>
          </cell>
        </row>
        <row r="238">
          <cell r="A238">
            <v>237</v>
          </cell>
          <cell r="B238" t="str">
            <v>森羅万象の神母 イザナミ</v>
          </cell>
          <cell r="C238">
            <v>5</v>
          </cell>
          <cell r="D238" t="str">
            <v>yellow</v>
          </cell>
          <cell r="E238">
            <v>0.98</v>
          </cell>
          <cell r="F238">
            <v>1.01</v>
          </cell>
          <cell r="G238">
            <v>1</v>
          </cell>
          <cell r="H238" t="str">
            <v>attack</v>
          </cell>
          <cell r="I238" t="str">
            <v>攻撃タイプ</v>
          </cell>
          <cell r="J238">
            <v>1</v>
          </cell>
          <cell r="K238">
            <v>1.33</v>
          </cell>
          <cell r="L238">
            <v>1</v>
          </cell>
          <cell r="M238" t="str">
            <v>god</v>
          </cell>
          <cell r="N238" t="str">
            <v>ゴッド</v>
          </cell>
          <cell r="O238">
            <v>0.96</v>
          </cell>
          <cell r="P238">
            <v>1.02</v>
          </cell>
          <cell r="Q238">
            <v>1</v>
          </cell>
          <cell r="R238" t="str">
            <v>Boss</v>
          </cell>
          <cell r="S238">
            <v>5</v>
          </cell>
          <cell r="T238">
            <v>1.3</v>
          </cell>
          <cell r="U238">
            <v>0.8</v>
          </cell>
          <cell r="V238">
            <v>2</v>
          </cell>
          <cell r="W238">
            <v>0.75</v>
          </cell>
          <cell r="X238">
            <v>60</v>
          </cell>
          <cell r="Y238">
            <v>1.7</v>
          </cell>
          <cell r="Z238">
            <v>1.4</v>
          </cell>
          <cell r="AA238">
            <v>1</v>
          </cell>
          <cell r="AB238">
            <v>0</v>
          </cell>
        </row>
        <row r="239">
          <cell r="A239">
            <v>238</v>
          </cell>
          <cell r="B239" t="str">
            <v>ウリエル</v>
          </cell>
          <cell r="C239">
            <v>3</v>
          </cell>
          <cell r="D239" t="str">
            <v>red</v>
          </cell>
          <cell r="E239">
            <v>1</v>
          </cell>
          <cell r="F239">
            <v>1.02</v>
          </cell>
          <cell r="G239">
            <v>1</v>
          </cell>
          <cell r="H239" t="str">
            <v>hp</v>
          </cell>
          <cell r="I239" t="str">
            <v>体力タイプ</v>
          </cell>
          <cell r="J239">
            <v>1.45</v>
          </cell>
          <cell r="K239">
            <v>0.85</v>
          </cell>
          <cell r="L239">
            <v>1</v>
          </cell>
          <cell r="M239" t="str">
            <v>machine</v>
          </cell>
          <cell r="N239" t="str">
            <v>マシン</v>
          </cell>
          <cell r="O239">
            <v>1</v>
          </cell>
          <cell r="P239">
            <v>1</v>
          </cell>
          <cell r="Q239">
            <v>1</v>
          </cell>
          <cell r="R239" t="str">
            <v>Boss</v>
          </cell>
          <cell r="S239">
            <v>5</v>
          </cell>
          <cell r="T239">
            <v>1.3</v>
          </cell>
          <cell r="U239">
            <v>0.8</v>
          </cell>
          <cell r="V239">
            <v>1</v>
          </cell>
          <cell r="W239">
            <v>0.55000000000000004</v>
          </cell>
          <cell r="X239">
            <v>20</v>
          </cell>
          <cell r="Y239">
            <v>1.1000000000000001</v>
          </cell>
          <cell r="Z239">
            <v>1.2</v>
          </cell>
          <cell r="AA239">
            <v>1.2</v>
          </cell>
          <cell r="AB239">
            <v>0</v>
          </cell>
        </row>
        <row r="240">
          <cell r="A240">
            <v>239</v>
          </cell>
          <cell r="B240" t="str">
            <v>豪炎の天使 ウリエル</v>
          </cell>
          <cell r="C240">
            <v>4</v>
          </cell>
          <cell r="D240" t="str">
            <v>red</v>
          </cell>
          <cell r="E240">
            <v>1</v>
          </cell>
          <cell r="F240">
            <v>1.02</v>
          </cell>
          <cell r="G240">
            <v>1</v>
          </cell>
          <cell r="H240" t="str">
            <v>hp</v>
          </cell>
          <cell r="I240" t="str">
            <v>体力タイプ</v>
          </cell>
          <cell r="J240">
            <v>1.45</v>
          </cell>
          <cell r="K240">
            <v>0.85</v>
          </cell>
          <cell r="L240">
            <v>1</v>
          </cell>
          <cell r="M240" t="str">
            <v>machine</v>
          </cell>
          <cell r="N240" t="str">
            <v>マシン</v>
          </cell>
          <cell r="O240">
            <v>1</v>
          </cell>
          <cell r="P240">
            <v>1</v>
          </cell>
          <cell r="Q240">
            <v>1</v>
          </cell>
          <cell r="R240" t="str">
            <v>Boss</v>
          </cell>
          <cell r="S240">
            <v>5</v>
          </cell>
          <cell r="T240">
            <v>1.3</v>
          </cell>
          <cell r="U240">
            <v>0.8</v>
          </cell>
          <cell r="V240">
            <v>1</v>
          </cell>
          <cell r="W240">
            <v>0.55000000000000004</v>
          </cell>
          <cell r="X240">
            <v>30</v>
          </cell>
          <cell r="Y240">
            <v>1.3</v>
          </cell>
          <cell r="Z240">
            <v>1.3</v>
          </cell>
          <cell r="AA240">
            <v>1.1000000000000001</v>
          </cell>
          <cell r="AB240">
            <v>0</v>
          </cell>
        </row>
        <row r="241">
          <cell r="A241">
            <v>240</v>
          </cell>
          <cell r="B241" t="str">
            <v>轟炎の天使 ウリエル・スレイヤー</v>
          </cell>
          <cell r="C241">
            <v>5</v>
          </cell>
          <cell r="D241" t="str">
            <v>red</v>
          </cell>
          <cell r="E241">
            <v>1</v>
          </cell>
          <cell r="F241">
            <v>1.02</v>
          </cell>
          <cell r="G241">
            <v>1</v>
          </cell>
          <cell r="H241" t="str">
            <v>hp</v>
          </cell>
          <cell r="I241" t="str">
            <v>体力タイプ</v>
          </cell>
          <cell r="J241">
            <v>1.45</v>
          </cell>
          <cell r="K241">
            <v>0.85</v>
          </cell>
          <cell r="L241">
            <v>1</v>
          </cell>
          <cell r="M241" t="str">
            <v>machine</v>
          </cell>
          <cell r="N241" t="str">
            <v>マシン</v>
          </cell>
          <cell r="O241">
            <v>1</v>
          </cell>
          <cell r="P241">
            <v>1</v>
          </cell>
          <cell r="Q241">
            <v>1</v>
          </cell>
          <cell r="R241" t="str">
            <v>Boss</v>
          </cell>
          <cell r="S241">
            <v>5</v>
          </cell>
          <cell r="T241">
            <v>1.3</v>
          </cell>
          <cell r="U241">
            <v>0.8</v>
          </cell>
          <cell r="V241">
            <v>1</v>
          </cell>
          <cell r="W241">
            <v>0.55000000000000004</v>
          </cell>
          <cell r="X241">
            <v>60</v>
          </cell>
          <cell r="Y241">
            <v>1.7</v>
          </cell>
          <cell r="Z241">
            <v>1.4</v>
          </cell>
          <cell r="AA241">
            <v>1</v>
          </cell>
          <cell r="AB241">
            <v>0</v>
          </cell>
        </row>
        <row r="242">
          <cell r="A242">
            <v>241</v>
          </cell>
          <cell r="B242" t="str">
            <v>ガブリエル</v>
          </cell>
          <cell r="C242">
            <v>3</v>
          </cell>
          <cell r="D242" t="str">
            <v>green</v>
          </cell>
          <cell r="E242">
            <v>1.02</v>
          </cell>
          <cell r="F242">
            <v>0.98</v>
          </cell>
          <cell r="G242">
            <v>1</v>
          </cell>
          <cell r="H242" t="str">
            <v>balance</v>
          </cell>
          <cell r="I242" t="str">
            <v>バランスタイプ</v>
          </cell>
          <cell r="J242">
            <v>1</v>
          </cell>
          <cell r="K242">
            <v>1</v>
          </cell>
          <cell r="L242">
            <v>1</v>
          </cell>
          <cell r="M242" t="str">
            <v>machine</v>
          </cell>
          <cell r="N242" t="str">
            <v>マシン</v>
          </cell>
          <cell r="O242">
            <v>1</v>
          </cell>
          <cell r="P242">
            <v>1</v>
          </cell>
          <cell r="Q242">
            <v>1</v>
          </cell>
          <cell r="R242" t="str">
            <v>Boss</v>
          </cell>
          <cell r="S242">
            <v>5</v>
          </cell>
          <cell r="T242">
            <v>1.3</v>
          </cell>
          <cell r="U242">
            <v>0.8</v>
          </cell>
          <cell r="V242">
            <v>3</v>
          </cell>
          <cell r="W242">
            <v>1</v>
          </cell>
          <cell r="X242">
            <v>20</v>
          </cell>
          <cell r="Y242">
            <v>1.1000000000000001</v>
          </cell>
          <cell r="Z242">
            <v>1.2</v>
          </cell>
          <cell r="AA242">
            <v>1.2</v>
          </cell>
          <cell r="AB242">
            <v>241</v>
          </cell>
        </row>
        <row r="243">
          <cell r="A243">
            <v>242</v>
          </cell>
          <cell r="B243" t="str">
            <v>百花の天使 ガブリエル</v>
          </cell>
          <cell r="C243">
            <v>4</v>
          </cell>
          <cell r="D243" t="str">
            <v>green</v>
          </cell>
          <cell r="E243">
            <v>1.02</v>
          </cell>
          <cell r="F243">
            <v>0.98</v>
          </cell>
          <cell r="G243">
            <v>1</v>
          </cell>
          <cell r="H243" t="str">
            <v>balance</v>
          </cell>
          <cell r="I243" t="str">
            <v>バランスタイプ</v>
          </cell>
          <cell r="J243">
            <v>1</v>
          </cell>
          <cell r="K243">
            <v>1</v>
          </cell>
          <cell r="L243">
            <v>1</v>
          </cell>
          <cell r="M243" t="str">
            <v>machine</v>
          </cell>
          <cell r="N243" t="str">
            <v>マシン</v>
          </cell>
          <cell r="O243">
            <v>1</v>
          </cell>
          <cell r="P243">
            <v>1</v>
          </cell>
          <cell r="Q243">
            <v>1</v>
          </cell>
          <cell r="R243" t="str">
            <v>Boss</v>
          </cell>
          <cell r="S243">
            <v>5</v>
          </cell>
          <cell r="T243">
            <v>1.3</v>
          </cell>
          <cell r="U243">
            <v>0.8</v>
          </cell>
          <cell r="V243">
            <v>4</v>
          </cell>
          <cell r="W243">
            <v>1.2</v>
          </cell>
          <cell r="X243">
            <v>30</v>
          </cell>
          <cell r="Y243">
            <v>1.3</v>
          </cell>
          <cell r="Z243">
            <v>1.3</v>
          </cell>
          <cell r="AA243">
            <v>1.1000000000000001</v>
          </cell>
          <cell r="AB243">
            <v>0</v>
          </cell>
        </row>
        <row r="244">
          <cell r="A244">
            <v>243</v>
          </cell>
          <cell r="B244" t="str">
            <v>万花の天使 ガブリエル・ブルーム</v>
          </cell>
          <cell r="C244">
            <v>5</v>
          </cell>
          <cell r="D244" t="str">
            <v>green</v>
          </cell>
          <cell r="E244">
            <v>1.02</v>
          </cell>
          <cell r="F244">
            <v>0.98</v>
          </cell>
          <cell r="G244">
            <v>1</v>
          </cell>
          <cell r="H244" t="str">
            <v>balance</v>
          </cell>
          <cell r="I244" t="str">
            <v>バランスタイプ</v>
          </cell>
          <cell r="J244">
            <v>1</v>
          </cell>
          <cell r="K244">
            <v>1</v>
          </cell>
          <cell r="L244">
            <v>1</v>
          </cell>
          <cell r="M244" t="str">
            <v>machine</v>
          </cell>
          <cell r="N244" t="str">
            <v>マシン</v>
          </cell>
          <cell r="O244">
            <v>1</v>
          </cell>
          <cell r="P244">
            <v>1</v>
          </cell>
          <cell r="Q244">
            <v>1</v>
          </cell>
          <cell r="R244" t="str">
            <v>Boss</v>
          </cell>
          <cell r="S244">
            <v>5</v>
          </cell>
          <cell r="T244">
            <v>1.3</v>
          </cell>
          <cell r="U244">
            <v>0.8</v>
          </cell>
          <cell r="V244">
            <v>4</v>
          </cell>
          <cell r="W244">
            <v>1.2</v>
          </cell>
          <cell r="X244">
            <v>60</v>
          </cell>
          <cell r="Y244">
            <v>1.7</v>
          </cell>
          <cell r="Z244">
            <v>1.4</v>
          </cell>
          <cell r="AA244">
            <v>1</v>
          </cell>
          <cell r="AB244">
            <v>0</v>
          </cell>
        </row>
        <row r="245">
          <cell r="A245">
            <v>244</v>
          </cell>
          <cell r="B245" t="str">
            <v>ラファエル</v>
          </cell>
          <cell r="C245">
            <v>3</v>
          </cell>
          <cell r="D245" t="str">
            <v>blue</v>
          </cell>
          <cell r="E245">
            <v>1</v>
          </cell>
          <cell r="F245">
            <v>0.98</v>
          </cell>
          <cell r="G245">
            <v>1</v>
          </cell>
          <cell r="H245" t="str">
            <v>balance</v>
          </cell>
          <cell r="I245" t="str">
            <v>バランスタイプ</v>
          </cell>
          <cell r="J245">
            <v>1</v>
          </cell>
          <cell r="K245">
            <v>1</v>
          </cell>
          <cell r="L245">
            <v>1</v>
          </cell>
          <cell r="M245" t="str">
            <v>machine</v>
          </cell>
          <cell r="N245" t="str">
            <v>マシン</v>
          </cell>
          <cell r="O245">
            <v>1</v>
          </cell>
          <cell r="P245">
            <v>1</v>
          </cell>
          <cell r="Q245">
            <v>1</v>
          </cell>
          <cell r="R245" t="str">
            <v>Boss</v>
          </cell>
          <cell r="S245">
            <v>5</v>
          </cell>
          <cell r="T245">
            <v>1.3</v>
          </cell>
          <cell r="U245">
            <v>0.8</v>
          </cell>
          <cell r="V245">
            <v>2</v>
          </cell>
          <cell r="W245">
            <v>0.75</v>
          </cell>
          <cell r="X245">
            <v>20</v>
          </cell>
          <cell r="Y245">
            <v>1.1000000000000001</v>
          </cell>
          <cell r="Z245">
            <v>1.2</v>
          </cell>
          <cell r="AA245">
            <v>1.2</v>
          </cell>
          <cell r="AB245">
            <v>0</v>
          </cell>
        </row>
        <row r="246">
          <cell r="A246">
            <v>245</v>
          </cell>
          <cell r="B246" t="str">
            <v>鎮癒の天使 ラファエル</v>
          </cell>
          <cell r="C246">
            <v>4</v>
          </cell>
          <cell r="D246" t="str">
            <v>blue</v>
          </cell>
          <cell r="E246">
            <v>1</v>
          </cell>
          <cell r="F246">
            <v>0.98</v>
          </cell>
          <cell r="G246">
            <v>1</v>
          </cell>
          <cell r="H246" t="str">
            <v>balance</v>
          </cell>
          <cell r="I246" t="str">
            <v>バランスタイプ</v>
          </cell>
          <cell r="J246">
            <v>1</v>
          </cell>
          <cell r="K246">
            <v>1</v>
          </cell>
          <cell r="L246">
            <v>1</v>
          </cell>
          <cell r="M246" t="str">
            <v>machine</v>
          </cell>
          <cell r="N246" t="str">
            <v>マシン</v>
          </cell>
          <cell r="O246">
            <v>1</v>
          </cell>
          <cell r="P246">
            <v>1</v>
          </cell>
          <cell r="Q246">
            <v>1</v>
          </cell>
          <cell r="R246" t="str">
            <v>Boss</v>
          </cell>
          <cell r="S246">
            <v>5</v>
          </cell>
          <cell r="T246">
            <v>1.3</v>
          </cell>
          <cell r="U246">
            <v>0.8</v>
          </cell>
          <cell r="V246">
            <v>2</v>
          </cell>
          <cell r="W246">
            <v>0.75</v>
          </cell>
          <cell r="X246">
            <v>30</v>
          </cell>
          <cell r="Y246">
            <v>1.3</v>
          </cell>
          <cell r="Z246">
            <v>1.3</v>
          </cell>
          <cell r="AA246">
            <v>1.1000000000000001</v>
          </cell>
          <cell r="AB246">
            <v>0</v>
          </cell>
        </row>
        <row r="247">
          <cell r="A247">
            <v>246</v>
          </cell>
          <cell r="B247" t="str">
            <v>真癒の天使 ラファエル・メディカ</v>
          </cell>
          <cell r="C247">
            <v>5</v>
          </cell>
          <cell r="D247" t="str">
            <v>blue</v>
          </cell>
          <cell r="E247">
            <v>1</v>
          </cell>
          <cell r="F247">
            <v>0.98</v>
          </cell>
          <cell r="G247">
            <v>1</v>
          </cell>
          <cell r="H247" t="str">
            <v>balance</v>
          </cell>
          <cell r="I247" t="str">
            <v>バランスタイプ</v>
          </cell>
          <cell r="J247">
            <v>1</v>
          </cell>
          <cell r="K247">
            <v>1</v>
          </cell>
          <cell r="L247">
            <v>1</v>
          </cell>
          <cell r="M247" t="str">
            <v>machine</v>
          </cell>
          <cell r="N247" t="str">
            <v>マシン</v>
          </cell>
          <cell r="O247">
            <v>1</v>
          </cell>
          <cell r="P247">
            <v>1</v>
          </cell>
          <cell r="Q247">
            <v>1</v>
          </cell>
          <cell r="R247" t="str">
            <v>Boss</v>
          </cell>
          <cell r="S247">
            <v>5</v>
          </cell>
          <cell r="T247">
            <v>1.3</v>
          </cell>
          <cell r="U247">
            <v>0.8</v>
          </cell>
          <cell r="V247">
            <v>2</v>
          </cell>
          <cell r="W247">
            <v>0.75</v>
          </cell>
          <cell r="X247">
            <v>60</v>
          </cell>
          <cell r="Y247">
            <v>1.7</v>
          </cell>
          <cell r="Z247">
            <v>1.4</v>
          </cell>
          <cell r="AA247">
            <v>1</v>
          </cell>
          <cell r="AB247">
            <v>0</v>
          </cell>
        </row>
        <row r="248">
          <cell r="A248">
            <v>247</v>
          </cell>
          <cell r="B248" t="str">
            <v>ミカエル</v>
          </cell>
          <cell r="C248">
            <v>3</v>
          </cell>
          <cell r="D248" t="str">
            <v>yellow</v>
          </cell>
          <cell r="E248">
            <v>0.98</v>
          </cell>
          <cell r="F248">
            <v>1.01</v>
          </cell>
          <cell r="G248">
            <v>1</v>
          </cell>
          <cell r="H248" t="str">
            <v>attack</v>
          </cell>
          <cell r="I248" t="str">
            <v>攻撃タイプ</v>
          </cell>
          <cell r="J248">
            <v>1</v>
          </cell>
          <cell r="K248">
            <v>1.33</v>
          </cell>
          <cell r="L248">
            <v>1</v>
          </cell>
          <cell r="M248" t="str">
            <v>machine</v>
          </cell>
          <cell r="N248" t="str">
            <v>マシン</v>
          </cell>
          <cell r="O248">
            <v>1</v>
          </cell>
          <cell r="P248">
            <v>1</v>
          </cell>
          <cell r="Q248">
            <v>1</v>
          </cell>
          <cell r="R248" t="str">
            <v>Boss</v>
          </cell>
          <cell r="S248">
            <v>5</v>
          </cell>
          <cell r="T248">
            <v>1.3</v>
          </cell>
          <cell r="U248">
            <v>0.8</v>
          </cell>
          <cell r="V248">
            <v>2</v>
          </cell>
          <cell r="W248">
            <v>0.75</v>
          </cell>
          <cell r="X248">
            <v>20</v>
          </cell>
          <cell r="Y248">
            <v>1.1000000000000001</v>
          </cell>
          <cell r="Z248">
            <v>1.2</v>
          </cell>
          <cell r="AA248">
            <v>1.2</v>
          </cell>
          <cell r="AB248">
            <v>0</v>
          </cell>
        </row>
        <row r="249">
          <cell r="A249">
            <v>248</v>
          </cell>
          <cell r="B249" t="str">
            <v>彩電の天使 ミカエル</v>
          </cell>
          <cell r="C249">
            <v>4</v>
          </cell>
          <cell r="D249" t="str">
            <v>yellow</v>
          </cell>
          <cell r="E249">
            <v>0.98</v>
          </cell>
          <cell r="F249">
            <v>1.01</v>
          </cell>
          <cell r="G249">
            <v>1</v>
          </cell>
          <cell r="H249" t="str">
            <v>attack</v>
          </cell>
          <cell r="I249" t="str">
            <v>攻撃タイプ</v>
          </cell>
          <cell r="J249">
            <v>1</v>
          </cell>
          <cell r="K249">
            <v>1.33</v>
          </cell>
          <cell r="L249">
            <v>1</v>
          </cell>
          <cell r="M249" t="str">
            <v>machine</v>
          </cell>
          <cell r="N249" t="str">
            <v>マシン</v>
          </cell>
          <cell r="O249">
            <v>1</v>
          </cell>
          <cell r="P249">
            <v>1</v>
          </cell>
          <cell r="Q249">
            <v>1</v>
          </cell>
          <cell r="R249" t="str">
            <v>Boss</v>
          </cell>
          <cell r="S249">
            <v>5</v>
          </cell>
          <cell r="T249">
            <v>1.3</v>
          </cell>
          <cell r="U249">
            <v>0.8</v>
          </cell>
          <cell r="V249">
            <v>2</v>
          </cell>
          <cell r="W249">
            <v>0.75</v>
          </cell>
          <cell r="X249">
            <v>30</v>
          </cell>
          <cell r="Y249">
            <v>1.3</v>
          </cell>
          <cell r="Z249">
            <v>1.3</v>
          </cell>
          <cell r="AA249">
            <v>1.1000000000000001</v>
          </cell>
          <cell r="AB249">
            <v>0</v>
          </cell>
        </row>
        <row r="250">
          <cell r="A250">
            <v>249</v>
          </cell>
          <cell r="B250" t="str">
            <v>雷電の天使 ミカエル・ゲイナー</v>
          </cell>
          <cell r="C250">
            <v>5</v>
          </cell>
          <cell r="D250" t="str">
            <v>yellow</v>
          </cell>
          <cell r="E250">
            <v>0.98</v>
          </cell>
          <cell r="F250">
            <v>1.01</v>
          </cell>
          <cell r="G250">
            <v>1</v>
          </cell>
          <cell r="H250" t="str">
            <v>attack</v>
          </cell>
          <cell r="I250" t="str">
            <v>攻撃タイプ</v>
          </cell>
          <cell r="J250">
            <v>1</v>
          </cell>
          <cell r="K250">
            <v>1.33</v>
          </cell>
          <cell r="L250">
            <v>1</v>
          </cell>
          <cell r="M250" t="str">
            <v>machine</v>
          </cell>
          <cell r="N250" t="str">
            <v>マシン</v>
          </cell>
          <cell r="O250">
            <v>1</v>
          </cell>
          <cell r="P250">
            <v>1</v>
          </cell>
          <cell r="Q250">
            <v>1</v>
          </cell>
          <cell r="R250" t="str">
            <v>Boss</v>
          </cell>
          <cell r="S250">
            <v>5</v>
          </cell>
          <cell r="T250">
            <v>1.3</v>
          </cell>
          <cell r="U250">
            <v>0.8</v>
          </cell>
          <cell r="V250">
            <v>2</v>
          </cell>
          <cell r="W250">
            <v>0.75</v>
          </cell>
          <cell r="X250">
            <v>60</v>
          </cell>
          <cell r="Y250">
            <v>1.7</v>
          </cell>
          <cell r="Z250">
            <v>1.4</v>
          </cell>
          <cell r="AA250">
            <v>1</v>
          </cell>
          <cell r="AB250">
            <v>0</v>
          </cell>
        </row>
        <row r="251">
          <cell r="A251">
            <v>250</v>
          </cell>
          <cell r="B251" t="str">
            <v>マンモン</v>
          </cell>
          <cell r="C251">
            <v>3</v>
          </cell>
          <cell r="D251" t="str">
            <v>red</v>
          </cell>
          <cell r="E251">
            <v>1</v>
          </cell>
          <cell r="F251">
            <v>1.02</v>
          </cell>
          <cell r="G251">
            <v>1</v>
          </cell>
          <cell r="H251" t="str">
            <v>balance</v>
          </cell>
          <cell r="I251" t="str">
            <v>バランスタイプ</v>
          </cell>
          <cell r="J251">
            <v>1</v>
          </cell>
          <cell r="K251">
            <v>1</v>
          </cell>
          <cell r="L251">
            <v>1</v>
          </cell>
          <cell r="M251" t="str">
            <v>god</v>
          </cell>
          <cell r="N251" t="str">
            <v>ゴッド</v>
          </cell>
          <cell r="O251">
            <v>0.96</v>
          </cell>
          <cell r="P251">
            <v>1.02</v>
          </cell>
          <cell r="Q251">
            <v>1</v>
          </cell>
          <cell r="R251" t="str">
            <v>Boss</v>
          </cell>
          <cell r="S251">
            <v>5</v>
          </cell>
          <cell r="T251">
            <v>1.3</v>
          </cell>
          <cell r="U251">
            <v>0.8</v>
          </cell>
          <cell r="V251">
            <v>2</v>
          </cell>
          <cell r="W251">
            <v>0.75</v>
          </cell>
          <cell r="X251">
            <v>20</v>
          </cell>
          <cell r="Y251">
            <v>1.1000000000000001</v>
          </cell>
          <cell r="Z251">
            <v>1.2</v>
          </cell>
          <cell r="AA251">
            <v>1.2</v>
          </cell>
          <cell r="AB251">
            <v>0</v>
          </cell>
        </row>
        <row r="252">
          <cell r="A252">
            <v>251</v>
          </cell>
          <cell r="B252" t="str">
            <v>強欲 マンモン</v>
          </cell>
          <cell r="C252">
            <v>4</v>
          </cell>
          <cell r="D252" t="str">
            <v>red</v>
          </cell>
          <cell r="E252">
            <v>1</v>
          </cell>
          <cell r="F252">
            <v>1.02</v>
          </cell>
          <cell r="G252">
            <v>1</v>
          </cell>
          <cell r="H252" t="str">
            <v>balance</v>
          </cell>
          <cell r="I252" t="str">
            <v>バランスタイプ</v>
          </cell>
          <cell r="J252">
            <v>1</v>
          </cell>
          <cell r="K252">
            <v>1</v>
          </cell>
          <cell r="L252">
            <v>1</v>
          </cell>
          <cell r="M252" t="str">
            <v>god</v>
          </cell>
          <cell r="N252" t="str">
            <v>ゴッド</v>
          </cell>
          <cell r="O252">
            <v>0.96</v>
          </cell>
          <cell r="P252">
            <v>1.02</v>
          </cell>
          <cell r="Q252">
            <v>1</v>
          </cell>
          <cell r="R252" t="str">
            <v>Boss</v>
          </cell>
          <cell r="S252">
            <v>5</v>
          </cell>
          <cell r="T252">
            <v>1.3</v>
          </cell>
          <cell r="U252">
            <v>0.8</v>
          </cell>
          <cell r="V252">
            <v>2</v>
          </cell>
          <cell r="W252">
            <v>0.75</v>
          </cell>
          <cell r="X252">
            <v>30</v>
          </cell>
          <cell r="Y252">
            <v>1.3</v>
          </cell>
          <cell r="Z252">
            <v>1.3</v>
          </cell>
          <cell r="AA252">
            <v>1.1000000000000001</v>
          </cell>
          <cell r="AB252">
            <v>0</v>
          </cell>
        </row>
        <row r="253">
          <cell r="A253">
            <v>252</v>
          </cell>
          <cell r="B253" t="str">
            <v>強欲の沸騰 マンモン</v>
          </cell>
          <cell r="C253">
            <v>5</v>
          </cell>
          <cell r="D253" t="str">
            <v>red</v>
          </cell>
          <cell r="E253">
            <v>1</v>
          </cell>
          <cell r="F253">
            <v>1.02</v>
          </cell>
          <cell r="G253">
            <v>1</v>
          </cell>
          <cell r="H253" t="str">
            <v>balance</v>
          </cell>
          <cell r="I253" t="str">
            <v>バランスタイプ</v>
          </cell>
          <cell r="J253">
            <v>1</v>
          </cell>
          <cell r="K253">
            <v>1</v>
          </cell>
          <cell r="L253">
            <v>1</v>
          </cell>
          <cell r="M253" t="str">
            <v>god</v>
          </cell>
          <cell r="N253" t="str">
            <v>ゴッド</v>
          </cell>
          <cell r="O253">
            <v>0.96</v>
          </cell>
          <cell r="P253">
            <v>1.02</v>
          </cell>
          <cell r="Q253">
            <v>1</v>
          </cell>
          <cell r="R253" t="str">
            <v>Boss</v>
          </cell>
          <cell r="S253">
            <v>5</v>
          </cell>
          <cell r="T253">
            <v>1.3</v>
          </cell>
          <cell r="U253">
            <v>0.8</v>
          </cell>
          <cell r="V253">
            <v>2</v>
          </cell>
          <cell r="W253">
            <v>0.75</v>
          </cell>
          <cell r="X253">
            <v>60</v>
          </cell>
          <cell r="Y253">
            <v>1.7</v>
          </cell>
          <cell r="Z253">
            <v>1.4</v>
          </cell>
          <cell r="AA253">
            <v>1</v>
          </cell>
          <cell r="AB253">
            <v>0</v>
          </cell>
        </row>
        <row r="254">
          <cell r="A254">
            <v>253</v>
          </cell>
          <cell r="B254" t="str">
            <v>ベルフェゴール</v>
          </cell>
          <cell r="C254">
            <v>3</v>
          </cell>
          <cell r="D254" t="str">
            <v>green</v>
          </cell>
          <cell r="E254">
            <v>1.02</v>
          </cell>
          <cell r="F254">
            <v>0.98</v>
          </cell>
          <cell r="G254">
            <v>1</v>
          </cell>
          <cell r="H254" t="str">
            <v>technical</v>
          </cell>
          <cell r="I254" t="str">
            <v>テクニカルタイプ</v>
          </cell>
          <cell r="J254">
            <v>0.9</v>
          </cell>
          <cell r="K254">
            <v>0.9</v>
          </cell>
          <cell r="L254">
            <v>1</v>
          </cell>
          <cell r="M254" t="str">
            <v>god</v>
          </cell>
          <cell r="N254" t="str">
            <v>ゴッド</v>
          </cell>
          <cell r="O254">
            <v>0.96</v>
          </cell>
          <cell r="P254">
            <v>1.02</v>
          </cell>
          <cell r="Q254">
            <v>1</v>
          </cell>
          <cell r="R254" t="str">
            <v>Boss_HPx1.5</v>
          </cell>
          <cell r="S254">
            <v>7.5</v>
          </cell>
          <cell r="T254">
            <v>1</v>
          </cell>
          <cell r="U254">
            <v>0.8</v>
          </cell>
          <cell r="V254">
            <v>4</v>
          </cell>
          <cell r="W254">
            <v>1.2</v>
          </cell>
          <cell r="X254">
            <v>20</v>
          </cell>
          <cell r="Y254">
            <v>1.1000000000000001</v>
          </cell>
          <cell r="Z254">
            <v>1.2</v>
          </cell>
          <cell r="AA254">
            <v>1.2</v>
          </cell>
          <cell r="AB254">
            <v>0</v>
          </cell>
        </row>
        <row r="255">
          <cell r="A255">
            <v>254</v>
          </cell>
          <cell r="B255" t="str">
            <v>怠惰 ベルフェゴール</v>
          </cell>
          <cell r="C255">
            <v>4</v>
          </cell>
          <cell r="D255" t="str">
            <v>green</v>
          </cell>
          <cell r="E255">
            <v>1.02</v>
          </cell>
          <cell r="F255">
            <v>0.98</v>
          </cell>
          <cell r="G255">
            <v>1</v>
          </cell>
          <cell r="H255" t="str">
            <v>technical</v>
          </cell>
          <cell r="I255" t="str">
            <v>テクニカルタイプ</v>
          </cell>
          <cell r="J255">
            <v>0.9</v>
          </cell>
          <cell r="K255">
            <v>0.9</v>
          </cell>
          <cell r="L255">
            <v>1</v>
          </cell>
          <cell r="M255" t="str">
            <v>god</v>
          </cell>
          <cell r="N255" t="str">
            <v>ゴッド</v>
          </cell>
          <cell r="O255">
            <v>0.96</v>
          </cell>
          <cell r="P255">
            <v>1.02</v>
          </cell>
          <cell r="Q255">
            <v>1</v>
          </cell>
          <cell r="R255" t="str">
            <v>Boss_HPx1.5</v>
          </cell>
          <cell r="S255">
            <v>7.5</v>
          </cell>
          <cell r="T255">
            <v>1</v>
          </cell>
          <cell r="U255">
            <v>0.8</v>
          </cell>
          <cell r="V255">
            <v>4</v>
          </cell>
          <cell r="W255">
            <v>1.2</v>
          </cell>
          <cell r="X255">
            <v>30</v>
          </cell>
          <cell r="Y255">
            <v>1.3</v>
          </cell>
          <cell r="Z255">
            <v>1.3</v>
          </cell>
          <cell r="AA255">
            <v>1.1000000000000001</v>
          </cell>
          <cell r="AB255">
            <v>254</v>
          </cell>
        </row>
        <row r="256">
          <cell r="A256">
            <v>255</v>
          </cell>
          <cell r="B256" t="str">
            <v>怠惰の頂点 ベルフェゴール</v>
          </cell>
          <cell r="C256">
            <v>5</v>
          </cell>
          <cell r="D256" t="str">
            <v>green</v>
          </cell>
          <cell r="E256">
            <v>1.02</v>
          </cell>
          <cell r="F256">
            <v>0.98</v>
          </cell>
          <cell r="G256">
            <v>1</v>
          </cell>
          <cell r="H256" t="str">
            <v>technical</v>
          </cell>
          <cell r="I256" t="str">
            <v>テクニカルタイプ</v>
          </cell>
          <cell r="J256">
            <v>0.9</v>
          </cell>
          <cell r="K256">
            <v>0.9</v>
          </cell>
          <cell r="L256">
            <v>1</v>
          </cell>
          <cell r="M256" t="str">
            <v>god</v>
          </cell>
          <cell r="N256" t="str">
            <v>ゴッド</v>
          </cell>
          <cell r="O256">
            <v>0.96</v>
          </cell>
          <cell r="P256">
            <v>1.02</v>
          </cell>
          <cell r="Q256">
            <v>1</v>
          </cell>
          <cell r="R256" t="str">
            <v>Boss</v>
          </cell>
          <cell r="S256">
            <v>5</v>
          </cell>
          <cell r="T256">
            <v>1.3</v>
          </cell>
          <cell r="U256">
            <v>0.8</v>
          </cell>
          <cell r="V256">
            <v>4</v>
          </cell>
          <cell r="W256">
            <v>1.2</v>
          </cell>
          <cell r="X256">
            <v>60</v>
          </cell>
          <cell r="Y256">
            <v>1.7</v>
          </cell>
          <cell r="Z256">
            <v>1.4</v>
          </cell>
          <cell r="AA256">
            <v>1</v>
          </cell>
          <cell r="AB256">
            <v>0</v>
          </cell>
        </row>
        <row r="257">
          <cell r="A257">
            <v>256</v>
          </cell>
          <cell r="B257" t="str">
            <v>アスモデウス</v>
          </cell>
          <cell r="C257">
            <v>3</v>
          </cell>
          <cell r="D257" t="str">
            <v>blue</v>
          </cell>
          <cell r="E257">
            <v>1</v>
          </cell>
          <cell r="F257">
            <v>0.98</v>
          </cell>
          <cell r="G257">
            <v>1</v>
          </cell>
          <cell r="H257" t="str">
            <v>attack</v>
          </cell>
          <cell r="I257" t="str">
            <v>攻撃タイプ</v>
          </cell>
          <cell r="J257">
            <v>1</v>
          </cell>
          <cell r="K257">
            <v>1.33</v>
          </cell>
          <cell r="L257">
            <v>1</v>
          </cell>
          <cell r="M257" t="str">
            <v>god</v>
          </cell>
          <cell r="N257" t="str">
            <v>ゴッド</v>
          </cell>
          <cell r="O257">
            <v>0.96</v>
          </cell>
          <cell r="P257">
            <v>1.02</v>
          </cell>
          <cell r="Q257">
            <v>1</v>
          </cell>
          <cell r="R257" t="str">
            <v>Boss</v>
          </cell>
          <cell r="S257">
            <v>5</v>
          </cell>
          <cell r="T257">
            <v>1.3</v>
          </cell>
          <cell r="U257">
            <v>0.8</v>
          </cell>
          <cell r="V257">
            <v>3</v>
          </cell>
          <cell r="W257">
            <v>1</v>
          </cell>
          <cell r="X257">
            <v>20</v>
          </cell>
          <cell r="Y257">
            <v>1.1000000000000001</v>
          </cell>
          <cell r="Z257">
            <v>1.2</v>
          </cell>
          <cell r="AA257">
            <v>1.2</v>
          </cell>
          <cell r="AB257">
            <v>256</v>
          </cell>
        </row>
        <row r="258">
          <cell r="A258">
            <v>257</v>
          </cell>
          <cell r="B258" t="str">
            <v>色欲 アスモデウス</v>
          </cell>
          <cell r="C258">
            <v>4</v>
          </cell>
          <cell r="D258" t="str">
            <v>blue</v>
          </cell>
          <cell r="E258">
            <v>1</v>
          </cell>
          <cell r="F258">
            <v>0.98</v>
          </cell>
          <cell r="G258">
            <v>1</v>
          </cell>
          <cell r="H258" t="str">
            <v>attack</v>
          </cell>
          <cell r="I258" t="str">
            <v>攻撃タイプ</v>
          </cell>
          <cell r="J258">
            <v>1</v>
          </cell>
          <cell r="K258">
            <v>1.33</v>
          </cell>
          <cell r="L258">
            <v>1</v>
          </cell>
          <cell r="M258" t="str">
            <v>god</v>
          </cell>
          <cell r="N258" t="str">
            <v>ゴッド</v>
          </cell>
          <cell r="O258">
            <v>0.96</v>
          </cell>
          <cell r="P258">
            <v>1.02</v>
          </cell>
          <cell r="Q258">
            <v>1</v>
          </cell>
          <cell r="R258" t="str">
            <v>Boss_HPx2.0</v>
          </cell>
          <cell r="S258">
            <v>10</v>
          </cell>
          <cell r="T258">
            <v>1</v>
          </cell>
          <cell r="U258">
            <v>0.8</v>
          </cell>
          <cell r="V258">
            <v>3</v>
          </cell>
          <cell r="W258">
            <v>1</v>
          </cell>
          <cell r="X258">
            <v>30</v>
          </cell>
          <cell r="Y258">
            <v>1.3</v>
          </cell>
          <cell r="Z258">
            <v>1.3</v>
          </cell>
          <cell r="AA258">
            <v>1.1000000000000001</v>
          </cell>
          <cell r="AB258">
            <v>257</v>
          </cell>
        </row>
        <row r="259">
          <cell r="A259">
            <v>258</v>
          </cell>
          <cell r="B259" t="str">
            <v>色欲の源流 アスモデウス</v>
          </cell>
          <cell r="C259">
            <v>5</v>
          </cell>
          <cell r="D259" t="str">
            <v>blue</v>
          </cell>
          <cell r="E259">
            <v>1</v>
          </cell>
          <cell r="F259">
            <v>0.98</v>
          </cell>
          <cell r="G259">
            <v>1</v>
          </cell>
          <cell r="H259" t="str">
            <v>attack</v>
          </cell>
          <cell r="I259" t="str">
            <v>攻撃タイプ</v>
          </cell>
          <cell r="J259">
            <v>1</v>
          </cell>
          <cell r="K259">
            <v>1.33</v>
          </cell>
          <cell r="L259">
            <v>1</v>
          </cell>
          <cell r="M259" t="str">
            <v>god</v>
          </cell>
          <cell r="N259" t="str">
            <v>ゴッド</v>
          </cell>
          <cell r="O259">
            <v>0.96</v>
          </cell>
          <cell r="P259">
            <v>1.02</v>
          </cell>
          <cell r="Q259">
            <v>1</v>
          </cell>
          <cell r="R259" t="str">
            <v>Boss</v>
          </cell>
          <cell r="S259">
            <v>5</v>
          </cell>
          <cell r="T259">
            <v>1.3</v>
          </cell>
          <cell r="U259">
            <v>0.8</v>
          </cell>
          <cell r="V259">
            <v>3</v>
          </cell>
          <cell r="W259">
            <v>1</v>
          </cell>
          <cell r="X259">
            <v>60</v>
          </cell>
          <cell r="Y259">
            <v>1.7</v>
          </cell>
          <cell r="Z259">
            <v>1.4</v>
          </cell>
          <cell r="AA259">
            <v>1</v>
          </cell>
          <cell r="AB259">
            <v>0</v>
          </cell>
        </row>
        <row r="260">
          <cell r="A260">
            <v>259</v>
          </cell>
          <cell r="B260" t="str">
            <v>ウロボロス</v>
          </cell>
          <cell r="C260">
            <v>3</v>
          </cell>
          <cell r="D260" t="str">
            <v>yellow</v>
          </cell>
          <cell r="E260">
            <v>0.98</v>
          </cell>
          <cell r="F260">
            <v>1.01</v>
          </cell>
          <cell r="G260">
            <v>1</v>
          </cell>
          <cell r="H260" t="str">
            <v>balance</v>
          </cell>
          <cell r="I260" t="str">
            <v>バランスタイプ</v>
          </cell>
          <cell r="J260">
            <v>1</v>
          </cell>
          <cell r="K260">
            <v>1</v>
          </cell>
          <cell r="L260">
            <v>1</v>
          </cell>
          <cell r="M260" t="str">
            <v>dragon</v>
          </cell>
          <cell r="N260" t="str">
            <v>ドラゴン</v>
          </cell>
          <cell r="O260">
            <v>1.1499999999999999</v>
          </cell>
          <cell r="P260">
            <v>1.1000000000000001</v>
          </cell>
          <cell r="Q260">
            <v>1</v>
          </cell>
          <cell r="R260" t="str">
            <v>Boss</v>
          </cell>
          <cell r="S260">
            <v>5</v>
          </cell>
          <cell r="T260">
            <v>1.3</v>
          </cell>
          <cell r="U260">
            <v>0.8</v>
          </cell>
          <cell r="V260">
            <v>2</v>
          </cell>
          <cell r="W260">
            <v>0.75</v>
          </cell>
          <cell r="X260">
            <v>20</v>
          </cell>
          <cell r="Y260">
            <v>1.1000000000000001</v>
          </cell>
          <cell r="Z260">
            <v>1.2</v>
          </cell>
          <cell r="AA260">
            <v>1.2</v>
          </cell>
          <cell r="AB260">
            <v>0</v>
          </cell>
        </row>
        <row r="261">
          <cell r="A261">
            <v>260</v>
          </cell>
          <cell r="B261" t="str">
            <v>輪廻 ウロボロス</v>
          </cell>
          <cell r="C261">
            <v>4</v>
          </cell>
          <cell r="D261" t="str">
            <v>yellow</v>
          </cell>
          <cell r="E261">
            <v>0.98</v>
          </cell>
          <cell r="F261">
            <v>1.01</v>
          </cell>
          <cell r="G261">
            <v>1</v>
          </cell>
          <cell r="H261" t="str">
            <v>balance</v>
          </cell>
          <cell r="I261" t="str">
            <v>バランスタイプ</v>
          </cell>
          <cell r="J261">
            <v>1</v>
          </cell>
          <cell r="K261">
            <v>1</v>
          </cell>
          <cell r="L261">
            <v>1</v>
          </cell>
          <cell r="M261" t="str">
            <v>dragon</v>
          </cell>
          <cell r="N261" t="str">
            <v>ドラゴン</v>
          </cell>
          <cell r="O261">
            <v>1.1499999999999999</v>
          </cell>
          <cell r="P261">
            <v>1.1000000000000001</v>
          </cell>
          <cell r="Q261">
            <v>1</v>
          </cell>
          <cell r="R261" t="str">
            <v>Boss</v>
          </cell>
          <cell r="S261">
            <v>5</v>
          </cell>
          <cell r="T261">
            <v>1.3</v>
          </cell>
          <cell r="U261">
            <v>0.8</v>
          </cell>
          <cell r="V261">
            <v>2</v>
          </cell>
          <cell r="W261">
            <v>0.75</v>
          </cell>
          <cell r="X261">
            <v>30</v>
          </cell>
          <cell r="Y261">
            <v>1.3</v>
          </cell>
          <cell r="Z261">
            <v>1.3</v>
          </cell>
          <cell r="AA261">
            <v>1.1000000000000001</v>
          </cell>
          <cell r="AB261">
            <v>0</v>
          </cell>
        </row>
        <row r="262">
          <cell r="A262">
            <v>261</v>
          </cell>
          <cell r="B262" t="str">
            <v>輪廻の蛇龍 ウロボロス</v>
          </cell>
          <cell r="C262">
            <v>5</v>
          </cell>
          <cell r="D262" t="str">
            <v>yellow</v>
          </cell>
          <cell r="E262">
            <v>0.98</v>
          </cell>
          <cell r="F262">
            <v>1.01</v>
          </cell>
          <cell r="G262">
            <v>1</v>
          </cell>
          <cell r="H262" t="str">
            <v>balance</v>
          </cell>
          <cell r="I262" t="str">
            <v>バランスタイプ</v>
          </cell>
          <cell r="J262">
            <v>1</v>
          </cell>
          <cell r="K262">
            <v>1</v>
          </cell>
          <cell r="L262">
            <v>1</v>
          </cell>
          <cell r="M262" t="str">
            <v>dragon</v>
          </cell>
          <cell r="N262" t="str">
            <v>ドラゴン</v>
          </cell>
          <cell r="O262">
            <v>1.1499999999999999</v>
          </cell>
          <cell r="P262">
            <v>1.1000000000000001</v>
          </cell>
          <cell r="Q262">
            <v>1</v>
          </cell>
          <cell r="R262" t="str">
            <v>Boss</v>
          </cell>
          <cell r="S262">
            <v>5</v>
          </cell>
          <cell r="T262">
            <v>1.3</v>
          </cell>
          <cell r="U262">
            <v>0.8</v>
          </cell>
          <cell r="V262">
            <v>2</v>
          </cell>
          <cell r="W262">
            <v>0.75</v>
          </cell>
          <cell r="X262">
            <v>60</v>
          </cell>
          <cell r="Y262">
            <v>1.7</v>
          </cell>
          <cell r="Z262">
            <v>1.4</v>
          </cell>
          <cell r="AA262">
            <v>1</v>
          </cell>
          <cell r="AB262">
            <v>0</v>
          </cell>
        </row>
        <row r="263">
          <cell r="A263">
            <v>262</v>
          </cell>
          <cell r="B263" t="str">
            <v>アシュリー</v>
          </cell>
          <cell r="C263">
            <v>3</v>
          </cell>
          <cell r="D263" t="str">
            <v>red</v>
          </cell>
          <cell r="E263">
            <v>1</v>
          </cell>
          <cell r="F263">
            <v>1.02</v>
          </cell>
          <cell r="G263">
            <v>1</v>
          </cell>
          <cell r="H263" t="str">
            <v>attack</v>
          </cell>
          <cell r="I263" t="str">
            <v>攻撃タイプ</v>
          </cell>
          <cell r="J263">
            <v>1</v>
          </cell>
          <cell r="K263">
            <v>1.33</v>
          </cell>
          <cell r="L263">
            <v>1</v>
          </cell>
          <cell r="M263" t="str">
            <v>animal</v>
          </cell>
          <cell r="N263" t="str">
            <v>アニマル</v>
          </cell>
          <cell r="O263">
            <v>1</v>
          </cell>
          <cell r="P263">
            <v>1.1000000000000001</v>
          </cell>
          <cell r="Q263">
            <v>1</v>
          </cell>
          <cell r="R263" t="str">
            <v>Boss</v>
          </cell>
          <cell r="S263">
            <v>5</v>
          </cell>
          <cell r="T263">
            <v>1.3</v>
          </cell>
          <cell r="U263">
            <v>0.8</v>
          </cell>
          <cell r="V263">
            <v>2</v>
          </cell>
          <cell r="W263">
            <v>0.75</v>
          </cell>
          <cell r="X263">
            <v>20</v>
          </cell>
          <cell r="Y263">
            <v>1.1000000000000001</v>
          </cell>
          <cell r="Z263">
            <v>1.2</v>
          </cell>
          <cell r="AA263">
            <v>1.2</v>
          </cell>
          <cell r="AB263">
            <v>0</v>
          </cell>
        </row>
        <row r="264">
          <cell r="A264">
            <v>263</v>
          </cell>
          <cell r="B264" t="str">
            <v>鉤爪姫 アシュリー</v>
          </cell>
          <cell r="C264">
            <v>4</v>
          </cell>
          <cell r="D264" t="str">
            <v>red</v>
          </cell>
          <cell r="E264">
            <v>1</v>
          </cell>
          <cell r="F264">
            <v>1.02</v>
          </cell>
          <cell r="G264">
            <v>1</v>
          </cell>
          <cell r="H264" t="str">
            <v>attack</v>
          </cell>
          <cell r="I264" t="str">
            <v>攻撃タイプ</v>
          </cell>
          <cell r="J264">
            <v>1</v>
          </cell>
          <cell r="K264">
            <v>1.33</v>
          </cell>
          <cell r="L264">
            <v>1</v>
          </cell>
          <cell r="M264" t="str">
            <v>animal</v>
          </cell>
          <cell r="N264" t="str">
            <v>アニマル</v>
          </cell>
          <cell r="O264">
            <v>1</v>
          </cell>
          <cell r="P264">
            <v>1.1000000000000001</v>
          </cell>
          <cell r="Q264">
            <v>1</v>
          </cell>
          <cell r="R264" t="str">
            <v>Boss</v>
          </cell>
          <cell r="S264">
            <v>5</v>
          </cell>
          <cell r="T264">
            <v>1.3</v>
          </cell>
          <cell r="U264">
            <v>0.8</v>
          </cell>
          <cell r="V264">
            <v>2</v>
          </cell>
          <cell r="W264">
            <v>0.75</v>
          </cell>
          <cell r="X264">
            <v>30</v>
          </cell>
          <cell r="Y264">
            <v>1.3</v>
          </cell>
          <cell r="Z264">
            <v>1.3</v>
          </cell>
          <cell r="AA264">
            <v>1.1000000000000001</v>
          </cell>
          <cell r="AB264">
            <v>263</v>
          </cell>
        </row>
        <row r="265">
          <cell r="A265">
            <v>264</v>
          </cell>
          <cell r="B265" t="str">
            <v>ユニコーン</v>
          </cell>
          <cell r="C265">
            <v>3</v>
          </cell>
          <cell r="D265" t="str">
            <v>green</v>
          </cell>
          <cell r="E265">
            <v>1.02</v>
          </cell>
          <cell r="F265">
            <v>0.98</v>
          </cell>
          <cell r="G265">
            <v>1</v>
          </cell>
          <cell r="H265" t="str">
            <v>hp</v>
          </cell>
          <cell r="I265" t="str">
            <v>体力タイプ</v>
          </cell>
          <cell r="J265">
            <v>1.45</v>
          </cell>
          <cell r="K265">
            <v>0.85</v>
          </cell>
          <cell r="L265">
            <v>1</v>
          </cell>
          <cell r="M265" t="str">
            <v>animal</v>
          </cell>
          <cell r="N265" t="str">
            <v>アニマル</v>
          </cell>
          <cell r="O265">
            <v>1</v>
          </cell>
          <cell r="P265">
            <v>1.1000000000000001</v>
          </cell>
          <cell r="Q265">
            <v>1</v>
          </cell>
          <cell r="R265" t="str">
            <v>Boss</v>
          </cell>
          <cell r="S265">
            <v>5</v>
          </cell>
          <cell r="T265">
            <v>1.3</v>
          </cell>
          <cell r="U265">
            <v>0.8</v>
          </cell>
          <cell r="V265">
            <v>2</v>
          </cell>
          <cell r="W265">
            <v>0.75</v>
          </cell>
          <cell r="X265">
            <v>20</v>
          </cell>
          <cell r="Y265">
            <v>1.1000000000000001</v>
          </cell>
          <cell r="Z265">
            <v>1.2</v>
          </cell>
          <cell r="AA265">
            <v>1.2</v>
          </cell>
          <cell r="AB265">
            <v>0</v>
          </cell>
        </row>
        <row r="266">
          <cell r="A266">
            <v>265</v>
          </cell>
          <cell r="B266" t="str">
            <v>翠角馬 ユニコーン</v>
          </cell>
          <cell r="C266">
            <v>4</v>
          </cell>
          <cell r="D266" t="str">
            <v>green</v>
          </cell>
          <cell r="E266">
            <v>1.02</v>
          </cell>
          <cell r="F266">
            <v>0.98</v>
          </cell>
          <cell r="G266">
            <v>1</v>
          </cell>
          <cell r="H266" t="str">
            <v>hp</v>
          </cell>
          <cell r="I266" t="str">
            <v>体力タイプ</v>
          </cell>
          <cell r="J266">
            <v>1.45</v>
          </cell>
          <cell r="K266">
            <v>0.85</v>
          </cell>
          <cell r="L266">
            <v>1</v>
          </cell>
          <cell r="M266" t="str">
            <v>animal</v>
          </cell>
          <cell r="N266" t="str">
            <v>アニマル</v>
          </cell>
          <cell r="O266">
            <v>1</v>
          </cell>
          <cell r="P266">
            <v>1.1000000000000001</v>
          </cell>
          <cell r="Q266">
            <v>1</v>
          </cell>
          <cell r="R266" t="str">
            <v>Boss</v>
          </cell>
          <cell r="S266">
            <v>5</v>
          </cell>
          <cell r="T266">
            <v>1.3</v>
          </cell>
          <cell r="U266">
            <v>0.8</v>
          </cell>
          <cell r="V266">
            <v>2</v>
          </cell>
          <cell r="W266">
            <v>0.75</v>
          </cell>
          <cell r="X266">
            <v>30</v>
          </cell>
          <cell r="Y266">
            <v>1.3</v>
          </cell>
          <cell r="Z266">
            <v>1.3</v>
          </cell>
          <cell r="AA266">
            <v>1.1000000000000001</v>
          </cell>
          <cell r="AB266">
            <v>0</v>
          </cell>
        </row>
        <row r="267">
          <cell r="A267">
            <v>266</v>
          </cell>
          <cell r="B267" t="str">
            <v>リリアンブルー</v>
          </cell>
          <cell r="C267">
            <v>3</v>
          </cell>
          <cell r="D267" t="str">
            <v>blue</v>
          </cell>
          <cell r="E267">
            <v>1</v>
          </cell>
          <cell r="F267">
            <v>0.98</v>
          </cell>
          <cell r="G267">
            <v>1</v>
          </cell>
          <cell r="H267" t="str">
            <v>balance</v>
          </cell>
          <cell r="I267" t="str">
            <v>バランスタイプ</v>
          </cell>
          <cell r="J267">
            <v>1</v>
          </cell>
          <cell r="K267">
            <v>1</v>
          </cell>
          <cell r="L267">
            <v>1</v>
          </cell>
          <cell r="M267" t="str">
            <v>animal</v>
          </cell>
          <cell r="N267" t="str">
            <v>アニマル</v>
          </cell>
          <cell r="O267">
            <v>1</v>
          </cell>
          <cell r="P267">
            <v>1.1000000000000001</v>
          </cell>
          <cell r="Q267">
            <v>1</v>
          </cell>
          <cell r="R267" t="str">
            <v>Boss</v>
          </cell>
          <cell r="S267">
            <v>5</v>
          </cell>
          <cell r="T267">
            <v>1.3</v>
          </cell>
          <cell r="U267">
            <v>0.8</v>
          </cell>
          <cell r="V267">
            <v>2</v>
          </cell>
          <cell r="W267">
            <v>0.75</v>
          </cell>
          <cell r="X267">
            <v>20</v>
          </cell>
          <cell r="Y267">
            <v>1.1000000000000001</v>
          </cell>
          <cell r="Z267">
            <v>1.2</v>
          </cell>
          <cell r="AA267">
            <v>1.2</v>
          </cell>
          <cell r="AB267">
            <v>266</v>
          </cell>
        </row>
        <row r="268">
          <cell r="A268">
            <v>267</v>
          </cell>
          <cell r="B268" t="str">
            <v>奇術猫 リリアンブルー</v>
          </cell>
          <cell r="C268">
            <v>4</v>
          </cell>
          <cell r="D268" t="str">
            <v>blue</v>
          </cell>
          <cell r="E268">
            <v>1</v>
          </cell>
          <cell r="F268">
            <v>0.98</v>
          </cell>
          <cell r="G268">
            <v>1</v>
          </cell>
          <cell r="H268" t="str">
            <v>balance</v>
          </cell>
          <cell r="I268" t="str">
            <v>バランスタイプ</v>
          </cell>
          <cell r="J268">
            <v>1</v>
          </cell>
          <cell r="K268">
            <v>1</v>
          </cell>
          <cell r="L268">
            <v>1</v>
          </cell>
          <cell r="M268" t="str">
            <v>animal</v>
          </cell>
          <cell r="N268" t="str">
            <v>アニマル</v>
          </cell>
          <cell r="O268">
            <v>1</v>
          </cell>
          <cell r="P268">
            <v>1.1000000000000001</v>
          </cell>
          <cell r="Q268">
            <v>1</v>
          </cell>
          <cell r="R268" t="str">
            <v>Boss</v>
          </cell>
          <cell r="S268">
            <v>5</v>
          </cell>
          <cell r="T268">
            <v>1.3</v>
          </cell>
          <cell r="U268">
            <v>0.8</v>
          </cell>
          <cell r="V268">
            <v>2</v>
          </cell>
          <cell r="W268">
            <v>0.75</v>
          </cell>
          <cell r="X268">
            <v>30</v>
          </cell>
          <cell r="Y268">
            <v>1.3</v>
          </cell>
          <cell r="Z268">
            <v>1.3</v>
          </cell>
          <cell r="AA268">
            <v>1.1000000000000001</v>
          </cell>
          <cell r="AB268">
            <v>266</v>
          </cell>
        </row>
        <row r="269">
          <cell r="A269">
            <v>268</v>
          </cell>
          <cell r="B269" t="str">
            <v>鵺</v>
          </cell>
          <cell r="C269">
            <v>3</v>
          </cell>
          <cell r="D269" t="str">
            <v>yellow</v>
          </cell>
          <cell r="E269">
            <v>0.98</v>
          </cell>
          <cell r="F269">
            <v>1.01</v>
          </cell>
          <cell r="G269">
            <v>1</v>
          </cell>
          <cell r="H269" t="str">
            <v>technical</v>
          </cell>
          <cell r="I269" t="str">
            <v>テクニカルタイプ</v>
          </cell>
          <cell r="J269">
            <v>0.9</v>
          </cell>
          <cell r="K269">
            <v>0.9</v>
          </cell>
          <cell r="L269">
            <v>1</v>
          </cell>
          <cell r="M269" t="str">
            <v>animal</v>
          </cell>
          <cell r="N269" t="str">
            <v>アニマル</v>
          </cell>
          <cell r="O269">
            <v>1</v>
          </cell>
          <cell r="P269">
            <v>1.1000000000000001</v>
          </cell>
          <cell r="Q269">
            <v>1</v>
          </cell>
          <cell r="R269" t="str">
            <v>Boss</v>
          </cell>
          <cell r="S269">
            <v>5</v>
          </cell>
          <cell r="T269">
            <v>1.3</v>
          </cell>
          <cell r="U269">
            <v>0.8</v>
          </cell>
          <cell r="V269">
            <v>4</v>
          </cell>
          <cell r="W269">
            <v>1.2</v>
          </cell>
          <cell r="X269">
            <v>20</v>
          </cell>
          <cell r="Y269">
            <v>1.1000000000000001</v>
          </cell>
          <cell r="Z269">
            <v>1.2</v>
          </cell>
          <cell r="AA269">
            <v>1.2</v>
          </cell>
          <cell r="AB269">
            <v>0</v>
          </cell>
        </row>
        <row r="270">
          <cell r="A270">
            <v>269</v>
          </cell>
          <cell r="B270" t="str">
            <v>合雷獣 鵺</v>
          </cell>
          <cell r="C270">
            <v>4</v>
          </cell>
          <cell r="D270" t="str">
            <v>yellow</v>
          </cell>
          <cell r="E270">
            <v>0.98</v>
          </cell>
          <cell r="F270">
            <v>1.01</v>
          </cell>
          <cell r="G270">
            <v>1</v>
          </cell>
          <cell r="H270" t="str">
            <v>technical</v>
          </cell>
          <cell r="I270" t="str">
            <v>テクニカルタイプ</v>
          </cell>
          <cell r="J270">
            <v>0.9</v>
          </cell>
          <cell r="K270">
            <v>0.9</v>
          </cell>
          <cell r="L270">
            <v>1</v>
          </cell>
          <cell r="M270" t="str">
            <v>animal</v>
          </cell>
          <cell r="N270" t="str">
            <v>アニマル</v>
          </cell>
          <cell r="O270">
            <v>1</v>
          </cell>
          <cell r="P270">
            <v>1.1000000000000001</v>
          </cell>
          <cell r="Q270">
            <v>1</v>
          </cell>
          <cell r="R270" t="str">
            <v>Boss</v>
          </cell>
          <cell r="S270">
            <v>5</v>
          </cell>
          <cell r="T270">
            <v>1.3</v>
          </cell>
          <cell r="U270">
            <v>0.8</v>
          </cell>
          <cell r="V270">
            <v>4</v>
          </cell>
          <cell r="W270">
            <v>1.2</v>
          </cell>
          <cell r="X270">
            <v>30</v>
          </cell>
          <cell r="Y270">
            <v>1.3</v>
          </cell>
          <cell r="Z270">
            <v>1.3</v>
          </cell>
          <cell r="AA270">
            <v>1.1000000000000001</v>
          </cell>
          <cell r="AB270">
            <v>268</v>
          </cell>
        </row>
        <row r="271">
          <cell r="A271">
            <v>270</v>
          </cell>
          <cell r="B271" t="str">
            <v>風爪のミリー</v>
          </cell>
          <cell r="C271">
            <v>4</v>
          </cell>
          <cell r="D271" t="str">
            <v>green</v>
          </cell>
          <cell r="E271">
            <v>1.02</v>
          </cell>
          <cell r="F271">
            <v>0.98</v>
          </cell>
          <cell r="G271">
            <v>1</v>
          </cell>
          <cell r="H271" t="str">
            <v>attack</v>
          </cell>
          <cell r="I271" t="str">
            <v>攻撃タイプ</v>
          </cell>
          <cell r="J271">
            <v>1</v>
          </cell>
          <cell r="K271">
            <v>1.33</v>
          </cell>
          <cell r="L271">
            <v>1</v>
          </cell>
          <cell r="M271" t="str">
            <v>human</v>
          </cell>
          <cell r="N271" t="str">
            <v>ヒューマン</v>
          </cell>
          <cell r="O271">
            <v>0.94</v>
          </cell>
          <cell r="P271">
            <v>0.99</v>
          </cell>
          <cell r="Q271">
            <v>1</v>
          </cell>
          <cell r="R271" t="str">
            <v>Boss</v>
          </cell>
          <cell r="S271">
            <v>5</v>
          </cell>
          <cell r="T271">
            <v>1.3</v>
          </cell>
          <cell r="U271">
            <v>0.8</v>
          </cell>
          <cell r="V271">
            <v>2</v>
          </cell>
          <cell r="W271">
            <v>0.75</v>
          </cell>
          <cell r="X271">
            <v>30</v>
          </cell>
          <cell r="Y271">
            <v>1.3</v>
          </cell>
          <cell r="Z271">
            <v>1.3</v>
          </cell>
          <cell r="AA271">
            <v>1.1000000000000001</v>
          </cell>
          <cell r="AB271">
            <v>270</v>
          </cell>
        </row>
        <row r="272">
          <cell r="A272">
            <v>271</v>
          </cell>
          <cell r="B272" t="str">
            <v>疾風五花 ミリー</v>
          </cell>
          <cell r="C272">
            <v>5</v>
          </cell>
          <cell r="D272" t="str">
            <v>green</v>
          </cell>
          <cell r="E272">
            <v>1.02</v>
          </cell>
          <cell r="F272">
            <v>0.98</v>
          </cell>
          <cell r="G272">
            <v>1</v>
          </cell>
          <cell r="H272" t="str">
            <v>attack</v>
          </cell>
          <cell r="I272" t="str">
            <v>攻撃タイプ</v>
          </cell>
          <cell r="J272">
            <v>1</v>
          </cell>
          <cell r="K272">
            <v>1.33</v>
          </cell>
          <cell r="L272">
            <v>1</v>
          </cell>
          <cell r="M272" t="str">
            <v>human</v>
          </cell>
          <cell r="N272" t="str">
            <v>ヒューマン</v>
          </cell>
          <cell r="O272">
            <v>0.94</v>
          </cell>
          <cell r="P272">
            <v>0.99</v>
          </cell>
          <cell r="Q272">
            <v>1</v>
          </cell>
          <cell r="R272" t="str">
            <v>Boss</v>
          </cell>
          <cell r="S272">
            <v>5</v>
          </cell>
          <cell r="T272">
            <v>1.3</v>
          </cell>
          <cell r="U272">
            <v>0.8</v>
          </cell>
          <cell r="V272">
            <v>2</v>
          </cell>
          <cell r="W272">
            <v>0.75</v>
          </cell>
          <cell r="X272">
            <v>60</v>
          </cell>
          <cell r="Y272">
            <v>1.7</v>
          </cell>
          <cell r="Z272">
            <v>1.4</v>
          </cell>
          <cell r="AA272">
            <v>1</v>
          </cell>
          <cell r="AB272">
            <v>271</v>
          </cell>
        </row>
        <row r="273">
          <cell r="A273">
            <v>272</v>
          </cell>
          <cell r="B273" t="str">
            <v>魔札のシルベール</v>
          </cell>
          <cell r="C273">
            <v>4</v>
          </cell>
          <cell r="D273" t="str">
            <v>blue</v>
          </cell>
          <cell r="E273">
            <v>1</v>
          </cell>
          <cell r="F273">
            <v>0.98</v>
          </cell>
          <cell r="G273">
            <v>1</v>
          </cell>
          <cell r="H273" t="str">
            <v>technical</v>
          </cell>
          <cell r="I273" t="str">
            <v>テクニカルタイプ</v>
          </cell>
          <cell r="J273">
            <v>0.9</v>
          </cell>
          <cell r="K273">
            <v>0.9</v>
          </cell>
          <cell r="L273">
            <v>1</v>
          </cell>
          <cell r="M273" t="str">
            <v>human</v>
          </cell>
          <cell r="N273" t="str">
            <v>ヒューマン</v>
          </cell>
          <cell r="O273">
            <v>0.94</v>
          </cell>
          <cell r="P273">
            <v>0.99</v>
          </cell>
          <cell r="Q273">
            <v>1</v>
          </cell>
          <cell r="R273" t="str">
            <v>Boss</v>
          </cell>
          <cell r="S273">
            <v>5</v>
          </cell>
          <cell r="T273">
            <v>1.3</v>
          </cell>
          <cell r="U273">
            <v>0.8</v>
          </cell>
          <cell r="V273">
            <v>2</v>
          </cell>
          <cell r="W273">
            <v>0.75</v>
          </cell>
          <cell r="X273">
            <v>30</v>
          </cell>
          <cell r="Y273">
            <v>1.3</v>
          </cell>
          <cell r="Z273">
            <v>1.3</v>
          </cell>
          <cell r="AA273">
            <v>1.1000000000000001</v>
          </cell>
          <cell r="AB273">
            <v>272</v>
          </cell>
        </row>
        <row r="274">
          <cell r="A274">
            <v>273</v>
          </cell>
          <cell r="B274" t="str">
            <v>円環魔道 シルベール</v>
          </cell>
          <cell r="C274">
            <v>5</v>
          </cell>
          <cell r="D274" t="str">
            <v>blue</v>
          </cell>
          <cell r="E274">
            <v>1</v>
          </cell>
          <cell r="F274">
            <v>0.98</v>
          </cell>
          <cell r="G274">
            <v>1</v>
          </cell>
          <cell r="H274" t="str">
            <v>technical</v>
          </cell>
          <cell r="I274" t="str">
            <v>テクニカルタイプ</v>
          </cell>
          <cell r="J274">
            <v>0.9</v>
          </cell>
          <cell r="K274">
            <v>0.9</v>
          </cell>
          <cell r="L274">
            <v>1</v>
          </cell>
          <cell r="M274" t="str">
            <v>human</v>
          </cell>
          <cell r="N274" t="str">
            <v>ヒューマン</v>
          </cell>
          <cell r="O274">
            <v>0.94</v>
          </cell>
          <cell r="P274">
            <v>0.99</v>
          </cell>
          <cell r="Q274">
            <v>1</v>
          </cell>
          <cell r="R274" t="str">
            <v>Boss</v>
          </cell>
          <cell r="S274">
            <v>5</v>
          </cell>
          <cell r="T274">
            <v>1.3</v>
          </cell>
          <cell r="U274">
            <v>0.8</v>
          </cell>
          <cell r="V274">
            <v>2</v>
          </cell>
          <cell r="W274">
            <v>0.75</v>
          </cell>
          <cell r="X274">
            <v>60</v>
          </cell>
          <cell r="Y274">
            <v>1.7</v>
          </cell>
          <cell r="Z274">
            <v>1.4</v>
          </cell>
          <cell r="AA274">
            <v>1</v>
          </cell>
          <cell r="AB274">
            <v>272</v>
          </cell>
        </row>
        <row r="275">
          <cell r="A275">
            <v>274</v>
          </cell>
          <cell r="B275" t="str">
            <v>砕棒のガエル</v>
          </cell>
          <cell r="C275">
            <v>4</v>
          </cell>
          <cell r="D275" t="str">
            <v>yellow</v>
          </cell>
          <cell r="E275">
            <v>0.98</v>
          </cell>
          <cell r="F275">
            <v>1.01</v>
          </cell>
          <cell r="G275">
            <v>1</v>
          </cell>
          <cell r="H275" t="str">
            <v>attack</v>
          </cell>
          <cell r="I275" t="str">
            <v>攻撃タイプ</v>
          </cell>
          <cell r="J275">
            <v>1</v>
          </cell>
          <cell r="K275">
            <v>1.33</v>
          </cell>
          <cell r="L275">
            <v>1</v>
          </cell>
          <cell r="M275" t="str">
            <v>human</v>
          </cell>
          <cell r="N275" t="str">
            <v>ヒューマン</v>
          </cell>
          <cell r="O275">
            <v>0.94</v>
          </cell>
          <cell r="P275">
            <v>0.99</v>
          </cell>
          <cell r="Q275">
            <v>1</v>
          </cell>
          <cell r="R275" t="str">
            <v>Boss</v>
          </cell>
          <cell r="S275">
            <v>5</v>
          </cell>
          <cell r="T275">
            <v>1.3</v>
          </cell>
          <cell r="U275">
            <v>0.8</v>
          </cell>
          <cell r="V275">
            <v>2</v>
          </cell>
          <cell r="W275">
            <v>0.75</v>
          </cell>
          <cell r="X275">
            <v>30</v>
          </cell>
          <cell r="Y275">
            <v>1.3</v>
          </cell>
          <cell r="Z275">
            <v>1.3</v>
          </cell>
          <cell r="AA275">
            <v>1.1000000000000001</v>
          </cell>
          <cell r="AB275">
            <v>274</v>
          </cell>
        </row>
        <row r="276">
          <cell r="A276">
            <v>275</v>
          </cell>
          <cell r="B276" t="str">
            <v>轟雷砕棒 ガエル</v>
          </cell>
          <cell r="C276">
            <v>5</v>
          </cell>
          <cell r="D276" t="str">
            <v>yellow</v>
          </cell>
          <cell r="E276">
            <v>0.98</v>
          </cell>
          <cell r="F276">
            <v>1.01</v>
          </cell>
          <cell r="G276">
            <v>1</v>
          </cell>
          <cell r="H276" t="str">
            <v>attack</v>
          </cell>
          <cell r="I276" t="str">
            <v>攻撃タイプ</v>
          </cell>
          <cell r="J276">
            <v>1</v>
          </cell>
          <cell r="K276">
            <v>1.33</v>
          </cell>
          <cell r="L276">
            <v>1</v>
          </cell>
          <cell r="M276" t="str">
            <v>human</v>
          </cell>
          <cell r="N276" t="str">
            <v>ヒューマン</v>
          </cell>
          <cell r="O276">
            <v>0.94</v>
          </cell>
          <cell r="P276">
            <v>0.99</v>
          </cell>
          <cell r="Q276">
            <v>1</v>
          </cell>
          <cell r="R276" t="str">
            <v>Boss</v>
          </cell>
          <cell r="S276">
            <v>5</v>
          </cell>
          <cell r="T276">
            <v>1.3</v>
          </cell>
          <cell r="U276">
            <v>0.8</v>
          </cell>
          <cell r="V276">
            <v>2</v>
          </cell>
          <cell r="W276">
            <v>0.75</v>
          </cell>
          <cell r="X276">
            <v>60</v>
          </cell>
          <cell r="Y276">
            <v>1.7</v>
          </cell>
          <cell r="Z276">
            <v>1.4</v>
          </cell>
          <cell r="AA276">
            <v>1</v>
          </cell>
          <cell r="AB276">
            <v>275</v>
          </cell>
        </row>
        <row r="277">
          <cell r="A277">
            <v>276</v>
          </cell>
          <cell r="B277" t="str">
            <v>機拳のイリア</v>
          </cell>
          <cell r="C277">
            <v>4</v>
          </cell>
          <cell r="D277" t="str">
            <v>red</v>
          </cell>
          <cell r="E277">
            <v>1</v>
          </cell>
          <cell r="F277">
            <v>1.02</v>
          </cell>
          <cell r="G277">
            <v>1</v>
          </cell>
          <cell r="H277" t="str">
            <v>balance</v>
          </cell>
          <cell r="I277" t="str">
            <v>バランスタイプ</v>
          </cell>
          <cell r="J277">
            <v>1</v>
          </cell>
          <cell r="K277">
            <v>1</v>
          </cell>
          <cell r="L277">
            <v>1</v>
          </cell>
          <cell r="M277" t="str">
            <v>human</v>
          </cell>
          <cell r="N277" t="str">
            <v>ヒューマン</v>
          </cell>
          <cell r="O277">
            <v>0.94</v>
          </cell>
          <cell r="P277">
            <v>0.99</v>
          </cell>
          <cell r="Q277">
            <v>1</v>
          </cell>
          <cell r="R277" t="str">
            <v>Boss</v>
          </cell>
          <cell r="S277">
            <v>5</v>
          </cell>
          <cell r="T277">
            <v>1.3</v>
          </cell>
          <cell r="U277">
            <v>0.8</v>
          </cell>
          <cell r="V277">
            <v>2</v>
          </cell>
          <cell r="W277">
            <v>0.75</v>
          </cell>
          <cell r="X277">
            <v>30</v>
          </cell>
          <cell r="Y277">
            <v>1.3</v>
          </cell>
          <cell r="Z277">
            <v>1.3</v>
          </cell>
          <cell r="AA277">
            <v>1.1000000000000001</v>
          </cell>
          <cell r="AB277">
            <v>276</v>
          </cell>
        </row>
        <row r="278">
          <cell r="A278">
            <v>277</v>
          </cell>
          <cell r="B278" t="str">
            <v>機拳恐慌 イリア</v>
          </cell>
          <cell r="C278">
            <v>5</v>
          </cell>
          <cell r="D278" t="str">
            <v>red</v>
          </cell>
          <cell r="E278">
            <v>1</v>
          </cell>
          <cell r="F278">
            <v>1.02</v>
          </cell>
          <cell r="G278">
            <v>1</v>
          </cell>
          <cell r="H278" t="str">
            <v>balance</v>
          </cell>
          <cell r="I278" t="str">
            <v>バランスタイプ</v>
          </cell>
          <cell r="J278">
            <v>1</v>
          </cell>
          <cell r="K278">
            <v>1</v>
          </cell>
          <cell r="L278">
            <v>1</v>
          </cell>
          <cell r="M278" t="str">
            <v>human</v>
          </cell>
          <cell r="N278" t="str">
            <v>ヒューマン</v>
          </cell>
          <cell r="O278">
            <v>0.94</v>
          </cell>
          <cell r="P278">
            <v>0.99</v>
          </cell>
          <cell r="Q278">
            <v>1</v>
          </cell>
          <cell r="R278" t="str">
            <v>Boss</v>
          </cell>
          <cell r="S278">
            <v>5</v>
          </cell>
          <cell r="T278">
            <v>1.3</v>
          </cell>
          <cell r="U278">
            <v>0.8</v>
          </cell>
          <cell r="V278">
            <v>2</v>
          </cell>
          <cell r="W278">
            <v>0.75</v>
          </cell>
          <cell r="X278">
            <v>60</v>
          </cell>
          <cell r="Y278">
            <v>1.7</v>
          </cell>
          <cell r="Z278">
            <v>1.4</v>
          </cell>
          <cell r="AA278">
            <v>1</v>
          </cell>
          <cell r="AB278">
            <v>277</v>
          </cell>
        </row>
        <row r="279">
          <cell r="A279">
            <v>278</v>
          </cell>
          <cell r="B279" t="str">
            <v>アマテラス</v>
          </cell>
          <cell r="C279">
            <v>4</v>
          </cell>
          <cell r="D279" t="str">
            <v>red</v>
          </cell>
          <cell r="E279">
            <v>1</v>
          </cell>
          <cell r="F279">
            <v>1.02</v>
          </cell>
          <cell r="G279">
            <v>1</v>
          </cell>
          <cell r="H279" t="str">
            <v>attack</v>
          </cell>
          <cell r="I279" t="str">
            <v>攻撃タイプ</v>
          </cell>
          <cell r="J279">
            <v>1</v>
          </cell>
          <cell r="K279">
            <v>1.33</v>
          </cell>
          <cell r="L279">
            <v>1</v>
          </cell>
          <cell r="M279" t="str">
            <v>god</v>
          </cell>
          <cell r="N279" t="str">
            <v>ゴッド</v>
          </cell>
          <cell r="O279">
            <v>0.96</v>
          </cell>
          <cell r="P279">
            <v>1.02</v>
          </cell>
          <cell r="Q279">
            <v>1</v>
          </cell>
          <cell r="R279" t="str">
            <v>Boss</v>
          </cell>
          <cell r="S279">
            <v>5</v>
          </cell>
          <cell r="T279">
            <v>1.3</v>
          </cell>
          <cell r="U279">
            <v>0.8</v>
          </cell>
          <cell r="V279">
            <v>2</v>
          </cell>
          <cell r="W279">
            <v>0.75</v>
          </cell>
          <cell r="X279">
            <v>30</v>
          </cell>
          <cell r="Y279">
            <v>1.3</v>
          </cell>
          <cell r="Z279">
            <v>1.3</v>
          </cell>
          <cell r="AA279">
            <v>1.1000000000000001</v>
          </cell>
          <cell r="AB279">
            <v>278</v>
          </cell>
        </row>
        <row r="280">
          <cell r="A280">
            <v>279</v>
          </cell>
          <cell r="B280" t="str">
            <v>統空大神 アマテラス</v>
          </cell>
          <cell r="C280">
            <v>5</v>
          </cell>
          <cell r="D280" t="str">
            <v>red</v>
          </cell>
          <cell r="E280">
            <v>1</v>
          </cell>
          <cell r="F280">
            <v>1.02</v>
          </cell>
          <cell r="G280">
            <v>1</v>
          </cell>
          <cell r="H280" t="str">
            <v>attack</v>
          </cell>
          <cell r="I280" t="str">
            <v>攻撃タイプ</v>
          </cell>
          <cell r="J280">
            <v>1</v>
          </cell>
          <cell r="K280">
            <v>1.33</v>
          </cell>
          <cell r="L280">
            <v>1</v>
          </cell>
          <cell r="M280" t="str">
            <v>god</v>
          </cell>
          <cell r="N280" t="str">
            <v>ゴッド</v>
          </cell>
          <cell r="O280">
            <v>0.96</v>
          </cell>
          <cell r="P280">
            <v>1.02</v>
          </cell>
          <cell r="Q280">
            <v>1</v>
          </cell>
          <cell r="R280" t="str">
            <v>Boss</v>
          </cell>
          <cell r="S280">
            <v>5</v>
          </cell>
          <cell r="T280">
            <v>1.3</v>
          </cell>
          <cell r="U280">
            <v>0.8</v>
          </cell>
          <cell r="V280">
            <v>2</v>
          </cell>
          <cell r="W280">
            <v>0.75</v>
          </cell>
          <cell r="X280">
            <v>60</v>
          </cell>
          <cell r="Y280">
            <v>1.7</v>
          </cell>
          <cell r="Z280">
            <v>1.4</v>
          </cell>
          <cell r="AA280">
            <v>1</v>
          </cell>
          <cell r="AB280">
            <v>278</v>
          </cell>
        </row>
        <row r="281">
          <cell r="A281">
            <v>280</v>
          </cell>
          <cell r="B281" t="str">
            <v>リンドブルム</v>
          </cell>
          <cell r="C281">
            <v>3</v>
          </cell>
          <cell r="D281" t="str">
            <v>green</v>
          </cell>
          <cell r="E281">
            <v>1.02</v>
          </cell>
          <cell r="F281">
            <v>0.98</v>
          </cell>
          <cell r="G281">
            <v>1</v>
          </cell>
          <cell r="H281" t="str">
            <v>attack</v>
          </cell>
          <cell r="I281" t="str">
            <v>攻撃タイプ</v>
          </cell>
          <cell r="J281">
            <v>1</v>
          </cell>
          <cell r="K281">
            <v>1.33</v>
          </cell>
          <cell r="L281">
            <v>1</v>
          </cell>
          <cell r="M281" t="str">
            <v>dragon</v>
          </cell>
          <cell r="N281" t="str">
            <v>ドラゴン</v>
          </cell>
          <cell r="O281">
            <v>1.1499999999999999</v>
          </cell>
          <cell r="P281">
            <v>1.1000000000000001</v>
          </cell>
          <cell r="Q281">
            <v>1</v>
          </cell>
          <cell r="R281" t="str">
            <v>Boss</v>
          </cell>
          <cell r="S281">
            <v>5</v>
          </cell>
          <cell r="T281">
            <v>1.3</v>
          </cell>
          <cell r="U281">
            <v>0.8</v>
          </cell>
          <cell r="V281">
            <v>2</v>
          </cell>
          <cell r="W281">
            <v>0.75</v>
          </cell>
          <cell r="X281">
            <v>20</v>
          </cell>
          <cell r="Y281">
            <v>1.1000000000000001</v>
          </cell>
          <cell r="Z281">
            <v>1.2</v>
          </cell>
          <cell r="AA281">
            <v>1.2</v>
          </cell>
          <cell r="AB281">
            <v>0</v>
          </cell>
        </row>
        <row r="282">
          <cell r="A282">
            <v>281</v>
          </cell>
          <cell r="B282" t="str">
            <v>リンドブルム・コンデンス</v>
          </cell>
          <cell r="C282">
            <v>4</v>
          </cell>
          <cell r="D282" t="str">
            <v>green</v>
          </cell>
          <cell r="E282">
            <v>1.02</v>
          </cell>
          <cell r="F282">
            <v>0.98</v>
          </cell>
          <cell r="G282">
            <v>1</v>
          </cell>
          <cell r="H282" t="str">
            <v>attack</v>
          </cell>
          <cell r="I282" t="str">
            <v>攻撃タイプ</v>
          </cell>
          <cell r="J282">
            <v>1</v>
          </cell>
          <cell r="K282">
            <v>1.33</v>
          </cell>
          <cell r="L282">
            <v>1</v>
          </cell>
          <cell r="M282" t="str">
            <v>dragon</v>
          </cell>
          <cell r="N282" t="str">
            <v>ドラゴン</v>
          </cell>
          <cell r="O282">
            <v>1.1499999999999999</v>
          </cell>
          <cell r="P282">
            <v>1.1000000000000001</v>
          </cell>
          <cell r="Q282">
            <v>1</v>
          </cell>
          <cell r="R282" t="str">
            <v>Boss</v>
          </cell>
          <cell r="S282">
            <v>5</v>
          </cell>
          <cell r="T282">
            <v>1.3</v>
          </cell>
          <cell r="U282">
            <v>0.8</v>
          </cell>
          <cell r="V282">
            <v>2</v>
          </cell>
          <cell r="W282">
            <v>0.75</v>
          </cell>
          <cell r="X282">
            <v>30</v>
          </cell>
          <cell r="Y282">
            <v>1.3</v>
          </cell>
          <cell r="Z282">
            <v>1.3</v>
          </cell>
          <cell r="AA282">
            <v>1.1000000000000001</v>
          </cell>
          <cell r="AB282">
            <v>0</v>
          </cell>
        </row>
        <row r="283">
          <cell r="A283">
            <v>282</v>
          </cell>
          <cell r="B283" t="str">
            <v>ラーフ</v>
          </cell>
          <cell r="C283">
            <v>3</v>
          </cell>
          <cell r="D283" t="str">
            <v>blue</v>
          </cell>
          <cell r="E283">
            <v>1</v>
          </cell>
          <cell r="F283">
            <v>0.98</v>
          </cell>
          <cell r="G283">
            <v>1</v>
          </cell>
          <cell r="H283" t="str">
            <v>balance</v>
          </cell>
          <cell r="I283" t="str">
            <v>バランスタイプ</v>
          </cell>
          <cell r="J283">
            <v>1</v>
          </cell>
          <cell r="K283">
            <v>1</v>
          </cell>
          <cell r="L283">
            <v>1</v>
          </cell>
          <cell r="M283" t="str">
            <v>dragon</v>
          </cell>
          <cell r="N283" t="str">
            <v>ドラゴン</v>
          </cell>
          <cell r="O283">
            <v>1.1499999999999999</v>
          </cell>
          <cell r="P283">
            <v>1.1000000000000001</v>
          </cell>
          <cell r="Q283">
            <v>1</v>
          </cell>
          <cell r="R283" t="str">
            <v>Boss</v>
          </cell>
          <cell r="S283">
            <v>5</v>
          </cell>
          <cell r="T283">
            <v>1.3</v>
          </cell>
          <cell r="U283">
            <v>0.8</v>
          </cell>
          <cell r="V283">
            <v>2</v>
          </cell>
          <cell r="W283">
            <v>0.75</v>
          </cell>
          <cell r="X283">
            <v>20</v>
          </cell>
          <cell r="Y283">
            <v>1.1000000000000001</v>
          </cell>
          <cell r="Z283">
            <v>1.2</v>
          </cell>
          <cell r="AA283">
            <v>1.2</v>
          </cell>
          <cell r="AB283">
            <v>28201</v>
          </cell>
        </row>
        <row r="284">
          <cell r="A284">
            <v>283</v>
          </cell>
          <cell r="B284" t="str">
            <v>ラーフ・メテオ</v>
          </cell>
          <cell r="C284">
            <v>4</v>
          </cell>
          <cell r="D284" t="str">
            <v>blue</v>
          </cell>
          <cell r="E284">
            <v>1</v>
          </cell>
          <cell r="F284">
            <v>0.98</v>
          </cell>
          <cell r="G284">
            <v>1</v>
          </cell>
          <cell r="H284" t="str">
            <v>balance</v>
          </cell>
          <cell r="I284" t="str">
            <v>バランスタイプ</v>
          </cell>
          <cell r="J284">
            <v>1</v>
          </cell>
          <cell r="K284">
            <v>1</v>
          </cell>
          <cell r="L284">
            <v>1</v>
          </cell>
          <cell r="M284" t="str">
            <v>dragon</v>
          </cell>
          <cell r="N284" t="str">
            <v>ドラゴン</v>
          </cell>
          <cell r="O284">
            <v>1.1499999999999999</v>
          </cell>
          <cell r="P284">
            <v>1.1000000000000001</v>
          </cell>
          <cell r="Q284">
            <v>1</v>
          </cell>
          <cell r="R284" t="str">
            <v>Boss</v>
          </cell>
          <cell r="S284">
            <v>5</v>
          </cell>
          <cell r="T284">
            <v>1.3</v>
          </cell>
          <cell r="U284">
            <v>0.8</v>
          </cell>
          <cell r="V284">
            <v>2</v>
          </cell>
          <cell r="W284">
            <v>0.75</v>
          </cell>
          <cell r="X284">
            <v>30</v>
          </cell>
          <cell r="Y284">
            <v>1.3</v>
          </cell>
          <cell r="Z284">
            <v>1.3</v>
          </cell>
          <cell r="AA284">
            <v>1.1000000000000001</v>
          </cell>
          <cell r="AB284">
            <v>28202</v>
          </cell>
        </row>
        <row r="285">
          <cell r="A285">
            <v>284</v>
          </cell>
          <cell r="B285" t="str">
            <v>フェルニゲシュ</v>
          </cell>
          <cell r="C285">
            <v>3</v>
          </cell>
          <cell r="D285" t="str">
            <v>yellow</v>
          </cell>
          <cell r="E285">
            <v>0.98</v>
          </cell>
          <cell r="F285">
            <v>1.01</v>
          </cell>
          <cell r="G285">
            <v>1</v>
          </cell>
          <cell r="H285" t="str">
            <v>technical</v>
          </cell>
          <cell r="I285" t="str">
            <v>テクニカルタイプ</v>
          </cell>
          <cell r="J285">
            <v>0.9</v>
          </cell>
          <cell r="K285">
            <v>0.9</v>
          </cell>
          <cell r="L285">
            <v>1</v>
          </cell>
          <cell r="M285" t="str">
            <v>dragon</v>
          </cell>
          <cell r="N285" t="str">
            <v>ドラゴン</v>
          </cell>
          <cell r="O285">
            <v>1.1499999999999999</v>
          </cell>
          <cell r="P285">
            <v>1.1000000000000001</v>
          </cell>
          <cell r="Q285">
            <v>1</v>
          </cell>
          <cell r="R285" t="str">
            <v>Boss</v>
          </cell>
          <cell r="S285">
            <v>5</v>
          </cell>
          <cell r="T285">
            <v>1.3</v>
          </cell>
          <cell r="U285">
            <v>0.8</v>
          </cell>
          <cell r="V285">
            <v>2</v>
          </cell>
          <cell r="W285">
            <v>0.75</v>
          </cell>
          <cell r="X285">
            <v>20</v>
          </cell>
          <cell r="Y285">
            <v>1.1000000000000001</v>
          </cell>
          <cell r="Z285">
            <v>1.2</v>
          </cell>
          <cell r="AA285">
            <v>1.2</v>
          </cell>
          <cell r="AB285">
            <v>0</v>
          </cell>
        </row>
        <row r="286">
          <cell r="A286">
            <v>285</v>
          </cell>
          <cell r="B286" t="str">
            <v>フェルニゲシュ・オーバードライヴ</v>
          </cell>
          <cell r="C286">
            <v>4</v>
          </cell>
          <cell r="D286" t="str">
            <v>yellow</v>
          </cell>
          <cell r="E286">
            <v>0.98</v>
          </cell>
          <cell r="F286">
            <v>1.01</v>
          </cell>
          <cell r="G286">
            <v>1</v>
          </cell>
          <cell r="H286" t="str">
            <v>technical</v>
          </cell>
          <cell r="I286" t="str">
            <v>テクニカルタイプ</v>
          </cell>
          <cell r="J286">
            <v>0.9</v>
          </cell>
          <cell r="K286">
            <v>0.9</v>
          </cell>
          <cell r="L286">
            <v>1</v>
          </cell>
          <cell r="M286" t="str">
            <v>dragon</v>
          </cell>
          <cell r="N286" t="str">
            <v>ドラゴン</v>
          </cell>
          <cell r="O286">
            <v>1.1499999999999999</v>
          </cell>
          <cell r="P286">
            <v>1.1000000000000001</v>
          </cell>
          <cell r="Q286">
            <v>1</v>
          </cell>
          <cell r="R286" t="str">
            <v>Boss</v>
          </cell>
          <cell r="S286">
            <v>5</v>
          </cell>
          <cell r="T286">
            <v>1.3</v>
          </cell>
          <cell r="U286">
            <v>0.8</v>
          </cell>
          <cell r="V286">
            <v>2</v>
          </cell>
          <cell r="W286">
            <v>0.75</v>
          </cell>
          <cell r="X286">
            <v>30</v>
          </cell>
          <cell r="Y286">
            <v>1.3</v>
          </cell>
          <cell r="Z286">
            <v>1.3</v>
          </cell>
          <cell r="AA286">
            <v>1.1000000000000001</v>
          </cell>
          <cell r="AB286">
            <v>0</v>
          </cell>
        </row>
        <row r="287">
          <cell r="A287">
            <v>286</v>
          </cell>
          <cell r="B287" t="str">
            <v>ヒュドラ</v>
          </cell>
          <cell r="C287">
            <v>3</v>
          </cell>
          <cell r="D287" t="str">
            <v>red</v>
          </cell>
          <cell r="E287">
            <v>1</v>
          </cell>
          <cell r="F287">
            <v>1.02</v>
          </cell>
          <cell r="G287">
            <v>1</v>
          </cell>
          <cell r="H287" t="str">
            <v>attack</v>
          </cell>
          <cell r="I287" t="str">
            <v>攻撃タイプ</v>
          </cell>
          <cell r="J287">
            <v>1</v>
          </cell>
          <cell r="K287">
            <v>1.33</v>
          </cell>
          <cell r="L287">
            <v>1</v>
          </cell>
          <cell r="M287" t="str">
            <v>dragon</v>
          </cell>
          <cell r="N287" t="str">
            <v>ドラゴン</v>
          </cell>
          <cell r="O287">
            <v>1.1499999999999999</v>
          </cell>
          <cell r="P287">
            <v>1.1000000000000001</v>
          </cell>
          <cell r="Q287">
            <v>1</v>
          </cell>
          <cell r="R287" t="str">
            <v>Boss</v>
          </cell>
          <cell r="S287">
            <v>5</v>
          </cell>
          <cell r="T287">
            <v>1.3</v>
          </cell>
          <cell r="U287">
            <v>0.8</v>
          </cell>
          <cell r="V287">
            <v>2</v>
          </cell>
          <cell r="W287">
            <v>0.75</v>
          </cell>
          <cell r="X287">
            <v>20</v>
          </cell>
          <cell r="Y287">
            <v>1.1000000000000001</v>
          </cell>
          <cell r="Z287">
            <v>1.2</v>
          </cell>
          <cell r="AA287">
            <v>1.2</v>
          </cell>
          <cell r="AB287">
            <v>286</v>
          </cell>
        </row>
        <row r="288">
          <cell r="A288">
            <v>287</v>
          </cell>
          <cell r="B288" t="str">
            <v>ヒュドラ・フルオープン</v>
          </cell>
          <cell r="C288">
            <v>4</v>
          </cell>
          <cell r="D288" t="str">
            <v>red</v>
          </cell>
          <cell r="E288">
            <v>1</v>
          </cell>
          <cell r="F288">
            <v>1.02</v>
          </cell>
          <cell r="G288">
            <v>1</v>
          </cell>
          <cell r="H288" t="str">
            <v>attack</v>
          </cell>
          <cell r="I288" t="str">
            <v>攻撃タイプ</v>
          </cell>
          <cell r="J288">
            <v>1</v>
          </cell>
          <cell r="K288">
            <v>1.33</v>
          </cell>
          <cell r="L288">
            <v>1</v>
          </cell>
          <cell r="M288" t="str">
            <v>dragon</v>
          </cell>
          <cell r="N288" t="str">
            <v>ドラゴン</v>
          </cell>
          <cell r="O288">
            <v>1.1499999999999999</v>
          </cell>
          <cell r="P288">
            <v>1.1000000000000001</v>
          </cell>
          <cell r="Q288">
            <v>1</v>
          </cell>
          <cell r="R288" t="str">
            <v>Boss</v>
          </cell>
          <cell r="S288">
            <v>5</v>
          </cell>
          <cell r="T288">
            <v>1.3</v>
          </cell>
          <cell r="U288">
            <v>0.8</v>
          </cell>
          <cell r="V288">
            <v>2</v>
          </cell>
          <cell r="W288">
            <v>0.75</v>
          </cell>
          <cell r="X288">
            <v>30</v>
          </cell>
          <cell r="Y288">
            <v>1.3</v>
          </cell>
          <cell r="Z288">
            <v>1.3</v>
          </cell>
          <cell r="AA288">
            <v>1.1000000000000001</v>
          </cell>
          <cell r="AB288">
            <v>286</v>
          </cell>
        </row>
        <row r="289">
          <cell r="A289">
            <v>288</v>
          </cell>
          <cell r="B289" t="str">
            <v>ミカド</v>
          </cell>
          <cell r="C289">
            <v>4</v>
          </cell>
          <cell r="D289" t="str">
            <v>yellow</v>
          </cell>
          <cell r="E289">
            <v>0.98</v>
          </cell>
          <cell r="F289">
            <v>1.01</v>
          </cell>
          <cell r="G289">
            <v>1</v>
          </cell>
          <cell r="H289" t="str">
            <v>balance</v>
          </cell>
          <cell r="I289" t="str">
            <v>バランスタイプ</v>
          </cell>
          <cell r="J289">
            <v>1</v>
          </cell>
          <cell r="K289">
            <v>1</v>
          </cell>
          <cell r="L289">
            <v>1</v>
          </cell>
          <cell r="M289" t="str">
            <v>human</v>
          </cell>
          <cell r="N289" t="str">
            <v>ヒューマン</v>
          </cell>
          <cell r="O289">
            <v>0.94</v>
          </cell>
          <cell r="P289">
            <v>0.99</v>
          </cell>
          <cell r="Q289">
            <v>1</v>
          </cell>
          <cell r="R289" t="str">
            <v>Boss</v>
          </cell>
          <cell r="S289">
            <v>5</v>
          </cell>
          <cell r="T289">
            <v>1.3</v>
          </cell>
          <cell r="U289">
            <v>0.8</v>
          </cell>
          <cell r="V289">
            <v>2</v>
          </cell>
          <cell r="W289">
            <v>0.75</v>
          </cell>
          <cell r="X289">
            <v>30</v>
          </cell>
          <cell r="Y289">
            <v>1.3</v>
          </cell>
          <cell r="Z289">
            <v>1.3</v>
          </cell>
          <cell r="AA289">
            <v>1.1000000000000001</v>
          </cell>
          <cell r="AB289">
            <v>0</v>
          </cell>
        </row>
        <row r="290">
          <cell r="A290">
            <v>289</v>
          </cell>
          <cell r="B290" t="str">
            <v>高圧なるミカド</v>
          </cell>
          <cell r="C290">
            <v>5</v>
          </cell>
          <cell r="D290" t="str">
            <v>yellow</v>
          </cell>
          <cell r="E290">
            <v>0.98</v>
          </cell>
          <cell r="F290">
            <v>1.01</v>
          </cell>
          <cell r="G290">
            <v>1</v>
          </cell>
          <cell r="H290" t="str">
            <v>balance</v>
          </cell>
          <cell r="I290" t="str">
            <v>バランスタイプ</v>
          </cell>
          <cell r="J290">
            <v>1</v>
          </cell>
          <cell r="K290">
            <v>1</v>
          </cell>
          <cell r="L290">
            <v>1</v>
          </cell>
          <cell r="M290" t="str">
            <v>human</v>
          </cell>
          <cell r="N290" t="str">
            <v>ヒューマン</v>
          </cell>
          <cell r="O290">
            <v>0.94</v>
          </cell>
          <cell r="P290">
            <v>0.99</v>
          </cell>
          <cell r="Q290">
            <v>1</v>
          </cell>
          <cell r="R290" t="str">
            <v>Boss</v>
          </cell>
          <cell r="S290">
            <v>5</v>
          </cell>
          <cell r="T290">
            <v>1.3</v>
          </cell>
          <cell r="U290">
            <v>0.8</v>
          </cell>
          <cell r="V290">
            <v>2</v>
          </cell>
          <cell r="W290">
            <v>0.75</v>
          </cell>
          <cell r="X290">
            <v>60</v>
          </cell>
          <cell r="Y290">
            <v>1.7</v>
          </cell>
          <cell r="Z290">
            <v>1.4</v>
          </cell>
          <cell r="AA290">
            <v>1</v>
          </cell>
          <cell r="AB290">
            <v>0</v>
          </cell>
        </row>
        <row r="291">
          <cell r="A291">
            <v>290</v>
          </cell>
          <cell r="B291" t="str">
            <v>ウィッチ・オクトパス</v>
          </cell>
          <cell r="C291">
            <v>4</v>
          </cell>
          <cell r="D291" t="str">
            <v>red</v>
          </cell>
          <cell r="E291">
            <v>1</v>
          </cell>
          <cell r="F291">
            <v>1.02</v>
          </cell>
          <cell r="G291">
            <v>1</v>
          </cell>
          <cell r="H291" t="str">
            <v>technical</v>
          </cell>
          <cell r="I291" t="str">
            <v>テクニカルタイプ</v>
          </cell>
          <cell r="J291">
            <v>0.9</v>
          </cell>
          <cell r="K291">
            <v>0.9</v>
          </cell>
          <cell r="L291">
            <v>1</v>
          </cell>
          <cell r="M291" t="str">
            <v>human</v>
          </cell>
          <cell r="N291" t="str">
            <v>ヒューマン</v>
          </cell>
          <cell r="O291">
            <v>0.94</v>
          </cell>
          <cell r="P291">
            <v>0.99</v>
          </cell>
          <cell r="Q291">
            <v>1</v>
          </cell>
          <cell r="R291" t="str">
            <v>Boss</v>
          </cell>
          <cell r="S291">
            <v>5</v>
          </cell>
          <cell r="T291">
            <v>1.3</v>
          </cell>
          <cell r="U291">
            <v>0.8</v>
          </cell>
          <cell r="V291">
            <v>2</v>
          </cell>
          <cell r="W291">
            <v>0.75</v>
          </cell>
          <cell r="X291">
            <v>30</v>
          </cell>
          <cell r="Y291">
            <v>1.3</v>
          </cell>
          <cell r="Z291">
            <v>1.3</v>
          </cell>
          <cell r="AA291">
            <v>1.1000000000000001</v>
          </cell>
          <cell r="AB291">
            <v>29001</v>
          </cell>
        </row>
        <row r="292">
          <cell r="A292">
            <v>291</v>
          </cell>
          <cell r="B292" t="str">
            <v>魔改造のウィッチ・オクトパス</v>
          </cell>
          <cell r="C292">
            <v>5</v>
          </cell>
          <cell r="D292" t="str">
            <v>red</v>
          </cell>
          <cell r="E292">
            <v>1</v>
          </cell>
          <cell r="F292">
            <v>1.02</v>
          </cell>
          <cell r="G292">
            <v>1</v>
          </cell>
          <cell r="H292" t="str">
            <v>technical</v>
          </cell>
          <cell r="I292" t="str">
            <v>テクニカルタイプ</v>
          </cell>
          <cell r="J292">
            <v>0.9</v>
          </cell>
          <cell r="K292">
            <v>0.9</v>
          </cell>
          <cell r="L292">
            <v>1</v>
          </cell>
          <cell r="M292" t="str">
            <v>human</v>
          </cell>
          <cell r="N292" t="str">
            <v>ヒューマン</v>
          </cell>
          <cell r="O292">
            <v>0.94</v>
          </cell>
          <cell r="P292">
            <v>0.99</v>
          </cell>
          <cell r="Q292">
            <v>1</v>
          </cell>
          <cell r="R292" t="str">
            <v>Boss</v>
          </cell>
          <cell r="S292">
            <v>5</v>
          </cell>
          <cell r="T292">
            <v>1.3</v>
          </cell>
          <cell r="U292">
            <v>0.8</v>
          </cell>
          <cell r="V292">
            <v>2</v>
          </cell>
          <cell r="W292">
            <v>0.75</v>
          </cell>
          <cell r="X292">
            <v>60</v>
          </cell>
          <cell r="Y292">
            <v>1.7</v>
          </cell>
          <cell r="Z292">
            <v>1.4</v>
          </cell>
          <cell r="AA292">
            <v>1</v>
          </cell>
          <cell r="AB292">
            <v>29002</v>
          </cell>
        </row>
        <row r="293">
          <cell r="A293">
            <v>292</v>
          </cell>
          <cell r="B293" t="str">
            <v>アナスタシア</v>
          </cell>
          <cell r="C293">
            <v>4</v>
          </cell>
          <cell r="D293" t="str">
            <v>blue</v>
          </cell>
          <cell r="E293">
            <v>1</v>
          </cell>
          <cell r="F293">
            <v>0.98</v>
          </cell>
          <cell r="G293">
            <v>1</v>
          </cell>
          <cell r="H293" t="str">
            <v>balance</v>
          </cell>
          <cell r="I293" t="str">
            <v>バランスタイプ</v>
          </cell>
          <cell r="J293">
            <v>1</v>
          </cell>
          <cell r="K293">
            <v>1</v>
          </cell>
          <cell r="L293">
            <v>1</v>
          </cell>
          <cell r="M293" t="str">
            <v>human</v>
          </cell>
          <cell r="N293" t="str">
            <v>ヒューマン</v>
          </cell>
          <cell r="O293">
            <v>0.94</v>
          </cell>
          <cell r="P293">
            <v>0.99</v>
          </cell>
          <cell r="Q293">
            <v>1</v>
          </cell>
          <cell r="R293" t="str">
            <v>Boss</v>
          </cell>
          <cell r="S293">
            <v>5</v>
          </cell>
          <cell r="T293">
            <v>1.3</v>
          </cell>
          <cell r="U293">
            <v>0.8</v>
          </cell>
          <cell r="V293">
            <v>2</v>
          </cell>
          <cell r="W293">
            <v>0.75</v>
          </cell>
          <cell r="X293">
            <v>30</v>
          </cell>
          <cell r="Y293">
            <v>1.3</v>
          </cell>
          <cell r="Z293">
            <v>1.3</v>
          </cell>
          <cell r="AA293">
            <v>1.1000000000000001</v>
          </cell>
          <cell r="AB293">
            <v>292</v>
          </cell>
        </row>
        <row r="294">
          <cell r="A294">
            <v>293</v>
          </cell>
          <cell r="B294" t="str">
            <v>激流拳技を極めし者 アナスタシア</v>
          </cell>
          <cell r="C294">
            <v>5</v>
          </cell>
          <cell r="D294" t="str">
            <v>blue</v>
          </cell>
          <cell r="E294">
            <v>1</v>
          </cell>
          <cell r="F294">
            <v>0.98</v>
          </cell>
          <cell r="G294">
            <v>1</v>
          </cell>
          <cell r="H294" t="str">
            <v>balance</v>
          </cell>
          <cell r="I294" t="str">
            <v>バランスタイプ</v>
          </cell>
          <cell r="J294">
            <v>1</v>
          </cell>
          <cell r="K294">
            <v>1</v>
          </cell>
          <cell r="L294">
            <v>1</v>
          </cell>
          <cell r="M294" t="str">
            <v>human</v>
          </cell>
          <cell r="N294" t="str">
            <v>ヒューマン</v>
          </cell>
          <cell r="O294">
            <v>0.94</v>
          </cell>
          <cell r="P294">
            <v>0.99</v>
          </cell>
          <cell r="Q294">
            <v>1</v>
          </cell>
          <cell r="R294" t="str">
            <v>Boss</v>
          </cell>
          <cell r="S294">
            <v>5</v>
          </cell>
          <cell r="T294">
            <v>1.3</v>
          </cell>
          <cell r="U294">
            <v>0.8</v>
          </cell>
          <cell r="V294">
            <v>2</v>
          </cell>
          <cell r="W294">
            <v>0.75</v>
          </cell>
          <cell r="X294">
            <v>60</v>
          </cell>
          <cell r="Y294">
            <v>1.7</v>
          </cell>
          <cell r="Z294">
            <v>1.4</v>
          </cell>
          <cell r="AA294">
            <v>1</v>
          </cell>
          <cell r="AB294">
            <v>293</v>
          </cell>
        </row>
        <row r="295">
          <cell r="A295">
            <v>294</v>
          </cell>
          <cell r="B295" t="str">
            <v>ウルフ・ザ・レッドイーター</v>
          </cell>
          <cell r="C295">
            <v>4</v>
          </cell>
          <cell r="D295" t="str">
            <v>green</v>
          </cell>
          <cell r="E295">
            <v>1.02</v>
          </cell>
          <cell r="F295">
            <v>0.98</v>
          </cell>
          <cell r="G295">
            <v>1</v>
          </cell>
          <cell r="H295" t="str">
            <v>attack</v>
          </cell>
          <cell r="I295" t="str">
            <v>攻撃タイプ</v>
          </cell>
          <cell r="J295">
            <v>1</v>
          </cell>
          <cell r="K295">
            <v>1.33</v>
          </cell>
          <cell r="L295">
            <v>1</v>
          </cell>
          <cell r="M295" t="str">
            <v>animal</v>
          </cell>
          <cell r="N295" t="str">
            <v>アニマル</v>
          </cell>
          <cell r="O295">
            <v>1</v>
          </cell>
          <cell r="P295">
            <v>1.1000000000000001</v>
          </cell>
          <cell r="Q295">
            <v>1</v>
          </cell>
          <cell r="R295" t="str">
            <v>Boss</v>
          </cell>
          <cell r="S295">
            <v>5</v>
          </cell>
          <cell r="T295">
            <v>1.3</v>
          </cell>
          <cell r="U295">
            <v>0.8</v>
          </cell>
          <cell r="V295">
            <v>2</v>
          </cell>
          <cell r="W295">
            <v>0.75</v>
          </cell>
          <cell r="X295">
            <v>30</v>
          </cell>
          <cell r="Y295">
            <v>1.3</v>
          </cell>
          <cell r="Z295">
            <v>1.3</v>
          </cell>
          <cell r="AA295">
            <v>1.1000000000000001</v>
          </cell>
          <cell r="AB295">
            <v>0</v>
          </cell>
        </row>
        <row r="296">
          <cell r="A296">
            <v>295</v>
          </cell>
          <cell r="B296" t="str">
            <v>ウルフ・ザ・レッドクラッシャー</v>
          </cell>
          <cell r="C296">
            <v>5</v>
          </cell>
          <cell r="D296" t="str">
            <v>green</v>
          </cell>
          <cell r="E296">
            <v>1.02</v>
          </cell>
          <cell r="F296">
            <v>0.98</v>
          </cell>
          <cell r="G296">
            <v>1</v>
          </cell>
          <cell r="H296" t="str">
            <v>attack</v>
          </cell>
          <cell r="I296" t="str">
            <v>攻撃タイプ</v>
          </cell>
          <cell r="J296">
            <v>1</v>
          </cell>
          <cell r="K296">
            <v>1.33</v>
          </cell>
          <cell r="L296">
            <v>1</v>
          </cell>
          <cell r="M296" t="str">
            <v>animal</v>
          </cell>
          <cell r="N296" t="str">
            <v>アニマル</v>
          </cell>
          <cell r="O296">
            <v>1</v>
          </cell>
          <cell r="P296">
            <v>1.1000000000000001</v>
          </cell>
          <cell r="Q296">
            <v>1</v>
          </cell>
          <cell r="R296" t="str">
            <v>Boss</v>
          </cell>
          <cell r="S296">
            <v>5</v>
          </cell>
          <cell r="T296">
            <v>1.3</v>
          </cell>
          <cell r="U296">
            <v>0.8</v>
          </cell>
          <cell r="V296">
            <v>2</v>
          </cell>
          <cell r="W296">
            <v>0.75</v>
          </cell>
          <cell r="X296">
            <v>60</v>
          </cell>
          <cell r="Y296">
            <v>1.7</v>
          </cell>
          <cell r="Z296">
            <v>1.4</v>
          </cell>
          <cell r="AA296">
            <v>1</v>
          </cell>
          <cell r="AB296">
            <v>0</v>
          </cell>
        </row>
        <row r="297">
          <cell r="A297">
            <v>296</v>
          </cell>
          <cell r="B297" t="str">
            <v>アザゼル</v>
          </cell>
          <cell r="C297">
            <v>4</v>
          </cell>
          <cell r="D297" t="str">
            <v>green</v>
          </cell>
          <cell r="E297">
            <v>1.02</v>
          </cell>
          <cell r="F297">
            <v>0.98</v>
          </cell>
          <cell r="G297">
            <v>1</v>
          </cell>
          <cell r="H297" t="str">
            <v>technical</v>
          </cell>
          <cell r="I297" t="str">
            <v>テクニカルタイプ</v>
          </cell>
          <cell r="J297">
            <v>0.9</v>
          </cell>
          <cell r="K297">
            <v>0.9</v>
          </cell>
          <cell r="L297">
            <v>1</v>
          </cell>
          <cell r="M297" t="str">
            <v>god</v>
          </cell>
          <cell r="N297" t="str">
            <v>ゴッド</v>
          </cell>
          <cell r="O297">
            <v>0.96</v>
          </cell>
          <cell r="P297">
            <v>1.02</v>
          </cell>
          <cell r="Q297">
            <v>1</v>
          </cell>
          <cell r="R297" t="str">
            <v>Boss</v>
          </cell>
          <cell r="S297">
            <v>5</v>
          </cell>
          <cell r="T297">
            <v>1.3</v>
          </cell>
          <cell r="U297">
            <v>0.8</v>
          </cell>
          <cell r="V297">
            <v>2</v>
          </cell>
          <cell r="W297">
            <v>0.75</v>
          </cell>
          <cell r="X297">
            <v>30</v>
          </cell>
          <cell r="Y297">
            <v>1.3</v>
          </cell>
          <cell r="Z297">
            <v>1.3</v>
          </cell>
          <cell r="AA297">
            <v>1.1000000000000001</v>
          </cell>
          <cell r="AB297">
            <v>0</v>
          </cell>
        </row>
        <row r="298">
          <cell r="A298">
            <v>297</v>
          </cell>
          <cell r="B298" t="str">
            <v>狂靭なる双撃 アザゼル</v>
          </cell>
          <cell r="C298">
            <v>5</v>
          </cell>
          <cell r="D298" t="str">
            <v>green</v>
          </cell>
          <cell r="E298">
            <v>1.02</v>
          </cell>
          <cell r="F298">
            <v>0.98</v>
          </cell>
          <cell r="G298">
            <v>1</v>
          </cell>
          <cell r="H298" t="str">
            <v>technical</v>
          </cell>
          <cell r="I298" t="str">
            <v>テクニカルタイプ</v>
          </cell>
          <cell r="J298">
            <v>0.9</v>
          </cell>
          <cell r="K298">
            <v>0.9</v>
          </cell>
          <cell r="L298">
            <v>1</v>
          </cell>
          <cell r="M298" t="str">
            <v>god</v>
          </cell>
          <cell r="N298" t="str">
            <v>ゴッド</v>
          </cell>
          <cell r="O298">
            <v>0.96</v>
          </cell>
          <cell r="P298">
            <v>1.02</v>
          </cell>
          <cell r="Q298">
            <v>1</v>
          </cell>
          <cell r="R298" t="str">
            <v>Boss</v>
          </cell>
          <cell r="S298">
            <v>5</v>
          </cell>
          <cell r="T298">
            <v>1.3</v>
          </cell>
          <cell r="U298">
            <v>0.8</v>
          </cell>
          <cell r="V298">
            <v>2</v>
          </cell>
          <cell r="W298">
            <v>0.75</v>
          </cell>
          <cell r="X298">
            <v>60</v>
          </cell>
          <cell r="Y298">
            <v>1.7</v>
          </cell>
          <cell r="Z298">
            <v>1.4</v>
          </cell>
          <cell r="AA298">
            <v>1</v>
          </cell>
          <cell r="AB298">
            <v>0</v>
          </cell>
        </row>
        <row r="299">
          <cell r="A299">
            <v>298</v>
          </cell>
          <cell r="B299" t="str">
            <v>炎殺のミサコ</v>
          </cell>
          <cell r="C299">
            <v>3</v>
          </cell>
          <cell r="D299" t="str">
            <v>red</v>
          </cell>
          <cell r="E299">
            <v>1</v>
          </cell>
          <cell r="F299">
            <v>1.02</v>
          </cell>
          <cell r="G299">
            <v>1</v>
          </cell>
          <cell r="H299" t="str">
            <v>hp</v>
          </cell>
          <cell r="I299" t="str">
            <v>体力タイプ</v>
          </cell>
          <cell r="J299">
            <v>1.45</v>
          </cell>
          <cell r="K299">
            <v>0.85</v>
          </cell>
          <cell r="L299">
            <v>1</v>
          </cell>
          <cell r="M299" t="str">
            <v>human</v>
          </cell>
          <cell r="N299" t="str">
            <v>ヒューマン</v>
          </cell>
          <cell r="O299">
            <v>0.94</v>
          </cell>
          <cell r="P299">
            <v>0.99</v>
          </cell>
          <cell r="Q299">
            <v>1</v>
          </cell>
          <cell r="R299" t="str">
            <v>Boss</v>
          </cell>
          <cell r="S299">
            <v>5</v>
          </cell>
          <cell r="T299">
            <v>1.3</v>
          </cell>
          <cell r="U299">
            <v>0.8</v>
          </cell>
          <cell r="V299">
            <v>2</v>
          </cell>
          <cell r="W299">
            <v>0.75</v>
          </cell>
          <cell r="X299">
            <v>20</v>
          </cell>
          <cell r="Y299">
            <v>1.1000000000000001</v>
          </cell>
          <cell r="Z299">
            <v>1.2</v>
          </cell>
          <cell r="AA299">
            <v>1.2</v>
          </cell>
          <cell r="AB299">
            <v>0</v>
          </cell>
        </row>
        <row r="300">
          <cell r="A300">
            <v>299</v>
          </cell>
          <cell r="B300" t="str">
            <v>狂気の炎風 ミサコ</v>
          </cell>
          <cell r="C300">
            <v>4</v>
          </cell>
          <cell r="D300" t="str">
            <v>red</v>
          </cell>
          <cell r="E300">
            <v>1</v>
          </cell>
          <cell r="F300">
            <v>1.02</v>
          </cell>
          <cell r="G300">
            <v>1</v>
          </cell>
          <cell r="H300" t="str">
            <v>hp</v>
          </cell>
          <cell r="I300" t="str">
            <v>体力タイプ</v>
          </cell>
          <cell r="J300">
            <v>1.45</v>
          </cell>
          <cell r="K300">
            <v>0.85</v>
          </cell>
          <cell r="L300">
            <v>1</v>
          </cell>
          <cell r="M300" t="str">
            <v>human</v>
          </cell>
          <cell r="N300" t="str">
            <v>ヒューマン</v>
          </cell>
          <cell r="O300">
            <v>0.94</v>
          </cell>
          <cell r="P300">
            <v>0.99</v>
          </cell>
          <cell r="Q300">
            <v>1</v>
          </cell>
          <cell r="R300" t="str">
            <v>Boss</v>
          </cell>
          <cell r="S300">
            <v>5</v>
          </cell>
          <cell r="T300">
            <v>1.3</v>
          </cell>
          <cell r="U300">
            <v>0.8</v>
          </cell>
          <cell r="V300">
            <v>2</v>
          </cell>
          <cell r="W300">
            <v>0.75</v>
          </cell>
          <cell r="X300">
            <v>30</v>
          </cell>
          <cell r="Y300">
            <v>1.3</v>
          </cell>
          <cell r="Z300">
            <v>1.3</v>
          </cell>
          <cell r="AA300">
            <v>1.1000000000000001</v>
          </cell>
          <cell r="AB300">
            <v>0</v>
          </cell>
        </row>
        <row r="301">
          <cell r="A301">
            <v>300</v>
          </cell>
          <cell r="B301" t="str">
            <v>毒殺のチカ</v>
          </cell>
          <cell r="C301">
            <v>3</v>
          </cell>
          <cell r="D301" t="str">
            <v>green</v>
          </cell>
          <cell r="E301">
            <v>1.02</v>
          </cell>
          <cell r="F301">
            <v>0.98</v>
          </cell>
          <cell r="G301">
            <v>1</v>
          </cell>
          <cell r="H301" t="str">
            <v>balance</v>
          </cell>
          <cell r="I301" t="str">
            <v>バランスタイプ</v>
          </cell>
          <cell r="J301">
            <v>1</v>
          </cell>
          <cell r="K301">
            <v>1</v>
          </cell>
          <cell r="L301">
            <v>1</v>
          </cell>
          <cell r="M301" t="str">
            <v>human</v>
          </cell>
          <cell r="N301" t="str">
            <v>ヒューマン</v>
          </cell>
          <cell r="O301">
            <v>0.94</v>
          </cell>
          <cell r="P301">
            <v>0.99</v>
          </cell>
          <cell r="Q301">
            <v>1</v>
          </cell>
          <cell r="R301" t="str">
            <v>Boss</v>
          </cell>
          <cell r="S301">
            <v>5</v>
          </cell>
          <cell r="T301">
            <v>1.3</v>
          </cell>
          <cell r="U301">
            <v>0.8</v>
          </cell>
          <cell r="V301">
            <v>2</v>
          </cell>
          <cell r="W301">
            <v>0.75</v>
          </cell>
          <cell r="X301">
            <v>20</v>
          </cell>
          <cell r="Y301">
            <v>1.1000000000000001</v>
          </cell>
          <cell r="Z301">
            <v>1.2</v>
          </cell>
          <cell r="AA301">
            <v>1.2</v>
          </cell>
          <cell r="AB301">
            <v>0</v>
          </cell>
        </row>
        <row r="302">
          <cell r="A302">
            <v>301</v>
          </cell>
          <cell r="B302" t="str">
            <v>宿痾の葬送 チカ</v>
          </cell>
          <cell r="C302">
            <v>4</v>
          </cell>
          <cell r="D302" t="str">
            <v>green</v>
          </cell>
          <cell r="E302">
            <v>1.02</v>
          </cell>
          <cell r="F302">
            <v>0.98</v>
          </cell>
          <cell r="G302">
            <v>1</v>
          </cell>
          <cell r="H302" t="str">
            <v>balance</v>
          </cell>
          <cell r="I302" t="str">
            <v>バランスタイプ</v>
          </cell>
          <cell r="J302">
            <v>1</v>
          </cell>
          <cell r="K302">
            <v>1</v>
          </cell>
          <cell r="L302">
            <v>1</v>
          </cell>
          <cell r="M302" t="str">
            <v>human</v>
          </cell>
          <cell r="N302" t="str">
            <v>ヒューマン</v>
          </cell>
          <cell r="O302">
            <v>0.94</v>
          </cell>
          <cell r="P302">
            <v>0.99</v>
          </cell>
          <cell r="Q302">
            <v>1</v>
          </cell>
          <cell r="R302" t="str">
            <v>Boss</v>
          </cell>
          <cell r="S302">
            <v>5</v>
          </cell>
          <cell r="T302">
            <v>1.3</v>
          </cell>
          <cell r="U302">
            <v>0.8</v>
          </cell>
          <cell r="V302">
            <v>2</v>
          </cell>
          <cell r="W302">
            <v>0.75</v>
          </cell>
          <cell r="X302">
            <v>30</v>
          </cell>
          <cell r="Y302">
            <v>1.3</v>
          </cell>
          <cell r="Z302">
            <v>1.3</v>
          </cell>
          <cell r="AA302">
            <v>1.1000000000000001</v>
          </cell>
          <cell r="AB302">
            <v>0</v>
          </cell>
        </row>
        <row r="303">
          <cell r="A303">
            <v>302</v>
          </cell>
          <cell r="B303" t="str">
            <v>絞殺のリサ</v>
          </cell>
          <cell r="C303">
            <v>3</v>
          </cell>
          <cell r="D303" t="str">
            <v>blue</v>
          </cell>
          <cell r="E303">
            <v>1</v>
          </cell>
          <cell r="F303">
            <v>0.98</v>
          </cell>
          <cell r="G303">
            <v>1</v>
          </cell>
          <cell r="H303" t="str">
            <v>heal</v>
          </cell>
          <cell r="I303" t="str">
            <v>回復タイプ</v>
          </cell>
          <cell r="J303">
            <v>0.8</v>
          </cell>
          <cell r="K303">
            <v>0.78</v>
          </cell>
          <cell r="L303">
            <v>1</v>
          </cell>
          <cell r="M303" t="str">
            <v>human</v>
          </cell>
          <cell r="N303" t="str">
            <v>ヒューマン</v>
          </cell>
          <cell r="O303">
            <v>0.94</v>
          </cell>
          <cell r="P303">
            <v>0.99</v>
          </cell>
          <cell r="Q303">
            <v>1</v>
          </cell>
          <cell r="R303" t="str">
            <v>Boss</v>
          </cell>
          <cell r="S303">
            <v>5</v>
          </cell>
          <cell r="T303">
            <v>1.3</v>
          </cell>
          <cell r="U303">
            <v>0.8</v>
          </cell>
          <cell r="V303">
            <v>2</v>
          </cell>
          <cell r="W303">
            <v>0.75</v>
          </cell>
          <cell r="X303">
            <v>20</v>
          </cell>
          <cell r="Y303">
            <v>1.1000000000000001</v>
          </cell>
          <cell r="Z303">
            <v>1.2</v>
          </cell>
          <cell r="AA303">
            <v>1.2</v>
          </cell>
          <cell r="AB303">
            <v>0</v>
          </cell>
        </row>
        <row r="304">
          <cell r="A304">
            <v>303</v>
          </cell>
          <cell r="B304" t="str">
            <v>哄笑の禁縛 リサ</v>
          </cell>
          <cell r="C304">
            <v>4</v>
          </cell>
          <cell r="D304" t="str">
            <v>blue</v>
          </cell>
          <cell r="E304">
            <v>1</v>
          </cell>
          <cell r="F304">
            <v>0.98</v>
          </cell>
          <cell r="G304">
            <v>1</v>
          </cell>
          <cell r="H304" t="str">
            <v>heal</v>
          </cell>
          <cell r="I304" t="str">
            <v>回復タイプ</v>
          </cell>
          <cell r="J304">
            <v>0.8</v>
          </cell>
          <cell r="K304">
            <v>0.78</v>
          </cell>
          <cell r="L304">
            <v>1</v>
          </cell>
          <cell r="M304" t="str">
            <v>human</v>
          </cell>
          <cell r="N304" t="str">
            <v>ヒューマン</v>
          </cell>
          <cell r="O304">
            <v>0.94</v>
          </cell>
          <cell r="P304">
            <v>0.99</v>
          </cell>
          <cell r="Q304">
            <v>1</v>
          </cell>
          <cell r="R304" t="str">
            <v>Boss</v>
          </cell>
          <cell r="S304">
            <v>5</v>
          </cell>
          <cell r="T304">
            <v>1.3</v>
          </cell>
          <cell r="U304">
            <v>0.8</v>
          </cell>
          <cell r="V304">
            <v>2</v>
          </cell>
          <cell r="W304">
            <v>0.75</v>
          </cell>
          <cell r="X304">
            <v>30</v>
          </cell>
          <cell r="Y304">
            <v>1.3</v>
          </cell>
          <cell r="Z304">
            <v>1.3</v>
          </cell>
          <cell r="AA304">
            <v>1.1000000000000001</v>
          </cell>
          <cell r="AB304">
            <v>0</v>
          </cell>
        </row>
        <row r="305">
          <cell r="A305">
            <v>304</v>
          </cell>
          <cell r="B305" t="str">
            <v>電殺のチエミ</v>
          </cell>
          <cell r="C305">
            <v>3</v>
          </cell>
          <cell r="D305" t="str">
            <v>yellow</v>
          </cell>
          <cell r="E305">
            <v>0.98</v>
          </cell>
          <cell r="F305">
            <v>1.01</v>
          </cell>
          <cell r="G305">
            <v>1</v>
          </cell>
          <cell r="H305" t="str">
            <v>attack</v>
          </cell>
          <cell r="I305" t="str">
            <v>攻撃タイプ</v>
          </cell>
          <cell r="J305">
            <v>1</v>
          </cell>
          <cell r="K305">
            <v>1.33</v>
          </cell>
          <cell r="L305">
            <v>1</v>
          </cell>
          <cell r="M305" t="str">
            <v>human</v>
          </cell>
          <cell r="N305" t="str">
            <v>ヒューマン</v>
          </cell>
          <cell r="O305">
            <v>0.94</v>
          </cell>
          <cell r="P305">
            <v>0.99</v>
          </cell>
          <cell r="Q305">
            <v>1</v>
          </cell>
          <cell r="R305" t="str">
            <v>Boss</v>
          </cell>
          <cell r="S305">
            <v>5</v>
          </cell>
          <cell r="T305">
            <v>1.3</v>
          </cell>
          <cell r="U305">
            <v>0.8</v>
          </cell>
          <cell r="V305">
            <v>2</v>
          </cell>
          <cell r="W305">
            <v>0.75</v>
          </cell>
          <cell r="X305">
            <v>20</v>
          </cell>
          <cell r="Y305">
            <v>1.1000000000000001</v>
          </cell>
          <cell r="Z305">
            <v>1.2</v>
          </cell>
          <cell r="AA305">
            <v>1.2</v>
          </cell>
          <cell r="AB305">
            <v>0</v>
          </cell>
        </row>
        <row r="306">
          <cell r="A306">
            <v>305</v>
          </cell>
          <cell r="B306" t="str">
            <v>螺旋の雷電 チエミ</v>
          </cell>
          <cell r="C306">
            <v>4</v>
          </cell>
          <cell r="D306" t="str">
            <v>yellow</v>
          </cell>
          <cell r="E306">
            <v>0.98</v>
          </cell>
          <cell r="F306">
            <v>1.01</v>
          </cell>
          <cell r="G306">
            <v>1</v>
          </cell>
          <cell r="H306" t="str">
            <v>attack</v>
          </cell>
          <cell r="I306" t="str">
            <v>攻撃タイプ</v>
          </cell>
          <cell r="J306">
            <v>1</v>
          </cell>
          <cell r="K306">
            <v>1.33</v>
          </cell>
          <cell r="L306">
            <v>1</v>
          </cell>
          <cell r="M306" t="str">
            <v>human</v>
          </cell>
          <cell r="N306" t="str">
            <v>ヒューマン</v>
          </cell>
          <cell r="O306">
            <v>0.94</v>
          </cell>
          <cell r="P306">
            <v>0.99</v>
          </cell>
          <cell r="Q306">
            <v>1</v>
          </cell>
          <cell r="R306" t="str">
            <v>Boss</v>
          </cell>
          <cell r="S306">
            <v>5</v>
          </cell>
          <cell r="T306">
            <v>1.3</v>
          </cell>
          <cell r="U306">
            <v>0.8</v>
          </cell>
          <cell r="V306">
            <v>2</v>
          </cell>
          <cell r="W306">
            <v>0.75</v>
          </cell>
          <cell r="X306">
            <v>30</v>
          </cell>
          <cell r="Y306">
            <v>1.3</v>
          </cell>
          <cell r="Z306">
            <v>1.3</v>
          </cell>
          <cell r="AA306">
            <v>1.1000000000000001</v>
          </cell>
          <cell r="AB306">
            <v>0</v>
          </cell>
        </row>
        <row r="307">
          <cell r="A307">
            <v>306</v>
          </cell>
          <cell r="B307" t="str">
            <v>メガロドン</v>
          </cell>
          <cell r="C307">
            <v>4</v>
          </cell>
          <cell r="D307" t="str">
            <v>red</v>
          </cell>
          <cell r="E307">
            <v>1</v>
          </cell>
          <cell r="F307">
            <v>1.02</v>
          </cell>
          <cell r="G307">
            <v>1</v>
          </cell>
          <cell r="H307" t="str">
            <v>attack</v>
          </cell>
          <cell r="I307" t="str">
            <v>攻撃タイプ</v>
          </cell>
          <cell r="J307">
            <v>1</v>
          </cell>
          <cell r="K307">
            <v>1.33</v>
          </cell>
          <cell r="L307">
            <v>1</v>
          </cell>
          <cell r="M307" t="str">
            <v>animal</v>
          </cell>
          <cell r="N307" t="str">
            <v>アニマル</v>
          </cell>
          <cell r="O307">
            <v>1</v>
          </cell>
          <cell r="P307">
            <v>1.1000000000000001</v>
          </cell>
          <cell r="Q307">
            <v>1</v>
          </cell>
          <cell r="R307" t="str">
            <v>Boss</v>
          </cell>
          <cell r="S307">
            <v>5</v>
          </cell>
          <cell r="T307">
            <v>1.3</v>
          </cell>
          <cell r="U307">
            <v>0.8</v>
          </cell>
          <cell r="V307">
            <v>2</v>
          </cell>
          <cell r="W307">
            <v>0.75</v>
          </cell>
          <cell r="X307">
            <v>30</v>
          </cell>
          <cell r="Y307">
            <v>1.3</v>
          </cell>
          <cell r="Z307">
            <v>1.3</v>
          </cell>
          <cell r="AA307">
            <v>1.1000000000000001</v>
          </cell>
          <cell r="AB307">
            <v>0</v>
          </cell>
        </row>
        <row r="308">
          <cell r="A308">
            <v>307</v>
          </cell>
          <cell r="B308" t="str">
            <v>古の鋼拳 メガロドン</v>
          </cell>
          <cell r="C308">
            <v>5</v>
          </cell>
          <cell r="D308" t="str">
            <v>red</v>
          </cell>
          <cell r="E308">
            <v>1</v>
          </cell>
          <cell r="F308">
            <v>1.02</v>
          </cell>
          <cell r="G308">
            <v>1</v>
          </cell>
          <cell r="H308" t="str">
            <v>attack</v>
          </cell>
          <cell r="I308" t="str">
            <v>攻撃タイプ</v>
          </cell>
          <cell r="J308">
            <v>1</v>
          </cell>
          <cell r="K308">
            <v>1.33</v>
          </cell>
          <cell r="L308">
            <v>1</v>
          </cell>
          <cell r="M308" t="str">
            <v>animal</v>
          </cell>
          <cell r="N308" t="str">
            <v>アニマル</v>
          </cell>
          <cell r="O308">
            <v>1</v>
          </cell>
          <cell r="P308">
            <v>1.1000000000000001</v>
          </cell>
          <cell r="Q308">
            <v>1</v>
          </cell>
          <cell r="R308" t="str">
            <v>Boss</v>
          </cell>
          <cell r="S308">
            <v>5</v>
          </cell>
          <cell r="T308">
            <v>1.3</v>
          </cell>
          <cell r="U308">
            <v>0.8</v>
          </cell>
          <cell r="V308">
            <v>2</v>
          </cell>
          <cell r="W308">
            <v>0.75</v>
          </cell>
          <cell r="X308">
            <v>60</v>
          </cell>
          <cell r="Y308">
            <v>1.7</v>
          </cell>
          <cell r="Z308">
            <v>1.4</v>
          </cell>
          <cell r="AA308">
            <v>1</v>
          </cell>
          <cell r="AB308">
            <v>0</v>
          </cell>
        </row>
        <row r="309">
          <cell r="A309">
            <v>308</v>
          </cell>
          <cell r="B309" t="str">
            <v>アーケロン</v>
          </cell>
          <cell r="C309">
            <v>4</v>
          </cell>
          <cell r="D309" t="str">
            <v>green</v>
          </cell>
          <cell r="E309">
            <v>1.02</v>
          </cell>
          <cell r="F309">
            <v>0.98</v>
          </cell>
          <cell r="G309">
            <v>1</v>
          </cell>
          <cell r="H309" t="str">
            <v>hp</v>
          </cell>
          <cell r="I309" t="str">
            <v>体力タイプ</v>
          </cell>
          <cell r="J309">
            <v>1.45</v>
          </cell>
          <cell r="K309">
            <v>0.85</v>
          </cell>
          <cell r="L309">
            <v>1</v>
          </cell>
          <cell r="M309" t="str">
            <v>animal</v>
          </cell>
          <cell r="N309" t="str">
            <v>アニマル</v>
          </cell>
          <cell r="O309">
            <v>1</v>
          </cell>
          <cell r="P309">
            <v>1.1000000000000001</v>
          </cell>
          <cell r="Q309">
            <v>1</v>
          </cell>
          <cell r="R309" t="str">
            <v>Boss</v>
          </cell>
          <cell r="S309">
            <v>5</v>
          </cell>
          <cell r="T309">
            <v>1.3</v>
          </cell>
          <cell r="U309">
            <v>0.8</v>
          </cell>
          <cell r="V309">
            <v>2</v>
          </cell>
          <cell r="W309">
            <v>0.75</v>
          </cell>
          <cell r="X309">
            <v>30</v>
          </cell>
          <cell r="Y309">
            <v>1.3</v>
          </cell>
          <cell r="Z309">
            <v>1.3</v>
          </cell>
          <cell r="AA309">
            <v>1.1000000000000001</v>
          </cell>
          <cell r="AB309">
            <v>0</v>
          </cell>
        </row>
        <row r="310">
          <cell r="A310">
            <v>309</v>
          </cell>
          <cell r="B310" t="str">
            <v>古の博学 アーケロン</v>
          </cell>
          <cell r="C310">
            <v>5</v>
          </cell>
          <cell r="D310" t="str">
            <v>green</v>
          </cell>
          <cell r="E310">
            <v>1.02</v>
          </cell>
          <cell r="F310">
            <v>0.98</v>
          </cell>
          <cell r="G310">
            <v>1</v>
          </cell>
          <cell r="H310" t="str">
            <v>hp</v>
          </cell>
          <cell r="I310" t="str">
            <v>体力タイプ</v>
          </cell>
          <cell r="J310">
            <v>1.45</v>
          </cell>
          <cell r="K310">
            <v>0.85</v>
          </cell>
          <cell r="L310">
            <v>1</v>
          </cell>
          <cell r="M310" t="str">
            <v>animal</v>
          </cell>
          <cell r="N310" t="str">
            <v>アニマル</v>
          </cell>
          <cell r="O310">
            <v>1</v>
          </cell>
          <cell r="P310">
            <v>1.1000000000000001</v>
          </cell>
          <cell r="Q310">
            <v>1</v>
          </cell>
          <cell r="R310" t="str">
            <v>Boss</v>
          </cell>
          <cell r="S310">
            <v>5</v>
          </cell>
          <cell r="T310">
            <v>1.3</v>
          </cell>
          <cell r="U310">
            <v>0.8</v>
          </cell>
          <cell r="V310">
            <v>2</v>
          </cell>
          <cell r="W310">
            <v>0.75</v>
          </cell>
          <cell r="X310">
            <v>60</v>
          </cell>
          <cell r="Y310">
            <v>1.7</v>
          </cell>
          <cell r="Z310">
            <v>1.4</v>
          </cell>
          <cell r="AA310">
            <v>1</v>
          </cell>
          <cell r="AB310">
            <v>0</v>
          </cell>
        </row>
        <row r="311">
          <cell r="A311">
            <v>310</v>
          </cell>
          <cell r="B311" t="str">
            <v>リードシクティス</v>
          </cell>
          <cell r="C311">
            <v>4</v>
          </cell>
          <cell r="D311" t="str">
            <v>blue</v>
          </cell>
          <cell r="E311">
            <v>1</v>
          </cell>
          <cell r="F311">
            <v>0.98</v>
          </cell>
          <cell r="G311">
            <v>1</v>
          </cell>
          <cell r="H311" t="str">
            <v>heal</v>
          </cell>
          <cell r="I311" t="str">
            <v>回復タイプ</v>
          </cell>
          <cell r="J311">
            <v>0.8</v>
          </cell>
          <cell r="K311">
            <v>0.78</v>
          </cell>
          <cell r="L311">
            <v>1</v>
          </cell>
          <cell r="M311" t="str">
            <v>animal</v>
          </cell>
          <cell r="N311" t="str">
            <v>アニマル</v>
          </cell>
          <cell r="O311">
            <v>1</v>
          </cell>
          <cell r="P311">
            <v>1.1000000000000001</v>
          </cell>
          <cell r="Q311">
            <v>1</v>
          </cell>
          <cell r="R311" t="str">
            <v>Boss</v>
          </cell>
          <cell r="S311">
            <v>5</v>
          </cell>
          <cell r="T311">
            <v>1.3</v>
          </cell>
          <cell r="U311">
            <v>0.8</v>
          </cell>
          <cell r="V311">
            <v>2</v>
          </cell>
          <cell r="W311">
            <v>0.75</v>
          </cell>
          <cell r="X311">
            <v>30</v>
          </cell>
          <cell r="Y311">
            <v>1.3</v>
          </cell>
          <cell r="Z311">
            <v>1.3</v>
          </cell>
          <cell r="AA311">
            <v>1.1000000000000001</v>
          </cell>
          <cell r="AB311">
            <v>0</v>
          </cell>
        </row>
        <row r="312">
          <cell r="A312">
            <v>311</v>
          </cell>
          <cell r="B312" t="str">
            <v>古の暴食 リードシクティス</v>
          </cell>
          <cell r="C312">
            <v>5</v>
          </cell>
          <cell r="D312" t="str">
            <v>blue</v>
          </cell>
          <cell r="E312">
            <v>1</v>
          </cell>
          <cell r="F312">
            <v>0.98</v>
          </cell>
          <cell r="G312">
            <v>1</v>
          </cell>
          <cell r="H312" t="str">
            <v>heal</v>
          </cell>
          <cell r="I312" t="str">
            <v>回復タイプ</v>
          </cell>
          <cell r="J312">
            <v>0.8</v>
          </cell>
          <cell r="K312">
            <v>0.78</v>
          </cell>
          <cell r="L312">
            <v>1</v>
          </cell>
          <cell r="M312" t="str">
            <v>animal</v>
          </cell>
          <cell r="N312" t="str">
            <v>アニマル</v>
          </cell>
          <cell r="O312">
            <v>1</v>
          </cell>
          <cell r="P312">
            <v>1.1000000000000001</v>
          </cell>
          <cell r="Q312">
            <v>1</v>
          </cell>
          <cell r="R312" t="str">
            <v>Boss</v>
          </cell>
          <cell r="S312">
            <v>5</v>
          </cell>
          <cell r="T312">
            <v>1.3</v>
          </cell>
          <cell r="U312">
            <v>0.8</v>
          </cell>
          <cell r="V312">
            <v>2</v>
          </cell>
          <cell r="W312">
            <v>0.75</v>
          </cell>
          <cell r="X312">
            <v>60</v>
          </cell>
          <cell r="Y312">
            <v>1.7</v>
          </cell>
          <cell r="Z312">
            <v>1.4</v>
          </cell>
          <cell r="AA312">
            <v>1</v>
          </cell>
          <cell r="AB312">
            <v>0</v>
          </cell>
        </row>
        <row r="313">
          <cell r="A313">
            <v>312</v>
          </cell>
          <cell r="B313" t="str">
            <v>アノマロカリス</v>
          </cell>
          <cell r="C313">
            <v>4</v>
          </cell>
          <cell r="D313" t="str">
            <v>yellow</v>
          </cell>
          <cell r="E313">
            <v>0.98</v>
          </cell>
          <cell r="F313">
            <v>1.01</v>
          </cell>
          <cell r="G313">
            <v>1</v>
          </cell>
          <cell r="H313" t="str">
            <v>balance</v>
          </cell>
          <cell r="I313" t="str">
            <v>バランスタイプ</v>
          </cell>
          <cell r="J313">
            <v>1</v>
          </cell>
          <cell r="K313">
            <v>1</v>
          </cell>
          <cell r="L313">
            <v>1</v>
          </cell>
          <cell r="M313" t="str">
            <v>animal</v>
          </cell>
          <cell r="N313" t="str">
            <v>アニマル</v>
          </cell>
          <cell r="O313">
            <v>1</v>
          </cell>
          <cell r="P313">
            <v>1.1000000000000001</v>
          </cell>
          <cell r="Q313">
            <v>1</v>
          </cell>
          <cell r="R313" t="str">
            <v>Boss</v>
          </cell>
          <cell r="S313">
            <v>5</v>
          </cell>
          <cell r="T313">
            <v>1.3</v>
          </cell>
          <cell r="U313">
            <v>0.8</v>
          </cell>
          <cell r="V313">
            <v>2</v>
          </cell>
          <cell r="W313">
            <v>0.75</v>
          </cell>
          <cell r="X313">
            <v>30</v>
          </cell>
          <cell r="Y313">
            <v>1.3</v>
          </cell>
          <cell r="Z313">
            <v>1.3</v>
          </cell>
          <cell r="AA313">
            <v>1.1000000000000001</v>
          </cell>
          <cell r="AB313">
            <v>0</v>
          </cell>
        </row>
        <row r="314">
          <cell r="A314">
            <v>313</v>
          </cell>
          <cell r="B314" t="str">
            <v>古の先鋭 アノマロカリス</v>
          </cell>
          <cell r="C314">
            <v>5</v>
          </cell>
          <cell r="D314" t="str">
            <v>yellow</v>
          </cell>
          <cell r="E314">
            <v>0.98</v>
          </cell>
          <cell r="F314">
            <v>1.01</v>
          </cell>
          <cell r="G314">
            <v>1</v>
          </cell>
          <cell r="H314" t="str">
            <v>balance</v>
          </cell>
          <cell r="I314" t="str">
            <v>バランスタイプ</v>
          </cell>
          <cell r="J314">
            <v>1</v>
          </cell>
          <cell r="K314">
            <v>1</v>
          </cell>
          <cell r="L314">
            <v>1</v>
          </cell>
          <cell r="M314" t="str">
            <v>animal</v>
          </cell>
          <cell r="N314" t="str">
            <v>アニマル</v>
          </cell>
          <cell r="O314">
            <v>1</v>
          </cell>
          <cell r="P314">
            <v>1.1000000000000001</v>
          </cell>
          <cell r="Q314">
            <v>1</v>
          </cell>
          <cell r="R314" t="str">
            <v>Boss</v>
          </cell>
          <cell r="S314">
            <v>5</v>
          </cell>
          <cell r="T314">
            <v>1.3</v>
          </cell>
          <cell r="U314">
            <v>0.8</v>
          </cell>
          <cell r="V314">
            <v>2</v>
          </cell>
          <cell r="W314">
            <v>0.75</v>
          </cell>
          <cell r="X314">
            <v>60</v>
          </cell>
          <cell r="Y314">
            <v>1.7</v>
          </cell>
          <cell r="Z314">
            <v>1.4</v>
          </cell>
          <cell r="AA314">
            <v>1</v>
          </cell>
          <cell r="AB314">
            <v>0</v>
          </cell>
        </row>
        <row r="315">
          <cell r="A315">
            <v>314</v>
          </cell>
          <cell r="B315" t="str">
            <v>ジャンヌ</v>
          </cell>
          <cell r="C315">
            <v>4</v>
          </cell>
          <cell r="D315" t="str">
            <v>blue</v>
          </cell>
          <cell r="E315">
            <v>1</v>
          </cell>
          <cell r="F315">
            <v>0.98</v>
          </cell>
          <cell r="G315">
            <v>1</v>
          </cell>
          <cell r="H315" t="str">
            <v>heal</v>
          </cell>
          <cell r="I315" t="str">
            <v>回復タイプ</v>
          </cell>
          <cell r="J315">
            <v>0.8</v>
          </cell>
          <cell r="K315">
            <v>0.78</v>
          </cell>
          <cell r="L315">
            <v>1</v>
          </cell>
          <cell r="M315" t="str">
            <v>human</v>
          </cell>
          <cell r="N315" t="str">
            <v>ヒューマン</v>
          </cell>
          <cell r="O315">
            <v>0.94</v>
          </cell>
          <cell r="P315">
            <v>0.99</v>
          </cell>
          <cell r="Q315">
            <v>1</v>
          </cell>
          <cell r="R315" t="str">
            <v>Boss</v>
          </cell>
          <cell r="S315">
            <v>5</v>
          </cell>
          <cell r="T315">
            <v>1.3</v>
          </cell>
          <cell r="U315">
            <v>0.8</v>
          </cell>
          <cell r="V315">
            <v>2</v>
          </cell>
          <cell r="W315">
            <v>0.75</v>
          </cell>
          <cell r="X315">
            <v>30</v>
          </cell>
          <cell r="Y315">
            <v>1.3</v>
          </cell>
          <cell r="Z315">
            <v>1.3</v>
          </cell>
          <cell r="AA315">
            <v>1.1000000000000001</v>
          </cell>
          <cell r="AB315">
            <v>0</v>
          </cell>
        </row>
        <row r="316">
          <cell r="A316">
            <v>315</v>
          </cell>
          <cell r="B316" t="str">
            <v>鉄馬駆る聖女 ジャンヌ</v>
          </cell>
          <cell r="C316">
            <v>5</v>
          </cell>
          <cell r="D316" t="str">
            <v>blue</v>
          </cell>
          <cell r="E316">
            <v>1</v>
          </cell>
          <cell r="F316">
            <v>0.98</v>
          </cell>
          <cell r="G316">
            <v>1</v>
          </cell>
          <cell r="H316" t="str">
            <v>heal</v>
          </cell>
          <cell r="I316" t="str">
            <v>回復タイプ</v>
          </cell>
          <cell r="J316">
            <v>0.8</v>
          </cell>
          <cell r="K316">
            <v>0.78</v>
          </cell>
          <cell r="L316">
            <v>1</v>
          </cell>
          <cell r="M316" t="str">
            <v>human</v>
          </cell>
          <cell r="N316" t="str">
            <v>ヒューマン</v>
          </cell>
          <cell r="O316">
            <v>0.94</v>
          </cell>
          <cell r="P316">
            <v>0.99</v>
          </cell>
          <cell r="Q316">
            <v>1</v>
          </cell>
          <cell r="R316" t="str">
            <v>Boss</v>
          </cell>
          <cell r="S316">
            <v>5</v>
          </cell>
          <cell r="T316">
            <v>1.3</v>
          </cell>
          <cell r="U316">
            <v>0.8</v>
          </cell>
          <cell r="V316">
            <v>2</v>
          </cell>
          <cell r="W316">
            <v>0.75</v>
          </cell>
          <cell r="X316">
            <v>60</v>
          </cell>
          <cell r="Y316">
            <v>1.7</v>
          </cell>
          <cell r="Z316">
            <v>1.4</v>
          </cell>
          <cell r="AA316">
            <v>1</v>
          </cell>
          <cell r="AB316">
            <v>0</v>
          </cell>
        </row>
        <row r="317">
          <cell r="A317">
            <v>316</v>
          </cell>
          <cell r="B317" t="str">
            <v>テスラ</v>
          </cell>
          <cell r="C317">
            <v>4</v>
          </cell>
          <cell r="D317" t="str">
            <v>yellow</v>
          </cell>
          <cell r="E317">
            <v>0.98</v>
          </cell>
          <cell r="F317">
            <v>1.01</v>
          </cell>
          <cell r="G317">
            <v>1</v>
          </cell>
          <cell r="H317" t="str">
            <v>balance</v>
          </cell>
          <cell r="I317" t="str">
            <v>バランスタイプ</v>
          </cell>
          <cell r="J317">
            <v>1</v>
          </cell>
          <cell r="K317">
            <v>1</v>
          </cell>
          <cell r="L317">
            <v>1</v>
          </cell>
          <cell r="M317" t="str">
            <v>human</v>
          </cell>
          <cell r="N317" t="str">
            <v>ヒューマン</v>
          </cell>
          <cell r="O317">
            <v>0.94</v>
          </cell>
          <cell r="P317">
            <v>0.99</v>
          </cell>
          <cell r="Q317">
            <v>1</v>
          </cell>
          <cell r="R317" t="str">
            <v>Boss</v>
          </cell>
          <cell r="S317">
            <v>5</v>
          </cell>
          <cell r="T317">
            <v>1.3</v>
          </cell>
          <cell r="U317">
            <v>0.8</v>
          </cell>
          <cell r="V317">
            <v>2</v>
          </cell>
          <cell r="W317">
            <v>0.75</v>
          </cell>
          <cell r="X317">
            <v>30</v>
          </cell>
          <cell r="Y317">
            <v>1.3</v>
          </cell>
          <cell r="Z317">
            <v>1.3</v>
          </cell>
          <cell r="AA317">
            <v>1.1000000000000001</v>
          </cell>
          <cell r="AB317">
            <v>0</v>
          </cell>
        </row>
        <row r="318">
          <cell r="A318">
            <v>317</v>
          </cell>
          <cell r="B318" t="str">
            <v>異能の電気師 テスラ</v>
          </cell>
          <cell r="C318">
            <v>5</v>
          </cell>
          <cell r="D318" t="str">
            <v>yellow</v>
          </cell>
          <cell r="E318">
            <v>0.98</v>
          </cell>
          <cell r="F318">
            <v>1.01</v>
          </cell>
          <cell r="G318">
            <v>1</v>
          </cell>
          <cell r="H318" t="str">
            <v>balance</v>
          </cell>
          <cell r="I318" t="str">
            <v>バランスタイプ</v>
          </cell>
          <cell r="J318">
            <v>1</v>
          </cell>
          <cell r="K318">
            <v>1</v>
          </cell>
          <cell r="L318">
            <v>1</v>
          </cell>
          <cell r="M318" t="str">
            <v>human</v>
          </cell>
          <cell r="N318" t="str">
            <v>ヒューマン</v>
          </cell>
          <cell r="O318">
            <v>0.94</v>
          </cell>
          <cell r="P318">
            <v>0.99</v>
          </cell>
          <cell r="Q318">
            <v>1</v>
          </cell>
          <cell r="R318" t="str">
            <v>Boss_HPx2.0</v>
          </cell>
          <cell r="S318">
            <v>10</v>
          </cell>
          <cell r="T318">
            <v>1</v>
          </cell>
          <cell r="U318">
            <v>0.8</v>
          </cell>
          <cell r="V318">
            <v>2</v>
          </cell>
          <cell r="W318">
            <v>0.75</v>
          </cell>
          <cell r="X318">
            <v>60</v>
          </cell>
          <cell r="Y318">
            <v>1.7</v>
          </cell>
          <cell r="Z318">
            <v>1.4</v>
          </cell>
          <cell r="AA318">
            <v>1</v>
          </cell>
          <cell r="AB318">
            <v>317</v>
          </cell>
        </row>
        <row r="319">
          <cell r="A319">
            <v>318</v>
          </cell>
          <cell r="B319" t="str">
            <v>シャルル</v>
          </cell>
          <cell r="C319">
            <v>4</v>
          </cell>
          <cell r="D319" t="str">
            <v>blue</v>
          </cell>
          <cell r="E319">
            <v>1</v>
          </cell>
          <cell r="F319">
            <v>0.98</v>
          </cell>
          <cell r="G319">
            <v>1</v>
          </cell>
          <cell r="H319" t="str">
            <v>heal</v>
          </cell>
          <cell r="I319" t="str">
            <v>回復タイプ</v>
          </cell>
          <cell r="J319">
            <v>0.8</v>
          </cell>
          <cell r="K319">
            <v>0.78</v>
          </cell>
          <cell r="L319">
            <v>1</v>
          </cell>
          <cell r="M319" t="str">
            <v>human</v>
          </cell>
          <cell r="N319" t="str">
            <v>ヒューマン</v>
          </cell>
          <cell r="O319">
            <v>0.94</v>
          </cell>
          <cell r="P319">
            <v>0.99</v>
          </cell>
          <cell r="Q319">
            <v>1</v>
          </cell>
          <cell r="R319" t="str">
            <v>Boss</v>
          </cell>
          <cell r="S319">
            <v>5</v>
          </cell>
          <cell r="T319">
            <v>1.3</v>
          </cell>
          <cell r="U319">
            <v>0.8</v>
          </cell>
          <cell r="V319">
            <v>3</v>
          </cell>
          <cell r="W319">
            <v>1</v>
          </cell>
          <cell r="X319">
            <v>30</v>
          </cell>
          <cell r="Y319">
            <v>1.3</v>
          </cell>
          <cell r="Z319">
            <v>1.3</v>
          </cell>
          <cell r="AA319">
            <v>1.1000000000000001</v>
          </cell>
          <cell r="AB319">
            <v>0</v>
          </cell>
        </row>
        <row r="320">
          <cell r="A320">
            <v>319</v>
          </cell>
          <cell r="B320" t="str">
            <v>夢想の学士 シャルル</v>
          </cell>
          <cell r="C320">
            <v>5</v>
          </cell>
          <cell r="D320" t="str">
            <v>blue</v>
          </cell>
          <cell r="E320">
            <v>1</v>
          </cell>
          <cell r="F320">
            <v>0.98</v>
          </cell>
          <cell r="G320">
            <v>1</v>
          </cell>
          <cell r="H320" t="str">
            <v>heal</v>
          </cell>
          <cell r="I320" t="str">
            <v>回復タイプ</v>
          </cell>
          <cell r="J320">
            <v>0.8</v>
          </cell>
          <cell r="K320">
            <v>0.78</v>
          </cell>
          <cell r="L320">
            <v>1</v>
          </cell>
          <cell r="M320" t="str">
            <v>human</v>
          </cell>
          <cell r="N320" t="str">
            <v>ヒューマン</v>
          </cell>
          <cell r="O320">
            <v>0.94</v>
          </cell>
          <cell r="P320">
            <v>0.99</v>
          </cell>
          <cell r="Q320">
            <v>1</v>
          </cell>
          <cell r="R320" t="str">
            <v>Boss_HPx2.5</v>
          </cell>
          <cell r="S320">
            <v>12.5</v>
          </cell>
          <cell r="T320">
            <v>1</v>
          </cell>
          <cell r="U320">
            <v>0.8</v>
          </cell>
          <cell r="V320">
            <v>3</v>
          </cell>
          <cell r="W320">
            <v>1</v>
          </cell>
          <cell r="X320">
            <v>60</v>
          </cell>
          <cell r="Y320">
            <v>1.7</v>
          </cell>
          <cell r="Z320">
            <v>1.4</v>
          </cell>
          <cell r="AA320">
            <v>1</v>
          </cell>
          <cell r="AB320">
            <v>319</v>
          </cell>
        </row>
        <row r="321">
          <cell r="A321">
            <v>320</v>
          </cell>
          <cell r="B321" t="str">
            <v>烈志士 近藤勇</v>
          </cell>
          <cell r="C321">
            <v>4</v>
          </cell>
          <cell r="D321" t="str">
            <v>red</v>
          </cell>
          <cell r="E321">
            <v>1</v>
          </cell>
          <cell r="F321">
            <v>1.02</v>
          </cell>
          <cell r="G321">
            <v>1</v>
          </cell>
          <cell r="H321" t="str">
            <v>hp</v>
          </cell>
          <cell r="I321" t="str">
            <v>体力タイプ</v>
          </cell>
          <cell r="J321">
            <v>1.45</v>
          </cell>
          <cell r="K321">
            <v>0.85</v>
          </cell>
          <cell r="L321">
            <v>1</v>
          </cell>
          <cell r="M321" t="str">
            <v>human</v>
          </cell>
          <cell r="N321" t="str">
            <v>ヒューマン</v>
          </cell>
          <cell r="O321">
            <v>0.94</v>
          </cell>
          <cell r="P321">
            <v>0.99</v>
          </cell>
          <cell r="Q321">
            <v>1</v>
          </cell>
          <cell r="R321" t="str">
            <v>Boss</v>
          </cell>
          <cell r="S321">
            <v>5</v>
          </cell>
          <cell r="T321">
            <v>1.3</v>
          </cell>
          <cell r="U321">
            <v>0.8</v>
          </cell>
          <cell r="V321">
            <v>2</v>
          </cell>
          <cell r="W321">
            <v>0.75</v>
          </cell>
          <cell r="X321">
            <v>30</v>
          </cell>
          <cell r="Y321">
            <v>1.3</v>
          </cell>
          <cell r="Z321">
            <v>1.3</v>
          </cell>
          <cell r="AA321">
            <v>1.1000000000000001</v>
          </cell>
          <cell r="AB321">
            <v>0</v>
          </cell>
        </row>
        <row r="322">
          <cell r="A322">
            <v>321</v>
          </cell>
          <cell r="B322" t="str">
            <v>巌鉄の烈志士 近藤勇</v>
          </cell>
          <cell r="C322">
            <v>5</v>
          </cell>
          <cell r="D322" t="str">
            <v>red</v>
          </cell>
          <cell r="E322">
            <v>1</v>
          </cell>
          <cell r="F322">
            <v>1.02</v>
          </cell>
          <cell r="G322">
            <v>1</v>
          </cell>
          <cell r="H322" t="str">
            <v>hp</v>
          </cell>
          <cell r="I322" t="str">
            <v>体力タイプ</v>
          </cell>
          <cell r="J322">
            <v>1.45</v>
          </cell>
          <cell r="K322">
            <v>0.85</v>
          </cell>
          <cell r="L322">
            <v>1</v>
          </cell>
          <cell r="M322" t="str">
            <v>human</v>
          </cell>
          <cell r="N322" t="str">
            <v>ヒューマン</v>
          </cell>
          <cell r="O322">
            <v>0.94</v>
          </cell>
          <cell r="P322">
            <v>0.99</v>
          </cell>
          <cell r="Q322">
            <v>1</v>
          </cell>
          <cell r="R322" t="str">
            <v>Boss</v>
          </cell>
          <cell r="S322">
            <v>5</v>
          </cell>
          <cell r="T322">
            <v>1.3</v>
          </cell>
          <cell r="U322">
            <v>0.8</v>
          </cell>
          <cell r="V322">
            <v>2</v>
          </cell>
          <cell r="W322">
            <v>0.75</v>
          </cell>
          <cell r="X322">
            <v>60</v>
          </cell>
          <cell r="Y322">
            <v>1.7</v>
          </cell>
          <cell r="Z322">
            <v>1.4</v>
          </cell>
          <cell r="AA322">
            <v>1</v>
          </cell>
          <cell r="AB322">
            <v>0</v>
          </cell>
        </row>
        <row r="323">
          <cell r="A323">
            <v>322</v>
          </cell>
          <cell r="B323" t="str">
            <v>愛志士 土方歳三</v>
          </cell>
          <cell r="C323">
            <v>4</v>
          </cell>
          <cell r="D323" t="str">
            <v>green</v>
          </cell>
          <cell r="E323">
            <v>1.02</v>
          </cell>
          <cell r="F323">
            <v>0.98</v>
          </cell>
          <cell r="G323">
            <v>1</v>
          </cell>
          <cell r="H323" t="str">
            <v>attack</v>
          </cell>
          <cell r="I323" t="str">
            <v>攻撃タイプ</v>
          </cell>
          <cell r="J323">
            <v>1</v>
          </cell>
          <cell r="K323">
            <v>1.33</v>
          </cell>
          <cell r="L323">
            <v>1</v>
          </cell>
          <cell r="M323" t="str">
            <v>human</v>
          </cell>
          <cell r="N323" t="str">
            <v>ヒューマン</v>
          </cell>
          <cell r="O323">
            <v>0.94</v>
          </cell>
          <cell r="P323">
            <v>0.99</v>
          </cell>
          <cell r="Q323">
            <v>1</v>
          </cell>
          <cell r="R323" t="str">
            <v>Boss</v>
          </cell>
          <cell r="S323">
            <v>5</v>
          </cell>
          <cell r="T323">
            <v>1.3</v>
          </cell>
          <cell r="U323">
            <v>0.8</v>
          </cell>
          <cell r="V323">
            <v>2</v>
          </cell>
          <cell r="W323">
            <v>0.75</v>
          </cell>
          <cell r="X323">
            <v>30</v>
          </cell>
          <cell r="Y323">
            <v>1.3</v>
          </cell>
          <cell r="Z323">
            <v>1.3</v>
          </cell>
          <cell r="AA323">
            <v>1.1000000000000001</v>
          </cell>
          <cell r="AB323">
            <v>0</v>
          </cell>
        </row>
        <row r="324">
          <cell r="A324">
            <v>323</v>
          </cell>
          <cell r="B324" t="str">
            <v>流麗の愛志士 土方歳三</v>
          </cell>
          <cell r="C324">
            <v>5</v>
          </cell>
          <cell r="D324" t="str">
            <v>green</v>
          </cell>
          <cell r="E324">
            <v>1.02</v>
          </cell>
          <cell r="F324">
            <v>0.98</v>
          </cell>
          <cell r="G324">
            <v>1</v>
          </cell>
          <cell r="H324" t="str">
            <v>attack</v>
          </cell>
          <cell r="I324" t="str">
            <v>攻撃タイプ</v>
          </cell>
          <cell r="J324">
            <v>1</v>
          </cell>
          <cell r="K324">
            <v>1.33</v>
          </cell>
          <cell r="L324">
            <v>1</v>
          </cell>
          <cell r="M324" t="str">
            <v>human</v>
          </cell>
          <cell r="N324" t="str">
            <v>ヒューマン</v>
          </cell>
          <cell r="O324">
            <v>0.94</v>
          </cell>
          <cell r="P324">
            <v>0.99</v>
          </cell>
          <cell r="Q324">
            <v>1</v>
          </cell>
          <cell r="R324" t="str">
            <v>Boss</v>
          </cell>
          <cell r="S324">
            <v>5</v>
          </cell>
          <cell r="T324">
            <v>1.3</v>
          </cell>
          <cell r="U324">
            <v>0.8</v>
          </cell>
          <cell r="V324">
            <v>2</v>
          </cell>
          <cell r="W324">
            <v>0.75</v>
          </cell>
          <cell r="X324">
            <v>60</v>
          </cell>
          <cell r="Y324">
            <v>1.7</v>
          </cell>
          <cell r="Z324">
            <v>1.4</v>
          </cell>
          <cell r="AA324">
            <v>1</v>
          </cell>
          <cell r="AB324">
            <v>0</v>
          </cell>
        </row>
        <row r="325">
          <cell r="A325">
            <v>324</v>
          </cell>
          <cell r="B325" t="str">
            <v>凛志士 沖田総司</v>
          </cell>
          <cell r="C325">
            <v>4</v>
          </cell>
          <cell r="D325" t="str">
            <v>blue</v>
          </cell>
          <cell r="E325">
            <v>1</v>
          </cell>
          <cell r="F325">
            <v>0.98</v>
          </cell>
          <cell r="G325">
            <v>1</v>
          </cell>
          <cell r="H325" t="str">
            <v>balance</v>
          </cell>
          <cell r="I325" t="str">
            <v>バランスタイプ</v>
          </cell>
          <cell r="J325">
            <v>1</v>
          </cell>
          <cell r="K325">
            <v>1</v>
          </cell>
          <cell r="L325">
            <v>1</v>
          </cell>
          <cell r="M325" t="str">
            <v>human</v>
          </cell>
          <cell r="N325" t="str">
            <v>ヒューマン</v>
          </cell>
          <cell r="O325">
            <v>0.94</v>
          </cell>
          <cell r="P325">
            <v>0.99</v>
          </cell>
          <cell r="Q325">
            <v>1</v>
          </cell>
          <cell r="R325" t="str">
            <v>Boss</v>
          </cell>
          <cell r="S325">
            <v>5</v>
          </cell>
          <cell r="T325">
            <v>1.3</v>
          </cell>
          <cell r="U325">
            <v>0.8</v>
          </cell>
          <cell r="V325">
            <v>2</v>
          </cell>
          <cell r="W325">
            <v>0.75</v>
          </cell>
          <cell r="X325">
            <v>30</v>
          </cell>
          <cell r="Y325">
            <v>1.3</v>
          </cell>
          <cell r="Z325">
            <v>1.3</v>
          </cell>
          <cell r="AA325">
            <v>1.1000000000000001</v>
          </cell>
          <cell r="AB325">
            <v>0</v>
          </cell>
        </row>
        <row r="326">
          <cell r="A326">
            <v>325</v>
          </cell>
          <cell r="B326" t="str">
            <v>天賦の凛志士 沖田総司</v>
          </cell>
          <cell r="C326">
            <v>5</v>
          </cell>
          <cell r="D326" t="str">
            <v>blue</v>
          </cell>
          <cell r="E326">
            <v>1</v>
          </cell>
          <cell r="F326">
            <v>0.98</v>
          </cell>
          <cell r="G326">
            <v>1</v>
          </cell>
          <cell r="H326" t="str">
            <v>balance</v>
          </cell>
          <cell r="I326" t="str">
            <v>バランスタイプ</v>
          </cell>
          <cell r="J326">
            <v>1</v>
          </cell>
          <cell r="K326">
            <v>1</v>
          </cell>
          <cell r="L326">
            <v>1</v>
          </cell>
          <cell r="M326" t="str">
            <v>human</v>
          </cell>
          <cell r="N326" t="str">
            <v>ヒューマン</v>
          </cell>
          <cell r="O326">
            <v>0.94</v>
          </cell>
          <cell r="P326">
            <v>0.99</v>
          </cell>
          <cell r="Q326">
            <v>1</v>
          </cell>
          <cell r="R326" t="str">
            <v>Boss</v>
          </cell>
          <cell r="S326">
            <v>5</v>
          </cell>
          <cell r="T326">
            <v>1.3</v>
          </cell>
          <cell r="U326">
            <v>0.8</v>
          </cell>
          <cell r="V326">
            <v>2</v>
          </cell>
          <cell r="W326">
            <v>0.75</v>
          </cell>
          <cell r="X326">
            <v>60</v>
          </cell>
          <cell r="Y326">
            <v>1.7</v>
          </cell>
          <cell r="Z326">
            <v>1.4</v>
          </cell>
          <cell r="AA326">
            <v>1</v>
          </cell>
          <cell r="AB326">
            <v>0</v>
          </cell>
        </row>
        <row r="327">
          <cell r="A327">
            <v>326</v>
          </cell>
          <cell r="B327" t="str">
            <v>妖志士 斎藤一</v>
          </cell>
          <cell r="C327">
            <v>4</v>
          </cell>
          <cell r="D327" t="str">
            <v>yellow</v>
          </cell>
          <cell r="E327">
            <v>0.98</v>
          </cell>
          <cell r="F327">
            <v>1.01</v>
          </cell>
          <cell r="G327">
            <v>1</v>
          </cell>
          <cell r="H327" t="str">
            <v>technical</v>
          </cell>
          <cell r="I327" t="str">
            <v>テクニカルタイプ</v>
          </cell>
          <cell r="J327">
            <v>0.9</v>
          </cell>
          <cell r="K327">
            <v>0.9</v>
          </cell>
          <cell r="L327">
            <v>1</v>
          </cell>
          <cell r="M327" t="str">
            <v>human</v>
          </cell>
          <cell r="N327" t="str">
            <v>ヒューマン</v>
          </cell>
          <cell r="O327">
            <v>0.94</v>
          </cell>
          <cell r="P327">
            <v>0.99</v>
          </cell>
          <cell r="Q327">
            <v>1</v>
          </cell>
          <cell r="R327" t="str">
            <v>Boss</v>
          </cell>
          <cell r="S327">
            <v>5</v>
          </cell>
          <cell r="T327">
            <v>1.3</v>
          </cell>
          <cell r="U327">
            <v>0.8</v>
          </cell>
          <cell r="V327">
            <v>2</v>
          </cell>
          <cell r="W327">
            <v>0.75</v>
          </cell>
          <cell r="X327">
            <v>30</v>
          </cell>
          <cell r="Y327">
            <v>1.3</v>
          </cell>
          <cell r="Z327">
            <v>1.3</v>
          </cell>
          <cell r="AA327">
            <v>1.1000000000000001</v>
          </cell>
          <cell r="AB327">
            <v>0</v>
          </cell>
        </row>
        <row r="328">
          <cell r="A328">
            <v>327</v>
          </cell>
          <cell r="B328" t="str">
            <v>千殺の妖志士 斎藤一</v>
          </cell>
          <cell r="C328">
            <v>5</v>
          </cell>
          <cell r="D328" t="str">
            <v>yellow</v>
          </cell>
          <cell r="E328">
            <v>0.98</v>
          </cell>
          <cell r="F328">
            <v>1.01</v>
          </cell>
          <cell r="G328">
            <v>1</v>
          </cell>
          <cell r="H328" t="str">
            <v>technical</v>
          </cell>
          <cell r="I328" t="str">
            <v>テクニカルタイプ</v>
          </cell>
          <cell r="J328">
            <v>0.9</v>
          </cell>
          <cell r="K328">
            <v>0.9</v>
          </cell>
          <cell r="L328">
            <v>1</v>
          </cell>
          <cell r="M328" t="str">
            <v>human</v>
          </cell>
          <cell r="N328" t="str">
            <v>ヒューマン</v>
          </cell>
          <cell r="O328">
            <v>0.94</v>
          </cell>
          <cell r="P328">
            <v>0.99</v>
          </cell>
          <cell r="Q328">
            <v>1</v>
          </cell>
          <cell r="R328" t="str">
            <v>Boss</v>
          </cell>
          <cell r="S328">
            <v>5</v>
          </cell>
          <cell r="T328">
            <v>1.3</v>
          </cell>
          <cell r="U328">
            <v>0.8</v>
          </cell>
          <cell r="V328">
            <v>2</v>
          </cell>
          <cell r="W328">
            <v>0.75</v>
          </cell>
          <cell r="X328">
            <v>60</v>
          </cell>
          <cell r="Y328">
            <v>1.7</v>
          </cell>
          <cell r="Z328">
            <v>1.4</v>
          </cell>
          <cell r="AA328">
            <v>1</v>
          </cell>
          <cell r="AB328">
            <v>0</v>
          </cell>
        </row>
        <row r="329">
          <cell r="A329">
            <v>328</v>
          </cell>
          <cell r="B329" t="str">
            <v>麒麟クエストアイコンシルエット</v>
          </cell>
          <cell r="C329">
            <v>4</v>
          </cell>
          <cell r="D329" t="str">
            <v>yellow</v>
          </cell>
          <cell r="E329">
            <v>0.98</v>
          </cell>
          <cell r="F329">
            <v>1.01</v>
          </cell>
          <cell r="G329">
            <v>1</v>
          </cell>
          <cell r="H329" t="str">
            <v>none</v>
          </cell>
          <cell r="I329" t="str">
            <v>タイプなし</v>
          </cell>
          <cell r="J329">
            <v>0</v>
          </cell>
          <cell r="K329">
            <v>0</v>
          </cell>
          <cell r="L329">
            <v>0</v>
          </cell>
          <cell r="M329" t="str">
            <v>human</v>
          </cell>
          <cell r="N329" t="str">
            <v>ヒューマン</v>
          </cell>
          <cell r="O329">
            <v>0.94</v>
          </cell>
          <cell r="P329">
            <v>0.99</v>
          </cell>
          <cell r="Q329">
            <v>1</v>
          </cell>
          <cell r="R329" t="str">
            <v>Boss</v>
          </cell>
          <cell r="S329">
            <v>5</v>
          </cell>
          <cell r="T329">
            <v>1.3</v>
          </cell>
          <cell r="U329">
            <v>0.8</v>
          </cell>
          <cell r="V329">
            <v>2</v>
          </cell>
          <cell r="W329">
            <v>0.75</v>
          </cell>
          <cell r="X329">
            <v>60</v>
          </cell>
          <cell r="Y329">
            <v>1.7</v>
          </cell>
          <cell r="Z329">
            <v>1.4</v>
          </cell>
          <cell r="AA329">
            <v>1</v>
          </cell>
          <cell r="AB329">
            <v>0</v>
          </cell>
        </row>
        <row r="330">
          <cell r="A330">
            <v>329</v>
          </cell>
          <cell r="B330" t="str">
            <v>麒麟クエストアイコンシルエット</v>
          </cell>
          <cell r="C330">
            <v>5</v>
          </cell>
          <cell r="D330" t="str">
            <v>yellow</v>
          </cell>
          <cell r="E330">
            <v>0.98</v>
          </cell>
          <cell r="F330">
            <v>1.01</v>
          </cell>
          <cell r="G330">
            <v>1</v>
          </cell>
          <cell r="H330" t="str">
            <v>none</v>
          </cell>
          <cell r="I330" t="str">
            <v>タイプなし</v>
          </cell>
          <cell r="J330">
            <v>0</v>
          </cell>
          <cell r="K330">
            <v>0</v>
          </cell>
          <cell r="L330">
            <v>0</v>
          </cell>
          <cell r="M330" t="str">
            <v>human</v>
          </cell>
          <cell r="N330" t="str">
            <v>ヒューマン</v>
          </cell>
          <cell r="O330">
            <v>0.94</v>
          </cell>
          <cell r="P330">
            <v>0.99</v>
          </cell>
          <cell r="Q330">
            <v>1</v>
          </cell>
          <cell r="R330" t="str">
            <v>Boss</v>
          </cell>
          <cell r="S330">
            <v>5</v>
          </cell>
          <cell r="T330">
            <v>1.3</v>
          </cell>
          <cell r="U330">
            <v>0.8</v>
          </cell>
          <cell r="V330">
            <v>2</v>
          </cell>
          <cell r="W330">
            <v>0.75</v>
          </cell>
          <cell r="X330">
            <v>60</v>
          </cell>
          <cell r="Y330">
            <v>1.7</v>
          </cell>
          <cell r="Z330">
            <v>1.4</v>
          </cell>
          <cell r="AA330">
            <v>1</v>
          </cell>
          <cell r="AB330">
            <v>0</v>
          </cell>
        </row>
        <row r="331">
          <cell r="A331">
            <v>330</v>
          </cell>
          <cell r="B331" t="str">
            <v>UsagiChan</v>
          </cell>
          <cell r="C331">
            <v>4</v>
          </cell>
          <cell r="D331" t="str">
            <v>blue</v>
          </cell>
          <cell r="E331">
            <v>1</v>
          </cell>
          <cell r="F331">
            <v>0.98</v>
          </cell>
          <cell r="G331">
            <v>1</v>
          </cell>
          <cell r="H331" t="str">
            <v>balance</v>
          </cell>
          <cell r="I331" t="str">
            <v>バランスタイプ</v>
          </cell>
          <cell r="J331">
            <v>1</v>
          </cell>
          <cell r="K331">
            <v>1</v>
          </cell>
          <cell r="L331">
            <v>1</v>
          </cell>
          <cell r="M331" t="str">
            <v>machine</v>
          </cell>
          <cell r="N331" t="str">
            <v>マシン</v>
          </cell>
          <cell r="O331">
            <v>1</v>
          </cell>
          <cell r="P331">
            <v>1</v>
          </cell>
          <cell r="Q331">
            <v>1</v>
          </cell>
          <cell r="R331" t="str">
            <v>Boss</v>
          </cell>
          <cell r="S331">
            <v>5</v>
          </cell>
          <cell r="T331">
            <v>1.3</v>
          </cell>
          <cell r="U331">
            <v>0.8</v>
          </cell>
          <cell r="V331">
            <v>2</v>
          </cell>
          <cell r="W331">
            <v>0.75</v>
          </cell>
          <cell r="X331">
            <v>15</v>
          </cell>
          <cell r="Y331">
            <v>1.7</v>
          </cell>
          <cell r="Z331">
            <v>1.4</v>
          </cell>
          <cell r="AA331">
            <v>1</v>
          </cell>
          <cell r="AB331">
            <v>0</v>
          </cell>
        </row>
        <row r="332">
          <cell r="A332">
            <v>331</v>
          </cell>
          <cell r="B332" t="str">
            <v>オーディンクエストアイコンシルエット</v>
          </cell>
          <cell r="C332">
            <v>5</v>
          </cell>
          <cell r="D332" t="str">
            <v>blue</v>
          </cell>
          <cell r="E332">
            <v>1</v>
          </cell>
          <cell r="F332">
            <v>0.98</v>
          </cell>
          <cell r="G332">
            <v>1</v>
          </cell>
          <cell r="H332" t="str">
            <v>none</v>
          </cell>
          <cell r="I332" t="str">
            <v>タイプなし</v>
          </cell>
          <cell r="J332">
            <v>0</v>
          </cell>
          <cell r="K332">
            <v>0</v>
          </cell>
          <cell r="L332">
            <v>0</v>
          </cell>
          <cell r="M332" t="str">
            <v>unknown</v>
          </cell>
          <cell r="N332" t="str">
            <v>Unknown</v>
          </cell>
          <cell r="O332">
            <v>1</v>
          </cell>
          <cell r="P332">
            <v>1</v>
          </cell>
          <cell r="Q332">
            <v>1</v>
          </cell>
          <cell r="R332" t="str">
            <v>Boss</v>
          </cell>
          <cell r="S332">
            <v>5</v>
          </cell>
          <cell r="T332">
            <v>1.3</v>
          </cell>
          <cell r="U332">
            <v>0.8</v>
          </cell>
          <cell r="V332">
            <v>2</v>
          </cell>
          <cell r="W332">
            <v>0.75</v>
          </cell>
          <cell r="X332">
            <v>60</v>
          </cell>
          <cell r="Y332">
            <v>1.7</v>
          </cell>
          <cell r="Z332">
            <v>1.4</v>
          </cell>
          <cell r="AA332">
            <v>1</v>
          </cell>
          <cell r="AB332">
            <v>0</v>
          </cell>
        </row>
        <row r="333">
          <cell r="A333">
            <v>332</v>
          </cell>
          <cell r="B333" t="str">
            <v>炎のメタルピヨピヨ</v>
          </cell>
          <cell r="C333">
            <v>3</v>
          </cell>
          <cell r="D333" t="str">
            <v>red</v>
          </cell>
          <cell r="E333">
            <v>1</v>
          </cell>
          <cell r="F333">
            <v>1.02</v>
          </cell>
          <cell r="G333">
            <v>1</v>
          </cell>
          <cell r="H333" t="str">
            <v>exp</v>
          </cell>
          <cell r="I333" t="str">
            <v>強化素材タイプ</v>
          </cell>
          <cell r="J333">
            <v>0.1</v>
          </cell>
          <cell r="K333">
            <v>0.05</v>
          </cell>
          <cell r="L333">
            <v>1</v>
          </cell>
          <cell r="M333" t="str">
            <v>unknown</v>
          </cell>
          <cell r="N333" t="str">
            <v>Unknown</v>
          </cell>
          <cell r="O333">
            <v>1</v>
          </cell>
          <cell r="P333">
            <v>1</v>
          </cell>
          <cell r="Q333">
            <v>1</v>
          </cell>
          <cell r="R333" t="str">
            <v>Normal</v>
          </cell>
          <cell r="S333">
            <v>1</v>
          </cell>
          <cell r="T333">
            <v>1</v>
          </cell>
          <cell r="U333">
            <v>1</v>
          </cell>
          <cell r="V333">
            <v>1</v>
          </cell>
          <cell r="W333">
            <v>0.55000000000000004</v>
          </cell>
          <cell r="X333">
            <v>15</v>
          </cell>
          <cell r="Y333">
            <v>1</v>
          </cell>
          <cell r="Z333">
            <v>1</v>
          </cell>
          <cell r="AA333">
            <v>1</v>
          </cell>
          <cell r="AB333">
            <v>0</v>
          </cell>
        </row>
        <row r="334">
          <cell r="A334">
            <v>333</v>
          </cell>
          <cell r="B334" t="str">
            <v>炎のメタルチック</v>
          </cell>
          <cell r="C334">
            <v>4</v>
          </cell>
          <cell r="D334" t="str">
            <v>red</v>
          </cell>
          <cell r="E334">
            <v>1</v>
          </cell>
          <cell r="F334">
            <v>1.02</v>
          </cell>
          <cell r="G334">
            <v>1</v>
          </cell>
          <cell r="H334" t="str">
            <v>exp</v>
          </cell>
          <cell r="I334" t="str">
            <v>強化素材タイプ</v>
          </cell>
          <cell r="J334">
            <v>0.1</v>
          </cell>
          <cell r="K334">
            <v>0.05</v>
          </cell>
          <cell r="L334">
            <v>1</v>
          </cell>
          <cell r="M334" t="str">
            <v>unknown</v>
          </cell>
          <cell r="N334" t="str">
            <v>Unknown</v>
          </cell>
          <cell r="O334">
            <v>1</v>
          </cell>
          <cell r="P334">
            <v>1</v>
          </cell>
          <cell r="Q334">
            <v>1</v>
          </cell>
          <cell r="R334" t="str">
            <v>Normal</v>
          </cell>
          <cell r="S334">
            <v>1</v>
          </cell>
          <cell r="T334">
            <v>1</v>
          </cell>
          <cell r="U334">
            <v>1</v>
          </cell>
          <cell r="V334">
            <v>2</v>
          </cell>
          <cell r="W334">
            <v>0.75</v>
          </cell>
          <cell r="X334">
            <v>15</v>
          </cell>
          <cell r="Y334">
            <v>1</v>
          </cell>
          <cell r="Z334">
            <v>1</v>
          </cell>
          <cell r="AA334">
            <v>1</v>
          </cell>
          <cell r="AB334">
            <v>0</v>
          </cell>
        </row>
        <row r="335">
          <cell r="A335">
            <v>334</v>
          </cell>
          <cell r="B335" t="str">
            <v>炎のメタルダック</v>
          </cell>
          <cell r="C335">
            <v>5</v>
          </cell>
          <cell r="D335" t="str">
            <v>red</v>
          </cell>
          <cell r="E335">
            <v>1</v>
          </cell>
          <cell r="F335">
            <v>1.02</v>
          </cell>
          <cell r="G335">
            <v>1</v>
          </cell>
          <cell r="H335" t="str">
            <v>exp</v>
          </cell>
          <cell r="I335" t="str">
            <v>強化素材タイプ</v>
          </cell>
          <cell r="J335">
            <v>0.1</v>
          </cell>
          <cell r="K335">
            <v>0.05</v>
          </cell>
          <cell r="L335">
            <v>1</v>
          </cell>
          <cell r="M335" t="str">
            <v>unknown</v>
          </cell>
          <cell r="N335" t="str">
            <v>Unknown</v>
          </cell>
          <cell r="O335">
            <v>1</v>
          </cell>
          <cell r="P335">
            <v>1</v>
          </cell>
          <cell r="Q335">
            <v>1</v>
          </cell>
          <cell r="R335" t="str">
            <v>Normal</v>
          </cell>
          <cell r="S335">
            <v>1</v>
          </cell>
          <cell r="T335">
            <v>1</v>
          </cell>
          <cell r="U335">
            <v>1</v>
          </cell>
          <cell r="V335">
            <v>3</v>
          </cell>
          <cell r="W335">
            <v>1</v>
          </cell>
          <cell r="X335">
            <v>20</v>
          </cell>
          <cell r="Y335">
            <v>1.1000000000000001</v>
          </cell>
          <cell r="Z335">
            <v>1.2</v>
          </cell>
          <cell r="AA335">
            <v>1.2</v>
          </cell>
          <cell r="AB335">
            <v>0</v>
          </cell>
        </row>
        <row r="336">
          <cell r="A336">
            <v>335</v>
          </cell>
          <cell r="B336" t="str">
            <v>炎のメタルジェントル</v>
          </cell>
          <cell r="C336">
            <v>6</v>
          </cell>
          <cell r="D336" t="str">
            <v>red</v>
          </cell>
          <cell r="E336">
            <v>1</v>
          </cell>
          <cell r="F336">
            <v>1.02</v>
          </cell>
          <cell r="G336">
            <v>1</v>
          </cell>
          <cell r="H336" t="str">
            <v>exp</v>
          </cell>
          <cell r="I336" t="str">
            <v>強化素材タイプ</v>
          </cell>
          <cell r="J336">
            <v>0.1</v>
          </cell>
          <cell r="K336">
            <v>0.05</v>
          </cell>
          <cell r="L336">
            <v>1</v>
          </cell>
          <cell r="M336" t="str">
            <v>unknown</v>
          </cell>
          <cell r="N336" t="str">
            <v>Unknown</v>
          </cell>
          <cell r="O336">
            <v>1</v>
          </cell>
          <cell r="P336">
            <v>1</v>
          </cell>
          <cell r="Q336">
            <v>1</v>
          </cell>
          <cell r="R336" t="str">
            <v>Normal</v>
          </cell>
          <cell r="S336">
            <v>1</v>
          </cell>
          <cell r="T336">
            <v>1</v>
          </cell>
          <cell r="U336">
            <v>1</v>
          </cell>
          <cell r="V336">
            <v>4</v>
          </cell>
          <cell r="W336">
            <v>1.2</v>
          </cell>
          <cell r="X336">
            <v>20</v>
          </cell>
          <cell r="Y336">
            <v>1.1000000000000001</v>
          </cell>
          <cell r="Z336">
            <v>1.2</v>
          </cell>
          <cell r="AA336">
            <v>1.2</v>
          </cell>
          <cell r="AB336">
            <v>0</v>
          </cell>
        </row>
        <row r="337">
          <cell r="A337">
            <v>336</v>
          </cell>
          <cell r="B337" t="str">
            <v>森のメタルピヨピヨ</v>
          </cell>
          <cell r="C337">
            <v>3</v>
          </cell>
          <cell r="D337" t="str">
            <v>green</v>
          </cell>
          <cell r="E337">
            <v>1.02</v>
          </cell>
          <cell r="F337">
            <v>0.98</v>
          </cell>
          <cell r="G337">
            <v>1</v>
          </cell>
          <cell r="H337" t="str">
            <v>exp</v>
          </cell>
          <cell r="I337" t="str">
            <v>強化素材タイプ</v>
          </cell>
          <cell r="J337">
            <v>0.1</v>
          </cell>
          <cell r="K337">
            <v>0.05</v>
          </cell>
          <cell r="L337">
            <v>1</v>
          </cell>
          <cell r="M337" t="str">
            <v>unknown</v>
          </cell>
          <cell r="N337" t="str">
            <v>Unknown</v>
          </cell>
          <cell r="O337">
            <v>1</v>
          </cell>
          <cell r="P337">
            <v>1</v>
          </cell>
          <cell r="Q337">
            <v>1</v>
          </cell>
          <cell r="R337" t="str">
            <v>Normal</v>
          </cell>
          <cell r="S337">
            <v>1</v>
          </cell>
          <cell r="T337">
            <v>1</v>
          </cell>
          <cell r="U337">
            <v>1</v>
          </cell>
          <cell r="V337">
            <v>1</v>
          </cell>
          <cell r="W337">
            <v>0.55000000000000004</v>
          </cell>
          <cell r="X337">
            <v>15</v>
          </cell>
          <cell r="Y337">
            <v>1</v>
          </cell>
          <cell r="Z337">
            <v>1</v>
          </cell>
          <cell r="AA337">
            <v>1</v>
          </cell>
          <cell r="AB337">
            <v>0</v>
          </cell>
        </row>
        <row r="338">
          <cell r="A338">
            <v>337</v>
          </cell>
          <cell r="B338" t="str">
            <v>森のメタルチック</v>
          </cell>
          <cell r="C338">
            <v>4</v>
          </cell>
          <cell r="D338" t="str">
            <v>green</v>
          </cell>
          <cell r="E338">
            <v>1.02</v>
          </cell>
          <cell r="F338">
            <v>0.98</v>
          </cell>
          <cell r="G338">
            <v>1</v>
          </cell>
          <cell r="H338" t="str">
            <v>exp</v>
          </cell>
          <cell r="I338" t="str">
            <v>強化素材タイプ</v>
          </cell>
          <cell r="J338">
            <v>0.1</v>
          </cell>
          <cell r="K338">
            <v>0.05</v>
          </cell>
          <cell r="L338">
            <v>1</v>
          </cell>
          <cell r="M338" t="str">
            <v>unknown</v>
          </cell>
          <cell r="N338" t="str">
            <v>Unknown</v>
          </cell>
          <cell r="O338">
            <v>1</v>
          </cell>
          <cell r="P338">
            <v>1</v>
          </cell>
          <cell r="Q338">
            <v>1</v>
          </cell>
          <cell r="R338" t="str">
            <v>Normal</v>
          </cell>
          <cell r="S338">
            <v>1</v>
          </cell>
          <cell r="T338">
            <v>1</v>
          </cell>
          <cell r="U338">
            <v>1</v>
          </cell>
          <cell r="V338">
            <v>2</v>
          </cell>
          <cell r="W338">
            <v>0.75</v>
          </cell>
          <cell r="X338">
            <v>15</v>
          </cell>
          <cell r="Y338">
            <v>1</v>
          </cell>
          <cell r="Z338">
            <v>1</v>
          </cell>
          <cell r="AA338">
            <v>1</v>
          </cell>
          <cell r="AB338">
            <v>0</v>
          </cell>
        </row>
        <row r="339">
          <cell r="A339">
            <v>338</v>
          </cell>
          <cell r="B339" t="str">
            <v>森のメタルダック</v>
          </cell>
          <cell r="C339">
            <v>5</v>
          </cell>
          <cell r="D339" t="str">
            <v>green</v>
          </cell>
          <cell r="E339">
            <v>1.02</v>
          </cell>
          <cell r="F339">
            <v>0.98</v>
          </cell>
          <cell r="G339">
            <v>1</v>
          </cell>
          <cell r="H339" t="str">
            <v>exp</v>
          </cell>
          <cell r="I339" t="str">
            <v>強化素材タイプ</v>
          </cell>
          <cell r="J339">
            <v>0.1</v>
          </cell>
          <cell r="K339">
            <v>0.05</v>
          </cell>
          <cell r="L339">
            <v>1</v>
          </cell>
          <cell r="M339" t="str">
            <v>unknown</v>
          </cell>
          <cell r="N339" t="str">
            <v>Unknown</v>
          </cell>
          <cell r="O339">
            <v>1</v>
          </cell>
          <cell r="P339">
            <v>1</v>
          </cell>
          <cell r="Q339">
            <v>1</v>
          </cell>
          <cell r="R339" t="str">
            <v>Normal</v>
          </cell>
          <cell r="S339">
            <v>1</v>
          </cell>
          <cell r="T339">
            <v>1</v>
          </cell>
          <cell r="U339">
            <v>1</v>
          </cell>
          <cell r="V339">
            <v>3</v>
          </cell>
          <cell r="W339">
            <v>1</v>
          </cell>
          <cell r="X339">
            <v>20</v>
          </cell>
          <cell r="Y339">
            <v>1.1000000000000001</v>
          </cell>
          <cell r="Z339">
            <v>1.2</v>
          </cell>
          <cell r="AA339">
            <v>1.2</v>
          </cell>
          <cell r="AB339">
            <v>0</v>
          </cell>
        </row>
        <row r="340">
          <cell r="A340">
            <v>339</v>
          </cell>
          <cell r="B340" t="str">
            <v>森のメタルジェントル</v>
          </cell>
          <cell r="C340">
            <v>6</v>
          </cell>
          <cell r="D340" t="str">
            <v>green</v>
          </cell>
          <cell r="E340">
            <v>1.02</v>
          </cell>
          <cell r="F340">
            <v>0.98</v>
          </cell>
          <cell r="G340">
            <v>1</v>
          </cell>
          <cell r="H340" t="str">
            <v>exp</v>
          </cell>
          <cell r="I340" t="str">
            <v>強化素材タイプ</v>
          </cell>
          <cell r="J340">
            <v>0.1</v>
          </cell>
          <cell r="K340">
            <v>0.05</v>
          </cell>
          <cell r="L340">
            <v>1</v>
          </cell>
          <cell r="M340" t="str">
            <v>unknown</v>
          </cell>
          <cell r="N340" t="str">
            <v>Unknown</v>
          </cell>
          <cell r="O340">
            <v>1</v>
          </cell>
          <cell r="P340">
            <v>1</v>
          </cell>
          <cell r="Q340">
            <v>1</v>
          </cell>
          <cell r="R340" t="str">
            <v>Normal</v>
          </cell>
          <cell r="S340">
            <v>1</v>
          </cell>
          <cell r="T340">
            <v>1</v>
          </cell>
          <cell r="U340">
            <v>1</v>
          </cell>
          <cell r="V340">
            <v>4</v>
          </cell>
          <cell r="W340">
            <v>1.2</v>
          </cell>
          <cell r="X340">
            <v>20</v>
          </cell>
          <cell r="Y340">
            <v>1.1000000000000001</v>
          </cell>
          <cell r="Z340">
            <v>1.2</v>
          </cell>
          <cell r="AA340">
            <v>1.2</v>
          </cell>
          <cell r="AB340">
            <v>0</v>
          </cell>
        </row>
        <row r="341">
          <cell r="A341">
            <v>340</v>
          </cell>
          <cell r="B341" t="str">
            <v>水のメタルピヨピヨ</v>
          </cell>
          <cell r="C341">
            <v>3</v>
          </cell>
          <cell r="D341" t="str">
            <v>blue</v>
          </cell>
          <cell r="E341">
            <v>1</v>
          </cell>
          <cell r="F341">
            <v>0.98</v>
          </cell>
          <cell r="G341">
            <v>1</v>
          </cell>
          <cell r="H341" t="str">
            <v>exp</v>
          </cell>
          <cell r="I341" t="str">
            <v>強化素材タイプ</v>
          </cell>
          <cell r="J341">
            <v>0.1</v>
          </cell>
          <cell r="K341">
            <v>0.05</v>
          </cell>
          <cell r="L341">
            <v>1</v>
          </cell>
          <cell r="M341" t="str">
            <v>unknown</v>
          </cell>
          <cell r="N341" t="str">
            <v>Unknown</v>
          </cell>
          <cell r="O341">
            <v>1</v>
          </cell>
          <cell r="P341">
            <v>1</v>
          </cell>
          <cell r="Q341">
            <v>1</v>
          </cell>
          <cell r="R341" t="str">
            <v>Normal</v>
          </cell>
          <cell r="S341">
            <v>1</v>
          </cell>
          <cell r="T341">
            <v>1</v>
          </cell>
          <cell r="U341">
            <v>1</v>
          </cell>
          <cell r="V341">
            <v>1</v>
          </cell>
          <cell r="W341">
            <v>0.55000000000000004</v>
          </cell>
          <cell r="X341">
            <v>15</v>
          </cell>
          <cell r="Y341">
            <v>1</v>
          </cell>
          <cell r="Z341">
            <v>1</v>
          </cell>
          <cell r="AA341">
            <v>1</v>
          </cell>
          <cell r="AB341">
            <v>0</v>
          </cell>
        </row>
        <row r="342">
          <cell r="A342">
            <v>341</v>
          </cell>
          <cell r="B342" t="str">
            <v>水のメタルチック</v>
          </cell>
          <cell r="C342">
            <v>4</v>
          </cell>
          <cell r="D342" t="str">
            <v>blue</v>
          </cell>
          <cell r="E342">
            <v>1</v>
          </cell>
          <cell r="F342">
            <v>0.98</v>
          </cell>
          <cell r="G342">
            <v>1</v>
          </cell>
          <cell r="H342" t="str">
            <v>exp</v>
          </cell>
          <cell r="I342" t="str">
            <v>強化素材タイプ</v>
          </cell>
          <cell r="J342">
            <v>0.1</v>
          </cell>
          <cell r="K342">
            <v>0.05</v>
          </cell>
          <cell r="L342">
            <v>1</v>
          </cell>
          <cell r="M342" t="str">
            <v>unknown</v>
          </cell>
          <cell r="N342" t="str">
            <v>Unknown</v>
          </cell>
          <cell r="O342">
            <v>1</v>
          </cell>
          <cell r="P342">
            <v>1</v>
          </cell>
          <cell r="Q342">
            <v>1</v>
          </cell>
          <cell r="R342" t="str">
            <v>Normal</v>
          </cell>
          <cell r="S342">
            <v>1</v>
          </cell>
          <cell r="T342">
            <v>1</v>
          </cell>
          <cell r="U342">
            <v>1</v>
          </cell>
          <cell r="V342">
            <v>2</v>
          </cell>
          <cell r="W342">
            <v>0.75</v>
          </cell>
          <cell r="X342">
            <v>15</v>
          </cell>
          <cell r="Y342">
            <v>1</v>
          </cell>
          <cell r="Z342">
            <v>1</v>
          </cell>
          <cell r="AA342">
            <v>1</v>
          </cell>
          <cell r="AB342">
            <v>0</v>
          </cell>
        </row>
        <row r="343">
          <cell r="A343">
            <v>342</v>
          </cell>
          <cell r="B343" t="str">
            <v>水のメタルダック</v>
          </cell>
          <cell r="C343">
            <v>5</v>
          </cell>
          <cell r="D343" t="str">
            <v>blue</v>
          </cell>
          <cell r="E343">
            <v>1</v>
          </cell>
          <cell r="F343">
            <v>0.98</v>
          </cell>
          <cell r="G343">
            <v>1</v>
          </cell>
          <cell r="H343" t="str">
            <v>exp</v>
          </cell>
          <cell r="I343" t="str">
            <v>強化素材タイプ</v>
          </cell>
          <cell r="J343">
            <v>0.1</v>
          </cell>
          <cell r="K343">
            <v>0.05</v>
          </cell>
          <cell r="L343">
            <v>1</v>
          </cell>
          <cell r="M343" t="str">
            <v>unknown</v>
          </cell>
          <cell r="N343" t="str">
            <v>Unknown</v>
          </cell>
          <cell r="O343">
            <v>1</v>
          </cell>
          <cell r="P343">
            <v>1</v>
          </cell>
          <cell r="Q343">
            <v>1</v>
          </cell>
          <cell r="R343" t="str">
            <v>Normal</v>
          </cell>
          <cell r="S343">
            <v>1</v>
          </cell>
          <cell r="T343">
            <v>1</v>
          </cell>
          <cell r="U343">
            <v>1</v>
          </cell>
          <cell r="V343">
            <v>3</v>
          </cell>
          <cell r="W343">
            <v>1</v>
          </cell>
          <cell r="X343">
            <v>20</v>
          </cell>
          <cell r="Y343">
            <v>1.1000000000000001</v>
          </cell>
          <cell r="Z343">
            <v>1.2</v>
          </cell>
          <cell r="AA343">
            <v>1.2</v>
          </cell>
          <cell r="AB343">
            <v>0</v>
          </cell>
        </row>
        <row r="344">
          <cell r="A344">
            <v>343</v>
          </cell>
          <cell r="B344" t="str">
            <v>水のメタルジェントル</v>
          </cell>
          <cell r="C344">
            <v>6</v>
          </cell>
          <cell r="D344" t="str">
            <v>blue</v>
          </cell>
          <cell r="E344">
            <v>1</v>
          </cell>
          <cell r="F344">
            <v>0.98</v>
          </cell>
          <cell r="G344">
            <v>1</v>
          </cell>
          <cell r="H344" t="str">
            <v>exp</v>
          </cell>
          <cell r="I344" t="str">
            <v>強化素材タイプ</v>
          </cell>
          <cell r="J344">
            <v>0.1</v>
          </cell>
          <cell r="K344">
            <v>0.05</v>
          </cell>
          <cell r="L344">
            <v>1</v>
          </cell>
          <cell r="M344" t="str">
            <v>unknown</v>
          </cell>
          <cell r="N344" t="str">
            <v>Unknown</v>
          </cell>
          <cell r="O344">
            <v>1</v>
          </cell>
          <cell r="P344">
            <v>1</v>
          </cell>
          <cell r="Q344">
            <v>1</v>
          </cell>
          <cell r="R344" t="str">
            <v>Normal</v>
          </cell>
          <cell r="S344">
            <v>1</v>
          </cell>
          <cell r="T344">
            <v>1</v>
          </cell>
          <cell r="U344">
            <v>1</v>
          </cell>
          <cell r="V344">
            <v>4</v>
          </cell>
          <cell r="W344">
            <v>1.2</v>
          </cell>
          <cell r="X344">
            <v>20</v>
          </cell>
          <cell r="Y344">
            <v>1.1000000000000001</v>
          </cell>
          <cell r="Z344">
            <v>1.2</v>
          </cell>
          <cell r="AA344">
            <v>1.2</v>
          </cell>
          <cell r="AB344">
            <v>0</v>
          </cell>
        </row>
        <row r="345">
          <cell r="A345">
            <v>344</v>
          </cell>
          <cell r="B345" t="str">
            <v>雷のメタルピヨピヨ</v>
          </cell>
          <cell r="C345">
            <v>3</v>
          </cell>
          <cell r="D345" t="str">
            <v>yellow</v>
          </cell>
          <cell r="E345">
            <v>0.98</v>
          </cell>
          <cell r="F345">
            <v>1.01</v>
          </cell>
          <cell r="G345">
            <v>1</v>
          </cell>
          <cell r="H345" t="str">
            <v>exp</v>
          </cell>
          <cell r="I345" t="str">
            <v>強化素材タイプ</v>
          </cell>
          <cell r="J345">
            <v>0.1</v>
          </cell>
          <cell r="K345">
            <v>0.05</v>
          </cell>
          <cell r="L345">
            <v>1</v>
          </cell>
          <cell r="M345" t="str">
            <v>unknown</v>
          </cell>
          <cell r="N345" t="str">
            <v>Unknown</v>
          </cell>
          <cell r="O345">
            <v>1</v>
          </cell>
          <cell r="P345">
            <v>1</v>
          </cell>
          <cell r="Q345">
            <v>1</v>
          </cell>
          <cell r="R345" t="str">
            <v>Normal</v>
          </cell>
          <cell r="S345">
            <v>1</v>
          </cell>
          <cell r="T345">
            <v>1</v>
          </cell>
          <cell r="U345">
            <v>1</v>
          </cell>
          <cell r="V345">
            <v>1</v>
          </cell>
          <cell r="W345">
            <v>0.55000000000000004</v>
          </cell>
          <cell r="X345">
            <v>15</v>
          </cell>
          <cell r="Y345">
            <v>1</v>
          </cell>
          <cell r="Z345">
            <v>1</v>
          </cell>
          <cell r="AA345">
            <v>1</v>
          </cell>
          <cell r="AB345">
            <v>0</v>
          </cell>
        </row>
        <row r="346">
          <cell r="A346">
            <v>345</v>
          </cell>
          <cell r="B346" t="str">
            <v>雷のメタルチック</v>
          </cell>
          <cell r="C346">
            <v>4</v>
          </cell>
          <cell r="D346" t="str">
            <v>yellow</v>
          </cell>
          <cell r="E346">
            <v>0.98</v>
          </cell>
          <cell r="F346">
            <v>1.01</v>
          </cell>
          <cell r="G346">
            <v>1</v>
          </cell>
          <cell r="H346" t="str">
            <v>exp</v>
          </cell>
          <cell r="I346" t="str">
            <v>強化素材タイプ</v>
          </cell>
          <cell r="J346">
            <v>0.1</v>
          </cell>
          <cell r="K346">
            <v>0.05</v>
          </cell>
          <cell r="L346">
            <v>1</v>
          </cell>
          <cell r="M346" t="str">
            <v>unknown</v>
          </cell>
          <cell r="N346" t="str">
            <v>Unknown</v>
          </cell>
          <cell r="O346">
            <v>1</v>
          </cell>
          <cell r="P346">
            <v>1</v>
          </cell>
          <cell r="Q346">
            <v>1</v>
          </cell>
          <cell r="R346" t="str">
            <v>Normal</v>
          </cell>
          <cell r="S346">
            <v>1</v>
          </cell>
          <cell r="T346">
            <v>1</v>
          </cell>
          <cell r="U346">
            <v>1</v>
          </cell>
          <cell r="V346">
            <v>2</v>
          </cell>
          <cell r="W346">
            <v>0.75</v>
          </cell>
          <cell r="X346">
            <v>15</v>
          </cell>
          <cell r="Y346">
            <v>1</v>
          </cell>
          <cell r="Z346">
            <v>1</v>
          </cell>
          <cell r="AA346">
            <v>1</v>
          </cell>
          <cell r="AB346">
            <v>0</v>
          </cell>
        </row>
        <row r="347">
          <cell r="A347">
            <v>346</v>
          </cell>
          <cell r="B347" t="str">
            <v>雷のメタルダック</v>
          </cell>
          <cell r="C347">
            <v>5</v>
          </cell>
          <cell r="D347" t="str">
            <v>yellow</v>
          </cell>
          <cell r="E347">
            <v>0.98</v>
          </cell>
          <cell r="F347">
            <v>1.01</v>
          </cell>
          <cell r="G347">
            <v>1</v>
          </cell>
          <cell r="H347" t="str">
            <v>exp</v>
          </cell>
          <cell r="I347" t="str">
            <v>強化素材タイプ</v>
          </cell>
          <cell r="J347">
            <v>0.1</v>
          </cell>
          <cell r="K347">
            <v>0.05</v>
          </cell>
          <cell r="L347">
            <v>1</v>
          </cell>
          <cell r="M347" t="str">
            <v>unknown</v>
          </cell>
          <cell r="N347" t="str">
            <v>Unknown</v>
          </cell>
          <cell r="O347">
            <v>1</v>
          </cell>
          <cell r="P347">
            <v>1</v>
          </cell>
          <cell r="Q347">
            <v>1</v>
          </cell>
          <cell r="R347" t="str">
            <v>Normal</v>
          </cell>
          <cell r="S347">
            <v>1</v>
          </cell>
          <cell r="T347">
            <v>1</v>
          </cell>
          <cell r="U347">
            <v>1</v>
          </cell>
          <cell r="V347">
            <v>3</v>
          </cell>
          <cell r="W347">
            <v>1</v>
          </cell>
          <cell r="X347">
            <v>20</v>
          </cell>
          <cell r="Y347">
            <v>1.1000000000000001</v>
          </cell>
          <cell r="Z347">
            <v>1.2</v>
          </cell>
          <cell r="AA347">
            <v>1.2</v>
          </cell>
          <cell r="AB347">
            <v>0</v>
          </cell>
        </row>
        <row r="348">
          <cell r="A348">
            <v>347</v>
          </cell>
          <cell r="B348" t="str">
            <v>雷のメタルジェントル</v>
          </cell>
          <cell r="C348">
            <v>6</v>
          </cell>
          <cell r="D348" t="str">
            <v>yellow</v>
          </cell>
          <cell r="E348">
            <v>0.98</v>
          </cell>
          <cell r="F348">
            <v>1.01</v>
          </cell>
          <cell r="G348">
            <v>1</v>
          </cell>
          <cell r="H348" t="str">
            <v>exp</v>
          </cell>
          <cell r="I348" t="str">
            <v>強化素材タイプ</v>
          </cell>
          <cell r="J348">
            <v>0.1</v>
          </cell>
          <cell r="K348">
            <v>0.05</v>
          </cell>
          <cell r="L348">
            <v>1</v>
          </cell>
          <cell r="M348" t="str">
            <v>unknown</v>
          </cell>
          <cell r="N348" t="str">
            <v>Unknown</v>
          </cell>
          <cell r="O348">
            <v>1</v>
          </cell>
          <cell r="P348">
            <v>1</v>
          </cell>
          <cell r="Q348">
            <v>1</v>
          </cell>
          <cell r="R348" t="str">
            <v>Normal</v>
          </cell>
          <cell r="S348">
            <v>1</v>
          </cell>
          <cell r="T348">
            <v>1</v>
          </cell>
          <cell r="U348">
            <v>1</v>
          </cell>
          <cell r="V348">
            <v>4</v>
          </cell>
          <cell r="W348">
            <v>1.2</v>
          </cell>
          <cell r="X348">
            <v>20</v>
          </cell>
          <cell r="Y348">
            <v>1.1000000000000001</v>
          </cell>
          <cell r="Z348">
            <v>1.2</v>
          </cell>
          <cell r="AA348">
            <v>1.2</v>
          </cell>
          <cell r="AB348">
            <v>0</v>
          </cell>
        </row>
        <row r="349">
          <cell r="A349">
            <v>348</v>
          </cell>
          <cell r="B349" t="str">
            <v>炎のケロケロ</v>
          </cell>
          <cell r="C349">
            <v>5</v>
          </cell>
          <cell r="D349" t="str">
            <v>red</v>
          </cell>
          <cell r="E349">
            <v>1</v>
          </cell>
          <cell r="F349">
            <v>1.02</v>
          </cell>
          <cell r="G349">
            <v>1</v>
          </cell>
          <cell r="H349" t="str">
            <v>exp</v>
          </cell>
          <cell r="I349" t="str">
            <v>強化素材タイプ</v>
          </cell>
          <cell r="J349">
            <v>0.1</v>
          </cell>
          <cell r="K349">
            <v>0.05</v>
          </cell>
          <cell r="L349">
            <v>1</v>
          </cell>
          <cell r="M349" t="str">
            <v>unknown</v>
          </cell>
          <cell r="N349" t="str">
            <v>Unknown</v>
          </cell>
          <cell r="O349">
            <v>1</v>
          </cell>
          <cell r="P349">
            <v>1</v>
          </cell>
          <cell r="Q349">
            <v>1</v>
          </cell>
          <cell r="R349" t="str">
            <v>Normal</v>
          </cell>
          <cell r="S349">
            <v>1</v>
          </cell>
          <cell r="T349">
            <v>1</v>
          </cell>
          <cell r="U349">
            <v>1</v>
          </cell>
          <cell r="V349">
            <v>3</v>
          </cell>
          <cell r="W349">
            <v>1</v>
          </cell>
          <cell r="X349">
            <v>15</v>
          </cell>
          <cell r="Y349">
            <v>1</v>
          </cell>
          <cell r="Z349">
            <v>1</v>
          </cell>
          <cell r="AA349">
            <v>1</v>
          </cell>
          <cell r="AB349">
            <v>0</v>
          </cell>
        </row>
        <row r="350">
          <cell r="A350">
            <v>349</v>
          </cell>
          <cell r="B350" t="str">
            <v>炎のメタルフロッグ</v>
          </cell>
          <cell r="C350">
            <v>6</v>
          </cell>
          <cell r="D350" t="str">
            <v>red</v>
          </cell>
          <cell r="E350">
            <v>1</v>
          </cell>
          <cell r="F350">
            <v>1.02</v>
          </cell>
          <cell r="G350">
            <v>1</v>
          </cell>
          <cell r="H350" t="str">
            <v>exp</v>
          </cell>
          <cell r="I350" t="str">
            <v>強化素材タイプ</v>
          </cell>
          <cell r="J350">
            <v>0.1</v>
          </cell>
          <cell r="K350">
            <v>0.05</v>
          </cell>
          <cell r="L350">
            <v>1</v>
          </cell>
          <cell r="M350" t="str">
            <v>unknown</v>
          </cell>
          <cell r="N350" t="str">
            <v>Unknown</v>
          </cell>
          <cell r="O350">
            <v>1</v>
          </cell>
          <cell r="P350">
            <v>1</v>
          </cell>
          <cell r="Q350">
            <v>1</v>
          </cell>
          <cell r="R350" t="str">
            <v>Normal</v>
          </cell>
          <cell r="S350">
            <v>1</v>
          </cell>
          <cell r="T350">
            <v>1</v>
          </cell>
          <cell r="U350">
            <v>1</v>
          </cell>
          <cell r="V350">
            <v>3</v>
          </cell>
          <cell r="W350">
            <v>1</v>
          </cell>
          <cell r="X350">
            <v>15</v>
          </cell>
          <cell r="Y350">
            <v>1</v>
          </cell>
          <cell r="Z350">
            <v>1</v>
          </cell>
          <cell r="AA350">
            <v>1</v>
          </cell>
          <cell r="AB350">
            <v>0</v>
          </cell>
        </row>
        <row r="351">
          <cell r="A351">
            <v>350</v>
          </cell>
          <cell r="B351" t="str">
            <v>森のケロケロ</v>
          </cell>
          <cell r="C351">
            <v>5</v>
          </cell>
          <cell r="D351" t="str">
            <v>green</v>
          </cell>
          <cell r="E351">
            <v>1.02</v>
          </cell>
          <cell r="F351">
            <v>0.98</v>
          </cell>
          <cell r="G351">
            <v>1</v>
          </cell>
          <cell r="H351" t="str">
            <v>exp</v>
          </cell>
          <cell r="I351" t="str">
            <v>強化素材タイプ</v>
          </cell>
          <cell r="J351">
            <v>0.1</v>
          </cell>
          <cell r="K351">
            <v>0.05</v>
          </cell>
          <cell r="L351">
            <v>1</v>
          </cell>
          <cell r="M351" t="str">
            <v>unknown</v>
          </cell>
          <cell r="N351" t="str">
            <v>Unknown</v>
          </cell>
          <cell r="O351">
            <v>1</v>
          </cell>
          <cell r="P351">
            <v>1</v>
          </cell>
          <cell r="Q351">
            <v>1</v>
          </cell>
          <cell r="R351" t="str">
            <v>Normal</v>
          </cell>
          <cell r="S351">
            <v>1</v>
          </cell>
          <cell r="T351">
            <v>1</v>
          </cell>
          <cell r="U351">
            <v>1</v>
          </cell>
          <cell r="V351">
            <v>3</v>
          </cell>
          <cell r="W351">
            <v>1</v>
          </cell>
          <cell r="X351">
            <v>15</v>
          </cell>
          <cell r="Y351">
            <v>1</v>
          </cell>
          <cell r="Z351">
            <v>1</v>
          </cell>
          <cell r="AA351">
            <v>1</v>
          </cell>
          <cell r="AB351">
            <v>0</v>
          </cell>
        </row>
        <row r="352">
          <cell r="A352">
            <v>351</v>
          </cell>
          <cell r="B352" t="str">
            <v>森のメタルフロッグ</v>
          </cell>
          <cell r="C352">
            <v>6</v>
          </cell>
          <cell r="D352" t="str">
            <v>green</v>
          </cell>
          <cell r="E352">
            <v>1.02</v>
          </cell>
          <cell r="F352">
            <v>0.98</v>
          </cell>
          <cell r="G352">
            <v>1</v>
          </cell>
          <cell r="H352" t="str">
            <v>exp</v>
          </cell>
          <cell r="I352" t="str">
            <v>強化素材タイプ</v>
          </cell>
          <cell r="J352">
            <v>0.1</v>
          </cell>
          <cell r="K352">
            <v>0.05</v>
          </cell>
          <cell r="L352">
            <v>1</v>
          </cell>
          <cell r="M352" t="str">
            <v>unknown</v>
          </cell>
          <cell r="N352" t="str">
            <v>Unknown</v>
          </cell>
          <cell r="O352">
            <v>1</v>
          </cell>
          <cell r="P352">
            <v>1</v>
          </cell>
          <cell r="Q352">
            <v>1</v>
          </cell>
          <cell r="R352" t="str">
            <v>Normal</v>
          </cell>
          <cell r="S352">
            <v>1</v>
          </cell>
          <cell r="T352">
            <v>1</v>
          </cell>
          <cell r="U352">
            <v>1</v>
          </cell>
          <cell r="V352">
            <v>3</v>
          </cell>
          <cell r="W352">
            <v>1</v>
          </cell>
          <cell r="X352">
            <v>15</v>
          </cell>
          <cell r="Y352">
            <v>1</v>
          </cell>
          <cell r="Z352">
            <v>1</v>
          </cell>
          <cell r="AA352">
            <v>1</v>
          </cell>
          <cell r="AB352">
            <v>0</v>
          </cell>
        </row>
        <row r="353">
          <cell r="A353">
            <v>352</v>
          </cell>
          <cell r="B353" t="str">
            <v>水のケロケロ</v>
          </cell>
          <cell r="C353">
            <v>5</v>
          </cell>
          <cell r="D353" t="str">
            <v>blue</v>
          </cell>
          <cell r="E353">
            <v>1</v>
          </cell>
          <cell r="F353">
            <v>0.98</v>
          </cell>
          <cell r="G353">
            <v>1</v>
          </cell>
          <cell r="H353" t="str">
            <v>exp</v>
          </cell>
          <cell r="I353" t="str">
            <v>強化素材タイプ</v>
          </cell>
          <cell r="J353">
            <v>0.1</v>
          </cell>
          <cell r="K353">
            <v>0.05</v>
          </cell>
          <cell r="L353">
            <v>1</v>
          </cell>
          <cell r="M353" t="str">
            <v>unknown</v>
          </cell>
          <cell r="N353" t="str">
            <v>Unknown</v>
          </cell>
          <cell r="O353">
            <v>1</v>
          </cell>
          <cell r="P353">
            <v>1</v>
          </cell>
          <cell r="Q353">
            <v>1</v>
          </cell>
          <cell r="R353" t="str">
            <v>Normal</v>
          </cell>
          <cell r="S353">
            <v>1</v>
          </cell>
          <cell r="T353">
            <v>1</v>
          </cell>
          <cell r="U353">
            <v>1</v>
          </cell>
          <cell r="V353">
            <v>3</v>
          </cell>
          <cell r="W353">
            <v>1</v>
          </cell>
          <cell r="X353">
            <v>15</v>
          </cell>
          <cell r="Y353">
            <v>1</v>
          </cell>
          <cell r="Z353">
            <v>1</v>
          </cell>
          <cell r="AA353">
            <v>1</v>
          </cell>
          <cell r="AB353">
            <v>0</v>
          </cell>
        </row>
        <row r="354">
          <cell r="A354">
            <v>353</v>
          </cell>
          <cell r="B354" t="str">
            <v>水のメタルフロッグ</v>
          </cell>
          <cell r="C354">
            <v>6</v>
          </cell>
          <cell r="D354" t="str">
            <v>blue</v>
          </cell>
          <cell r="E354">
            <v>1</v>
          </cell>
          <cell r="F354">
            <v>0.98</v>
          </cell>
          <cell r="G354">
            <v>1</v>
          </cell>
          <cell r="H354" t="str">
            <v>exp</v>
          </cell>
          <cell r="I354" t="str">
            <v>強化素材タイプ</v>
          </cell>
          <cell r="J354">
            <v>0.1</v>
          </cell>
          <cell r="K354">
            <v>0.05</v>
          </cell>
          <cell r="L354">
            <v>1</v>
          </cell>
          <cell r="M354" t="str">
            <v>unknown</v>
          </cell>
          <cell r="N354" t="str">
            <v>Unknown</v>
          </cell>
          <cell r="O354">
            <v>1</v>
          </cell>
          <cell r="P354">
            <v>1</v>
          </cell>
          <cell r="Q354">
            <v>1</v>
          </cell>
          <cell r="R354" t="str">
            <v>Normal</v>
          </cell>
          <cell r="S354">
            <v>1</v>
          </cell>
          <cell r="T354">
            <v>1</v>
          </cell>
          <cell r="U354">
            <v>1</v>
          </cell>
          <cell r="V354">
            <v>3</v>
          </cell>
          <cell r="W354">
            <v>1</v>
          </cell>
          <cell r="X354">
            <v>15</v>
          </cell>
          <cell r="Y354">
            <v>1</v>
          </cell>
          <cell r="Z354">
            <v>1</v>
          </cell>
          <cell r="AA354">
            <v>1</v>
          </cell>
          <cell r="AB354">
            <v>0</v>
          </cell>
        </row>
        <row r="355">
          <cell r="A355">
            <v>354</v>
          </cell>
          <cell r="B355" t="str">
            <v>雷のケロケロ</v>
          </cell>
          <cell r="C355">
            <v>5</v>
          </cell>
          <cell r="D355" t="str">
            <v>yellow</v>
          </cell>
          <cell r="E355">
            <v>0.98</v>
          </cell>
          <cell r="F355">
            <v>1.01</v>
          </cell>
          <cell r="G355">
            <v>1</v>
          </cell>
          <cell r="H355" t="str">
            <v>exp</v>
          </cell>
          <cell r="I355" t="str">
            <v>強化素材タイプ</v>
          </cell>
          <cell r="J355">
            <v>0.1</v>
          </cell>
          <cell r="K355">
            <v>0.05</v>
          </cell>
          <cell r="L355">
            <v>1</v>
          </cell>
          <cell r="M355" t="str">
            <v>unknown</v>
          </cell>
          <cell r="N355" t="str">
            <v>Unknown</v>
          </cell>
          <cell r="O355">
            <v>1</v>
          </cell>
          <cell r="P355">
            <v>1</v>
          </cell>
          <cell r="Q355">
            <v>1</v>
          </cell>
          <cell r="R355" t="str">
            <v>Normal</v>
          </cell>
          <cell r="S355">
            <v>1</v>
          </cell>
          <cell r="T355">
            <v>1</v>
          </cell>
          <cell r="U355">
            <v>1</v>
          </cell>
          <cell r="V355">
            <v>3</v>
          </cell>
          <cell r="W355">
            <v>1</v>
          </cell>
          <cell r="X355">
            <v>15</v>
          </cell>
          <cell r="Y355">
            <v>1</v>
          </cell>
          <cell r="Z355">
            <v>1</v>
          </cell>
          <cell r="AA355">
            <v>1</v>
          </cell>
          <cell r="AB355">
            <v>0</v>
          </cell>
        </row>
        <row r="356">
          <cell r="A356">
            <v>355</v>
          </cell>
          <cell r="B356" t="str">
            <v>雷のメタルフロッグ</v>
          </cell>
          <cell r="C356">
            <v>6</v>
          </cell>
          <cell r="D356" t="str">
            <v>yellow</v>
          </cell>
          <cell r="E356">
            <v>0.98</v>
          </cell>
          <cell r="F356">
            <v>1.01</v>
          </cell>
          <cell r="G356">
            <v>1</v>
          </cell>
          <cell r="H356" t="str">
            <v>exp</v>
          </cell>
          <cell r="I356" t="str">
            <v>強化素材タイプ</v>
          </cell>
          <cell r="J356">
            <v>0.1</v>
          </cell>
          <cell r="K356">
            <v>0.05</v>
          </cell>
          <cell r="L356">
            <v>1</v>
          </cell>
          <cell r="M356" t="str">
            <v>unknown</v>
          </cell>
          <cell r="N356" t="str">
            <v>Unknown</v>
          </cell>
          <cell r="O356">
            <v>1</v>
          </cell>
          <cell r="P356">
            <v>1</v>
          </cell>
          <cell r="Q356">
            <v>1</v>
          </cell>
          <cell r="R356" t="str">
            <v>Normal</v>
          </cell>
          <cell r="S356">
            <v>1</v>
          </cell>
          <cell r="T356">
            <v>1</v>
          </cell>
          <cell r="U356">
            <v>1</v>
          </cell>
          <cell r="V356">
            <v>3</v>
          </cell>
          <cell r="W356">
            <v>1</v>
          </cell>
          <cell r="X356">
            <v>15</v>
          </cell>
          <cell r="Y356">
            <v>1</v>
          </cell>
          <cell r="Z356">
            <v>1</v>
          </cell>
          <cell r="AA356">
            <v>1</v>
          </cell>
          <cell r="AB356">
            <v>0</v>
          </cell>
        </row>
        <row r="357">
          <cell r="A357">
            <v>356</v>
          </cell>
          <cell r="B357" t="str">
            <v>炎上のドードー</v>
          </cell>
          <cell r="C357">
            <v>5</v>
          </cell>
          <cell r="D357" t="str">
            <v>red</v>
          </cell>
          <cell r="E357">
            <v>1</v>
          </cell>
          <cell r="F357">
            <v>1.02</v>
          </cell>
          <cell r="G357">
            <v>1</v>
          </cell>
          <cell r="H357" t="str">
            <v>evolution</v>
          </cell>
          <cell r="I357" t="str">
            <v>覚醒素材タイプ</v>
          </cell>
          <cell r="J357">
            <v>0.1</v>
          </cell>
          <cell r="K357">
            <v>0.05</v>
          </cell>
          <cell r="L357">
            <v>1</v>
          </cell>
          <cell r="M357" t="str">
            <v>unknown</v>
          </cell>
          <cell r="N357" t="str">
            <v>Unknown</v>
          </cell>
          <cell r="O357">
            <v>1</v>
          </cell>
          <cell r="P357">
            <v>1</v>
          </cell>
          <cell r="Q357">
            <v>1</v>
          </cell>
          <cell r="R357" t="str">
            <v>Normal</v>
          </cell>
          <cell r="S357">
            <v>1</v>
          </cell>
          <cell r="T357">
            <v>1</v>
          </cell>
          <cell r="U357">
            <v>1</v>
          </cell>
          <cell r="V357">
            <v>3</v>
          </cell>
          <cell r="W357">
            <v>1</v>
          </cell>
          <cell r="X357">
            <v>20</v>
          </cell>
          <cell r="Y357">
            <v>1</v>
          </cell>
          <cell r="Z357">
            <v>1</v>
          </cell>
          <cell r="AA357">
            <v>1</v>
          </cell>
          <cell r="AB357">
            <v>0</v>
          </cell>
        </row>
        <row r="358">
          <cell r="A358">
            <v>357</v>
          </cell>
          <cell r="B358" t="str">
            <v>千風のグリフォン</v>
          </cell>
          <cell r="C358">
            <v>5</v>
          </cell>
          <cell r="D358" t="str">
            <v>green</v>
          </cell>
          <cell r="E358">
            <v>1.02</v>
          </cell>
          <cell r="F358">
            <v>0.98</v>
          </cell>
          <cell r="G358">
            <v>1</v>
          </cell>
          <cell r="H358" t="str">
            <v>evolution</v>
          </cell>
          <cell r="I358" t="str">
            <v>覚醒素材タイプ</v>
          </cell>
          <cell r="J358">
            <v>0.1</v>
          </cell>
          <cell r="K358">
            <v>0.05</v>
          </cell>
          <cell r="L358">
            <v>1</v>
          </cell>
          <cell r="M358" t="str">
            <v>unknown</v>
          </cell>
          <cell r="N358" t="str">
            <v>Unknown</v>
          </cell>
          <cell r="O358">
            <v>1</v>
          </cell>
          <cell r="P358">
            <v>1</v>
          </cell>
          <cell r="Q358">
            <v>1</v>
          </cell>
          <cell r="R358" t="str">
            <v>Normal</v>
          </cell>
          <cell r="S358">
            <v>1</v>
          </cell>
          <cell r="T358">
            <v>1</v>
          </cell>
          <cell r="U358">
            <v>1</v>
          </cell>
          <cell r="V358">
            <v>3</v>
          </cell>
          <cell r="W358">
            <v>1</v>
          </cell>
          <cell r="X358">
            <v>20</v>
          </cell>
          <cell r="Y358">
            <v>1</v>
          </cell>
          <cell r="Z358">
            <v>1</v>
          </cell>
          <cell r="AA358">
            <v>1</v>
          </cell>
          <cell r="AB358">
            <v>0</v>
          </cell>
        </row>
        <row r="359">
          <cell r="A359">
            <v>358</v>
          </cell>
          <cell r="B359" t="str">
            <v>深淵の代用ウミガメ</v>
          </cell>
          <cell r="C359">
            <v>5</v>
          </cell>
          <cell r="D359" t="str">
            <v>blue</v>
          </cell>
          <cell r="E359">
            <v>1</v>
          </cell>
          <cell r="F359">
            <v>0.98</v>
          </cell>
          <cell r="G359">
            <v>1</v>
          </cell>
          <cell r="H359" t="str">
            <v>evolution</v>
          </cell>
          <cell r="I359" t="str">
            <v>覚醒素材タイプ</v>
          </cell>
          <cell r="J359">
            <v>0.1</v>
          </cell>
          <cell r="K359">
            <v>0.05</v>
          </cell>
          <cell r="L359">
            <v>1</v>
          </cell>
          <cell r="M359" t="str">
            <v>unknown</v>
          </cell>
          <cell r="N359" t="str">
            <v>Unknown</v>
          </cell>
          <cell r="O359">
            <v>1</v>
          </cell>
          <cell r="P359">
            <v>1</v>
          </cell>
          <cell r="Q359">
            <v>1</v>
          </cell>
          <cell r="R359" t="str">
            <v>Normal</v>
          </cell>
          <cell r="S359">
            <v>1</v>
          </cell>
          <cell r="T359">
            <v>1</v>
          </cell>
          <cell r="U359">
            <v>1</v>
          </cell>
          <cell r="V359">
            <v>3</v>
          </cell>
          <cell r="W359">
            <v>1</v>
          </cell>
          <cell r="X359">
            <v>20</v>
          </cell>
          <cell r="Y359">
            <v>1</v>
          </cell>
          <cell r="Z359">
            <v>1</v>
          </cell>
          <cell r="AA359">
            <v>1</v>
          </cell>
          <cell r="AB359">
            <v>0</v>
          </cell>
        </row>
        <row r="360">
          <cell r="A360">
            <v>359</v>
          </cell>
          <cell r="B360" t="str">
            <v>醒電の眠りネズミ</v>
          </cell>
          <cell r="C360">
            <v>5</v>
          </cell>
          <cell r="D360" t="str">
            <v>yellow</v>
          </cell>
          <cell r="E360">
            <v>0.98</v>
          </cell>
          <cell r="F360">
            <v>1.01</v>
          </cell>
          <cell r="G360">
            <v>1</v>
          </cell>
          <cell r="H360" t="str">
            <v>evolution</v>
          </cell>
          <cell r="I360" t="str">
            <v>覚醒素材タイプ</v>
          </cell>
          <cell r="J360">
            <v>0.1</v>
          </cell>
          <cell r="K360">
            <v>0.05</v>
          </cell>
          <cell r="L360">
            <v>1</v>
          </cell>
          <cell r="M360" t="str">
            <v>unknown</v>
          </cell>
          <cell r="N360" t="str">
            <v>Unknown</v>
          </cell>
          <cell r="O360">
            <v>1</v>
          </cell>
          <cell r="P360">
            <v>1</v>
          </cell>
          <cell r="Q360">
            <v>1</v>
          </cell>
          <cell r="R360" t="str">
            <v>Normal</v>
          </cell>
          <cell r="S360">
            <v>1</v>
          </cell>
          <cell r="T360">
            <v>1</v>
          </cell>
          <cell r="U360">
            <v>1</v>
          </cell>
          <cell r="V360">
            <v>3</v>
          </cell>
          <cell r="W360">
            <v>1</v>
          </cell>
          <cell r="X360">
            <v>20</v>
          </cell>
          <cell r="Y360">
            <v>1</v>
          </cell>
          <cell r="Z360">
            <v>1</v>
          </cell>
          <cell r="AA360">
            <v>1</v>
          </cell>
          <cell r="AB360">
            <v>0</v>
          </cell>
        </row>
        <row r="361">
          <cell r="A361">
            <v>360</v>
          </cell>
          <cell r="B361" t="str">
            <v>ガンテツ</v>
          </cell>
          <cell r="C361">
            <v>2</v>
          </cell>
          <cell r="D361" t="str">
            <v>red</v>
          </cell>
          <cell r="E361">
            <v>1</v>
          </cell>
          <cell r="F361">
            <v>1.02</v>
          </cell>
          <cell r="G361">
            <v>1</v>
          </cell>
          <cell r="H361" t="str">
            <v>hp</v>
          </cell>
          <cell r="I361" t="str">
            <v>体力タイプ</v>
          </cell>
          <cell r="J361">
            <v>1.45</v>
          </cell>
          <cell r="K361">
            <v>0.85</v>
          </cell>
          <cell r="L361">
            <v>1</v>
          </cell>
          <cell r="M361" t="str">
            <v>animal</v>
          </cell>
          <cell r="N361" t="str">
            <v>アニマル</v>
          </cell>
          <cell r="O361">
            <v>1</v>
          </cell>
          <cell r="P361">
            <v>1.1000000000000001</v>
          </cell>
          <cell r="Q361">
            <v>1</v>
          </cell>
          <cell r="R361" t="str">
            <v>Normal</v>
          </cell>
          <cell r="S361">
            <v>1</v>
          </cell>
          <cell r="T361">
            <v>1</v>
          </cell>
          <cell r="U361">
            <v>1</v>
          </cell>
          <cell r="V361">
            <v>3</v>
          </cell>
          <cell r="W361">
            <v>1</v>
          </cell>
          <cell r="X361">
            <v>15</v>
          </cell>
          <cell r="Y361">
            <v>1</v>
          </cell>
          <cell r="Z361">
            <v>1</v>
          </cell>
          <cell r="AA361">
            <v>1</v>
          </cell>
          <cell r="AB361">
            <v>0</v>
          </cell>
        </row>
        <row r="362">
          <cell r="A362">
            <v>361</v>
          </cell>
          <cell r="B362" t="str">
            <v>灼熱の鉄板 ガンテツ</v>
          </cell>
          <cell r="C362">
            <v>3</v>
          </cell>
          <cell r="D362" t="str">
            <v>red</v>
          </cell>
          <cell r="E362">
            <v>1</v>
          </cell>
          <cell r="F362">
            <v>1.02</v>
          </cell>
          <cell r="G362">
            <v>1</v>
          </cell>
          <cell r="H362" t="str">
            <v>hp</v>
          </cell>
          <cell r="I362" t="str">
            <v>体力タイプ</v>
          </cell>
          <cell r="J362">
            <v>1.45</v>
          </cell>
          <cell r="K362">
            <v>0.85</v>
          </cell>
          <cell r="L362">
            <v>1</v>
          </cell>
          <cell r="M362" t="str">
            <v>animal</v>
          </cell>
          <cell r="N362" t="str">
            <v>アニマル</v>
          </cell>
          <cell r="O362">
            <v>1</v>
          </cell>
          <cell r="P362">
            <v>1.1000000000000001</v>
          </cell>
          <cell r="Q362">
            <v>1</v>
          </cell>
          <cell r="R362" t="str">
            <v>Normal</v>
          </cell>
          <cell r="S362">
            <v>1</v>
          </cell>
          <cell r="T362">
            <v>1</v>
          </cell>
          <cell r="U362">
            <v>1</v>
          </cell>
          <cell r="V362">
            <v>3</v>
          </cell>
          <cell r="W362">
            <v>1</v>
          </cell>
          <cell r="X362">
            <v>15</v>
          </cell>
          <cell r="Y362">
            <v>1</v>
          </cell>
          <cell r="Z362">
            <v>1</v>
          </cell>
          <cell r="AA362">
            <v>1</v>
          </cell>
          <cell r="AB362">
            <v>0</v>
          </cell>
        </row>
        <row r="363">
          <cell r="A363">
            <v>362</v>
          </cell>
          <cell r="B363" t="str">
            <v>ゆらら</v>
          </cell>
          <cell r="C363">
            <v>2</v>
          </cell>
          <cell r="D363" t="str">
            <v>green</v>
          </cell>
          <cell r="E363">
            <v>1.02</v>
          </cell>
          <cell r="F363">
            <v>0.98</v>
          </cell>
          <cell r="G363">
            <v>1</v>
          </cell>
          <cell r="H363" t="str">
            <v>technical</v>
          </cell>
          <cell r="I363" t="str">
            <v>テクニカルタイプ</v>
          </cell>
          <cell r="J363">
            <v>0.9</v>
          </cell>
          <cell r="K363">
            <v>0.9</v>
          </cell>
          <cell r="L363">
            <v>1</v>
          </cell>
          <cell r="M363" t="str">
            <v>animal</v>
          </cell>
          <cell r="N363" t="str">
            <v>アニマル</v>
          </cell>
          <cell r="O363">
            <v>1</v>
          </cell>
          <cell r="P363">
            <v>1.1000000000000001</v>
          </cell>
          <cell r="Q363">
            <v>1</v>
          </cell>
          <cell r="R363" t="str">
            <v>Normal</v>
          </cell>
          <cell r="S363">
            <v>1</v>
          </cell>
          <cell r="T363">
            <v>1</v>
          </cell>
          <cell r="U363">
            <v>1</v>
          </cell>
          <cell r="V363">
            <v>3</v>
          </cell>
          <cell r="W363">
            <v>1</v>
          </cell>
          <cell r="X363">
            <v>15</v>
          </cell>
          <cell r="Y363">
            <v>1</v>
          </cell>
          <cell r="Z363">
            <v>1</v>
          </cell>
          <cell r="AA363">
            <v>1</v>
          </cell>
          <cell r="AB363">
            <v>0</v>
          </cell>
        </row>
        <row r="364">
          <cell r="A364">
            <v>363</v>
          </cell>
          <cell r="B364" t="str">
            <v>花咲く幼精 ゆらら</v>
          </cell>
          <cell r="C364">
            <v>3</v>
          </cell>
          <cell r="D364" t="str">
            <v>green</v>
          </cell>
          <cell r="E364">
            <v>1.02</v>
          </cell>
          <cell r="F364">
            <v>0.98</v>
          </cell>
          <cell r="G364">
            <v>1</v>
          </cell>
          <cell r="H364" t="str">
            <v>technical</v>
          </cell>
          <cell r="I364" t="str">
            <v>テクニカルタイプ</v>
          </cell>
          <cell r="J364">
            <v>0.9</v>
          </cell>
          <cell r="K364">
            <v>0.9</v>
          </cell>
          <cell r="L364">
            <v>1</v>
          </cell>
          <cell r="M364" t="str">
            <v>animal</v>
          </cell>
          <cell r="N364" t="str">
            <v>アニマル</v>
          </cell>
          <cell r="O364">
            <v>1</v>
          </cell>
          <cell r="P364">
            <v>1.1000000000000001</v>
          </cell>
          <cell r="Q364">
            <v>1</v>
          </cell>
          <cell r="R364" t="str">
            <v>Normal</v>
          </cell>
          <cell r="S364">
            <v>1</v>
          </cell>
          <cell r="T364">
            <v>1</v>
          </cell>
          <cell r="U364">
            <v>1</v>
          </cell>
          <cell r="V364">
            <v>3</v>
          </cell>
          <cell r="W364">
            <v>1</v>
          </cell>
          <cell r="X364">
            <v>15</v>
          </cell>
          <cell r="Y364">
            <v>1</v>
          </cell>
          <cell r="Z364">
            <v>1</v>
          </cell>
          <cell r="AA364">
            <v>1</v>
          </cell>
          <cell r="AB364">
            <v>0</v>
          </cell>
        </row>
        <row r="365">
          <cell r="A365">
            <v>364</v>
          </cell>
          <cell r="B365" t="str">
            <v>ノエル</v>
          </cell>
          <cell r="C365">
            <v>2</v>
          </cell>
          <cell r="D365" t="str">
            <v>blue</v>
          </cell>
          <cell r="E365">
            <v>1</v>
          </cell>
          <cell r="F365">
            <v>0.98</v>
          </cell>
          <cell r="G365">
            <v>1</v>
          </cell>
          <cell r="H365" t="str">
            <v>attack</v>
          </cell>
          <cell r="I365" t="str">
            <v>攻撃タイプ</v>
          </cell>
          <cell r="J365">
            <v>1</v>
          </cell>
          <cell r="K365">
            <v>1.33</v>
          </cell>
          <cell r="L365">
            <v>1</v>
          </cell>
          <cell r="M365" t="str">
            <v>animal</v>
          </cell>
          <cell r="N365" t="str">
            <v>アニマル</v>
          </cell>
          <cell r="O365">
            <v>1</v>
          </cell>
          <cell r="P365">
            <v>1.1000000000000001</v>
          </cell>
          <cell r="Q365">
            <v>1</v>
          </cell>
          <cell r="R365" t="str">
            <v>Normal</v>
          </cell>
          <cell r="S365">
            <v>1</v>
          </cell>
          <cell r="T365">
            <v>1</v>
          </cell>
          <cell r="U365">
            <v>1</v>
          </cell>
          <cell r="V365">
            <v>3</v>
          </cell>
          <cell r="W365">
            <v>1</v>
          </cell>
          <cell r="X365">
            <v>15</v>
          </cell>
          <cell r="Y365">
            <v>1</v>
          </cell>
          <cell r="Z365">
            <v>1</v>
          </cell>
          <cell r="AA365">
            <v>1</v>
          </cell>
          <cell r="AB365">
            <v>0</v>
          </cell>
        </row>
        <row r="366">
          <cell r="A366">
            <v>365</v>
          </cell>
          <cell r="B366" t="str">
            <v>惨劇の人形 ノエル</v>
          </cell>
          <cell r="C366">
            <v>3</v>
          </cell>
          <cell r="D366" t="str">
            <v>blue</v>
          </cell>
          <cell r="E366">
            <v>1</v>
          </cell>
          <cell r="F366">
            <v>0.98</v>
          </cell>
          <cell r="G366">
            <v>1</v>
          </cell>
          <cell r="H366" t="str">
            <v>attack</v>
          </cell>
          <cell r="I366" t="str">
            <v>攻撃タイプ</v>
          </cell>
          <cell r="J366">
            <v>1</v>
          </cell>
          <cell r="K366">
            <v>1.33</v>
          </cell>
          <cell r="L366">
            <v>1</v>
          </cell>
          <cell r="M366" t="str">
            <v>animal</v>
          </cell>
          <cell r="N366" t="str">
            <v>アニマル</v>
          </cell>
          <cell r="O366">
            <v>1</v>
          </cell>
          <cell r="P366">
            <v>1.1000000000000001</v>
          </cell>
          <cell r="Q366">
            <v>1</v>
          </cell>
          <cell r="R366" t="str">
            <v>Normal</v>
          </cell>
          <cell r="S366">
            <v>1</v>
          </cell>
          <cell r="T366">
            <v>1</v>
          </cell>
          <cell r="U366">
            <v>1</v>
          </cell>
          <cell r="V366">
            <v>3</v>
          </cell>
          <cell r="W366">
            <v>1</v>
          </cell>
          <cell r="X366">
            <v>15</v>
          </cell>
          <cell r="Y366">
            <v>1</v>
          </cell>
          <cell r="Z366">
            <v>1</v>
          </cell>
          <cell r="AA366">
            <v>1</v>
          </cell>
          <cell r="AB366">
            <v>0</v>
          </cell>
        </row>
        <row r="367">
          <cell r="A367">
            <v>366</v>
          </cell>
          <cell r="B367" t="str">
            <v>トト</v>
          </cell>
          <cell r="C367">
            <v>2</v>
          </cell>
          <cell r="D367" t="str">
            <v>yellow</v>
          </cell>
          <cell r="E367">
            <v>0.98</v>
          </cell>
          <cell r="F367">
            <v>1.01</v>
          </cell>
          <cell r="G367">
            <v>1</v>
          </cell>
          <cell r="H367" t="str">
            <v>balance</v>
          </cell>
          <cell r="I367" t="str">
            <v>バランスタイプ</v>
          </cell>
          <cell r="J367">
            <v>1</v>
          </cell>
          <cell r="K367">
            <v>1</v>
          </cell>
          <cell r="L367">
            <v>1</v>
          </cell>
          <cell r="M367" t="str">
            <v>animal</v>
          </cell>
          <cell r="N367" t="str">
            <v>アニマル</v>
          </cell>
          <cell r="O367">
            <v>1</v>
          </cell>
          <cell r="P367">
            <v>1.1000000000000001</v>
          </cell>
          <cell r="Q367">
            <v>1</v>
          </cell>
          <cell r="R367" t="str">
            <v>Normal</v>
          </cell>
          <cell r="S367">
            <v>1</v>
          </cell>
          <cell r="T367">
            <v>1</v>
          </cell>
          <cell r="U367">
            <v>1</v>
          </cell>
          <cell r="V367">
            <v>3</v>
          </cell>
          <cell r="W367">
            <v>1</v>
          </cell>
          <cell r="X367">
            <v>15</v>
          </cell>
          <cell r="Y367">
            <v>1</v>
          </cell>
          <cell r="Z367">
            <v>1</v>
          </cell>
          <cell r="AA367">
            <v>1</v>
          </cell>
          <cell r="AB367">
            <v>0</v>
          </cell>
        </row>
        <row r="368">
          <cell r="A368">
            <v>367</v>
          </cell>
          <cell r="B368" t="str">
            <v>爆進の小兵 トト</v>
          </cell>
          <cell r="C368">
            <v>3</v>
          </cell>
          <cell r="D368" t="str">
            <v>yellow</v>
          </cell>
          <cell r="E368">
            <v>0.98</v>
          </cell>
          <cell r="F368">
            <v>1.01</v>
          </cell>
          <cell r="G368">
            <v>1</v>
          </cell>
          <cell r="H368" t="str">
            <v>balance</v>
          </cell>
          <cell r="I368" t="str">
            <v>バランスタイプ</v>
          </cell>
          <cell r="J368">
            <v>1</v>
          </cell>
          <cell r="K368">
            <v>1</v>
          </cell>
          <cell r="L368">
            <v>1</v>
          </cell>
          <cell r="M368" t="str">
            <v>animal</v>
          </cell>
          <cell r="N368" t="str">
            <v>アニマル</v>
          </cell>
          <cell r="O368">
            <v>1</v>
          </cell>
          <cell r="P368">
            <v>1.1000000000000001</v>
          </cell>
          <cell r="Q368">
            <v>1</v>
          </cell>
          <cell r="R368" t="str">
            <v>Normal</v>
          </cell>
          <cell r="S368">
            <v>1</v>
          </cell>
          <cell r="T368">
            <v>1</v>
          </cell>
          <cell r="U368">
            <v>1</v>
          </cell>
          <cell r="V368">
            <v>3</v>
          </cell>
          <cell r="W368">
            <v>1</v>
          </cell>
          <cell r="X368">
            <v>15</v>
          </cell>
          <cell r="Y368">
            <v>1</v>
          </cell>
          <cell r="Z368">
            <v>1</v>
          </cell>
          <cell r="AA368">
            <v>1</v>
          </cell>
          <cell r="AB368">
            <v>0</v>
          </cell>
        </row>
        <row r="369">
          <cell r="A369">
            <v>368</v>
          </cell>
          <cell r="B369" t="str">
            <v>ボイル</v>
          </cell>
          <cell r="C369">
            <v>4</v>
          </cell>
          <cell r="D369" t="str">
            <v>red</v>
          </cell>
          <cell r="E369">
            <v>1</v>
          </cell>
          <cell r="F369">
            <v>1.02</v>
          </cell>
          <cell r="G369">
            <v>1</v>
          </cell>
          <cell r="H369" t="str">
            <v>technical</v>
          </cell>
          <cell r="I369" t="str">
            <v>テクニカルタイプ</v>
          </cell>
          <cell r="J369">
            <v>0.9</v>
          </cell>
          <cell r="K369">
            <v>0.9</v>
          </cell>
          <cell r="L369">
            <v>1</v>
          </cell>
          <cell r="M369" t="str">
            <v>human</v>
          </cell>
          <cell r="N369" t="str">
            <v>ヒューマン</v>
          </cell>
          <cell r="O369">
            <v>0.94</v>
          </cell>
          <cell r="P369">
            <v>0.99</v>
          </cell>
          <cell r="Q369">
            <v>1</v>
          </cell>
          <cell r="R369" t="str">
            <v>Boss</v>
          </cell>
          <cell r="S369">
            <v>5</v>
          </cell>
          <cell r="T369">
            <v>1.3</v>
          </cell>
          <cell r="U369">
            <v>0.8</v>
          </cell>
          <cell r="V369">
            <v>3</v>
          </cell>
          <cell r="W369">
            <v>1</v>
          </cell>
          <cell r="X369">
            <v>60</v>
          </cell>
          <cell r="Y369">
            <v>1.7</v>
          </cell>
          <cell r="Z369">
            <v>1.4</v>
          </cell>
          <cell r="AA369">
            <v>1</v>
          </cell>
          <cell r="AB369">
            <v>0</v>
          </cell>
        </row>
        <row r="370">
          <cell r="A370">
            <v>369</v>
          </cell>
          <cell r="B370" t="str">
            <v>赫熱の重腕 ボイル</v>
          </cell>
          <cell r="C370">
            <v>5</v>
          </cell>
          <cell r="D370" t="str">
            <v>red</v>
          </cell>
          <cell r="E370">
            <v>1</v>
          </cell>
          <cell r="F370">
            <v>1.02</v>
          </cell>
          <cell r="G370">
            <v>1</v>
          </cell>
          <cell r="H370" t="str">
            <v>technical</v>
          </cell>
          <cell r="I370" t="str">
            <v>テクニカルタイプ</v>
          </cell>
          <cell r="J370">
            <v>0.9</v>
          </cell>
          <cell r="K370">
            <v>0.9</v>
          </cell>
          <cell r="L370">
            <v>1</v>
          </cell>
          <cell r="M370" t="str">
            <v>human</v>
          </cell>
          <cell r="N370" t="str">
            <v>ヒューマン</v>
          </cell>
          <cell r="O370">
            <v>0.94</v>
          </cell>
          <cell r="P370">
            <v>0.99</v>
          </cell>
          <cell r="Q370">
            <v>1</v>
          </cell>
          <cell r="R370" t="str">
            <v>Boss_HPx2.5</v>
          </cell>
          <cell r="S370">
            <v>12.5</v>
          </cell>
          <cell r="T370">
            <v>1</v>
          </cell>
          <cell r="U370">
            <v>0.8</v>
          </cell>
          <cell r="V370">
            <v>3</v>
          </cell>
          <cell r="W370">
            <v>1</v>
          </cell>
          <cell r="X370">
            <v>60</v>
          </cell>
          <cell r="Y370">
            <v>1.7</v>
          </cell>
          <cell r="Z370">
            <v>1.4</v>
          </cell>
          <cell r="AA370">
            <v>1</v>
          </cell>
          <cell r="AB370">
            <v>0</v>
          </cell>
        </row>
        <row r="371">
          <cell r="A371">
            <v>370</v>
          </cell>
          <cell r="B371" t="str">
            <v>タイチ</v>
          </cell>
          <cell r="C371">
            <v>2</v>
          </cell>
          <cell r="D371" t="str">
            <v>red</v>
          </cell>
          <cell r="E371">
            <v>1</v>
          </cell>
          <cell r="F371">
            <v>1.02</v>
          </cell>
          <cell r="G371">
            <v>1</v>
          </cell>
          <cell r="H371" t="str">
            <v>attack</v>
          </cell>
          <cell r="I371" t="str">
            <v>攻撃タイプ</v>
          </cell>
          <cell r="J371">
            <v>1</v>
          </cell>
          <cell r="K371">
            <v>1.33</v>
          </cell>
          <cell r="L371">
            <v>1</v>
          </cell>
          <cell r="M371" t="str">
            <v>unknown</v>
          </cell>
          <cell r="N371" t="str">
            <v>Unknown</v>
          </cell>
          <cell r="O371">
            <v>1</v>
          </cell>
          <cell r="P371">
            <v>1</v>
          </cell>
          <cell r="Q371">
            <v>1</v>
          </cell>
          <cell r="R371" t="str">
            <v>Normal</v>
          </cell>
          <cell r="S371">
            <v>1</v>
          </cell>
          <cell r="T371">
            <v>1</v>
          </cell>
          <cell r="U371">
            <v>1</v>
          </cell>
          <cell r="V371">
            <v>2</v>
          </cell>
          <cell r="W371">
            <v>0.75</v>
          </cell>
          <cell r="X371">
            <v>15</v>
          </cell>
          <cell r="Y371">
            <v>1</v>
          </cell>
          <cell r="Z371">
            <v>1</v>
          </cell>
          <cell r="AA371">
            <v>1</v>
          </cell>
          <cell r="AB371">
            <v>0</v>
          </cell>
        </row>
        <row r="372">
          <cell r="A372">
            <v>371</v>
          </cell>
          <cell r="B372" t="str">
            <v>行灯達磨 タイチ</v>
          </cell>
          <cell r="C372">
            <v>3</v>
          </cell>
          <cell r="D372" t="str">
            <v>red</v>
          </cell>
          <cell r="E372">
            <v>1</v>
          </cell>
          <cell r="F372">
            <v>1.02</v>
          </cell>
          <cell r="G372">
            <v>1</v>
          </cell>
          <cell r="H372" t="str">
            <v>attack</v>
          </cell>
          <cell r="I372" t="str">
            <v>攻撃タイプ</v>
          </cell>
          <cell r="J372">
            <v>1</v>
          </cell>
          <cell r="K372">
            <v>1.33</v>
          </cell>
          <cell r="L372">
            <v>1</v>
          </cell>
          <cell r="M372" t="str">
            <v>unknown</v>
          </cell>
          <cell r="N372" t="str">
            <v>Unknown</v>
          </cell>
          <cell r="O372">
            <v>1</v>
          </cell>
          <cell r="P372">
            <v>1</v>
          </cell>
          <cell r="Q372">
            <v>1</v>
          </cell>
          <cell r="R372" t="str">
            <v>Normal</v>
          </cell>
          <cell r="S372">
            <v>1</v>
          </cell>
          <cell r="T372">
            <v>1</v>
          </cell>
          <cell r="U372">
            <v>1</v>
          </cell>
          <cell r="V372">
            <v>2</v>
          </cell>
          <cell r="W372">
            <v>0.75</v>
          </cell>
          <cell r="X372">
            <v>20</v>
          </cell>
          <cell r="Y372">
            <v>1.1000000000000001</v>
          </cell>
          <cell r="Z372">
            <v>1.2</v>
          </cell>
          <cell r="AA372">
            <v>1.2</v>
          </cell>
          <cell r="AB372">
            <v>0</v>
          </cell>
        </row>
        <row r="373">
          <cell r="A373">
            <v>372</v>
          </cell>
          <cell r="B373" t="str">
            <v>バショー</v>
          </cell>
          <cell r="C373">
            <v>2</v>
          </cell>
          <cell r="D373" t="str">
            <v>green</v>
          </cell>
          <cell r="E373">
            <v>1.02</v>
          </cell>
          <cell r="F373">
            <v>0.98</v>
          </cell>
          <cell r="G373">
            <v>1</v>
          </cell>
          <cell r="H373" t="str">
            <v>balance</v>
          </cell>
          <cell r="I373" t="str">
            <v>バランスタイプ</v>
          </cell>
          <cell r="J373">
            <v>1</v>
          </cell>
          <cell r="K373">
            <v>1</v>
          </cell>
          <cell r="L373">
            <v>1</v>
          </cell>
          <cell r="M373" t="str">
            <v>unknown</v>
          </cell>
          <cell r="N373" t="str">
            <v>Unknown</v>
          </cell>
          <cell r="O373">
            <v>1</v>
          </cell>
          <cell r="P373">
            <v>1</v>
          </cell>
          <cell r="Q373">
            <v>1</v>
          </cell>
          <cell r="R373" t="str">
            <v>Normal</v>
          </cell>
          <cell r="S373">
            <v>1</v>
          </cell>
          <cell r="T373">
            <v>1</v>
          </cell>
          <cell r="U373">
            <v>1</v>
          </cell>
          <cell r="V373">
            <v>3</v>
          </cell>
          <cell r="W373">
            <v>1</v>
          </cell>
          <cell r="X373">
            <v>15</v>
          </cell>
          <cell r="Y373">
            <v>1</v>
          </cell>
          <cell r="Z373">
            <v>1</v>
          </cell>
          <cell r="AA373">
            <v>1</v>
          </cell>
          <cell r="AB373">
            <v>0</v>
          </cell>
        </row>
        <row r="374">
          <cell r="A374">
            <v>373</v>
          </cell>
          <cell r="B374" t="str">
            <v>夢幻俳聖 バショー</v>
          </cell>
          <cell r="C374">
            <v>3</v>
          </cell>
          <cell r="D374" t="str">
            <v>green</v>
          </cell>
          <cell r="E374">
            <v>1.02</v>
          </cell>
          <cell r="F374">
            <v>0.98</v>
          </cell>
          <cell r="G374">
            <v>1</v>
          </cell>
          <cell r="H374" t="str">
            <v>balance</v>
          </cell>
          <cell r="I374" t="str">
            <v>バランスタイプ</v>
          </cell>
          <cell r="J374">
            <v>1</v>
          </cell>
          <cell r="K374">
            <v>1</v>
          </cell>
          <cell r="L374">
            <v>1</v>
          </cell>
          <cell r="M374" t="str">
            <v>unknown</v>
          </cell>
          <cell r="N374" t="str">
            <v>Unknown</v>
          </cell>
          <cell r="O374">
            <v>1</v>
          </cell>
          <cell r="P374">
            <v>1</v>
          </cell>
          <cell r="Q374">
            <v>1</v>
          </cell>
          <cell r="R374" t="str">
            <v>Normal</v>
          </cell>
          <cell r="S374">
            <v>1</v>
          </cell>
          <cell r="T374">
            <v>1</v>
          </cell>
          <cell r="U374">
            <v>1</v>
          </cell>
          <cell r="V374">
            <v>3</v>
          </cell>
          <cell r="W374">
            <v>1</v>
          </cell>
          <cell r="X374">
            <v>20</v>
          </cell>
          <cell r="Y374">
            <v>1.1000000000000001</v>
          </cell>
          <cell r="Z374">
            <v>1.2</v>
          </cell>
          <cell r="AA374">
            <v>1.2</v>
          </cell>
          <cell r="AB374">
            <v>0</v>
          </cell>
        </row>
        <row r="375">
          <cell r="A375">
            <v>374</v>
          </cell>
          <cell r="B375" t="str">
            <v>影丸</v>
          </cell>
          <cell r="C375">
            <v>2</v>
          </cell>
          <cell r="D375" t="str">
            <v>blue</v>
          </cell>
          <cell r="E375">
            <v>1</v>
          </cell>
          <cell r="F375">
            <v>0.98</v>
          </cell>
          <cell r="G375">
            <v>1</v>
          </cell>
          <cell r="H375" t="str">
            <v>technical</v>
          </cell>
          <cell r="I375" t="str">
            <v>テクニカルタイプ</v>
          </cell>
          <cell r="J375">
            <v>0.9</v>
          </cell>
          <cell r="K375">
            <v>0.9</v>
          </cell>
          <cell r="L375">
            <v>1</v>
          </cell>
          <cell r="M375" t="str">
            <v>animal</v>
          </cell>
          <cell r="N375" t="str">
            <v>アニマル</v>
          </cell>
          <cell r="O375">
            <v>1</v>
          </cell>
          <cell r="P375">
            <v>1.1000000000000001</v>
          </cell>
          <cell r="Q375">
            <v>1</v>
          </cell>
          <cell r="R375" t="str">
            <v>Normal</v>
          </cell>
          <cell r="S375">
            <v>1</v>
          </cell>
          <cell r="T375">
            <v>1</v>
          </cell>
          <cell r="U375">
            <v>1</v>
          </cell>
          <cell r="V375">
            <v>1</v>
          </cell>
          <cell r="W375">
            <v>0.55000000000000004</v>
          </cell>
          <cell r="X375">
            <v>15</v>
          </cell>
          <cell r="Y375">
            <v>1</v>
          </cell>
          <cell r="Z375">
            <v>1</v>
          </cell>
          <cell r="AA375">
            <v>1</v>
          </cell>
          <cell r="AB375">
            <v>0</v>
          </cell>
        </row>
        <row r="376">
          <cell r="A376">
            <v>375</v>
          </cell>
          <cell r="B376" t="str">
            <v>蒼術兎忍 影丸</v>
          </cell>
          <cell r="C376">
            <v>3</v>
          </cell>
          <cell r="D376" t="str">
            <v>blue</v>
          </cell>
          <cell r="E376">
            <v>1</v>
          </cell>
          <cell r="F376">
            <v>0.98</v>
          </cell>
          <cell r="G376">
            <v>1</v>
          </cell>
          <cell r="H376" t="str">
            <v>technical</v>
          </cell>
          <cell r="I376" t="str">
            <v>テクニカルタイプ</v>
          </cell>
          <cell r="J376">
            <v>0.9</v>
          </cell>
          <cell r="K376">
            <v>0.9</v>
          </cell>
          <cell r="L376">
            <v>1</v>
          </cell>
          <cell r="M376" t="str">
            <v>animal</v>
          </cell>
          <cell r="N376" t="str">
            <v>アニマル</v>
          </cell>
          <cell r="O376">
            <v>1</v>
          </cell>
          <cell r="P376">
            <v>1.1000000000000001</v>
          </cell>
          <cell r="Q376">
            <v>1</v>
          </cell>
          <cell r="R376" t="str">
            <v>Normal</v>
          </cell>
          <cell r="S376">
            <v>1</v>
          </cell>
          <cell r="T376">
            <v>1</v>
          </cell>
          <cell r="U376">
            <v>1</v>
          </cell>
          <cell r="V376">
            <v>1</v>
          </cell>
          <cell r="W376">
            <v>0.55000000000000004</v>
          </cell>
          <cell r="X376">
            <v>20</v>
          </cell>
          <cell r="Y376">
            <v>1.1000000000000001</v>
          </cell>
          <cell r="Z376">
            <v>1.2</v>
          </cell>
          <cell r="AA376">
            <v>1.2</v>
          </cell>
          <cell r="AB376">
            <v>0</v>
          </cell>
        </row>
        <row r="377">
          <cell r="A377">
            <v>376</v>
          </cell>
          <cell r="B377" t="str">
            <v>勘兵衛</v>
          </cell>
          <cell r="C377">
            <v>3</v>
          </cell>
          <cell r="D377" t="str">
            <v>yellow</v>
          </cell>
          <cell r="E377">
            <v>0.98</v>
          </cell>
          <cell r="F377">
            <v>1.01</v>
          </cell>
          <cell r="G377">
            <v>1</v>
          </cell>
          <cell r="H377" t="str">
            <v>technical</v>
          </cell>
          <cell r="I377" t="str">
            <v>テクニカルタイプ</v>
          </cell>
          <cell r="J377">
            <v>0.9</v>
          </cell>
          <cell r="K377">
            <v>0.9</v>
          </cell>
          <cell r="L377">
            <v>1</v>
          </cell>
          <cell r="M377" t="str">
            <v>animal</v>
          </cell>
          <cell r="N377" t="str">
            <v>アニマル</v>
          </cell>
          <cell r="O377">
            <v>1</v>
          </cell>
          <cell r="P377">
            <v>1.1000000000000001</v>
          </cell>
          <cell r="Q377">
            <v>1</v>
          </cell>
          <cell r="R377" t="str">
            <v>Boss</v>
          </cell>
          <cell r="S377">
            <v>5</v>
          </cell>
          <cell r="T377">
            <v>1.3</v>
          </cell>
          <cell r="U377">
            <v>0.8</v>
          </cell>
          <cell r="V377">
            <v>3</v>
          </cell>
          <cell r="W377">
            <v>1</v>
          </cell>
          <cell r="X377">
            <v>15</v>
          </cell>
          <cell r="Y377">
            <v>1.2</v>
          </cell>
          <cell r="Z377">
            <v>1.25</v>
          </cell>
          <cell r="AA377">
            <v>1.1499999999999999</v>
          </cell>
          <cell r="AB377">
            <v>0</v>
          </cell>
        </row>
        <row r="378">
          <cell r="A378">
            <v>377</v>
          </cell>
          <cell r="B378" t="str">
            <v>光明鹿剣 勘兵衛</v>
          </cell>
          <cell r="C378">
            <v>4</v>
          </cell>
          <cell r="D378" t="str">
            <v>yellow</v>
          </cell>
          <cell r="E378">
            <v>0.98</v>
          </cell>
          <cell r="F378">
            <v>1.01</v>
          </cell>
          <cell r="G378">
            <v>1</v>
          </cell>
          <cell r="H378" t="str">
            <v>technical</v>
          </cell>
          <cell r="I378" t="str">
            <v>テクニカルタイプ</v>
          </cell>
          <cell r="J378">
            <v>0.9</v>
          </cell>
          <cell r="K378">
            <v>0.9</v>
          </cell>
          <cell r="L378">
            <v>1</v>
          </cell>
          <cell r="M378" t="str">
            <v>animal</v>
          </cell>
          <cell r="N378" t="str">
            <v>アニマル</v>
          </cell>
          <cell r="O378">
            <v>1</v>
          </cell>
          <cell r="P378">
            <v>1.1000000000000001</v>
          </cell>
          <cell r="Q378">
            <v>1</v>
          </cell>
          <cell r="R378" t="str">
            <v>Boss</v>
          </cell>
          <cell r="S378">
            <v>5</v>
          </cell>
          <cell r="T378">
            <v>1.3</v>
          </cell>
          <cell r="U378">
            <v>0.8</v>
          </cell>
          <cell r="V378">
            <v>3</v>
          </cell>
          <cell r="W378">
            <v>1</v>
          </cell>
          <cell r="X378">
            <v>30</v>
          </cell>
          <cell r="Y378">
            <v>1.3</v>
          </cell>
          <cell r="Z378">
            <v>1.3</v>
          </cell>
          <cell r="AA378">
            <v>1.1000000000000001</v>
          </cell>
          <cell r="AB378">
            <v>0</v>
          </cell>
        </row>
        <row r="379">
          <cell r="A379">
            <v>378</v>
          </cell>
          <cell r="B379" t="str">
            <v>オイラー</v>
          </cell>
          <cell r="C379">
            <v>4</v>
          </cell>
          <cell r="D379" t="str">
            <v>green</v>
          </cell>
          <cell r="E379">
            <v>1.02</v>
          </cell>
          <cell r="F379">
            <v>0.98</v>
          </cell>
          <cell r="G379">
            <v>1</v>
          </cell>
          <cell r="H379" t="str">
            <v>balance</v>
          </cell>
          <cell r="I379" t="str">
            <v>バランスタイプ</v>
          </cell>
          <cell r="J379">
            <v>1</v>
          </cell>
          <cell r="K379">
            <v>1</v>
          </cell>
          <cell r="L379">
            <v>1</v>
          </cell>
          <cell r="M379" t="str">
            <v>human</v>
          </cell>
          <cell r="N379" t="str">
            <v>ヒューマン</v>
          </cell>
          <cell r="O379">
            <v>0.94</v>
          </cell>
          <cell r="P379">
            <v>0.99</v>
          </cell>
          <cell r="Q379">
            <v>1</v>
          </cell>
          <cell r="R379" t="str">
            <v>Boss</v>
          </cell>
          <cell r="S379">
            <v>5</v>
          </cell>
          <cell r="T379">
            <v>1.3</v>
          </cell>
          <cell r="U379">
            <v>0.8</v>
          </cell>
          <cell r="V379">
            <v>3</v>
          </cell>
          <cell r="W379">
            <v>1</v>
          </cell>
          <cell r="X379">
            <v>30</v>
          </cell>
          <cell r="Y379">
            <v>1.3</v>
          </cell>
          <cell r="Z379">
            <v>1.3</v>
          </cell>
          <cell r="AA379">
            <v>1.1000000000000001</v>
          </cell>
          <cell r="AB379">
            <v>0</v>
          </cell>
        </row>
        <row r="380">
          <cell r="A380">
            <v>379</v>
          </cell>
          <cell r="B380" t="str">
            <v>幾何の機刃 オイラー</v>
          </cell>
          <cell r="C380">
            <v>5</v>
          </cell>
          <cell r="D380" t="str">
            <v>green</v>
          </cell>
          <cell r="E380">
            <v>1.02</v>
          </cell>
          <cell r="F380">
            <v>0.98</v>
          </cell>
          <cell r="G380">
            <v>1</v>
          </cell>
          <cell r="H380" t="str">
            <v>balance</v>
          </cell>
          <cell r="I380" t="str">
            <v>バランスタイプ</v>
          </cell>
          <cell r="J380">
            <v>1</v>
          </cell>
          <cell r="K380">
            <v>1</v>
          </cell>
          <cell r="L380">
            <v>1</v>
          </cell>
          <cell r="M380" t="str">
            <v>human</v>
          </cell>
          <cell r="N380" t="str">
            <v>ヒューマン</v>
          </cell>
          <cell r="O380">
            <v>0.94</v>
          </cell>
          <cell r="P380">
            <v>0.99</v>
          </cell>
          <cell r="Q380">
            <v>1</v>
          </cell>
          <cell r="R380" t="str">
            <v>Boss</v>
          </cell>
          <cell r="S380">
            <v>5</v>
          </cell>
          <cell r="T380">
            <v>1.3</v>
          </cell>
          <cell r="U380">
            <v>0.8</v>
          </cell>
          <cell r="V380">
            <v>3</v>
          </cell>
          <cell r="W380">
            <v>1</v>
          </cell>
          <cell r="X380">
            <v>60</v>
          </cell>
          <cell r="Y380">
            <v>1.7</v>
          </cell>
          <cell r="Z380">
            <v>1.4</v>
          </cell>
          <cell r="AA380">
            <v>1</v>
          </cell>
          <cell r="AB380">
            <v>0</v>
          </cell>
        </row>
        <row r="381">
          <cell r="A381">
            <v>380</v>
          </cell>
          <cell r="B381" t="str">
            <v>バハムート</v>
          </cell>
          <cell r="C381">
            <v>3</v>
          </cell>
          <cell r="D381" t="str">
            <v>red</v>
          </cell>
          <cell r="E381">
            <v>1</v>
          </cell>
          <cell r="F381">
            <v>1.02</v>
          </cell>
          <cell r="G381">
            <v>1</v>
          </cell>
          <cell r="H381" t="str">
            <v>technical</v>
          </cell>
          <cell r="I381" t="str">
            <v>テクニカルタイプ</v>
          </cell>
          <cell r="J381">
            <v>0.9</v>
          </cell>
          <cell r="K381">
            <v>0.9</v>
          </cell>
          <cell r="L381">
            <v>1</v>
          </cell>
          <cell r="M381" t="str">
            <v>dragon</v>
          </cell>
          <cell r="N381" t="str">
            <v>ドラゴン</v>
          </cell>
          <cell r="O381">
            <v>1.1499999999999999</v>
          </cell>
          <cell r="P381">
            <v>1.1000000000000001</v>
          </cell>
          <cell r="Q381">
            <v>1</v>
          </cell>
          <cell r="R381" t="str">
            <v>Boss</v>
          </cell>
          <cell r="S381">
            <v>5</v>
          </cell>
          <cell r="T381">
            <v>1.3</v>
          </cell>
          <cell r="U381">
            <v>0.8</v>
          </cell>
          <cell r="V381">
            <v>3</v>
          </cell>
          <cell r="W381">
            <v>1</v>
          </cell>
          <cell r="X381">
            <v>25</v>
          </cell>
          <cell r="Y381">
            <v>1.2</v>
          </cell>
          <cell r="Z381">
            <v>1.25</v>
          </cell>
          <cell r="AA381">
            <v>1.1499999999999999</v>
          </cell>
          <cell r="AB381">
            <v>0</v>
          </cell>
        </row>
        <row r="382">
          <cell r="A382">
            <v>381</v>
          </cell>
          <cell r="B382" t="str">
            <v>肉食の恋火 バハムート</v>
          </cell>
          <cell r="C382">
            <v>4</v>
          </cell>
          <cell r="D382" t="str">
            <v>red</v>
          </cell>
          <cell r="E382">
            <v>1</v>
          </cell>
          <cell r="F382">
            <v>1.02</v>
          </cell>
          <cell r="G382">
            <v>1</v>
          </cell>
          <cell r="H382" t="str">
            <v>technical</v>
          </cell>
          <cell r="I382" t="str">
            <v>テクニカルタイプ</v>
          </cell>
          <cell r="J382">
            <v>0.9</v>
          </cell>
          <cell r="K382">
            <v>0.9</v>
          </cell>
          <cell r="L382">
            <v>1</v>
          </cell>
          <cell r="M382" t="str">
            <v>dragon</v>
          </cell>
          <cell r="N382" t="str">
            <v>ドラゴン</v>
          </cell>
          <cell r="O382">
            <v>1.1499999999999999</v>
          </cell>
          <cell r="P382">
            <v>1.1000000000000001</v>
          </cell>
          <cell r="Q382">
            <v>1</v>
          </cell>
          <cell r="R382" t="str">
            <v>Boss</v>
          </cell>
          <cell r="S382">
            <v>5</v>
          </cell>
          <cell r="T382">
            <v>1.3</v>
          </cell>
          <cell r="U382">
            <v>0.8</v>
          </cell>
          <cell r="V382">
            <v>3</v>
          </cell>
          <cell r="W382">
            <v>1</v>
          </cell>
          <cell r="X382">
            <v>30</v>
          </cell>
          <cell r="Y382">
            <v>1.3</v>
          </cell>
          <cell r="Z382">
            <v>1.3</v>
          </cell>
          <cell r="AA382">
            <v>1.1000000000000001</v>
          </cell>
          <cell r="AB382">
            <v>0</v>
          </cell>
        </row>
        <row r="383">
          <cell r="A383">
            <v>382</v>
          </cell>
          <cell r="B383" t="str">
            <v>激情の愛炎 バハムート</v>
          </cell>
          <cell r="C383">
            <v>5</v>
          </cell>
          <cell r="D383" t="str">
            <v>red</v>
          </cell>
          <cell r="E383">
            <v>1</v>
          </cell>
          <cell r="F383">
            <v>1.02</v>
          </cell>
          <cell r="G383">
            <v>1</v>
          </cell>
          <cell r="H383" t="str">
            <v>technical</v>
          </cell>
          <cell r="I383" t="str">
            <v>テクニカルタイプ</v>
          </cell>
          <cell r="J383">
            <v>0.9</v>
          </cell>
          <cell r="K383">
            <v>0.9</v>
          </cell>
          <cell r="L383">
            <v>1</v>
          </cell>
          <cell r="M383" t="str">
            <v>dragon</v>
          </cell>
          <cell r="N383" t="str">
            <v>ドラゴン</v>
          </cell>
          <cell r="O383">
            <v>1.1499999999999999</v>
          </cell>
          <cell r="P383">
            <v>1.1000000000000001</v>
          </cell>
          <cell r="Q383">
            <v>1</v>
          </cell>
          <cell r="R383" t="str">
            <v>Boss</v>
          </cell>
          <cell r="S383">
            <v>5</v>
          </cell>
          <cell r="T383">
            <v>1.3</v>
          </cell>
          <cell r="U383">
            <v>0.8</v>
          </cell>
          <cell r="V383">
            <v>3</v>
          </cell>
          <cell r="W383">
            <v>1</v>
          </cell>
          <cell r="X383">
            <v>60</v>
          </cell>
          <cell r="Y383">
            <v>1.7</v>
          </cell>
          <cell r="Z383">
            <v>1.4</v>
          </cell>
          <cell r="AA383">
            <v>1</v>
          </cell>
          <cell r="AB383">
            <v>0</v>
          </cell>
        </row>
        <row r="384">
          <cell r="A384">
            <v>383</v>
          </cell>
          <cell r="B384" t="str">
            <v>酒宴の蟒蛇 ヤマタノオロチ</v>
          </cell>
          <cell r="C384">
            <v>4</v>
          </cell>
          <cell r="D384" t="str">
            <v>green</v>
          </cell>
          <cell r="E384">
            <v>1.02</v>
          </cell>
          <cell r="F384">
            <v>0.98</v>
          </cell>
          <cell r="G384">
            <v>1</v>
          </cell>
          <cell r="H384" t="str">
            <v>hp</v>
          </cell>
          <cell r="I384" t="str">
            <v>体力タイプ</v>
          </cell>
          <cell r="J384">
            <v>1.45</v>
          </cell>
          <cell r="K384">
            <v>0.85</v>
          </cell>
          <cell r="L384">
            <v>1</v>
          </cell>
          <cell r="M384" t="str">
            <v>dragon</v>
          </cell>
          <cell r="N384" t="str">
            <v>ドラゴン</v>
          </cell>
          <cell r="O384">
            <v>1.1499999999999999</v>
          </cell>
          <cell r="P384">
            <v>1.1000000000000001</v>
          </cell>
          <cell r="Q384">
            <v>1</v>
          </cell>
          <cell r="R384" t="str">
            <v>Boss</v>
          </cell>
          <cell r="S384">
            <v>5</v>
          </cell>
          <cell r="T384">
            <v>1.3</v>
          </cell>
          <cell r="U384">
            <v>0.8</v>
          </cell>
          <cell r="V384">
            <v>3</v>
          </cell>
          <cell r="W384">
            <v>1</v>
          </cell>
          <cell r="X384">
            <v>30</v>
          </cell>
          <cell r="Y384">
            <v>1.3</v>
          </cell>
          <cell r="Z384">
            <v>1.3</v>
          </cell>
          <cell r="AA384">
            <v>1.1000000000000001</v>
          </cell>
          <cell r="AB384">
            <v>0</v>
          </cell>
        </row>
        <row r="385">
          <cell r="A385">
            <v>384</v>
          </cell>
          <cell r="B385" t="str">
            <v>破国の呑龍 ヤマタノオロチ</v>
          </cell>
          <cell r="C385">
            <v>5</v>
          </cell>
          <cell r="D385" t="str">
            <v>green</v>
          </cell>
          <cell r="E385">
            <v>1.02</v>
          </cell>
          <cell r="F385">
            <v>0.98</v>
          </cell>
          <cell r="G385">
            <v>1</v>
          </cell>
          <cell r="H385" t="str">
            <v>hp</v>
          </cell>
          <cell r="I385" t="str">
            <v>体力タイプ</v>
          </cell>
          <cell r="J385">
            <v>1.45</v>
          </cell>
          <cell r="K385">
            <v>0.85</v>
          </cell>
          <cell r="L385">
            <v>1</v>
          </cell>
          <cell r="M385" t="str">
            <v>dragon</v>
          </cell>
          <cell r="N385" t="str">
            <v>ドラゴン</v>
          </cell>
          <cell r="O385">
            <v>1.1499999999999999</v>
          </cell>
          <cell r="P385">
            <v>1.1000000000000001</v>
          </cell>
          <cell r="Q385">
            <v>1</v>
          </cell>
          <cell r="R385" t="str">
            <v>Boss</v>
          </cell>
          <cell r="S385">
            <v>5</v>
          </cell>
          <cell r="T385">
            <v>1.3</v>
          </cell>
          <cell r="U385">
            <v>0.8</v>
          </cell>
          <cell r="V385">
            <v>3</v>
          </cell>
          <cell r="W385">
            <v>1</v>
          </cell>
          <cell r="X385">
            <v>60</v>
          </cell>
          <cell r="Y385">
            <v>1.7</v>
          </cell>
          <cell r="Z385">
            <v>1.4</v>
          </cell>
          <cell r="AA385">
            <v>1</v>
          </cell>
          <cell r="AB385">
            <v>0</v>
          </cell>
        </row>
        <row r="386">
          <cell r="A386">
            <v>385</v>
          </cell>
          <cell r="B386" t="str">
            <v>波烈の出奔 リヴァイアサン</v>
          </cell>
          <cell r="C386">
            <v>4</v>
          </cell>
          <cell r="D386" t="str">
            <v>blue</v>
          </cell>
          <cell r="E386">
            <v>1</v>
          </cell>
          <cell r="F386">
            <v>0.98</v>
          </cell>
          <cell r="G386">
            <v>1</v>
          </cell>
          <cell r="H386" t="str">
            <v>balance</v>
          </cell>
          <cell r="I386" t="str">
            <v>バランスタイプ</v>
          </cell>
          <cell r="J386">
            <v>1</v>
          </cell>
          <cell r="K386">
            <v>1</v>
          </cell>
          <cell r="L386">
            <v>1</v>
          </cell>
          <cell r="M386" t="str">
            <v>dragon</v>
          </cell>
          <cell r="N386" t="str">
            <v>ドラゴン</v>
          </cell>
          <cell r="O386">
            <v>1.1499999999999999</v>
          </cell>
          <cell r="P386">
            <v>1.1000000000000001</v>
          </cell>
          <cell r="Q386">
            <v>1</v>
          </cell>
          <cell r="R386" t="str">
            <v>Boss</v>
          </cell>
          <cell r="S386">
            <v>5</v>
          </cell>
          <cell r="T386">
            <v>1.3</v>
          </cell>
          <cell r="U386">
            <v>0.8</v>
          </cell>
          <cell r="V386">
            <v>3</v>
          </cell>
          <cell r="W386">
            <v>1</v>
          </cell>
          <cell r="X386">
            <v>30</v>
          </cell>
          <cell r="Y386">
            <v>1.3</v>
          </cell>
          <cell r="Z386">
            <v>1.3</v>
          </cell>
          <cell r="AA386">
            <v>1.1000000000000001</v>
          </cell>
          <cell r="AB386">
            <v>0</v>
          </cell>
        </row>
        <row r="387">
          <cell r="A387">
            <v>386</v>
          </cell>
          <cell r="B387" t="str">
            <v>氾乱の海龍 リヴァイアサン</v>
          </cell>
          <cell r="C387">
            <v>5</v>
          </cell>
          <cell r="D387" t="str">
            <v>blue</v>
          </cell>
          <cell r="E387">
            <v>1</v>
          </cell>
          <cell r="F387">
            <v>0.98</v>
          </cell>
          <cell r="G387">
            <v>1</v>
          </cell>
          <cell r="H387" t="str">
            <v>balance</v>
          </cell>
          <cell r="I387" t="str">
            <v>バランスタイプ</v>
          </cell>
          <cell r="J387">
            <v>1</v>
          </cell>
          <cell r="K387">
            <v>1</v>
          </cell>
          <cell r="L387">
            <v>1</v>
          </cell>
          <cell r="M387" t="str">
            <v>dragon</v>
          </cell>
          <cell r="N387" t="str">
            <v>ドラゴン</v>
          </cell>
          <cell r="O387">
            <v>1.1499999999999999</v>
          </cell>
          <cell r="P387">
            <v>1.1000000000000001</v>
          </cell>
          <cell r="Q387">
            <v>1</v>
          </cell>
          <cell r="R387" t="str">
            <v>Boss</v>
          </cell>
          <cell r="S387">
            <v>5</v>
          </cell>
          <cell r="T387">
            <v>1.3</v>
          </cell>
          <cell r="U387">
            <v>0.8</v>
          </cell>
          <cell r="V387">
            <v>3</v>
          </cell>
          <cell r="W387">
            <v>1</v>
          </cell>
          <cell r="X387">
            <v>60</v>
          </cell>
          <cell r="Y387">
            <v>1.7</v>
          </cell>
          <cell r="Z387">
            <v>1.4</v>
          </cell>
          <cell r="AA387">
            <v>1</v>
          </cell>
          <cell r="AB387">
            <v>0</v>
          </cell>
        </row>
        <row r="388">
          <cell r="A388">
            <v>387</v>
          </cell>
          <cell r="B388" t="str">
            <v>スフィンクス</v>
          </cell>
          <cell r="C388">
            <v>3</v>
          </cell>
          <cell r="D388" t="str">
            <v>yellow</v>
          </cell>
          <cell r="E388">
            <v>0.98</v>
          </cell>
          <cell r="F388">
            <v>1.01</v>
          </cell>
          <cell r="G388">
            <v>1</v>
          </cell>
          <cell r="H388" t="str">
            <v>heal</v>
          </cell>
          <cell r="I388" t="str">
            <v>回復タイプ</v>
          </cell>
          <cell r="J388">
            <v>0.8</v>
          </cell>
          <cell r="K388">
            <v>0.78</v>
          </cell>
          <cell r="L388">
            <v>1</v>
          </cell>
          <cell r="M388" t="str">
            <v>animal</v>
          </cell>
          <cell r="N388" t="str">
            <v>アニマル</v>
          </cell>
          <cell r="O388">
            <v>1</v>
          </cell>
          <cell r="P388">
            <v>1.1000000000000001</v>
          </cell>
          <cell r="Q388">
            <v>1</v>
          </cell>
          <cell r="R388" t="str">
            <v>Boss</v>
          </cell>
          <cell r="S388">
            <v>5</v>
          </cell>
          <cell r="T388">
            <v>1.3</v>
          </cell>
          <cell r="U388">
            <v>0.8</v>
          </cell>
          <cell r="V388">
            <v>3</v>
          </cell>
          <cell r="W388">
            <v>1</v>
          </cell>
          <cell r="X388">
            <v>25</v>
          </cell>
          <cell r="Y388">
            <v>1.2</v>
          </cell>
          <cell r="Z388">
            <v>1.25</v>
          </cell>
          <cell r="AA388">
            <v>1.1499999999999999</v>
          </cell>
          <cell r="AB388">
            <v>0</v>
          </cell>
        </row>
        <row r="389">
          <cell r="A389">
            <v>388</v>
          </cell>
          <cell r="B389" t="str">
            <v>神円の恋姫 スフィンクス</v>
          </cell>
          <cell r="C389">
            <v>4</v>
          </cell>
          <cell r="D389" t="str">
            <v>yellow</v>
          </cell>
          <cell r="E389">
            <v>0.98</v>
          </cell>
          <cell r="F389">
            <v>1.01</v>
          </cell>
          <cell r="G389">
            <v>1</v>
          </cell>
          <cell r="H389" t="str">
            <v>heal</v>
          </cell>
          <cell r="I389" t="str">
            <v>回復タイプ</v>
          </cell>
          <cell r="J389">
            <v>0.8</v>
          </cell>
          <cell r="K389">
            <v>0.78</v>
          </cell>
          <cell r="L389">
            <v>1</v>
          </cell>
          <cell r="M389" t="str">
            <v>animal</v>
          </cell>
          <cell r="N389" t="str">
            <v>アニマル</v>
          </cell>
          <cell r="O389">
            <v>1</v>
          </cell>
          <cell r="P389">
            <v>1.1000000000000001</v>
          </cell>
          <cell r="Q389">
            <v>1</v>
          </cell>
          <cell r="R389" t="str">
            <v>Boss</v>
          </cell>
          <cell r="S389">
            <v>5</v>
          </cell>
          <cell r="T389">
            <v>1.3</v>
          </cell>
          <cell r="U389">
            <v>0.8</v>
          </cell>
          <cell r="V389">
            <v>3</v>
          </cell>
          <cell r="W389">
            <v>1</v>
          </cell>
          <cell r="X389">
            <v>30</v>
          </cell>
          <cell r="Y389">
            <v>1.3</v>
          </cell>
          <cell r="Z389">
            <v>1.3</v>
          </cell>
          <cell r="AA389">
            <v>1.1000000000000001</v>
          </cell>
          <cell r="AB389">
            <v>0</v>
          </cell>
        </row>
        <row r="390">
          <cell r="A390">
            <v>389</v>
          </cell>
          <cell r="B390" t="str">
            <v>操神の愛姫 スフィンクス</v>
          </cell>
          <cell r="C390">
            <v>5</v>
          </cell>
          <cell r="D390" t="str">
            <v>yellow</v>
          </cell>
          <cell r="E390">
            <v>0.98</v>
          </cell>
          <cell r="F390">
            <v>1.01</v>
          </cell>
          <cell r="G390">
            <v>1</v>
          </cell>
          <cell r="H390" t="str">
            <v>heal</v>
          </cell>
          <cell r="I390" t="str">
            <v>回復タイプ</v>
          </cell>
          <cell r="J390">
            <v>0.8</v>
          </cell>
          <cell r="K390">
            <v>0.78</v>
          </cell>
          <cell r="L390">
            <v>1</v>
          </cell>
          <cell r="M390" t="str">
            <v>animal</v>
          </cell>
          <cell r="N390" t="str">
            <v>アニマル</v>
          </cell>
          <cell r="O390">
            <v>1</v>
          </cell>
          <cell r="P390">
            <v>1.1000000000000001</v>
          </cell>
          <cell r="Q390">
            <v>1</v>
          </cell>
          <cell r="R390" t="str">
            <v>Boss</v>
          </cell>
          <cell r="S390">
            <v>5</v>
          </cell>
          <cell r="T390">
            <v>1.3</v>
          </cell>
          <cell r="U390">
            <v>0.8</v>
          </cell>
          <cell r="V390">
            <v>3</v>
          </cell>
          <cell r="W390">
            <v>1</v>
          </cell>
          <cell r="X390">
            <v>60</v>
          </cell>
          <cell r="Y390">
            <v>1.7</v>
          </cell>
          <cell r="Z390">
            <v>1.4</v>
          </cell>
          <cell r="AA390">
            <v>1</v>
          </cell>
          <cell r="AB390">
            <v>0</v>
          </cell>
        </row>
        <row r="391">
          <cell r="A391">
            <v>390</v>
          </cell>
          <cell r="B391" t="str">
            <v>華環の旅客 親指姫</v>
          </cell>
          <cell r="C391">
            <v>4</v>
          </cell>
          <cell r="D391" t="str">
            <v>red</v>
          </cell>
          <cell r="E391">
            <v>1</v>
          </cell>
          <cell r="F391">
            <v>1.02</v>
          </cell>
          <cell r="G391">
            <v>1</v>
          </cell>
          <cell r="H391" t="str">
            <v>heal</v>
          </cell>
          <cell r="I391" t="str">
            <v>回復タイプ</v>
          </cell>
          <cell r="J391">
            <v>0.8</v>
          </cell>
          <cell r="K391">
            <v>0.78</v>
          </cell>
          <cell r="L391">
            <v>1</v>
          </cell>
          <cell r="M391" t="str">
            <v>human</v>
          </cell>
          <cell r="N391" t="str">
            <v>ヒューマン</v>
          </cell>
          <cell r="O391">
            <v>0.94</v>
          </cell>
          <cell r="P391">
            <v>0.99</v>
          </cell>
          <cell r="Q391">
            <v>1</v>
          </cell>
          <cell r="R391" t="str">
            <v>Boss</v>
          </cell>
          <cell r="S391">
            <v>5</v>
          </cell>
          <cell r="T391">
            <v>1.3</v>
          </cell>
          <cell r="U391">
            <v>0.8</v>
          </cell>
          <cell r="V391">
            <v>3</v>
          </cell>
          <cell r="W391">
            <v>1</v>
          </cell>
          <cell r="X391">
            <v>30</v>
          </cell>
          <cell r="Y391">
            <v>1.3</v>
          </cell>
          <cell r="Z391">
            <v>1.3</v>
          </cell>
          <cell r="AA391">
            <v>1.1000000000000001</v>
          </cell>
          <cell r="AB391">
            <v>0</v>
          </cell>
        </row>
        <row r="392">
          <cell r="A392">
            <v>391</v>
          </cell>
          <cell r="B392" t="str">
            <v>燕翼の旅人 親指姫</v>
          </cell>
          <cell r="C392">
            <v>5</v>
          </cell>
          <cell r="D392" t="str">
            <v>red</v>
          </cell>
          <cell r="E392">
            <v>1</v>
          </cell>
          <cell r="F392">
            <v>1.02</v>
          </cell>
          <cell r="G392">
            <v>1</v>
          </cell>
          <cell r="H392" t="str">
            <v>heal</v>
          </cell>
          <cell r="I392" t="str">
            <v>回復タイプ</v>
          </cell>
          <cell r="J392">
            <v>0.8</v>
          </cell>
          <cell r="K392">
            <v>0.78</v>
          </cell>
          <cell r="L392">
            <v>1</v>
          </cell>
          <cell r="M392" t="str">
            <v>human</v>
          </cell>
          <cell r="N392" t="str">
            <v>ヒューマン</v>
          </cell>
          <cell r="O392">
            <v>0.94</v>
          </cell>
          <cell r="P392">
            <v>0.99</v>
          </cell>
          <cell r="Q392">
            <v>1</v>
          </cell>
          <cell r="R392" t="str">
            <v>Boss</v>
          </cell>
          <cell r="S392">
            <v>5</v>
          </cell>
          <cell r="T392">
            <v>1.3</v>
          </cell>
          <cell r="U392">
            <v>0.8</v>
          </cell>
          <cell r="V392">
            <v>3</v>
          </cell>
          <cell r="W392">
            <v>1</v>
          </cell>
          <cell r="X392">
            <v>60</v>
          </cell>
          <cell r="Y392">
            <v>1.7</v>
          </cell>
          <cell r="Z392">
            <v>1.4</v>
          </cell>
          <cell r="AA392">
            <v>1</v>
          </cell>
          <cell r="AB392">
            <v>0</v>
          </cell>
        </row>
        <row r="393">
          <cell r="A393">
            <v>392</v>
          </cell>
          <cell r="B393" t="str">
            <v>ピーターパン</v>
          </cell>
          <cell r="C393">
            <v>3</v>
          </cell>
          <cell r="D393" t="str">
            <v>green</v>
          </cell>
          <cell r="E393">
            <v>1.02</v>
          </cell>
          <cell r="F393">
            <v>0.98</v>
          </cell>
          <cell r="G393">
            <v>1</v>
          </cell>
          <cell r="H393" t="str">
            <v>attack</v>
          </cell>
          <cell r="I393" t="str">
            <v>攻撃タイプ</v>
          </cell>
          <cell r="J393">
            <v>1</v>
          </cell>
          <cell r="K393">
            <v>1.33</v>
          </cell>
          <cell r="L393">
            <v>1</v>
          </cell>
          <cell r="M393" t="str">
            <v>human</v>
          </cell>
          <cell r="N393" t="str">
            <v>ヒューマン</v>
          </cell>
          <cell r="O393">
            <v>0.94</v>
          </cell>
          <cell r="P393">
            <v>0.99</v>
          </cell>
          <cell r="Q393">
            <v>1</v>
          </cell>
          <cell r="R393" t="str">
            <v>Boss</v>
          </cell>
          <cell r="S393">
            <v>5</v>
          </cell>
          <cell r="T393">
            <v>1.3</v>
          </cell>
          <cell r="U393">
            <v>0.8</v>
          </cell>
          <cell r="V393">
            <v>3</v>
          </cell>
          <cell r="W393">
            <v>1</v>
          </cell>
          <cell r="X393">
            <v>25</v>
          </cell>
          <cell r="Y393">
            <v>1.2</v>
          </cell>
          <cell r="Z393">
            <v>1.25</v>
          </cell>
          <cell r="AA393">
            <v>1.1499999999999999</v>
          </cell>
          <cell r="AB393">
            <v>0</v>
          </cell>
        </row>
        <row r="394">
          <cell r="A394">
            <v>393</v>
          </cell>
          <cell r="B394" t="str">
            <v>影縫い ピーターパン</v>
          </cell>
          <cell r="C394">
            <v>4</v>
          </cell>
          <cell r="D394" t="str">
            <v>green</v>
          </cell>
          <cell r="E394">
            <v>1.02</v>
          </cell>
          <cell r="F394">
            <v>0.98</v>
          </cell>
          <cell r="G394">
            <v>1</v>
          </cell>
          <cell r="H394" t="str">
            <v>attack</v>
          </cell>
          <cell r="I394" t="str">
            <v>攻撃タイプ</v>
          </cell>
          <cell r="J394">
            <v>1</v>
          </cell>
          <cell r="K394">
            <v>1.33</v>
          </cell>
          <cell r="L394">
            <v>1</v>
          </cell>
          <cell r="M394" t="str">
            <v>human</v>
          </cell>
          <cell r="N394" t="str">
            <v>ヒューマン</v>
          </cell>
          <cell r="O394">
            <v>0.94</v>
          </cell>
          <cell r="P394">
            <v>0.99</v>
          </cell>
          <cell r="Q394">
            <v>1</v>
          </cell>
          <cell r="R394" t="str">
            <v>Boss</v>
          </cell>
          <cell r="S394">
            <v>5</v>
          </cell>
          <cell r="T394">
            <v>1.3</v>
          </cell>
          <cell r="U394">
            <v>0.8</v>
          </cell>
          <cell r="V394">
            <v>3</v>
          </cell>
          <cell r="W394">
            <v>1</v>
          </cell>
          <cell r="X394">
            <v>30</v>
          </cell>
          <cell r="Y394">
            <v>1.3</v>
          </cell>
          <cell r="Z394">
            <v>1.3</v>
          </cell>
          <cell r="AA394">
            <v>1.1000000000000001</v>
          </cell>
          <cell r="AB394">
            <v>0</v>
          </cell>
        </row>
        <row r="395">
          <cell r="A395">
            <v>394</v>
          </cell>
          <cell r="B395" t="str">
            <v>影求の悪童 ピーターパン</v>
          </cell>
          <cell r="C395">
            <v>5</v>
          </cell>
          <cell r="D395" t="str">
            <v>green</v>
          </cell>
          <cell r="E395">
            <v>1.02</v>
          </cell>
          <cell r="F395">
            <v>0.98</v>
          </cell>
          <cell r="G395">
            <v>1</v>
          </cell>
          <cell r="H395" t="str">
            <v>attack</v>
          </cell>
          <cell r="I395" t="str">
            <v>攻撃タイプ</v>
          </cell>
          <cell r="J395">
            <v>1</v>
          </cell>
          <cell r="K395">
            <v>1.33</v>
          </cell>
          <cell r="L395">
            <v>1</v>
          </cell>
          <cell r="M395" t="str">
            <v>human</v>
          </cell>
          <cell r="N395" t="str">
            <v>ヒューマン</v>
          </cell>
          <cell r="O395">
            <v>0.94</v>
          </cell>
          <cell r="P395">
            <v>0.99</v>
          </cell>
          <cell r="Q395">
            <v>1</v>
          </cell>
          <cell r="R395" t="str">
            <v>Boss</v>
          </cell>
          <cell r="S395">
            <v>5</v>
          </cell>
          <cell r="T395">
            <v>1.3</v>
          </cell>
          <cell r="U395">
            <v>0.8</v>
          </cell>
          <cell r="V395">
            <v>3</v>
          </cell>
          <cell r="W395">
            <v>1</v>
          </cell>
          <cell r="X395">
            <v>60</v>
          </cell>
          <cell r="Y395">
            <v>1.7</v>
          </cell>
          <cell r="Z395">
            <v>1.4</v>
          </cell>
          <cell r="AA395">
            <v>1</v>
          </cell>
          <cell r="AB395">
            <v>0</v>
          </cell>
        </row>
        <row r="396">
          <cell r="A396">
            <v>395</v>
          </cell>
          <cell r="B396" t="str">
            <v>乙姫</v>
          </cell>
          <cell r="C396">
            <v>3</v>
          </cell>
          <cell r="D396" t="str">
            <v>blue</v>
          </cell>
          <cell r="E396">
            <v>1</v>
          </cell>
          <cell r="F396">
            <v>0.98</v>
          </cell>
          <cell r="G396">
            <v>1</v>
          </cell>
          <cell r="H396" t="str">
            <v>hp</v>
          </cell>
          <cell r="I396" t="str">
            <v>体力タイプ</v>
          </cell>
          <cell r="J396">
            <v>1.45</v>
          </cell>
          <cell r="K396">
            <v>0.85</v>
          </cell>
          <cell r="L396">
            <v>1</v>
          </cell>
          <cell r="M396" t="str">
            <v>human</v>
          </cell>
          <cell r="N396" t="str">
            <v>ヒューマン</v>
          </cell>
          <cell r="O396">
            <v>0.94</v>
          </cell>
          <cell r="P396">
            <v>0.99</v>
          </cell>
          <cell r="Q396">
            <v>1</v>
          </cell>
          <cell r="R396" t="str">
            <v>Boss</v>
          </cell>
          <cell r="S396">
            <v>5</v>
          </cell>
          <cell r="T396">
            <v>1.3</v>
          </cell>
          <cell r="U396">
            <v>0.8</v>
          </cell>
          <cell r="V396">
            <v>3</v>
          </cell>
          <cell r="W396">
            <v>1</v>
          </cell>
          <cell r="X396">
            <v>25</v>
          </cell>
          <cell r="Y396">
            <v>1.2</v>
          </cell>
          <cell r="Z396">
            <v>1.25</v>
          </cell>
          <cell r="AA396">
            <v>1.1499999999999999</v>
          </cell>
          <cell r="AB396">
            <v>0</v>
          </cell>
        </row>
        <row r="397">
          <cell r="A397">
            <v>396</v>
          </cell>
          <cell r="B397" t="str">
            <v>竜宮の水雷 乙姫</v>
          </cell>
          <cell r="C397">
            <v>4</v>
          </cell>
          <cell r="D397" t="str">
            <v>blue</v>
          </cell>
          <cell r="E397">
            <v>1</v>
          </cell>
          <cell r="F397">
            <v>0.98</v>
          </cell>
          <cell r="G397">
            <v>1</v>
          </cell>
          <cell r="H397" t="str">
            <v>hp</v>
          </cell>
          <cell r="I397" t="str">
            <v>体力タイプ</v>
          </cell>
          <cell r="J397">
            <v>1.45</v>
          </cell>
          <cell r="K397">
            <v>0.85</v>
          </cell>
          <cell r="L397">
            <v>1</v>
          </cell>
          <cell r="M397" t="str">
            <v>human</v>
          </cell>
          <cell r="N397" t="str">
            <v>ヒューマン</v>
          </cell>
          <cell r="O397">
            <v>0.94</v>
          </cell>
          <cell r="P397">
            <v>0.99</v>
          </cell>
          <cell r="Q397">
            <v>1</v>
          </cell>
          <cell r="R397" t="str">
            <v>Boss</v>
          </cell>
          <cell r="S397">
            <v>5</v>
          </cell>
          <cell r="T397">
            <v>1.3</v>
          </cell>
          <cell r="U397">
            <v>0.8</v>
          </cell>
          <cell r="V397">
            <v>3</v>
          </cell>
          <cell r="W397">
            <v>1</v>
          </cell>
          <cell r="X397">
            <v>30</v>
          </cell>
          <cell r="Y397">
            <v>1.3</v>
          </cell>
          <cell r="Z397">
            <v>1.3</v>
          </cell>
          <cell r="AA397">
            <v>1.1000000000000001</v>
          </cell>
          <cell r="AB397">
            <v>0</v>
          </cell>
        </row>
        <row r="398">
          <cell r="A398">
            <v>397</v>
          </cell>
          <cell r="B398" t="str">
            <v>禁断の追箱 乙姫</v>
          </cell>
          <cell r="C398">
            <v>5</v>
          </cell>
          <cell r="D398" t="str">
            <v>blue</v>
          </cell>
          <cell r="E398">
            <v>1</v>
          </cell>
          <cell r="F398">
            <v>0.98</v>
          </cell>
          <cell r="G398">
            <v>1</v>
          </cell>
          <cell r="H398" t="str">
            <v>hp</v>
          </cell>
          <cell r="I398" t="str">
            <v>体力タイプ</v>
          </cell>
          <cell r="J398">
            <v>1.45</v>
          </cell>
          <cell r="K398">
            <v>0.85</v>
          </cell>
          <cell r="L398">
            <v>1</v>
          </cell>
          <cell r="M398" t="str">
            <v>human</v>
          </cell>
          <cell r="N398" t="str">
            <v>ヒューマン</v>
          </cell>
          <cell r="O398">
            <v>0.94</v>
          </cell>
          <cell r="P398">
            <v>0.99</v>
          </cell>
          <cell r="Q398">
            <v>1</v>
          </cell>
          <cell r="R398" t="str">
            <v>Boss</v>
          </cell>
          <cell r="S398">
            <v>5</v>
          </cell>
          <cell r="T398">
            <v>1.3</v>
          </cell>
          <cell r="U398">
            <v>0.8</v>
          </cell>
          <cell r="V398">
            <v>3</v>
          </cell>
          <cell r="W398">
            <v>1</v>
          </cell>
          <cell r="X398">
            <v>60</v>
          </cell>
          <cell r="Y398">
            <v>1.7</v>
          </cell>
          <cell r="Z398">
            <v>1.4</v>
          </cell>
          <cell r="AA398">
            <v>1</v>
          </cell>
          <cell r="AB398">
            <v>0</v>
          </cell>
        </row>
        <row r="399">
          <cell r="A399">
            <v>398</v>
          </cell>
          <cell r="B399" t="str">
            <v>ヘンゼル＆グレーテル</v>
          </cell>
          <cell r="C399">
            <v>4</v>
          </cell>
          <cell r="D399" t="str">
            <v>yellow</v>
          </cell>
          <cell r="E399">
            <v>0.98</v>
          </cell>
          <cell r="F399">
            <v>1.01</v>
          </cell>
          <cell r="G399">
            <v>1</v>
          </cell>
          <cell r="H399" t="str">
            <v>balance</v>
          </cell>
          <cell r="I399" t="str">
            <v>バランスタイプ</v>
          </cell>
          <cell r="J399">
            <v>1</v>
          </cell>
          <cell r="K399">
            <v>1</v>
          </cell>
          <cell r="L399">
            <v>1</v>
          </cell>
          <cell r="M399" t="str">
            <v>human</v>
          </cell>
          <cell r="N399" t="str">
            <v>ヒューマン</v>
          </cell>
          <cell r="O399">
            <v>0.94</v>
          </cell>
          <cell r="P399">
            <v>0.99</v>
          </cell>
          <cell r="Q399">
            <v>1</v>
          </cell>
          <cell r="R399" t="str">
            <v>Boss</v>
          </cell>
          <cell r="S399">
            <v>5</v>
          </cell>
          <cell r="T399">
            <v>1.3</v>
          </cell>
          <cell r="U399">
            <v>0.8</v>
          </cell>
          <cell r="V399">
            <v>3</v>
          </cell>
          <cell r="W399">
            <v>1</v>
          </cell>
          <cell r="X399">
            <v>30</v>
          </cell>
          <cell r="Y399">
            <v>1.3</v>
          </cell>
          <cell r="Z399">
            <v>1.3</v>
          </cell>
          <cell r="AA399">
            <v>1.1000000000000001</v>
          </cell>
          <cell r="AB399">
            <v>0</v>
          </cell>
        </row>
        <row r="400">
          <cell r="A400">
            <v>399</v>
          </cell>
          <cell r="B400" t="str">
            <v>信愛の兄妹 ヘンゼル＆グレーテル</v>
          </cell>
          <cell r="C400">
            <v>5</v>
          </cell>
          <cell r="D400" t="str">
            <v>yellow</v>
          </cell>
          <cell r="E400">
            <v>0.98</v>
          </cell>
          <cell r="F400">
            <v>1.01</v>
          </cell>
          <cell r="G400">
            <v>1</v>
          </cell>
          <cell r="H400" t="str">
            <v>balance</v>
          </cell>
          <cell r="I400" t="str">
            <v>バランスタイプ</v>
          </cell>
          <cell r="J400">
            <v>1</v>
          </cell>
          <cell r="K400">
            <v>1</v>
          </cell>
          <cell r="L400">
            <v>1</v>
          </cell>
          <cell r="M400" t="str">
            <v>human</v>
          </cell>
          <cell r="N400" t="str">
            <v>ヒューマン</v>
          </cell>
          <cell r="O400">
            <v>0.94</v>
          </cell>
          <cell r="P400">
            <v>0.99</v>
          </cell>
          <cell r="Q400">
            <v>1</v>
          </cell>
          <cell r="R400" t="str">
            <v>Boss</v>
          </cell>
          <cell r="S400">
            <v>5</v>
          </cell>
          <cell r="T400">
            <v>1.3</v>
          </cell>
          <cell r="U400">
            <v>0.8</v>
          </cell>
          <cell r="V400">
            <v>3</v>
          </cell>
          <cell r="W400">
            <v>1</v>
          </cell>
          <cell r="X400">
            <v>60</v>
          </cell>
          <cell r="Y400">
            <v>1.7</v>
          </cell>
          <cell r="Z400">
            <v>1.4</v>
          </cell>
          <cell r="AA400">
            <v>1</v>
          </cell>
          <cell r="AB400">
            <v>0</v>
          </cell>
        </row>
        <row r="401">
          <cell r="A401">
            <v>400</v>
          </cell>
          <cell r="B401" t="str">
            <v>フェンリル</v>
          </cell>
          <cell r="C401">
            <v>3</v>
          </cell>
          <cell r="D401" t="str">
            <v>red</v>
          </cell>
          <cell r="E401">
            <v>1</v>
          </cell>
          <cell r="F401">
            <v>1.02</v>
          </cell>
          <cell r="G401">
            <v>1</v>
          </cell>
          <cell r="H401" t="str">
            <v>attack</v>
          </cell>
          <cell r="I401" t="str">
            <v>攻撃タイプ</v>
          </cell>
          <cell r="J401">
            <v>1</v>
          </cell>
          <cell r="K401">
            <v>1.33</v>
          </cell>
          <cell r="L401">
            <v>1</v>
          </cell>
          <cell r="M401" t="str">
            <v>animal</v>
          </cell>
          <cell r="N401" t="str">
            <v>アニマル</v>
          </cell>
          <cell r="O401">
            <v>1</v>
          </cell>
          <cell r="P401">
            <v>1.1000000000000001</v>
          </cell>
          <cell r="Q401">
            <v>1</v>
          </cell>
          <cell r="R401" t="str">
            <v>Boss</v>
          </cell>
          <cell r="S401">
            <v>5</v>
          </cell>
          <cell r="T401">
            <v>1.3</v>
          </cell>
          <cell r="U401">
            <v>0.8</v>
          </cell>
          <cell r="V401">
            <v>3</v>
          </cell>
          <cell r="W401">
            <v>1</v>
          </cell>
          <cell r="X401">
            <v>25</v>
          </cell>
          <cell r="Y401">
            <v>1.2</v>
          </cell>
          <cell r="Z401">
            <v>1.25</v>
          </cell>
          <cell r="AA401">
            <v>1.1499999999999999</v>
          </cell>
          <cell r="AB401">
            <v>0</v>
          </cell>
        </row>
        <row r="402">
          <cell r="A402">
            <v>401</v>
          </cell>
          <cell r="B402" t="str">
            <v>紅銀の孤狼 フェンリル</v>
          </cell>
          <cell r="C402">
            <v>4</v>
          </cell>
          <cell r="D402" t="str">
            <v>red</v>
          </cell>
          <cell r="E402">
            <v>1</v>
          </cell>
          <cell r="F402">
            <v>1.02</v>
          </cell>
          <cell r="G402">
            <v>1</v>
          </cell>
          <cell r="H402" t="str">
            <v>attack</v>
          </cell>
          <cell r="I402" t="str">
            <v>攻撃タイプ</v>
          </cell>
          <cell r="J402">
            <v>1</v>
          </cell>
          <cell r="K402">
            <v>1.33</v>
          </cell>
          <cell r="L402">
            <v>1</v>
          </cell>
          <cell r="M402" t="str">
            <v>animal</v>
          </cell>
          <cell r="N402" t="str">
            <v>アニマル</v>
          </cell>
          <cell r="O402">
            <v>1</v>
          </cell>
          <cell r="P402">
            <v>1.1000000000000001</v>
          </cell>
          <cell r="Q402">
            <v>1</v>
          </cell>
          <cell r="R402" t="str">
            <v>Boss</v>
          </cell>
          <cell r="S402">
            <v>5</v>
          </cell>
          <cell r="T402">
            <v>1.3</v>
          </cell>
          <cell r="U402">
            <v>0.8</v>
          </cell>
          <cell r="V402">
            <v>3</v>
          </cell>
          <cell r="W402">
            <v>1</v>
          </cell>
          <cell r="X402">
            <v>30</v>
          </cell>
          <cell r="Y402">
            <v>1.3</v>
          </cell>
          <cell r="Z402">
            <v>1.3</v>
          </cell>
          <cell r="AA402">
            <v>1.1000000000000001</v>
          </cell>
          <cell r="AB402">
            <v>0</v>
          </cell>
        </row>
        <row r="403">
          <cell r="A403">
            <v>402</v>
          </cell>
          <cell r="B403" t="str">
            <v>天災の神狼 フェンリル</v>
          </cell>
          <cell r="C403">
            <v>5</v>
          </cell>
          <cell r="D403" t="str">
            <v>red</v>
          </cell>
          <cell r="E403">
            <v>1</v>
          </cell>
          <cell r="F403">
            <v>1.02</v>
          </cell>
          <cell r="G403">
            <v>1</v>
          </cell>
          <cell r="H403" t="str">
            <v>attack</v>
          </cell>
          <cell r="I403" t="str">
            <v>攻撃タイプ</v>
          </cell>
          <cell r="J403">
            <v>1</v>
          </cell>
          <cell r="K403">
            <v>1.33</v>
          </cell>
          <cell r="L403">
            <v>1</v>
          </cell>
          <cell r="M403" t="str">
            <v>animal</v>
          </cell>
          <cell r="N403" t="str">
            <v>アニマル</v>
          </cell>
          <cell r="O403">
            <v>1</v>
          </cell>
          <cell r="P403">
            <v>1.1000000000000001</v>
          </cell>
          <cell r="Q403">
            <v>1</v>
          </cell>
          <cell r="R403" t="str">
            <v>Boss</v>
          </cell>
          <cell r="S403">
            <v>5</v>
          </cell>
          <cell r="T403">
            <v>1.3</v>
          </cell>
          <cell r="U403">
            <v>0.8</v>
          </cell>
          <cell r="V403">
            <v>3</v>
          </cell>
          <cell r="W403">
            <v>1</v>
          </cell>
          <cell r="X403">
            <v>60</v>
          </cell>
          <cell r="Y403">
            <v>1.7</v>
          </cell>
          <cell r="Z403">
            <v>1.4</v>
          </cell>
          <cell r="AA403">
            <v>1</v>
          </cell>
          <cell r="AB403">
            <v>0</v>
          </cell>
        </row>
        <row r="404">
          <cell r="A404">
            <v>403</v>
          </cell>
          <cell r="B404" t="str">
            <v>静撃の翠眼 八咫烏</v>
          </cell>
          <cell r="C404">
            <v>4</v>
          </cell>
          <cell r="D404" t="str">
            <v>green</v>
          </cell>
          <cell r="E404">
            <v>1.02</v>
          </cell>
          <cell r="F404">
            <v>0.98</v>
          </cell>
          <cell r="G404">
            <v>1</v>
          </cell>
          <cell r="H404" t="str">
            <v>balance</v>
          </cell>
          <cell r="I404" t="str">
            <v>バランスタイプ</v>
          </cell>
          <cell r="J404">
            <v>1</v>
          </cell>
          <cell r="K404">
            <v>1</v>
          </cell>
          <cell r="L404">
            <v>1</v>
          </cell>
          <cell r="M404" t="str">
            <v>animal</v>
          </cell>
          <cell r="N404" t="str">
            <v>アニマル</v>
          </cell>
          <cell r="O404">
            <v>1</v>
          </cell>
          <cell r="P404">
            <v>1.1000000000000001</v>
          </cell>
          <cell r="Q404">
            <v>1</v>
          </cell>
          <cell r="R404" t="str">
            <v>Boss</v>
          </cell>
          <cell r="S404">
            <v>5</v>
          </cell>
          <cell r="T404">
            <v>1.3</v>
          </cell>
          <cell r="U404">
            <v>0.8</v>
          </cell>
          <cell r="V404">
            <v>3</v>
          </cell>
          <cell r="W404">
            <v>1</v>
          </cell>
          <cell r="X404">
            <v>30</v>
          </cell>
          <cell r="Y404">
            <v>1.3</v>
          </cell>
          <cell r="Z404">
            <v>1.3</v>
          </cell>
          <cell r="AA404">
            <v>1.1000000000000001</v>
          </cell>
          <cell r="AB404">
            <v>0</v>
          </cell>
        </row>
        <row r="405">
          <cell r="A405">
            <v>404</v>
          </cell>
          <cell r="B405" t="str">
            <v>空襲の神眼 八咫烏</v>
          </cell>
          <cell r="C405">
            <v>5</v>
          </cell>
          <cell r="D405" t="str">
            <v>green</v>
          </cell>
          <cell r="E405">
            <v>1.02</v>
          </cell>
          <cell r="F405">
            <v>0.98</v>
          </cell>
          <cell r="G405">
            <v>1</v>
          </cell>
          <cell r="H405" t="str">
            <v>balance</v>
          </cell>
          <cell r="I405" t="str">
            <v>バランスタイプ</v>
          </cell>
          <cell r="J405">
            <v>1</v>
          </cell>
          <cell r="K405">
            <v>1</v>
          </cell>
          <cell r="L405">
            <v>1</v>
          </cell>
          <cell r="M405" t="str">
            <v>animal</v>
          </cell>
          <cell r="N405" t="str">
            <v>アニマル</v>
          </cell>
          <cell r="O405">
            <v>1</v>
          </cell>
          <cell r="P405">
            <v>1.1000000000000001</v>
          </cell>
          <cell r="Q405">
            <v>1</v>
          </cell>
          <cell r="R405" t="str">
            <v>Boss</v>
          </cell>
          <cell r="S405">
            <v>5</v>
          </cell>
          <cell r="T405">
            <v>1.3</v>
          </cell>
          <cell r="U405">
            <v>0.8</v>
          </cell>
          <cell r="V405">
            <v>3</v>
          </cell>
          <cell r="W405">
            <v>1</v>
          </cell>
          <cell r="X405">
            <v>60</v>
          </cell>
          <cell r="Y405">
            <v>1.7</v>
          </cell>
          <cell r="Z405">
            <v>1.4</v>
          </cell>
          <cell r="AA405">
            <v>1</v>
          </cell>
          <cell r="AB405">
            <v>0</v>
          </cell>
        </row>
        <row r="406">
          <cell r="A406">
            <v>405</v>
          </cell>
          <cell r="B406" t="str">
            <v>エキドナ</v>
          </cell>
          <cell r="C406">
            <v>3</v>
          </cell>
          <cell r="D406" t="str">
            <v>blue</v>
          </cell>
          <cell r="E406">
            <v>1</v>
          </cell>
          <cell r="F406">
            <v>0.98</v>
          </cell>
          <cell r="G406">
            <v>1</v>
          </cell>
          <cell r="H406" t="str">
            <v>technical</v>
          </cell>
          <cell r="I406" t="str">
            <v>テクニカルタイプ</v>
          </cell>
          <cell r="J406">
            <v>0.9</v>
          </cell>
          <cell r="K406">
            <v>0.9</v>
          </cell>
          <cell r="L406">
            <v>1</v>
          </cell>
          <cell r="M406" t="str">
            <v>animal</v>
          </cell>
          <cell r="N406" t="str">
            <v>アニマル</v>
          </cell>
          <cell r="O406">
            <v>1</v>
          </cell>
          <cell r="P406">
            <v>1.1000000000000001</v>
          </cell>
          <cell r="Q406">
            <v>1</v>
          </cell>
          <cell r="R406" t="str">
            <v>Boss</v>
          </cell>
          <cell r="S406">
            <v>5</v>
          </cell>
          <cell r="T406">
            <v>1.3</v>
          </cell>
          <cell r="U406">
            <v>0.8</v>
          </cell>
          <cell r="V406">
            <v>3</v>
          </cell>
          <cell r="W406">
            <v>1</v>
          </cell>
          <cell r="X406">
            <v>25</v>
          </cell>
          <cell r="Y406">
            <v>1.2</v>
          </cell>
          <cell r="Z406">
            <v>1.25</v>
          </cell>
          <cell r="AA406">
            <v>1.1499999999999999</v>
          </cell>
          <cell r="AB406">
            <v>0</v>
          </cell>
        </row>
        <row r="407">
          <cell r="A407">
            <v>406</v>
          </cell>
          <cell r="B407" t="str">
            <v>美笑の蒼蛇 エキドナ</v>
          </cell>
          <cell r="C407">
            <v>4</v>
          </cell>
          <cell r="D407" t="str">
            <v>blue</v>
          </cell>
          <cell r="E407">
            <v>1</v>
          </cell>
          <cell r="F407">
            <v>0.98</v>
          </cell>
          <cell r="G407">
            <v>1</v>
          </cell>
          <cell r="H407" t="str">
            <v>technical</v>
          </cell>
          <cell r="I407" t="str">
            <v>テクニカルタイプ</v>
          </cell>
          <cell r="J407">
            <v>0.9</v>
          </cell>
          <cell r="K407">
            <v>0.9</v>
          </cell>
          <cell r="L407">
            <v>1</v>
          </cell>
          <cell r="M407" t="str">
            <v>animal</v>
          </cell>
          <cell r="N407" t="str">
            <v>アニマル</v>
          </cell>
          <cell r="O407">
            <v>1</v>
          </cell>
          <cell r="P407">
            <v>1.1000000000000001</v>
          </cell>
          <cell r="Q407">
            <v>1</v>
          </cell>
          <cell r="R407" t="str">
            <v>Boss</v>
          </cell>
          <cell r="S407">
            <v>5</v>
          </cell>
          <cell r="T407">
            <v>1.3</v>
          </cell>
          <cell r="U407">
            <v>0.8</v>
          </cell>
          <cell r="V407">
            <v>3</v>
          </cell>
          <cell r="W407">
            <v>1</v>
          </cell>
          <cell r="X407">
            <v>30</v>
          </cell>
          <cell r="Y407">
            <v>1.3</v>
          </cell>
          <cell r="Z407">
            <v>1.3</v>
          </cell>
          <cell r="AA407">
            <v>1.1000000000000001</v>
          </cell>
          <cell r="AB407">
            <v>0</v>
          </cell>
        </row>
        <row r="408">
          <cell r="A408">
            <v>407</v>
          </cell>
          <cell r="B408" t="str">
            <v>蠱惑の飛刀 エキドナ</v>
          </cell>
          <cell r="C408">
            <v>5</v>
          </cell>
          <cell r="D408" t="str">
            <v>blue</v>
          </cell>
          <cell r="E408">
            <v>1</v>
          </cell>
          <cell r="F408">
            <v>0.98</v>
          </cell>
          <cell r="G408">
            <v>1</v>
          </cell>
          <cell r="H408" t="str">
            <v>technical</v>
          </cell>
          <cell r="I408" t="str">
            <v>テクニカルタイプ</v>
          </cell>
          <cell r="J408">
            <v>0.9</v>
          </cell>
          <cell r="K408">
            <v>0.9</v>
          </cell>
          <cell r="L408">
            <v>1</v>
          </cell>
          <cell r="M408" t="str">
            <v>animal</v>
          </cell>
          <cell r="N408" t="str">
            <v>アニマル</v>
          </cell>
          <cell r="O408">
            <v>1</v>
          </cell>
          <cell r="P408">
            <v>1.1000000000000001</v>
          </cell>
          <cell r="Q408">
            <v>1</v>
          </cell>
          <cell r="R408" t="str">
            <v>Boss</v>
          </cell>
          <cell r="S408">
            <v>5</v>
          </cell>
          <cell r="T408">
            <v>1.3</v>
          </cell>
          <cell r="U408">
            <v>0.8</v>
          </cell>
          <cell r="V408">
            <v>3</v>
          </cell>
          <cell r="W408">
            <v>1</v>
          </cell>
          <cell r="X408">
            <v>60</v>
          </cell>
          <cell r="Y408">
            <v>1.7</v>
          </cell>
          <cell r="Z408">
            <v>1.4</v>
          </cell>
          <cell r="AA408">
            <v>1</v>
          </cell>
          <cell r="AB408">
            <v>0</v>
          </cell>
        </row>
        <row r="409">
          <cell r="A409">
            <v>408</v>
          </cell>
          <cell r="B409" t="str">
            <v>皇魔 アスタロト</v>
          </cell>
          <cell r="C409">
            <v>4</v>
          </cell>
          <cell r="D409" t="str">
            <v>yellow</v>
          </cell>
          <cell r="E409">
            <v>0.98</v>
          </cell>
          <cell r="F409">
            <v>1.01</v>
          </cell>
          <cell r="G409">
            <v>1</v>
          </cell>
          <cell r="H409" t="str">
            <v>attack</v>
          </cell>
          <cell r="I409" t="str">
            <v>攻撃タイプ</v>
          </cell>
          <cell r="J409">
            <v>1</v>
          </cell>
          <cell r="K409">
            <v>1.33</v>
          </cell>
          <cell r="L409">
            <v>1</v>
          </cell>
          <cell r="M409" t="str">
            <v>god</v>
          </cell>
          <cell r="N409" t="str">
            <v>ゴッド</v>
          </cell>
          <cell r="O409">
            <v>0.96</v>
          </cell>
          <cell r="P409">
            <v>1.02</v>
          </cell>
          <cell r="Q409">
            <v>1</v>
          </cell>
          <cell r="R409" t="str">
            <v>Boss</v>
          </cell>
          <cell r="S409">
            <v>5</v>
          </cell>
          <cell r="T409">
            <v>1.3</v>
          </cell>
          <cell r="U409">
            <v>0.8</v>
          </cell>
          <cell r="V409">
            <v>3</v>
          </cell>
          <cell r="W409">
            <v>1</v>
          </cell>
          <cell r="X409">
            <v>30</v>
          </cell>
          <cell r="Y409">
            <v>1.3</v>
          </cell>
          <cell r="Z409">
            <v>1.3</v>
          </cell>
          <cell r="AA409">
            <v>1.1000000000000001</v>
          </cell>
          <cell r="AB409">
            <v>0</v>
          </cell>
        </row>
        <row r="410">
          <cell r="A410">
            <v>409</v>
          </cell>
          <cell r="B410" t="str">
            <v>天眼の皇貴魔 アスタロト</v>
          </cell>
          <cell r="C410">
            <v>5</v>
          </cell>
          <cell r="D410" t="str">
            <v>yellow</v>
          </cell>
          <cell r="E410">
            <v>0.98</v>
          </cell>
          <cell r="F410">
            <v>1.01</v>
          </cell>
          <cell r="G410">
            <v>1</v>
          </cell>
          <cell r="H410" t="str">
            <v>attack</v>
          </cell>
          <cell r="I410" t="str">
            <v>攻撃タイプ</v>
          </cell>
          <cell r="J410">
            <v>1</v>
          </cell>
          <cell r="K410">
            <v>1.33</v>
          </cell>
          <cell r="L410">
            <v>1</v>
          </cell>
          <cell r="M410" t="str">
            <v>god</v>
          </cell>
          <cell r="N410" t="str">
            <v>ゴッド</v>
          </cell>
          <cell r="O410">
            <v>0.96</v>
          </cell>
          <cell r="P410">
            <v>1.02</v>
          </cell>
          <cell r="Q410">
            <v>1</v>
          </cell>
          <cell r="R410" t="str">
            <v>Boss</v>
          </cell>
          <cell r="S410">
            <v>5</v>
          </cell>
          <cell r="T410">
            <v>1.3</v>
          </cell>
          <cell r="U410">
            <v>0.8</v>
          </cell>
          <cell r="V410">
            <v>3</v>
          </cell>
          <cell r="W410">
            <v>1</v>
          </cell>
          <cell r="X410">
            <v>60</v>
          </cell>
          <cell r="Y410">
            <v>1.7</v>
          </cell>
          <cell r="Z410">
            <v>1.4</v>
          </cell>
          <cell r="AA410">
            <v>1</v>
          </cell>
          <cell r="AB410">
            <v>0</v>
          </cell>
        </row>
        <row r="411">
          <cell r="A411">
            <v>410</v>
          </cell>
          <cell r="B411" t="str">
            <v>ファラデー</v>
          </cell>
          <cell r="C411">
            <v>4</v>
          </cell>
          <cell r="D411" t="str">
            <v>yellow</v>
          </cell>
          <cell r="E411">
            <v>0.98</v>
          </cell>
          <cell r="F411">
            <v>1.01</v>
          </cell>
          <cell r="G411">
            <v>1</v>
          </cell>
          <cell r="H411" t="str">
            <v>balance</v>
          </cell>
          <cell r="I411" t="str">
            <v>バランスタイプ</v>
          </cell>
          <cell r="J411">
            <v>1</v>
          </cell>
          <cell r="K411">
            <v>1</v>
          </cell>
          <cell r="L411">
            <v>1</v>
          </cell>
          <cell r="M411" t="str">
            <v>human</v>
          </cell>
          <cell r="N411" t="str">
            <v>ヒューマン</v>
          </cell>
          <cell r="O411">
            <v>0.94</v>
          </cell>
          <cell r="P411">
            <v>0.99</v>
          </cell>
          <cell r="Q411">
            <v>1</v>
          </cell>
          <cell r="R411" t="str">
            <v>Boss</v>
          </cell>
          <cell r="S411">
            <v>5</v>
          </cell>
          <cell r="T411">
            <v>1.3</v>
          </cell>
          <cell r="U411">
            <v>0.8</v>
          </cell>
          <cell r="V411">
            <v>3</v>
          </cell>
          <cell r="W411">
            <v>1</v>
          </cell>
          <cell r="X411">
            <v>30</v>
          </cell>
          <cell r="Y411">
            <v>1.3</v>
          </cell>
          <cell r="Z411">
            <v>1.3</v>
          </cell>
          <cell r="AA411">
            <v>1.1000000000000001</v>
          </cell>
          <cell r="AB411">
            <v>0</v>
          </cell>
        </row>
        <row r="412">
          <cell r="A412">
            <v>411</v>
          </cell>
          <cell r="B412" t="str">
            <v>電隷の始祖 ファラデー</v>
          </cell>
          <cell r="C412">
            <v>5</v>
          </cell>
          <cell r="D412" t="str">
            <v>yellow</v>
          </cell>
          <cell r="E412">
            <v>0.98</v>
          </cell>
          <cell r="F412">
            <v>1.01</v>
          </cell>
          <cell r="G412">
            <v>1</v>
          </cell>
          <cell r="H412" t="str">
            <v>balance</v>
          </cell>
          <cell r="I412" t="str">
            <v>バランスタイプ</v>
          </cell>
          <cell r="J412">
            <v>1</v>
          </cell>
          <cell r="K412">
            <v>1</v>
          </cell>
          <cell r="L412">
            <v>1</v>
          </cell>
          <cell r="M412" t="str">
            <v>human</v>
          </cell>
          <cell r="N412" t="str">
            <v>ヒューマン</v>
          </cell>
          <cell r="O412">
            <v>0.94</v>
          </cell>
          <cell r="P412">
            <v>0.99</v>
          </cell>
          <cell r="Q412">
            <v>1</v>
          </cell>
          <cell r="R412" t="str">
            <v>Boss</v>
          </cell>
          <cell r="S412">
            <v>5</v>
          </cell>
          <cell r="T412">
            <v>1.3</v>
          </cell>
          <cell r="U412">
            <v>0.8</v>
          </cell>
          <cell r="V412">
            <v>3</v>
          </cell>
          <cell r="W412">
            <v>1</v>
          </cell>
          <cell r="X412">
            <v>60</v>
          </cell>
          <cell r="Y412">
            <v>1.7</v>
          </cell>
          <cell r="Z412">
            <v>1.4</v>
          </cell>
          <cell r="AA412">
            <v>1</v>
          </cell>
          <cell r="AB412">
            <v>0</v>
          </cell>
        </row>
        <row r="413">
          <cell r="A413">
            <v>412</v>
          </cell>
          <cell r="B413" t="str">
            <v>コウネン</v>
          </cell>
          <cell r="C413">
            <v>2</v>
          </cell>
          <cell r="D413" t="str">
            <v>yellow</v>
          </cell>
          <cell r="E413">
            <v>0.98</v>
          </cell>
          <cell r="F413">
            <v>1.01</v>
          </cell>
          <cell r="G413">
            <v>1</v>
          </cell>
          <cell r="H413" t="str">
            <v>hp</v>
          </cell>
          <cell r="I413" t="str">
            <v>体力タイプ</v>
          </cell>
          <cell r="J413">
            <v>1.45</v>
          </cell>
          <cell r="K413">
            <v>0.85</v>
          </cell>
          <cell r="L413">
            <v>1</v>
          </cell>
          <cell r="M413" t="str">
            <v>unknown</v>
          </cell>
          <cell r="N413" t="str">
            <v>Unknown</v>
          </cell>
          <cell r="O413">
            <v>1</v>
          </cell>
          <cell r="P413">
            <v>1</v>
          </cell>
          <cell r="Q413">
            <v>1</v>
          </cell>
          <cell r="R413" t="str">
            <v>Normal</v>
          </cell>
          <cell r="S413">
            <v>1</v>
          </cell>
          <cell r="T413">
            <v>1</v>
          </cell>
          <cell r="U413">
            <v>1</v>
          </cell>
          <cell r="V413">
            <v>3</v>
          </cell>
          <cell r="W413">
            <v>1</v>
          </cell>
          <cell r="X413">
            <v>15</v>
          </cell>
          <cell r="Y413">
            <v>1</v>
          </cell>
          <cell r="Z413">
            <v>1</v>
          </cell>
          <cell r="AA413">
            <v>1</v>
          </cell>
          <cell r="AB413">
            <v>0</v>
          </cell>
        </row>
        <row r="414">
          <cell r="A414">
            <v>413</v>
          </cell>
          <cell r="B414" t="str">
            <v>狂騒地蔵 コウネン</v>
          </cell>
          <cell r="C414">
            <v>3</v>
          </cell>
          <cell r="D414" t="str">
            <v>yellow</v>
          </cell>
          <cell r="E414">
            <v>0.98</v>
          </cell>
          <cell r="F414">
            <v>1.01</v>
          </cell>
          <cell r="G414">
            <v>1</v>
          </cell>
          <cell r="H414" t="str">
            <v>hp</v>
          </cell>
          <cell r="I414" t="str">
            <v>体力タイプ</v>
          </cell>
          <cell r="J414">
            <v>1.45</v>
          </cell>
          <cell r="K414">
            <v>0.85</v>
          </cell>
          <cell r="L414">
            <v>1</v>
          </cell>
          <cell r="M414" t="str">
            <v>unknown</v>
          </cell>
          <cell r="N414" t="str">
            <v>Unknown</v>
          </cell>
          <cell r="O414">
            <v>1</v>
          </cell>
          <cell r="P414">
            <v>1</v>
          </cell>
          <cell r="Q414">
            <v>1</v>
          </cell>
          <cell r="R414" t="str">
            <v>Normal</v>
          </cell>
          <cell r="S414">
            <v>1</v>
          </cell>
          <cell r="T414">
            <v>1</v>
          </cell>
          <cell r="U414">
            <v>1</v>
          </cell>
          <cell r="V414">
            <v>3</v>
          </cell>
          <cell r="W414">
            <v>1</v>
          </cell>
          <cell r="X414">
            <v>20</v>
          </cell>
          <cell r="Y414">
            <v>1.1000000000000001</v>
          </cell>
          <cell r="Z414">
            <v>1.2</v>
          </cell>
          <cell r="AA414">
            <v>1.2</v>
          </cell>
          <cell r="AB414">
            <v>0</v>
          </cell>
        </row>
        <row r="415">
          <cell r="A415">
            <v>414</v>
          </cell>
          <cell r="B415" t="str">
            <v>炎のミリオンダック 2</v>
          </cell>
          <cell r="C415">
            <v>6</v>
          </cell>
          <cell r="D415" t="str">
            <v>red</v>
          </cell>
          <cell r="E415">
            <v>1</v>
          </cell>
          <cell r="F415">
            <v>1.02</v>
          </cell>
          <cell r="G415">
            <v>1</v>
          </cell>
          <cell r="H415" t="str">
            <v>exp</v>
          </cell>
          <cell r="I415" t="str">
            <v>強化素材タイプ</v>
          </cell>
          <cell r="J415">
            <v>0.1</v>
          </cell>
          <cell r="K415">
            <v>0.05</v>
          </cell>
          <cell r="L415">
            <v>1</v>
          </cell>
          <cell r="M415" t="str">
            <v>unknown</v>
          </cell>
          <cell r="N415" t="str">
            <v>Unknown</v>
          </cell>
          <cell r="O415">
            <v>1</v>
          </cell>
          <cell r="P415">
            <v>1</v>
          </cell>
          <cell r="Q415">
            <v>1</v>
          </cell>
          <cell r="R415" t="str">
            <v>Boss</v>
          </cell>
          <cell r="S415">
            <v>5</v>
          </cell>
          <cell r="T415">
            <v>1.3</v>
          </cell>
          <cell r="U415">
            <v>0.8</v>
          </cell>
          <cell r="V415">
            <v>3</v>
          </cell>
          <cell r="W415">
            <v>1</v>
          </cell>
          <cell r="X415">
            <v>20</v>
          </cell>
          <cell r="Y415">
            <v>1.1000000000000001</v>
          </cell>
          <cell r="Z415">
            <v>1.2</v>
          </cell>
          <cell r="AA415">
            <v>1.2</v>
          </cell>
          <cell r="AB415">
            <v>0</v>
          </cell>
        </row>
        <row r="416">
          <cell r="A416">
            <v>415</v>
          </cell>
          <cell r="B416" t="str">
            <v>森のミリオンダック 2</v>
          </cell>
          <cell r="C416">
            <v>6</v>
          </cell>
          <cell r="D416" t="str">
            <v>green</v>
          </cell>
          <cell r="E416">
            <v>1.02</v>
          </cell>
          <cell r="F416">
            <v>0.98</v>
          </cell>
          <cell r="G416">
            <v>1</v>
          </cell>
          <cell r="H416" t="str">
            <v>exp</v>
          </cell>
          <cell r="I416" t="str">
            <v>強化素材タイプ</v>
          </cell>
          <cell r="J416">
            <v>0.1</v>
          </cell>
          <cell r="K416">
            <v>0.05</v>
          </cell>
          <cell r="L416">
            <v>1</v>
          </cell>
          <cell r="M416" t="str">
            <v>unknown</v>
          </cell>
          <cell r="N416" t="str">
            <v>Unknown</v>
          </cell>
          <cell r="O416">
            <v>1</v>
          </cell>
          <cell r="P416">
            <v>1</v>
          </cell>
          <cell r="Q416">
            <v>1</v>
          </cell>
          <cell r="R416" t="str">
            <v>Boss</v>
          </cell>
          <cell r="S416">
            <v>5</v>
          </cell>
          <cell r="T416">
            <v>1.3</v>
          </cell>
          <cell r="U416">
            <v>0.8</v>
          </cell>
          <cell r="V416">
            <v>3</v>
          </cell>
          <cell r="W416">
            <v>1</v>
          </cell>
          <cell r="X416">
            <v>20</v>
          </cell>
          <cell r="Y416">
            <v>1.1000000000000001</v>
          </cell>
          <cell r="Z416">
            <v>1.2</v>
          </cell>
          <cell r="AA416">
            <v>1.2</v>
          </cell>
          <cell r="AB416">
            <v>0</v>
          </cell>
        </row>
        <row r="417">
          <cell r="A417">
            <v>416</v>
          </cell>
          <cell r="B417" t="str">
            <v>水のミリオンダック 2</v>
          </cell>
          <cell r="C417">
            <v>6</v>
          </cell>
          <cell r="D417" t="str">
            <v>blue</v>
          </cell>
          <cell r="E417">
            <v>1</v>
          </cell>
          <cell r="F417">
            <v>0.98</v>
          </cell>
          <cell r="G417">
            <v>1</v>
          </cell>
          <cell r="H417" t="str">
            <v>exp</v>
          </cell>
          <cell r="I417" t="str">
            <v>強化素材タイプ</v>
          </cell>
          <cell r="J417">
            <v>0.1</v>
          </cell>
          <cell r="K417">
            <v>0.05</v>
          </cell>
          <cell r="L417">
            <v>1</v>
          </cell>
          <cell r="M417" t="str">
            <v>unknown</v>
          </cell>
          <cell r="N417" t="str">
            <v>Unknown</v>
          </cell>
          <cell r="O417">
            <v>1</v>
          </cell>
          <cell r="P417">
            <v>1</v>
          </cell>
          <cell r="Q417">
            <v>1</v>
          </cell>
          <cell r="R417" t="str">
            <v>Boss</v>
          </cell>
          <cell r="S417">
            <v>5</v>
          </cell>
          <cell r="T417">
            <v>1.3</v>
          </cell>
          <cell r="U417">
            <v>0.8</v>
          </cell>
          <cell r="V417">
            <v>3</v>
          </cell>
          <cell r="W417">
            <v>1</v>
          </cell>
          <cell r="X417">
            <v>20</v>
          </cell>
          <cell r="Y417">
            <v>1.1000000000000001</v>
          </cell>
          <cell r="Z417">
            <v>1.2</v>
          </cell>
          <cell r="AA417">
            <v>1.2</v>
          </cell>
          <cell r="AB417">
            <v>0</v>
          </cell>
        </row>
        <row r="418">
          <cell r="A418">
            <v>417</v>
          </cell>
          <cell r="B418" t="str">
            <v>雷のミリオンダック 2</v>
          </cell>
          <cell r="C418">
            <v>6</v>
          </cell>
          <cell r="D418" t="str">
            <v>yellow</v>
          </cell>
          <cell r="E418">
            <v>0.98</v>
          </cell>
          <cell r="F418">
            <v>1.01</v>
          </cell>
          <cell r="G418">
            <v>1</v>
          </cell>
          <cell r="H418" t="str">
            <v>exp</v>
          </cell>
          <cell r="I418" t="str">
            <v>強化素材タイプ</v>
          </cell>
          <cell r="J418">
            <v>0.1</v>
          </cell>
          <cell r="K418">
            <v>0.05</v>
          </cell>
          <cell r="L418">
            <v>1</v>
          </cell>
          <cell r="M418" t="str">
            <v>unknown</v>
          </cell>
          <cell r="N418" t="str">
            <v>Unknown</v>
          </cell>
          <cell r="O418">
            <v>1</v>
          </cell>
          <cell r="P418">
            <v>1</v>
          </cell>
          <cell r="Q418">
            <v>1</v>
          </cell>
          <cell r="R418" t="str">
            <v>Boss</v>
          </cell>
          <cell r="S418">
            <v>5</v>
          </cell>
          <cell r="T418">
            <v>1.3</v>
          </cell>
          <cell r="U418">
            <v>0.8</v>
          </cell>
          <cell r="V418">
            <v>3</v>
          </cell>
          <cell r="W418">
            <v>1</v>
          </cell>
          <cell r="X418">
            <v>20</v>
          </cell>
          <cell r="Y418">
            <v>1.1000000000000001</v>
          </cell>
          <cell r="Z418">
            <v>1.2</v>
          </cell>
          <cell r="AA418">
            <v>1.2</v>
          </cell>
          <cell r="AB418">
            <v>0</v>
          </cell>
        </row>
        <row r="419">
          <cell r="A419">
            <v>418</v>
          </cell>
          <cell r="B419" t="str">
            <v>ウラシマ</v>
          </cell>
          <cell r="C419">
            <v>4</v>
          </cell>
          <cell r="D419" t="str">
            <v>red</v>
          </cell>
          <cell r="E419">
            <v>1</v>
          </cell>
          <cell r="F419">
            <v>1.02</v>
          </cell>
          <cell r="G419">
            <v>1</v>
          </cell>
          <cell r="H419" t="str">
            <v>hp</v>
          </cell>
          <cell r="I419" t="str">
            <v>体力タイプ</v>
          </cell>
          <cell r="J419">
            <v>1.45</v>
          </cell>
          <cell r="K419">
            <v>0.85</v>
          </cell>
          <cell r="L419">
            <v>1</v>
          </cell>
          <cell r="M419" t="str">
            <v>human</v>
          </cell>
          <cell r="N419" t="str">
            <v>ヒューマン</v>
          </cell>
          <cell r="O419">
            <v>0.94</v>
          </cell>
          <cell r="P419">
            <v>0.99</v>
          </cell>
          <cell r="Q419">
            <v>1</v>
          </cell>
          <cell r="R419" t="str">
            <v>Boss</v>
          </cell>
          <cell r="S419">
            <v>5</v>
          </cell>
          <cell r="T419">
            <v>1.3</v>
          </cell>
          <cell r="U419">
            <v>0.8</v>
          </cell>
          <cell r="V419">
            <v>3</v>
          </cell>
          <cell r="W419">
            <v>1</v>
          </cell>
          <cell r="X419">
            <v>30</v>
          </cell>
          <cell r="Y419">
            <v>1.3</v>
          </cell>
          <cell r="Z419">
            <v>1.3</v>
          </cell>
          <cell r="AA419">
            <v>1.1000000000000001</v>
          </cell>
          <cell r="AB419">
            <v>0</v>
          </cell>
        </row>
        <row r="420">
          <cell r="A420">
            <v>419</v>
          </cell>
          <cell r="B420" t="str">
            <v>宣戦の解城 ウラシマ</v>
          </cell>
          <cell r="C420">
            <v>5</v>
          </cell>
          <cell r="D420" t="str">
            <v>red</v>
          </cell>
          <cell r="E420">
            <v>1</v>
          </cell>
          <cell r="F420">
            <v>1.02</v>
          </cell>
          <cell r="G420">
            <v>1</v>
          </cell>
          <cell r="H420" t="str">
            <v>hp</v>
          </cell>
          <cell r="I420" t="str">
            <v>体力タイプ</v>
          </cell>
          <cell r="J420">
            <v>1.45</v>
          </cell>
          <cell r="K420">
            <v>0.85</v>
          </cell>
          <cell r="L420">
            <v>1</v>
          </cell>
          <cell r="M420" t="str">
            <v>human</v>
          </cell>
          <cell r="N420" t="str">
            <v>ヒューマン</v>
          </cell>
          <cell r="O420">
            <v>0.94</v>
          </cell>
          <cell r="P420">
            <v>0.99</v>
          </cell>
          <cell r="Q420">
            <v>1</v>
          </cell>
          <cell r="R420" t="str">
            <v>Boss</v>
          </cell>
          <cell r="S420">
            <v>5</v>
          </cell>
          <cell r="T420">
            <v>1.3</v>
          </cell>
          <cell r="U420">
            <v>0.8</v>
          </cell>
          <cell r="V420">
            <v>3</v>
          </cell>
          <cell r="W420">
            <v>1</v>
          </cell>
          <cell r="X420">
            <v>60</v>
          </cell>
          <cell r="Y420">
            <v>1.7</v>
          </cell>
          <cell r="Z420">
            <v>1.4</v>
          </cell>
          <cell r="AA420">
            <v>1</v>
          </cell>
          <cell r="AB420">
            <v>0</v>
          </cell>
        </row>
        <row r="421">
          <cell r="A421">
            <v>420</v>
          </cell>
          <cell r="B421" t="str">
            <v>カエデ</v>
          </cell>
          <cell r="C421">
            <v>4</v>
          </cell>
          <cell r="D421" t="str">
            <v>green</v>
          </cell>
          <cell r="E421">
            <v>1.02</v>
          </cell>
          <cell r="F421">
            <v>0.98</v>
          </cell>
          <cell r="G421">
            <v>1</v>
          </cell>
          <cell r="H421" t="str">
            <v>heal</v>
          </cell>
          <cell r="I421" t="str">
            <v>回復タイプ</v>
          </cell>
          <cell r="J421">
            <v>0.8</v>
          </cell>
          <cell r="K421">
            <v>0.78</v>
          </cell>
          <cell r="L421">
            <v>1</v>
          </cell>
          <cell r="M421" t="str">
            <v>human</v>
          </cell>
          <cell r="N421" t="str">
            <v>ヒューマン</v>
          </cell>
          <cell r="O421">
            <v>0.94</v>
          </cell>
          <cell r="P421">
            <v>0.99</v>
          </cell>
          <cell r="Q421">
            <v>1</v>
          </cell>
          <cell r="R421" t="str">
            <v>Boss</v>
          </cell>
          <cell r="S421">
            <v>5</v>
          </cell>
          <cell r="T421">
            <v>1.3</v>
          </cell>
          <cell r="U421">
            <v>0.8</v>
          </cell>
          <cell r="V421">
            <v>3</v>
          </cell>
          <cell r="W421">
            <v>1</v>
          </cell>
          <cell r="X421">
            <v>30</v>
          </cell>
          <cell r="Y421">
            <v>1.3</v>
          </cell>
          <cell r="Z421">
            <v>1.3</v>
          </cell>
          <cell r="AA421">
            <v>1.1000000000000001</v>
          </cell>
          <cell r="AB421">
            <v>0</v>
          </cell>
        </row>
        <row r="422">
          <cell r="A422">
            <v>421</v>
          </cell>
          <cell r="B422" t="str">
            <v>反親の彩壁 カエデ</v>
          </cell>
          <cell r="C422">
            <v>5</v>
          </cell>
          <cell r="D422" t="str">
            <v>green</v>
          </cell>
          <cell r="E422">
            <v>1.02</v>
          </cell>
          <cell r="F422">
            <v>0.98</v>
          </cell>
          <cell r="G422">
            <v>1</v>
          </cell>
          <cell r="H422" t="str">
            <v>heal</v>
          </cell>
          <cell r="I422" t="str">
            <v>回復タイプ</v>
          </cell>
          <cell r="J422">
            <v>0.8</v>
          </cell>
          <cell r="K422">
            <v>0.78</v>
          </cell>
          <cell r="L422">
            <v>1</v>
          </cell>
          <cell r="M422" t="str">
            <v>human</v>
          </cell>
          <cell r="N422" t="str">
            <v>ヒューマン</v>
          </cell>
          <cell r="O422">
            <v>0.94</v>
          </cell>
          <cell r="P422">
            <v>0.99</v>
          </cell>
          <cell r="Q422">
            <v>1</v>
          </cell>
          <cell r="R422" t="str">
            <v>Boss</v>
          </cell>
          <cell r="S422">
            <v>5</v>
          </cell>
          <cell r="T422">
            <v>1.3</v>
          </cell>
          <cell r="U422">
            <v>0.8</v>
          </cell>
          <cell r="V422">
            <v>3</v>
          </cell>
          <cell r="W422">
            <v>1</v>
          </cell>
          <cell r="X422">
            <v>60</v>
          </cell>
          <cell r="Y422">
            <v>1.7</v>
          </cell>
          <cell r="Z422">
            <v>1.4</v>
          </cell>
          <cell r="AA422">
            <v>1</v>
          </cell>
          <cell r="AB422">
            <v>0</v>
          </cell>
        </row>
        <row r="423">
          <cell r="A423">
            <v>422</v>
          </cell>
          <cell r="B423" t="str">
            <v>シュガフル</v>
          </cell>
          <cell r="C423">
            <v>4</v>
          </cell>
          <cell r="D423" t="str">
            <v>blue</v>
          </cell>
          <cell r="E423">
            <v>1</v>
          </cell>
          <cell r="F423">
            <v>0.98</v>
          </cell>
          <cell r="G423">
            <v>1</v>
          </cell>
          <cell r="H423" t="str">
            <v>balance</v>
          </cell>
          <cell r="I423" t="str">
            <v>バランスタイプ</v>
          </cell>
          <cell r="J423">
            <v>1</v>
          </cell>
          <cell r="K423">
            <v>1</v>
          </cell>
          <cell r="L423">
            <v>1</v>
          </cell>
          <cell r="M423" t="str">
            <v>human</v>
          </cell>
          <cell r="N423" t="str">
            <v>ヒューマン</v>
          </cell>
          <cell r="O423">
            <v>0.94</v>
          </cell>
          <cell r="P423">
            <v>0.99</v>
          </cell>
          <cell r="Q423">
            <v>1</v>
          </cell>
          <cell r="R423" t="str">
            <v>Boss</v>
          </cell>
          <cell r="S423">
            <v>5</v>
          </cell>
          <cell r="T423">
            <v>1.3</v>
          </cell>
          <cell r="U423">
            <v>0.8</v>
          </cell>
          <cell r="V423">
            <v>3</v>
          </cell>
          <cell r="W423">
            <v>1</v>
          </cell>
          <cell r="X423">
            <v>30</v>
          </cell>
          <cell r="Y423">
            <v>1.7</v>
          </cell>
          <cell r="Z423">
            <v>1.4</v>
          </cell>
          <cell r="AA423">
            <v>1</v>
          </cell>
          <cell r="AB423">
            <v>0</v>
          </cell>
        </row>
        <row r="424">
          <cell r="A424">
            <v>423</v>
          </cell>
          <cell r="B424" t="str">
            <v>甘罠の魔女 シュガフル</v>
          </cell>
          <cell r="C424">
            <v>5</v>
          </cell>
          <cell r="D424" t="str">
            <v>blue</v>
          </cell>
          <cell r="E424">
            <v>1</v>
          </cell>
          <cell r="F424">
            <v>0.98</v>
          </cell>
          <cell r="G424">
            <v>1</v>
          </cell>
          <cell r="H424" t="str">
            <v>balance</v>
          </cell>
          <cell r="I424" t="str">
            <v>バランスタイプ</v>
          </cell>
          <cell r="J424">
            <v>1</v>
          </cell>
          <cell r="K424">
            <v>1</v>
          </cell>
          <cell r="L424">
            <v>1</v>
          </cell>
          <cell r="M424" t="str">
            <v>human</v>
          </cell>
          <cell r="N424" t="str">
            <v>ヒューマン</v>
          </cell>
          <cell r="O424">
            <v>0.94</v>
          </cell>
          <cell r="P424">
            <v>0.99</v>
          </cell>
          <cell r="Q424">
            <v>1</v>
          </cell>
          <cell r="R424" t="str">
            <v>Boss</v>
          </cell>
          <cell r="S424">
            <v>5</v>
          </cell>
          <cell r="T424">
            <v>1.3</v>
          </cell>
          <cell r="U424">
            <v>0.8</v>
          </cell>
          <cell r="V424">
            <v>3</v>
          </cell>
          <cell r="W424">
            <v>1</v>
          </cell>
          <cell r="X424">
            <v>60</v>
          </cell>
          <cell r="Y424">
            <v>1.7</v>
          </cell>
          <cell r="Z424">
            <v>1.4</v>
          </cell>
          <cell r="AA424">
            <v>1</v>
          </cell>
          <cell r="AB424">
            <v>0</v>
          </cell>
        </row>
        <row r="425">
          <cell r="A425">
            <v>424</v>
          </cell>
          <cell r="B425" t="str">
            <v>フック</v>
          </cell>
          <cell r="C425">
            <v>4</v>
          </cell>
          <cell r="D425" t="str">
            <v>yellow</v>
          </cell>
          <cell r="E425">
            <v>0.98</v>
          </cell>
          <cell r="F425">
            <v>1.01</v>
          </cell>
          <cell r="G425">
            <v>1</v>
          </cell>
          <cell r="H425" t="str">
            <v>attack</v>
          </cell>
          <cell r="I425" t="str">
            <v>攻撃タイプ</v>
          </cell>
          <cell r="J425">
            <v>1</v>
          </cell>
          <cell r="K425">
            <v>1.33</v>
          </cell>
          <cell r="L425">
            <v>1</v>
          </cell>
          <cell r="M425" t="str">
            <v>human</v>
          </cell>
          <cell r="N425" t="str">
            <v>ヒューマン</v>
          </cell>
          <cell r="O425">
            <v>0.94</v>
          </cell>
          <cell r="P425">
            <v>0.99</v>
          </cell>
          <cell r="Q425">
            <v>1</v>
          </cell>
          <cell r="R425" t="str">
            <v>Boss</v>
          </cell>
          <cell r="S425">
            <v>5</v>
          </cell>
          <cell r="T425">
            <v>1.3</v>
          </cell>
          <cell r="U425">
            <v>0.8</v>
          </cell>
          <cell r="V425">
            <v>3</v>
          </cell>
          <cell r="W425">
            <v>1</v>
          </cell>
          <cell r="X425">
            <v>30</v>
          </cell>
          <cell r="Y425">
            <v>1.3</v>
          </cell>
          <cell r="Z425">
            <v>1.3</v>
          </cell>
          <cell r="AA425">
            <v>1.1000000000000001</v>
          </cell>
          <cell r="AB425">
            <v>0</v>
          </cell>
        </row>
        <row r="426">
          <cell r="A426">
            <v>425</v>
          </cell>
          <cell r="B426" t="str">
            <v>怒髪の海賊 フック</v>
          </cell>
          <cell r="C426">
            <v>5</v>
          </cell>
          <cell r="D426" t="str">
            <v>yellow</v>
          </cell>
          <cell r="E426">
            <v>0.98</v>
          </cell>
          <cell r="F426">
            <v>1.01</v>
          </cell>
          <cell r="G426">
            <v>1</v>
          </cell>
          <cell r="H426" t="str">
            <v>attack</v>
          </cell>
          <cell r="I426" t="str">
            <v>攻撃タイプ</v>
          </cell>
          <cell r="J426">
            <v>1</v>
          </cell>
          <cell r="K426">
            <v>1.33</v>
          </cell>
          <cell r="L426">
            <v>1</v>
          </cell>
          <cell r="M426" t="str">
            <v>human</v>
          </cell>
          <cell r="N426" t="str">
            <v>ヒューマン</v>
          </cell>
          <cell r="O426">
            <v>0.94</v>
          </cell>
          <cell r="P426">
            <v>0.99</v>
          </cell>
          <cell r="Q426">
            <v>1</v>
          </cell>
          <cell r="R426" t="str">
            <v>Boss</v>
          </cell>
          <cell r="S426">
            <v>5</v>
          </cell>
          <cell r="T426">
            <v>1.3</v>
          </cell>
          <cell r="U426">
            <v>0.8</v>
          </cell>
          <cell r="V426">
            <v>3</v>
          </cell>
          <cell r="W426">
            <v>1</v>
          </cell>
          <cell r="X426">
            <v>60</v>
          </cell>
          <cell r="Y426">
            <v>1.7</v>
          </cell>
          <cell r="Z426">
            <v>1.4</v>
          </cell>
          <cell r="AA426">
            <v>1</v>
          </cell>
          <cell r="AB426">
            <v>0</v>
          </cell>
        </row>
        <row r="427">
          <cell r="A427">
            <v>426</v>
          </cell>
          <cell r="B427" t="str">
            <v>宮本武蔵</v>
          </cell>
          <cell r="C427">
            <v>4</v>
          </cell>
          <cell r="D427" t="str">
            <v>yellow</v>
          </cell>
          <cell r="E427">
            <v>0.98</v>
          </cell>
          <cell r="F427">
            <v>1.01</v>
          </cell>
          <cell r="G427">
            <v>1</v>
          </cell>
          <cell r="H427" t="str">
            <v>attack</v>
          </cell>
          <cell r="I427" t="str">
            <v>攻撃タイプ</v>
          </cell>
          <cell r="J427">
            <v>1</v>
          </cell>
          <cell r="K427">
            <v>1.33</v>
          </cell>
          <cell r="L427">
            <v>1</v>
          </cell>
          <cell r="M427" t="str">
            <v>human</v>
          </cell>
          <cell r="N427" t="str">
            <v>ヒューマン</v>
          </cell>
          <cell r="O427">
            <v>0.94</v>
          </cell>
          <cell r="P427">
            <v>0.99</v>
          </cell>
          <cell r="Q427">
            <v>1</v>
          </cell>
          <cell r="R427" t="str">
            <v>Boss</v>
          </cell>
          <cell r="S427">
            <v>5</v>
          </cell>
          <cell r="T427">
            <v>1.3</v>
          </cell>
          <cell r="U427">
            <v>0.8</v>
          </cell>
          <cell r="V427">
            <v>3</v>
          </cell>
          <cell r="W427">
            <v>1</v>
          </cell>
          <cell r="X427">
            <v>30</v>
          </cell>
          <cell r="Y427">
            <v>1.3</v>
          </cell>
          <cell r="Z427">
            <v>1.3</v>
          </cell>
          <cell r="AA427">
            <v>1.1000000000000001</v>
          </cell>
          <cell r="AB427">
            <v>0</v>
          </cell>
        </row>
        <row r="428">
          <cell r="A428">
            <v>427</v>
          </cell>
          <cell r="B428" t="str">
            <v>極・剣豪 宮本武蔵</v>
          </cell>
          <cell r="C428">
            <v>5</v>
          </cell>
          <cell r="D428" t="str">
            <v>yellow</v>
          </cell>
          <cell r="E428">
            <v>0.98</v>
          </cell>
          <cell r="F428">
            <v>1.01</v>
          </cell>
          <cell r="G428">
            <v>1</v>
          </cell>
          <cell r="H428" t="str">
            <v>attack</v>
          </cell>
          <cell r="I428" t="str">
            <v>攻撃タイプ</v>
          </cell>
          <cell r="J428">
            <v>1</v>
          </cell>
          <cell r="K428">
            <v>1.33</v>
          </cell>
          <cell r="L428">
            <v>1</v>
          </cell>
          <cell r="M428" t="str">
            <v>human</v>
          </cell>
          <cell r="N428" t="str">
            <v>ヒューマン</v>
          </cell>
          <cell r="O428">
            <v>0.94</v>
          </cell>
          <cell r="P428">
            <v>0.99</v>
          </cell>
          <cell r="Q428">
            <v>1</v>
          </cell>
          <cell r="R428" t="str">
            <v>Boss</v>
          </cell>
          <cell r="S428">
            <v>5</v>
          </cell>
          <cell r="T428">
            <v>1.3</v>
          </cell>
          <cell r="U428">
            <v>0.8</v>
          </cell>
          <cell r="V428">
            <v>3</v>
          </cell>
          <cell r="W428">
            <v>1</v>
          </cell>
          <cell r="X428">
            <v>60</v>
          </cell>
          <cell r="Y428">
            <v>1.7</v>
          </cell>
          <cell r="Z428">
            <v>1.4</v>
          </cell>
          <cell r="AA428">
            <v>1</v>
          </cell>
          <cell r="AB428">
            <v>0</v>
          </cell>
        </row>
        <row r="429">
          <cell r="A429">
            <v>428</v>
          </cell>
          <cell r="B429" t="str">
            <v>レッドダムディ</v>
          </cell>
          <cell r="C429">
            <v>5</v>
          </cell>
          <cell r="D429" t="str">
            <v>red</v>
          </cell>
          <cell r="E429">
            <v>1</v>
          </cell>
          <cell r="F429">
            <v>1.02</v>
          </cell>
          <cell r="G429">
            <v>1</v>
          </cell>
          <cell r="H429" t="str">
            <v>evolution</v>
          </cell>
          <cell r="I429" t="str">
            <v>覚醒素材タイプ</v>
          </cell>
          <cell r="J429">
            <v>0.1</v>
          </cell>
          <cell r="K429">
            <v>0.05</v>
          </cell>
          <cell r="L429">
            <v>1</v>
          </cell>
          <cell r="M429" t="str">
            <v>unknown</v>
          </cell>
          <cell r="N429" t="str">
            <v>Unknown</v>
          </cell>
          <cell r="O429">
            <v>1</v>
          </cell>
          <cell r="P429">
            <v>1</v>
          </cell>
          <cell r="Q429">
            <v>1</v>
          </cell>
          <cell r="R429" t="str">
            <v>Boss</v>
          </cell>
          <cell r="S429">
            <v>5</v>
          </cell>
          <cell r="T429">
            <v>1.3</v>
          </cell>
          <cell r="U429">
            <v>0.8</v>
          </cell>
          <cell r="V429">
            <v>3</v>
          </cell>
          <cell r="W429">
            <v>1</v>
          </cell>
          <cell r="X429">
            <v>60</v>
          </cell>
          <cell r="Y429">
            <v>1.7</v>
          </cell>
          <cell r="Z429">
            <v>1.4</v>
          </cell>
          <cell r="AA429">
            <v>1</v>
          </cell>
          <cell r="AB429">
            <v>0</v>
          </cell>
        </row>
        <row r="430">
          <cell r="A430">
            <v>429</v>
          </cell>
          <cell r="B430" t="str">
            <v>ブルーダムディ</v>
          </cell>
          <cell r="C430">
            <v>5</v>
          </cell>
          <cell r="D430" t="str">
            <v>blue</v>
          </cell>
          <cell r="E430">
            <v>1</v>
          </cell>
          <cell r="F430">
            <v>0.98</v>
          </cell>
          <cell r="G430">
            <v>1</v>
          </cell>
          <cell r="H430" t="str">
            <v>evolution</v>
          </cell>
          <cell r="I430" t="str">
            <v>覚醒素材タイプ</v>
          </cell>
          <cell r="J430">
            <v>0.1</v>
          </cell>
          <cell r="K430">
            <v>0.05</v>
          </cell>
          <cell r="L430">
            <v>1</v>
          </cell>
          <cell r="M430" t="str">
            <v>unknown</v>
          </cell>
          <cell r="N430" t="str">
            <v>Unknown</v>
          </cell>
          <cell r="O430">
            <v>1</v>
          </cell>
          <cell r="P430">
            <v>1</v>
          </cell>
          <cell r="Q430">
            <v>1</v>
          </cell>
          <cell r="R430" t="str">
            <v>Boss</v>
          </cell>
          <cell r="S430">
            <v>5</v>
          </cell>
          <cell r="T430">
            <v>1.3</v>
          </cell>
          <cell r="U430">
            <v>0.8</v>
          </cell>
          <cell r="V430">
            <v>3</v>
          </cell>
          <cell r="W430">
            <v>1</v>
          </cell>
          <cell r="X430">
            <v>60</v>
          </cell>
          <cell r="Y430">
            <v>1.7</v>
          </cell>
          <cell r="Z430">
            <v>1.4</v>
          </cell>
          <cell r="AA430">
            <v>1</v>
          </cell>
          <cell r="AB430">
            <v>0</v>
          </cell>
        </row>
        <row r="431">
          <cell r="A431">
            <v>430</v>
          </cell>
          <cell r="B431" t="str">
            <v>グリーンダムディ</v>
          </cell>
          <cell r="C431">
            <v>5</v>
          </cell>
          <cell r="D431" t="str">
            <v>green</v>
          </cell>
          <cell r="E431">
            <v>1.02</v>
          </cell>
          <cell r="F431">
            <v>0.98</v>
          </cell>
          <cell r="G431">
            <v>1</v>
          </cell>
          <cell r="H431" t="str">
            <v>evolution</v>
          </cell>
          <cell r="I431" t="str">
            <v>覚醒素材タイプ</v>
          </cell>
          <cell r="J431">
            <v>0.1</v>
          </cell>
          <cell r="K431">
            <v>0.05</v>
          </cell>
          <cell r="L431">
            <v>1</v>
          </cell>
          <cell r="M431" t="str">
            <v>unknown</v>
          </cell>
          <cell r="N431" t="str">
            <v>Unknown</v>
          </cell>
          <cell r="O431">
            <v>1</v>
          </cell>
          <cell r="P431">
            <v>1</v>
          </cell>
          <cell r="Q431">
            <v>1</v>
          </cell>
          <cell r="R431" t="str">
            <v>Boss</v>
          </cell>
          <cell r="S431">
            <v>5</v>
          </cell>
          <cell r="T431">
            <v>1.3</v>
          </cell>
          <cell r="U431">
            <v>0.8</v>
          </cell>
          <cell r="V431">
            <v>3</v>
          </cell>
          <cell r="W431">
            <v>1</v>
          </cell>
          <cell r="X431">
            <v>60</v>
          </cell>
          <cell r="Y431">
            <v>1.7</v>
          </cell>
          <cell r="Z431">
            <v>1.4</v>
          </cell>
          <cell r="AA431">
            <v>1</v>
          </cell>
          <cell r="AB431">
            <v>0</v>
          </cell>
        </row>
        <row r="432">
          <cell r="A432">
            <v>431</v>
          </cell>
          <cell r="B432" t="str">
            <v>イエローダムディ</v>
          </cell>
          <cell r="C432">
            <v>5</v>
          </cell>
          <cell r="D432" t="str">
            <v>yellow</v>
          </cell>
          <cell r="E432">
            <v>0.98</v>
          </cell>
          <cell r="F432">
            <v>1.01</v>
          </cell>
          <cell r="G432">
            <v>1</v>
          </cell>
          <cell r="H432" t="str">
            <v>evolution</v>
          </cell>
          <cell r="I432" t="str">
            <v>覚醒素材タイプ</v>
          </cell>
          <cell r="J432">
            <v>0.1</v>
          </cell>
          <cell r="K432">
            <v>0.05</v>
          </cell>
          <cell r="L432">
            <v>1</v>
          </cell>
          <cell r="M432" t="str">
            <v>unknown</v>
          </cell>
          <cell r="N432" t="str">
            <v>Unknown</v>
          </cell>
          <cell r="O432">
            <v>1</v>
          </cell>
          <cell r="P432">
            <v>1</v>
          </cell>
          <cell r="Q432">
            <v>1</v>
          </cell>
          <cell r="R432" t="str">
            <v>Boss</v>
          </cell>
          <cell r="S432">
            <v>5</v>
          </cell>
          <cell r="T432">
            <v>1.3</v>
          </cell>
          <cell r="U432">
            <v>0.8</v>
          </cell>
          <cell r="V432">
            <v>3</v>
          </cell>
          <cell r="W432">
            <v>1</v>
          </cell>
          <cell r="X432">
            <v>60</v>
          </cell>
          <cell r="Y432">
            <v>1.7</v>
          </cell>
          <cell r="Z432">
            <v>1.4</v>
          </cell>
          <cell r="AA432">
            <v>1</v>
          </cell>
          <cell r="AB432">
            <v>0</v>
          </cell>
        </row>
        <row r="433">
          <cell r="A433">
            <v>432</v>
          </cell>
          <cell r="B433" t="str">
            <v>麒麟</v>
          </cell>
          <cell r="C433">
            <v>4</v>
          </cell>
          <cell r="D433" t="str">
            <v>yellow</v>
          </cell>
          <cell r="E433">
            <v>0.98</v>
          </cell>
          <cell r="F433">
            <v>1.01</v>
          </cell>
          <cell r="G433">
            <v>1</v>
          </cell>
          <cell r="H433" t="str">
            <v>balance</v>
          </cell>
          <cell r="I433" t="str">
            <v>バランスタイプ</v>
          </cell>
          <cell r="J433">
            <v>1</v>
          </cell>
          <cell r="K433">
            <v>1</v>
          </cell>
          <cell r="L433">
            <v>1</v>
          </cell>
          <cell r="M433" t="str">
            <v>god</v>
          </cell>
          <cell r="N433" t="str">
            <v>ゴッド</v>
          </cell>
          <cell r="O433">
            <v>0.96</v>
          </cell>
          <cell r="P433">
            <v>1.02</v>
          </cell>
          <cell r="Q433">
            <v>1</v>
          </cell>
          <cell r="R433" t="str">
            <v>Boss</v>
          </cell>
          <cell r="S433">
            <v>5</v>
          </cell>
          <cell r="T433">
            <v>1.3</v>
          </cell>
          <cell r="U433">
            <v>0.8</v>
          </cell>
          <cell r="V433">
            <v>3</v>
          </cell>
          <cell r="W433">
            <v>1</v>
          </cell>
          <cell r="X433">
            <v>30</v>
          </cell>
          <cell r="Y433">
            <v>1.3</v>
          </cell>
          <cell r="Z433">
            <v>1.3</v>
          </cell>
          <cell r="AA433">
            <v>1.1000000000000001</v>
          </cell>
          <cell r="AB433">
            <v>0</v>
          </cell>
        </row>
        <row r="434">
          <cell r="A434">
            <v>433</v>
          </cell>
          <cell r="B434" t="str">
            <v>世稀の現獣 麒麟</v>
          </cell>
          <cell r="C434">
            <v>5</v>
          </cell>
          <cell r="D434" t="str">
            <v>yellow</v>
          </cell>
          <cell r="E434">
            <v>0.98</v>
          </cell>
          <cell r="F434">
            <v>1.01</v>
          </cell>
          <cell r="G434">
            <v>1</v>
          </cell>
          <cell r="H434" t="str">
            <v>balance</v>
          </cell>
          <cell r="I434" t="str">
            <v>バランスタイプ</v>
          </cell>
          <cell r="J434">
            <v>1</v>
          </cell>
          <cell r="K434">
            <v>1</v>
          </cell>
          <cell r="L434">
            <v>1</v>
          </cell>
          <cell r="M434" t="str">
            <v>god</v>
          </cell>
          <cell r="N434" t="str">
            <v>ゴッド</v>
          </cell>
          <cell r="O434">
            <v>0.96</v>
          </cell>
          <cell r="P434">
            <v>1.02</v>
          </cell>
          <cell r="Q434">
            <v>1</v>
          </cell>
          <cell r="R434" t="str">
            <v>Boss</v>
          </cell>
          <cell r="S434">
            <v>5</v>
          </cell>
          <cell r="T434">
            <v>1.3</v>
          </cell>
          <cell r="U434">
            <v>0.8</v>
          </cell>
          <cell r="V434">
            <v>3</v>
          </cell>
          <cell r="W434">
            <v>1</v>
          </cell>
          <cell r="X434">
            <v>60</v>
          </cell>
          <cell r="Y434">
            <v>1.7</v>
          </cell>
          <cell r="Z434">
            <v>1.4</v>
          </cell>
          <cell r="AA434">
            <v>1</v>
          </cell>
          <cell r="AB434">
            <v>0</v>
          </cell>
        </row>
        <row r="435">
          <cell r="A435">
            <v>434</v>
          </cell>
          <cell r="B435" t="str">
            <v>D.R.T.H.</v>
          </cell>
          <cell r="C435">
            <v>4</v>
          </cell>
          <cell r="D435" t="str">
            <v>red</v>
          </cell>
          <cell r="E435">
            <v>1</v>
          </cell>
          <cell r="F435">
            <v>1.02</v>
          </cell>
          <cell r="G435">
            <v>1</v>
          </cell>
          <cell r="H435" t="str">
            <v>balance</v>
          </cell>
          <cell r="I435" t="str">
            <v>バランスタイプ</v>
          </cell>
          <cell r="J435">
            <v>1</v>
          </cell>
          <cell r="K435">
            <v>1</v>
          </cell>
          <cell r="L435">
            <v>1</v>
          </cell>
          <cell r="M435" t="str">
            <v>human</v>
          </cell>
          <cell r="N435" t="str">
            <v>ヒューマン</v>
          </cell>
          <cell r="O435">
            <v>0.94</v>
          </cell>
          <cell r="P435">
            <v>0.99</v>
          </cell>
          <cell r="Q435">
            <v>1</v>
          </cell>
          <cell r="R435" t="str">
            <v>Boss</v>
          </cell>
          <cell r="S435">
            <v>5</v>
          </cell>
          <cell r="T435">
            <v>1.3</v>
          </cell>
          <cell r="U435">
            <v>0.8</v>
          </cell>
          <cell r="V435">
            <v>3</v>
          </cell>
          <cell r="W435">
            <v>1</v>
          </cell>
          <cell r="X435">
            <v>30</v>
          </cell>
          <cell r="Y435">
            <v>1.3</v>
          </cell>
          <cell r="Z435">
            <v>1.3</v>
          </cell>
          <cell r="AA435">
            <v>1.1000000000000001</v>
          </cell>
          <cell r="AB435">
            <v>0</v>
          </cell>
        </row>
        <row r="436">
          <cell r="A436">
            <v>435</v>
          </cell>
          <cell r="B436" t="str">
            <v>曝弾の密偵 D.R.T.H.</v>
          </cell>
          <cell r="C436">
            <v>5</v>
          </cell>
          <cell r="D436" t="str">
            <v>red</v>
          </cell>
          <cell r="E436">
            <v>1</v>
          </cell>
          <cell r="F436">
            <v>1.02</v>
          </cell>
          <cell r="G436">
            <v>1</v>
          </cell>
          <cell r="H436" t="str">
            <v>balance</v>
          </cell>
          <cell r="I436" t="str">
            <v>バランスタイプ</v>
          </cell>
          <cell r="J436">
            <v>1</v>
          </cell>
          <cell r="K436">
            <v>1</v>
          </cell>
          <cell r="L436">
            <v>1</v>
          </cell>
          <cell r="M436" t="str">
            <v>human</v>
          </cell>
          <cell r="N436" t="str">
            <v>ヒューマン</v>
          </cell>
          <cell r="O436">
            <v>0.94</v>
          </cell>
          <cell r="P436">
            <v>0.99</v>
          </cell>
          <cell r="Q436">
            <v>1</v>
          </cell>
          <cell r="R436" t="str">
            <v>Boss</v>
          </cell>
          <cell r="S436">
            <v>5</v>
          </cell>
          <cell r="T436">
            <v>1.3</v>
          </cell>
          <cell r="U436">
            <v>0.8</v>
          </cell>
          <cell r="V436">
            <v>3</v>
          </cell>
          <cell r="W436">
            <v>1</v>
          </cell>
          <cell r="X436">
            <v>60</v>
          </cell>
          <cell r="Y436">
            <v>1.7</v>
          </cell>
          <cell r="Z436">
            <v>1.4</v>
          </cell>
          <cell r="AA436">
            <v>1</v>
          </cell>
          <cell r="AB436">
            <v>0</v>
          </cell>
        </row>
        <row r="437">
          <cell r="A437">
            <v>436</v>
          </cell>
          <cell r="B437" t="str">
            <v>カカシ</v>
          </cell>
          <cell r="C437">
            <v>3</v>
          </cell>
          <cell r="D437" t="str">
            <v>green</v>
          </cell>
          <cell r="E437">
            <v>1.02</v>
          </cell>
          <cell r="F437">
            <v>0.98</v>
          </cell>
          <cell r="G437">
            <v>1</v>
          </cell>
          <cell r="H437" t="str">
            <v>technical</v>
          </cell>
          <cell r="I437" t="str">
            <v>テクニカルタイプ</v>
          </cell>
          <cell r="J437">
            <v>0.9</v>
          </cell>
          <cell r="K437">
            <v>0.9</v>
          </cell>
          <cell r="L437">
            <v>1</v>
          </cell>
          <cell r="M437" t="str">
            <v>human</v>
          </cell>
          <cell r="N437" t="str">
            <v>ヒューマン</v>
          </cell>
          <cell r="O437">
            <v>0.94</v>
          </cell>
          <cell r="P437">
            <v>0.99</v>
          </cell>
          <cell r="Q437">
            <v>1</v>
          </cell>
          <cell r="R437" t="str">
            <v>Boss</v>
          </cell>
          <cell r="S437">
            <v>5</v>
          </cell>
          <cell r="T437">
            <v>1.3</v>
          </cell>
          <cell r="U437">
            <v>0.8</v>
          </cell>
          <cell r="V437">
            <v>3</v>
          </cell>
          <cell r="W437">
            <v>1</v>
          </cell>
          <cell r="X437">
            <v>25</v>
          </cell>
          <cell r="Y437">
            <v>1.2</v>
          </cell>
          <cell r="Z437">
            <v>1.25</v>
          </cell>
          <cell r="AA437">
            <v>1.1499999999999999</v>
          </cell>
          <cell r="AB437">
            <v>0</v>
          </cell>
        </row>
        <row r="438">
          <cell r="A438">
            <v>437</v>
          </cell>
          <cell r="B438" t="str">
            <v>忘却者 カカシ</v>
          </cell>
          <cell r="C438">
            <v>4</v>
          </cell>
          <cell r="D438" t="str">
            <v>green</v>
          </cell>
          <cell r="E438">
            <v>1.02</v>
          </cell>
          <cell r="F438">
            <v>0.98</v>
          </cell>
          <cell r="G438">
            <v>1</v>
          </cell>
          <cell r="H438" t="str">
            <v>technical</v>
          </cell>
          <cell r="I438" t="str">
            <v>テクニカルタイプ</v>
          </cell>
          <cell r="J438">
            <v>0.9</v>
          </cell>
          <cell r="K438">
            <v>0.9</v>
          </cell>
          <cell r="L438">
            <v>1</v>
          </cell>
          <cell r="M438" t="str">
            <v>human</v>
          </cell>
          <cell r="N438" t="str">
            <v>ヒューマン</v>
          </cell>
          <cell r="O438">
            <v>0.94</v>
          </cell>
          <cell r="P438">
            <v>0.99</v>
          </cell>
          <cell r="Q438">
            <v>1</v>
          </cell>
          <cell r="R438" t="str">
            <v>Boss</v>
          </cell>
          <cell r="S438">
            <v>5</v>
          </cell>
          <cell r="T438">
            <v>1.3</v>
          </cell>
          <cell r="U438">
            <v>0.8</v>
          </cell>
          <cell r="V438">
            <v>3</v>
          </cell>
          <cell r="W438">
            <v>1</v>
          </cell>
          <cell r="X438">
            <v>30</v>
          </cell>
          <cell r="Y438">
            <v>1.3</v>
          </cell>
          <cell r="Z438">
            <v>1.3</v>
          </cell>
          <cell r="AA438">
            <v>1.1000000000000001</v>
          </cell>
          <cell r="AB438">
            <v>0</v>
          </cell>
        </row>
        <row r="439">
          <cell r="A439">
            <v>438</v>
          </cell>
          <cell r="B439" t="str">
            <v>記憶の奪還 カカシ</v>
          </cell>
          <cell r="C439">
            <v>5</v>
          </cell>
          <cell r="D439" t="str">
            <v>green</v>
          </cell>
          <cell r="E439">
            <v>1.02</v>
          </cell>
          <cell r="F439">
            <v>0.98</v>
          </cell>
          <cell r="G439">
            <v>1</v>
          </cell>
          <cell r="H439" t="str">
            <v>technical</v>
          </cell>
          <cell r="I439" t="str">
            <v>テクニカルタイプ</v>
          </cell>
          <cell r="J439">
            <v>0.9</v>
          </cell>
          <cell r="K439">
            <v>0.9</v>
          </cell>
          <cell r="L439">
            <v>1</v>
          </cell>
          <cell r="M439" t="str">
            <v>human</v>
          </cell>
          <cell r="N439" t="str">
            <v>ヒューマン</v>
          </cell>
          <cell r="O439">
            <v>0.94</v>
          </cell>
          <cell r="P439">
            <v>0.99</v>
          </cell>
          <cell r="Q439">
            <v>1</v>
          </cell>
          <cell r="R439" t="str">
            <v>Boss</v>
          </cell>
          <cell r="S439">
            <v>5</v>
          </cell>
          <cell r="T439">
            <v>1.3</v>
          </cell>
          <cell r="U439">
            <v>0.8</v>
          </cell>
          <cell r="V439">
            <v>3</v>
          </cell>
          <cell r="W439">
            <v>1</v>
          </cell>
          <cell r="X439">
            <v>60</v>
          </cell>
          <cell r="Y439">
            <v>1.7</v>
          </cell>
          <cell r="Z439">
            <v>1.4</v>
          </cell>
          <cell r="AA439">
            <v>1</v>
          </cell>
          <cell r="AB439">
            <v>0</v>
          </cell>
        </row>
        <row r="440">
          <cell r="A440">
            <v>439</v>
          </cell>
          <cell r="B440" t="str">
            <v>ブリキロガー</v>
          </cell>
          <cell r="C440">
            <v>3</v>
          </cell>
          <cell r="D440" t="str">
            <v>blue</v>
          </cell>
          <cell r="E440">
            <v>1</v>
          </cell>
          <cell r="F440">
            <v>0.98</v>
          </cell>
          <cell r="G440">
            <v>1</v>
          </cell>
          <cell r="H440" t="str">
            <v>attack</v>
          </cell>
          <cell r="I440" t="str">
            <v>攻撃タイプ</v>
          </cell>
          <cell r="J440">
            <v>1</v>
          </cell>
          <cell r="K440">
            <v>1.33</v>
          </cell>
          <cell r="L440">
            <v>1</v>
          </cell>
          <cell r="M440" t="str">
            <v>machine</v>
          </cell>
          <cell r="N440" t="str">
            <v>マシン</v>
          </cell>
          <cell r="O440">
            <v>1</v>
          </cell>
          <cell r="P440">
            <v>1</v>
          </cell>
          <cell r="Q440">
            <v>1</v>
          </cell>
          <cell r="R440" t="str">
            <v>Boss</v>
          </cell>
          <cell r="S440">
            <v>5</v>
          </cell>
          <cell r="T440">
            <v>1.3</v>
          </cell>
          <cell r="U440">
            <v>0.8</v>
          </cell>
          <cell r="V440">
            <v>3</v>
          </cell>
          <cell r="W440">
            <v>1</v>
          </cell>
          <cell r="X440">
            <v>25</v>
          </cell>
          <cell r="Y440">
            <v>1.2</v>
          </cell>
          <cell r="Z440">
            <v>1.25</v>
          </cell>
          <cell r="AA440">
            <v>1.1499999999999999</v>
          </cell>
          <cell r="AB440">
            <v>0</v>
          </cell>
        </row>
        <row r="441">
          <cell r="A441">
            <v>440</v>
          </cell>
          <cell r="B441" t="str">
            <v>改良型 ブリキロガー</v>
          </cell>
          <cell r="C441">
            <v>4</v>
          </cell>
          <cell r="D441" t="str">
            <v>blue</v>
          </cell>
          <cell r="E441">
            <v>1</v>
          </cell>
          <cell r="F441">
            <v>0.98</v>
          </cell>
          <cell r="G441">
            <v>1</v>
          </cell>
          <cell r="H441" t="str">
            <v>attack</v>
          </cell>
          <cell r="I441" t="str">
            <v>攻撃タイプ</v>
          </cell>
          <cell r="J441">
            <v>1</v>
          </cell>
          <cell r="K441">
            <v>1.33</v>
          </cell>
          <cell r="L441">
            <v>1</v>
          </cell>
          <cell r="M441" t="str">
            <v>machine</v>
          </cell>
          <cell r="N441" t="str">
            <v>マシン</v>
          </cell>
          <cell r="O441">
            <v>1</v>
          </cell>
          <cell r="P441">
            <v>1</v>
          </cell>
          <cell r="Q441">
            <v>1</v>
          </cell>
          <cell r="R441" t="str">
            <v>Boss</v>
          </cell>
          <cell r="S441">
            <v>5</v>
          </cell>
          <cell r="T441">
            <v>1.3</v>
          </cell>
          <cell r="U441">
            <v>0.8</v>
          </cell>
          <cell r="V441">
            <v>3</v>
          </cell>
          <cell r="W441">
            <v>1</v>
          </cell>
          <cell r="X441">
            <v>30</v>
          </cell>
          <cell r="Y441">
            <v>1.3</v>
          </cell>
          <cell r="Z441">
            <v>1.3</v>
          </cell>
          <cell r="AA441">
            <v>1.1000000000000001</v>
          </cell>
          <cell r="AB441">
            <v>0</v>
          </cell>
        </row>
        <row r="442">
          <cell r="A442">
            <v>441</v>
          </cell>
          <cell r="B442" t="str">
            <v>求心の錻装 ブリキロガー</v>
          </cell>
          <cell r="C442">
            <v>5</v>
          </cell>
          <cell r="D442" t="str">
            <v>blue</v>
          </cell>
          <cell r="E442">
            <v>1</v>
          </cell>
          <cell r="F442">
            <v>0.98</v>
          </cell>
          <cell r="G442">
            <v>1</v>
          </cell>
          <cell r="H442" t="str">
            <v>attack</v>
          </cell>
          <cell r="I442" t="str">
            <v>攻撃タイプ</v>
          </cell>
          <cell r="J442">
            <v>1</v>
          </cell>
          <cell r="K442">
            <v>1.33</v>
          </cell>
          <cell r="L442">
            <v>1</v>
          </cell>
          <cell r="M442" t="str">
            <v>machine</v>
          </cell>
          <cell r="N442" t="str">
            <v>マシン</v>
          </cell>
          <cell r="O442">
            <v>1</v>
          </cell>
          <cell r="P442">
            <v>1</v>
          </cell>
          <cell r="Q442">
            <v>1</v>
          </cell>
          <cell r="R442" t="str">
            <v>Boss</v>
          </cell>
          <cell r="S442">
            <v>5</v>
          </cell>
          <cell r="T442">
            <v>1.3</v>
          </cell>
          <cell r="U442">
            <v>0.8</v>
          </cell>
          <cell r="V442">
            <v>3</v>
          </cell>
          <cell r="W442">
            <v>1</v>
          </cell>
          <cell r="X442">
            <v>60</v>
          </cell>
          <cell r="Y442">
            <v>1.7</v>
          </cell>
          <cell r="Z442">
            <v>1.4</v>
          </cell>
          <cell r="AA442">
            <v>1</v>
          </cell>
          <cell r="AB442">
            <v>0</v>
          </cell>
        </row>
        <row r="443">
          <cell r="A443">
            <v>442</v>
          </cell>
          <cell r="B443" t="str">
            <v>ブレイブリー・ライオン</v>
          </cell>
          <cell r="C443">
            <v>4</v>
          </cell>
          <cell r="D443" t="str">
            <v>yellow</v>
          </cell>
          <cell r="E443">
            <v>0.98</v>
          </cell>
          <cell r="F443">
            <v>1.01</v>
          </cell>
          <cell r="G443">
            <v>1</v>
          </cell>
          <cell r="H443" t="str">
            <v>hp</v>
          </cell>
          <cell r="I443" t="str">
            <v>体力タイプ</v>
          </cell>
          <cell r="J443">
            <v>1.45</v>
          </cell>
          <cell r="K443">
            <v>0.85</v>
          </cell>
          <cell r="L443">
            <v>1</v>
          </cell>
          <cell r="M443" t="str">
            <v>animal</v>
          </cell>
          <cell r="N443" t="str">
            <v>アニマル</v>
          </cell>
          <cell r="O443">
            <v>1</v>
          </cell>
          <cell r="P443">
            <v>1.1000000000000001</v>
          </cell>
          <cell r="Q443">
            <v>1</v>
          </cell>
          <cell r="R443" t="str">
            <v>Boss</v>
          </cell>
          <cell r="S443">
            <v>5</v>
          </cell>
          <cell r="T443">
            <v>1.3</v>
          </cell>
          <cell r="U443">
            <v>0.8</v>
          </cell>
          <cell r="V443">
            <v>3</v>
          </cell>
          <cell r="W443">
            <v>1</v>
          </cell>
          <cell r="X443">
            <v>30</v>
          </cell>
          <cell r="Y443">
            <v>1.3</v>
          </cell>
          <cell r="Z443">
            <v>1.3</v>
          </cell>
          <cell r="AA443">
            <v>1.1000000000000001</v>
          </cell>
          <cell r="AB443">
            <v>0</v>
          </cell>
        </row>
        <row r="444">
          <cell r="A444">
            <v>443</v>
          </cell>
          <cell r="B444" t="str">
            <v>勇機結集 ブレイブリー・ライオン</v>
          </cell>
          <cell r="C444">
            <v>5</v>
          </cell>
          <cell r="D444" t="str">
            <v>yellow</v>
          </cell>
          <cell r="E444">
            <v>0.98</v>
          </cell>
          <cell r="F444">
            <v>1.01</v>
          </cell>
          <cell r="G444">
            <v>1</v>
          </cell>
          <cell r="H444" t="str">
            <v>hp</v>
          </cell>
          <cell r="I444" t="str">
            <v>体力タイプ</v>
          </cell>
          <cell r="J444">
            <v>1.45</v>
          </cell>
          <cell r="K444">
            <v>0.85</v>
          </cell>
          <cell r="L444">
            <v>1</v>
          </cell>
          <cell r="M444" t="str">
            <v>animal</v>
          </cell>
          <cell r="N444" t="str">
            <v>アニマル</v>
          </cell>
          <cell r="O444">
            <v>1</v>
          </cell>
          <cell r="P444">
            <v>1.1000000000000001</v>
          </cell>
          <cell r="Q444">
            <v>1</v>
          </cell>
          <cell r="R444" t="str">
            <v>Boss</v>
          </cell>
          <cell r="S444">
            <v>5</v>
          </cell>
          <cell r="T444">
            <v>1.3</v>
          </cell>
          <cell r="U444">
            <v>0.8</v>
          </cell>
          <cell r="V444">
            <v>3</v>
          </cell>
          <cell r="W444">
            <v>1</v>
          </cell>
          <cell r="X444">
            <v>60</v>
          </cell>
          <cell r="Y444">
            <v>1.7</v>
          </cell>
          <cell r="Z444">
            <v>1.4</v>
          </cell>
          <cell r="AA444">
            <v>1</v>
          </cell>
          <cell r="AB444">
            <v>0</v>
          </cell>
        </row>
        <row r="445">
          <cell r="A445">
            <v>444</v>
          </cell>
          <cell r="B445" t="str">
            <v>炎のミリオンダック 4</v>
          </cell>
          <cell r="C445">
            <v>6</v>
          </cell>
          <cell r="D445" t="str">
            <v>red</v>
          </cell>
          <cell r="E445">
            <v>1</v>
          </cell>
          <cell r="F445">
            <v>1.02</v>
          </cell>
          <cell r="G445">
            <v>1</v>
          </cell>
          <cell r="H445" t="str">
            <v>exp</v>
          </cell>
          <cell r="I445" t="str">
            <v>強化素材タイプ</v>
          </cell>
          <cell r="J445">
            <v>0.1</v>
          </cell>
          <cell r="K445">
            <v>0.05</v>
          </cell>
          <cell r="L445">
            <v>1</v>
          </cell>
          <cell r="M445" t="str">
            <v>unknown</v>
          </cell>
          <cell r="N445" t="str">
            <v>Unknown</v>
          </cell>
          <cell r="O445">
            <v>1</v>
          </cell>
          <cell r="P445">
            <v>1</v>
          </cell>
          <cell r="Q445">
            <v>1</v>
          </cell>
          <cell r="R445" t="str">
            <v>Boss</v>
          </cell>
          <cell r="S445">
            <v>5</v>
          </cell>
          <cell r="T445">
            <v>1.3</v>
          </cell>
          <cell r="U445">
            <v>0.8</v>
          </cell>
          <cell r="V445">
            <v>3</v>
          </cell>
          <cell r="W445">
            <v>1</v>
          </cell>
          <cell r="X445">
            <v>20</v>
          </cell>
          <cell r="Y445">
            <v>1.1000000000000001</v>
          </cell>
          <cell r="Z445">
            <v>1.2</v>
          </cell>
          <cell r="AA445">
            <v>1.2</v>
          </cell>
          <cell r="AB445">
            <v>0</v>
          </cell>
        </row>
        <row r="446">
          <cell r="A446">
            <v>445</v>
          </cell>
          <cell r="B446" t="str">
            <v>森のミリオンダック 4</v>
          </cell>
          <cell r="C446">
            <v>6</v>
          </cell>
          <cell r="D446" t="str">
            <v>green</v>
          </cell>
          <cell r="E446">
            <v>1.02</v>
          </cell>
          <cell r="F446">
            <v>0.98</v>
          </cell>
          <cell r="G446">
            <v>1</v>
          </cell>
          <cell r="H446" t="str">
            <v>exp</v>
          </cell>
          <cell r="I446" t="str">
            <v>強化素材タイプ</v>
          </cell>
          <cell r="J446">
            <v>0.1</v>
          </cell>
          <cell r="K446">
            <v>0.05</v>
          </cell>
          <cell r="L446">
            <v>1</v>
          </cell>
          <cell r="M446" t="str">
            <v>unknown</v>
          </cell>
          <cell r="N446" t="str">
            <v>Unknown</v>
          </cell>
          <cell r="O446">
            <v>1</v>
          </cell>
          <cell r="P446">
            <v>1</v>
          </cell>
          <cell r="Q446">
            <v>1</v>
          </cell>
          <cell r="R446" t="str">
            <v>Boss</v>
          </cell>
          <cell r="S446">
            <v>5</v>
          </cell>
          <cell r="T446">
            <v>1.3</v>
          </cell>
          <cell r="U446">
            <v>0.8</v>
          </cell>
          <cell r="V446">
            <v>3</v>
          </cell>
          <cell r="W446">
            <v>1</v>
          </cell>
          <cell r="X446">
            <v>20</v>
          </cell>
          <cell r="Y446">
            <v>1.1000000000000001</v>
          </cell>
          <cell r="Z446">
            <v>1.2</v>
          </cell>
          <cell r="AA446">
            <v>1.2</v>
          </cell>
          <cell r="AB446">
            <v>0</v>
          </cell>
        </row>
        <row r="447">
          <cell r="A447">
            <v>446</v>
          </cell>
          <cell r="B447" t="str">
            <v>水のミリオンダック 4</v>
          </cell>
          <cell r="C447">
            <v>6</v>
          </cell>
          <cell r="D447" t="str">
            <v>blue</v>
          </cell>
          <cell r="E447">
            <v>1</v>
          </cell>
          <cell r="F447">
            <v>0.98</v>
          </cell>
          <cell r="G447">
            <v>1</v>
          </cell>
          <cell r="H447" t="str">
            <v>exp</v>
          </cell>
          <cell r="I447" t="str">
            <v>強化素材タイプ</v>
          </cell>
          <cell r="J447">
            <v>0.1</v>
          </cell>
          <cell r="K447">
            <v>0.05</v>
          </cell>
          <cell r="L447">
            <v>1</v>
          </cell>
          <cell r="M447" t="str">
            <v>unknown</v>
          </cell>
          <cell r="N447" t="str">
            <v>Unknown</v>
          </cell>
          <cell r="O447">
            <v>1</v>
          </cell>
          <cell r="P447">
            <v>1</v>
          </cell>
          <cell r="Q447">
            <v>1</v>
          </cell>
          <cell r="R447" t="str">
            <v>Boss</v>
          </cell>
          <cell r="S447">
            <v>5</v>
          </cell>
          <cell r="T447">
            <v>1.3</v>
          </cell>
          <cell r="U447">
            <v>0.8</v>
          </cell>
          <cell r="V447">
            <v>3</v>
          </cell>
          <cell r="W447">
            <v>1</v>
          </cell>
          <cell r="X447">
            <v>20</v>
          </cell>
          <cell r="Y447">
            <v>1.1000000000000001</v>
          </cell>
          <cell r="Z447">
            <v>1.2</v>
          </cell>
          <cell r="AA447">
            <v>1.2</v>
          </cell>
          <cell r="AB447">
            <v>0</v>
          </cell>
        </row>
        <row r="448">
          <cell r="A448">
            <v>447</v>
          </cell>
          <cell r="B448" t="str">
            <v>雷のミリオンダック 4</v>
          </cell>
          <cell r="C448">
            <v>6</v>
          </cell>
          <cell r="D448" t="str">
            <v>yellow</v>
          </cell>
          <cell r="E448">
            <v>0.98</v>
          </cell>
          <cell r="F448">
            <v>1.01</v>
          </cell>
          <cell r="G448">
            <v>1</v>
          </cell>
          <cell r="H448" t="str">
            <v>exp</v>
          </cell>
          <cell r="I448" t="str">
            <v>強化素材タイプ</v>
          </cell>
          <cell r="J448">
            <v>0.1</v>
          </cell>
          <cell r="K448">
            <v>0.05</v>
          </cell>
          <cell r="L448">
            <v>1</v>
          </cell>
          <cell r="M448" t="str">
            <v>unknown</v>
          </cell>
          <cell r="N448" t="str">
            <v>Unknown</v>
          </cell>
          <cell r="O448">
            <v>1</v>
          </cell>
          <cell r="P448">
            <v>1</v>
          </cell>
          <cell r="Q448">
            <v>1</v>
          </cell>
          <cell r="R448" t="str">
            <v>Boss</v>
          </cell>
          <cell r="S448">
            <v>5</v>
          </cell>
          <cell r="T448">
            <v>1.3</v>
          </cell>
          <cell r="U448">
            <v>0.8</v>
          </cell>
          <cell r="V448">
            <v>3</v>
          </cell>
          <cell r="W448">
            <v>1</v>
          </cell>
          <cell r="X448">
            <v>20</v>
          </cell>
          <cell r="Y448">
            <v>1.1000000000000001</v>
          </cell>
          <cell r="Z448">
            <v>1.2</v>
          </cell>
          <cell r="AA448">
            <v>1.2</v>
          </cell>
          <cell r="AB448">
            <v>0</v>
          </cell>
        </row>
        <row r="449">
          <cell r="A449">
            <v>448</v>
          </cell>
          <cell r="B449" t="str">
            <v>未定</v>
          </cell>
          <cell r="C449">
            <v>4</v>
          </cell>
          <cell r="D449" t="str">
            <v>blue</v>
          </cell>
          <cell r="E449">
            <v>1</v>
          </cell>
          <cell r="F449">
            <v>0.98</v>
          </cell>
          <cell r="G449">
            <v>1</v>
          </cell>
          <cell r="H449" t="str">
            <v>balance</v>
          </cell>
          <cell r="I449" t="str">
            <v>バランスタイプ</v>
          </cell>
          <cell r="J449">
            <v>1</v>
          </cell>
          <cell r="K449">
            <v>1</v>
          </cell>
          <cell r="L449">
            <v>1</v>
          </cell>
          <cell r="M449" t="str">
            <v>human</v>
          </cell>
          <cell r="N449" t="str">
            <v>ヒューマン</v>
          </cell>
          <cell r="O449">
            <v>0.94</v>
          </cell>
          <cell r="P449">
            <v>0.99</v>
          </cell>
          <cell r="Q449">
            <v>1</v>
          </cell>
          <cell r="R449" t="str">
            <v>Boss</v>
          </cell>
          <cell r="S449">
            <v>5</v>
          </cell>
          <cell r="T449">
            <v>1.3</v>
          </cell>
          <cell r="U449">
            <v>0.8</v>
          </cell>
          <cell r="V449">
            <v>3</v>
          </cell>
          <cell r="W449">
            <v>1</v>
          </cell>
          <cell r="X449">
            <v>30</v>
          </cell>
          <cell r="Y449">
            <v>1.3</v>
          </cell>
          <cell r="Z449">
            <v>1.3</v>
          </cell>
          <cell r="AA449">
            <v>1.1000000000000001</v>
          </cell>
          <cell r="AB449">
            <v>0</v>
          </cell>
        </row>
        <row r="450">
          <cell r="A450">
            <v>449</v>
          </cell>
          <cell r="B450" t="str">
            <v>未定</v>
          </cell>
          <cell r="C450">
            <v>5</v>
          </cell>
          <cell r="D450" t="str">
            <v>blue</v>
          </cell>
          <cell r="E450">
            <v>1</v>
          </cell>
          <cell r="F450">
            <v>0.98</v>
          </cell>
          <cell r="G450">
            <v>1</v>
          </cell>
          <cell r="H450" t="str">
            <v>balance</v>
          </cell>
          <cell r="I450" t="str">
            <v>バランスタイプ</v>
          </cell>
          <cell r="J450">
            <v>1</v>
          </cell>
          <cell r="K450">
            <v>1</v>
          </cell>
          <cell r="L450">
            <v>1</v>
          </cell>
          <cell r="M450" t="str">
            <v>human</v>
          </cell>
          <cell r="N450" t="str">
            <v>ヒューマン</v>
          </cell>
          <cell r="O450">
            <v>0.94</v>
          </cell>
          <cell r="P450">
            <v>0.99</v>
          </cell>
          <cell r="Q450">
            <v>1</v>
          </cell>
          <cell r="R450" t="str">
            <v>Boss</v>
          </cell>
          <cell r="S450">
            <v>5</v>
          </cell>
          <cell r="T450">
            <v>1.3</v>
          </cell>
          <cell r="U450">
            <v>0.8</v>
          </cell>
          <cell r="V450">
            <v>3</v>
          </cell>
          <cell r="W450">
            <v>1</v>
          </cell>
          <cell r="X450">
            <v>60</v>
          </cell>
          <cell r="Y450">
            <v>1.7</v>
          </cell>
          <cell r="Z450">
            <v>1.4</v>
          </cell>
          <cell r="AA450">
            <v>1</v>
          </cell>
          <cell r="AB450">
            <v>0</v>
          </cell>
        </row>
        <row r="451">
          <cell r="A451">
            <v>450</v>
          </cell>
          <cell r="B451" t="str">
            <v>イゾルデ</v>
          </cell>
          <cell r="C451">
            <v>4</v>
          </cell>
          <cell r="D451" t="str">
            <v>yellow</v>
          </cell>
          <cell r="E451">
            <v>0.98</v>
          </cell>
          <cell r="F451">
            <v>1.01</v>
          </cell>
          <cell r="G451">
            <v>1</v>
          </cell>
          <cell r="H451" t="str">
            <v>balance</v>
          </cell>
          <cell r="I451" t="str">
            <v>バランスタイプ</v>
          </cell>
          <cell r="J451">
            <v>1</v>
          </cell>
          <cell r="K451">
            <v>1</v>
          </cell>
          <cell r="L451">
            <v>1</v>
          </cell>
          <cell r="M451" t="str">
            <v>human</v>
          </cell>
          <cell r="N451" t="str">
            <v>ヒューマン</v>
          </cell>
          <cell r="O451">
            <v>0.94</v>
          </cell>
          <cell r="P451">
            <v>0.99</v>
          </cell>
          <cell r="Q451">
            <v>1</v>
          </cell>
          <cell r="R451" t="str">
            <v>Boss</v>
          </cell>
          <cell r="S451">
            <v>5</v>
          </cell>
          <cell r="T451">
            <v>1.3</v>
          </cell>
          <cell r="U451">
            <v>0.8</v>
          </cell>
          <cell r="V451">
            <v>3</v>
          </cell>
          <cell r="W451">
            <v>1</v>
          </cell>
          <cell r="X451">
            <v>30</v>
          </cell>
          <cell r="Y451">
            <v>1.3</v>
          </cell>
          <cell r="Z451">
            <v>1.3</v>
          </cell>
          <cell r="AA451">
            <v>1.1000000000000001</v>
          </cell>
          <cell r="AB451">
            <v>0</v>
          </cell>
        </row>
        <row r="452">
          <cell r="A452">
            <v>451</v>
          </cell>
          <cell r="B452" t="str">
            <v>シルエットオーディン2</v>
          </cell>
          <cell r="C452">
            <v>5</v>
          </cell>
          <cell r="D452" t="str">
            <v>blue</v>
          </cell>
          <cell r="E452">
            <v>1</v>
          </cell>
          <cell r="F452">
            <v>0.98</v>
          </cell>
          <cell r="G452">
            <v>1</v>
          </cell>
          <cell r="H452" t="str">
            <v>balance</v>
          </cell>
          <cell r="I452" t="str">
            <v>バランスタイプ</v>
          </cell>
          <cell r="J452">
            <v>1</v>
          </cell>
          <cell r="K452">
            <v>1</v>
          </cell>
          <cell r="L452">
            <v>1</v>
          </cell>
          <cell r="M452" t="str">
            <v>human</v>
          </cell>
          <cell r="N452" t="str">
            <v>ヒューマン</v>
          </cell>
          <cell r="O452">
            <v>0.94</v>
          </cell>
          <cell r="P452">
            <v>0.99</v>
          </cell>
          <cell r="Q452">
            <v>1</v>
          </cell>
          <cell r="R452" t="str">
            <v>Boss</v>
          </cell>
          <cell r="S452">
            <v>5</v>
          </cell>
          <cell r="T452">
            <v>1.3</v>
          </cell>
          <cell r="U452">
            <v>0.8</v>
          </cell>
          <cell r="V452">
            <v>3</v>
          </cell>
          <cell r="W452">
            <v>1</v>
          </cell>
          <cell r="X452">
            <v>60</v>
          </cell>
          <cell r="Y452">
            <v>1.7</v>
          </cell>
          <cell r="Z452">
            <v>1.4</v>
          </cell>
          <cell r="AA452">
            <v>1</v>
          </cell>
          <cell r="AB452">
            <v>0</v>
          </cell>
        </row>
        <row r="453">
          <cell r="A453">
            <v>452</v>
          </cell>
          <cell r="B453" t="str">
            <v>猛狐 エゾ</v>
          </cell>
          <cell r="C453">
            <v>4</v>
          </cell>
          <cell r="D453" t="str">
            <v>red</v>
          </cell>
          <cell r="E453">
            <v>1</v>
          </cell>
          <cell r="F453">
            <v>1.02</v>
          </cell>
          <cell r="G453">
            <v>1</v>
          </cell>
          <cell r="H453" t="str">
            <v>balance</v>
          </cell>
          <cell r="I453" t="str">
            <v>バランスタイプ</v>
          </cell>
          <cell r="J453">
            <v>1</v>
          </cell>
          <cell r="K453">
            <v>1</v>
          </cell>
          <cell r="L453">
            <v>1</v>
          </cell>
          <cell r="M453" t="str">
            <v>animal</v>
          </cell>
          <cell r="N453" t="str">
            <v>アニマル</v>
          </cell>
          <cell r="O453">
            <v>1</v>
          </cell>
          <cell r="P453">
            <v>1.1000000000000001</v>
          </cell>
          <cell r="Q453">
            <v>1</v>
          </cell>
          <cell r="R453" t="str">
            <v>Boss</v>
          </cell>
          <cell r="S453">
            <v>5</v>
          </cell>
          <cell r="T453">
            <v>1.3</v>
          </cell>
          <cell r="U453">
            <v>0.8</v>
          </cell>
          <cell r="V453">
            <v>3</v>
          </cell>
          <cell r="W453">
            <v>1</v>
          </cell>
          <cell r="X453">
            <v>30</v>
          </cell>
          <cell r="Y453">
            <v>1.3</v>
          </cell>
          <cell r="Z453">
            <v>1.3</v>
          </cell>
          <cell r="AA453">
            <v>1.1000000000000001</v>
          </cell>
          <cell r="AB453">
            <v>0</v>
          </cell>
        </row>
        <row r="454">
          <cell r="A454">
            <v>453</v>
          </cell>
          <cell r="B454" t="str">
            <v>急尾の猛狐 エゾ</v>
          </cell>
          <cell r="C454">
            <v>5</v>
          </cell>
          <cell r="D454" t="str">
            <v>red</v>
          </cell>
          <cell r="E454">
            <v>1</v>
          </cell>
          <cell r="F454">
            <v>1.02</v>
          </cell>
          <cell r="G454">
            <v>1</v>
          </cell>
          <cell r="H454" t="str">
            <v>balance</v>
          </cell>
          <cell r="I454" t="str">
            <v>バランスタイプ</v>
          </cell>
          <cell r="J454">
            <v>1</v>
          </cell>
          <cell r="K454">
            <v>1</v>
          </cell>
          <cell r="L454">
            <v>1</v>
          </cell>
          <cell r="M454" t="str">
            <v>animal</v>
          </cell>
          <cell r="N454" t="str">
            <v>アニマル</v>
          </cell>
          <cell r="O454">
            <v>1</v>
          </cell>
          <cell r="P454">
            <v>1.1000000000000001</v>
          </cell>
          <cell r="Q454">
            <v>1</v>
          </cell>
          <cell r="R454" t="str">
            <v>Boss</v>
          </cell>
          <cell r="S454">
            <v>5</v>
          </cell>
          <cell r="T454">
            <v>1.3</v>
          </cell>
          <cell r="U454">
            <v>0.8</v>
          </cell>
          <cell r="V454">
            <v>3</v>
          </cell>
          <cell r="W454">
            <v>1</v>
          </cell>
          <cell r="X454">
            <v>60</v>
          </cell>
          <cell r="Y454">
            <v>1.7</v>
          </cell>
          <cell r="Z454">
            <v>1.4</v>
          </cell>
          <cell r="AA454">
            <v>1</v>
          </cell>
          <cell r="AB454">
            <v>0</v>
          </cell>
        </row>
        <row r="455">
          <cell r="A455">
            <v>454</v>
          </cell>
          <cell r="B455" t="str">
            <v>二闘 レッサとギガン</v>
          </cell>
          <cell r="C455">
            <v>4</v>
          </cell>
          <cell r="D455" t="str">
            <v>green</v>
          </cell>
          <cell r="E455">
            <v>1.02</v>
          </cell>
          <cell r="F455">
            <v>0.98</v>
          </cell>
          <cell r="G455">
            <v>1</v>
          </cell>
          <cell r="H455" t="str">
            <v>hp</v>
          </cell>
          <cell r="I455" t="str">
            <v>体力タイプ</v>
          </cell>
          <cell r="J455">
            <v>1.45</v>
          </cell>
          <cell r="K455">
            <v>0.85</v>
          </cell>
          <cell r="L455">
            <v>1</v>
          </cell>
          <cell r="M455" t="str">
            <v>human</v>
          </cell>
          <cell r="N455" t="str">
            <v>ヒューマン</v>
          </cell>
          <cell r="O455">
            <v>0.94</v>
          </cell>
          <cell r="P455">
            <v>0.99</v>
          </cell>
          <cell r="Q455">
            <v>1</v>
          </cell>
          <cell r="R455" t="str">
            <v>Boss</v>
          </cell>
          <cell r="S455">
            <v>5</v>
          </cell>
          <cell r="T455">
            <v>1.3</v>
          </cell>
          <cell r="U455">
            <v>0.8</v>
          </cell>
          <cell r="V455">
            <v>3</v>
          </cell>
          <cell r="W455">
            <v>1</v>
          </cell>
          <cell r="X455">
            <v>30</v>
          </cell>
          <cell r="Y455">
            <v>1.3</v>
          </cell>
          <cell r="Z455">
            <v>1.3</v>
          </cell>
          <cell r="AA455">
            <v>1.1000000000000001</v>
          </cell>
          <cell r="AB455">
            <v>0</v>
          </cell>
        </row>
        <row r="456">
          <cell r="A456">
            <v>455</v>
          </cell>
          <cell r="B456" t="str">
            <v>廃街の二闘 レッサとギガン</v>
          </cell>
          <cell r="C456">
            <v>5</v>
          </cell>
          <cell r="D456" t="str">
            <v>green</v>
          </cell>
          <cell r="E456">
            <v>1.02</v>
          </cell>
          <cell r="F456">
            <v>0.98</v>
          </cell>
          <cell r="G456">
            <v>1</v>
          </cell>
          <cell r="H456" t="str">
            <v>hp</v>
          </cell>
          <cell r="I456" t="str">
            <v>体力タイプ</v>
          </cell>
          <cell r="J456">
            <v>1.45</v>
          </cell>
          <cell r="K456">
            <v>0.85</v>
          </cell>
          <cell r="L456">
            <v>1</v>
          </cell>
          <cell r="M456" t="str">
            <v>human</v>
          </cell>
          <cell r="N456" t="str">
            <v>ヒューマン</v>
          </cell>
          <cell r="O456">
            <v>0.94</v>
          </cell>
          <cell r="P456">
            <v>0.99</v>
          </cell>
          <cell r="Q456">
            <v>1</v>
          </cell>
          <cell r="R456" t="str">
            <v>Boss</v>
          </cell>
          <cell r="S456">
            <v>5</v>
          </cell>
          <cell r="T456">
            <v>1.3</v>
          </cell>
          <cell r="U456">
            <v>0.8</v>
          </cell>
          <cell r="V456">
            <v>3</v>
          </cell>
          <cell r="W456">
            <v>1</v>
          </cell>
          <cell r="X456">
            <v>60</v>
          </cell>
          <cell r="Y456">
            <v>1.7</v>
          </cell>
          <cell r="Z456">
            <v>1.4</v>
          </cell>
          <cell r="AA456">
            <v>1</v>
          </cell>
          <cell r="AB456">
            <v>0</v>
          </cell>
        </row>
        <row r="457">
          <cell r="A457">
            <v>456</v>
          </cell>
          <cell r="B457" t="str">
            <v>射絶 ユヅル</v>
          </cell>
          <cell r="C457">
            <v>4</v>
          </cell>
          <cell r="D457" t="str">
            <v>blue</v>
          </cell>
          <cell r="E457">
            <v>1</v>
          </cell>
          <cell r="F457">
            <v>0.98</v>
          </cell>
          <cell r="G457">
            <v>1</v>
          </cell>
          <cell r="H457" t="str">
            <v>technical</v>
          </cell>
          <cell r="I457" t="str">
            <v>テクニカルタイプ</v>
          </cell>
          <cell r="J457">
            <v>0.9</v>
          </cell>
          <cell r="K457">
            <v>0.9</v>
          </cell>
          <cell r="L457">
            <v>1</v>
          </cell>
          <cell r="M457" t="str">
            <v>human</v>
          </cell>
          <cell r="N457" t="str">
            <v>ヒューマン</v>
          </cell>
          <cell r="O457">
            <v>0.94</v>
          </cell>
          <cell r="P457">
            <v>0.99</v>
          </cell>
          <cell r="Q457">
            <v>1</v>
          </cell>
          <cell r="R457" t="str">
            <v>Boss</v>
          </cell>
          <cell r="S457">
            <v>5</v>
          </cell>
          <cell r="T457">
            <v>1.3</v>
          </cell>
          <cell r="U457">
            <v>0.8</v>
          </cell>
          <cell r="V457">
            <v>3</v>
          </cell>
          <cell r="W457">
            <v>1</v>
          </cell>
          <cell r="X457">
            <v>30</v>
          </cell>
          <cell r="Y457">
            <v>1.3</v>
          </cell>
          <cell r="Z457">
            <v>1.3</v>
          </cell>
          <cell r="AA457">
            <v>1.1000000000000001</v>
          </cell>
          <cell r="AB457">
            <v>0</v>
          </cell>
        </row>
        <row r="458">
          <cell r="A458">
            <v>457</v>
          </cell>
          <cell r="B458" t="str">
            <v>京速射絶 ユヅル</v>
          </cell>
          <cell r="C458">
            <v>5</v>
          </cell>
          <cell r="D458" t="str">
            <v>blue</v>
          </cell>
          <cell r="E458">
            <v>1</v>
          </cell>
          <cell r="F458">
            <v>0.98</v>
          </cell>
          <cell r="G458">
            <v>1</v>
          </cell>
          <cell r="H458" t="str">
            <v>technical</v>
          </cell>
          <cell r="I458" t="str">
            <v>テクニカルタイプ</v>
          </cell>
          <cell r="J458">
            <v>0.9</v>
          </cell>
          <cell r="K458">
            <v>0.9</v>
          </cell>
          <cell r="L458">
            <v>1</v>
          </cell>
          <cell r="M458" t="str">
            <v>human</v>
          </cell>
          <cell r="N458" t="str">
            <v>ヒューマン</v>
          </cell>
          <cell r="O458">
            <v>0.94</v>
          </cell>
          <cell r="P458">
            <v>0.99</v>
          </cell>
          <cell r="Q458">
            <v>1</v>
          </cell>
          <cell r="R458" t="str">
            <v>Boss</v>
          </cell>
          <cell r="S458">
            <v>5</v>
          </cell>
          <cell r="T458">
            <v>1.3</v>
          </cell>
          <cell r="U458">
            <v>0.8</v>
          </cell>
          <cell r="V458">
            <v>3</v>
          </cell>
          <cell r="W458">
            <v>1</v>
          </cell>
          <cell r="X458">
            <v>60</v>
          </cell>
          <cell r="Y458">
            <v>1.7</v>
          </cell>
          <cell r="Z458">
            <v>1.4</v>
          </cell>
          <cell r="AA458">
            <v>1</v>
          </cell>
          <cell r="AB458">
            <v>0</v>
          </cell>
        </row>
        <row r="459">
          <cell r="A459">
            <v>458</v>
          </cell>
          <cell r="B459" t="str">
            <v>嵐龍 スガル</v>
          </cell>
          <cell r="C459">
            <v>4</v>
          </cell>
          <cell r="D459" t="str">
            <v>yellow</v>
          </cell>
          <cell r="E459">
            <v>0.98</v>
          </cell>
          <cell r="F459">
            <v>1.01</v>
          </cell>
          <cell r="G459">
            <v>1</v>
          </cell>
          <cell r="H459" t="str">
            <v>hp</v>
          </cell>
          <cell r="I459" t="str">
            <v>体力タイプ</v>
          </cell>
          <cell r="J459">
            <v>1.45</v>
          </cell>
          <cell r="K459">
            <v>0.85</v>
          </cell>
          <cell r="L459">
            <v>1</v>
          </cell>
          <cell r="M459" t="str">
            <v>dragon</v>
          </cell>
          <cell r="N459" t="str">
            <v>ドラゴン</v>
          </cell>
          <cell r="O459">
            <v>1.1499999999999999</v>
          </cell>
          <cell r="P459">
            <v>1.1000000000000001</v>
          </cell>
          <cell r="Q459">
            <v>1</v>
          </cell>
          <cell r="R459" t="str">
            <v>Boss</v>
          </cell>
          <cell r="S459">
            <v>5</v>
          </cell>
          <cell r="T459">
            <v>1.3</v>
          </cell>
          <cell r="U459">
            <v>0.8</v>
          </cell>
          <cell r="V459">
            <v>3</v>
          </cell>
          <cell r="W459">
            <v>1</v>
          </cell>
          <cell r="X459">
            <v>30</v>
          </cell>
          <cell r="Y459">
            <v>1.3</v>
          </cell>
          <cell r="Z459">
            <v>1.3</v>
          </cell>
          <cell r="AA459">
            <v>1.1000000000000001</v>
          </cell>
          <cell r="AB459">
            <v>0</v>
          </cell>
        </row>
        <row r="460">
          <cell r="A460">
            <v>459</v>
          </cell>
          <cell r="B460" t="str">
            <v>威喝の嵐龍 スガル</v>
          </cell>
          <cell r="C460">
            <v>5</v>
          </cell>
          <cell r="D460" t="str">
            <v>yellow</v>
          </cell>
          <cell r="E460">
            <v>0.98</v>
          </cell>
          <cell r="F460">
            <v>1.01</v>
          </cell>
          <cell r="G460">
            <v>1</v>
          </cell>
          <cell r="H460" t="str">
            <v>hp</v>
          </cell>
          <cell r="I460" t="str">
            <v>体力タイプ</v>
          </cell>
          <cell r="J460">
            <v>1.45</v>
          </cell>
          <cell r="K460">
            <v>0.85</v>
          </cell>
          <cell r="L460">
            <v>1</v>
          </cell>
          <cell r="M460" t="str">
            <v>dragon</v>
          </cell>
          <cell r="N460" t="str">
            <v>ドラゴン</v>
          </cell>
          <cell r="O460">
            <v>1.1499999999999999</v>
          </cell>
          <cell r="P460">
            <v>1.1000000000000001</v>
          </cell>
          <cell r="Q460">
            <v>1</v>
          </cell>
          <cell r="R460" t="str">
            <v>Boss</v>
          </cell>
          <cell r="S460">
            <v>5</v>
          </cell>
          <cell r="T460">
            <v>1.3</v>
          </cell>
          <cell r="U460">
            <v>0.8</v>
          </cell>
          <cell r="V460">
            <v>3</v>
          </cell>
          <cell r="W460">
            <v>1</v>
          </cell>
          <cell r="X460">
            <v>60</v>
          </cell>
          <cell r="Y460">
            <v>1.7</v>
          </cell>
          <cell r="Z460">
            <v>1.4</v>
          </cell>
          <cell r="AA460">
            <v>1</v>
          </cell>
          <cell r="AB460">
            <v>0</v>
          </cell>
        </row>
        <row r="461">
          <cell r="A461">
            <v>460</v>
          </cell>
          <cell r="B461" t="str">
            <v>オズ</v>
          </cell>
          <cell r="C461">
            <v>4</v>
          </cell>
          <cell r="D461" t="str">
            <v>green</v>
          </cell>
          <cell r="E461">
            <v>1.02</v>
          </cell>
          <cell r="F461">
            <v>0.98</v>
          </cell>
          <cell r="G461">
            <v>1</v>
          </cell>
          <cell r="H461" t="str">
            <v>technical</v>
          </cell>
          <cell r="I461" t="str">
            <v>テクニカルタイプ</v>
          </cell>
          <cell r="J461">
            <v>0.9</v>
          </cell>
          <cell r="K461">
            <v>0.9</v>
          </cell>
          <cell r="L461">
            <v>1</v>
          </cell>
          <cell r="M461" t="str">
            <v>human</v>
          </cell>
          <cell r="N461" t="str">
            <v>ヒューマン</v>
          </cell>
          <cell r="O461">
            <v>0.94</v>
          </cell>
          <cell r="P461">
            <v>0.99</v>
          </cell>
          <cell r="Q461">
            <v>1</v>
          </cell>
          <cell r="R461" t="str">
            <v>Boss</v>
          </cell>
          <cell r="S461">
            <v>5</v>
          </cell>
          <cell r="T461">
            <v>1.3</v>
          </cell>
          <cell r="U461">
            <v>0.8</v>
          </cell>
          <cell r="V461">
            <v>3</v>
          </cell>
          <cell r="W461">
            <v>1</v>
          </cell>
          <cell r="X461">
            <v>30</v>
          </cell>
          <cell r="Y461">
            <v>1.3</v>
          </cell>
          <cell r="Z461">
            <v>1.3</v>
          </cell>
          <cell r="AA461">
            <v>1.1000000000000001</v>
          </cell>
          <cell r="AB461">
            <v>0</v>
          </cell>
        </row>
        <row r="462">
          <cell r="A462">
            <v>461</v>
          </cell>
          <cell r="B462" t="str">
            <v>大いなる虚像 オズ</v>
          </cell>
          <cell r="C462">
            <v>5</v>
          </cell>
          <cell r="D462" t="str">
            <v>green</v>
          </cell>
          <cell r="E462">
            <v>1.02</v>
          </cell>
          <cell r="F462">
            <v>0.98</v>
          </cell>
          <cell r="G462">
            <v>1</v>
          </cell>
          <cell r="H462" t="str">
            <v>technical</v>
          </cell>
          <cell r="I462" t="str">
            <v>テクニカルタイプ</v>
          </cell>
          <cell r="J462">
            <v>0.9</v>
          </cell>
          <cell r="K462">
            <v>0.9</v>
          </cell>
          <cell r="L462">
            <v>1</v>
          </cell>
          <cell r="M462" t="str">
            <v>human</v>
          </cell>
          <cell r="N462" t="str">
            <v>ヒューマン</v>
          </cell>
          <cell r="O462">
            <v>0.94</v>
          </cell>
          <cell r="P462">
            <v>0.99</v>
          </cell>
          <cell r="Q462">
            <v>1</v>
          </cell>
          <cell r="R462" t="str">
            <v>Boss</v>
          </cell>
          <cell r="S462">
            <v>5</v>
          </cell>
          <cell r="T462">
            <v>1.3</v>
          </cell>
          <cell r="U462">
            <v>0.8</v>
          </cell>
          <cell r="V462">
            <v>3</v>
          </cell>
          <cell r="W462">
            <v>1</v>
          </cell>
          <cell r="X462">
            <v>60</v>
          </cell>
          <cell r="Y462">
            <v>1.7</v>
          </cell>
          <cell r="Z462">
            <v>1.4</v>
          </cell>
          <cell r="AA462">
            <v>1</v>
          </cell>
          <cell r="AB462">
            <v>0</v>
          </cell>
        </row>
        <row r="463">
          <cell r="A463">
            <v>462</v>
          </cell>
          <cell r="B463" t="str">
            <v>ガウェイン</v>
          </cell>
          <cell r="C463">
            <v>3</v>
          </cell>
          <cell r="D463" t="str">
            <v>red</v>
          </cell>
          <cell r="E463">
            <v>1</v>
          </cell>
          <cell r="F463">
            <v>1.02</v>
          </cell>
          <cell r="G463">
            <v>1</v>
          </cell>
          <cell r="H463" t="str">
            <v>hp</v>
          </cell>
          <cell r="I463" t="str">
            <v>体力タイプ</v>
          </cell>
          <cell r="J463">
            <v>1.45</v>
          </cell>
          <cell r="K463">
            <v>0.85</v>
          </cell>
          <cell r="L463">
            <v>1</v>
          </cell>
          <cell r="M463" t="str">
            <v>human</v>
          </cell>
          <cell r="N463" t="str">
            <v>ヒューマン</v>
          </cell>
          <cell r="O463">
            <v>0.94</v>
          </cell>
          <cell r="P463">
            <v>0.99</v>
          </cell>
          <cell r="Q463">
            <v>1</v>
          </cell>
          <cell r="R463" t="str">
            <v>Boss</v>
          </cell>
          <cell r="S463">
            <v>5</v>
          </cell>
          <cell r="T463">
            <v>1.3</v>
          </cell>
          <cell r="U463">
            <v>0.8</v>
          </cell>
          <cell r="V463">
            <v>3</v>
          </cell>
          <cell r="W463">
            <v>1</v>
          </cell>
          <cell r="X463">
            <v>25</v>
          </cell>
          <cell r="Y463">
            <v>1.2</v>
          </cell>
          <cell r="Z463">
            <v>1.25</v>
          </cell>
          <cell r="AA463">
            <v>1.1499999999999999</v>
          </cell>
          <cell r="AB463">
            <v>0</v>
          </cell>
        </row>
        <row r="464">
          <cell r="A464">
            <v>463</v>
          </cell>
          <cell r="B464" t="str">
            <v>燻銀 ガウェイン</v>
          </cell>
          <cell r="C464">
            <v>4</v>
          </cell>
          <cell r="D464" t="str">
            <v>red</v>
          </cell>
          <cell r="E464">
            <v>1</v>
          </cell>
          <cell r="F464">
            <v>1.02</v>
          </cell>
          <cell r="G464">
            <v>1</v>
          </cell>
          <cell r="H464" t="str">
            <v>hp</v>
          </cell>
          <cell r="I464" t="str">
            <v>体力タイプ</v>
          </cell>
          <cell r="J464">
            <v>1.45</v>
          </cell>
          <cell r="K464">
            <v>0.85</v>
          </cell>
          <cell r="L464">
            <v>1</v>
          </cell>
          <cell r="M464" t="str">
            <v>human</v>
          </cell>
          <cell r="N464" t="str">
            <v>ヒューマン</v>
          </cell>
          <cell r="O464">
            <v>0.94</v>
          </cell>
          <cell r="P464">
            <v>0.99</v>
          </cell>
          <cell r="Q464">
            <v>1</v>
          </cell>
          <cell r="R464" t="str">
            <v>Boss</v>
          </cell>
          <cell r="S464">
            <v>5</v>
          </cell>
          <cell r="T464">
            <v>1.3</v>
          </cell>
          <cell r="U464">
            <v>0.8</v>
          </cell>
          <cell r="V464">
            <v>3</v>
          </cell>
          <cell r="W464">
            <v>1</v>
          </cell>
          <cell r="X464">
            <v>30</v>
          </cell>
          <cell r="Y464">
            <v>1.3</v>
          </cell>
          <cell r="Z464">
            <v>1.3</v>
          </cell>
          <cell r="AA464">
            <v>1.1000000000000001</v>
          </cell>
          <cell r="AB464">
            <v>0</v>
          </cell>
        </row>
        <row r="465">
          <cell r="A465">
            <v>464</v>
          </cell>
          <cell r="B465" t="str">
            <v>円熟の弾導 ガウェイン</v>
          </cell>
          <cell r="C465">
            <v>5</v>
          </cell>
          <cell r="D465" t="str">
            <v>red</v>
          </cell>
          <cell r="E465">
            <v>1</v>
          </cell>
          <cell r="F465">
            <v>1.02</v>
          </cell>
          <cell r="G465">
            <v>1</v>
          </cell>
          <cell r="H465" t="str">
            <v>hp</v>
          </cell>
          <cell r="I465" t="str">
            <v>体力タイプ</v>
          </cell>
          <cell r="J465">
            <v>1.45</v>
          </cell>
          <cell r="K465">
            <v>0.85</v>
          </cell>
          <cell r="L465">
            <v>1</v>
          </cell>
          <cell r="M465" t="str">
            <v>human</v>
          </cell>
          <cell r="N465" t="str">
            <v>ヒューマン</v>
          </cell>
          <cell r="O465">
            <v>0.94</v>
          </cell>
          <cell r="P465">
            <v>0.99</v>
          </cell>
          <cell r="Q465">
            <v>1</v>
          </cell>
          <cell r="R465" t="str">
            <v>Boss</v>
          </cell>
          <cell r="S465">
            <v>5</v>
          </cell>
          <cell r="T465">
            <v>1.3</v>
          </cell>
          <cell r="U465">
            <v>0.8</v>
          </cell>
          <cell r="V465">
            <v>3</v>
          </cell>
          <cell r="W465">
            <v>1</v>
          </cell>
          <cell r="X465">
            <v>60</v>
          </cell>
          <cell r="Y465">
            <v>1.7</v>
          </cell>
          <cell r="Z465">
            <v>1.4</v>
          </cell>
          <cell r="AA465">
            <v>1</v>
          </cell>
          <cell r="AB465">
            <v>0</v>
          </cell>
        </row>
        <row r="466">
          <cell r="A466">
            <v>465</v>
          </cell>
          <cell r="B466" t="str">
            <v>真撃 ランスロット</v>
          </cell>
          <cell r="C466">
            <v>4</v>
          </cell>
          <cell r="D466" t="str">
            <v>green</v>
          </cell>
          <cell r="E466">
            <v>1.02</v>
          </cell>
          <cell r="F466">
            <v>0.98</v>
          </cell>
          <cell r="G466">
            <v>1</v>
          </cell>
          <cell r="H466" t="str">
            <v>balance</v>
          </cell>
          <cell r="I466" t="str">
            <v>バランスタイプ</v>
          </cell>
          <cell r="J466">
            <v>1</v>
          </cell>
          <cell r="K466">
            <v>1</v>
          </cell>
          <cell r="L466">
            <v>1</v>
          </cell>
          <cell r="M466" t="str">
            <v>human</v>
          </cell>
          <cell r="N466" t="str">
            <v>ヒューマン</v>
          </cell>
          <cell r="O466">
            <v>0.94</v>
          </cell>
          <cell r="P466">
            <v>0.99</v>
          </cell>
          <cell r="Q466">
            <v>1</v>
          </cell>
          <cell r="R466" t="str">
            <v>Boss</v>
          </cell>
          <cell r="S466">
            <v>5</v>
          </cell>
          <cell r="T466">
            <v>1.3</v>
          </cell>
          <cell r="U466">
            <v>0.8</v>
          </cell>
          <cell r="V466">
            <v>3</v>
          </cell>
          <cell r="W466">
            <v>1</v>
          </cell>
          <cell r="X466">
            <v>30</v>
          </cell>
          <cell r="Y466">
            <v>1.3</v>
          </cell>
          <cell r="Z466">
            <v>1.3</v>
          </cell>
          <cell r="AA466">
            <v>1.1000000000000001</v>
          </cell>
          <cell r="AB466">
            <v>0</v>
          </cell>
        </row>
        <row r="467">
          <cell r="A467">
            <v>466</v>
          </cell>
          <cell r="B467" t="str">
            <v>真断の勇覇 ランスロット</v>
          </cell>
          <cell r="C467">
            <v>5</v>
          </cell>
          <cell r="D467" t="str">
            <v>green</v>
          </cell>
          <cell r="E467">
            <v>1.02</v>
          </cell>
          <cell r="F467">
            <v>0.98</v>
          </cell>
          <cell r="G467">
            <v>1</v>
          </cell>
          <cell r="H467" t="str">
            <v>balance</v>
          </cell>
          <cell r="I467" t="str">
            <v>バランスタイプ</v>
          </cell>
          <cell r="J467">
            <v>1</v>
          </cell>
          <cell r="K467">
            <v>1</v>
          </cell>
          <cell r="L467">
            <v>1</v>
          </cell>
          <cell r="M467" t="str">
            <v>human</v>
          </cell>
          <cell r="N467" t="str">
            <v>ヒューマン</v>
          </cell>
          <cell r="O467">
            <v>0.94</v>
          </cell>
          <cell r="P467">
            <v>0.99</v>
          </cell>
          <cell r="Q467">
            <v>1</v>
          </cell>
          <cell r="R467" t="str">
            <v>Boss</v>
          </cell>
          <cell r="S467">
            <v>5</v>
          </cell>
          <cell r="T467">
            <v>1.3</v>
          </cell>
          <cell r="U467">
            <v>0.8</v>
          </cell>
          <cell r="V467">
            <v>3</v>
          </cell>
          <cell r="W467">
            <v>1</v>
          </cell>
          <cell r="X467">
            <v>60</v>
          </cell>
          <cell r="Y467">
            <v>1.7</v>
          </cell>
          <cell r="Z467">
            <v>1.4</v>
          </cell>
          <cell r="AA467">
            <v>1</v>
          </cell>
          <cell r="AB467">
            <v>0</v>
          </cell>
        </row>
        <row r="468">
          <cell r="A468">
            <v>467</v>
          </cell>
          <cell r="B468" t="str">
            <v>報復 モルドレッド</v>
          </cell>
          <cell r="C468">
            <v>4</v>
          </cell>
          <cell r="D468" t="str">
            <v>blue</v>
          </cell>
          <cell r="E468">
            <v>1</v>
          </cell>
          <cell r="F468">
            <v>0.98</v>
          </cell>
          <cell r="G468">
            <v>1</v>
          </cell>
          <cell r="H468" t="str">
            <v>technical</v>
          </cell>
          <cell r="I468" t="str">
            <v>テクニカルタイプ</v>
          </cell>
          <cell r="J468">
            <v>0.9</v>
          </cell>
          <cell r="K468">
            <v>0.9</v>
          </cell>
          <cell r="L468">
            <v>1</v>
          </cell>
          <cell r="M468" t="str">
            <v>human</v>
          </cell>
          <cell r="N468" t="str">
            <v>ヒューマン</v>
          </cell>
          <cell r="O468">
            <v>0.94</v>
          </cell>
          <cell r="P468">
            <v>0.99</v>
          </cell>
          <cell r="Q468">
            <v>1</v>
          </cell>
          <cell r="R468" t="str">
            <v>Boss</v>
          </cell>
          <cell r="S468">
            <v>5</v>
          </cell>
          <cell r="T468">
            <v>1.3</v>
          </cell>
          <cell r="U468">
            <v>0.8</v>
          </cell>
          <cell r="V468">
            <v>3</v>
          </cell>
          <cell r="W468">
            <v>1</v>
          </cell>
          <cell r="X468">
            <v>30</v>
          </cell>
          <cell r="Y468">
            <v>1.3</v>
          </cell>
          <cell r="Z468">
            <v>1.3</v>
          </cell>
          <cell r="AA468">
            <v>1.1000000000000001</v>
          </cell>
          <cell r="AB468">
            <v>0</v>
          </cell>
        </row>
        <row r="469">
          <cell r="A469">
            <v>468</v>
          </cell>
          <cell r="B469" t="str">
            <v>憎愛の尖鋒 モルドレッド</v>
          </cell>
          <cell r="C469">
            <v>5</v>
          </cell>
          <cell r="D469" t="str">
            <v>blue</v>
          </cell>
          <cell r="E469">
            <v>1</v>
          </cell>
          <cell r="F469">
            <v>0.98</v>
          </cell>
          <cell r="G469">
            <v>1</v>
          </cell>
          <cell r="H469" t="str">
            <v>technical</v>
          </cell>
          <cell r="I469" t="str">
            <v>テクニカルタイプ</v>
          </cell>
          <cell r="J469">
            <v>0.9</v>
          </cell>
          <cell r="K469">
            <v>0.9</v>
          </cell>
          <cell r="L469">
            <v>1</v>
          </cell>
          <cell r="M469" t="str">
            <v>human</v>
          </cell>
          <cell r="N469" t="str">
            <v>ヒューマン</v>
          </cell>
          <cell r="O469">
            <v>0.94</v>
          </cell>
          <cell r="P469">
            <v>0.99</v>
          </cell>
          <cell r="Q469">
            <v>1</v>
          </cell>
          <cell r="R469" t="str">
            <v>Boss</v>
          </cell>
          <cell r="S469">
            <v>5</v>
          </cell>
          <cell r="T469">
            <v>1.3</v>
          </cell>
          <cell r="U469">
            <v>0.8</v>
          </cell>
          <cell r="V469">
            <v>3</v>
          </cell>
          <cell r="W469">
            <v>1</v>
          </cell>
          <cell r="X469">
            <v>60</v>
          </cell>
          <cell r="Y469">
            <v>1.7</v>
          </cell>
          <cell r="Z469">
            <v>1.4</v>
          </cell>
          <cell r="AA469">
            <v>1</v>
          </cell>
          <cell r="AB469">
            <v>0</v>
          </cell>
        </row>
        <row r="470">
          <cell r="A470">
            <v>469</v>
          </cell>
          <cell r="B470" t="str">
            <v>トリスタン</v>
          </cell>
          <cell r="C470">
            <v>3</v>
          </cell>
          <cell r="D470" t="str">
            <v>yellow</v>
          </cell>
          <cell r="E470">
            <v>0.98</v>
          </cell>
          <cell r="F470">
            <v>1.01</v>
          </cell>
          <cell r="G470">
            <v>1</v>
          </cell>
          <cell r="H470" t="str">
            <v>attack</v>
          </cell>
          <cell r="I470" t="str">
            <v>攻撃タイプ</v>
          </cell>
          <cell r="J470">
            <v>1</v>
          </cell>
          <cell r="K470">
            <v>1.33</v>
          </cell>
          <cell r="L470">
            <v>1</v>
          </cell>
          <cell r="M470" t="str">
            <v>human</v>
          </cell>
          <cell r="N470" t="str">
            <v>ヒューマン</v>
          </cell>
          <cell r="O470">
            <v>0.94</v>
          </cell>
          <cell r="P470">
            <v>0.99</v>
          </cell>
          <cell r="Q470">
            <v>1</v>
          </cell>
          <cell r="R470" t="str">
            <v>Boss</v>
          </cell>
          <cell r="S470">
            <v>5</v>
          </cell>
          <cell r="T470">
            <v>1.3</v>
          </cell>
          <cell r="U470">
            <v>0.8</v>
          </cell>
          <cell r="V470">
            <v>3</v>
          </cell>
          <cell r="W470">
            <v>1</v>
          </cell>
          <cell r="X470">
            <v>25</v>
          </cell>
          <cell r="Y470">
            <v>1.2</v>
          </cell>
          <cell r="Z470">
            <v>1.25</v>
          </cell>
          <cell r="AA470">
            <v>1.1499999999999999</v>
          </cell>
          <cell r="AB470">
            <v>0</v>
          </cell>
        </row>
        <row r="471">
          <cell r="A471">
            <v>470</v>
          </cell>
          <cell r="B471" t="str">
            <v>純心 トリスタン</v>
          </cell>
          <cell r="C471">
            <v>4</v>
          </cell>
          <cell r="D471" t="str">
            <v>yellow</v>
          </cell>
          <cell r="E471">
            <v>0.98</v>
          </cell>
          <cell r="F471">
            <v>1.01</v>
          </cell>
          <cell r="G471">
            <v>1</v>
          </cell>
          <cell r="H471" t="str">
            <v>attack</v>
          </cell>
          <cell r="I471" t="str">
            <v>攻撃タイプ</v>
          </cell>
          <cell r="J471">
            <v>1</v>
          </cell>
          <cell r="K471">
            <v>1.33</v>
          </cell>
          <cell r="L471">
            <v>1</v>
          </cell>
          <cell r="M471" t="str">
            <v>human</v>
          </cell>
          <cell r="N471" t="str">
            <v>ヒューマン</v>
          </cell>
          <cell r="O471">
            <v>0.94</v>
          </cell>
          <cell r="P471">
            <v>0.99</v>
          </cell>
          <cell r="Q471">
            <v>1</v>
          </cell>
          <cell r="R471" t="str">
            <v>Boss</v>
          </cell>
          <cell r="S471">
            <v>5</v>
          </cell>
          <cell r="T471">
            <v>1.3</v>
          </cell>
          <cell r="U471">
            <v>0.8</v>
          </cell>
          <cell r="V471">
            <v>3</v>
          </cell>
          <cell r="W471">
            <v>1</v>
          </cell>
          <cell r="X471">
            <v>30</v>
          </cell>
          <cell r="Y471">
            <v>1.3</v>
          </cell>
          <cell r="Z471">
            <v>1.3</v>
          </cell>
          <cell r="AA471">
            <v>1.1000000000000001</v>
          </cell>
          <cell r="AB471">
            <v>0</v>
          </cell>
        </row>
        <row r="472">
          <cell r="A472">
            <v>471</v>
          </cell>
          <cell r="B472" t="str">
            <v>不可避の爆激 トリスタン</v>
          </cell>
          <cell r="C472">
            <v>5</v>
          </cell>
          <cell r="D472" t="str">
            <v>yellow</v>
          </cell>
          <cell r="E472">
            <v>0.98</v>
          </cell>
          <cell r="F472">
            <v>1.01</v>
          </cell>
          <cell r="G472">
            <v>1</v>
          </cell>
          <cell r="H472" t="str">
            <v>attack</v>
          </cell>
          <cell r="I472" t="str">
            <v>攻撃タイプ</v>
          </cell>
          <cell r="J472">
            <v>1</v>
          </cell>
          <cell r="K472">
            <v>1.33</v>
          </cell>
          <cell r="L472">
            <v>1</v>
          </cell>
          <cell r="M472" t="str">
            <v>human</v>
          </cell>
          <cell r="N472" t="str">
            <v>ヒューマン</v>
          </cell>
          <cell r="O472">
            <v>0.94</v>
          </cell>
          <cell r="P472">
            <v>0.99</v>
          </cell>
          <cell r="Q472">
            <v>1</v>
          </cell>
          <cell r="R472" t="str">
            <v>Boss</v>
          </cell>
          <cell r="S472">
            <v>5</v>
          </cell>
          <cell r="T472">
            <v>1.3</v>
          </cell>
          <cell r="U472">
            <v>0.8</v>
          </cell>
          <cell r="V472">
            <v>3</v>
          </cell>
          <cell r="W472">
            <v>1</v>
          </cell>
          <cell r="X472">
            <v>60</v>
          </cell>
          <cell r="Y472">
            <v>1.7</v>
          </cell>
          <cell r="Z472">
            <v>1.4</v>
          </cell>
          <cell r="AA472">
            <v>1</v>
          </cell>
          <cell r="AB472">
            <v>0</v>
          </cell>
        </row>
        <row r="473">
          <cell r="A473">
            <v>472</v>
          </cell>
          <cell r="B473" t="str">
            <v>アーサー</v>
          </cell>
          <cell r="C473">
            <v>4</v>
          </cell>
          <cell r="D473" t="str">
            <v>red</v>
          </cell>
          <cell r="E473">
            <v>1</v>
          </cell>
          <cell r="F473">
            <v>1.02</v>
          </cell>
          <cell r="G473">
            <v>1</v>
          </cell>
          <cell r="H473" t="str">
            <v>balance</v>
          </cell>
          <cell r="I473" t="str">
            <v>バランスタイプ</v>
          </cell>
          <cell r="J473">
            <v>1</v>
          </cell>
          <cell r="K473">
            <v>1</v>
          </cell>
          <cell r="L473">
            <v>1</v>
          </cell>
          <cell r="M473" t="str">
            <v>human</v>
          </cell>
          <cell r="N473" t="str">
            <v>ヒューマン</v>
          </cell>
          <cell r="O473">
            <v>0.94</v>
          </cell>
          <cell r="P473">
            <v>0.99</v>
          </cell>
          <cell r="Q473">
            <v>1</v>
          </cell>
          <cell r="R473" t="str">
            <v>Boss</v>
          </cell>
          <cell r="S473">
            <v>5</v>
          </cell>
          <cell r="T473">
            <v>1.3</v>
          </cell>
          <cell r="U473">
            <v>0.8</v>
          </cell>
          <cell r="V473">
            <v>3</v>
          </cell>
          <cell r="W473">
            <v>1</v>
          </cell>
          <cell r="X473">
            <v>30</v>
          </cell>
          <cell r="Y473">
            <v>1.3</v>
          </cell>
          <cell r="Z473">
            <v>1.3</v>
          </cell>
          <cell r="AA473">
            <v>1.1000000000000001</v>
          </cell>
          <cell r="AB473">
            <v>0</v>
          </cell>
        </row>
        <row r="474">
          <cell r="A474">
            <v>473</v>
          </cell>
          <cell r="B474" t="str">
            <v>凶堅なる正義 アーサー</v>
          </cell>
          <cell r="C474">
            <v>5</v>
          </cell>
          <cell r="D474" t="str">
            <v>red</v>
          </cell>
          <cell r="E474">
            <v>1</v>
          </cell>
          <cell r="F474">
            <v>1.02</v>
          </cell>
          <cell r="G474">
            <v>1</v>
          </cell>
          <cell r="H474" t="str">
            <v>balance</v>
          </cell>
          <cell r="I474" t="str">
            <v>バランスタイプ</v>
          </cell>
          <cell r="J474">
            <v>1</v>
          </cell>
          <cell r="K474">
            <v>1</v>
          </cell>
          <cell r="L474">
            <v>1</v>
          </cell>
          <cell r="M474" t="str">
            <v>human</v>
          </cell>
          <cell r="N474" t="str">
            <v>ヒューマン</v>
          </cell>
          <cell r="O474">
            <v>0.94</v>
          </cell>
          <cell r="P474">
            <v>0.99</v>
          </cell>
          <cell r="Q474">
            <v>1</v>
          </cell>
          <cell r="R474" t="str">
            <v>Boss</v>
          </cell>
          <cell r="S474">
            <v>5</v>
          </cell>
          <cell r="T474">
            <v>1.3</v>
          </cell>
          <cell r="U474">
            <v>0.8</v>
          </cell>
          <cell r="V474">
            <v>3</v>
          </cell>
          <cell r="W474">
            <v>1</v>
          </cell>
          <cell r="X474">
            <v>60</v>
          </cell>
          <cell r="Y474">
            <v>1.7</v>
          </cell>
          <cell r="Z474">
            <v>1.4</v>
          </cell>
          <cell r="AA474">
            <v>1</v>
          </cell>
          <cell r="AB474">
            <v>0</v>
          </cell>
        </row>
        <row r="475">
          <cell r="A475">
            <v>474</v>
          </cell>
          <cell r="B475" t="str">
            <v>キング・ドライグ</v>
          </cell>
          <cell r="C475">
            <v>4</v>
          </cell>
          <cell r="D475" t="str">
            <v>red</v>
          </cell>
          <cell r="E475">
            <v>1</v>
          </cell>
          <cell r="F475">
            <v>1.02</v>
          </cell>
          <cell r="G475">
            <v>1</v>
          </cell>
          <cell r="H475" t="str">
            <v>attack</v>
          </cell>
          <cell r="I475" t="str">
            <v>攻撃タイプ</v>
          </cell>
          <cell r="J475">
            <v>1</v>
          </cell>
          <cell r="K475">
            <v>1.33</v>
          </cell>
          <cell r="L475">
            <v>1</v>
          </cell>
          <cell r="M475" t="str">
            <v>dragon</v>
          </cell>
          <cell r="N475" t="str">
            <v>ドラゴン</v>
          </cell>
          <cell r="O475">
            <v>1.1499999999999999</v>
          </cell>
          <cell r="P475">
            <v>1.1000000000000001</v>
          </cell>
          <cell r="Q475">
            <v>1</v>
          </cell>
          <cell r="R475" t="str">
            <v>Boss</v>
          </cell>
          <cell r="S475">
            <v>5</v>
          </cell>
          <cell r="T475">
            <v>1.3</v>
          </cell>
          <cell r="U475">
            <v>0.8</v>
          </cell>
          <cell r="V475">
            <v>3</v>
          </cell>
          <cell r="W475">
            <v>1</v>
          </cell>
          <cell r="X475">
            <v>30</v>
          </cell>
          <cell r="Y475">
            <v>1.3</v>
          </cell>
          <cell r="Z475">
            <v>1.3</v>
          </cell>
          <cell r="AA475">
            <v>1.1000000000000001</v>
          </cell>
          <cell r="AB475">
            <v>0</v>
          </cell>
        </row>
        <row r="476">
          <cell r="A476">
            <v>475</v>
          </cell>
          <cell r="B476" t="str">
            <v>緋王 キング・ドライグ</v>
          </cell>
          <cell r="C476">
            <v>5</v>
          </cell>
          <cell r="D476" t="str">
            <v>red</v>
          </cell>
          <cell r="E476">
            <v>1</v>
          </cell>
          <cell r="F476">
            <v>1.02</v>
          </cell>
          <cell r="G476">
            <v>1</v>
          </cell>
          <cell r="H476" t="str">
            <v>attack</v>
          </cell>
          <cell r="I476" t="str">
            <v>攻撃タイプ</v>
          </cell>
          <cell r="J476">
            <v>1</v>
          </cell>
          <cell r="K476">
            <v>1.33</v>
          </cell>
          <cell r="L476">
            <v>1</v>
          </cell>
          <cell r="M476" t="str">
            <v>dragon</v>
          </cell>
          <cell r="N476" t="str">
            <v>ドラゴン</v>
          </cell>
          <cell r="O476">
            <v>1.1499999999999999</v>
          </cell>
          <cell r="P476">
            <v>1.1000000000000001</v>
          </cell>
          <cell r="Q476">
            <v>1</v>
          </cell>
          <cell r="R476" t="str">
            <v>Boss</v>
          </cell>
          <cell r="S476">
            <v>5</v>
          </cell>
          <cell r="T476">
            <v>1.3</v>
          </cell>
          <cell r="U476">
            <v>0.8</v>
          </cell>
          <cell r="V476">
            <v>3</v>
          </cell>
          <cell r="W476">
            <v>1</v>
          </cell>
          <cell r="X476">
            <v>60</v>
          </cell>
          <cell r="Y476">
            <v>1.7</v>
          </cell>
          <cell r="Z476">
            <v>1.4</v>
          </cell>
          <cell r="AA476">
            <v>1</v>
          </cell>
          <cell r="AB476">
            <v>0</v>
          </cell>
        </row>
        <row r="477">
          <cell r="A477">
            <v>476</v>
          </cell>
          <cell r="B477" t="str">
            <v>ファータ</v>
          </cell>
          <cell r="C477">
            <v>3</v>
          </cell>
          <cell r="D477" t="str">
            <v>green</v>
          </cell>
          <cell r="E477">
            <v>1.02</v>
          </cell>
          <cell r="F477">
            <v>0.98</v>
          </cell>
          <cell r="G477">
            <v>1</v>
          </cell>
          <cell r="H477" t="str">
            <v>heal</v>
          </cell>
          <cell r="I477" t="str">
            <v>回復タイプ</v>
          </cell>
          <cell r="J477">
            <v>0.8</v>
          </cell>
          <cell r="K477">
            <v>0.78</v>
          </cell>
          <cell r="L477">
            <v>1</v>
          </cell>
          <cell r="M477" t="str">
            <v>unknown</v>
          </cell>
          <cell r="N477" t="str">
            <v>Unknown</v>
          </cell>
          <cell r="O477">
            <v>1</v>
          </cell>
          <cell r="P477">
            <v>1</v>
          </cell>
          <cell r="Q477">
            <v>1</v>
          </cell>
          <cell r="R477" t="str">
            <v>Boss</v>
          </cell>
          <cell r="S477">
            <v>5</v>
          </cell>
          <cell r="T477">
            <v>1.3</v>
          </cell>
          <cell r="U477">
            <v>0.8</v>
          </cell>
          <cell r="V477">
            <v>3</v>
          </cell>
          <cell r="W477">
            <v>1</v>
          </cell>
          <cell r="X477">
            <v>25</v>
          </cell>
          <cell r="Y477">
            <v>1.2</v>
          </cell>
          <cell r="Z477">
            <v>1.25</v>
          </cell>
          <cell r="AA477">
            <v>1.1499999999999999</v>
          </cell>
          <cell r="AB477">
            <v>0</v>
          </cell>
        </row>
        <row r="478">
          <cell r="A478">
            <v>477</v>
          </cell>
          <cell r="B478" t="str">
            <v>愛羽妖精 ファータ</v>
          </cell>
          <cell r="C478">
            <v>4</v>
          </cell>
          <cell r="D478" t="str">
            <v>green</v>
          </cell>
          <cell r="E478">
            <v>1.02</v>
          </cell>
          <cell r="F478">
            <v>0.98</v>
          </cell>
          <cell r="G478">
            <v>1</v>
          </cell>
          <cell r="H478" t="str">
            <v>heal</v>
          </cell>
          <cell r="I478" t="str">
            <v>回復タイプ</v>
          </cell>
          <cell r="J478">
            <v>0.8</v>
          </cell>
          <cell r="K478">
            <v>0.78</v>
          </cell>
          <cell r="L478">
            <v>1</v>
          </cell>
          <cell r="M478" t="str">
            <v>unknown</v>
          </cell>
          <cell r="N478" t="str">
            <v>Unknown</v>
          </cell>
          <cell r="O478">
            <v>1</v>
          </cell>
          <cell r="P478">
            <v>1</v>
          </cell>
          <cell r="Q478">
            <v>1</v>
          </cell>
          <cell r="R478" t="str">
            <v>Boss</v>
          </cell>
          <cell r="S478">
            <v>5</v>
          </cell>
          <cell r="T478">
            <v>1.3</v>
          </cell>
          <cell r="U478">
            <v>0.8</v>
          </cell>
          <cell r="V478">
            <v>3</v>
          </cell>
          <cell r="W478">
            <v>1</v>
          </cell>
          <cell r="X478">
            <v>30</v>
          </cell>
          <cell r="Y478">
            <v>1.3</v>
          </cell>
          <cell r="Z478">
            <v>1.3</v>
          </cell>
          <cell r="AA478">
            <v>1.1000000000000001</v>
          </cell>
          <cell r="AB478">
            <v>0</v>
          </cell>
        </row>
        <row r="479">
          <cell r="A479">
            <v>478</v>
          </cell>
          <cell r="B479" t="str">
            <v>時計仕掛けの愛羽妖精 ファータ</v>
          </cell>
          <cell r="C479">
            <v>5</v>
          </cell>
          <cell r="D479" t="str">
            <v>green</v>
          </cell>
          <cell r="E479">
            <v>1.02</v>
          </cell>
          <cell r="F479">
            <v>0.98</v>
          </cell>
          <cell r="G479">
            <v>1</v>
          </cell>
          <cell r="H479" t="str">
            <v>heal</v>
          </cell>
          <cell r="I479" t="str">
            <v>回復タイプ</v>
          </cell>
          <cell r="J479">
            <v>0.8</v>
          </cell>
          <cell r="K479">
            <v>0.78</v>
          </cell>
          <cell r="L479">
            <v>1</v>
          </cell>
          <cell r="M479" t="str">
            <v>unknown</v>
          </cell>
          <cell r="N479" t="str">
            <v>Unknown</v>
          </cell>
          <cell r="O479">
            <v>1</v>
          </cell>
          <cell r="P479">
            <v>1</v>
          </cell>
          <cell r="Q479">
            <v>1</v>
          </cell>
          <cell r="R479" t="str">
            <v>Boss</v>
          </cell>
          <cell r="S479">
            <v>5</v>
          </cell>
          <cell r="T479">
            <v>1.3</v>
          </cell>
          <cell r="U479">
            <v>0.8</v>
          </cell>
          <cell r="V479">
            <v>3</v>
          </cell>
          <cell r="W479">
            <v>1</v>
          </cell>
          <cell r="X479">
            <v>60</v>
          </cell>
          <cell r="Y479">
            <v>1.7</v>
          </cell>
          <cell r="Z479">
            <v>1.4</v>
          </cell>
          <cell r="AA479">
            <v>1</v>
          </cell>
          <cell r="AB479">
            <v>0</v>
          </cell>
        </row>
        <row r="480">
          <cell r="A480">
            <v>479</v>
          </cell>
          <cell r="B480" t="str">
            <v>フール</v>
          </cell>
          <cell r="C480">
            <v>4</v>
          </cell>
          <cell r="D480" t="str">
            <v>blue</v>
          </cell>
          <cell r="E480">
            <v>1</v>
          </cell>
          <cell r="F480">
            <v>0.98</v>
          </cell>
          <cell r="G480">
            <v>1</v>
          </cell>
          <cell r="H480" t="str">
            <v>technical</v>
          </cell>
          <cell r="I480" t="str">
            <v>テクニカルタイプ</v>
          </cell>
          <cell r="J480">
            <v>0.9</v>
          </cell>
          <cell r="K480">
            <v>0.9</v>
          </cell>
          <cell r="L480">
            <v>1</v>
          </cell>
          <cell r="M480" t="str">
            <v>god</v>
          </cell>
          <cell r="N480" t="str">
            <v>ゴッド</v>
          </cell>
          <cell r="O480">
            <v>0.96</v>
          </cell>
          <cell r="P480">
            <v>1.02</v>
          </cell>
          <cell r="Q480">
            <v>1</v>
          </cell>
          <cell r="R480" t="str">
            <v>Boss</v>
          </cell>
          <cell r="S480">
            <v>5</v>
          </cell>
          <cell r="T480">
            <v>1.3</v>
          </cell>
          <cell r="U480">
            <v>0.8</v>
          </cell>
          <cell r="V480">
            <v>3</v>
          </cell>
          <cell r="W480">
            <v>1</v>
          </cell>
          <cell r="X480">
            <v>30</v>
          </cell>
          <cell r="Y480">
            <v>1.3</v>
          </cell>
          <cell r="Z480">
            <v>1.3</v>
          </cell>
          <cell r="AA480">
            <v>1.1000000000000001</v>
          </cell>
          <cell r="AB480">
            <v>0</v>
          </cell>
        </row>
        <row r="481">
          <cell r="A481">
            <v>480</v>
          </cell>
          <cell r="B481" t="str">
            <v>夢幻の愚者フール</v>
          </cell>
          <cell r="C481">
            <v>5</v>
          </cell>
          <cell r="D481" t="str">
            <v>blue</v>
          </cell>
          <cell r="E481">
            <v>1</v>
          </cell>
          <cell r="F481">
            <v>0.98</v>
          </cell>
          <cell r="G481">
            <v>1</v>
          </cell>
          <cell r="H481" t="str">
            <v>technical</v>
          </cell>
          <cell r="I481" t="str">
            <v>テクニカルタイプ</v>
          </cell>
          <cell r="J481">
            <v>0.9</v>
          </cell>
          <cell r="K481">
            <v>0.9</v>
          </cell>
          <cell r="L481">
            <v>1</v>
          </cell>
          <cell r="M481" t="str">
            <v>god</v>
          </cell>
          <cell r="N481" t="str">
            <v>ゴッド</v>
          </cell>
          <cell r="O481">
            <v>0.96</v>
          </cell>
          <cell r="P481">
            <v>1.02</v>
          </cell>
          <cell r="Q481">
            <v>1</v>
          </cell>
          <cell r="R481" t="str">
            <v>Boss</v>
          </cell>
          <cell r="S481">
            <v>5</v>
          </cell>
          <cell r="T481">
            <v>1.3</v>
          </cell>
          <cell r="U481">
            <v>0.8</v>
          </cell>
          <cell r="V481">
            <v>3</v>
          </cell>
          <cell r="W481">
            <v>1</v>
          </cell>
          <cell r="X481">
            <v>60</v>
          </cell>
          <cell r="Y481">
            <v>1.7</v>
          </cell>
          <cell r="Z481">
            <v>1.4</v>
          </cell>
          <cell r="AA481">
            <v>1</v>
          </cell>
          <cell r="AB481">
            <v>0</v>
          </cell>
        </row>
        <row r="482">
          <cell r="A482">
            <v>481</v>
          </cell>
          <cell r="B482" t="str">
            <v>沢庵宗彭</v>
          </cell>
          <cell r="C482">
            <v>3</v>
          </cell>
          <cell r="D482" t="str">
            <v>yellow</v>
          </cell>
          <cell r="E482">
            <v>0.98</v>
          </cell>
          <cell r="F482">
            <v>1.01</v>
          </cell>
          <cell r="G482">
            <v>1</v>
          </cell>
          <cell r="H482" t="str">
            <v>hp</v>
          </cell>
          <cell r="I482" t="str">
            <v>体力タイプ</v>
          </cell>
          <cell r="J482">
            <v>1.45</v>
          </cell>
          <cell r="K482">
            <v>0.85</v>
          </cell>
          <cell r="L482">
            <v>1</v>
          </cell>
          <cell r="M482" t="str">
            <v>human</v>
          </cell>
          <cell r="N482" t="str">
            <v>ヒューマン</v>
          </cell>
          <cell r="O482">
            <v>0.94</v>
          </cell>
          <cell r="P482">
            <v>0.99</v>
          </cell>
          <cell r="Q482">
            <v>1</v>
          </cell>
          <cell r="R482" t="str">
            <v>Boss</v>
          </cell>
          <cell r="S482">
            <v>5</v>
          </cell>
          <cell r="T482">
            <v>1.3</v>
          </cell>
          <cell r="U482">
            <v>0.8</v>
          </cell>
          <cell r="V482">
            <v>3</v>
          </cell>
          <cell r="W482">
            <v>1</v>
          </cell>
          <cell r="X482">
            <v>25</v>
          </cell>
          <cell r="Y482">
            <v>1.2</v>
          </cell>
          <cell r="Z482">
            <v>1.25</v>
          </cell>
          <cell r="AA482">
            <v>1.1499999999999999</v>
          </cell>
          <cell r="AB482">
            <v>0</v>
          </cell>
        </row>
        <row r="483">
          <cell r="A483">
            <v>482</v>
          </cell>
          <cell r="B483" t="str">
            <v>魁僧 沢庵宗彭</v>
          </cell>
          <cell r="C483">
            <v>4</v>
          </cell>
          <cell r="D483" t="str">
            <v>yellow</v>
          </cell>
          <cell r="E483">
            <v>0.98</v>
          </cell>
          <cell r="F483">
            <v>1.01</v>
          </cell>
          <cell r="G483">
            <v>1</v>
          </cell>
          <cell r="H483" t="str">
            <v>hp</v>
          </cell>
          <cell r="I483" t="str">
            <v>体力タイプ</v>
          </cell>
          <cell r="J483">
            <v>1.45</v>
          </cell>
          <cell r="K483">
            <v>0.85</v>
          </cell>
          <cell r="L483">
            <v>1</v>
          </cell>
          <cell r="M483" t="str">
            <v>human</v>
          </cell>
          <cell r="N483" t="str">
            <v>ヒューマン</v>
          </cell>
          <cell r="O483">
            <v>0.94</v>
          </cell>
          <cell r="P483">
            <v>0.99</v>
          </cell>
          <cell r="Q483">
            <v>1</v>
          </cell>
          <cell r="R483" t="str">
            <v>Boss</v>
          </cell>
          <cell r="S483">
            <v>5</v>
          </cell>
          <cell r="T483">
            <v>1.3</v>
          </cell>
          <cell r="U483">
            <v>0.8</v>
          </cell>
          <cell r="V483">
            <v>3</v>
          </cell>
          <cell r="W483">
            <v>1</v>
          </cell>
          <cell r="X483">
            <v>30</v>
          </cell>
          <cell r="Y483">
            <v>1.3</v>
          </cell>
          <cell r="Z483">
            <v>1.3</v>
          </cell>
          <cell r="AA483">
            <v>1.1000000000000001</v>
          </cell>
          <cell r="AB483">
            <v>0</v>
          </cell>
        </row>
        <row r="484">
          <cell r="A484">
            <v>483</v>
          </cell>
          <cell r="B484" t="str">
            <v xml:space="preserve">命経死遂 沢庵宗彭 </v>
          </cell>
          <cell r="C484">
            <v>5</v>
          </cell>
          <cell r="D484" t="str">
            <v>yellow</v>
          </cell>
          <cell r="E484">
            <v>0.98</v>
          </cell>
          <cell r="F484">
            <v>1.01</v>
          </cell>
          <cell r="G484">
            <v>1</v>
          </cell>
          <cell r="H484" t="str">
            <v>hp</v>
          </cell>
          <cell r="I484" t="str">
            <v>体力タイプ</v>
          </cell>
          <cell r="J484">
            <v>1.45</v>
          </cell>
          <cell r="K484">
            <v>0.85</v>
          </cell>
          <cell r="L484">
            <v>1</v>
          </cell>
          <cell r="M484" t="str">
            <v>human</v>
          </cell>
          <cell r="N484" t="str">
            <v>ヒューマン</v>
          </cell>
          <cell r="O484">
            <v>0.94</v>
          </cell>
          <cell r="P484">
            <v>0.99</v>
          </cell>
          <cell r="Q484">
            <v>1</v>
          </cell>
          <cell r="R484" t="str">
            <v>Boss</v>
          </cell>
          <cell r="S484">
            <v>5</v>
          </cell>
          <cell r="T484">
            <v>1.3</v>
          </cell>
          <cell r="U484">
            <v>0.8</v>
          </cell>
          <cell r="V484">
            <v>3</v>
          </cell>
          <cell r="W484">
            <v>1</v>
          </cell>
          <cell r="X484">
            <v>60</v>
          </cell>
          <cell r="Y484">
            <v>1.7</v>
          </cell>
          <cell r="Z484">
            <v>1.4</v>
          </cell>
          <cell r="AA484">
            <v>1</v>
          </cell>
          <cell r="AB484">
            <v>0</v>
          </cell>
        </row>
        <row r="485">
          <cell r="A485">
            <v>484</v>
          </cell>
          <cell r="B485" t="str">
            <v>ラグランジュ</v>
          </cell>
          <cell r="C485">
            <v>4</v>
          </cell>
          <cell r="D485" t="str">
            <v>red</v>
          </cell>
          <cell r="E485">
            <v>1</v>
          </cell>
          <cell r="F485">
            <v>1.02</v>
          </cell>
          <cell r="G485">
            <v>1</v>
          </cell>
          <cell r="H485" t="str">
            <v>technical</v>
          </cell>
          <cell r="I485" t="str">
            <v>テクニカルタイプ</v>
          </cell>
          <cell r="J485">
            <v>0.9</v>
          </cell>
          <cell r="K485">
            <v>0.9</v>
          </cell>
          <cell r="L485">
            <v>1</v>
          </cell>
          <cell r="M485" t="str">
            <v>human</v>
          </cell>
          <cell r="N485" t="str">
            <v>ヒューマン</v>
          </cell>
          <cell r="O485">
            <v>0.94</v>
          </cell>
          <cell r="P485">
            <v>0.99</v>
          </cell>
          <cell r="Q485">
            <v>1</v>
          </cell>
          <cell r="R485" t="str">
            <v>Boss</v>
          </cell>
          <cell r="S485">
            <v>5</v>
          </cell>
          <cell r="T485">
            <v>1.3</v>
          </cell>
          <cell r="U485">
            <v>0.8</v>
          </cell>
          <cell r="V485">
            <v>3</v>
          </cell>
          <cell r="W485">
            <v>1</v>
          </cell>
          <cell r="X485">
            <v>30</v>
          </cell>
          <cell r="Y485">
            <v>1.3</v>
          </cell>
          <cell r="Z485">
            <v>1.3</v>
          </cell>
          <cell r="AA485">
            <v>1.1000000000000001</v>
          </cell>
          <cell r="AB485">
            <v>0</v>
          </cell>
        </row>
        <row r="486">
          <cell r="A486">
            <v>485</v>
          </cell>
          <cell r="B486" t="str">
            <v>超越自我 ラグランジュ</v>
          </cell>
          <cell r="C486">
            <v>5</v>
          </cell>
          <cell r="D486" t="str">
            <v>red</v>
          </cell>
          <cell r="E486">
            <v>1</v>
          </cell>
          <cell r="F486">
            <v>1.02</v>
          </cell>
          <cell r="G486">
            <v>1</v>
          </cell>
          <cell r="H486" t="str">
            <v>technical</v>
          </cell>
          <cell r="I486" t="str">
            <v>テクニカルタイプ</v>
          </cell>
          <cell r="J486">
            <v>0.9</v>
          </cell>
          <cell r="K486">
            <v>0.9</v>
          </cell>
          <cell r="L486">
            <v>1</v>
          </cell>
          <cell r="M486" t="str">
            <v>human</v>
          </cell>
          <cell r="N486" t="str">
            <v>ヒューマン</v>
          </cell>
          <cell r="O486">
            <v>0.94</v>
          </cell>
          <cell r="P486">
            <v>0.99</v>
          </cell>
          <cell r="Q486">
            <v>1</v>
          </cell>
          <cell r="R486" t="str">
            <v>Boss</v>
          </cell>
          <cell r="S486">
            <v>5</v>
          </cell>
          <cell r="T486">
            <v>1.3</v>
          </cell>
          <cell r="U486">
            <v>0.8</v>
          </cell>
          <cell r="V486">
            <v>3</v>
          </cell>
          <cell r="W486">
            <v>1</v>
          </cell>
          <cell r="X486">
            <v>60</v>
          </cell>
          <cell r="Y486">
            <v>1.7</v>
          </cell>
          <cell r="Z486">
            <v>1.4</v>
          </cell>
          <cell r="AA486">
            <v>1</v>
          </cell>
          <cell r="AB486">
            <v>0</v>
          </cell>
        </row>
        <row r="487">
          <cell r="A487">
            <v>486</v>
          </cell>
          <cell r="B487" t="str">
            <v>重なる世解 シュレディンガー</v>
          </cell>
          <cell r="C487">
            <v>5</v>
          </cell>
          <cell r="D487" t="str">
            <v>red</v>
          </cell>
          <cell r="E487">
            <v>1</v>
          </cell>
          <cell r="F487">
            <v>1.02</v>
          </cell>
          <cell r="G487">
            <v>1</v>
          </cell>
          <cell r="H487" t="str">
            <v>balance</v>
          </cell>
          <cell r="I487" t="str">
            <v>バランスタイプ</v>
          </cell>
          <cell r="J487">
            <v>1</v>
          </cell>
          <cell r="K487">
            <v>1</v>
          </cell>
          <cell r="L487">
            <v>1</v>
          </cell>
          <cell r="M487" t="str">
            <v>animal</v>
          </cell>
          <cell r="N487" t="str">
            <v>アニマル</v>
          </cell>
          <cell r="O487">
            <v>1</v>
          </cell>
          <cell r="P487">
            <v>1.1000000000000001</v>
          </cell>
          <cell r="Q487">
            <v>1</v>
          </cell>
          <cell r="R487" t="str">
            <v>Boss</v>
          </cell>
          <cell r="S487">
            <v>5</v>
          </cell>
          <cell r="T487">
            <v>1.3</v>
          </cell>
          <cell r="U487">
            <v>0.8</v>
          </cell>
          <cell r="V487">
            <v>3</v>
          </cell>
          <cell r="W487">
            <v>1</v>
          </cell>
          <cell r="X487">
            <v>60</v>
          </cell>
          <cell r="Y487">
            <v>1.7</v>
          </cell>
          <cell r="Z487">
            <v>1.4</v>
          </cell>
          <cell r="AA487">
            <v>1</v>
          </cell>
          <cell r="AB487">
            <v>0</v>
          </cell>
        </row>
        <row r="488">
          <cell r="A488">
            <v>487</v>
          </cell>
          <cell r="B488" t="str">
            <v>暴創の造物 チューリング</v>
          </cell>
          <cell r="C488">
            <v>5</v>
          </cell>
          <cell r="D488" t="str">
            <v>green</v>
          </cell>
          <cell r="E488">
            <v>1.02</v>
          </cell>
          <cell r="F488">
            <v>0.98</v>
          </cell>
          <cell r="G488">
            <v>1</v>
          </cell>
          <cell r="H488" t="str">
            <v>hp</v>
          </cell>
          <cell r="I488" t="str">
            <v>体力タイプ</v>
          </cell>
          <cell r="J488">
            <v>1.45</v>
          </cell>
          <cell r="K488">
            <v>0.85</v>
          </cell>
          <cell r="L488">
            <v>1</v>
          </cell>
          <cell r="M488" t="str">
            <v>human</v>
          </cell>
          <cell r="N488" t="str">
            <v>ヒューマン</v>
          </cell>
          <cell r="O488">
            <v>0.94</v>
          </cell>
          <cell r="P488">
            <v>0.99</v>
          </cell>
          <cell r="Q488">
            <v>1</v>
          </cell>
          <cell r="R488" t="str">
            <v>Boss</v>
          </cell>
          <cell r="S488">
            <v>5</v>
          </cell>
          <cell r="T488">
            <v>1.3</v>
          </cell>
          <cell r="U488">
            <v>0.8</v>
          </cell>
          <cell r="V488">
            <v>3</v>
          </cell>
          <cell r="W488">
            <v>1</v>
          </cell>
          <cell r="X488">
            <v>60</v>
          </cell>
          <cell r="Y488">
            <v>1.7</v>
          </cell>
          <cell r="Z488">
            <v>1.4</v>
          </cell>
          <cell r="AA488">
            <v>1</v>
          </cell>
          <cell r="AB488">
            <v>0</v>
          </cell>
        </row>
        <row r="489">
          <cell r="A489">
            <v>488</v>
          </cell>
          <cell r="B489" t="str">
            <v>直観の異論 ヘンペル</v>
          </cell>
          <cell r="C489">
            <v>5</v>
          </cell>
          <cell r="D489" t="str">
            <v>blue</v>
          </cell>
          <cell r="E489">
            <v>1</v>
          </cell>
          <cell r="F489">
            <v>0.98</v>
          </cell>
          <cell r="G489">
            <v>1</v>
          </cell>
          <cell r="H489" t="str">
            <v>technical</v>
          </cell>
          <cell r="I489" t="str">
            <v>テクニカルタイプ</v>
          </cell>
          <cell r="J489">
            <v>0.9</v>
          </cell>
          <cell r="K489">
            <v>0.9</v>
          </cell>
          <cell r="L489">
            <v>1</v>
          </cell>
          <cell r="M489" t="str">
            <v>human</v>
          </cell>
          <cell r="N489" t="str">
            <v>ヒューマン</v>
          </cell>
          <cell r="O489">
            <v>0.94</v>
          </cell>
          <cell r="P489">
            <v>0.99</v>
          </cell>
          <cell r="Q489">
            <v>1</v>
          </cell>
          <cell r="R489" t="str">
            <v>Boss</v>
          </cell>
          <cell r="S489">
            <v>5</v>
          </cell>
          <cell r="T489">
            <v>1.3</v>
          </cell>
          <cell r="U489">
            <v>0.8</v>
          </cell>
          <cell r="V489">
            <v>3</v>
          </cell>
          <cell r="W489">
            <v>1</v>
          </cell>
          <cell r="X489">
            <v>60</v>
          </cell>
          <cell r="Y489">
            <v>1.7</v>
          </cell>
          <cell r="Z489">
            <v>1.4</v>
          </cell>
          <cell r="AA489">
            <v>1</v>
          </cell>
          <cell r="AB489">
            <v>0</v>
          </cell>
        </row>
        <row r="490">
          <cell r="A490">
            <v>489</v>
          </cell>
          <cell r="B490" t="str">
            <v>宇宙の拡超 ハップル</v>
          </cell>
          <cell r="C490">
            <v>5</v>
          </cell>
          <cell r="D490" t="str">
            <v>yellow</v>
          </cell>
          <cell r="E490">
            <v>0.98</v>
          </cell>
          <cell r="F490">
            <v>1.01</v>
          </cell>
          <cell r="G490">
            <v>1</v>
          </cell>
          <cell r="H490" t="str">
            <v>technical</v>
          </cell>
          <cell r="I490" t="str">
            <v>テクニカルタイプ</v>
          </cell>
          <cell r="J490">
            <v>0.9</v>
          </cell>
          <cell r="K490">
            <v>0.9</v>
          </cell>
          <cell r="L490">
            <v>1</v>
          </cell>
          <cell r="M490" t="str">
            <v>human</v>
          </cell>
          <cell r="N490" t="str">
            <v>ヒューマン</v>
          </cell>
          <cell r="O490">
            <v>0.94</v>
          </cell>
          <cell r="P490">
            <v>0.99</v>
          </cell>
          <cell r="Q490">
            <v>1</v>
          </cell>
          <cell r="R490" t="str">
            <v>Boss</v>
          </cell>
          <cell r="S490">
            <v>5</v>
          </cell>
          <cell r="T490">
            <v>1.3</v>
          </cell>
          <cell r="U490">
            <v>0.8</v>
          </cell>
          <cell r="V490">
            <v>3</v>
          </cell>
          <cell r="W490">
            <v>1</v>
          </cell>
          <cell r="X490">
            <v>60</v>
          </cell>
          <cell r="Y490">
            <v>1.7</v>
          </cell>
          <cell r="Z490">
            <v>1.4</v>
          </cell>
          <cell r="AA490">
            <v>1</v>
          </cell>
          <cell r="AB490">
            <v>0</v>
          </cell>
        </row>
        <row r="491">
          <cell r="A491">
            <v>490</v>
          </cell>
          <cell r="B491" t="str">
            <v>グリム</v>
          </cell>
          <cell r="C491">
            <v>4</v>
          </cell>
          <cell r="D491" t="str">
            <v>green</v>
          </cell>
          <cell r="E491">
            <v>1.02</v>
          </cell>
          <cell r="F491">
            <v>0.98</v>
          </cell>
          <cell r="G491">
            <v>1</v>
          </cell>
          <cell r="H491" t="str">
            <v>balance</v>
          </cell>
          <cell r="I491" t="str">
            <v>バランスタイプ</v>
          </cell>
          <cell r="J491">
            <v>1</v>
          </cell>
          <cell r="K491">
            <v>1</v>
          </cell>
          <cell r="L491">
            <v>1</v>
          </cell>
          <cell r="M491" t="str">
            <v>human</v>
          </cell>
          <cell r="N491" t="str">
            <v>ヒューマン</v>
          </cell>
          <cell r="O491">
            <v>0.94</v>
          </cell>
          <cell r="P491">
            <v>0.99</v>
          </cell>
          <cell r="Q491">
            <v>1</v>
          </cell>
          <cell r="R491" t="str">
            <v>Boss</v>
          </cell>
          <cell r="S491">
            <v>5</v>
          </cell>
          <cell r="T491">
            <v>1.3</v>
          </cell>
          <cell r="U491">
            <v>0.8</v>
          </cell>
          <cell r="V491">
            <v>3</v>
          </cell>
          <cell r="W491">
            <v>1</v>
          </cell>
          <cell r="X491">
            <v>30</v>
          </cell>
          <cell r="Y491">
            <v>1.3</v>
          </cell>
          <cell r="Z491">
            <v>1.3</v>
          </cell>
          <cell r="AA491">
            <v>1.1000000000000001</v>
          </cell>
          <cell r="AB491">
            <v>0</v>
          </cell>
        </row>
        <row r="492">
          <cell r="A492">
            <v>491</v>
          </cell>
          <cell r="B492" t="str">
            <v>収魂の群影 グリム</v>
          </cell>
          <cell r="C492">
            <v>5</v>
          </cell>
          <cell r="D492" t="str">
            <v>green</v>
          </cell>
          <cell r="E492">
            <v>1.02</v>
          </cell>
          <cell r="F492">
            <v>0.98</v>
          </cell>
          <cell r="G492">
            <v>1</v>
          </cell>
          <cell r="H492" t="str">
            <v>balance</v>
          </cell>
          <cell r="I492" t="str">
            <v>バランスタイプ</v>
          </cell>
          <cell r="J492">
            <v>1</v>
          </cell>
          <cell r="K492">
            <v>1</v>
          </cell>
          <cell r="L492">
            <v>1</v>
          </cell>
          <cell r="M492" t="str">
            <v>human</v>
          </cell>
          <cell r="N492" t="str">
            <v>ヒューマン</v>
          </cell>
          <cell r="O492">
            <v>0.94</v>
          </cell>
          <cell r="P492">
            <v>0.99</v>
          </cell>
          <cell r="Q492">
            <v>1</v>
          </cell>
          <cell r="R492" t="str">
            <v>Boss</v>
          </cell>
          <cell r="S492">
            <v>5</v>
          </cell>
          <cell r="T492">
            <v>1.3</v>
          </cell>
          <cell r="U492">
            <v>0.8</v>
          </cell>
          <cell r="V492">
            <v>3</v>
          </cell>
          <cell r="W492">
            <v>1</v>
          </cell>
          <cell r="X492">
            <v>60</v>
          </cell>
          <cell r="Y492">
            <v>1.7</v>
          </cell>
          <cell r="Z492">
            <v>1.4</v>
          </cell>
          <cell r="AA492">
            <v>1</v>
          </cell>
          <cell r="AB492">
            <v>0</v>
          </cell>
        </row>
        <row r="493">
          <cell r="A493">
            <v>492</v>
          </cell>
          <cell r="B493" t="str">
            <v>ブートレグ・ペロー</v>
          </cell>
          <cell r="C493">
            <v>4</v>
          </cell>
          <cell r="D493" t="str">
            <v>red</v>
          </cell>
          <cell r="E493">
            <v>1</v>
          </cell>
          <cell r="F493">
            <v>1.02</v>
          </cell>
          <cell r="G493">
            <v>1</v>
          </cell>
          <cell r="H493" t="str">
            <v>hp</v>
          </cell>
          <cell r="I493" t="str">
            <v>体力タイプ</v>
          </cell>
          <cell r="J493">
            <v>1.45</v>
          </cell>
          <cell r="K493">
            <v>0.85</v>
          </cell>
          <cell r="L493">
            <v>1</v>
          </cell>
          <cell r="M493" t="str">
            <v>animal</v>
          </cell>
          <cell r="N493" t="str">
            <v>アニマル</v>
          </cell>
          <cell r="O493">
            <v>1</v>
          </cell>
          <cell r="P493">
            <v>1.1000000000000001</v>
          </cell>
          <cell r="Q493">
            <v>1</v>
          </cell>
          <cell r="R493" t="str">
            <v>Boss</v>
          </cell>
          <cell r="S493">
            <v>5</v>
          </cell>
          <cell r="T493">
            <v>1.3</v>
          </cell>
          <cell r="U493">
            <v>0.8</v>
          </cell>
          <cell r="V493">
            <v>3</v>
          </cell>
          <cell r="W493">
            <v>1</v>
          </cell>
          <cell r="X493">
            <v>30</v>
          </cell>
          <cell r="Y493">
            <v>1.3</v>
          </cell>
          <cell r="Z493">
            <v>1.3</v>
          </cell>
          <cell r="AA493">
            <v>1.1000000000000001</v>
          </cell>
          <cell r="AB493">
            <v>0</v>
          </cell>
        </row>
        <row r="494">
          <cell r="A494">
            <v>493</v>
          </cell>
          <cell r="B494" t="str">
            <v>跋扈の機脚 ブートレグ・ペロー</v>
          </cell>
          <cell r="C494">
            <v>5</v>
          </cell>
          <cell r="D494" t="str">
            <v>red</v>
          </cell>
          <cell r="E494">
            <v>1</v>
          </cell>
          <cell r="F494">
            <v>1.02</v>
          </cell>
          <cell r="G494">
            <v>1</v>
          </cell>
          <cell r="H494" t="str">
            <v>hp</v>
          </cell>
          <cell r="I494" t="str">
            <v>体力タイプ</v>
          </cell>
          <cell r="J494">
            <v>1.45</v>
          </cell>
          <cell r="K494">
            <v>0.85</v>
          </cell>
          <cell r="L494">
            <v>1</v>
          </cell>
          <cell r="M494" t="str">
            <v>animal</v>
          </cell>
          <cell r="N494" t="str">
            <v>アニマル</v>
          </cell>
          <cell r="O494">
            <v>1</v>
          </cell>
          <cell r="P494">
            <v>1.1000000000000001</v>
          </cell>
          <cell r="Q494">
            <v>1</v>
          </cell>
          <cell r="R494" t="str">
            <v>Boss</v>
          </cell>
          <cell r="S494">
            <v>5</v>
          </cell>
          <cell r="T494">
            <v>1.3</v>
          </cell>
          <cell r="U494">
            <v>0.8</v>
          </cell>
          <cell r="V494">
            <v>3</v>
          </cell>
          <cell r="W494">
            <v>1</v>
          </cell>
          <cell r="X494">
            <v>60</v>
          </cell>
          <cell r="Y494">
            <v>1.7</v>
          </cell>
          <cell r="Z494">
            <v>1.4</v>
          </cell>
          <cell r="AA494">
            <v>1</v>
          </cell>
          <cell r="AB494">
            <v>0</v>
          </cell>
        </row>
        <row r="495">
          <cell r="A495">
            <v>494</v>
          </cell>
          <cell r="B495" t="str">
            <v>ハーメルン</v>
          </cell>
          <cell r="C495">
            <v>4</v>
          </cell>
          <cell r="D495" t="str">
            <v>green</v>
          </cell>
          <cell r="E495">
            <v>1.02</v>
          </cell>
          <cell r="F495">
            <v>0.98</v>
          </cell>
          <cell r="G495">
            <v>1</v>
          </cell>
          <cell r="H495" t="str">
            <v>technical</v>
          </cell>
          <cell r="I495" t="str">
            <v>テクニカルタイプ</v>
          </cell>
          <cell r="J495">
            <v>0.9</v>
          </cell>
          <cell r="K495">
            <v>0.9</v>
          </cell>
          <cell r="L495">
            <v>1</v>
          </cell>
          <cell r="M495" t="str">
            <v>human</v>
          </cell>
          <cell r="N495" t="str">
            <v>ヒューマン</v>
          </cell>
          <cell r="O495">
            <v>0.94</v>
          </cell>
          <cell r="P495">
            <v>0.99</v>
          </cell>
          <cell r="Q495">
            <v>1</v>
          </cell>
          <cell r="R495" t="str">
            <v>Boss</v>
          </cell>
          <cell r="S495">
            <v>5</v>
          </cell>
          <cell r="T495">
            <v>1.3</v>
          </cell>
          <cell r="U495">
            <v>0.8</v>
          </cell>
          <cell r="V495">
            <v>3</v>
          </cell>
          <cell r="W495">
            <v>1</v>
          </cell>
          <cell r="X495">
            <v>30</v>
          </cell>
          <cell r="Y495">
            <v>1.3</v>
          </cell>
          <cell r="Z495">
            <v>1.3</v>
          </cell>
          <cell r="AA495">
            <v>1.1000000000000001</v>
          </cell>
          <cell r="AB495">
            <v>0</v>
          </cell>
        </row>
        <row r="496">
          <cell r="A496">
            <v>495</v>
          </cell>
          <cell r="B496" t="str">
            <v>鼠災呼ぶ笛音 ハーメルン</v>
          </cell>
          <cell r="C496">
            <v>5</v>
          </cell>
          <cell r="D496" t="str">
            <v>green</v>
          </cell>
          <cell r="E496">
            <v>1.02</v>
          </cell>
          <cell r="F496">
            <v>0.98</v>
          </cell>
          <cell r="G496">
            <v>1</v>
          </cell>
          <cell r="H496" t="str">
            <v>technical</v>
          </cell>
          <cell r="I496" t="str">
            <v>テクニカルタイプ</v>
          </cell>
          <cell r="J496">
            <v>0.9</v>
          </cell>
          <cell r="K496">
            <v>0.9</v>
          </cell>
          <cell r="L496">
            <v>1</v>
          </cell>
          <cell r="M496" t="str">
            <v>human</v>
          </cell>
          <cell r="N496" t="str">
            <v>ヒューマン</v>
          </cell>
          <cell r="O496">
            <v>0.94</v>
          </cell>
          <cell r="P496">
            <v>0.99</v>
          </cell>
          <cell r="Q496">
            <v>1</v>
          </cell>
          <cell r="R496" t="str">
            <v>Boss</v>
          </cell>
          <cell r="S496">
            <v>5</v>
          </cell>
          <cell r="T496">
            <v>1.3</v>
          </cell>
          <cell r="U496">
            <v>0.8</v>
          </cell>
          <cell r="V496">
            <v>3</v>
          </cell>
          <cell r="W496">
            <v>1</v>
          </cell>
          <cell r="X496">
            <v>60</v>
          </cell>
          <cell r="Y496">
            <v>1.7</v>
          </cell>
          <cell r="Z496">
            <v>1.4</v>
          </cell>
          <cell r="AA496">
            <v>1</v>
          </cell>
          <cell r="AB496">
            <v>0</v>
          </cell>
        </row>
        <row r="497">
          <cell r="A497">
            <v>496</v>
          </cell>
          <cell r="B497" t="str">
            <v>エスタブ</v>
          </cell>
          <cell r="C497">
            <v>3</v>
          </cell>
          <cell r="D497" t="str">
            <v>blue</v>
          </cell>
          <cell r="E497">
            <v>1</v>
          </cell>
          <cell r="F497">
            <v>0.98</v>
          </cell>
          <cell r="G497">
            <v>1</v>
          </cell>
          <cell r="H497" t="str">
            <v>attack</v>
          </cell>
          <cell r="I497" t="str">
            <v>攻撃タイプ</v>
          </cell>
          <cell r="J497">
            <v>1</v>
          </cell>
          <cell r="K497">
            <v>1.33</v>
          </cell>
          <cell r="L497">
            <v>1</v>
          </cell>
          <cell r="M497" t="str">
            <v>human</v>
          </cell>
          <cell r="N497" t="str">
            <v>ヒューマン</v>
          </cell>
          <cell r="O497">
            <v>0.94</v>
          </cell>
          <cell r="P497">
            <v>0.99</v>
          </cell>
          <cell r="Q497">
            <v>1</v>
          </cell>
          <cell r="R497" t="str">
            <v>Boss</v>
          </cell>
          <cell r="S497">
            <v>5</v>
          </cell>
          <cell r="T497">
            <v>1.3</v>
          </cell>
          <cell r="U497">
            <v>0.8</v>
          </cell>
          <cell r="V497">
            <v>3</v>
          </cell>
          <cell r="W497">
            <v>1</v>
          </cell>
          <cell r="X497">
            <v>25</v>
          </cell>
          <cell r="Y497">
            <v>1.2</v>
          </cell>
          <cell r="Z497">
            <v>1.25</v>
          </cell>
          <cell r="AA497">
            <v>1.1499999999999999</v>
          </cell>
          <cell r="AB497">
            <v>0</v>
          </cell>
        </row>
        <row r="498">
          <cell r="A498">
            <v>497</v>
          </cell>
          <cell r="B498" t="str">
            <v>偏愛の野獣 エスタブ</v>
          </cell>
          <cell r="C498">
            <v>4</v>
          </cell>
          <cell r="D498" t="str">
            <v>blue</v>
          </cell>
          <cell r="E498">
            <v>1</v>
          </cell>
          <cell r="F498">
            <v>0.98</v>
          </cell>
          <cell r="G498">
            <v>1</v>
          </cell>
          <cell r="H498" t="str">
            <v>attack</v>
          </cell>
          <cell r="I498" t="str">
            <v>攻撃タイプ</v>
          </cell>
          <cell r="J498">
            <v>1</v>
          </cell>
          <cell r="K498">
            <v>1.33</v>
          </cell>
          <cell r="L498">
            <v>1</v>
          </cell>
          <cell r="M498" t="str">
            <v>human</v>
          </cell>
          <cell r="N498" t="str">
            <v>ヒューマン</v>
          </cell>
          <cell r="O498">
            <v>0.94</v>
          </cell>
          <cell r="P498">
            <v>0.99</v>
          </cell>
          <cell r="Q498">
            <v>1</v>
          </cell>
          <cell r="R498" t="str">
            <v>Boss</v>
          </cell>
          <cell r="S498">
            <v>5</v>
          </cell>
          <cell r="T498">
            <v>1.3</v>
          </cell>
          <cell r="U498">
            <v>0.8</v>
          </cell>
          <cell r="V498">
            <v>3</v>
          </cell>
          <cell r="W498">
            <v>1</v>
          </cell>
          <cell r="X498">
            <v>30</v>
          </cell>
          <cell r="Y498">
            <v>1.3</v>
          </cell>
          <cell r="Z498">
            <v>1.3</v>
          </cell>
          <cell r="AA498">
            <v>1.1000000000000001</v>
          </cell>
          <cell r="AB498">
            <v>0</v>
          </cell>
        </row>
        <row r="499">
          <cell r="A499">
            <v>498</v>
          </cell>
          <cell r="B499" t="str">
            <v>自愛の高魔 エスタブ</v>
          </cell>
          <cell r="C499">
            <v>5</v>
          </cell>
          <cell r="D499" t="str">
            <v>blue</v>
          </cell>
          <cell r="E499">
            <v>1</v>
          </cell>
          <cell r="F499">
            <v>0.98</v>
          </cell>
          <cell r="G499">
            <v>1</v>
          </cell>
          <cell r="H499" t="str">
            <v>attack</v>
          </cell>
          <cell r="I499" t="str">
            <v>攻撃タイプ</v>
          </cell>
          <cell r="J499">
            <v>1</v>
          </cell>
          <cell r="K499">
            <v>1.33</v>
          </cell>
          <cell r="L499">
            <v>1</v>
          </cell>
          <cell r="M499" t="str">
            <v>human</v>
          </cell>
          <cell r="N499" t="str">
            <v>ヒューマン</v>
          </cell>
          <cell r="O499">
            <v>0.94</v>
          </cell>
          <cell r="P499">
            <v>0.99</v>
          </cell>
          <cell r="Q499">
            <v>1</v>
          </cell>
          <cell r="R499" t="str">
            <v>Boss</v>
          </cell>
          <cell r="S499">
            <v>5</v>
          </cell>
          <cell r="T499">
            <v>1.3</v>
          </cell>
          <cell r="U499">
            <v>0.8</v>
          </cell>
          <cell r="V499">
            <v>3</v>
          </cell>
          <cell r="W499">
            <v>1</v>
          </cell>
          <cell r="X499">
            <v>60</v>
          </cell>
          <cell r="Y499">
            <v>1.7</v>
          </cell>
          <cell r="Z499">
            <v>1.4</v>
          </cell>
          <cell r="AA499">
            <v>1</v>
          </cell>
          <cell r="AB499">
            <v>0</v>
          </cell>
        </row>
        <row r="500">
          <cell r="A500">
            <v>499</v>
          </cell>
          <cell r="B500" t="str">
            <v>ラプンツェル</v>
          </cell>
          <cell r="C500">
            <v>4</v>
          </cell>
          <cell r="D500" t="str">
            <v>yellow</v>
          </cell>
          <cell r="E500">
            <v>0.98</v>
          </cell>
          <cell r="F500">
            <v>1.01</v>
          </cell>
          <cell r="G500">
            <v>1</v>
          </cell>
          <cell r="H500" t="str">
            <v>balance</v>
          </cell>
          <cell r="I500" t="str">
            <v>バランスタイプ</v>
          </cell>
          <cell r="J500">
            <v>1</v>
          </cell>
          <cell r="K500">
            <v>1</v>
          </cell>
          <cell r="L500">
            <v>1</v>
          </cell>
          <cell r="M500" t="str">
            <v>human</v>
          </cell>
          <cell r="N500" t="str">
            <v>ヒューマン</v>
          </cell>
          <cell r="O500">
            <v>0.94</v>
          </cell>
          <cell r="P500">
            <v>0.99</v>
          </cell>
          <cell r="Q500">
            <v>1</v>
          </cell>
          <cell r="R500" t="str">
            <v>Boss</v>
          </cell>
          <cell r="S500">
            <v>5</v>
          </cell>
          <cell r="T500">
            <v>1.3</v>
          </cell>
          <cell r="U500">
            <v>0.8</v>
          </cell>
          <cell r="V500">
            <v>3</v>
          </cell>
          <cell r="W500">
            <v>1</v>
          </cell>
          <cell r="X500">
            <v>30</v>
          </cell>
          <cell r="Y500">
            <v>1.3</v>
          </cell>
          <cell r="Z500">
            <v>1.3</v>
          </cell>
          <cell r="AA500">
            <v>1.1000000000000001</v>
          </cell>
          <cell r="AB500">
            <v>0</v>
          </cell>
        </row>
        <row r="501">
          <cell r="A501">
            <v>500</v>
          </cell>
          <cell r="B501" t="str">
            <v>脈動の禁髪 ラプンツェル</v>
          </cell>
          <cell r="C501">
            <v>5</v>
          </cell>
          <cell r="D501" t="str">
            <v>yellow</v>
          </cell>
          <cell r="E501">
            <v>0.98</v>
          </cell>
          <cell r="F501">
            <v>1.01</v>
          </cell>
          <cell r="G501">
            <v>1</v>
          </cell>
          <cell r="H501" t="str">
            <v>balance</v>
          </cell>
          <cell r="I501" t="str">
            <v>バランスタイプ</v>
          </cell>
          <cell r="J501">
            <v>1</v>
          </cell>
          <cell r="K501">
            <v>1</v>
          </cell>
          <cell r="L501">
            <v>1</v>
          </cell>
          <cell r="M501" t="str">
            <v>human</v>
          </cell>
          <cell r="N501" t="str">
            <v>ヒューマン</v>
          </cell>
          <cell r="O501">
            <v>0.94</v>
          </cell>
          <cell r="P501">
            <v>0.99</v>
          </cell>
          <cell r="Q501">
            <v>1</v>
          </cell>
          <cell r="R501" t="str">
            <v>Boss</v>
          </cell>
          <cell r="S501">
            <v>5</v>
          </cell>
          <cell r="T501">
            <v>1.3</v>
          </cell>
          <cell r="U501">
            <v>0.8</v>
          </cell>
          <cell r="V501">
            <v>3</v>
          </cell>
          <cell r="W501">
            <v>1</v>
          </cell>
          <cell r="X501">
            <v>60</v>
          </cell>
          <cell r="Y501">
            <v>1.7</v>
          </cell>
          <cell r="Z501">
            <v>1.4</v>
          </cell>
          <cell r="AA501">
            <v>1</v>
          </cell>
          <cell r="AB501">
            <v>0</v>
          </cell>
        </row>
        <row r="502">
          <cell r="A502">
            <v>501</v>
          </cell>
          <cell r="B502" t="str">
            <v>ラプンツェルじゃなくなった</v>
          </cell>
          <cell r="C502">
            <v>5</v>
          </cell>
          <cell r="D502" t="str">
            <v>yellow</v>
          </cell>
          <cell r="E502">
            <v>0.98</v>
          </cell>
          <cell r="F502">
            <v>1.01</v>
          </cell>
          <cell r="G502">
            <v>1</v>
          </cell>
          <cell r="H502" t="str">
            <v>balance</v>
          </cell>
          <cell r="I502" t="str">
            <v>バランスタイプ</v>
          </cell>
          <cell r="J502">
            <v>1</v>
          </cell>
          <cell r="K502">
            <v>1</v>
          </cell>
          <cell r="L502">
            <v>1</v>
          </cell>
          <cell r="M502" t="str">
            <v>human</v>
          </cell>
          <cell r="N502" t="str">
            <v>ヒューマン</v>
          </cell>
          <cell r="O502">
            <v>0.94</v>
          </cell>
          <cell r="P502">
            <v>0.99</v>
          </cell>
          <cell r="Q502">
            <v>1</v>
          </cell>
          <cell r="R502" t="str">
            <v>Boss</v>
          </cell>
          <cell r="S502">
            <v>5</v>
          </cell>
          <cell r="T502">
            <v>1.3</v>
          </cell>
          <cell r="U502">
            <v>0.8</v>
          </cell>
          <cell r="V502">
            <v>3</v>
          </cell>
          <cell r="W502">
            <v>1</v>
          </cell>
          <cell r="X502">
            <v>60</v>
          </cell>
          <cell r="Y502">
            <v>1.7</v>
          </cell>
          <cell r="Z502">
            <v>1.4</v>
          </cell>
          <cell r="AA502">
            <v>1</v>
          </cell>
          <cell r="AB502">
            <v>0</v>
          </cell>
        </row>
        <row r="503">
          <cell r="A503">
            <v>502</v>
          </cell>
          <cell r="B503" t="str">
            <v>テラベル</v>
          </cell>
          <cell r="C503">
            <v>4</v>
          </cell>
          <cell r="D503" t="str">
            <v>red</v>
          </cell>
          <cell r="E503">
            <v>1</v>
          </cell>
          <cell r="F503">
            <v>1.02</v>
          </cell>
          <cell r="G503">
            <v>1</v>
          </cell>
          <cell r="H503" t="str">
            <v>attack</v>
          </cell>
          <cell r="I503" t="str">
            <v>攻撃タイプ</v>
          </cell>
          <cell r="J503">
            <v>1</v>
          </cell>
          <cell r="K503">
            <v>1.33</v>
          </cell>
          <cell r="L503">
            <v>1</v>
          </cell>
          <cell r="M503" t="str">
            <v>human</v>
          </cell>
          <cell r="N503" t="str">
            <v>ヒューマン</v>
          </cell>
          <cell r="O503">
            <v>0.94</v>
          </cell>
          <cell r="P503">
            <v>0.99</v>
          </cell>
          <cell r="Q503">
            <v>1</v>
          </cell>
          <cell r="R503" t="str">
            <v>Boss</v>
          </cell>
          <cell r="S503">
            <v>5</v>
          </cell>
          <cell r="T503">
            <v>1.3</v>
          </cell>
          <cell r="U503">
            <v>0.8</v>
          </cell>
          <cell r="V503">
            <v>3</v>
          </cell>
          <cell r="W503">
            <v>1</v>
          </cell>
          <cell r="X503">
            <v>30</v>
          </cell>
          <cell r="Y503">
            <v>1.3</v>
          </cell>
          <cell r="Z503">
            <v>1.3</v>
          </cell>
          <cell r="AA503">
            <v>1.1000000000000001</v>
          </cell>
          <cell r="AB503">
            <v>0</v>
          </cell>
        </row>
        <row r="504">
          <cell r="A504">
            <v>503</v>
          </cell>
          <cell r="B504" t="str">
            <v>破獣の爆姫 テラベル</v>
          </cell>
          <cell r="C504">
            <v>5</v>
          </cell>
          <cell r="D504" t="str">
            <v>red</v>
          </cell>
          <cell r="E504">
            <v>1</v>
          </cell>
          <cell r="F504">
            <v>1.02</v>
          </cell>
          <cell r="G504">
            <v>1</v>
          </cell>
          <cell r="H504" t="str">
            <v>attack</v>
          </cell>
          <cell r="I504" t="str">
            <v>攻撃タイプ</v>
          </cell>
          <cell r="J504">
            <v>1</v>
          </cell>
          <cell r="K504">
            <v>1.33</v>
          </cell>
          <cell r="L504">
            <v>1</v>
          </cell>
          <cell r="M504" t="str">
            <v>human</v>
          </cell>
          <cell r="N504" t="str">
            <v>ヒューマン</v>
          </cell>
          <cell r="O504">
            <v>0.94</v>
          </cell>
          <cell r="P504">
            <v>0.99</v>
          </cell>
          <cell r="Q504">
            <v>1</v>
          </cell>
          <cell r="R504" t="str">
            <v>Boss</v>
          </cell>
          <cell r="S504">
            <v>5</v>
          </cell>
          <cell r="T504">
            <v>1.3</v>
          </cell>
          <cell r="U504">
            <v>0.8</v>
          </cell>
          <cell r="V504">
            <v>3</v>
          </cell>
          <cell r="W504">
            <v>1</v>
          </cell>
          <cell r="X504">
            <v>60</v>
          </cell>
          <cell r="Y504">
            <v>1.7</v>
          </cell>
          <cell r="Z504">
            <v>1.4</v>
          </cell>
          <cell r="AA504">
            <v>1</v>
          </cell>
          <cell r="AB504">
            <v>0</v>
          </cell>
        </row>
        <row r="505">
          <cell r="A505">
            <v>504</v>
          </cell>
          <cell r="B505" t="str">
            <v>ハイディン・オーガ</v>
          </cell>
          <cell r="C505">
            <v>4</v>
          </cell>
          <cell r="D505" t="str">
            <v>green</v>
          </cell>
          <cell r="E505">
            <v>1.02</v>
          </cell>
          <cell r="F505">
            <v>0.98</v>
          </cell>
          <cell r="G505">
            <v>1</v>
          </cell>
          <cell r="H505" t="str">
            <v>attack</v>
          </cell>
          <cell r="I505" t="str">
            <v>攻撃タイプ</v>
          </cell>
          <cell r="J505">
            <v>1</v>
          </cell>
          <cell r="K505">
            <v>1.33</v>
          </cell>
          <cell r="L505">
            <v>1</v>
          </cell>
          <cell r="M505" t="str">
            <v>animal</v>
          </cell>
          <cell r="N505" t="str">
            <v>アニマル</v>
          </cell>
          <cell r="O505">
            <v>1</v>
          </cell>
          <cell r="P505">
            <v>1.1000000000000001</v>
          </cell>
          <cell r="Q505">
            <v>1</v>
          </cell>
          <cell r="R505" t="str">
            <v>Boss</v>
          </cell>
          <cell r="S505">
            <v>5</v>
          </cell>
          <cell r="T505">
            <v>1.3</v>
          </cell>
          <cell r="U505">
            <v>0.8</v>
          </cell>
          <cell r="V505">
            <v>3</v>
          </cell>
          <cell r="W505">
            <v>1</v>
          </cell>
          <cell r="X505">
            <v>30</v>
          </cell>
          <cell r="Y505">
            <v>1.3</v>
          </cell>
          <cell r="Z505">
            <v>1.3</v>
          </cell>
          <cell r="AA505">
            <v>1.1000000000000001</v>
          </cell>
          <cell r="AB505">
            <v>0</v>
          </cell>
        </row>
        <row r="506">
          <cell r="A506">
            <v>505</v>
          </cell>
          <cell r="B506" t="str">
            <v>暴虐の漏洩 ハイディン・オーガ</v>
          </cell>
          <cell r="C506">
            <v>5</v>
          </cell>
          <cell r="D506" t="str">
            <v>green</v>
          </cell>
          <cell r="E506">
            <v>1.02</v>
          </cell>
          <cell r="F506">
            <v>0.98</v>
          </cell>
          <cell r="G506">
            <v>1</v>
          </cell>
          <cell r="H506" t="str">
            <v>attack</v>
          </cell>
          <cell r="I506" t="str">
            <v>攻撃タイプ</v>
          </cell>
          <cell r="J506">
            <v>1</v>
          </cell>
          <cell r="K506">
            <v>1.33</v>
          </cell>
          <cell r="L506">
            <v>1</v>
          </cell>
          <cell r="M506" t="str">
            <v>animal</v>
          </cell>
          <cell r="N506" t="str">
            <v>アニマル</v>
          </cell>
          <cell r="O506">
            <v>1</v>
          </cell>
          <cell r="P506">
            <v>1.1000000000000001</v>
          </cell>
          <cell r="Q506">
            <v>1</v>
          </cell>
          <cell r="R506" t="str">
            <v>Boss</v>
          </cell>
          <cell r="S506">
            <v>5</v>
          </cell>
          <cell r="T506">
            <v>1.3</v>
          </cell>
          <cell r="U506">
            <v>0.8</v>
          </cell>
          <cell r="V506">
            <v>3</v>
          </cell>
          <cell r="W506">
            <v>1</v>
          </cell>
          <cell r="X506">
            <v>60</v>
          </cell>
          <cell r="Y506">
            <v>1.7</v>
          </cell>
          <cell r="Z506">
            <v>1.4</v>
          </cell>
          <cell r="AA506">
            <v>1</v>
          </cell>
          <cell r="AB506">
            <v>0</v>
          </cell>
        </row>
        <row r="507">
          <cell r="A507">
            <v>506</v>
          </cell>
          <cell r="B507" t="str">
            <v>ゴーテル</v>
          </cell>
          <cell r="C507">
            <v>4</v>
          </cell>
          <cell r="D507" t="str">
            <v>blue</v>
          </cell>
          <cell r="E507">
            <v>1</v>
          </cell>
          <cell r="F507">
            <v>0.98</v>
          </cell>
          <cell r="G507">
            <v>1</v>
          </cell>
          <cell r="H507" t="str">
            <v>technical</v>
          </cell>
          <cell r="I507" t="str">
            <v>テクニカルタイプ</v>
          </cell>
          <cell r="J507">
            <v>1</v>
          </cell>
          <cell r="K507">
            <v>1.33</v>
          </cell>
          <cell r="L507">
            <v>1</v>
          </cell>
          <cell r="M507" t="str">
            <v>human</v>
          </cell>
          <cell r="N507" t="str">
            <v>ヒューマン</v>
          </cell>
          <cell r="O507">
            <v>0.94</v>
          </cell>
          <cell r="P507">
            <v>0.99</v>
          </cell>
          <cell r="Q507">
            <v>1</v>
          </cell>
          <cell r="R507" t="str">
            <v>Boss</v>
          </cell>
          <cell r="S507">
            <v>5</v>
          </cell>
          <cell r="T507">
            <v>1.3</v>
          </cell>
          <cell r="U507">
            <v>0.8</v>
          </cell>
          <cell r="V507">
            <v>3</v>
          </cell>
          <cell r="W507">
            <v>1</v>
          </cell>
          <cell r="X507">
            <v>30</v>
          </cell>
          <cell r="Y507">
            <v>1.3</v>
          </cell>
          <cell r="Z507">
            <v>1.3</v>
          </cell>
          <cell r="AA507">
            <v>1.1000000000000001</v>
          </cell>
          <cell r="AB507">
            <v>0</v>
          </cell>
        </row>
        <row r="508">
          <cell r="A508">
            <v>507</v>
          </cell>
          <cell r="B508" t="str">
            <v>過保護な幽閉者 ゴーテル</v>
          </cell>
          <cell r="C508">
            <v>5</v>
          </cell>
          <cell r="D508" t="str">
            <v>blue</v>
          </cell>
          <cell r="E508">
            <v>1</v>
          </cell>
          <cell r="F508">
            <v>0.98</v>
          </cell>
          <cell r="G508">
            <v>1</v>
          </cell>
          <cell r="H508" t="str">
            <v>technical</v>
          </cell>
          <cell r="I508" t="str">
            <v>テクニカルタイプ</v>
          </cell>
          <cell r="J508">
            <v>1</v>
          </cell>
          <cell r="K508">
            <v>1.33</v>
          </cell>
          <cell r="L508">
            <v>1</v>
          </cell>
          <cell r="M508" t="str">
            <v>human</v>
          </cell>
          <cell r="N508" t="str">
            <v>ヒューマン</v>
          </cell>
          <cell r="O508">
            <v>0.94</v>
          </cell>
          <cell r="P508">
            <v>0.99</v>
          </cell>
          <cell r="Q508">
            <v>1</v>
          </cell>
          <cell r="R508" t="str">
            <v>Boss</v>
          </cell>
          <cell r="S508">
            <v>5</v>
          </cell>
          <cell r="T508">
            <v>1.3</v>
          </cell>
          <cell r="U508">
            <v>0.8</v>
          </cell>
          <cell r="V508">
            <v>3</v>
          </cell>
          <cell r="W508">
            <v>1</v>
          </cell>
          <cell r="X508">
            <v>60</v>
          </cell>
          <cell r="Y508">
            <v>1.7</v>
          </cell>
          <cell r="Z508">
            <v>1.4</v>
          </cell>
          <cell r="AA508">
            <v>1</v>
          </cell>
          <cell r="AB508">
            <v>0</v>
          </cell>
        </row>
        <row r="509">
          <cell r="A509">
            <v>508</v>
          </cell>
          <cell r="B509" t="str">
            <v>Gスター・チルドレン</v>
          </cell>
          <cell r="C509">
            <v>4</v>
          </cell>
          <cell r="D509" t="str">
            <v>yellow</v>
          </cell>
          <cell r="E509">
            <v>0.98</v>
          </cell>
          <cell r="F509">
            <v>1.01</v>
          </cell>
          <cell r="G509">
            <v>1</v>
          </cell>
          <cell r="H509" t="str">
            <v>hp</v>
          </cell>
          <cell r="I509" t="str">
            <v>体力タイプ</v>
          </cell>
          <cell r="J509">
            <v>1</v>
          </cell>
          <cell r="K509">
            <v>1.33</v>
          </cell>
          <cell r="L509">
            <v>1</v>
          </cell>
          <cell r="M509" t="str">
            <v>unknown</v>
          </cell>
          <cell r="N509" t="str">
            <v>Unknown</v>
          </cell>
          <cell r="O509">
            <v>0.94</v>
          </cell>
          <cell r="P509">
            <v>0.99</v>
          </cell>
          <cell r="Q509">
            <v>1</v>
          </cell>
          <cell r="R509" t="str">
            <v>Boss</v>
          </cell>
          <cell r="S509">
            <v>5</v>
          </cell>
          <cell r="T509">
            <v>1.3</v>
          </cell>
          <cell r="U509">
            <v>0.8</v>
          </cell>
          <cell r="V509">
            <v>3</v>
          </cell>
          <cell r="W509">
            <v>1</v>
          </cell>
          <cell r="X509">
            <v>30</v>
          </cell>
          <cell r="Y509">
            <v>1.3</v>
          </cell>
          <cell r="Z509">
            <v>1.3</v>
          </cell>
          <cell r="AA509">
            <v>1.1000000000000001</v>
          </cell>
          <cell r="AB509">
            <v>0</v>
          </cell>
        </row>
        <row r="510">
          <cell r="A510">
            <v>509</v>
          </cell>
          <cell r="B510" t="str">
            <v>純粋悪意 Gスター・チルドレン</v>
          </cell>
          <cell r="C510">
            <v>5</v>
          </cell>
          <cell r="D510" t="str">
            <v>yellow</v>
          </cell>
          <cell r="E510">
            <v>0.98</v>
          </cell>
          <cell r="F510">
            <v>1.01</v>
          </cell>
          <cell r="G510">
            <v>1</v>
          </cell>
          <cell r="H510" t="str">
            <v>hp</v>
          </cell>
          <cell r="I510" t="str">
            <v>体力タイプ</v>
          </cell>
          <cell r="J510">
            <v>1</v>
          </cell>
          <cell r="K510">
            <v>1.33</v>
          </cell>
          <cell r="L510">
            <v>1</v>
          </cell>
          <cell r="M510" t="str">
            <v>unknown</v>
          </cell>
          <cell r="N510" t="str">
            <v>Unknown</v>
          </cell>
          <cell r="O510">
            <v>0.94</v>
          </cell>
          <cell r="P510">
            <v>0.99</v>
          </cell>
          <cell r="Q510">
            <v>1</v>
          </cell>
          <cell r="R510" t="str">
            <v>Boss</v>
          </cell>
          <cell r="S510">
            <v>5</v>
          </cell>
          <cell r="T510">
            <v>1.3</v>
          </cell>
          <cell r="U510">
            <v>0.8</v>
          </cell>
          <cell r="V510">
            <v>3</v>
          </cell>
          <cell r="W510">
            <v>1</v>
          </cell>
          <cell r="X510">
            <v>60</v>
          </cell>
          <cell r="Y510">
            <v>1.7</v>
          </cell>
          <cell r="Z510">
            <v>1.4</v>
          </cell>
          <cell r="AA510">
            <v>1</v>
          </cell>
          <cell r="AB510">
            <v>0</v>
          </cell>
        </row>
        <row r="511">
          <cell r="A511">
            <v>510</v>
          </cell>
          <cell r="B511" t="str">
            <v>燃えさかる豪息 ヒュウガ</v>
          </cell>
          <cell r="C511">
            <v>4</v>
          </cell>
          <cell r="D511" t="str">
            <v>red</v>
          </cell>
          <cell r="E511">
            <v>1</v>
          </cell>
          <cell r="F511">
            <v>1.02</v>
          </cell>
          <cell r="G511">
            <v>1</v>
          </cell>
          <cell r="H511" t="str">
            <v>attack</v>
          </cell>
          <cell r="I511" t="str">
            <v>攻撃タイプ</v>
          </cell>
          <cell r="J511">
            <v>1</v>
          </cell>
          <cell r="K511">
            <v>1.33</v>
          </cell>
          <cell r="L511">
            <v>1</v>
          </cell>
          <cell r="M511" t="str">
            <v>dragon</v>
          </cell>
          <cell r="N511" t="str">
            <v>ドラゴン</v>
          </cell>
          <cell r="O511">
            <v>1.1499999999999999</v>
          </cell>
          <cell r="P511">
            <v>1.1000000000000001</v>
          </cell>
          <cell r="Q511">
            <v>1</v>
          </cell>
          <cell r="R511" t="str">
            <v>Boss</v>
          </cell>
          <cell r="S511">
            <v>5</v>
          </cell>
          <cell r="T511">
            <v>1.3</v>
          </cell>
          <cell r="U511">
            <v>0.8</v>
          </cell>
          <cell r="V511">
            <v>3</v>
          </cell>
          <cell r="W511">
            <v>1</v>
          </cell>
          <cell r="X511">
            <v>30</v>
          </cell>
          <cell r="Y511">
            <v>1.3</v>
          </cell>
          <cell r="Z511">
            <v>1.3</v>
          </cell>
          <cell r="AA511">
            <v>1.1000000000000001</v>
          </cell>
          <cell r="AB511">
            <v>0</v>
          </cell>
        </row>
        <row r="512">
          <cell r="A512">
            <v>511</v>
          </cell>
          <cell r="B512" t="str">
            <v>灼き尽くす紅息 ヒュウガ・レアル</v>
          </cell>
          <cell r="C512">
            <v>5</v>
          </cell>
          <cell r="D512" t="str">
            <v>red</v>
          </cell>
          <cell r="E512">
            <v>1</v>
          </cell>
          <cell r="F512">
            <v>1.02</v>
          </cell>
          <cell r="G512">
            <v>1</v>
          </cell>
          <cell r="H512" t="str">
            <v>attack</v>
          </cell>
          <cell r="I512" t="str">
            <v>攻撃タイプ</v>
          </cell>
          <cell r="J512">
            <v>1</v>
          </cell>
          <cell r="K512">
            <v>1.33</v>
          </cell>
          <cell r="L512">
            <v>1</v>
          </cell>
          <cell r="M512" t="str">
            <v>dragon</v>
          </cell>
          <cell r="N512" t="str">
            <v>ドラゴン</v>
          </cell>
          <cell r="O512">
            <v>1.1499999999999999</v>
          </cell>
          <cell r="P512">
            <v>1.1000000000000001</v>
          </cell>
          <cell r="Q512">
            <v>1</v>
          </cell>
          <cell r="R512" t="str">
            <v>Boss</v>
          </cell>
          <cell r="S512">
            <v>5</v>
          </cell>
          <cell r="T512">
            <v>1.3</v>
          </cell>
          <cell r="U512">
            <v>0.8</v>
          </cell>
          <cell r="V512">
            <v>3</v>
          </cell>
          <cell r="W512">
            <v>1</v>
          </cell>
          <cell r="X512">
            <v>60</v>
          </cell>
          <cell r="Y512">
            <v>1.7</v>
          </cell>
          <cell r="Z512">
            <v>1.4</v>
          </cell>
          <cell r="AA512">
            <v>1</v>
          </cell>
          <cell r="AB512">
            <v>0</v>
          </cell>
        </row>
        <row r="513">
          <cell r="A513">
            <v>512</v>
          </cell>
          <cell r="B513" t="str">
            <v>聖火の逆徒 クリスマス・ベリアル</v>
          </cell>
          <cell r="C513">
            <v>4</v>
          </cell>
          <cell r="D513" t="str">
            <v>red</v>
          </cell>
          <cell r="E513">
            <v>1</v>
          </cell>
          <cell r="F513">
            <v>1.02</v>
          </cell>
          <cell r="G513">
            <v>1</v>
          </cell>
          <cell r="H513" t="str">
            <v>attack</v>
          </cell>
          <cell r="I513" t="str">
            <v>攻撃タイプ</v>
          </cell>
          <cell r="J513">
            <v>1</v>
          </cell>
          <cell r="K513">
            <v>1.33</v>
          </cell>
          <cell r="L513">
            <v>1</v>
          </cell>
          <cell r="M513" t="str">
            <v>god</v>
          </cell>
          <cell r="N513" t="str">
            <v>ゴッド</v>
          </cell>
          <cell r="O513">
            <v>0.96</v>
          </cell>
          <cell r="P513">
            <v>1.02</v>
          </cell>
          <cell r="Q513">
            <v>1</v>
          </cell>
          <cell r="R513" t="str">
            <v>Boss</v>
          </cell>
          <cell r="S513">
            <v>5</v>
          </cell>
          <cell r="T513">
            <v>1.3</v>
          </cell>
          <cell r="U513">
            <v>0.8</v>
          </cell>
          <cell r="V513">
            <v>3</v>
          </cell>
          <cell r="W513">
            <v>1</v>
          </cell>
          <cell r="X513">
            <v>30</v>
          </cell>
          <cell r="Y513">
            <v>1.3</v>
          </cell>
          <cell r="Z513">
            <v>1.3</v>
          </cell>
          <cell r="AA513">
            <v>1.1000000000000001</v>
          </cell>
          <cell r="AB513">
            <v>0</v>
          </cell>
        </row>
        <row r="514">
          <cell r="A514">
            <v>513</v>
          </cell>
          <cell r="B514" t="str">
            <v>爆進の荷炎 クリスマス・ベリアル</v>
          </cell>
          <cell r="C514">
            <v>5</v>
          </cell>
          <cell r="D514" t="str">
            <v>red</v>
          </cell>
          <cell r="E514">
            <v>1</v>
          </cell>
          <cell r="F514">
            <v>1.02</v>
          </cell>
          <cell r="G514">
            <v>1</v>
          </cell>
          <cell r="H514" t="str">
            <v>attack</v>
          </cell>
          <cell r="I514" t="str">
            <v>攻撃タイプ</v>
          </cell>
          <cell r="J514">
            <v>1</v>
          </cell>
          <cell r="K514">
            <v>1.33</v>
          </cell>
          <cell r="L514">
            <v>1</v>
          </cell>
          <cell r="M514" t="str">
            <v>god</v>
          </cell>
          <cell r="N514" t="str">
            <v>ゴッド</v>
          </cell>
          <cell r="O514">
            <v>0.96</v>
          </cell>
          <cell r="P514">
            <v>1.02</v>
          </cell>
          <cell r="Q514">
            <v>1</v>
          </cell>
          <cell r="R514" t="str">
            <v>Boss</v>
          </cell>
          <cell r="S514">
            <v>5</v>
          </cell>
          <cell r="T514">
            <v>1.3</v>
          </cell>
          <cell r="U514">
            <v>0.8</v>
          </cell>
          <cell r="V514">
            <v>3</v>
          </cell>
          <cell r="W514">
            <v>1</v>
          </cell>
          <cell r="X514">
            <v>60</v>
          </cell>
          <cell r="Y514">
            <v>1.7</v>
          </cell>
          <cell r="Z514">
            <v>1.4</v>
          </cell>
          <cell r="AA514">
            <v>1</v>
          </cell>
          <cell r="AB514">
            <v>0</v>
          </cell>
        </row>
        <row r="515">
          <cell r="A515">
            <v>514</v>
          </cell>
          <cell r="B515" t="str">
            <v>祝宴の識徒 サンタクロース・オセ</v>
          </cell>
          <cell r="C515">
            <v>4</v>
          </cell>
          <cell r="D515" t="str">
            <v>green</v>
          </cell>
          <cell r="E515">
            <v>1.02</v>
          </cell>
          <cell r="F515">
            <v>0.98</v>
          </cell>
          <cell r="G515">
            <v>1</v>
          </cell>
          <cell r="H515" t="str">
            <v>attack</v>
          </cell>
          <cell r="I515" t="str">
            <v>攻撃タイプ</v>
          </cell>
          <cell r="J515">
            <v>1</v>
          </cell>
          <cell r="K515">
            <v>1.33</v>
          </cell>
          <cell r="L515">
            <v>1</v>
          </cell>
          <cell r="M515" t="str">
            <v>god</v>
          </cell>
          <cell r="N515" t="str">
            <v>ゴッド</v>
          </cell>
          <cell r="O515">
            <v>0.96</v>
          </cell>
          <cell r="P515">
            <v>1.02</v>
          </cell>
          <cell r="Q515">
            <v>1</v>
          </cell>
          <cell r="R515" t="str">
            <v>Boss</v>
          </cell>
          <cell r="S515">
            <v>5</v>
          </cell>
          <cell r="T515">
            <v>1.3</v>
          </cell>
          <cell r="U515">
            <v>0.8</v>
          </cell>
          <cell r="V515">
            <v>3</v>
          </cell>
          <cell r="W515">
            <v>1</v>
          </cell>
          <cell r="X515">
            <v>30</v>
          </cell>
          <cell r="Y515">
            <v>1.3</v>
          </cell>
          <cell r="Z515">
            <v>1.3</v>
          </cell>
          <cell r="AA515">
            <v>1.1000000000000001</v>
          </cell>
          <cell r="AB515">
            <v>0</v>
          </cell>
        </row>
        <row r="516">
          <cell r="A516">
            <v>515</v>
          </cell>
          <cell r="B516" t="str">
            <v>聖夜の贈主 サンタクロース・オセ</v>
          </cell>
          <cell r="C516">
            <v>5</v>
          </cell>
          <cell r="D516" t="str">
            <v>green</v>
          </cell>
          <cell r="E516">
            <v>1.02</v>
          </cell>
          <cell r="F516">
            <v>0.98</v>
          </cell>
          <cell r="G516">
            <v>1</v>
          </cell>
          <cell r="H516" t="str">
            <v>attack</v>
          </cell>
          <cell r="I516" t="str">
            <v>攻撃タイプ</v>
          </cell>
          <cell r="J516">
            <v>1</v>
          </cell>
          <cell r="K516">
            <v>1.33</v>
          </cell>
          <cell r="L516">
            <v>1</v>
          </cell>
          <cell r="M516" t="str">
            <v>god</v>
          </cell>
          <cell r="N516" t="str">
            <v>ゴッド</v>
          </cell>
          <cell r="O516">
            <v>0.96</v>
          </cell>
          <cell r="P516">
            <v>1.02</v>
          </cell>
          <cell r="Q516">
            <v>1</v>
          </cell>
          <cell r="R516" t="str">
            <v>Boss</v>
          </cell>
          <cell r="S516">
            <v>5</v>
          </cell>
          <cell r="T516">
            <v>1.3</v>
          </cell>
          <cell r="U516">
            <v>0.8</v>
          </cell>
          <cell r="V516">
            <v>3</v>
          </cell>
          <cell r="W516">
            <v>1</v>
          </cell>
          <cell r="X516">
            <v>60</v>
          </cell>
          <cell r="Y516">
            <v>1.7</v>
          </cell>
          <cell r="Z516">
            <v>1.4</v>
          </cell>
          <cell r="AA516">
            <v>1</v>
          </cell>
          <cell r="AB516">
            <v>0</v>
          </cell>
        </row>
        <row r="517">
          <cell r="A517">
            <v>516</v>
          </cell>
          <cell r="B517" t="str">
            <v>聖母 マリア</v>
          </cell>
          <cell r="C517">
            <v>4</v>
          </cell>
          <cell r="D517" t="str">
            <v>blue</v>
          </cell>
          <cell r="E517">
            <v>1</v>
          </cell>
          <cell r="F517">
            <v>0.98</v>
          </cell>
          <cell r="G517">
            <v>1</v>
          </cell>
          <cell r="H517" t="str">
            <v>heal</v>
          </cell>
          <cell r="I517" t="str">
            <v>回復タイプ</v>
          </cell>
          <cell r="J517">
            <v>0.8</v>
          </cell>
          <cell r="K517">
            <v>0.78</v>
          </cell>
          <cell r="L517">
            <v>1</v>
          </cell>
          <cell r="M517" t="str">
            <v>human</v>
          </cell>
          <cell r="N517" t="str">
            <v>ヒューマン</v>
          </cell>
          <cell r="O517">
            <v>0.94</v>
          </cell>
          <cell r="P517">
            <v>0.99</v>
          </cell>
          <cell r="Q517">
            <v>1</v>
          </cell>
          <cell r="R517" t="str">
            <v>Boss</v>
          </cell>
          <cell r="S517">
            <v>5</v>
          </cell>
          <cell r="T517">
            <v>1.3</v>
          </cell>
          <cell r="U517">
            <v>0.8</v>
          </cell>
          <cell r="V517">
            <v>3</v>
          </cell>
          <cell r="W517">
            <v>1</v>
          </cell>
          <cell r="X517">
            <v>30</v>
          </cell>
          <cell r="Y517">
            <v>1.3</v>
          </cell>
          <cell r="Z517">
            <v>1.3</v>
          </cell>
          <cell r="AA517">
            <v>1.1000000000000001</v>
          </cell>
          <cell r="AB517">
            <v>0</v>
          </cell>
        </row>
        <row r="518">
          <cell r="A518">
            <v>517</v>
          </cell>
          <cell r="B518" t="str">
            <v>真冬の誕生祭 マリア</v>
          </cell>
          <cell r="C518">
            <v>5</v>
          </cell>
          <cell r="D518" t="str">
            <v>blue</v>
          </cell>
          <cell r="E518">
            <v>1</v>
          </cell>
          <cell r="F518">
            <v>0.98</v>
          </cell>
          <cell r="G518">
            <v>1</v>
          </cell>
          <cell r="H518" t="str">
            <v>heal</v>
          </cell>
          <cell r="I518" t="str">
            <v>回復タイプ</v>
          </cell>
          <cell r="J518">
            <v>0.8</v>
          </cell>
          <cell r="K518">
            <v>0.78</v>
          </cell>
          <cell r="L518">
            <v>1</v>
          </cell>
          <cell r="M518" t="str">
            <v>human</v>
          </cell>
          <cell r="N518" t="str">
            <v>ヒューマン</v>
          </cell>
          <cell r="O518">
            <v>0.94</v>
          </cell>
          <cell r="P518">
            <v>0.99</v>
          </cell>
          <cell r="Q518">
            <v>1</v>
          </cell>
          <cell r="R518" t="str">
            <v>Boss</v>
          </cell>
          <cell r="S518">
            <v>5</v>
          </cell>
          <cell r="T518">
            <v>1.3</v>
          </cell>
          <cell r="U518">
            <v>0.8</v>
          </cell>
          <cell r="V518">
            <v>3</v>
          </cell>
          <cell r="W518">
            <v>1</v>
          </cell>
          <cell r="X518">
            <v>60</v>
          </cell>
          <cell r="Y518">
            <v>1.7</v>
          </cell>
          <cell r="Z518">
            <v>1.4</v>
          </cell>
          <cell r="AA518">
            <v>1</v>
          </cell>
          <cell r="AB518">
            <v>0</v>
          </cell>
        </row>
        <row r="519">
          <cell r="A519">
            <v>518</v>
          </cell>
          <cell r="B519" t="str">
            <v>秘来の聖天使 ミカエル</v>
          </cell>
          <cell r="C519">
            <v>4</v>
          </cell>
          <cell r="D519" t="str">
            <v>yellow</v>
          </cell>
          <cell r="E519">
            <v>0.98</v>
          </cell>
          <cell r="F519">
            <v>1.01</v>
          </cell>
          <cell r="G519">
            <v>1</v>
          </cell>
          <cell r="H519" t="str">
            <v>attack</v>
          </cell>
          <cell r="I519" t="str">
            <v>攻撃タイプ</v>
          </cell>
          <cell r="J519">
            <v>1</v>
          </cell>
          <cell r="K519">
            <v>1.33</v>
          </cell>
          <cell r="L519">
            <v>1</v>
          </cell>
          <cell r="M519" t="str">
            <v>god</v>
          </cell>
          <cell r="N519" t="str">
            <v>ゴッド</v>
          </cell>
          <cell r="O519">
            <v>0.96</v>
          </cell>
          <cell r="P519">
            <v>1.02</v>
          </cell>
          <cell r="Q519">
            <v>1</v>
          </cell>
          <cell r="R519" t="str">
            <v>Boss</v>
          </cell>
          <cell r="S519">
            <v>5</v>
          </cell>
          <cell r="T519">
            <v>1.3</v>
          </cell>
          <cell r="U519">
            <v>0.8</v>
          </cell>
          <cell r="V519">
            <v>3</v>
          </cell>
          <cell r="W519">
            <v>1</v>
          </cell>
          <cell r="X519">
            <v>30</v>
          </cell>
          <cell r="Y519">
            <v>1.3</v>
          </cell>
          <cell r="Z519">
            <v>1.3</v>
          </cell>
          <cell r="AA519">
            <v>1.1000000000000001</v>
          </cell>
          <cell r="AB519">
            <v>0</v>
          </cell>
        </row>
        <row r="520">
          <cell r="A520">
            <v>519</v>
          </cell>
          <cell r="B520" t="str">
            <v>夜天の聖天使 ミカエル・ハレルヤ</v>
          </cell>
          <cell r="C520">
            <v>5</v>
          </cell>
          <cell r="D520" t="str">
            <v>yellow</v>
          </cell>
          <cell r="E520">
            <v>0.98</v>
          </cell>
          <cell r="F520">
            <v>1.01</v>
          </cell>
          <cell r="G520">
            <v>1</v>
          </cell>
          <cell r="H520" t="str">
            <v>attack</v>
          </cell>
          <cell r="I520" t="str">
            <v>攻撃タイプ</v>
          </cell>
          <cell r="J520">
            <v>1</v>
          </cell>
          <cell r="K520">
            <v>1.33</v>
          </cell>
          <cell r="L520">
            <v>1</v>
          </cell>
          <cell r="M520" t="str">
            <v>god</v>
          </cell>
          <cell r="N520" t="str">
            <v>ゴッド</v>
          </cell>
          <cell r="O520">
            <v>0.96</v>
          </cell>
          <cell r="P520">
            <v>1.02</v>
          </cell>
          <cell r="Q520">
            <v>1</v>
          </cell>
          <cell r="R520" t="str">
            <v>Boss</v>
          </cell>
          <cell r="S520">
            <v>5</v>
          </cell>
          <cell r="T520">
            <v>1.3</v>
          </cell>
          <cell r="U520">
            <v>0.8</v>
          </cell>
          <cell r="V520">
            <v>3</v>
          </cell>
          <cell r="W520">
            <v>1</v>
          </cell>
          <cell r="X520">
            <v>60</v>
          </cell>
          <cell r="Y520">
            <v>1.7</v>
          </cell>
          <cell r="Z520">
            <v>1.4</v>
          </cell>
          <cell r="AA520">
            <v>1</v>
          </cell>
          <cell r="AB520">
            <v>0</v>
          </cell>
        </row>
        <row r="521">
          <cell r="A521">
            <v>520</v>
          </cell>
          <cell r="B521" t="str">
            <v>炎のサンタダック</v>
          </cell>
          <cell r="C521">
            <v>5</v>
          </cell>
          <cell r="D521" t="str">
            <v>red</v>
          </cell>
          <cell r="E521">
            <v>1</v>
          </cell>
          <cell r="F521">
            <v>1.02</v>
          </cell>
          <cell r="G521">
            <v>1</v>
          </cell>
          <cell r="H521" t="str">
            <v>exp</v>
          </cell>
          <cell r="I521" t="str">
            <v>強化素材タイプ</v>
          </cell>
          <cell r="J521">
            <v>0.1</v>
          </cell>
          <cell r="K521">
            <v>0.05</v>
          </cell>
          <cell r="L521">
            <v>1</v>
          </cell>
          <cell r="M521" t="str">
            <v>unknown</v>
          </cell>
          <cell r="N521" t="str">
            <v>Unknown</v>
          </cell>
          <cell r="O521">
            <v>1</v>
          </cell>
          <cell r="P521">
            <v>1</v>
          </cell>
          <cell r="Q521">
            <v>1</v>
          </cell>
          <cell r="R521" t="str">
            <v>Boss</v>
          </cell>
          <cell r="S521">
            <v>5</v>
          </cell>
          <cell r="T521">
            <v>1.3</v>
          </cell>
          <cell r="U521">
            <v>0.8</v>
          </cell>
          <cell r="V521">
            <v>3</v>
          </cell>
          <cell r="W521">
            <v>1</v>
          </cell>
          <cell r="X521">
            <v>30</v>
          </cell>
          <cell r="Y521">
            <v>1.7</v>
          </cell>
          <cell r="Z521">
            <v>1.4</v>
          </cell>
          <cell r="AA521">
            <v>1</v>
          </cell>
          <cell r="AB521">
            <v>0</v>
          </cell>
        </row>
        <row r="522">
          <cell r="A522">
            <v>521</v>
          </cell>
          <cell r="B522" t="str">
            <v>森のサンタダック</v>
          </cell>
          <cell r="C522">
            <v>5</v>
          </cell>
          <cell r="D522" t="str">
            <v>green</v>
          </cell>
          <cell r="E522">
            <v>1.02</v>
          </cell>
          <cell r="F522">
            <v>0.98</v>
          </cell>
          <cell r="G522">
            <v>1</v>
          </cell>
          <cell r="H522" t="str">
            <v>exp</v>
          </cell>
          <cell r="I522" t="str">
            <v>強化素材タイプ</v>
          </cell>
          <cell r="J522">
            <v>0.1</v>
          </cell>
          <cell r="K522">
            <v>0.05</v>
          </cell>
          <cell r="L522">
            <v>1</v>
          </cell>
          <cell r="M522" t="str">
            <v>unknown</v>
          </cell>
          <cell r="N522" t="str">
            <v>Unknown</v>
          </cell>
          <cell r="O522">
            <v>1</v>
          </cell>
          <cell r="P522">
            <v>1</v>
          </cell>
          <cell r="Q522">
            <v>1</v>
          </cell>
          <cell r="R522" t="str">
            <v>Boss</v>
          </cell>
          <cell r="S522">
            <v>5</v>
          </cell>
          <cell r="T522">
            <v>1.3</v>
          </cell>
          <cell r="U522">
            <v>0.8</v>
          </cell>
          <cell r="V522">
            <v>3</v>
          </cell>
          <cell r="W522">
            <v>1</v>
          </cell>
          <cell r="X522">
            <v>30</v>
          </cell>
          <cell r="Y522">
            <v>1.7</v>
          </cell>
          <cell r="Z522">
            <v>1.4</v>
          </cell>
          <cell r="AA522">
            <v>1</v>
          </cell>
          <cell r="AB522">
            <v>0</v>
          </cell>
        </row>
        <row r="523">
          <cell r="A523">
            <v>522</v>
          </cell>
          <cell r="B523" t="str">
            <v>水のサンタダック</v>
          </cell>
          <cell r="C523">
            <v>5</v>
          </cell>
          <cell r="D523" t="str">
            <v>blue</v>
          </cell>
          <cell r="E523">
            <v>1</v>
          </cell>
          <cell r="F523">
            <v>0.98</v>
          </cell>
          <cell r="G523">
            <v>1</v>
          </cell>
          <cell r="H523" t="str">
            <v>exp</v>
          </cell>
          <cell r="I523" t="str">
            <v>強化素材タイプ</v>
          </cell>
          <cell r="J523">
            <v>0.1</v>
          </cell>
          <cell r="K523">
            <v>0.05</v>
          </cell>
          <cell r="L523">
            <v>1</v>
          </cell>
          <cell r="M523" t="str">
            <v>unknown</v>
          </cell>
          <cell r="N523" t="str">
            <v>Unknown</v>
          </cell>
          <cell r="O523">
            <v>1</v>
          </cell>
          <cell r="P523">
            <v>1</v>
          </cell>
          <cell r="Q523">
            <v>1</v>
          </cell>
          <cell r="R523" t="str">
            <v>Boss</v>
          </cell>
          <cell r="S523">
            <v>5</v>
          </cell>
          <cell r="T523">
            <v>1.3</v>
          </cell>
          <cell r="U523">
            <v>0.8</v>
          </cell>
          <cell r="V523">
            <v>3</v>
          </cell>
          <cell r="W523">
            <v>1</v>
          </cell>
          <cell r="X523">
            <v>30</v>
          </cell>
          <cell r="Y523">
            <v>1.7</v>
          </cell>
          <cell r="Z523">
            <v>1.4</v>
          </cell>
          <cell r="AA523">
            <v>1</v>
          </cell>
          <cell r="AB523">
            <v>0</v>
          </cell>
        </row>
        <row r="524">
          <cell r="A524">
            <v>523</v>
          </cell>
          <cell r="B524" t="str">
            <v>雷のサンタダック</v>
          </cell>
          <cell r="C524">
            <v>5</v>
          </cell>
          <cell r="D524" t="str">
            <v>yellow</v>
          </cell>
          <cell r="E524">
            <v>0.98</v>
          </cell>
          <cell r="F524">
            <v>1.01</v>
          </cell>
          <cell r="G524">
            <v>1</v>
          </cell>
          <cell r="H524" t="str">
            <v>exp</v>
          </cell>
          <cell r="I524" t="str">
            <v>強化素材タイプ</v>
          </cell>
          <cell r="J524">
            <v>0.1</v>
          </cell>
          <cell r="K524">
            <v>0.05</v>
          </cell>
          <cell r="L524">
            <v>1</v>
          </cell>
          <cell r="M524" t="str">
            <v>unknown</v>
          </cell>
          <cell r="N524" t="str">
            <v>Unknown</v>
          </cell>
          <cell r="O524">
            <v>1</v>
          </cell>
          <cell r="P524">
            <v>1</v>
          </cell>
          <cell r="Q524">
            <v>1</v>
          </cell>
          <cell r="R524" t="str">
            <v>Boss</v>
          </cell>
          <cell r="S524">
            <v>5</v>
          </cell>
          <cell r="T524">
            <v>1.3</v>
          </cell>
          <cell r="U524">
            <v>0.8</v>
          </cell>
          <cell r="V524">
            <v>3</v>
          </cell>
          <cell r="W524">
            <v>1</v>
          </cell>
          <cell r="X524">
            <v>30</v>
          </cell>
          <cell r="Y524">
            <v>1.7</v>
          </cell>
          <cell r="Z524">
            <v>1.4</v>
          </cell>
          <cell r="AA524">
            <v>1</v>
          </cell>
          <cell r="AB524">
            <v>0</v>
          </cell>
        </row>
        <row r="525">
          <cell r="A525">
            <v>524</v>
          </cell>
          <cell r="B525" t="str">
            <v>あけおめダック</v>
          </cell>
          <cell r="C525">
            <v>6</v>
          </cell>
          <cell r="D525" t="str">
            <v>yellow</v>
          </cell>
          <cell r="E525">
            <v>0.98</v>
          </cell>
          <cell r="F525">
            <v>1.01</v>
          </cell>
          <cell r="G525">
            <v>1</v>
          </cell>
          <cell r="H525" t="str">
            <v>coin</v>
          </cell>
          <cell r="I525" t="str">
            <v>コインタイプ</v>
          </cell>
          <cell r="J525">
            <v>0.1</v>
          </cell>
          <cell r="K525">
            <v>0.05</v>
          </cell>
          <cell r="L525">
            <v>1</v>
          </cell>
          <cell r="M525" t="str">
            <v>unknown</v>
          </cell>
          <cell r="N525" t="str">
            <v>Unknown</v>
          </cell>
          <cell r="O525">
            <v>1</v>
          </cell>
          <cell r="P525">
            <v>1</v>
          </cell>
          <cell r="Q525">
            <v>1</v>
          </cell>
          <cell r="R525" t="str">
            <v>Boss</v>
          </cell>
          <cell r="S525">
            <v>5</v>
          </cell>
          <cell r="T525">
            <v>1.3</v>
          </cell>
          <cell r="U525">
            <v>0.8</v>
          </cell>
          <cell r="V525">
            <v>3</v>
          </cell>
          <cell r="W525">
            <v>1</v>
          </cell>
          <cell r="X525">
            <v>60</v>
          </cell>
          <cell r="Y525">
            <v>1.7</v>
          </cell>
          <cell r="Z525">
            <v>1.4</v>
          </cell>
          <cell r="AA525">
            <v>1</v>
          </cell>
          <cell r="AB525">
            <v>0</v>
          </cell>
        </row>
        <row r="526">
          <cell r="A526">
            <v>525</v>
          </cell>
          <cell r="B526" t="str">
            <v>ウィンタースポーツ 雪ミク</v>
          </cell>
          <cell r="C526">
            <v>4</v>
          </cell>
          <cell r="D526" t="str">
            <v>blue</v>
          </cell>
          <cell r="E526">
            <v>1</v>
          </cell>
          <cell r="F526">
            <v>0.98</v>
          </cell>
          <cell r="G526">
            <v>1</v>
          </cell>
          <cell r="H526" t="str">
            <v>heal</v>
          </cell>
          <cell r="I526" t="str">
            <v>回復タイプ</v>
          </cell>
          <cell r="J526">
            <v>0.8</v>
          </cell>
          <cell r="K526">
            <v>0.78</v>
          </cell>
          <cell r="L526">
            <v>1</v>
          </cell>
          <cell r="M526" t="str">
            <v>unknown</v>
          </cell>
          <cell r="N526" t="str">
            <v>Unknown</v>
          </cell>
          <cell r="O526">
            <v>0.94</v>
          </cell>
          <cell r="P526">
            <v>0.99</v>
          </cell>
          <cell r="Q526">
            <v>1</v>
          </cell>
          <cell r="R526" t="str">
            <v>Boss</v>
          </cell>
          <cell r="S526">
            <v>5</v>
          </cell>
          <cell r="T526">
            <v>1.3</v>
          </cell>
          <cell r="U526">
            <v>0.8</v>
          </cell>
          <cell r="V526">
            <v>3</v>
          </cell>
          <cell r="W526">
            <v>1</v>
          </cell>
          <cell r="X526">
            <v>30</v>
          </cell>
          <cell r="Y526">
            <v>1.3</v>
          </cell>
          <cell r="Z526">
            <v>1.3</v>
          </cell>
          <cell r="AA526">
            <v>1.1000000000000001</v>
          </cell>
          <cell r="AB526">
            <v>0</v>
          </cell>
        </row>
        <row r="527">
          <cell r="A527">
            <v>526</v>
          </cell>
          <cell r="B527" t="str">
            <v>大滑走 雪ミク&amp;ラビットユキネ</v>
          </cell>
          <cell r="C527">
            <v>5</v>
          </cell>
          <cell r="D527" t="str">
            <v>blue</v>
          </cell>
          <cell r="E527">
            <v>1</v>
          </cell>
          <cell r="F527">
            <v>0.98</v>
          </cell>
          <cell r="G527">
            <v>1</v>
          </cell>
          <cell r="H527" t="str">
            <v>heal</v>
          </cell>
          <cell r="I527" t="str">
            <v>回復タイプ</v>
          </cell>
          <cell r="J527">
            <v>0.8</v>
          </cell>
          <cell r="K527">
            <v>0.78</v>
          </cell>
          <cell r="L527">
            <v>1</v>
          </cell>
          <cell r="M527" t="str">
            <v>unknown</v>
          </cell>
          <cell r="N527" t="str">
            <v>Unknown</v>
          </cell>
          <cell r="O527">
            <v>0.94</v>
          </cell>
          <cell r="P527">
            <v>0.99</v>
          </cell>
          <cell r="Q527">
            <v>1</v>
          </cell>
          <cell r="R527" t="str">
            <v>Boss</v>
          </cell>
          <cell r="S527">
            <v>5</v>
          </cell>
          <cell r="T527">
            <v>1.3</v>
          </cell>
          <cell r="U527">
            <v>0.8</v>
          </cell>
          <cell r="V527">
            <v>3</v>
          </cell>
          <cell r="W527">
            <v>1</v>
          </cell>
          <cell r="X527">
            <v>60</v>
          </cell>
          <cell r="Y527">
            <v>1.7</v>
          </cell>
          <cell r="Z527">
            <v>1.4</v>
          </cell>
          <cell r="AA527">
            <v>1</v>
          </cell>
          <cell r="AB527">
            <v>0</v>
          </cell>
        </row>
        <row r="528">
          <cell r="A528">
            <v>527</v>
          </cell>
          <cell r="B528" t="str">
            <v>初音ミクV3</v>
          </cell>
          <cell r="C528">
            <v>4</v>
          </cell>
          <cell r="D528" t="str">
            <v>yellow</v>
          </cell>
          <cell r="E528">
            <v>0.98</v>
          </cell>
          <cell r="F528">
            <v>1.01</v>
          </cell>
          <cell r="G528">
            <v>1</v>
          </cell>
          <cell r="H528" t="str">
            <v>balance</v>
          </cell>
          <cell r="I528" t="str">
            <v>バランスタイプ</v>
          </cell>
          <cell r="J528">
            <v>1</v>
          </cell>
          <cell r="K528">
            <v>1</v>
          </cell>
          <cell r="L528">
            <v>1</v>
          </cell>
          <cell r="M528" t="str">
            <v>unknown</v>
          </cell>
          <cell r="N528" t="str">
            <v>Unknown</v>
          </cell>
          <cell r="O528">
            <v>0.94</v>
          </cell>
          <cell r="P528">
            <v>0.99</v>
          </cell>
          <cell r="Q528">
            <v>1</v>
          </cell>
          <cell r="R528" t="str">
            <v>Boss</v>
          </cell>
          <cell r="S528">
            <v>5</v>
          </cell>
          <cell r="T528">
            <v>1.3</v>
          </cell>
          <cell r="U528">
            <v>0.8</v>
          </cell>
          <cell r="V528">
            <v>3</v>
          </cell>
          <cell r="W528">
            <v>1</v>
          </cell>
          <cell r="X528">
            <v>30</v>
          </cell>
          <cell r="Y528">
            <v>1.3</v>
          </cell>
          <cell r="Z528">
            <v>1.3</v>
          </cell>
          <cell r="AA528">
            <v>1.1000000000000001</v>
          </cell>
          <cell r="AB528">
            <v>0</v>
          </cell>
        </row>
        <row r="529">
          <cell r="A529">
            <v>528</v>
          </cell>
          <cell r="B529" t="str">
            <v>新世の歌姫 初音ミクV3</v>
          </cell>
          <cell r="C529">
            <v>5</v>
          </cell>
          <cell r="D529" t="str">
            <v>yellow</v>
          </cell>
          <cell r="E529">
            <v>0.98</v>
          </cell>
          <cell r="F529">
            <v>1.01</v>
          </cell>
          <cell r="G529">
            <v>1</v>
          </cell>
          <cell r="H529" t="str">
            <v>balance</v>
          </cell>
          <cell r="I529" t="str">
            <v>バランスタイプ</v>
          </cell>
          <cell r="J529">
            <v>1</v>
          </cell>
          <cell r="K529">
            <v>1</v>
          </cell>
          <cell r="L529">
            <v>1</v>
          </cell>
          <cell r="M529" t="str">
            <v>unknown</v>
          </cell>
          <cell r="N529" t="str">
            <v>Unknown</v>
          </cell>
          <cell r="O529">
            <v>0.94</v>
          </cell>
          <cell r="P529">
            <v>0.99</v>
          </cell>
          <cell r="Q529">
            <v>1</v>
          </cell>
          <cell r="R529" t="str">
            <v>Boss</v>
          </cell>
          <cell r="S529">
            <v>5</v>
          </cell>
          <cell r="T529">
            <v>1.3</v>
          </cell>
          <cell r="U529">
            <v>0.8</v>
          </cell>
          <cell r="V529">
            <v>3</v>
          </cell>
          <cell r="W529">
            <v>1</v>
          </cell>
          <cell r="X529">
            <v>60</v>
          </cell>
          <cell r="Y529">
            <v>1.7</v>
          </cell>
          <cell r="Z529">
            <v>1.4</v>
          </cell>
          <cell r="AA529">
            <v>1</v>
          </cell>
          <cell r="AB529">
            <v>0</v>
          </cell>
        </row>
        <row r="530">
          <cell r="A530">
            <v>529</v>
          </cell>
          <cell r="B530" t="str">
            <v>冬服ジェリー</v>
          </cell>
          <cell r="C530">
            <v>1</v>
          </cell>
          <cell r="D530" t="str">
            <v>red</v>
          </cell>
          <cell r="E530">
            <v>1</v>
          </cell>
          <cell r="F530">
            <v>1.02</v>
          </cell>
          <cell r="G530">
            <v>1</v>
          </cell>
          <cell r="H530" t="str">
            <v>attack</v>
          </cell>
          <cell r="I530" t="str">
            <v>攻撃タイプ</v>
          </cell>
          <cell r="J530">
            <v>1</v>
          </cell>
          <cell r="K530">
            <v>1.33</v>
          </cell>
          <cell r="L530">
            <v>1</v>
          </cell>
          <cell r="M530" t="str">
            <v>unknown</v>
          </cell>
          <cell r="N530" t="str">
            <v>Unknown</v>
          </cell>
          <cell r="O530">
            <v>1</v>
          </cell>
          <cell r="P530">
            <v>1</v>
          </cell>
          <cell r="Q530">
            <v>1</v>
          </cell>
          <cell r="R530" t="str">
            <v>Normal</v>
          </cell>
          <cell r="S530">
            <v>1</v>
          </cell>
          <cell r="T530">
            <v>1</v>
          </cell>
          <cell r="U530">
            <v>1</v>
          </cell>
          <cell r="V530">
            <v>3</v>
          </cell>
          <cell r="W530">
            <v>1</v>
          </cell>
          <cell r="X530">
            <v>15</v>
          </cell>
          <cell r="Y530">
            <v>1</v>
          </cell>
          <cell r="Z530">
            <v>1</v>
          </cell>
          <cell r="AA530">
            <v>1</v>
          </cell>
          <cell r="AB530">
            <v>0</v>
          </cell>
        </row>
        <row r="531">
          <cell r="A531">
            <v>530</v>
          </cell>
          <cell r="B531" t="str">
            <v>冬服ジョー</v>
          </cell>
          <cell r="C531">
            <v>1</v>
          </cell>
          <cell r="D531" t="str">
            <v>green</v>
          </cell>
          <cell r="E531">
            <v>1.02</v>
          </cell>
          <cell r="F531">
            <v>0.98</v>
          </cell>
          <cell r="G531">
            <v>1</v>
          </cell>
          <cell r="H531" t="str">
            <v>balance</v>
          </cell>
          <cell r="I531" t="str">
            <v>バランスタイプ</v>
          </cell>
          <cell r="J531">
            <v>1</v>
          </cell>
          <cell r="K531">
            <v>1</v>
          </cell>
          <cell r="L531">
            <v>1</v>
          </cell>
          <cell r="M531" t="str">
            <v>unknown</v>
          </cell>
          <cell r="N531" t="str">
            <v>Unknown</v>
          </cell>
          <cell r="O531">
            <v>1</v>
          </cell>
          <cell r="P531">
            <v>1</v>
          </cell>
          <cell r="Q531">
            <v>1</v>
          </cell>
          <cell r="R531" t="str">
            <v>Normal</v>
          </cell>
          <cell r="S531">
            <v>1</v>
          </cell>
          <cell r="T531">
            <v>1</v>
          </cell>
          <cell r="U531">
            <v>1</v>
          </cell>
          <cell r="V531">
            <v>3</v>
          </cell>
          <cell r="W531">
            <v>1</v>
          </cell>
          <cell r="X531">
            <v>15</v>
          </cell>
          <cell r="Y531">
            <v>1</v>
          </cell>
          <cell r="Z531">
            <v>1</v>
          </cell>
          <cell r="AA531">
            <v>1</v>
          </cell>
          <cell r="AB531">
            <v>0</v>
          </cell>
        </row>
        <row r="532">
          <cell r="A532">
            <v>531</v>
          </cell>
          <cell r="B532" t="str">
            <v>冬服ポチ</v>
          </cell>
          <cell r="C532">
            <v>1</v>
          </cell>
          <cell r="D532" t="str">
            <v>blue</v>
          </cell>
          <cell r="E532">
            <v>1</v>
          </cell>
          <cell r="F532">
            <v>0.98</v>
          </cell>
          <cell r="G532">
            <v>1</v>
          </cell>
          <cell r="H532" t="str">
            <v>heal</v>
          </cell>
          <cell r="I532" t="str">
            <v>回復タイプ</v>
          </cell>
          <cell r="J532">
            <v>0.8</v>
          </cell>
          <cell r="K532">
            <v>0.78</v>
          </cell>
          <cell r="L532">
            <v>1</v>
          </cell>
          <cell r="M532" t="str">
            <v>unknown</v>
          </cell>
          <cell r="N532" t="str">
            <v>Unknown</v>
          </cell>
          <cell r="O532">
            <v>1</v>
          </cell>
          <cell r="P532">
            <v>1</v>
          </cell>
          <cell r="Q532">
            <v>1</v>
          </cell>
          <cell r="R532" t="str">
            <v>Normal</v>
          </cell>
          <cell r="S532">
            <v>1</v>
          </cell>
          <cell r="T532">
            <v>1</v>
          </cell>
          <cell r="U532">
            <v>1</v>
          </cell>
          <cell r="V532">
            <v>3</v>
          </cell>
          <cell r="W532">
            <v>1</v>
          </cell>
          <cell r="X532">
            <v>15</v>
          </cell>
          <cell r="Y532">
            <v>1</v>
          </cell>
          <cell r="Z532">
            <v>1</v>
          </cell>
          <cell r="AA532">
            <v>1</v>
          </cell>
          <cell r="AB532">
            <v>0</v>
          </cell>
        </row>
        <row r="533">
          <cell r="A533">
            <v>532</v>
          </cell>
          <cell r="B533" t="str">
            <v>冬服エレキポット</v>
          </cell>
          <cell r="C533">
            <v>1</v>
          </cell>
          <cell r="D533" t="str">
            <v>yellow</v>
          </cell>
          <cell r="E533">
            <v>0.98</v>
          </cell>
          <cell r="F533">
            <v>1.01</v>
          </cell>
          <cell r="G533">
            <v>1</v>
          </cell>
          <cell r="H533" t="str">
            <v>attack</v>
          </cell>
          <cell r="I533" t="str">
            <v>攻撃タイプ</v>
          </cell>
          <cell r="J533">
            <v>1</v>
          </cell>
          <cell r="K533">
            <v>1.33</v>
          </cell>
          <cell r="L533">
            <v>1</v>
          </cell>
          <cell r="M533" t="str">
            <v>unknown</v>
          </cell>
          <cell r="N533" t="str">
            <v>Unknown</v>
          </cell>
          <cell r="O533">
            <v>1</v>
          </cell>
          <cell r="P533">
            <v>1</v>
          </cell>
          <cell r="Q533">
            <v>1</v>
          </cell>
          <cell r="R533" t="str">
            <v>Normal</v>
          </cell>
          <cell r="S533">
            <v>1</v>
          </cell>
          <cell r="T533">
            <v>1</v>
          </cell>
          <cell r="U533">
            <v>1</v>
          </cell>
          <cell r="V533">
            <v>3</v>
          </cell>
          <cell r="W533">
            <v>1</v>
          </cell>
          <cell r="X533">
            <v>15</v>
          </cell>
          <cell r="Y533">
            <v>1</v>
          </cell>
          <cell r="Z533">
            <v>1</v>
          </cell>
          <cell r="AA533">
            <v>1</v>
          </cell>
          <cell r="AB533">
            <v>0</v>
          </cell>
        </row>
        <row r="534">
          <cell r="A534">
            <v>533</v>
          </cell>
          <cell r="B534" t="str">
            <v>冬服アカネ</v>
          </cell>
          <cell r="C534">
            <v>1</v>
          </cell>
          <cell r="D534" t="str">
            <v>red</v>
          </cell>
          <cell r="E534">
            <v>1</v>
          </cell>
          <cell r="F534">
            <v>1.02</v>
          </cell>
          <cell r="G534">
            <v>1</v>
          </cell>
          <cell r="H534" t="str">
            <v>balance</v>
          </cell>
          <cell r="I534" t="str">
            <v>バランスタイプ</v>
          </cell>
          <cell r="J534">
            <v>1</v>
          </cell>
          <cell r="K534">
            <v>1</v>
          </cell>
          <cell r="L534">
            <v>1</v>
          </cell>
          <cell r="M534" t="str">
            <v>human</v>
          </cell>
          <cell r="N534" t="str">
            <v>ヒューマン</v>
          </cell>
          <cell r="O534">
            <v>0.94</v>
          </cell>
          <cell r="P534">
            <v>0.99</v>
          </cell>
          <cell r="Q534">
            <v>1</v>
          </cell>
          <cell r="R534" t="str">
            <v>Normal</v>
          </cell>
          <cell r="S534">
            <v>1</v>
          </cell>
          <cell r="T534">
            <v>1</v>
          </cell>
          <cell r="U534">
            <v>1</v>
          </cell>
          <cell r="V534">
            <v>3</v>
          </cell>
          <cell r="W534">
            <v>1</v>
          </cell>
          <cell r="X534">
            <v>15</v>
          </cell>
          <cell r="Y534">
            <v>1</v>
          </cell>
          <cell r="Z534">
            <v>1</v>
          </cell>
          <cell r="AA534">
            <v>1</v>
          </cell>
          <cell r="AB534">
            <v>0</v>
          </cell>
        </row>
        <row r="535">
          <cell r="A535">
            <v>534</v>
          </cell>
          <cell r="B535" t="str">
            <v>冬服パトライン</v>
          </cell>
          <cell r="C535">
            <v>1</v>
          </cell>
          <cell r="D535" t="str">
            <v>green</v>
          </cell>
          <cell r="E535">
            <v>1.02</v>
          </cell>
          <cell r="F535">
            <v>0.98</v>
          </cell>
          <cell r="G535">
            <v>1</v>
          </cell>
          <cell r="H535" t="str">
            <v>heal</v>
          </cell>
          <cell r="I535" t="str">
            <v>回復タイプ</v>
          </cell>
          <cell r="J535">
            <v>0.8</v>
          </cell>
          <cell r="K535">
            <v>0.78</v>
          </cell>
          <cell r="L535">
            <v>1</v>
          </cell>
          <cell r="M535" t="str">
            <v>machine</v>
          </cell>
          <cell r="N535" t="str">
            <v>マシン</v>
          </cell>
          <cell r="O535">
            <v>1</v>
          </cell>
          <cell r="P535">
            <v>1</v>
          </cell>
          <cell r="Q535">
            <v>1</v>
          </cell>
          <cell r="R535" t="str">
            <v>Normal</v>
          </cell>
          <cell r="S535">
            <v>1</v>
          </cell>
          <cell r="T535">
            <v>1</v>
          </cell>
          <cell r="U535">
            <v>1</v>
          </cell>
          <cell r="V535">
            <v>3</v>
          </cell>
          <cell r="W535">
            <v>1</v>
          </cell>
          <cell r="X535">
            <v>15</v>
          </cell>
          <cell r="Y535">
            <v>1</v>
          </cell>
          <cell r="Z535">
            <v>1</v>
          </cell>
          <cell r="AA535">
            <v>1</v>
          </cell>
          <cell r="AB535">
            <v>0</v>
          </cell>
        </row>
        <row r="536">
          <cell r="A536">
            <v>535</v>
          </cell>
          <cell r="B536" t="str">
            <v>冬服リム</v>
          </cell>
          <cell r="C536">
            <v>1</v>
          </cell>
          <cell r="D536" t="str">
            <v>blue</v>
          </cell>
          <cell r="E536">
            <v>1</v>
          </cell>
          <cell r="F536">
            <v>0.98</v>
          </cell>
          <cell r="G536">
            <v>1</v>
          </cell>
          <cell r="H536" t="str">
            <v>balance</v>
          </cell>
          <cell r="I536" t="str">
            <v>バランスタイプ</v>
          </cell>
          <cell r="J536">
            <v>1</v>
          </cell>
          <cell r="K536">
            <v>1</v>
          </cell>
          <cell r="L536">
            <v>1</v>
          </cell>
          <cell r="M536" t="str">
            <v>human</v>
          </cell>
          <cell r="N536" t="str">
            <v>ヒューマン</v>
          </cell>
          <cell r="O536">
            <v>0.94</v>
          </cell>
          <cell r="P536">
            <v>0.99</v>
          </cell>
          <cell r="Q536">
            <v>1</v>
          </cell>
          <cell r="R536" t="str">
            <v>Normal</v>
          </cell>
          <cell r="S536">
            <v>1</v>
          </cell>
          <cell r="T536">
            <v>1</v>
          </cell>
          <cell r="U536">
            <v>1</v>
          </cell>
          <cell r="V536">
            <v>3</v>
          </cell>
          <cell r="W536">
            <v>1</v>
          </cell>
          <cell r="X536">
            <v>15</v>
          </cell>
          <cell r="Y536">
            <v>1</v>
          </cell>
          <cell r="Z536">
            <v>1</v>
          </cell>
          <cell r="AA536">
            <v>1</v>
          </cell>
          <cell r="AB536">
            <v>0</v>
          </cell>
        </row>
        <row r="537">
          <cell r="A537">
            <v>536</v>
          </cell>
          <cell r="B537" t="str">
            <v>冬服ミミ</v>
          </cell>
          <cell r="C537">
            <v>1</v>
          </cell>
          <cell r="D537" t="str">
            <v>yellow</v>
          </cell>
          <cell r="E537">
            <v>0.98</v>
          </cell>
          <cell r="F537">
            <v>1.01</v>
          </cell>
          <cell r="G537">
            <v>1</v>
          </cell>
          <cell r="H537" t="str">
            <v>attack</v>
          </cell>
          <cell r="I537" t="str">
            <v>攻撃タイプ</v>
          </cell>
          <cell r="J537">
            <v>1</v>
          </cell>
          <cell r="K537">
            <v>1.33</v>
          </cell>
          <cell r="L537">
            <v>1</v>
          </cell>
          <cell r="M537" t="str">
            <v>animal</v>
          </cell>
          <cell r="N537" t="str">
            <v>アニマル</v>
          </cell>
          <cell r="O537">
            <v>1</v>
          </cell>
          <cell r="P537">
            <v>1.1000000000000001</v>
          </cell>
          <cell r="Q537">
            <v>1</v>
          </cell>
          <cell r="R537" t="str">
            <v>Normal</v>
          </cell>
          <cell r="S537">
            <v>1</v>
          </cell>
          <cell r="T537">
            <v>1</v>
          </cell>
          <cell r="U537">
            <v>1</v>
          </cell>
          <cell r="V537">
            <v>3</v>
          </cell>
          <cell r="W537">
            <v>1</v>
          </cell>
          <cell r="X537">
            <v>15</v>
          </cell>
          <cell r="Y537">
            <v>1</v>
          </cell>
          <cell r="Z537">
            <v>1</v>
          </cell>
          <cell r="AA537">
            <v>1</v>
          </cell>
          <cell r="AB537">
            <v>0</v>
          </cell>
        </row>
        <row r="538">
          <cell r="A538">
            <v>537</v>
          </cell>
          <cell r="B538" t="str">
            <v>冬服ハッピー100</v>
          </cell>
          <cell r="C538">
            <v>3</v>
          </cell>
          <cell r="D538" t="str">
            <v>green</v>
          </cell>
          <cell r="E538">
            <v>1.02</v>
          </cell>
          <cell r="F538">
            <v>0.98</v>
          </cell>
          <cell r="G538">
            <v>1</v>
          </cell>
          <cell r="H538" t="str">
            <v>heal</v>
          </cell>
          <cell r="I538" t="str">
            <v>回復タイプ</v>
          </cell>
          <cell r="J538">
            <v>0.8</v>
          </cell>
          <cell r="K538">
            <v>0.78</v>
          </cell>
          <cell r="L538">
            <v>1</v>
          </cell>
          <cell r="M538" t="str">
            <v>unknown</v>
          </cell>
          <cell r="N538" t="str">
            <v>Unknown</v>
          </cell>
          <cell r="O538">
            <v>1</v>
          </cell>
          <cell r="P538">
            <v>1</v>
          </cell>
          <cell r="Q538">
            <v>1</v>
          </cell>
          <cell r="R538" t="str">
            <v>Normal</v>
          </cell>
          <cell r="S538">
            <v>1</v>
          </cell>
          <cell r="T538">
            <v>1</v>
          </cell>
          <cell r="U538">
            <v>1</v>
          </cell>
          <cell r="V538">
            <v>3</v>
          </cell>
          <cell r="W538">
            <v>1</v>
          </cell>
          <cell r="X538">
            <v>25</v>
          </cell>
          <cell r="Y538">
            <v>1.2</v>
          </cell>
          <cell r="Z538">
            <v>1.25</v>
          </cell>
          <cell r="AA538">
            <v>1.1499999999999999</v>
          </cell>
          <cell r="AB538">
            <v>0</v>
          </cell>
        </row>
        <row r="539">
          <cell r="A539">
            <v>538</v>
          </cell>
          <cell r="B539" t="str">
            <v>冬服ニムダ</v>
          </cell>
          <cell r="C539">
            <v>3</v>
          </cell>
          <cell r="D539" t="str">
            <v>yellow</v>
          </cell>
          <cell r="E539">
            <v>0.98</v>
          </cell>
          <cell r="F539">
            <v>1.01</v>
          </cell>
          <cell r="G539">
            <v>1</v>
          </cell>
          <cell r="H539" t="str">
            <v>heal</v>
          </cell>
          <cell r="I539" t="str">
            <v>回復タイプ</v>
          </cell>
          <cell r="J539">
            <v>0.8</v>
          </cell>
          <cell r="K539">
            <v>0.78</v>
          </cell>
          <cell r="L539">
            <v>1</v>
          </cell>
          <cell r="M539" t="str">
            <v>unknown</v>
          </cell>
          <cell r="N539" t="str">
            <v>Unknown</v>
          </cell>
          <cell r="O539">
            <v>1</v>
          </cell>
          <cell r="P539">
            <v>1</v>
          </cell>
          <cell r="Q539">
            <v>1</v>
          </cell>
          <cell r="R539" t="str">
            <v>Normal</v>
          </cell>
          <cell r="S539">
            <v>1</v>
          </cell>
          <cell r="T539">
            <v>1</v>
          </cell>
          <cell r="U539">
            <v>1</v>
          </cell>
          <cell r="V539">
            <v>3</v>
          </cell>
          <cell r="W539">
            <v>1</v>
          </cell>
          <cell r="X539">
            <v>25</v>
          </cell>
          <cell r="Y539">
            <v>1.2</v>
          </cell>
          <cell r="Z539">
            <v>1.25</v>
          </cell>
          <cell r="AA539">
            <v>1.1499999999999999</v>
          </cell>
          <cell r="AB539">
            <v>0</v>
          </cell>
        </row>
        <row r="540">
          <cell r="A540">
            <v>539</v>
          </cell>
          <cell r="B540" t="str">
            <v>初音ミク・アペンド</v>
          </cell>
          <cell r="C540">
            <v>4</v>
          </cell>
          <cell r="D540" t="str">
            <v>green</v>
          </cell>
          <cell r="E540">
            <v>1.02</v>
          </cell>
          <cell r="F540">
            <v>0.98</v>
          </cell>
          <cell r="G540">
            <v>1</v>
          </cell>
          <cell r="H540" t="str">
            <v>technical</v>
          </cell>
          <cell r="I540" t="str">
            <v>テクニカルタイプ</v>
          </cell>
          <cell r="J540">
            <v>0.9</v>
          </cell>
          <cell r="K540">
            <v>0.9</v>
          </cell>
          <cell r="L540">
            <v>1</v>
          </cell>
          <cell r="M540" t="str">
            <v>unknown</v>
          </cell>
          <cell r="N540" t="str">
            <v>Unknown</v>
          </cell>
          <cell r="O540">
            <v>1</v>
          </cell>
          <cell r="P540">
            <v>1</v>
          </cell>
          <cell r="Q540">
            <v>1</v>
          </cell>
          <cell r="R540" t="str">
            <v>Boss</v>
          </cell>
          <cell r="S540">
            <v>5</v>
          </cell>
          <cell r="T540">
            <v>1.3</v>
          </cell>
          <cell r="U540">
            <v>0.8</v>
          </cell>
          <cell r="V540">
            <v>3</v>
          </cell>
          <cell r="W540">
            <v>1</v>
          </cell>
          <cell r="X540">
            <v>30</v>
          </cell>
          <cell r="Y540">
            <v>1.3</v>
          </cell>
          <cell r="Z540">
            <v>1.3</v>
          </cell>
          <cell r="AA540">
            <v>1.1000000000000001</v>
          </cell>
          <cell r="AB540">
            <v>0</v>
          </cell>
        </row>
        <row r="541">
          <cell r="A541">
            <v>540</v>
          </cell>
          <cell r="B541" t="str">
            <v>来訪の歌姫 初音ミク・アペンド</v>
          </cell>
          <cell r="C541">
            <v>5</v>
          </cell>
          <cell r="D541" t="str">
            <v>green</v>
          </cell>
          <cell r="E541">
            <v>1.02</v>
          </cell>
          <cell r="F541">
            <v>0.98</v>
          </cell>
          <cell r="G541">
            <v>1</v>
          </cell>
          <cell r="H541" t="str">
            <v>technical</v>
          </cell>
          <cell r="I541" t="str">
            <v>テクニカルタイプ</v>
          </cell>
          <cell r="J541">
            <v>0.9</v>
          </cell>
          <cell r="K541">
            <v>0.9</v>
          </cell>
          <cell r="L541">
            <v>1</v>
          </cell>
          <cell r="M541" t="str">
            <v>unknown</v>
          </cell>
          <cell r="N541" t="str">
            <v>Unknown</v>
          </cell>
          <cell r="O541">
            <v>1</v>
          </cell>
          <cell r="P541">
            <v>1</v>
          </cell>
          <cell r="Q541">
            <v>1</v>
          </cell>
          <cell r="R541" t="str">
            <v>Boss</v>
          </cell>
          <cell r="S541">
            <v>5</v>
          </cell>
          <cell r="T541">
            <v>1.3</v>
          </cell>
          <cell r="U541">
            <v>0.8</v>
          </cell>
          <cell r="V541">
            <v>3</v>
          </cell>
          <cell r="W541">
            <v>1</v>
          </cell>
          <cell r="X541">
            <v>60</v>
          </cell>
          <cell r="Y541">
            <v>1.7</v>
          </cell>
          <cell r="Z541">
            <v>1.4</v>
          </cell>
          <cell r="AA541">
            <v>1</v>
          </cell>
          <cell r="AB541">
            <v>0</v>
          </cell>
        </row>
        <row r="542">
          <cell r="A542">
            <v>541</v>
          </cell>
          <cell r="B542" t="str">
            <v>初音ミク</v>
          </cell>
          <cell r="C542">
            <v>4</v>
          </cell>
          <cell r="D542" t="str">
            <v>green</v>
          </cell>
          <cell r="E542">
            <v>1.02</v>
          </cell>
          <cell r="F542">
            <v>0.98</v>
          </cell>
          <cell r="G542">
            <v>1</v>
          </cell>
          <cell r="H542" t="str">
            <v>balance</v>
          </cell>
          <cell r="I542" t="str">
            <v>バランスタイプ</v>
          </cell>
          <cell r="J542">
            <v>1</v>
          </cell>
          <cell r="K542">
            <v>1</v>
          </cell>
          <cell r="L542">
            <v>1</v>
          </cell>
          <cell r="M542" t="str">
            <v>unknown</v>
          </cell>
          <cell r="N542" t="str">
            <v>Unknown</v>
          </cell>
          <cell r="O542">
            <v>1</v>
          </cell>
          <cell r="P542">
            <v>1</v>
          </cell>
          <cell r="Q542">
            <v>1</v>
          </cell>
          <cell r="R542" t="str">
            <v>Boss</v>
          </cell>
          <cell r="S542">
            <v>5</v>
          </cell>
          <cell r="T542">
            <v>1.3</v>
          </cell>
          <cell r="U542">
            <v>0.8</v>
          </cell>
          <cell r="V542">
            <v>3</v>
          </cell>
          <cell r="W542">
            <v>1</v>
          </cell>
          <cell r="X542">
            <v>30</v>
          </cell>
          <cell r="Y542">
            <v>1.3</v>
          </cell>
          <cell r="Z542">
            <v>1.3</v>
          </cell>
          <cell r="AA542">
            <v>1.1000000000000001</v>
          </cell>
          <cell r="AB542">
            <v>0</v>
          </cell>
        </row>
        <row r="543">
          <cell r="A543">
            <v>542</v>
          </cell>
          <cell r="B543" t="str">
            <v>革命の音撃 初音ミク</v>
          </cell>
          <cell r="C543">
            <v>5</v>
          </cell>
          <cell r="D543" t="str">
            <v>green</v>
          </cell>
          <cell r="E543">
            <v>1.02</v>
          </cell>
          <cell r="F543">
            <v>0.98</v>
          </cell>
          <cell r="G543">
            <v>1</v>
          </cell>
          <cell r="H543" t="str">
            <v>balance</v>
          </cell>
          <cell r="I543" t="str">
            <v>バランスタイプ</v>
          </cell>
          <cell r="J543">
            <v>1</v>
          </cell>
          <cell r="K543">
            <v>1</v>
          </cell>
          <cell r="L543">
            <v>1</v>
          </cell>
          <cell r="M543" t="str">
            <v>unknown</v>
          </cell>
          <cell r="N543" t="str">
            <v>Unknown</v>
          </cell>
          <cell r="O543">
            <v>1</v>
          </cell>
          <cell r="P543">
            <v>1</v>
          </cell>
          <cell r="Q543">
            <v>1</v>
          </cell>
          <cell r="R543" t="str">
            <v>Boss</v>
          </cell>
          <cell r="S543">
            <v>5</v>
          </cell>
          <cell r="T543">
            <v>1.3</v>
          </cell>
          <cell r="U543">
            <v>0.8</v>
          </cell>
          <cell r="V543">
            <v>3</v>
          </cell>
          <cell r="W543">
            <v>1</v>
          </cell>
          <cell r="X543">
            <v>60</v>
          </cell>
          <cell r="Y543">
            <v>1.7</v>
          </cell>
          <cell r="Z543">
            <v>1.4</v>
          </cell>
          <cell r="AA543">
            <v>1</v>
          </cell>
          <cell r="AB543">
            <v>0</v>
          </cell>
        </row>
        <row r="544">
          <cell r="A544">
            <v>543</v>
          </cell>
          <cell r="B544" t="str">
            <v>鏡音リン</v>
          </cell>
          <cell r="C544">
            <v>4</v>
          </cell>
          <cell r="D544" t="str">
            <v>yellow</v>
          </cell>
          <cell r="E544">
            <v>0.98</v>
          </cell>
          <cell r="F544">
            <v>1.01</v>
          </cell>
          <cell r="G544">
            <v>1</v>
          </cell>
          <cell r="H544" t="str">
            <v>balance</v>
          </cell>
          <cell r="I544" t="str">
            <v>バランスタイプ</v>
          </cell>
          <cell r="J544">
            <v>1</v>
          </cell>
          <cell r="K544">
            <v>1</v>
          </cell>
          <cell r="L544">
            <v>1</v>
          </cell>
          <cell r="M544" t="str">
            <v>unknown</v>
          </cell>
          <cell r="N544" t="str">
            <v>Unknown</v>
          </cell>
          <cell r="O544">
            <v>1</v>
          </cell>
          <cell r="P544">
            <v>1</v>
          </cell>
          <cell r="Q544">
            <v>1</v>
          </cell>
          <cell r="R544" t="str">
            <v>Boss</v>
          </cell>
          <cell r="S544">
            <v>5</v>
          </cell>
          <cell r="T544">
            <v>1.3</v>
          </cell>
          <cell r="U544">
            <v>0.8</v>
          </cell>
          <cell r="V544">
            <v>3</v>
          </cell>
          <cell r="W544">
            <v>1</v>
          </cell>
          <cell r="X544">
            <v>30</v>
          </cell>
          <cell r="Y544">
            <v>1.3</v>
          </cell>
          <cell r="Z544">
            <v>1.3</v>
          </cell>
          <cell r="AA544">
            <v>1.1000000000000001</v>
          </cell>
          <cell r="AB544">
            <v>0</v>
          </cell>
        </row>
        <row r="545">
          <cell r="A545">
            <v>544</v>
          </cell>
          <cell r="B545" t="str">
            <v>反響の凛音 鏡音リン</v>
          </cell>
          <cell r="C545">
            <v>5</v>
          </cell>
          <cell r="D545" t="str">
            <v>yellow</v>
          </cell>
          <cell r="E545">
            <v>0.98</v>
          </cell>
          <cell r="F545">
            <v>1.01</v>
          </cell>
          <cell r="G545">
            <v>1</v>
          </cell>
          <cell r="H545" t="str">
            <v>balance</v>
          </cell>
          <cell r="I545" t="str">
            <v>バランスタイプ</v>
          </cell>
          <cell r="J545">
            <v>1</v>
          </cell>
          <cell r="K545">
            <v>1</v>
          </cell>
          <cell r="L545">
            <v>1</v>
          </cell>
          <cell r="M545" t="str">
            <v>unknown</v>
          </cell>
          <cell r="N545" t="str">
            <v>Unknown</v>
          </cell>
          <cell r="O545">
            <v>1</v>
          </cell>
          <cell r="P545">
            <v>1</v>
          </cell>
          <cell r="Q545">
            <v>1</v>
          </cell>
          <cell r="R545" t="str">
            <v>Boss</v>
          </cell>
          <cell r="S545">
            <v>5</v>
          </cell>
          <cell r="T545">
            <v>1.3</v>
          </cell>
          <cell r="U545">
            <v>0.8</v>
          </cell>
          <cell r="V545">
            <v>3</v>
          </cell>
          <cell r="W545">
            <v>1</v>
          </cell>
          <cell r="X545">
            <v>60</v>
          </cell>
          <cell r="Y545">
            <v>1.7</v>
          </cell>
          <cell r="Z545">
            <v>1.4</v>
          </cell>
          <cell r="AA545">
            <v>1</v>
          </cell>
          <cell r="AB545">
            <v>0</v>
          </cell>
        </row>
        <row r="546">
          <cell r="A546">
            <v>545</v>
          </cell>
          <cell r="B546" t="str">
            <v>鏡音レン</v>
          </cell>
          <cell r="C546">
            <v>4</v>
          </cell>
          <cell r="D546" t="str">
            <v>yellow</v>
          </cell>
          <cell r="E546">
            <v>0.98</v>
          </cell>
          <cell r="F546">
            <v>1.01</v>
          </cell>
          <cell r="G546">
            <v>1</v>
          </cell>
          <cell r="H546" t="str">
            <v>heal</v>
          </cell>
          <cell r="I546" t="str">
            <v>回復タイプ</v>
          </cell>
          <cell r="J546">
            <v>0.8</v>
          </cell>
          <cell r="K546">
            <v>0.78</v>
          </cell>
          <cell r="L546">
            <v>1</v>
          </cell>
          <cell r="M546" t="str">
            <v>unknown</v>
          </cell>
          <cell r="N546" t="str">
            <v>Unknown</v>
          </cell>
          <cell r="O546">
            <v>1</v>
          </cell>
          <cell r="P546">
            <v>1</v>
          </cell>
          <cell r="Q546">
            <v>1</v>
          </cell>
          <cell r="R546" t="str">
            <v>Boss</v>
          </cell>
          <cell r="S546">
            <v>5</v>
          </cell>
          <cell r="T546">
            <v>1.3</v>
          </cell>
          <cell r="U546">
            <v>0.8</v>
          </cell>
          <cell r="V546">
            <v>3</v>
          </cell>
          <cell r="W546">
            <v>1</v>
          </cell>
          <cell r="X546">
            <v>30</v>
          </cell>
          <cell r="Y546">
            <v>1.3</v>
          </cell>
          <cell r="Z546">
            <v>1.3</v>
          </cell>
          <cell r="AA546">
            <v>1.1000000000000001</v>
          </cell>
          <cell r="AB546">
            <v>0</v>
          </cell>
        </row>
        <row r="547">
          <cell r="A547">
            <v>546</v>
          </cell>
          <cell r="B547" t="str">
            <v>残響の連符 鏡音レン</v>
          </cell>
          <cell r="C547">
            <v>5</v>
          </cell>
          <cell r="D547" t="str">
            <v>yellow</v>
          </cell>
          <cell r="E547">
            <v>0.98</v>
          </cell>
          <cell r="F547">
            <v>1.01</v>
          </cell>
          <cell r="G547">
            <v>1</v>
          </cell>
          <cell r="H547" t="str">
            <v>heal</v>
          </cell>
          <cell r="I547" t="str">
            <v>回復タイプ</v>
          </cell>
          <cell r="J547">
            <v>0.8</v>
          </cell>
          <cell r="K547">
            <v>0.78</v>
          </cell>
          <cell r="L547">
            <v>1</v>
          </cell>
          <cell r="M547" t="str">
            <v>unknown</v>
          </cell>
          <cell r="N547" t="str">
            <v>Unknown</v>
          </cell>
          <cell r="O547">
            <v>1</v>
          </cell>
          <cell r="P547">
            <v>1</v>
          </cell>
          <cell r="Q547">
            <v>1</v>
          </cell>
          <cell r="R547" t="str">
            <v>Boss</v>
          </cell>
          <cell r="S547">
            <v>5</v>
          </cell>
          <cell r="T547">
            <v>1.3</v>
          </cell>
          <cell r="U547">
            <v>0.8</v>
          </cell>
          <cell r="V547">
            <v>3</v>
          </cell>
          <cell r="W547">
            <v>1</v>
          </cell>
          <cell r="X547">
            <v>60</v>
          </cell>
          <cell r="Y547">
            <v>1.7</v>
          </cell>
          <cell r="Z547">
            <v>1.4</v>
          </cell>
          <cell r="AA547">
            <v>1</v>
          </cell>
          <cell r="AB547">
            <v>0</v>
          </cell>
        </row>
        <row r="548">
          <cell r="A548">
            <v>547</v>
          </cell>
          <cell r="B548" t="str">
            <v>巡音ルカ</v>
          </cell>
          <cell r="C548">
            <v>3</v>
          </cell>
          <cell r="D548" t="str">
            <v>red</v>
          </cell>
          <cell r="E548">
            <v>1</v>
          </cell>
          <cell r="F548">
            <v>1.02</v>
          </cell>
          <cell r="G548">
            <v>1</v>
          </cell>
          <cell r="H548" t="str">
            <v>attack</v>
          </cell>
          <cell r="I548" t="str">
            <v>攻撃タイプ</v>
          </cell>
          <cell r="J548">
            <v>1</v>
          </cell>
          <cell r="K548">
            <v>1.33</v>
          </cell>
          <cell r="L548">
            <v>1</v>
          </cell>
          <cell r="M548" t="str">
            <v>unknown</v>
          </cell>
          <cell r="N548" t="str">
            <v>Unknown</v>
          </cell>
          <cell r="O548">
            <v>1</v>
          </cell>
          <cell r="P548">
            <v>1</v>
          </cell>
          <cell r="Q548">
            <v>1</v>
          </cell>
          <cell r="R548" t="str">
            <v>Boss</v>
          </cell>
          <cell r="S548">
            <v>5</v>
          </cell>
          <cell r="T548">
            <v>1.3</v>
          </cell>
          <cell r="U548">
            <v>0.8</v>
          </cell>
          <cell r="V548">
            <v>3</v>
          </cell>
          <cell r="W548">
            <v>1</v>
          </cell>
          <cell r="X548">
            <v>25</v>
          </cell>
          <cell r="Y548">
            <v>1.2</v>
          </cell>
          <cell r="Z548">
            <v>1.25</v>
          </cell>
          <cell r="AA548">
            <v>1.1499999999999999</v>
          </cell>
          <cell r="AB548">
            <v>0</v>
          </cell>
        </row>
        <row r="549">
          <cell r="A549">
            <v>548</v>
          </cell>
          <cell r="B549" t="str">
            <v>乱舞の音環 巡音ルカ</v>
          </cell>
          <cell r="C549">
            <v>4</v>
          </cell>
          <cell r="D549" t="str">
            <v>red</v>
          </cell>
          <cell r="E549">
            <v>1</v>
          </cell>
          <cell r="F549">
            <v>1.02</v>
          </cell>
          <cell r="G549">
            <v>1</v>
          </cell>
          <cell r="H549" t="str">
            <v>attack</v>
          </cell>
          <cell r="I549" t="str">
            <v>攻撃タイプ</v>
          </cell>
          <cell r="J549">
            <v>1</v>
          </cell>
          <cell r="K549">
            <v>1.33</v>
          </cell>
          <cell r="L549">
            <v>1</v>
          </cell>
          <cell r="M549" t="str">
            <v>unknown</v>
          </cell>
          <cell r="N549" t="str">
            <v>Unknown</v>
          </cell>
          <cell r="O549">
            <v>1</v>
          </cell>
          <cell r="P549">
            <v>1</v>
          </cell>
          <cell r="Q549">
            <v>1</v>
          </cell>
          <cell r="R549" t="str">
            <v>Boss</v>
          </cell>
          <cell r="S549">
            <v>5</v>
          </cell>
          <cell r="T549">
            <v>1.3</v>
          </cell>
          <cell r="U549">
            <v>0.8</v>
          </cell>
          <cell r="V549">
            <v>3</v>
          </cell>
          <cell r="W549">
            <v>1</v>
          </cell>
          <cell r="X549">
            <v>30</v>
          </cell>
          <cell r="Y549">
            <v>1.3</v>
          </cell>
          <cell r="Z549">
            <v>1.3</v>
          </cell>
          <cell r="AA549">
            <v>1.1000000000000001</v>
          </cell>
          <cell r="AB549">
            <v>0</v>
          </cell>
        </row>
        <row r="550">
          <cell r="A550">
            <v>549</v>
          </cell>
          <cell r="B550" t="str">
            <v>MEIKO</v>
          </cell>
          <cell r="C550">
            <v>3</v>
          </cell>
          <cell r="D550" t="str">
            <v>red</v>
          </cell>
          <cell r="E550">
            <v>1</v>
          </cell>
          <cell r="F550">
            <v>1.02</v>
          </cell>
          <cell r="G550">
            <v>1</v>
          </cell>
          <cell r="H550" t="str">
            <v>hp</v>
          </cell>
          <cell r="I550" t="str">
            <v>体力タイプ</v>
          </cell>
          <cell r="J550">
            <v>1.45</v>
          </cell>
          <cell r="K550">
            <v>0.85</v>
          </cell>
          <cell r="L550">
            <v>1</v>
          </cell>
          <cell r="M550" t="str">
            <v>unknown</v>
          </cell>
          <cell r="N550" t="str">
            <v>Unknown</v>
          </cell>
          <cell r="O550">
            <v>1</v>
          </cell>
          <cell r="P550">
            <v>1</v>
          </cell>
          <cell r="Q550">
            <v>1</v>
          </cell>
          <cell r="R550" t="str">
            <v>Boss</v>
          </cell>
          <cell r="S550">
            <v>5</v>
          </cell>
          <cell r="T550">
            <v>1.3</v>
          </cell>
          <cell r="U550">
            <v>0.8</v>
          </cell>
          <cell r="V550">
            <v>3</v>
          </cell>
          <cell r="W550">
            <v>1</v>
          </cell>
          <cell r="X550">
            <v>25</v>
          </cell>
          <cell r="Y550">
            <v>1.2</v>
          </cell>
          <cell r="Z550">
            <v>1.25</v>
          </cell>
          <cell r="AA550">
            <v>1.1499999999999999</v>
          </cell>
          <cell r="AB550">
            <v>0</v>
          </cell>
        </row>
        <row r="551">
          <cell r="A551">
            <v>550</v>
          </cell>
          <cell r="B551" t="str">
            <v>解放の絶唱 MEIKO</v>
          </cell>
          <cell r="C551">
            <v>4</v>
          </cell>
          <cell r="D551" t="str">
            <v>red</v>
          </cell>
          <cell r="E551">
            <v>1</v>
          </cell>
          <cell r="F551">
            <v>1.02</v>
          </cell>
          <cell r="G551">
            <v>1</v>
          </cell>
          <cell r="H551" t="str">
            <v>hp</v>
          </cell>
          <cell r="I551" t="str">
            <v>体力タイプ</v>
          </cell>
          <cell r="J551">
            <v>1.45</v>
          </cell>
          <cell r="K551">
            <v>0.85</v>
          </cell>
          <cell r="L551">
            <v>1</v>
          </cell>
          <cell r="M551" t="str">
            <v>unknown</v>
          </cell>
          <cell r="N551" t="str">
            <v>Unknown</v>
          </cell>
          <cell r="O551">
            <v>1</v>
          </cell>
          <cell r="P551">
            <v>1</v>
          </cell>
          <cell r="Q551">
            <v>1</v>
          </cell>
          <cell r="R551" t="str">
            <v>Boss</v>
          </cell>
          <cell r="S551">
            <v>5</v>
          </cell>
          <cell r="T551">
            <v>1.3</v>
          </cell>
          <cell r="U551">
            <v>0.8</v>
          </cell>
          <cell r="V551">
            <v>3</v>
          </cell>
          <cell r="W551">
            <v>1</v>
          </cell>
          <cell r="X551">
            <v>30</v>
          </cell>
          <cell r="Y551">
            <v>1.3</v>
          </cell>
          <cell r="Z551">
            <v>1.3</v>
          </cell>
          <cell r="AA551">
            <v>1.1000000000000001</v>
          </cell>
          <cell r="AB551">
            <v>0</v>
          </cell>
        </row>
        <row r="552">
          <cell r="A552">
            <v>551</v>
          </cell>
          <cell r="B552" t="str">
            <v>KAITO</v>
          </cell>
          <cell r="C552">
            <v>3</v>
          </cell>
          <cell r="D552" t="str">
            <v>blue</v>
          </cell>
          <cell r="E552">
            <v>1</v>
          </cell>
          <cell r="F552">
            <v>0.98</v>
          </cell>
          <cell r="G552">
            <v>1</v>
          </cell>
          <cell r="H552" t="str">
            <v>technical</v>
          </cell>
          <cell r="I552" t="str">
            <v>テクニカルタイプ</v>
          </cell>
          <cell r="J552">
            <v>0.9</v>
          </cell>
          <cell r="K552">
            <v>0.9</v>
          </cell>
          <cell r="L552">
            <v>1</v>
          </cell>
          <cell r="M552" t="str">
            <v>unknown</v>
          </cell>
          <cell r="N552" t="str">
            <v>Unknown</v>
          </cell>
          <cell r="O552">
            <v>1</v>
          </cell>
          <cell r="P552">
            <v>1</v>
          </cell>
          <cell r="Q552">
            <v>1</v>
          </cell>
          <cell r="R552" t="str">
            <v>Boss</v>
          </cell>
          <cell r="S552">
            <v>5</v>
          </cell>
          <cell r="T552">
            <v>1.3</v>
          </cell>
          <cell r="U552">
            <v>0.8</v>
          </cell>
          <cell r="V552">
            <v>3</v>
          </cell>
          <cell r="W552">
            <v>1</v>
          </cell>
          <cell r="X552">
            <v>25</v>
          </cell>
          <cell r="Y552">
            <v>1.2</v>
          </cell>
          <cell r="Z552">
            <v>1.25</v>
          </cell>
          <cell r="AA552">
            <v>1.1499999999999999</v>
          </cell>
          <cell r="AB552">
            <v>0</v>
          </cell>
        </row>
        <row r="553">
          <cell r="A553">
            <v>552</v>
          </cell>
          <cell r="B553" t="str">
            <v>愉悦の愛唱 KAITO</v>
          </cell>
          <cell r="C553">
            <v>4</v>
          </cell>
          <cell r="D553" t="str">
            <v>blue</v>
          </cell>
          <cell r="E553">
            <v>1</v>
          </cell>
          <cell r="F553">
            <v>0.98</v>
          </cell>
          <cell r="G553">
            <v>1</v>
          </cell>
          <cell r="H553" t="str">
            <v>technical</v>
          </cell>
          <cell r="I553" t="str">
            <v>テクニカルタイプ</v>
          </cell>
          <cell r="J553">
            <v>0.9</v>
          </cell>
          <cell r="K553">
            <v>0.9</v>
          </cell>
          <cell r="L553">
            <v>1</v>
          </cell>
          <cell r="M553" t="str">
            <v>unknown</v>
          </cell>
          <cell r="N553" t="str">
            <v>Unknown</v>
          </cell>
          <cell r="O553">
            <v>1</v>
          </cell>
          <cell r="P553">
            <v>1</v>
          </cell>
          <cell r="Q553">
            <v>1</v>
          </cell>
          <cell r="R553" t="str">
            <v>Boss</v>
          </cell>
          <cell r="S553">
            <v>5</v>
          </cell>
          <cell r="T553">
            <v>1.3</v>
          </cell>
          <cell r="U553">
            <v>0.8</v>
          </cell>
          <cell r="V553">
            <v>3</v>
          </cell>
          <cell r="W553">
            <v>1</v>
          </cell>
          <cell r="X553">
            <v>30</v>
          </cell>
          <cell r="Y553">
            <v>1.3</v>
          </cell>
          <cell r="Z553">
            <v>1.3</v>
          </cell>
          <cell r="AA553">
            <v>1.1000000000000001</v>
          </cell>
          <cell r="AB553">
            <v>0</v>
          </cell>
        </row>
        <row r="554">
          <cell r="A554">
            <v>553</v>
          </cell>
          <cell r="B554" t="str">
            <v>雪ミク2016</v>
          </cell>
          <cell r="C554">
            <v>4</v>
          </cell>
          <cell r="D554" t="str">
            <v>blue</v>
          </cell>
          <cell r="E554">
            <v>1</v>
          </cell>
          <cell r="F554">
            <v>0.98</v>
          </cell>
          <cell r="G554">
            <v>1</v>
          </cell>
          <cell r="H554" t="str">
            <v>attack</v>
          </cell>
          <cell r="I554" t="str">
            <v>攻撃タイプ</v>
          </cell>
          <cell r="J554">
            <v>1</v>
          </cell>
          <cell r="K554">
            <v>1.33</v>
          </cell>
          <cell r="L554">
            <v>1</v>
          </cell>
          <cell r="M554" t="str">
            <v>unknown</v>
          </cell>
          <cell r="N554" t="str">
            <v>Unknown</v>
          </cell>
          <cell r="O554">
            <v>1</v>
          </cell>
          <cell r="P554">
            <v>1</v>
          </cell>
          <cell r="Q554">
            <v>1</v>
          </cell>
          <cell r="R554" t="str">
            <v>Boss</v>
          </cell>
          <cell r="S554">
            <v>5</v>
          </cell>
          <cell r="T554">
            <v>1.3</v>
          </cell>
          <cell r="U554">
            <v>0.8</v>
          </cell>
          <cell r="V554">
            <v>3</v>
          </cell>
          <cell r="W554">
            <v>1</v>
          </cell>
          <cell r="X554">
            <v>30</v>
          </cell>
          <cell r="Y554">
            <v>1.3</v>
          </cell>
          <cell r="Z554">
            <v>1.3</v>
          </cell>
          <cell r="AA554">
            <v>1.1000000000000001</v>
          </cell>
          <cell r="AB554">
            <v>0</v>
          </cell>
        </row>
        <row r="555">
          <cell r="A555">
            <v>554</v>
          </cell>
          <cell r="B555" t="str">
            <v>雪ミク&amp;ラビット・ユキネ2016</v>
          </cell>
          <cell r="C555">
            <v>5</v>
          </cell>
          <cell r="D555" t="str">
            <v>blue</v>
          </cell>
          <cell r="E555">
            <v>1</v>
          </cell>
          <cell r="F555">
            <v>0.98</v>
          </cell>
          <cell r="G555">
            <v>1</v>
          </cell>
          <cell r="H555" t="str">
            <v>attack</v>
          </cell>
          <cell r="I555" t="str">
            <v>攻撃タイプ</v>
          </cell>
          <cell r="J555">
            <v>1</v>
          </cell>
          <cell r="K555">
            <v>1.33</v>
          </cell>
          <cell r="L555">
            <v>1</v>
          </cell>
          <cell r="M555" t="str">
            <v>unknown</v>
          </cell>
          <cell r="N555" t="str">
            <v>Unknown</v>
          </cell>
          <cell r="O555">
            <v>1</v>
          </cell>
          <cell r="P555">
            <v>1</v>
          </cell>
          <cell r="Q555">
            <v>1</v>
          </cell>
          <cell r="R555" t="str">
            <v>Boss</v>
          </cell>
          <cell r="S555">
            <v>5</v>
          </cell>
          <cell r="T555">
            <v>1.3</v>
          </cell>
          <cell r="U555">
            <v>0.8</v>
          </cell>
          <cell r="V555">
            <v>3</v>
          </cell>
          <cell r="W555">
            <v>1</v>
          </cell>
          <cell r="X555">
            <v>60</v>
          </cell>
          <cell r="Y555">
            <v>1.7</v>
          </cell>
          <cell r="Z555">
            <v>1.4</v>
          </cell>
          <cell r="AA555">
            <v>1</v>
          </cell>
          <cell r="AB555">
            <v>0</v>
          </cell>
        </row>
        <row r="556">
          <cell r="A556">
            <v>555</v>
          </cell>
          <cell r="B556" t="str">
            <v>雪ミク2014</v>
          </cell>
          <cell r="C556">
            <v>4</v>
          </cell>
          <cell r="D556" t="str">
            <v>blue</v>
          </cell>
          <cell r="E556">
            <v>1</v>
          </cell>
          <cell r="F556">
            <v>0.98</v>
          </cell>
          <cell r="G556">
            <v>1</v>
          </cell>
          <cell r="H556" t="str">
            <v>heal</v>
          </cell>
          <cell r="I556" t="str">
            <v>回復タイプ</v>
          </cell>
          <cell r="J556">
            <v>0.8</v>
          </cell>
          <cell r="K556">
            <v>0.78</v>
          </cell>
          <cell r="L556">
            <v>1</v>
          </cell>
          <cell r="M556" t="str">
            <v>unknown</v>
          </cell>
          <cell r="N556" t="str">
            <v>Unknown</v>
          </cell>
          <cell r="O556">
            <v>1</v>
          </cell>
          <cell r="P556">
            <v>1</v>
          </cell>
          <cell r="Q556">
            <v>1</v>
          </cell>
          <cell r="R556" t="str">
            <v>Boss</v>
          </cell>
          <cell r="S556">
            <v>5</v>
          </cell>
          <cell r="T556">
            <v>1.3</v>
          </cell>
          <cell r="U556">
            <v>0.8</v>
          </cell>
          <cell r="V556">
            <v>3</v>
          </cell>
          <cell r="W556">
            <v>1</v>
          </cell>
          <cell r="X556">
            <v>30</v>
          </cell>
          <cell r="Y556">
            <v>1.3</v>
          </cell>
          <cell r="Z556">
            <v>1.3</v>
          </cell>
          <cell r="AA556">
            <v>1.1000000000000001</v>
          </cell>
          <cell r="AB556">
            <v>0</v>
          </cell>
        </row>
        <row r="557">
          <cell r="A557">
            <v>556</v>
          </cell>
          <cell r="B557" t="str">
            <v>雪ミク&amp;ラビットユキネ2014</v>
          </cell>
          <cell r="C557">
            <v>5</v>
          </cell>
          <cell r="D557" t="str">
            <v>blue</v>
          </cell>
          <cell r="E557">
            <v>1</v>
          </cell>
          <cell r="F557">
            <v>0.98</v>
          </cell>
          <cell r="G557">
            <v>1</v>
          </cell>
          <cell r="H557" t="str">
            <v>heal</v>
          </cell>
          <cell r="I557" t="str">
            <v>回復タイプ</v>
          </cell>
          <cell r="J557">
            <v>0.8</v>
          </cell>
          <cell r="K557">
            <v>0.78</v>
          </cell>
          <cell r="L557">
            <v>1</v>
          </cell>
          <cell r="M557" t="str">
            <v>unknown</v>
          </cell>
          <cell r="N557" t="str">
            <v>Unknown</v>
          </cell>
          <cell r="O557">
            <v>1</v>
          </cell>
          <cell r="P557">
            <v>1</v>
          </cell>
          <cell r="Q557">
            <v>1</v>
          </cell>
          <cell r="R557" t="str">
            <v>Boss</v>
          </cell>
          <cell r="S557">
            <v>5</v>
          </cell>
          <cell r="T557">
            <v>1.3</v>
          </cell>
          <cell r="U557">
            <v>0.8</v>
          </cell>
          <cell r="V557">
            <v>3</v>
          </cell>
          <cell r="W557">
            <v>1</v>
          </cell>
          <cell r="X557">
            <v>60</v>
          </cell>
          <cell r="Y557">
            <v>1.7</v>
          </cell>
          <cell r="Z557">
            <v>1.4</v>
          </cell>
          <cell r="AA557">
            <v>1</v>
          </cell>
          <cell r="AB557">
            <v>0</v>
          </cell>
        </row>
        <row r="558">
          <cell r="A558">
            <v>557</v>
          </cell>
          <cell r="B558" t="str">
            <v>ラビット・ユキネ</v>
          </cell>
          <cell r="C558">
            <v>3</v>
          </cell>
          <cell r="D558" t="str">
            <v>blue</v>
          </cell>
          <cell r="E558">
            <v>1</v>
          </cell>
          <cell r="F558">
            <v>0.98</v>
          </cell>
          <cell r="G558">
            <v>1</v>
          </cell>
          <cell r="H558" t="str">
            <v>balance</v>
          </cell>
          <cell r="I558" t="str">
            <v>バランスタイプ</v>
          </cell>
          <cell r="J558">
            <v>1</v>
          </cell>
          <cell r="K558">
            <v>1</v>
          </cell>
          <cell r="L558">
            <v>1</v>
          </cell>
          <cell r="M558" t="str">
            <v>unknown</v>
          </cell>
          <cell r="N558" t="str">
            <v>Unknown</v>
          </cell>
          <cell r="O558">
            <v>1</v>
          </cell>
          <cell r="P558">
            <v>1</v>
          </cell>
          <cell r="Q558">
            <v>1</v>
          </cell>
          <cell r="R558" t="str">
            <v>Boss</v>
          </cell>
          <cell r="S558">
            <v>5</v>
          </cell>
          <cell r="T558">
            <v>1.3</v>
          </cell>
          <cell r="U558">
            <v>0.8</v>
          </cell>
          <cell r="V558">
            <v>3</v>
          </cell>
          <cell r="W558">
            <v>1</v>
          </cell>
          <cell r="X558">
            <v>25</v>
          </cell>
          <cell r="Y558">
            <v>1.2</v>
          </cell>
          <cell r="Z558">
            <v>1.25</v>
          </cell>
          <cell r="AA558">
            <v>1.1499999999999999</v>
          </cell>
          <cell r="AB558">
            <v>0</v>
          </cell>
        </row>
        <row r="559">
          <cell r="A559">
            <v>558</v>
          </cell>
          <cell r="B559" t="str">
            <v>雪原の超躍 ラビット・ユキネ</v>
          </cell>
          <cell r="C559">
            <v>4</v>
          </cell>
          <cell r="D559" t="str">
            <v>blue</v>
          </cell>
          <cell r="E559">
            <v>1</v>
          </cell>
          <cell r="F559">
            <v>0.98</v>
          </cell>
          <cell r="G559">
            <v>1</v>
          </cell>
          <cell r="H559" t="str">
            <v>balance</v>
          </cell>
          <cell r="I559" t="str">
            <v>バランスタイプ</v>
          </cell>
          <cell r="J559">
            <v>1</v>
          </cell>
          <cell r="K559">
            <v>1</v>
          </cell>
          <cell r="L559">
            <v>1</v>
          </cell>
          <cell r="M559" t="str">
            <v>unknown</v>
          </cell>
          <cell r="N559" t="str">
            <v>Unknown</v>
          </cell>
          <cell r="O559">
            <v>1</v>
          </cell>
          <cell r="P559">
            <v>1</v>
          </cell>
          <cell r="Q559">
            <v>1</v>
          </cell>
          <cell r="R559" t="str">
            <v>Boss</v>
          </cell>
          <cell r="S559">
            <v>5</v>
          </cell>
          <cell r="T559">
            <v>1.3</v>
          </cell>
          <cell r="U559">
            <v>0.8</v>
          </cell>
          <cell r="V559">
            <v>3</v>
          </cell>
          <cell r="W559">
            <v>1</v>
          </cell>
          <cell r="X559">
            <v>30</v>
          </cell>
          <cell r="Y559">
            <v>1.3</v>
          </cell>
          <cell r="Z559">
            <v>1.3</v>
          </cell>
          <cell r="AA559">
            <v>1.1000000000000001</v>
          </cell>
          <cell r="AB559">
            <v>0</v>
          </cell>
        </row>
        <row r="560">
          <cell r="A560">
            <v>559</v>
          </cell>
          <cell r="B560" t="str">
            <v>白銀の滑光 ラビット・ユキネ</v>
          </cell>
          <cell r="C560">
            <v>5</v>
          </cell>
          <cell r="D560" t="str">
            <v>blue</v>
          </cell>
          <cell r="E560">
            <v>1</v>
          </cell>
          <cell r="F560">
            <v>0.98</v>
          </cell>
          <cell r="G560">
            <v>1</v>
          </cell>
          <cell r="H560" t="str">
            <v>balance</v>
          </cell>
          <cell r="I560" t="str">
            <v>バランスタイプ</v>
          </cell>
          <cell r="J560">
            <v>1</v>
          </cell>
          <cell r="K560">
            <v>1</v>
          </cell>
          <cell r="L560">
            <v>1</v>
          </cell>
          <cell r="M560" t="str">
            <v>unknown</v>
          </cell>
          <cell r="N560" t="str">
            <v>Unknown</v>
          </cell>
          <cell r="O560">
            <v>1</v>
          </cell>
          <cell r="P560">
            <v>1</v>
          </cell>
          <cell r="Q560">
            <v>1</v>
          </cell>
          <cell r="R560" t="str">
            <v>Boss</v>
          </cell>
          <cell r="S560">
            <v>5</v>
          </cell>
          <cell r="T560">
            <v>1.3</v>
          </cell>
          <cell r="U560">
            <v>0.8</v>
          </cell>
          <cell r="V560">
            <v>3</v>
          </cell>
          <cell r="W560">
            <v>1</v>
          </cell>
          <cell r="X560">
            <v>60</v>
          </cell>
          <cell r="Y560">
            <v>1.7</v>
          </cell>
          <cell r="Z560">
            <v>1.4</v>
          </cell>
          <cell r="AA560">
            <v>1</v>
          </cell>
          <cell r="AB560">
            <v>0</v>
          </cell>
        </row>
        <row r="561">
          <cell r="A561">
            <v>560</v>
          </cell>
          <cell r="B561" t="str">
            <v>暴骨炎舞の狂賢者 ユノ</v>
          </cell>
          <cell r="C561">
            <v>5</v>
          </cell>
          <cell r="D561" t="str">
            <v>red</v>
          </cell>
          <cell r="E561">
            <v>1</v>
          </cell>
          <cell r="F561">
            <v>1.02</v>
          </cell>
          <cell r="G561">
            <v>1</v>
          </cell>
          <cell r="H561" t="str">
            <v>attack</v>
          </cell>
          <cell r="I561" t="str">
            <v>攻撃タイプ</v>
          </cell>
          <cell r="J561">
            <v>1</v>
          </cell>
          <cell r="K561">
            <v>1.33</v>
          </cell>
          <cell r="L561">
            <v>1</v>
          </cell>
          <cell r="M561" t="str">
            <v>human</v>
          </cell>
          <cell r="N561" t="str">
            <v>ヒューマン</v>
          </cell>
          <cell r="O561">
            <v>0.94</v>
          </cell>
          <cell r="P561">
            <v>0.99</v>
          </cell>
          <cell r="Q561">
            <v>1</v>
          </cell>
          <cell r="R561" t="str">
            <v>Boss</v>
          </cell>
          <cell r="S561">
            <v>5</v>
          </cell>
          <cell r="T561">
            <v>1.3</v>
          </cell>
          <cell r="U561">
            <v>0.8</v>
          </cell>
          <cell r="V561">
            <v>3</v>
          </cell>
          <cell r="W561">
            <v>1</v>
          </cell>
          <cell r="X561">
            <v>60</v>
          </cell>
          <cell r="Y561">
            <v>1.1000000000000001</v>
          </cell>
          <cell r="Z561">
            <v>1.2</v>
          </cell>
          <cell r="AA561">
            <v>1.2</v>
          </cell>
          <cell r="AB561">
            <v>0</v>
          </cell>
        </row>
        <row r="562">
          <cell r="A562">
            <v>561</v>
          </cell>
          <cell r="B562" t="str">
            <v>森翠統べる獣姫 アマラ</v>
          </cell>
          <cell r="C562">
            <v>5</v>
          </cell>
          <cell r="D562" t="str">
            <v>green</v>
          </cell>
          <cell r="E562">
            <v>1.02</v>
          </cell>
          <cell r="F562">
            <v>0.98</v>
          </cell>
          <cell r="G562">
            <v>1</v>
          </cell>
          <cell r="H562" t="str">
            <v>attack</v>
          </cell>
          <cell r="I562" t="str">
            <v>攻撃タイプ</v>
          </cell>
          <cell r="J562">
            <v>1</v>
          </cell>
          <cell r="K562">
            <v>1.33</v>
          </cell>
          <cell r="L562">
            <v>1</v>
          </cell>
          <cell r="M562" t="str">
            <v>human</v>
          </cell>
          <cell r="N562" t="str">
            <v>ヒューマン</v>
          </cell>
          <cell r="O562">
            <v>0.94</v>
          </cell>
          <cell r="P562">
            <v>0.99</v>
          </cell>
          <cell r="Q562">
            <v>1</v>
          </cell>
          <cell r="R562" t="str">
            <v>Boss</v>
          </cell>
          <cell r="S562">
            <v>5</v>
          </cell>
          <cell r="T562">
            <v>1.3</v>
          </cell>
          <cell r="U562">
            <v>0.8</v>
          </cell>
          <cell r="V562">
            <v>3</v>
          </cell>
          <cell r="W562">
            <v>1</v>
          </cell>
          <cell r="X562">
            <v>60</v>
          </cell>
          <cell r="Y562">
            <v>1.1000000000000001</v>
          </cell>
          <cell r="Z562">
            <v>1.2</v>
          </cell>
          <cell r="AA562">
            <v>1.2</v>
          </cell>
          <cell r="AB562">
            <v>0</v>
          </cell>
        </row>
        <row r="563">
          <cell r="A563">
            <v>562</v>
          </cell>
          <cell r="B563" t="str">
            <v>月夜砕く蒼狂狼 ローレンス</v>
          </cell>
          <cell r="C563">
            <v>5</v>
          </cell>
          <cell r="D563" t="str">
            <v>blue</v>
          </cell>
          <cell r="E563">
            <v>1</v>
          </cell>
          <cell r="F563">
            <v>0.98</v>
          </cell>
          <cell r="G563">
            <v>1</v>
          </cell>
          <cell r="H563" t="str">
            <v>attack</v>
          </cell>
          <cell r="I563" t="str">
            <v>攻撃タイプ</v>
          </cell>
          <cell r="J563">
            <v>1</v>
          </cell>
          <cell r="K563">
            <v>1.33</v>
          </cell>
          <cell r="L563">
            <v>1</v>
          </cell>
          <cell r="M563" t="str">
            <v>animal</v>
          </cell>
          <cell r="N563" t="str">
            <v>アニマル</v>
          </cell>
          <cell r="O563">
            <v>1</v>
          </cell>
          <cell r="P563">
            <v>1.1000000000000001</v>
          </cell>
          <cell r="Q563">
            <v>1</v>
          </cell>
          <cell r="R563" t="str">
            <v>Boss</v>
          </cell>
          <cell r="S563">
            <v>5</v>
          </cell>
          <cell r="T563">
            <v>1.3</v>
          </cell>
          <cell r="U563">
            <v>0.8</v>
          </cell>
          <cell r="V563">
            <v>3</v>
          </cell>
          <cell r="W563">
            <v>1</v>
          </cell>
          <cell r="X563">
            <v>60</v>
          </cell>
          <cell r="Y563">
            <v>1.1000000000000001</v>
          </cell>
          <cell r="Z563">
            <v>1.2</v>
          </cell>
          <cell r="AA563">
            <v>1.2</v>
          </cell>
          <cell r="AB563">
            <v>0</v>
          </cell>
        </row>
        <row r="564">
          <cell r="A564">
            <v>563</v>
          </cell>
          <cell r="B564" t="str">
            <v>電翔紫閃の雷刃 ハヤト</v>
          </cell>
          <cell r="C564">
            <v>5</v>
          </cell>
          <cell r="D564" t="str">
            <v>yellow</v>
          </cell>
          <cell r="E564">
            <v>0.98</v>
          </cell>
          <cell r="F564">
            <v>1.01</v>
          </cell>
          <cell r="G564">
            <v>1</v>
          </cell>
          <cell r="H564" t="str">
            <v>attack</v>
          </cell>
          <cell r="I564" t="str">
            <v>攻撃タイプ</v>
          </cell>
          <cell r="J564">
            <v>1</v>
          </cell>
          <cell r="K564">
            <v>1.33</v>
          </cell>
          <cell r="L564">
            <v>1</v>
          </cell>
          <cell r="M564" t="str">
            <v>human</v>
          </cell>
          <cell r="N564" t="str">
            <v>ヒューマン</v>
          </cell>
          <cell r="O564">
            <v>0.94</v>
          </cell>
          <cell r="P564">
            <v>0.99</v>
          </cell>
          <cell r="Q564">
            <v>1</v>
          </cell>
          <cell r="R564" t="str">
            <v>Boss</v>
          </cell>
          <cell r="S564">
            <v>5</v>
          </cell>
          <cell r="T564">
            <v>1.3</v>
          </cell>
          <cell r="U564">
            <v>0.8</v>
          </cell>
          <cell r="V564">
            <v>3</v>
          </cell>
          <cell r="W564">
            <v>1</v>
          </cell>
          <cell r="X564">
            <v>60</v>
          </cell>
          <cell r="Y564">
            <v>1.1000000000000001</v>
          </cell>
          <cell r="Z564">
            <v>1.2</v>
          </cell>
          <cell r="AA564">
            <v>1.2</v>
          </cell>
          <cell r="AB564">
            <v>0</v>
          </cell>
        </row>
        <row r="565">
          <cell r="A565">
            <v>564</v>
          </cell>
          <cell r="B565" t="str">
            <v>赤ずきん</v>
          </cell>
          <cell r="C565">
            <v>5</v>
          </cell>
          <cell r="D565" t="str">
            <v>red</v>
          </cell>
          <cell r="E565">
            <v>1</v>
          </cell>
          <cell r="F565">
            <v>1.02</v>
          </cell>
          <cell r="G565">
            <v>1</v>
          </cell>
          <cell r="H565" t="str">
            <v>balance</v>
          </cell>
          <cell r="I565" t="str">
            <v>バランスタイプ</v>
          </cell>
          <cell r="J565">
            <v>1</v>
          </cell>
          <cell r="K565">
            <v>1</v>
          </cell>
          <cell r="L565">
            <v>1</v>
          </cell>
          <cell r="M565" t="str">
            <v>human</v>
          </cell>
          <cell r="N565" t="str">
            <v>ヒューマン</v>
          </cell>
          <cell r="O565">
            <v>0.94</v>
          </cell>
          <cell r="P565">
            <v>0.99</v>
          </cell>
          <cell r="Q565">
            <v>1</v>
          </cell>
          <cell r="R565" t="str">
            <v>Boss</v>
          </cell>
          <cell r="S565">
            <v>5</v>
          </cell>
          <cell r="T565">
            <v>1.3</v>
          </cell>
          <cell r="U565">
            <v>0.8</v>
          </cell>
          <cell r="V565">
            <v>3</v>
          </cell>
          <cell r="W565">
            <v>1</v>
          </cell>
          <cell r="X565">
            <v>60</v>
          </cell>
          <cell r="Y565">
            <v>1.7</v>
          </cell>
          <cell r="Z565">
            <v>1.4</v>
          </cell>
          <cell r="AA565">
            <v>1</v>
          </cell>
          <cell r="AB565">
            <v>0</v>
          </cell>
        </row>
        <row r="566">
          <cell r="A566">
            <v>565</v>
          </cell>
          <cell r="B566" t="str">
            <v>かぐや</v>
          </cell>
          <cell r="C566">
            <v>5</v>
          </cell>
          <cell r="D566" t="str">
            <v>green</v>
          </cell>
          <cell r="E566">
            <v>1.02</v>
          </cell>
          <cell r="F566">
            <v>0.98</v>
          </cell>
          <cell r="G566">
            <v>1</v>
          </cell>
          <cell r="H566" t="str">
            <v>hp</v>
          </cell>
          <cell r="I566" t="str">
            <v>体力タイプ</v>
          </cell>
          <cell r="J566">
            <v>1.45</v>
          </cell>
          <cell r="K566">
            <v>0.85</v>
          </cell>
          <cell r="L566">
            <v>1</v>
          </cell>
          <cell r="M566" t="str">
            <v>human</v>
          </cell>
          <cell r="N566" t="str">
            <v>ヒューマン</v>
          </cell>
          <cell r="O566">
            <v>0.94</v>
          </cell>
          <cell r="P566">
            <v>0.99</v>
          </cell>
          <cell r="Q566">
            <v>1</v>
          </cell>
          <cell r="R566" t="str">
            <v>Boss</v>
          </cell>
          <cell r="S566">
            <v>5</v>
          </cell>
          <cell r="T566">
            <v>1.3</v>
          </cell>
          <cell r="U566">
            <v>0.8</v>
          </cell>
          <cell r="V566">
            <v>3</v>
          </cell>
          <cell r="W566">
            <v>1</v>
          </cell>
          <cell r="X566">
            <v>60</v>
          </cell>
          <cell r="Y566">
            <v>1.7</v>
          </cell>
          <cell r="Z566">
            <v>1.4</v>
          </cell>
          <cell r="AA566">
            <v>1</v>
          </cell>
          <cell r="AB566">
            <v>0</v>
          </cell>
        </row>
        <row r="567">
          <cell r="A567">
            <v>566</v>
          </cell>
          <cell r="B567" t="str">
            <v>遊歩遊泳プリンセス マーメイド</v>
          </cell>
          <cell r="C567">
            <v>5</v>
          </cell>
          <cell r="D567" t="str">
            <v>blue</v>
          </cell>
          <cell r="E567">
            <v>1</v>
          </cell>
          <cell r="F567">
            <v>0.98</v>
          </cell>
          <cell r="G567">
            <v>1</v>
          </cell>
          <cell r="H567" t="str">
            <v>hp</v>
          </cell>
          <cell r="I567" t="str">
            <v>体力タイプ</v>
          </cell>
          <cell r="J567">
            <v>1.45</v>
          </cell>
          <cell r="K567">
            <v>0.85</v>
          </cell>
          <cell r="L567">
            <v>1</v>
          </cell>
          <cell r="M567" t="str">
            <v>human</v>
          </cell>
          <cell r="N567" t="str">
            <v>ヒューマン</v>
          </cell>
          <cell r="O567">
            <v>0.94</v>
          </cell>
          <cell r="P567">
            <v>0.99</v>
          </cell>
          <cell r="Q567">
            <v>1</v>
          </cell>
          <cell r="R567" t="str">
            <v>Boss</v>
          </cell>
          <cell r="S567">
            <v>5</v>
          </cell>
          <cell r="T567">
            <v>1.3</v>
          </cell>
          <cell r="U567">
            <v>0.8</v>
          </cell>
          <cell r="V567">
            <v>3</v>
          </cell>
          <cell r="W567">
            <v>1</v>
          </cell>
          <cell r="X567">
            <v>60</v>
          </cell>
          <cell r="Y567">
            <v>1.7</v>
          </cell>
          <cell r="Z567">
            <v>1.4</v>
          </cell>
          <cell r="AA567">
            <v>1</v>
          </cell>
          <cell r="AB567">
            <v>0</v>
          </cell>
        </row>
        <row r="568">
          <cell r="A568">
            <v>567</v>
          </cell>
          <cell r="B568" t="str">
            <v>紅揚の祭狐宴舞 タマモ</v>
          </cell>
          <cell r="C568">
            <v>5</v>
          </cell>
          <cell r="D568" t="str">
            <v>yellow</v>
          </cell>
          <cell r="E568">
            <v>0.98</v>
          </cell>
          <cell r="F568">
            <v>1.01</v>
          </cell>
          <cell r="G568">
            <v>1</v>
          </cell>
          <cell r="H568" t="str">
            <v>balance</v>
          </cell>
          <cell r="I568" t="str">
            <v>バランスタイプ</v>
          </cell>
          <cell r="J568">
            <v>1</v>
          </cell>
          <cell r="K568">
            <v>1</v>
          </cell>
          <cell r="L568">
            <v>1</v>
          </cell>
          <cell r="M568" t="str">
            <v>animal</v>
          </cell>
          <cell r="N568" t="str">
            <v>アニマル</v>
          </cell>
          <cell r="O568">
            <v>1</v>
          </cell>
          <cell r="P568">
            <v>1.1000000000000001</v>
          </cell>
          <cell r="Q568">
            <v>1</v>
          </cell>
          <cell r="R568" t="str">
            <v>Boss</v>
          </cell>
          <cell r="S568">
            <v>5</v>
          </cell>
          <cell r="T568">
            <v>1.3</v>
          </cell>
          <cell r="U568">
            <v>0.8</v>
          </cell>
          <cell r="V568">
            <v>3</v>
          </cell>
          <cell r="W568">
            <v>1</v>
          </cell>
          <cell r="X568">
            <v>60</v>
          </cell>
          <cell r="Y568">
            <v>1.7</v>
          </cell>
          <cell r="Z568">
            <v>1.4</v>
          </cell>
          <cell r="AA568">
            <v>1</v>
          </cell>
          <cell r="AB568">
            <v>0</v>
          </cell>
        </row>
        <row r="569">
          <cell r="A569">
            <v>568</v>
          </cell>
          <cell r="B569" t="str">
            <v>空駆ける電能師 テスラ</v>
          </cell>
          <cell r="C569">
            <v>6</v>
          </cell>
          <cell r="D569" t="str">
            <v>yellow</v>
          </cell>
          <cell r="E569">
            <v>0.98</v>
          </cell>
          <cell r="F569">
            <v>1.01</v>
          </cell>
          <cell r="G569">
            <v>1</v>
          </cell>
          <cell r="H569" t="str">
            <v>balance</v>
          </cell>
          <cell r="I569" t="str">
            <v>バランスタイプ</v>
          </cell>
          <cell r="J569">
            <v>1</v>
          </cell>
          <cell r="K569">
            <v>1</v>
          </cell>
          <cell r="L569">
            <v>1</v>
          </cell>
          <cell r="M569" t="str">
            <v>human</v>
          </cell>
          <cell r="N569" t="str">
            <v>ヒューマン</v>
          </cell>
          <cell r="O569">
            <v>0.94</v>
          </cell>
          <cell r="P569">
            <v>0.99</v>
          </cell>
          <cell r="Q569">
            <v>1</v>
          </cell>
          <cell r="R569" t="str">
            <v>Boss</v>
          </cell>
          <cell r="S569">
            <v>5</v>
          </cell>
          <cell r="T569">
            <v>1.3</v>
          </cell>
          <cell r="U569">
            <v>0.8</v>
          </cell>
          <cell r="V569">
            <v>3</v>
          </cell>
          <cell r="W569">
            <v>1</v>
          </cell>
          <cell r="X569">
            <v>60</v>
          </cell>
          <cell r="Y569">
            <v>1.7</v>
          </cell>
          <cell r="Z569">
            <v>1.4</v>
          </cell>
          <cell r="AA569">
            <v>1</v>
          </cell>
          <cell r="AB569">
            <v>0</v>
          </cell>
        </row>
        <row r="570">
          <cell r="A570">
            <v>569</v>
          </cell>
          <cell r="B570" t="str">
            <v>ハッピー102</v>
          </cell>
          <cell r="C570">
            <v>5</v>
          </cell>
          <cell r="D570" t="str">
            <v>green</v>
          </cell>
          <cell r="E570">
            <v>1.02</v>
          </cell>
          <cell r="F570">
            <v>0.98</v>
          </cell>
          <cell r="G570">
            <v>1</v>
          </cell>
          <cell r="H570" t="str">
            <v>heal</v>
          </cell>
          <cell r="I570" t="str">
            <v>回復タイプ</v>
          </cell>
          <cell r="J570">
            <v>0.8</v>
          </cell>
          <cell r="K570">
            <v>0.78</v>
          </cell>
          <cell r="L570">
            <v>1</v>
          </cell>
          <cell r="M570" t="str">
            <v>unknown</v>
          </cell>
          <cell r="N570" t="str">
            <v>Unknown</v>
          </cell>
          <cell r="O570">
            <v>1</v>
          </cell>
          <cell r="P570">
            <v>1</v>
          </cell>
          <cell r="Q570">
            <v>1</v>
          </cell>
          <cell r="R570" t="str">
            <v>Boss</v>
          </cell>
          <cell r="S570">
            <v>5</v>
          </cell>
          <cell r="T570">
            <v>1.3</v>
          </cell>
          <cell r="U570">
            <v>0.8</v>
          </cell>
          <cell r="V570">
            <v>3</v>
          </cell>
          <cell r="W570">
            <v>1</v>
          </cell>
          <cell r="X570">
            <v>60</v>
          </cell>
          <cell r="Y570">
            <v>1.7</v>
          </cell>
          <cell r="Z570">
            <v>1.4</v>
          </cell>
          <cell r="AA570">
            <v>1</v>
          </cell>
          <cell r="AB570">
            <v>0</v>
          </cell>
        </row>
        <row r="571">
          <cell r="A571">
            <v>570</v>
          </cell>
          <cell r="B571" t="str">
            <v>幸響の電心 ハッピー</v>
          </cell>
          <cell r="C571">
            <v>6</v>
          </cell>
          <cell r="D571" t="str">
            <v>green</v>
          </cell>
          <cell r="E571">
            <v>1.02</v>
          </cell>
          <cell r="F571">
            <v>0.98</v>
          </cell>
          <cell r="G571">
            <v>1</v>
          </cell>
          <cell r="H571" t="str">
            <v>heal</v>
          </cell>
          <cell r="I571" t="str">
            <v>回復タイプ</v>
          </cell>
          <cell r="J571">
            <v>0.8</v>
          </cell>
          <cell r="K571">
            <v>0.78</v>
          </cell>
          <cell r="L571">
            <v>1</v>
          </cell>
          <cell r="M571" t="str">
            <v>unknown</v>
          </cell>
          <cell r="N571" t="str">
            <v>Unknown</v>
          </cell>
          <cell r="O571">
            <v>1</v>
          </cell>
          <cell r="P571">
            <v>1</v>
          </cell>
          <cell r="Q571">
            <v>1</v>
          </cell>
          <cell r="R571" t="str">
            <v>Boss</v>
          </cell>
          <cell r="S571">
            <v>5</v>
          </cell>
          <cell r="T571">
            <v>1.3</v>
          </cell>
          <cell r="U571">
            <v>0.8</v>
          </cell>
          <cell r="V571">
            <v>3</v>
          </cell>
          <cell r="W571">
            <v>1</v>
          </cell>
          <cell r="X571">
            <v>60</v>
          </cell>
          <cell r="Y571">
            <v>1.7</v>
          </cell>
          <cell r="Z571">
            <v>1.4</v>
          </cell>
          <cell r="AA571">
            <v>1</v>
          </cell>
          <cell r="AB571">
            <v>0</v>
          </cell>
        </row>
        <row r="572">
          <cell r="A572">
            <v>571</v>
          </cell>
          <cell r="B572" t="str">
            <v>ハッピー バレンタイン</v>
          </cell>
          <cell r="C572">
            <v>3</v>
          </cell>
          <cell r="D572" t="str">
            <v>green</v>
          </cell>
          <cell r="E572">
            <v>1.02</v>
          </cell>
          <cell r="F572">
            <v>0.98</v>
          </cell>
          <cell r="G572">
            <v>1</v>
          </cell>
          <cell r="H572" t="str">
            <v>heal</v>
          </cell>
          <cell r="I572" t="str">
            <v>回復タイプ</v>
          </cell>
          <cell r="J572">
            <v>0.8</v>
          </cell>
          <cell r="K572">
            <v>0.78</v>
          </cell>
          <cell r="L572">
            <v>1</v>
          </cell>
          <cell r="M572" t="str">
            <v>unknown</v>
          </cell>
          <cell r="N572" t="str">
            <v>Unknown</v>
          </cell>
          <cell r="O572">
            <v>1</v>
          </cell>
          <cell r="P572">
            <v>1</v>
          </cell>
          <cell r="Q572">
            <v>1</v>
          </cell>
          <cell r="R572" t="str">
            <v>Boss</v>
          </cell>
          <cell r="S572">
            <v>5</v>
          </cell>
          <cell r="T572">
            <v>1.3</v>
          </cell>
          <cell r="U572">
            <v>0.8</v>
          </cell>
          <cell r="V572">
            <v>3</v>
          </cell>
          <cell r="W572">
            <v>1</v>
          </cell>
          <cell r="X572">
            <v>25</v>
          </cell>
          <cell r="Y572">
            <v>1.2</v>
          </cell>
          <cell r="Z572">
            <v>1.25</v>
          </cell>
          <cell r="AA572">
            <v>1.1499999999999999</v>
          </cell>
          <cell r="AB572">
            <v>0</v>
          </cell>
        </row>
        <row r="573">
          <cell r="A573">
            <v>572</v>
          </cell>
          <cell r="B573" t="str">
            <v>恋する果実</v>
          </cell>
          <cell r="C573">
            <v>3</v>
          </cell>
          <cell r="D573" t="str">
            <v>blue</v>
          </cell>
          <cell r="E573">
            <v>1</v>
          </cell>
          <cell r="F573">
            <v>0.98</v>
          </cell>
          <cell r="G573">
            <v>1</v>
          </cell>
          <cell r="H573" t="str">
            <v>skilllevel</v>
          </cell>
          <cell r="I573" t="str">
            <v>スキルレベル素材</v>
          </cell>
          <cell r="J573">
            <v>0.1</v>
          </cell>
          <cell r="K573">
            <v>0.05</v>
          </cell>
          <cell r="L573">
            <v>1</v>
          </cell>
          <cell r="M573" t="str">
            <v>unknown</v>
          </cell>
          <cell r="N573" t="str">
            <v>Unknown</v>
          </cell>
          <cell r="O573">
            <v>1</v>
          </cell>
          <cell r="P573">
            <v>1</v>
          </cell>
          <cell r="Q573">
            <v>1</v>
          </cell>
          <cell r="R573" t="str">
            <v>Boss</v>
          </cell>
          <cell r="S573">
            <v>5</v>
          </cell>
          <cell r="T573">
            <v>1.3</v>
          </cell>
          <cell r="U573">
            <v>0.8</v>
          </cell>
          <cell r="V573">
            <v>3</v>
          </cell>
          <cell r="W573">
            <v>1</v>
          </cell>
          <cell r="X573">
            <v>25</v>
          </cell>
          <cell r="Y573">
            <v>1.2</v>
          </cell>
          <cell r="Z573">
            <v>1.25</v>
          </cell>
          <cell r="AA573">
            <v>1.1499999999999999</v>
          </cell>
          <cell r="AB573">
            <v>0</v>
          </cell>
        </row>
        <row r="574">
          <cell r="A574">
            <v>573</v>
          </cell>
          <cell r="B574" t="str">
            <v>オーディン</v>
          </cell>
          <cell r="C574">
            <v>4</v>
          </cell>
          <cell r="D574" t="str">
            <v>blue</v>
          </cell>
          <cell r="E574">
            <v>1</v>
          </cell>
          <cell r="F574">
            <v>0.98</v>
          </cell>
          <cell r="G574">
            <v>1</v>
          </cell>
          <cell r="H574" t="str">
            <v>hp</v>
          </cell>
          <cell r="I574" t="str">
            <v>体力タイプ</v>
          </cell>
          <cell r="J574">
            <v>1.45</v>
          </cell>
          <cell r="K574">
            <v>0.85</v>
          </cell>
          <cell r="L574">
            <v>1</v>
          </cell>
          <cell r="M574" t="str">
            <v>machine</v>
          </cell>
          <cell r="N574" t="str">
            <v>マシン</v>
          </cell>
          <cell r="O574">
            <v>1</v>
          </cell>
          <cell r="P574">
            <v>1</v>
          </cell>
          <cell r="Q574">
            <v>1</v>
          </cell>
          <cell r="R574" t="str">
            <v>Boss</v>
          </cell>
          <cell r="S574">
            <v>5</v>
          </cell>
          <cell r="T574">
            <v>1.3</v>
          </cell>
          <cell r="U574">
            <v>0.8</v>
          </cell>
          <cell r="V574">
            <v>3</v>
          </cell>
          <cell r="W574">
            <v>1</v>
          </cell>
          <cell r="X574">
            <v>30</v>
          </cell>
          <cell r="Y574">
            <v>1.3</v>
          </cell>
          <cell r="Z574">
            <v>1.3</v>
          </cell>
          <cell r="AA574">
            <v>1.1000000000000001</v>
          </cell>
          <cell r="AB574">
            <v>0</v>
          </cell>
        </row>
        <row r="575">
          <cell r="A575">
            <v>574</v>
          </cell>
          <cell r="B575" t="str">
            <v>世慧の守神 オーディン</v>
          </cell>
          <cell r="C575">
            <v>5</v>
          </cell>
          <cell r="D575" t="str">
            <v>blue</v>
          </cell>
          <cell r="E575">
            <v>1</v>
          </cell>
          <cell r="F575">
            <v>0.98</v>
          </cell>
          <cell r="G575">
            <v>1</v>
          </cell>
          <cell r="H575" t="str">
            <v>hp</v>
          </cell>
          <cell r="I575" t="str">
            <v>体力タイプ</v>
          </cell>
          <cell r="J575">
            <v>1.45</v>
          </cell>
          <cell r="K575">
            <v>0.85</v>
          </cell>
          <cell r="L575">
            <v>1</v>
          </cell>
          <cell r="M575" t="str">
            <v>machine</v>
          </cell>
          <cell r="N575" t="str">
            <v>マシン</v>
          </cell>
          <cell r="O575">
            <v>1</v>
          </cell>
          <cell r="P575">
            <v>1</v>
          </cell>
          <cell r="Q575">
            <v>1</v>
          </cell>
          <cell r="R575" t="str">
            <v>Boss</v>
          </cell>
          <cell r="S575">
            <v>5</v>
          </cell>
          <cell r="T575">
            <v>1.3</v>
          </cell>
          <cell r="U575">
            <v>0.8</v>
          </cell>
          <cell r="V575">
            <v>3</v>
          </cell>
          <cell r="W575">
            <v>1</v>
          </cell>
          <cell r="X575">
            <v>60</v>
          </cell>
          <cell r="Y575">
            <v>1.7</v>
          </cell>
          <cell r="Z575">
            <v>1.4</v>
          </cell>
          <cell r="AA575">
            <v>1</v>
          </cell>
          <cell r="AB575">
            <v>0</v>
          </cell>
        </row>
        <row r="576">
          <cell r="A576">
            <v>575</v>
          </cell>
          <cell r="B576" t="str">
            <v>フレイ</v>
          </cell>
          <cell r="C576">
            <v>4</v>
          </cell>
          <cell r="D576" t="str">
            <v>red</v>
          </cell>
          <cell r="E576">
            <v>1</v>
          </cell>
          <cell r="F576">
            <v>1.02</v>
          </cell>
          <cell r="G576">
            <v>1</v>
          </cell>
          <cell r="H576" t="str">
            <v>attack</v>
          </cell>
          <cell r="I576" t="str">
            <v>攻撃タイプ</v>
          </cell>
          <cell r="J576">
            <v>1</v>
          </cell>
          <cell r="K576">
            <v>1.33</v>
          </cell>
          <cell r="L576">
            <v>1</v>
          </cell>
          <cell r="M576" t="str">
            <v>animal</v>
          </cell>
          <cell r="N576" t="str">
            <v>アニマル</v>
          </cell>
          <cell r="O576">
            <v>1</v>
          </cell>
          <cell r="P576">
            <v>1.1000000000000001</v>
          </cell>
          <cell r="Q576">
            <v>1</v>
          </cell>
          <cell r="R576" t="str">
            <v>Boss</v>
          </cell>
          <cell r="S576">
            <v>5</v>
          </cell>
          <cell r="T576">
            <v>1.3</v>
          </cell>
          <cell r="U576">
            <v>0.8</v>
          </cell>
          <cell r="V576">
            <v>3</v>
          </cell>
          <cell r="W576">
            <v>1</v>
          </cell>
          <cell r="X576">
            <v>30</v>
          </cell>
          <cell r="Y576">
            <v>1.3</v>
          </cell>
          <cell r="Z576">
            <v>1.3</v>
          </cell>
          <cell r="AA576">
            <v>1.1000000000000001</v>
          </cell>
          <cell r="AB576">
            <v>0</v>
          </cell>
        </row>
        <row r="577">
          <cell r="A577">
            <v>576</v>
          </cell>
          <cell r="B577" t="str">
            <v>統勝の豊穣王神 フレイ</v>
          </cell>
          <cell r="C577">
            <v>5</v>
          </cell>
          <cell r="D577" t="str">
            <v>red</v>
          </cell>
          <cell r="E577">
            <v>1</v>
          </cell>
          <cell r="F577">
            <v>1.02</v>
          </cell>
          <cell r="G577">
            <v>1</v>
          </cell>
          <cell r="H577" t="str">
            <v>attack</v>
          </cell>
          <cell r="I577" t="str">
            <v>攻撃タイプ</v>
          </cell>
          <cell r="J577">
            <v>1</v>
          </cell>
          <cell r="K577">
            <v>1.33</v>
          </cell>
          <cell r="L577">
            <v>1</v>
          </cell>
          <cell r="M577" t="str">
            <v>animal</v>
          </cell>
          <cell r="N577" t="str">
            <v>アニマル</v>
          </cell>
          <cell r="O577">
            <v>1</v>
          </cell>
          <cell r="P577">
            <v>1.1000000000000001</v>
          </cell>
          <cell r="Q577">
            <v>1</v>
          </cell>
          <cell r="R577" t="str">
            <v>Boss</v>
          </cell>
          <cell r="S577">
            <v>5</v>
          </cell>
          <cell r="T577">
            <v>1.3</v>
          </cell>
          <cell r="U577">
            <v>0.8</v>
          </cell>
          <cell r="V577">
            <v>3</v>
          </cell>
          <cell r="W577">
            <v>1</v>
          </cell>
          <cell r="X577">
            <v>60</v>
          </cell>
          <cell r="Y577">
            <v>1.7</v>
          </cell>
          <cell r="Z577">
            <v>1.4</v>
          </cell>
          <cell r="AA577">
            <v>1</v>
          </cell>
          <cell r="AB577">
            <v>0</v>
          </cell>
        </row>
        <row r="578">
          <cell r="A578">
            <v>577</v>
          </cell>
          <cell r="B578" t="str">
            <v>ビュグヴィルとベイラ</v>
          </cell>
          <cell r="C578">
            <v>4</v>
          </cell>
          <cell r="D578" t="str">
            <v>red</v>
          </cell>
          <cell r="E578">
            <v>1</v>
          </cell>
          <cell r="F578">
            <v>1.02</v>
          </cell>
          <cell r="G578">
            <v>1</v>
          </cell>
          <cell r="H578" t="str">
            <v>heal</v>
          </cell>
          <cell r="I578" t="str">
            <v>回復タイプ</v>
          </cell>
          <cell r="J578">
            <v>1</v>
          </cell>
          <cell r="K578">
            <v>1</v>
          </cell>
          <cell r="L578">
            <v>1</v>
          </cell>
          <cell r="M578" t="str">
            <v>unknown</v>
          </cell>
          <cell r="N578" t="str">
            <v>Unknown</v>
          </cell>
          <cell r="O578">
            <v>1</v>
          </cell>
          <cell r="P578">
            <v>1</v>
          </cell>
          <cell r="Q578">
            <v>1</v>
          </cell>
          <cell r="R578" t="str">
            <v>Boss</v>
          </cell>
          <cell r="S578">
            <v>5</v>
          </cell>
          <cell r="T578">
            <v>1.3</v>
          </cell>
          <cell r="U578">
            <v>0.8</v>
          </cell>
          <cell r="V578">
            <v>3</v>
          </cell>
          <cell r="W578">
            <v>1</v>
          </cell>
          <cell r="X578">
            <v>30</v>
          </cell>
          <cell r="Y578">
            <v>1.3</v>
          </cell>
          <cell r="Z578">
            <v>1.3</v>
          </cell>
          <cell r="AA578">
            <v>1.1000000000000001</v>
          </cell>
          <cell r="AB578">
            <v>0</v>
          </cell>
        </row>
        <row r="579">
          <cell r="A579">
            <v>578</v>
          </cell>
          <cell r="B579" t="str">
            <v>穣神従事 ビュグヴィルとベイラ</v>
          </cell>
          <cell r="C579">
            <v>5</v>
          </cell>
          <cell r="D579" t="str">
            <v>red</v>
          </cell>
          <cell r="E579">
            <v>1</v>
          </cell>
          <cell r="F579">
            <v>1.02</v>
          </cell>
          <cell r="G579">
            <v>1</v>
          </cell>
          <cell r="H579" t="str">
            <v>heal</v>
          </cell>
          <cell r="I579" t="str">
            <v>回復タイプ</v>
          </cell>
          <cell r="J579">
            <v>1</v>
          </cell>
          <cell r="K579">
            <v>1</v>
          </cell>
          <cell r="L579">
            <v>1</v>
          </cell>
          <cell r="M579" t="str">
            <v>unknown</v>
          </cell>
          <cell r="N579" t="str">
            <v>Unknown</v>
          </cell>
          <cell r="O579">
            <v>1</v>
          </cell>
          <cell r="P579">
            <v>1</v>
          </cell>
          <cell r="Q579">
            <v>1</v>
          </cell>
          <cell r="R579" t="str">
            <v>Boss</v>
          </cell>
          <cell r="S579">
            <v>5</v>
          </cell>
          <cell r="T579">
            <v>1.3</v>
          </cell>
          <cell r="U579">
            <v>0.8</v>
          </cell>
          <cell r="V579">
            <v>3</v>
          </cell>
          <cell r="W579">
            <v>1</v>
          </cell>
          <cell r="X579">
            <v>60</v>
          </cell>
          <cell r="Y579">
            <v>1.7</v>
          </cell>
          <cell r="Z579">
            <v>1.4</v>
          </cell>
          <cell r="AA579">
            <v>1</v>
          </cell>
          <cell r="AB579">
            <v>0</v>
          </cell>
        </row>
        <row r="580">
          <cell r="A580">
            <v>579</v>
          </cell>
          <cell r="B580" t="str">
            <v>オーズ</v>
          </cell>
          <cell r="C580">
            <v>4</v>
          </cell>
          <cell r="D580" t="str">
            <v>green</v>
          </cell>
          <cell r="E580">
            <v>1.02</v>
          </cell>
          <cell r="F580">
            <v>0.98</v>
          </cell>
          <cell r="G580">
            <v>1</v>
          </cell>
          <cell r="H580" t="str">
            <v>technical</v>
          </cell>
          <cell r="I580" t="str">
            <v>テクニカルタイプ</v>
          </cell>
          <cell r="J580">
            <v>0.9</v>
          </cell>
          <cell r="K580">
            <v>0.9</v>
          </cell>
          <cell r="L580">
            <v>1</v>
          </cell>
          <cell r="M580" t="str">
            <v>god</v>
          </cell>
          <cell r="N580" t="str">
            <v>ゴッド</v>
          </cell>
          <cell r="O580">
            <v>0.96</v>
          </cell>
          <cell r="P580">
            <v>1.02</v>
          </cell>
          <cell r="Q580">
            <v>1</v>
          </cell>
          <cell r="R580" t="str">
            <v>Boss</v>
          </cell>
          <cell r="S580">
            <v>5</v>
          </cell>
          <cell r="T580">
            <v>1.3</v>
          </cell>
          <cell r="U580">
            <v>0.8</v>
          </cell>
          <cell r="V580">
            <v>3</v>
          </cell>
          <cell r="W580">
            <v>1</v>
          </cell>
          <cell r="X580">
            <v>30</v>
          </cell>
          <cell r="Y580">
            <v>1.3</v>
          </cell>
          <cell r="Z580">
            <v>1.3</v>
          </cell>
          <cell r="AA580">
            <v>1.1000000000000001</v>
          </cell>
          <cell r="AB580">
            <v>0</v>
          </cell>
        </row>
        <row r="581">
          <cell r="A581">
            <v>580</v>
          </cell>
          <cell r="B581" t="str">
            <v>愛憐の旅神 オーズ</v>
          </cell>
          <cell r="C581">
            <v>5</v>
          </cell>
          <cell r="D581" t="str">
            <v>green</v>
          </cell>
          <cell r="E581">
            <v>1.02</v>
          </cell>
          <cell r="F581">
            <v>0.98</v>
          </cell>
          <cell r="G581">
            <v>1</v>
          </cell>
          <cell r="H581" t="str">
            <v>technical</v>
          </cell>
          <cell r="I581" t="str">
            <v>テクニカルタイプ</v>
          </cell>
          <cell r="J581">
            <v>0.9</v>
          </cell>
          <cell r="K581">
            <v>0.9</v>
          </cell>
          <cell r="L581">
            <v>1</v>
          </cell>
          <cell r="M581" t="str">
            <v>god</v>
          </cell>
          <cell r="N581" t="str">
            <v>ゴッド</v>
          </cell>
          <cell r="O581">
            <v>0.96</v>
          </cell>
          <cell r="P581">
            <v>1.02</v>
          </cell>
          <cell r="Q581">
            <v>1</v>
          </cell>
          <cell r="R581" t="str">
            <v>Boss</v>
          </cell>
          <cell r="S581">
            <v>5</v>
          </cell>
          <cell r="T581">
            <v>1.3</v>
          </cell>
          <cell r="U581">
            <v>0.8</v>
          </cell>
          <cell r="V581">
            <v>3</v>
          </cell>
          <cell r="W581">
            <v>1</v>
          </cell>
          <cell r="X581">
            <v>60</v>
          </cell>
          <cell r="Y581">
            <v>1.7</v>
          </cell>
          <cell r="Z581">
            <v>1.4</v>
          </cell>
          <cell r="AA581">
            <v>1</v>
          </cell>
          <cell r="AB581">
            <v>0</v>
          </cell>
        </row>
        <row r="582">
          <cell r="A582">
            <v>581</v>
          </cell>
          <cell r="B582" t="str">
            <v>フギンとムニン</v>
          </cell>
          <cell r="C582">
            <v>4</v>
          </cell>
          <cell r="D582" t="str">
            <v>blue</v>
          </cell>
          <cell r="E582">
            <v>1</v>
          </cell>
          <cell r="F582">
            <v>0.98</v>
          </cell>
          <cell r="G582">
            <v>1</v>
          </cell>
          <cell r="H582" t="str">
            <v>technical</v>
          </cell>
          <cell r="I582" t="str">
            <v>テクニカルタイプ</v>
          </cell>
          <cell r="J582">
            <v>1</v>
          </cell>
          <cell r="K582">
            <v>1.33</v>
          </cell>
          <cell r="L582">
            <v>1</v>
          </cell>
          <cell r="M582" t="str">
            <v>machine</v>
          </cell>
          <cell r="N582" t="str">
            <v>マシン</v>
          </cell>
          <cell r="O582">
            <v>1</v>
          </cell>
          <cell r="P582">
            <v>1</v>
          </cell>
          <cell r="Q582">
            <v>1</v>
          </cell>
          <cell r="R582" t="str">
            <v>Boss</v>
          </cell>
          <cell r="S582">
            <v>5</v>
          </cell>
          <cell r="T582">
            <v>1.3</v>
          </cell>
          <cell r="U582">
            <v>0.8</v>
          </cell>
          <cell r="V582">
            <v>3</v>
          </cell>
          <cell r="W582">
            <v>1</v>
          </cell>
          <cell r="X582">
            <v>30</v>
          </cell>
          <cell r="Y582">
            <v>1.3</v>
          </cell>
          <cell r="Z582">
            <v>1.3</v>
          </cell>
          <cell r="AA582">
            <v>1.1000000000000001</v>
          </cell>
          <cell r="AB582">
            <v>0</v>
          </cell>
        </row>
        <row r="583">
          <cell r="A583">
            <v>582</v>
          </cell>
          <cell r="B583" t="str">
            <v>空を駆る双鴉 フギンとムニン</v>
          </cell>
          <cell r="C583">
            <v>5</v>
          </cell>
          <cell r="D583" t="str">
            <v>blue</v>
          </cell>
          <cell r="E583">
            <v>1</v>
          </cell>
          <cell r="F583">
            <v>0.98</v>
          </cell>
          <cell r="G583">
            <v>1</v>
          </cell>
          <cell r="H583" t="str">
            <v>technical</v>
          </cell>
          <cell r="I583" t="str">
            <v>テクニカルタイプ</v>
          </cell>
          <cell r="J583">
            <v>1</v>
          </cell>
          <cell r="K583">
            <v>1.33</v>
          </cell>
          <cell r="L583">
            <v>1</v>
          </cell>
          <cell r="M583" t="str">
            <v>machine</v>
          </cell>
          <cell r="N583" t="str">
            <v>マシン</v>
          </cell>
          <cell r="O583">
            <v>1</v>
          </cell>
          <cell r="P583">
            <v>1</v>
          </cell>
          <cell r="Q583">
            <v>1</v>
          </cell>
          <cell r="R583" t="str">
            <v>Boss</v>
          </cell>
          <cell r="S583">
            <v>5</v>
          </cell>
          <cell r="T583">
            <v>1.3</v>
          </cell>
          <cell r="U583">
            <v>0.8</v>
          </cell>
          <cell r="V583">
            <v>3</v>
          </cell>
          <cell r="W583">
            <v>1</v>
          </cell>
          <cell r="X583">
            <v>60</v>
          </cell>
          <cell r="Y583">
            <v>1.7</v>
          </cell>
          <cell r="Z583">
            <v>1.4</v>
          </cell>
          <cell r="AA583">
            <v>1</v>
          </cell>
          <cell r="AB583">
            <v>0</v>
          </cell>
        </row>
        <row r="584">
          <cell r="A584">
            <v>583</v>
          </cell>
          <cell r="B584" t="str">
            <v>ミョルニル</v>
          </cell>
          <cell r="C584">
            <v>4</v>
          </cell>
          <cell r="D584" t="str">
            <v>yellow</v>
          </cell>
          <cell r="E584">
            <v>0.98</v>
          </cell>
          <cell r="F584">
            <v>1.01</v>
          </cell>
          <cell r="G584">
            <v>1</v>
          </cell>
          <cell r="H584" t="str">
            <v>attack</v>
          </cell>
          <cell r="I584" t="str">
            <v>攻撃タイプ</v>
          </cell>
          <cell r="J584">
            <v>1</v>
          </cell>
          <cell r="K584">
            <v>1.33</v>
          </cell>
          <cell r="L584">
            <v>1</v>
          </cell>
          <cell r="M584" t="str">
            <v>machine</v>
          </cell>
          <cell r="N584" t="str">
            <v>マシン</v>
          </cell>
          <cell r="O584">
            <v>1</v>
          </cell>
          <cell r="P584">
            <v>1</v>
          </cell>
          <cell r="Q584">
            <v>1</v>
          </cell>
          <cell r="R584" t="str">
            <v>Boss</v>
          </cell>
          <cell r="S584">
            <v>5</v>
          </cell>
          <cell r="T584">
            <v>1.3</v>
          </cell>
          <cell r="U584">
            <v>0.8</v>
          </cell>
          <cell r="V584">
            <v>3</v>
          </cell>
          <cell r="W584">
            <v>1</v>
          </cell>
          <cell r="X584">
            <v>30</v>
          </cell>
          <cell r="Y584">
            <v>1.3</v>
          </cell>
          <cell r="Z584">
            <v>1.3</v>
          </cell>
          <cell r="AA584">
            <v>1.1000000000000001</v>
          </cell>
          <cell r="AB584">
            <v>0</v>
          </cell>
        </row>
        <row r="585">
          <cell r="A585">
            <v>584</v>
          </cell>
          <cell r="B585" t="str">
            <v>自律する召雷鎚 ミョルニル</v>
          </cell>
          <cell r="C585">
            <v>5</v>
          </cell>
          <cell r="D585" t="str">
            <v>yellow</v>
          </cell>
          <cell r="E585">
            <v>0.98</v>
          </cell>
          <cell r="F585">
            <v>1.01</v>
          </cell>
          <cell r="G585">
            <v>1</v>
          </cell>
          <cell r="H585" t="str">
            <v>attack</v>
          </cell>
          <cell r="I585" t="str">
            <v>攻撃タイプ</v>
          </cell>
          <cell r="J585">
            <v>1</v>
          </cell>
          <cell r="K585">
            <v>1.33</v>
          </cell>
          <cell r="L585">
            <v>1</v>
          </cell>
          <cell r="M585" t="str">
            <v>machine</v>
          </cell>
          <cell r="N585" t="str">
            <v>マシン</v>
          </cell>
          <cell r="O585">
            <v>1</v>
          </cell>
          <cell r="P585">
            <v>1</v>
          </cell>
          <cell r="Q585">
            <v>1</v>
          </cell>
          <cell r="R585" t="str">
            <v>Boss</v>
          </cell>
          <cell r="S585">
            <v>5</v>
          </cell>
          <cell r="T585">
            <v>1.3</v>
          </cell>
          <cell r="U585">
            <v>0.8</v>
          </cell>
          <cell r="V585">
            <v>3</v>
          </cell>
          <cell r="W585">
            <v>1</v>
          </cell>
          <cell r="X585">
            <v>60</v>
          </cell>
          <cell r="Y585">
            <v>1.7</v>
          </cell>
          <cell r="Z585">
            <v>1.4</v>
          </cell>
          <cell r="AA585">
            <v>1</v>
          </cell>
          <cell r="AB585">
            <v>0</v>
          </cell>
        </row>
        <row r="586">
          <cell r="A586">
            <v>585</v>
          </cell>
          <cell r="B586" t="str">
            <v>未定</v>
          </cell>
          <cell r="C586">
            <v>3</v>
          </cell>
          <cell r="D586" t="str">
            <v>red</v>
          </cell>
          <cell r="E586">
            <v>1</v>
          </cell>
          <cell r="F586">
            <v>1.02</v>
          </cell>
          <cell r="G586">
            <v>1</v>
          </cell>
          <cell r="H586" t="str">
            <v>hp</v>
          </cell>
          <cell r="I586" t="str">
            <v>体力タイプ</v>
          </cell>
          <cell r="J586">
            <v>1.45</v>
          </cell>
          <cell r="K586">
            <v>0.85</v>
          </cell>
          <cell r="L586">
            <v>1</v>
          </cell>
          <cell r="M586" t="str">
            <v>machine</v>
          </cell>
          <cell r="N586" t="str">
            <v>マシン</v>
          </cell>
          <cell r="O586">
            <v>1</v>
          </cell>
          <cell r="P586">
            <v>1</v>
          </cell>
          <cell r="Q586">
            <v>1</v>
          </cell>
          <cell r="R586" t="str">
            <v>Boss</v>
          </cell>
          <cell r="S586">
            <v>5</v>
          </cell>
          <cell r="T586">
            <v>1.3</v>
          </cell>
          <cell r="U586">
            <v>0.8</v>
          </cell>
          <cell r="V586">
            <v>3</v>
          </cell>
          <cell r="W586">
            <v>1</v>
          </cell>
          <cell r="X586">
            <v>25</v>
          </cell>
          <cell r="Y586">
            <v>1.2</v>
          </cell>
          <cell r="Z586">
            <v>1.25</v>
          </cell>
          <cell r="AA586">
            <v>1.1499999999999999</v>
          </cell>
          <cell r="AB586">
            <v>0</v>
          </cell>
        </row>
        <row r="587">
          <cell r="A587">
            <v>586</v>
          </cell>
          <cell r="B587" t="str">
            <v>ユミル</v>
          </cell>
          <cell r="C587">
            <v>4</v>
          </cell>
          <cell r="D587" t="str">
            <v>red</v>
          </cell>
          <cell r="E587">
            <v>1</v>
          </cell>
          <cell r="F587">
            <v>1.02</v>
          </cell>
          <cell r="G587">
            <v>1</v>
          </cell>
          <cell r="H587" t="str">
            <v>hp</v>
          </cell>
          <cell r="I587" t="str">
            <v>体力タイプ</v>
          </cell>
          <cell r="J587">
            <v>1.45</v>
          </cell>
          <cell r="K587">
            <v>0.85</v>
          </cell>
          <cell r="L587">
            <v>1</v>
          </cell>
          <cell r="M587" t="str">
            <v>machine</v>
          </cell>
          <cell r="N587" t="str">
            <v>マシン</v>
          </cell>
          <cell r="O587">
            <v>1</v>
          </cell>
          <cell r="P587">
            <v>1</v>
          </cell>
          <cell r="Q587">
            <v>1</v>
          </cell>
          <cell r="R587" t="str">
            <v>Boss</v>
          </cell>
          <cell r="S587">
            <v>5</v>
          </cell>
          <cell r="T587">
            <v>1.3</v>
          </cell>
          <cell r="U587">
            <v>0.8</v>
          </cell>
          <cell r="V587">
            <v>3</v>
          </cell>
          <cell r="W587">
            <v>1</v>
          </cell>
          <cell r="X587">
            <v>30</v>
          </cell>
          <cell r="Y587">
            <v>1.3</v>
          </cell>
          <cell r="Z587">
            <v>1.3</v>
          </cell>
          <cell r="AA587">
            <v>1.1000000000000001</v>
          </cell>
          <cell r="AB587">
            <v>0</v>
          </cell>
        </row>
        <row r="588">
          <cell r="A588">
            <v>587</v>
          </cell>
          <cell r="B588" t="str">
            <v>原初の煉鋼巨刃 ユミル</v>
          </cell>
          <cell r="C588">
            <v>5</v>
          </cell>
          <cell r="D588" t="str">
            <v>red</v>
          </cell>
          <cell r="E588">
            <v>1</v>
          </cell>
          <cell r="F588">
            <v>1.02</v>
          </cell>
          <cell r="G588">
            <v>1</v>
          </cell>
          <cell r="H588" t="str">
            <v>hp</v>
          </cell>
          <cell r="I588" t="str">
            <v>体力タイプ</v>
          </cell>
          <cell r="J588">
            <v>1.45</v>
          </cell>
          <cell r="K588">
            <v>0.85</v>
          </cell>
          <cell r="L588">
            <v>1</v>
          </cell>
          <cell r="M588" t="str">
            <v>machine</v>
          </cell>
          <cell r="N588" t="str">
            <v>マシン</v>
          </cell>
          <cell r="O588">
            <v>1</v>
          </cell>
          <cell r="P588">
            <v>1</v>
          </cell>
          <cell r="Q588">
            <v>1</v>
          </cell>
          <cell r="R588" t="str">
            <v>Boss</v>
          </cell>
          <cell r="S588">
            <v>5</v>
          </cell>
          <cell r="T588">
            <v>1.3</v>
          </cell>
          <cell r="U588">
            <v>0.8</v>
          </cell>
          <cell r="V588">
            <v>3</v>
          </cell>
          <cell r="W588">
            <v>1</v>
          </cell>
          <cell r="X588">
            <v>60</v>
          </cell>
          <cell r="Y588">
            <v>1.7</v>
          </cell>
          <cell r="Z588">
            <v>1.4</v>
          </cell>
          <cell r="AA588">
            <v>1</v>
          </cell>
          <cell r="AB588">
            <v>0</v>
          </cell>
        </row>
        <row r="589">
          <cell r="A589">
            <v>588</v>
          </cell>
          <cell r="B589" t="str">
            <v>ニーベルゲン</v>
          </cell>
          <cell r="C589">
            <v>3</v>
          </cell>
          <cell r="D589" t="str">
            <v>green</v>
          </cell>
          <cell r="E589">
            <v>1.02</v>
          </cell>
          <cell r="F589">
            <v>0.98</v>
          </cell>
          <cell r="G589">
            <v>1</v>
          </cell>
          <cell r="H589" t="str">
            <v>balance</v>
          </cell>
          <cell r="I589" t="str">
            <v>バランスタイプ</v>
          </cell>
          <cell r="J589">
            <v>1</v>
          </cell>
          <cell r="K589">
            <v>1</v>
          </cell>
          <cell r="L589">
            <v>1</v>
          </cell>
          <cell r="M589" t="str">
            <v>unknown</v>
          </cell>
          <cell r="N589" t="str">
            <v>Unknown</v>
          </cell>
          <cell r="O589">
            <v>1</v>
          </cell>
          <cell r="P589">
            <v>1</v>
          </cell>
          <cell r="Q589">
            <v>1</v>
          </cell>
          <cell r="R589" t="str">
            <v>Boss</v>
          </cell>
          <cell r="S589">
            <v>5</v>
          </cell>
          <cell r="T589">
            <v>1.3</v>
          </cell>
          <cell r="U589">
            <v>0.8</v>
          </cell>
          <cell r="V589">
            <v>3</v>
          </cell>
          <cell r="W589">
            <v>1</v>
          </cell>
          <cell r="X589">
            <v>25</v>
          </cell>
          <cell r="Y589">
            <v>1.2</v>
          </cell>
          <cell r="Z589">
            <v>1.25</v>
          </cell>
          <cell r="AA589">
            <v>1.1499999999999999</v>
          </cell>
          <cell r="AB589">
            <v>0</v>
          </cell>
        </row>
        <row r="590">
          <cell r="A590">
            <v>589</v>
          </cell>
          <cell r="B590" t="str">
            <v>不幸の円環 ニーベルゲン</v>
          </cell>
          <cell r="C590">
            <v>4</v>
          </cell>
          <cell r="D590" t="str">
            <v>green</v>
          </cell>
          <cell r="E590">
            <v>1.02</v>
          </cell>
          <cell r="F590">
            <v>0.98</v>
          </cell>
          <cell r="G590">
            <v>1</v>
          </cell>
          <cell r="H590" t="str">
            <v>balance</v>
          </cell>
          <cell r="I590" t="str">
            <v>バランスタイプ</v>
          </cell>
          <cell r="J590">
            <v>1</v>
          </cell>
          <cell r="K590">
            <v>1</v>
          </cell>
          <cell r="L590">
            <v>1</v>
          </cell>
          <cell r="M590" t="str">
            <v>unknown</v>
          </cell>
          <cell r="N590" t="str">
            <v>Unknown</v>
          </cell>
          <cell r="O590">
            <v>1</v>
          </cell>
          <cell r="P590">
            <v>1</v>
          </cell>
          <cell r="Q590">
            <v>1</v>
          </cell>
          <cell r="R590" t="str">
            <v>Boss</v>
          </cell>
          <cell r="S590">
            <v>5</v>
          </cell>
          <cell r="T590">
            <v>1.3</v>
          </cell>
          <cell r="U590">
            <v>0.8</v>
          </cell>
          <cell r="V590">
            <v>3</v>
          </cell>
          <cell r="W590">
            <v>1</v>
          </cell>
          <cell r="X590">
            <v>30</v>
          </cell>
          <cell r="Y590">
            <v>1.3</v>
          </cell>
          <cell r="Z590">
            <v>1.3</v>
          </cell>
          <cell r="AA590">
            <v>1.1000000000000001</v>
          </cell>
          <cell r="AB590">
            <v>0</v>
          </cell>
        </row>
        <row r="591">
          <cell r="A591">
            <v>590</v>
          </cell>
          <cell r="B591" t="str">
            <v>永遠を廻る呪い ニーベルゲン</v>
          </cell>
          <cell r="C591">
            <v>5</v>
          </cell>
          <cell r="D591" t="str">
            <v>green</v>
          </cell>
          <cell r="E591">
            <v>1.02</v>
          </cell>
          <cell r="F591">
            <v>0.98</v>
          </cell>
          <cell r="G591">
            <v>1</v>
          </cell>
          <cell r="H591" t="str">
            <v>balance</v>
          </cell>
          <cell r="I591" t="str">
            <v>バランスタイプ</v>
          </cell>
          <cell r="J591">
            <v>1</v>
          </cell>
          <cell r="K591">
            <v>1</v>
          </cell>
          <cell r="L591">
            <v>1</v>
          </cell>
          <cell r="M591" t="str">
            <v>unknown</v>
          </cell>
          <cell r="N591" t="str">
            <v>Unknown</v>
          </cell>
          <cell r="O591">
            <v>1</v>
          </cell>
          <cell r="P591">
            <v>1</v>
          </cell>
          <cell r="Q591">
            <v>1</v>
          </cell>
          <cell r="R591" t="str">
            <v>Boss</v>
          </cell>
          <cell r="S591">
            <v>5</v>
          </cell>
          <cell r="T591">
            <v>1.3</v>
          </cell>
          <cell r="U591">
            <v>0.8</v>
          </cell>
          <cell r="V591">
            <v>3</v>
          </cell>
          <cell r="W591">
            <v>1</v>
          </cell>
          <cell r="X591">
            <v>60</v>
          </cell>
          <cell r="Y591">
            <v>1.7</v>
          </cell>
          <cell r="Z591">
            <v>1.4</v>
          </cell>
          <cell r="AA591">
            <v>1</v>
          </cell>
          <cell r="AB591">
            <v>0</v>
          </cell>
        </row>
        <row r="592">
          <cell r="A592">
            <v>591</v>
          </cell>
          <cell r="B592" t="str">
            <v>ファフニール</v>
          </cell>
          <cell r="C592">
            <v>3</v>
          </cell>
          <cell r="D592" t="str">
            <v>blue</v>
          </cell>
          <cell r="E592">
            <v>1</v>
          </cell>
          <cell r="F592">
            <v>0.98</v>
          </cell>
          <cell r="G592">
            <v>1</v>
          </cell>
          <cell r="H592" t="str">
            <v>technical</v>
          </cell>
          <cell r="I592" t="str">
            <v>テクニカルタイプ</v>
          </cell>
          <cell r="J592">
            <v>0.9</v>
          </cell>
          <cell r="K592">
            <v>0.9</v>
          </cell>
          <cell r="L592">
            <v>1</v>
          </cell>
          <cell r="M592" t="str">
            <v>dragon</v>
          </cell>
          <cell r="N592" t="str">
            <v>ドラゴン</v>
          </cell>
          <cell r="O592">
            <v>1.1499999999999999</v>
          </cell>
          <cell r="P592">
            <v>1.1000000000000001</v>
          </cell>
          <cell r="Q592">
            <v>1</v>
          </cell>
          <cell r="R592" t="str">
            <v>Boss</v>
          </cell>
          <cell r="S592">
            <v>5</v>
          </cell>
          <cell r="T592">
            <v>1.3</v>
          </cell>
          <cell r="U592">
            <v>0.8</v>
          </cell>
          <cell r="V592">
            <v>3</v>
          </cell>
          <cell r="W592">
            <v>1</v>
          </cell>
          <cell r="X592">
            <v>25</v>
          </cell>
          <cell r="Y592">
            <v>1.2</v>
          </cell>
          <cell r="Z592">
            <v>1.25</v>
          </cell>
          <cell r="AA592">
            <v>1.1499999999999999</v>
          </cell>
          <cell r="AB592">
            <v>0</v>
          </cell>
        </row>
        <row r="593">
          <cell r="A593">
            <v>592</v>
          </cell>
          <cell r="B593" t="str">
            <v>財宝への執着 ファフニール</v>
          </cell>
          <cell r="C593">
            <v>4</v>
          </cell>
          <cell r="D593" t="str">
            <v>blue</v>
          </cell>
          <cell r="E593">
            <v>1</v>
          </cell>
          <cell r="F593">
            <v>0.98</v>
          </cell>
          <cell r="G593">
            <v>1</v>
          </cell>
          <cell r="H593" t="str">
            <v>technical</v>
          </cell>
          <cell r="I593" t="str">
            <v>テクニカルタイプ</v>
          </cell>
          <cell r="J593">
            <v>0.9</v>
          </cell>
          <cell r="K593">
            <v>0.9</v>
          </cell>
          <cell r="L593">
            <v>1</v>
          </cell>
          <cell r="M593" t="str">
            <v>dragon</v>
          </cell>
          <cell r="N593" t="str">
            <v>ドラゴン</v>
          </cell>
          <cell r="O593">
            <v>1.1499999999999999</v>
          </cell>
          <cell r="P593">
            <v>1.1000000000000001</v>
          </cell>
          <cell r="Q593">
            <v>1</v>
          </cell>
          <cell r="R593" t="str">
            <v>Boss</v>
          </cell>
          <cell r="S593">
            <v>5</v>
          </cell>
          <cell r="T593">
            <v>1.3</v>
          </cell>
          <cell r="U593">
            <v>0.8</v>
          </cell>
          <cell r="V593">
            <v>3</v>
          </cell>
          <cell r="W593">
            <v>1</v>
          </cell>
          <cell r="X593">
            <v>30</v>
          </cell>
          <cell r="Y593">
            <v>1.3</v>
          </cell>
          <cell r="Z593">
            <v>1.3</v>
          </cell>
          <cell r="AA593">
            <v>1.1000000000000001</v>
          </cell>
          <cell r="AB593">
            <v>0</v>
          </cell>
        </row>
        <row r="594">
          <cell r="A594">
            <v>593</v>
          </cell>
          <cell r="B594" t="str">
            <v>妄執する邪毒龍 ファフニール</v>
          </cell>
          <cell r="C594">
            <v>5</v>
          </cell>
          <cell r="D594" t="str">
            <v>blue</v>
          </cell>
          <cell r="E594">
            <v>1</v>
          </cell>
          <cell r="F594">
            <v>0.98</v>
          </cell>
          <cell r="G594">
            <v>1</v>
          </cell>
          <cell r="H594" t="str">
            <v>technical</v>
          </cell>
          <cell r="I594" t="str">
            <v>テクニカルタイプ</v>
          </cell>
          <cell r="J594">
            <v>0.9</v>
          </cell>
          <cell r="K594">
            <v>0.9</v>
          </cell>
          <cell r="L594">
            <v>1</v>
          </cell>
          <cell r="M594" t="str">
            <v>dragon</v>
          </cell>
          <cell r="N594" t="str">
            <v>ドラゴン</v>
          </cell>
          <cell r="O594">
            <v>1.1499999999999999</v>
          </cell>
          <cell r="P594">
            <v>1.1000000000000001</v>
          </cell>
          <cell r="Q594">
            <v>1</v>
          </cell>
          <cell r="R594" t="str">
            <v>Boss</v>
          </cell>
          <cell r="S594">
            <v>5</v>
          </cell>
          <cell r="T594">
            <v>1.3</v>
          </cell>
          <cell r="U594">
            <v>0.8</v>
          </cell>
          <cell r="V594">
            <v>3</v>
          </cell>
          <cell r="W594">
            <v>1</v>
          </cell>
          <cell r="X594">
            <v>60</v>
          </cell>
          <cell r="Y594">
            <v>1.7</v>
          </cell>
          <cell r="Z594">
            <v>1.4</v>
          </cell>
          <cell r="AA594">
            <v>1</v>
          </cell>
          <cell r="AB594">
            <v>0</v>
          </cell>
        </row>
        <row r="595">
          <cell r="A595">
            <v>594</v>
          </cell>
          <cell r="B595" t="str">
            <v>アルフヘイム</v>
          </cell>
          <cell r="C595">
            <v>4</v>
          </cell>
          <cell r="D595" t="str">
            <v>yellow</v>
          </cell>
          <cell r="E595">
            <v>0.98</v>
          </cell>
          <cell r="F595">
            <v>1.01</v>
          </cell>
          <cell r="G595">
            <v>1</v>
          </cell>
          <cell r="H595" t="str">
            <v>attack</v>
          </cell>
          <cell r="I595" t="str">
            <v>攻撃タイプ</v>
          </cell>
          <cell r="J595">
            <v>1</v>
          </cell>
          <cell r="K595">
            <v>1.33</v>
          </cell>
          <cell r="L595">
            <v>1</v>
          </cell>
          <cell r="M595" t="str">
            <v>dragon</v>
          </cell>
          <cell r="N595" t="str">
            <v>ドラゴン</v>
          </cell>
          <cell r="O595">
            <v>1.1499999999999999</v>
          </cell>
          <cell r="P595">
            <v>1.1000000000000001</v>
          </cell>
          <cell r="Q595">
            <v>1</v>
          </cell>
          <cell r="R595" t="str">
            <v>Boss</v>
          </cell>
          <cell r="S595">
            <v>5</v>
          </cell>
          <cell r="T595">
            <v>1.3</v>
          </cell>
          <cell r="U595">
            <v>0.8</v>
          </cell>
          <cell r="V595">
            <v>3</v>
          </cell>
          <cell r="W595">
            <v>1</v>
          </cell>
          <cell r="X595">
            <v>30</v>
          </cell>
          <cell r="Y595">
            <v>1.3</v>
          </cell>
          <cell r="Z595">
            <v>1.3</v>
          </cell>
          <cell r="AA595">
            <v>1.1000000000000001</v>
          </cell>
          <cell r="AB595">
            <v>0</v>
          </cell>
        </row>
        <row r="596">
          <cell r="A596">
            <v>595</v>
          </cell>
          <cell r="B596" t="str">
            <v>光華なる神域 アルフヘイム</v>
          </cell>
          <cell r="C596">
            <v>5</v>
          </cell>
          <cell r="D596" t="str">
            <v>yellow</v>
          </cell>
          <cell r="E596">
            <v>0.98</v>
          </cell>
          <cell r="F596">
            <v>1.01</v>
          </cell>
          <cell r="G596">
            <v>1</v>
          </cell>
          <cell r="H596" t="str">
            <v>attack</v>
          </cell>
          <cell r="I596" t="str">
            <v>攻撃タイプ</v>
          </cell>
          <cell r="J596">
            <v>1</v>
          </cell>
          <cell r="K596">
            <v>1.33</v>
          </cell>
          <cell r="L596">
            <v>1</v>
          </cell>
          <cell r="M596" t="str">
            <v>dragon</v>
          </cell>
          <cell r="N596" t="str">
            <v>ドラゴン</v>
          </cell>
          <cell r="O596">
            <v>1.1499999999999999</v>
          </cell>
          <cell r="P596">
            <v>1.1000000000000001</v>
          </cell>
          <cell r="Q596">
            <v>1</v>
          </cell>
          <cell r="R596" t="str">
            <v>Boss</v>
          </cell>
          <cell r="S596">
            <v>5</v>
          </cell>
          <cell r="T596">
            <v>1.3</v>
          </cell>
          <cell r="U596">
            <v>0.8</v>
          </cell>
          <cell r="V596">
            <v>3</v>
          </cell>
          <cell r="W596">
            <v>1</v>
          </cell>
          <cell r="X596">
            <v>60</v>
          </cell>
          <cell r="Y596">
            <v>1.7</v>
          </cell>
          <cell r="Z596">
            <v>1.4</v>
          </cell>
          <cell r="AA596">
            <v>1</v>
          </cell>
          <cell r="AB596">
            <v>0</v>
          </cell>
        </row>
        <row r="597">
          <cell r="A597">
            <v>596</v>
          </cell>
          <cell r="B597" t="str">
            <v>ムスペルヘイム</v>
          </cell>
          <cell r="C597">
            <v>3</v>
          </cell>
          <cell r="D597" t="str">
            <v>red</v>
          </cell>
          <cell r="E597">
            <v>1</v>
          </cell>
          <cell r="F597">
            <v>1.02</v>
          </cell>
          <cell r="G597">
            <v>1</v>
          </cell>
          <cell r="H597" t="str">
            <v>balance</v>
          </cell>
          <cell r="I597" t="str">
            <v>バランスタイプ</v>
          </cell>
          <cell r="J597">
            <v>1</v>
          </cell>
          <cell r="K597">
            <v>1</v>
          </cell>
          <cell r="L597">
            <v>1</v>
          </cell>
          <cell r="M597" t="str">
            <v>human</v>
          </cell>
          <cell r="N597" t="str">
            <v>ヒューマン</v>
          </cell>
          <cell r="O597">
            <v>0.94</v>
          </cell>
          <cell r="P597">
            <v>0.99</v>
          </cell>
          <cell r="Q597">
            <v>1</v>
          </cell>
          <cell r="R597" t="str">
            <v>Boss</v>
          </cell>
          <cell r="S597">
            <v>5</v>
          </cell>
          <cell r="T597">
            <v>1.3</v>
          </cell>
          <cell r="U597">
            <v>0.8</v>
          </cell>
          <cell r="V597">
            <v>3</v>
          </cell>
          <cell r="W597">
            <v>1</v>
          </cell>
          <cell r="X597">
            <v>25</v>
          </cell>
          <cell r="Y597">
            <v>1.2</v>
          </cell>
          <cell r="Z597">
            <v>1.25</v>
          </cell>
          <cell r="AA597">
            <v>1.1499999999999999</v>
          </cell>
          <cell r="AB597">
            <v>0</v>
          </cell>
        </row>
        <row r="598">
          <cell r="A598">
            <v>597</v>
          </cell>
          <cell r="B598" t="str">
            <v>灼熱の魂 ムスペルヘイム</v>
          </cell>
          <cell r="C598">
            <v>4</v>
          </cell>
          <cell r="D598" t="str">
            <v>red</v>
          </cell>
          <cell r="E598">
            <v>1</v>
          </cell>
          <cell r="F598">
            <v>1.02</v>
          </cell>
          <cell r="G598">
            <v>1</v>
          </cell>
          <cell r="H598" t="str">
            <v>balance</v>
          </cell>
          <cell r="I598" t="str">
            <v>バランスタイプ</v>
          </cell>
          <cell r="J598">
            <v>1</v>
          </cell>
          <cell r="K598">
            <v>1</v>
          </cell>
          <cell r="L598">
            <v>1</v>
          </cell>
          <cell r="M598" t="str">
            <v>human</v>
          </cell>
          <cell r="N598" t="str">
            <v>ヒューマン</v>
          </cell>
          <cell r="O598">
            <v>0.94</v>
          </cell>
          <cell r="P598">
            <v>0.99</v>
          </cell>
          <cell r="Q598">
            <v>1</v>
          </cell>
          <cell r="R598" t="str">
            <v>Boss</v>
          </cell>
          <cell r="S598">
            <v>5</v>
          </cell>
          <cell r="T598">
            <v>1.3</v>
          </cell>
          <cell r="U598">
            <v>0.8</v>
          </cell>
          <cell r="V598">
            <v>3</v>
          </cell>
          <cell r="W598">
            <v>1</v>
          </cell>
          <cell r="X598">
            <v>30</v>
          </cell>
          <cell r="Y598">
            <v>1.3</v>
          </cell>
          <cell r="Z598">
            <v>1.3</v>
          </cell>
          <cell r="AA598">
            <v>1.1000000000000001</v>
          </cell>
          <cell r="AB598">
            <v>0</v>
          </cell>
        </row>
        <row r="599">
          <cell r="A599">
            <v>598</v>
          </cell>
          <cell r="B599" t="str">
            <v>焼燃の情熱 ムスペルヘイム</v>
          </cell>
          <cell r="C599">
            <v>5</v>
          </cell>
          <cell r="D599" t="str">
            <v>red</v>
          </cell>
          <cell r="E599">
            <v>1</v>
          </cell>
          <cell r="F599">
            <v>1.02</v>
          </cell>
          <cell r="G599">
            <v>1</v>
          </cell>
          <cell r="H599" t="str">
            <v>balance</v>
          </cell>
          <cell r="I599" t="str">
            <v>バランスタイプ</v>
          </cell>
          <cell r="J599">
            <v>1</v>
          </cell>
          <cell r="K599">
            <v>1</v>
          </cell>
          <cell r="L599">
            <v>1</v>
          </cell>
          <cell r="M599" t="str">
            <v>human</v>
          </cell>
          <cell r="N599" t="str">
            <v>ヒューマン</v>
          </cell>
          <cell r="O599">
            <v>0.94</v>
          </cell>
          <cell r="P599">
            <v>0.99</v>
          </cell>
          <cell r="Q599">
            <v>1</v>
          </cell>
          <cell r="R599" t="str">
            <v>Boss</v>
          </cell>
          <cell r="S599">
            <v>5</v>
          </cell>
          <cell r="T599">
            <v>1.3</v>
          </cell>
          <cell r="U599">
            <v>0.8</v>
          </cell>
          <cell r="V599">
            <v>3</v>
          </cell>
          <cell r="W599">
            <v>1</v>
          </cell>
          <cell r="X599">
            <v>60</v>
          </cell>
          <cell r="Y599">
            <v>1.7</v>
          </cell>
          <cell r="Z599">
            <v>1.4</v>
          </cell>
          <cell r="AA599">
            <v>1</v>
          </cell>
          <cell r="AB599">
            <v>0</v>
          </cell>
        </row>
        <row r="600">
          <cell r="A600">
            <v>599</v>
          </cell>
          <cell r="B600" t="str">
            <v>ニーズヘッグ</v>
          </cell>
          <cell r="C600">
            <v>3</v>
          </cell>
          <cell r="D600" t="str">
            <v>green</v>
          </cell>
          <cell r="E600">
            <v>1.02</v>
          </cell>
          <cell r="F600">
            <v>0.98</v>
          </cell>
          <cell r="G600">
            <v>1</v>
          </cell>
          <cell r="H600" t="str">
            <v>attack</v>
          </cell>
          <cell r="I600" t="str">
            <v>攻撃タイプ</v>
          </cell>
          <cell r="J600">
            <v>1</v>
          </cell>
          <cell r="K600">
            <v>1.33</v>
          </cell>
          <cell r="L600">
            <v>1</v>
          </cell>
          <cell r="M600" t="str">
            <v>dragon</v>
          </cell>
          <cell r="N600" t="str">
            <v>ドラゴン</v>
          </cell>
          <cell r="O600">
            <v>1.1499999999999999</v>
          </cell>
          <cell r="P600">
            <v>1.1000000000000001</v>
          </cell>
          <cell r="Q600">
            <v>1</v>
          </cell>
          <cell r="R600" t="str">
            <v>Boss</v>
          </cell>
          <cell r="S600">
            <v>5</v>
          </cell>
          <cell r="T600">
            <v>1.3</v>
          </cell>
          <cell r="U600">
            <v>0.8</v>
          </cell>
          <cell r="V600">
            <v>3</v>
          </cell>
          <cell r="W600">
            <v>1</v>
          </cell>
          <cell r="X600">
            <v>25</v>
          </cell>
          <cell r="Y600">
            <v>1.2</v>
          </cell>
          <cell r="Z600">
            <v>1.25</v>
          </cell>
          <cell r="AA600">
            <v>1.1499999999999999</v>
          </cell>
          <cell r="AB600">
            <v>0</v>
          </cell>
        </row>
        <row r="601">
          <cell r="A601">
            <v>600</v>
          </cell>
          <cell r="B601" t="str">
            <v>界下に潜む蛇 ニーズヘッグ</v>
          </cell>
          <cell r="C601">
            <v>4</v>
          </cell>
          <cell r="D601" t="str">
            <v>green</v>
          </cell>
          <cell r="E601">
            <v>1.02</v>
          </cell>
          <cell r="F601">
            <v>0.98</v>
          </cell>
          <cell r="G601">
            <v>1</v>
          </cell>
          <cell r="H601" t="str">
            <v>attack</v>
          </cell>
          <cell r="I601" t="str">
            <v>攻撃タイプ</v>
          </cell>
          <cell r="J601">
            <v>1</v>
          </cell>
          <cell r="K601">
            <v>1.33</v>
          </cell>
          <cell r="L601">
            <v>1</v>
          </cell>
          <cell r="M601" t="str">
            <v>dragon</v>
          </cell>
          <cell r="N601" t="str">
            <v>ドラゴン</v>
          </cell>
          <cell r="O601">
            <v>1.1499999999999999</v>
          </cell>
          <cell r="P601">
            <v>1.1000000000000001</v>
          </cell>
          <cell r="Q601">
            <v>1</v>
          </cell>
          <cell r="R601" t="str">
            <v>Boss</v>
          </cell>
          <cell r="S601">
            <v>5</v>
          </cell>
          <cell r="T601">
            <v>1.3</v>
          </cell>
          <cell r="U601">
            <v>0.8</v>
          </cell>
          <cell r="V601">
            <v>3</v>
          </cell>
          <cell r="W601">
            <v>1</v>
          </cell>
          <cell r="X601">
            <v>30</v>
          </cell>
          <cell r="Y601">
            <v>1.3</v>
          </cell>
          <cell r="Z601">
            <v>1.3</v>
          </cell>
          <cell r="AA601">
            <v>1.1000000000000001</v>
          </cell>
          <cell r="AB601">
            <v>0</v>
          </cell>
        </row>
        <row r="602">
          <cell r="A602">
            <v>601</v>
          </cell>
          <cell r="B602" t="str">
            <v>界根蝕む悪食 ニーズヘッグ</v>
          </cell>
          <cell r="C602">
            <v>5</v>
          </cell>
          <cell r="D602" t="str">
            <v>green</v>
          </cell>
          <cell r="E602">
            <v>1.02</v>
          </cell>
          <cell r="F602">
            <v>0.98</v>
          </cell>
          <cell r="G602">
            <v>1</v>
          </cell>
          <cell r="H602" t="str">
            <v>attack</v>
          </cell>
          <cell r="I602" t="str">
            <v>攻撃タイプ</v>
          </cell>
          <cell r="J602">
            <v>1</v>
          </cell>
          <cell r="K602">
            <v>1.33</v>
          </cell>
          <cell r="L602">
            <v>1</v>
          </cell>
          <cell r="M602" t="str">
            <v>dragon</v>
          </cell>
          <cell r="N602" t="str">
            <v>ドラゴン</v>
          </cell>
          <cell r="O602">
            <v>1.1499999999999999</v>
          </cell>
          <cell r="P602">
            <v>1.1000000000000001</v>
          </cell>
          <cell r="Q602">
            <v>1</v>
          </cell>
          <cell r="R602" t="str">
            <v>Boss</v>
          </cell>
          <cell r="S602">
            <v>5</v>
          </cell>
          <cell r="T602">
            <v>1.3</v>
          </cell>
          <cell r="U602">
            <v>0.8</v>
          </cell>
          <cell r="V602">
            <v>3</v>
          </cell>
          <cell r="W602">
            <v>1</v>
          </cell>
          <cell r="X602">
            <v>60</v>
          </cell>
          <cell r="Y602">
            <v>1.7</v>
          </cell>
          <cell r="Z602">
            <v>1.4</v>
          </cell>
          <cell r="AA602">
            <v>1</v>
          </cell>
          <cell r="AB602">
            <v>0</v>
          </cell>
        </row>
        <row r="603">
          <cell r="A603">
            <v>602</v>
          </cell>
          <cell r="B603" t="str">
            <v>フレイヤ</v>
          </cell>
          <cell r="C603">
            <v>4</v>
          </cell>
          <cell r="D603" t="str">
            <v>blue</v>
          </cell>
          <cell r="E603">
            <v>1</v>
          </cell>
          <cell r="F603">
            <v>0.98</v>
          </cell>
          <cell r="G603">
            <v>1</v>
          </cell>
          <cell r="H603" t="str">
            <v>heal</v>
          </cell>
          <cell r="I603" t="str">
            <v>回復タイプ</v>
          </cell>
          <cell r="J603">
            <v>0.8</v>
          </cell>
          <cell r="K603">
            <v>0.78</v>
          </cell>
          <cell r="L603">
            <v>1</v>
          </cell>
          <cell r="M603" t="str">
            <v>animal</v>
          </cell>
          <cell r="N603" t="str">
            <v>アニマル</v>
          </cell>
          <cell r="O603">
            <v>1</v>
          </cell>
          <cell r="P603">
            <v>1.1000000000000001</v>
          </cell>
          <cell r="Q603">
            <v>1</v>
          </cell>
          <cell r="R603" t="str">
            <v>Boss</v>
          </cell>
          <cell r="S603">
            <v>5</v>
          </cell>
          <cell r="T603">
            <v>1.3</v>
          </cell>
          <cell r="U603">
            <v>0.8</v>
          </cell>
          <cell r="V603">
            <v>3</v>
          </cell>
          <cell r="W603">
            <v>1</v>
          </cell>
          <cell r="X603">
            <v>30</v>
          </cell>
          <cell r="Y603">
            <v>1.3</v>
          </cell>
          <cell r="Z603">
            <v>1.3</v>
          </cell>
          <cell r="AA603">
            <v>1.1000000000000001</v>
          </cell>
          <cell r="AB603">
            <v>0</v>
          </cell>
        </row>
        <row r="604">
          <cell r="A604">
            <v>603</v>
          </cell>
          <cell r="B604" t="str">
            <v>掌愛の豊穣女神 フレイヤ</v>
          </cell>
          <cell r="C604">
            <v>5</v>
          </cell>
          <cell r="D604" t="str">
            <v>blue</v>
          </cell>
          <cell r="E604">
            <v>1</v>
          </cell>
          <cell r="F604">
            <v>0.98</v>
          </cell>
          <cell r="G604">
            <v>1</v>
          </cell>
          <cell r="H604" t="str">
            <v>heal</v>
          </cell>
          <cell r="I604" t="str">
            <v>回復タイプ</v>
          </cell>
          <cell r="J604">
            <v>0.8</v>
          </cell>
          <cell r="K604">
            <v>0.78</v>
          </cell>
          <cell r="L604">
            <v>1</v>
          </cell>
          <cell r="M604" t="str">
            <v>animal</v>
          </cell>
          <cell r="N604" t="str">
            <v>アニマル</v>
          </cell>
          <cell r="O604">
            <v>1</v>
          </cell>
          <cell r="P604">
            <v>1.1000000000000001</v>
          </cell>
          <cell r="Q604">
            <v>1</v>
          </cell>
          <cell r="R604" t="str">
            <v>Boss</v>
          </cell>
          <cell r="S604">
            <v>5</v>
          </cell>
          <cell r="T604">
            <v>1.3</v>
          </cell>
          <cell r="U604">
            <v>0.8</v>
          </cell>
          <cell r="V604">
            <v>3</v>
          </cell>
          <cell r="W604">
            <v>1</v>
          </cell>
          <cell r="X604">
            <v>60</v>
          </cell>
          <cell r="Y604">
            <v>1.7</v>
          </cell>
          <cell r="Z604">
            <v>1.4</v>
          </cell>
          <cell r="AA604">
            <v>1</v>
          </cell>
          <cell r="AB604">
            <v>0</v>
          </cell>
        </row>
        <row r="605">
          <cell r="A605">
            <v>604</v>
          </cell>
          <cell r="B605" t="str">
            <v>バルドル</v>
          </cell>
          <cell r="C605">
            <v>3</v>
          </cell>
          <cell r="D605" t="str">
            <v>yellow</v>
          </cell>
          <cell r="E605">
            <v>0.98</v>
          </cell>
          <cell r="F605">
            <v>1.01</v>
          </cell>
          <cell r="G605">
            <v>1</v>
          </cell>
          <cell r="H605" t="str">
            <v>heal</v>
          </cell>
          <cell r="I605" t="str">
            <v>回復タイプ</v>
          </cell>
          <cell r="J605">
            <v>0.8</v>
          </cell>
          <cell r="K605">
            <v>0.78</v>
          </cell>
          <cell r="L605">
            <v>1</v>
          </cell>
          <cell r="M605" t="str">
            <v>god</v>
          </cell>
          <cell r="N605" t="str">
            <v>ゴッド</v>
          </cell>
          <cell r="O605">
            <v>0.96</v>
          </cell>
          <cell r="P605">
            <v>1.02</v>
          </cell>
          <cell r="Q605">
            <v>1</v>
          </cell>
          <cell r="R605" t="str">
            <v>Boss</v>
          </cell>
          <cell r="S605">
            <v>5</v>
          </cell>
          <cell r="T605">
            <v>1.3</v>
          </cell>
          <cell r="U605">
            <v>0.8</v>
          </cell>
          <cell r="V605">
            <v>3</v>
          </cell>
          <cell r="W605">
            <v>1</v>
          </cell>
          <cell r="X605">
            <v>25</v>
          </cell>
          <cell r="Y605">
            <v>1.2</v>
          </cell>
          <cell r="Z605">
            <v>1.25</v>
          </cell>
          <cell r="AA605">
            <v>1.1499999999999999</v>
          </cell>
          <cell r="AB605">
            <v>0</v>
          </cell>
        </row>
        <row r="606">
          <cell r="A606">
            <v>605</v>
          </cell>
          <cell r="B606" t="str">
            <v>祝福される光耀 バルドル</v>
          </cell>
          <cell r="C606">
            <v>4</v>
          </cell>
          <cell r="D606" t="str">
            <v>yellow</v>
          </cell>
          <cell r="E606">
            <v>0.98</v>
          </cell>
          <cell r="F606">
            <v>1.01</v>
          </cell>
          <cell r="G606">
            <v>1</v>
          </cell>
          <cell r="H606" t="str">
            <v>heal</v>
          </cell>
          <cell r="I606" t="str">
            <v>回復タイプ</v>
          </cell>
          <cell r="J606">
            <v>0.8</v>
          </cell>
          <cell r="K606">
            <v>0.78</v>
          </cell>
          <cell r="L606">
            <v>1</v>
          </cell>
          <cell r="M606" t="str">
            <v>god</v>
          </cell>
          <cell r="N606" t="str">
            <v>ゴッド</v>
          </cell>
          <cell r="O606">
            <v>0.96</v>
          </cell>
          <cell r="P606">
            <v>1.02</v>
          </cell>
          <cell r="Q606">
            <v>1</v>
          </cell>
          <cell r="R606" t="str">
            <v>Boss</v>
          </cell>
          <cell r="S606">
            <v>5</v>
          </cell>
          <cell r="T606">
            <v>1.3</v>
          </cell>
          <cell r="U606">
            <v>0.8</v>
          </cell>
          <cell r="V606">
            <v>3</v>
          </cell>
          <cell r="W606">
            <v>1</v>
          </cell>
          <cell r="X606">
            <v>30</v>
          </cell>
          <cell r="Y606">
            <v>1.3</v>
          </cell>
          <cell r="Z606">
            <v>1.3</v>
          </cell>
          <cell r="AA606">
            <v>1.1000000000000001</v>
          </cell>
          <cell r="AB606">
            <v>0</v>
          </cell>
        </row>
        <row r="607">
          <cell r="A607">
            <v>606</v>
          </cell>
          <cell r="B607" t="str">
            <v>冀望の光芒 バルドル</v>
          </cell>
          <cell r="C607">
            <v>5</v>
          </cell>
          <cell r="D607" t="str">
            <v>yellow</v>
          </cell>
          <cell r="E607">
            <v>0.98</v>
          </cell>
          <cell r="F607">
            <v>1.01</v>
          </cell>
          <cell r="G607">
            <v>1</v>
          </cell>
          <cell r="H607" t="str">
            <v>heal</v>
          </cell>
          <cell r="I607" t="str">
            <v>回復タイプ</v>
          </cell>
          <cell r="J607">
            <v>0.8</v>
          </cell>
          <cell r="K607">
            <v>0.78</v>
          </cell>
          <cell r="L607">
            <v>1</v>
          </cell>
          <cell r="M607" t="str">
            <v>god</v>
          </cell>
          <cell r="N607" t="str">
            <v>ゴッド</v>
          </cell>
          <cell r="O607">
            <v>0.96</v>
          </cell>
          <cell r="P607">
            <v>1.02</v>
          </cell>
          <cell r="Q607">
            <v>1</v>
          </cell>
          <cell r="R607" t="str">
            <v>Boss</v>
          </cell>
          <cell r="S607">
            <v>5</v>
          </cell>
          <cell r="T607">
            <v>1.3</v>
          </cell>
          <cell r="U607">
            <v>0.8</v>
          </cell>
          <cell r="V607">
            <v>3</v>
          </cell>
          <cell r="W607">
            <v>1</v>
          </cell>
          <cell r="X607">
            <v>60</v>
          </cell>
          <cell r="Y607">
            <v>1.7</v>
          </cell>
          <cell r="Z607">
            <v>1.4</v>
          </cell>
          <cell r="AA607">
            <v>1</v>
          </cell>
          <cell r="AB607">
            <v>0</v>
          </cell>
        </row>
        <row r="608">
          <cell r="A608">
            <v>607</v>
          </cell>
          <cell r="B608" t="str">
            <v>メガ攻めの果実</v>
          </cell>
          <cell r="C608">
            <v>4</v>
          </cell>
          <cell r="D608" t="str">
            <v>red</v>
          </cell>
          <cell r="E608">
            <v>1</v>
          </cell>
          <cell r="F608">
            <v>1.02</v>
          </cell>
          <cell r="G608">
            <v>1</v>
          </cell>
          <cell r="H608" t="str">
            <v>attack</v>
          </cell>
          <cell r="I608" t="str">
            <v>攻撃タイプ</v>
          </cell>
          <cell r="J608">
            <v>1</v>
          </cell>
          <cell r="K608">
            <v>1.33</v>
          </cell>
          <cell r="L608">
            <v>1</v>
          </cell>
          <cell r="M608" t="str">
            <v>unknown</v>
          </cell>
          <cell r="N608" t="str">
            <v>Unknown</v>
          </cell>
          <cell r="O608">
            <v>1</v>
          </cell>
          <cell r="P608">
            <v>1</v>
          </cell>
          <cell r="Q608">
            <v>1</v>
          </cell>
          <cell r="R608" t="str">
            <v>Normal</v>
          </cell>
          <cell r="S608">
            <v>1</v>
          </cell>
          <cell r="T608">
            <v>1</v>
          </cell>
          <cell r="U608">
            <v>1</v>
          </cell>
          <cell r="V608">
            <v>3</v>
          </cell>
          <cell r="W608">
            <v>1</v>
          </cell>
          <cell r="X608">
            <v>20</v>
          </cell>
          <cell r="Y608">
            <v>1.1000000000000001</v>
          </cell>
          <cell r="Z608">
            <v>1.2</v>
          </cell>
          <cell r="AA608">
            <v>1.2</v>
          </cell>
          <cell r="AB608">
            <v>0</v>
          </cell>
        </row>
        <row r="609">
          <cell r="A609">
            <v>608</v>
          </cell>
          <cell r="B609" t="str">
            <v>メガ生命の果実</v>
          </cell>
          <cell r="C609">
            <v>4</v>
          </cell>
          <cell r="D609" t="str">
            <v>green</v>
          </cell>
          <cell r="E609">
            <v>1.02</v>
          </cell>
          <cell r="F609">
            <v>0.98</v>
          </cell>
          <cell r="G609">
            <v>1</v>
          </cell>
          <cell r="H609" t="str">
            <v>hp</v>
          </cell>
          <cell r="I609" t="str">
            <v>体力タイプ</v>
          </cell>
          <cell r="J609">
            <v>1.45</v>
          </cell>
          <cell r="K609">
            <v>0.85</v>
          </cell>
          <cell r="L609">
            <v>1</v>
          </cell>
          <cell r="M609" t="str">
            <v>unknown</v>
          </cell>
          <cell r="N609" t="str">
            <v>Unknown</v>
          </cell>
          <cell r="O609">
            <v>1</v>
          </cell>
          <cell r="P609">
            <v>1</v>
          </cell>
          <cell r="Q609">
            <v>1</v>
          </cell>
          <cell r="R609" t="str">
            <v>Normal</v>
          </cell>
          <cell r="S609">
            <v>1</v>
          </cell>
          <cell r="T609">
            <v>1</v>
          </cell>
          <cell r="U609">
            <v>1</v>
          </cell>
          <cell r="V609">
            <v>3</v>
          </cell>
          <cell r="W609">
            <v>1</v>
          </cell>
          <cell r="X609">
            <v>20</v>
          </cell>
          <cell r="Y609">
            <v>1.1000000000000001</v>
          </cell>
          <cell r="Z609">
            <v>1.2</v>
          </cell>
          <cell r="AA609">
            <v>1.2</v>
          </cell>
          <cell r="AB609">
            <v>0</v>
          </cell>
        </row>
        <row r="610">
          <cell r="A610">
            <v>609</v>
          </cell>
          <cell r="B610" t="str">
            <v>メガ癒しの果実</v>
          </cell>
          <cell r="C610">
            <v>4</v>
          </cell>
          <cell r="D610" t="str">
            <v>blue</v>
          </cell>
          <cell r="E610">
            <v>1</v>
          </cell>
          <cell r="F610">
            <v>0.98</v>
          </cell>
          <cell r="G610">
            <v>1</v>
          </cell>
          <cell r="H610" t="str">
            <v>heal</v>
          </cell>
          <cell r="I610" t="str">
            <v>回復タイプ</v>
          </cell>
          <cell r="J610">
            <v>0.8</v>
          </cell>
          <cell r="K610">
            <v>0.78</v>
          </cell>
          <cell r="L610">
            <v>1</v>
          </cell>
          <cell r="M610" t="str">
            <v>unknown</v>
          </cell>
          <cell r="N610" t="str">
            <v>Unknown</v>
          </cell>
          <cell r="O610">
            <v>1</v>
          </cell>
          <cell r="P610">
            <v>1</v>
          </cell>
          <cell r="Q610">
            <v>1</v>
          </cell>
          <cell r="R610" t="str">
            <v>Normal</v>
          </cell>
          <cell r="S610">
            <v>1</v>
          </cell>
          <cell r="T610">
            <v>1</v>
          </cell>
          <cell r="U610">
            <v>1</v>
          </cell>
          <cell r="V610">
            <v>3</v>
          </cell>
          <cell r="W610">
            <v>1</v>
          </cell>
          <cell r="X610">
            <v>20</v>
          </cell>
          <cell r="Y610">
            <v>1.1000000000000001</v>
          </cell>
          <cell r="Z610">
            <v>1.2</v>
          </cell>
          <cell r="AA610">
            <v>1.2</v>
          </cell>
          <cell r="AB610">
            <v>0</v>
          </cell>
        </row>
        <row r="611">
          <cell r="A611">
            <v>610</v>
          </cell>
          <cell r="B611" t="str">
            <v>メガ秘術の果実</v>
          </cell>
          <cell r="C611">
            <v>4</v>
          </cell>
          <cell r="D611" t="str">
            <v>blue</v>
          </cell>
          <cell r="E611">
            <v>1</v>
          </cell>
          <cell r="F611">
            <v>0.98</v>
          </cell>
          <cell r="G611">
            <v>1</v>
          </cell>
          <cell r="H611" t="str">
            <v>balance</v>
          </cell>
          <cell r="I611" t="str">
            <v>バランスタイプ</v>
          </cell>
          <cell r="J611">
            <v>1</v>
          </cell>
          <cell r="K611">
            <v>1</v>
          </cell>
          <cell r="L611">
            <v>1</v>
          </cell>
          <cell r="M611" t="str">
            <v>unknown</v>
          </cell>
          <cell r="N611" t="str">
            <v>Unknown</v>
          </cell>
          <cell r="O611">
            <v>1</v>
          </cell>
          <cell r="P611">
            <v>1</v>
          </cell>
          <cell r="Q611">
            <v>1</v>
          </cell>
          <cell r="R611" t="str">
            <v>Normal</v>
          </cell>
          <cell r="S611">
            <v>1</v>
          </cell>
          <cell r="T611">
            <v>1</v>
          </cell>
          <cell r="U611">
            <v>1</v>
          </cell>
          <cell r="V611">
            <v>3</v>
          </cell>
          <cell r="W611">
            <v>1</v>
          </cell>
          <cell r="X611">
            <v>20</v>
          </cell>
          <cell r="Y611">
            <v>1.1000000000000001</v>
          </cell>
          <cell r="Z611">
            <v>1.2</v>
          </cell>
          <cell r="AA611">
            <v>1.2</v>
          </cell>
          <cell r="AB611">
            <v>0</v>
          </cell>
        </row>
        <row r="612">
          <cell r="A612">
            <v>611</v>
          </cell>
          <cell r="B612" t="str">
            <v>ギガ攻めの果実</v>
          </cell>
          <cell r="C612">
            <v>5</v>
          </cell>
          <cell r="D612" t="str">
            <v>red</v>
          </cell>
          <cell r="E612">
            <v>1</v>
          </cell>
          <cell r="F612">
            <v>1.02</v>
          </cell>
          <cell r="G612">
            <v>1</v>
          </cell>
          <cell r="H612" t="str">
            <v>attack</v>
          </cell>
          <cell r="I612" t="str">
            <v>攻撃タイプ</v>
          </cell>
          <cell r="J612">
            <v>1</v>
          </cell>
          <cell r="K612">
            <v>1.33</v>
          </cell>
          <cell r="L612">
            <v>1</v>
          </cell>
          <cell r="M612" t="str">
            <v>unknown</v>
          </cell>
          <cell r="N612" t="str">
            <v>Unknown</v>
          </cell>
          <cell r="O612">
            <v>1</v>
          </cell>
          <cell r="P612">
            <v>1</v>
          </cell>
          <cell r="Q612">
            <v>1</v>
          </cell>
          <cell r="R612" t="str">
            <v>Normal</v>
          </cell>
          <cell r="S612">
            <v>1</v>
          </cell>
          <cell r="T612">
            <v>1</v>
          </cell>
          <cell r="U612">
            <v>1</v>
          </cell>
          <cell r="V612">
            <v>3</v>
          </cell>
          <cell r="W612">
            <v>1</v>
          </cell>
          <cell r="X612">
            <v>20</v>
          </cell>
          <cell r="Y612">
            <v>1.1000000000000001</v>
          </cell>
          <cell r="Z612">
            <v>1.2</v>
          </cell>
          <cell r="AA612">
            <v>1.2</v>
          </cell>
          <cell r="AB612">
            <v>0</v>
          </cell>
        </row>
        <row r="613">
          <cell r="A613">
            <v>612</v>
          </cell>
          <cell r="B613" t="str">
            <v>ギガ生命の果実</v>
          </cell>
          <cell r="C613">
            <v>5</v>
          </cell>
          <cell r="D613" t="str">
            <v>green</v>
          </cell>
          <cell r="E613">
            <v>1.02</v>
          </cell>
          <cell r="F613">
            <v>0.98</v>
          </cell>
          <cell r="G613">
            <v>1</v>
          </cell>
          <cell r="H613" t="str">
            <v>hp</v>
          </cell>
          <cell r="I613" t="str">
            <v>体力タイプ</v>
          </cell>
          <cell r="J613">
            <v>1.45</v>
          </cell>
          <cell r="K613">
            <v>0.85</v>
          </cell>
          <cell r="L613">
            <v>1</v>
          </cell>
          <cell r="M613" t="str">
            <v>unknown</v>
          </cell>
          <cell r="N613" t="str">
            <v>Unknown</v>
          </cell>
          <cell r="O613">
            <v>1</v>
          </cell>
          <cell r="P613">
            <v>1</v>
          </cell>
          <cell r="Q613">
            <v>1</v>
          </cell>
          <cell r="R613" t="str">
            <v>Normal</v>
          </cell>
          <cell r="S613">
            <v>1</v>
          </cell>
          <cell r="T613">
            <v>1</v>
          </cell>
          <cell r="U613">
            <v>1</v>
          </cell>
          <cell r="V613">
            <v>3</v>
          </cell>
          <cell r="W613">
            <v>1</v>
          </cell>
          <cell r="X613">
            <v>20</v>
          </cell>
          <cell r="Y613">
            <v>1.1000000000000001</v>
          </cell>
          <cell r="Z613">
            <v>1.2</v>
          </cell>
          <cell r="AA613">
            <v>1.2</v>
          </cell>
          <cell r="AB613">
            <v>0</v>
          </cell>
        </row>
        <row r="614">
          <cell r="A614">
            <v>613</v>
          </cell>
          <cell r="B614" t="str">
            <v>ギガ癒しの果実</v>
          </cell>
          <cell r="C614">
            <v>5</v>
          </cell>
          <cell r="D614" t="str">
            <v>blue</v>
          </cell>
          <cell r="E614">
            <v>1</v>
          </cell>
          <cell r="F614">
            <v>0.98</v>
          </cell>
          <cell r="G614">
            <v>1</v>
          </cell>
          <cell r="H614" t="str">
            <v>heal</v>
          </cell>
          <cell r="I614" t="str">
            <v>回復タイプ</v>
          </cell>
          <cell r="J614">
            <v>0.8</v>
          </cell>
          <cell r="K614">
            <v>0.78</v>
          </cell>
          <cell r="L614">
            <v>1</v>
          </cell>
          <cell r="M614" t="str">
            <v>unknown</v>
          </cell>
          <cell r="N614" t="str">
            <v>Unknown</v>
          </cell>
          <cell r="O614">
            <v>1</v>
          </cell>
          <cell r="P614">
            <v>1</v>
          </cell>
          <cell r="Q614">
            <v>1</v>
          </cell>
          <cell r="R614" t="str">
            <v>Normal</v>
          </cell>
          <cell r="S614">
            <v>1</v>
          </cell>
          <cell r="T614">
            <v>1</v>
          </cell>
          <cell r="U614">
            <v>1</v>
          </cell>
          <cell r="V614">
            <v>3</v>
          </cell>
          <cell r="W614">
            <v>1</v>
          </cell>
          <cell r="X614">
            <v>20</v>
          </cell>
          <cell r="Y614">
            <v>1.1000000000000001</v>
          </cell>
          <cell r="Z614">
            <v>1.2</v>
          </cell>
          <cell r="AA614">
            <v>1.2</v>
          </cell>
          <cell r="AB614">
            <v>0</v>
          </cell>
        </row>
        <row r="615">
          <cell r="A615">
            <v>614</v>
          </cell>
          <cell r="B615" t="str">
            <v>ギガ秘術の果実</v>
          </cell>
          <cell r="C615">
            <v>5</v>
          </cell>
          <cell r="D615" t="str">
            <v>blue</v>
          </cell>
          <cell r="E615">
            <v>1</v>
          </cell>
          <cell r="F615">
            <v>0.98</v>
          </cell>
          <cell r="G615">
            <v>1</v>
          </cell>
          <cell r="H615" t="str">
            <v>balance</v>
          </cell>
          <cell r="I615" t="str">
            <v>バランスタイプ</v>
          </cell>
          <cell r="J615">
            <v>1</v>
          </cell>
          <cell r="K615">
            <v>1</v>
          </cell>
          <cell r="L615">
            <v>1</v>
          </cell>
          <cell r="M615" t="str">
            <v>unknown</v>
          </cell>
          <cell r="N615" t="str">
            <v>Unknown</v>
          </cell>
          <cell r="O615">
            <v>1</v>
          </cell>
          <cell r="P615">
            <v>1</v>
          </cell>
          <cell r="Q615">
            <v>1</v>
          </cell>
          <cell r="R615" t="str">
            <v>Normal</v>
          </cell>
          <cell r="S615">
            <v>1</v>
          </cell>
          <cell r="T615">
            <v>1</v>
          </cell>
          <cell r="U615">
            <v>1</v>
          </cell>
          <cell r="V615">
            <v>3</v>
          </cell>
          <cell r="W615">
            <v>1</v>
          </cell>
          <cell r="X615">
            <v>20</v>
          </cell>
          <cell r="Y615">
            <v>1.1000000000000001</v>
          </cell>
          <cell r="Z615">
            <v>1.2</v>
          </cell>
          <cell r="AA615">
            <v>1.2</v>
          </cell>
          <cell r="AB615">
            <v>0</v>
          </cell>
        </row>
        <row r="616">
          <cell r="A616">
            <v>615</v>
          </cell>
          <cell r="B616" t="str">
            <v>ヒュドラ・コスモブラスト</v>
          </cell>
          <cell r="C616">
            <v>5</v>
          </cell>
          <cell r="D616" t="str">
            <v>red</v>
          </cell>
          <cell r="E616">
            <v>1</v>
          </cell>
          <cell r="F616">
            <v>1.02</v>
          </cell>
          <cell r="G616">
            <v>1</v>
          </cell>
          <cell r="H616" t="str">
            <v>attack</v>
          </cell>
          <cell r="I616" t="str">
            <v>攻撃タイプ</v>
          </cell>
          <cell r="J616">
            <v>1</v>
          </cell>
          <cell r="K616">
            <v>1.33</v>
          </cell>
          <cell r="L616">
            <v>1</v>
          </cell>
          <cell r="M616" t="str">
            <v>dragon</v>
          </cell>
          <cell r="N616" t="str">
            <v>ドラゴン</v>
          </cell>
          <cell r="O616">
            <v>1.1499999999999999</v>
          </cell>
          <cell r="P616">
            <v>1.1000000000000001</v>
          </cell>
          <cell r="Q616">
            <v>1</v>
          </cell>
          <cell r="R616" t="str">
            <v>Boss</v>
          </cell>
          <cell r="S616">
            <v>5</v>
          </cell>
          <cell r="T616">
            <v>1.3</v>
          </cell>
          <cell r="U616">
            <v>0.8</v>
          </cell>
          <cell r="V616">
            <v>3</v>
          </cell>
          <cell r="W616">
            <v>1</v>
          </cell>
          <cell r="X616">
            <v>60</v>
          </cell>
          <cell r="Y616">
            <v>1.7</v>
          </cell>
          <cell r="Z616">
            <v>1.4</v>
          </cell>
          <cell r="AA616">
            <v>1</v>
          </cell>
          <cell r="AB616">
            <v>0</v>
          </cell>
        </row>
        <row r="617">
          <cell r="A617">
            <v>616</v>
          </cell>
          <cell r="B617" t="str">
            <v>リンドブルム・デルタクラスター</v>
          </cell>
          <cell r="C617">
            <v>5</v>
          </cell>
          <cell r="D617" t="str">
            <v>green</v>
          </cell>
          <cell r="E617">
            <v>1.02</v>
          </cell>
          <cell r="F617">
            <v>0.98</v>
          </cell>
          <cell r="G617">
            <v>1</v>
          </cell>
          <cell r="H617" t="str">
            <v>attack</v>
          </cell>
          <cell r="I617" t="str">
            <v>攻撃タイプ</v>
          </cell>
          <cell r="J617">
            <v>1</v>
          </cell>
          <cell r="K617">
            <v>1.33</v>
          </cell>
          <cell r="L617">
            <v>1</v>
          </cell>
          <cell r="M617" t="str">
            <v>dragon</v>
          </cell>
          <cell r="N617" t="str">
            <v>ドラゴン</v>
          </cell>
          <cell r="O617">
            <v>1.1499999999999999</v>
          </cell>
          <cell r="P617">
            <v>1.1000000000000001</v>
          </cell>
          <cell r="Q617">
            <v>1</v>
          </cell>
          <cell r="R617" t="str">
            <v>Boss</v>
          </cell>
          <cell r="S617">
            <v>5</v>
          </cell>
          <cell r="T617">
            <v>1.3</v>
          </cell>
          <cell r="U617">
            <v>0.8</v>
          </cell>
          <cell r="V617">
            <v>3</v>
          </cell>
          <cell r="W617">
            <v>1</v>
          </cell>
          <cell r="X617">
            <v>60</v>
          </cell>
          <cell r="Y617">
            <v>1.7</v>
          </cell>
          <cell r="Z617">
            <v>1.4</v>
          </cell>
          <cell r="AA617">
            <v>1</v>
          </cell>
          <cell r="AB617">
            <v>0</v>
          </cell>
        </row>
        <row r="618">
          <cell r="A618">
            <v>617</v>
          </cell>
          <cell r="B618" t="str">
            <v>ラーフ・アルマゲドン</v>
          </cell>
          <cell r="C618">
            <v>5</v>
          </cell>
          <cell r="D618" t="str">
            <v>blue</v>
          </cell>
          <cell r="E618">
            <v>1</v>
          </cell>
          <cell r="F618">
            <v>0.98</v>
          </cell>
          <cell r="G618">
            <v>1</v>
          </cell>
          <cell r="H618" t="str">
            <v>balance</v>
          </cell>
          <cell r="I618" t="str">
            <v>バランスタイプ</v>
          </cell>
          <cell r="J618">
            <v>1</v>
          </cell>
          <cell r="K618">
            <v>1</v>
          </cell>
          <cell r="L618">
            <v>1</v>
          </cell>
          <cell r="M618" t="str">
            <v>dragon</v>
          </cell>
          <cell r="N618" t="str">
            <v>ドラゴン</v>
          </cell>
          <cell r="O618">
            <v>1.1499999999999999</v>
          </cell>
          <cell r="P618">
            <v>1.1000000000000001</v>
          </cell>
          <cell r="Q618">
            <v>1</v>
          </cell>
          <cell r="R618" t="str">
            <v>Boss</v>
          </cell>
          <cell r="S618">
            <v>5</v>
          </cell>
          <cell r="T618">
            <v>1.3</v>
          </cell>
          <cell r="U618">
            <v>0.8</v>
          </cell>
          <cell r="V618">
            <v>3</v>
          </cell>
          <cell r="W618">
            <v>1</v>
          </cell>
          <cell r="X618">
            <v>60</v>
          </cell>
          <cell r="Y618">
            <v>1.7</v>
          </cell>
          <cell r="Z618">
            <v>1.4</v>
          </cell>
          <cell r="AA618">
            <v>1</v>
          </cell>
          <cell r="AB618">
            <v>0</v>
          </cell>
        </row>
        <row r="619">
          <cell r="A619">
            <v>618</v>
          </cell>
          <cell r="B619" t="str">
            <v>フェルニゲシュ・オメガドライブ</v>
          </cell>
          <cell r="C619">
            <v>5</v>
          </cell>
          <cell r="D619" t="str">
            <v>yellow</v>
          </cell>
          <cell r="E619">
            <v>0.98</v>
          </cell>
          <cell r="F619">
            <v>1.01</v>
          </cell>
          <cell r="G619">
            <v>1</v>
          </cell>
          <cell r="H619" t="str">
            <v>technical</v>
          </cell>
          <cell r="I619" t="str">
            <v>テクニカルタイプ</v>
          </cell>
          <cell r="J619">
            <v>0.9</v>
          </cell>
          <cell r="K619">
            <v>0.9</v>
          </cell>
          <cell r="L619">
            <v>1</v>
          </cell>
          <cell r="M619" t="str">
            <v>dragon</v>
          </cell>
          <cell r="N619" t="str">
            <v>ドラゴン</v>
          </cell>
          <cell r="O619">
            <v>1.1499999999999999</v>
          </cell>
          <cell r="P619">
            <v>1.1000000000000001</v>
          </cell>
          <cell r="Q619">
            <v>1</v>
          </cell>
          <cell r="R619" t="str">
            <v>Boss</v>
          </cell>
          <cell r="S619">
            <v>5</v>
          </cell>
          <cell r="T619">
            <v>1.3</v>
          </cell>
          <cell r="U619">
            <v>0.8</v>
          </cell>
          <cell r="V619">
            <v>3</v>
          </cell>
          <cell r="W619">
            <v>1</v>
          </cell>
          <cell r="X619">
            <v>60</v>
          </cell>
          <cell r="Y619">
            <v>1.7</v>
          </cell>
          <cell r="Z619">
            <v>1.4</v>
          </cell>
          <cell r="AA619">
            <v>1</v>
          </cell>
          <cell r="AB619">
            <v>0</v>
          </cell>
        </row>
        <row r="620">
          <cell r="A620">
            <v>619</v>
          </cell>
          <cell r="B620" t="str">
            <v>メビウス</v>
          </cell>
          <cell r="C620">
            <v>4</v>
          </cell>
          <cell r="D620" t="str">
            <v>blue</v>
          </cell>
          <cell r="E620">
            <v>1</v>
          </cell>
          <cell r="F620">
            <v>0.98</v>
          </cell>
          <cell r="G620">
            <v>1</v>
          </cell>
          <cell r="H620" t="str">
            <v>balance</v>
          </cell>
          <cell r="I620" t="str">
            <v>バランスタイプ</v>
          </cell>
          <cell r="J620">
            <v>1</v>
          </cell>
          <cell r="K620">
            <v>1</v>
          </cell>
          <cell r="L620">
            <v>1</v>
          </cell>
          <cell r="M620" t="str">
            <v>human</v>
          </cell>
          <cell r="N620" t="str">
            <v>ヒューマン</v>
          </cell>
          <cell r="O620">
            <v>0.94</v>
          </cell>
          <cell r="P620">
            <v>0.99</v>
          </cell>
          <cell r="Q620">
            <v>1</v>
          </cell>
          <cell r="R620" t="str">
            <v>Boss</v>
          </cell>
          <cell r="S620">
            <v>5</v>
          </cell>
          <cell r="T620">
            <v>1.3</v>
          </cell>
          <cell r="U620">
            <v>0.8</v>
          </cell>
          <cell r="V620">
            <v>3</v>
          </cell>
          <cell r="W620">
            <v>1</v>
          </cell>
          <cell r="X620">
            <v>30</v>
          </cell>
          <cell r="Y620">
            <v>1.3</v>
          </cell>
          <cell r="Z620">
            <v>1.3</v>
          </cell>
          <cell r="AA620">
            <v>1.1000000000000001</v>
          </cell>
          <cell r="AB620">
            <v>0</v>
          </cell>
        </row>
        <row r="621">
          <cell r="A621">
            <v>620</v>
          </cell>
          <cell r="B621" t="str">
            <v>奇跡の調和 メビウス</v>
          </cell>
          <cell r="C621">
            <v>5</v>
          </cell>
          <cell r="D621" t="str">
            <v>blue</v>
          </cell>
          <cell r="E621">
            <v>1</v>
          </cell>
          <cell r="F621">
            <v>0.98</v>
          </cell>
          <cell r="G621">
            <v>1</v>
          </cell>
          <cell r="H621" t="str">
            <v>balance</v>
          </cell>
          <cell r="I621" t="str">
            <v>バランスタイプ</v>
          </cell>
          <cell r="J621">
            <v>1</v>
          </cell>
          <cell r="K621">
            <v>1</v>
          </cell>
          <cell r="L621">
            <v>1</v>
          </cell>
          <cell r="M621" t="str">
            <v>human</v>
          </cell>
          <cell r="N621" t="str">
            <v>ヒューマン</v>
          </cell>
          <cell r="O621">
            <v>0.94</v>
          </cell>
          <cell r="P621">
            <v>0.99</v>
          </cell>
          <cell r="Q621">
            <v>1</v>
          </cell>
          <cell r="R621" t="str">
            <v>Boss</v>
          </cell>
          <cell r="S621">
            <v>5</v>
          </cell>
          <cell r="T621">
            <v>1.3</v>
          </cell>
          <cell r="U621">
            <v>0.8</v>
          </cell>
          <cell r="V621">
            <v>3</v>
          </cell>
          <cell r="W621">
            <v>1</v>
          </cell>
          <cell r="X621">
            <v>30</v>
          </cell>
          <cell r="Y621">
            <v>1.7</v>
          </cell>
          <cell r="Z621">
            <v>1.4</v>
          </cell>
          <cell r="AA621">
            <v>1</v>
          </cell>
          <cell r="AB621">
            <v>0</v>
          </cell>
        </row>
        <row r="622">
          <cell r="A622">
            <v>621</v>
          </cell>
          <cell r="B622" t="str">
            <v>終わりなき奇跡 メビウス</v>
          </cell>
          <cell r="C622">
            <v>6</v>
          </cell>
          <cell r="D622" t="str">
            <v>blue</v>
          </cell>
          <cell r="E622">
            <v>1</v>
          </cell>
          <cell r="F622">
            <v>0.98</v>
          </cell>
          <cell r="G622">
            <v>1</v>
          </cell>
          <cell r="H622" t="str">
            <v>balance</v>
          </cell>
          <cell r="I622" t="str">
            <v>バランスタイプ</v>
          </cell>
          <cell r="J622">
            <v>1</v>
          </cell>
          <cell r="K622">
            <v>1</v>
          </cell>
          <cell r="L622">
            <v>1</v>
          </cell>
          <cell r="M622" t="str">
            <v>human</v>
          </cell>
          <cell r="N622" t="str">
            <v>ヒューマン</v>
          </cell>
          <cell r="O622">
            <v>0.94</v>
          </cell>
          <cell r="P622">
            <v>0.99</v>
          </cell>
          <cell r="Q622">
            <v>1</v>
          </cell>
          <cell r="R622" t="str">
            <v>Boss</v>
          </cell>
          <cell r="S622">
            <v>5</v>
          </cell>
          <cell r="T622">
            <v>1.3</v>
          </cell>
          <cell r="U622">
            <v>0.8</v>
          </cell>
          <cell r="V622">
            <v>3</v>
          </cell>
          <cell r="W622">
            <v>1</v>
          </cell>
          <cell r="X622">
            <v>30</v>
          </cell>
          <cell r="Y622">
            <v>1.7</v>
          </cell>
          <cell r="Z622">
            <v>1.4</v>
          </cell>
          <cell r="AA622">
            <v>1</v>
          </cell>
          <cell r="AB622">
            <v>0</v>
          </cell>
        </row>
        <row r="623">
          <cell r="A623">
            <v>622</v>
          </cell>
          <cell r="B623" t="str">
            <v>未定</v>
          </cell>
          <cell r="C623">
            <v>4</v>
          </cell>
          <cell r="D623" t="str">
            <v>blue</v>
          </cell>
          <cell r="E623">
            <v>1</v>
          </cell>
          <cell r="F623">
            <v>0.98</v>
          </cell>
          <cell r="G623">
            <v>1</v>
          </cell>
          <cell r="H623" t="str">
            <v>attack</v>
          </cell>
          <cell r="I623" t="str">
            <v>攻撃タイプ</v>
          </cell>
          <cell r="J623">
            <v>1</v>
          </cell>
          <cell r="K623">
            <v>1.33</v>
          </cell>
          <cell r="L623">
            <v>1</v>
          </cell>
          <cell r="M623" t="str">
            <v>human</v>
          </cell>
          <cell r="N623" t="str">
            <v>ヒューマン</v>
          </cell>
          <cell r="O623">
            <v>0.94</v>
          </cell>
          <cell r="P623">
            <v>0.99</v>
          </cell>
          <cell r="Q623">
            <v>1</v>
          </cell>
          <cell r="R623" t="str">
            <v>Boss</v>
          </cell>
          <cell r="S623">
            <v>5</v>
          </cell>
          <cell r="T623">
            <v>1.3</v>
          </cell>
          <cell r="U623">
            <v>0.8</v>
          </cell>
          <cell r="V623">
            <v>3</v>
          </cell>
          <cell r="W623">
            <v>1</v>
          </cell>
          <cell r="X623">
            <v>30</v>
          </cell>
          <cell r="Y623">
            <v>1.3</v>
          </cell>
          <cell r="Z623">
            <v>1.3</v>
          </cell>
          <cell r="AA623">
            <v>1.1000000000000001</v>
          </cell>
          <cell r="AB623">
            <v>0</v>
          </cell>
        </row>
        <row r="624">
          <cell r="A624">
            <v>623</v>
          </cell>
          <cell r="B624" t="str">
            <v>フェルマー</v>
          </cell>
          <cell r="C624">
            <v>5</v>
          </cell>
          <cell r="D624" t="str">
            <v>yellow</v>
          </cell>
          <cell r="E624">
            <v>0.98</v>
          </cell>
          <cell r="F624">
            <v>1.01</v>
          </cell>
          <cell r="G624">
            <v>1</v>
          </cell>
          <cell r="H624" t="str">
            <v>attack</v>
          </cell>
          <cell r="I624" t="str">
            <v>攻撃タイプ</v>
          </cell>
          <cell r="J624">
            <v>1</v>
          </cell>
          <cell r="K624">
            <v>1.33</v>
          </cell>
          <cell r="L624">
            <v>1</v>
          </cell>
          <cell r="M624" t="str">
            <v>academia</v>
          </cell>
          <cell r="N624" t="str">
            <v>アカデミア</v>
          </cell>
          <cell r="O624">
            <v>1</v>
          </cell>
          <cell r="P624">
            <v>1</v>
          </cell>
          <cell r="Q624">
            <v>1</v>
          </cell>
          <cell r="R624" t="str">
            <v>Boss</v>
          </cell>
          <cell r="S624">
            <v>5</v>
          </cell>
          <cell r="T624">
            <v>1.3</v>
          </cell>
          <cell r="U624">
            <v>0.8</v>
          </cell>
          <cell r="V624">
            <v>3</v>
          </cell>
          <cell r="W624">
            <v>1</v>
          </cell>
          <cell r="X624">
            <v>60</v>
          </cell>
          <cell r="Y624">
            <v>1.7</v>
          </cell>
          <cell r="Z624">
            <v>1.4</v>
          </cell>
          <cell r="AA624">
            <v>1</v>
          </cell>
          <cell r="AB624">
            <v>0</v>
          </cell>
        </row>
        <row r="625">
          <cell r="A625">
            <v>624</v>
          </cell>
          <cell r="B625" t="str">
            <v>挑発の尖駆者 フェルマー</v>
          </cell>
          <cell r="C625">
            <v>6</v>
          </cell>
          <cell r="D625" t="str">
            <v>yellow</v>
          </cell>
          <cell r="E625">
            <v>0.98</v>
          </cell>
          <cell r="F625">
            <v>1.01</v>
          </cell>
          <cell r="G625">
            <v>1</v>
          </cell>
          <cell r="H625" t="str">
            <v>attack</v>
          </cell>
          <cell r="I625" t="str">
            <v>攻撃タイプ</v>
          </cell>
          <cell r="J625">
            <v>1</v>
          </cell>
          <cell r="K625">
            <v>1.33</v>
          </cell>
          <cell r="L625">
            <v>1</v>
          </cell>
          <cell r="M625" t="str">
            <v>academia</v>
          </cell>
          <cell r="N625" t="str">
            <v>アカデミア</v>
          </cell>
          <cell r="O625">
            <v>1</v>
          </cell>
          <cell r="P625">
            <v>1</v>
          </cell>
          <cell r="Q625">
            <v>1</v>
          </cell>
          <cell r="R625" t="str">
            <v>Boss</v>
          </cell>
          <cell r="S625">
            <v>5</v>
          </cell>
          <cell r="T625">
            <v>1.3</v>
          </cell>
          <cell r="U625">
            <v>0.8</v>
          </cell>
          <cell r="V625">
            <v>3</v>
          </cell>
          <cell r="W625">
            <v>1</v>
          </cell>
          <cell r="X625">
            <v>60</v>
          </cell>
          <cell r="Y625">
            <v>1.7</v>
          </cell>
          <cell r="Z625">
            <v>1.4</v>
          </cell>
          <cell r="AA625">
            <v>1</v>
          </cell>
          <cell r="AB625">
            <v>0</v>
          </cell>
        </row>
        <row r="626">
          <cell r="A626">
            <v>625</v>
          </cell>
          <cell r="B626" t="str">
            <v>デカルト</v>
          </cell>
          <cell r="C626">
            <v>4</v>
          </cell>
          <cell r="D626" t="str">
            <v>green</v>
          </cell>
          <cell r="E626">
            <v>1.02</v>
          </cell>
          <cell r="F626">
            <v>0.98</v>
          </cell>
          <cell r="G626">
            <v>1</v>
          </cell>
          <cell r="H626" t="str">
            <v>attack</v>
          </cell>
          <cell r="I626" t="str">
            <v>攻撃タイプ</v>
          </cell>
          <cell r="J626">
            <v>1</v>
          </cell>
          <cell r="K626">
            <v>1.33</v>
          </cell>
          <cell r="L626">
            <v>1</v>
          </cell>
          <cell r="M626" t="str">
            <v>human</v>
          </cell>
          <cell r="N626" t="str">
            <v>ヒューマン</v>
          </cell>
          <cell r="O626">
            <v>0.94</v>
          </cell>
          <cell r="P626">
            <v>0.99</v>
          </cell>
          <cell r="Q626">
            <v>1</v>
          </cell>
          <cell r="R626" t="str">
            <v>Boss</v>
          </cell>
          <cell r="S626">
            <v>5</v>
          </cell>
          <cell r="T626">
            <v>1.3</v>
          </cell>
          <cell r="U626">
            <v>0.8</v>
          </cell>
          <cell r="V626">
            <v>3</v>
          </cell>
          <cell r="W626">
            <v>1</v>
          </cell>
          <cell r="X626">
            <v>30</v>
          </cell>
          <cell r="Y626">
            <v>1.3</v>
          </cell>
          <cell r="Z626">
            <v>1.3</v>
          </cell>
          <cell r="AA626">
            <v>1.1000000000000001</v>
          </cell>
          <cell r="AB626">
            <v>0</v>
          </cell>
        </row>
        <row r="627">
          <cell r="A627">
            <v>626</v>
          </cell>
          <cell r="B627" t="str">
            <v>デカルト</v>
          </cell>
          <cell r="C627">
            <v>5</v>
          </cell>
          <cell r="D627" t="str">
            <v>green</v>
          </cell>
          <cell r="E627">
            <v>1.02</v>
          </cell>
          <cell r="F627">
            <v>0.98</v>
          </cell>
          <cell r="G627">
            <v>1</v>
          </cell>
          <cell r="H627" t="str">
            <v>attack</v>
          </cell>
          <cell r="I627" t="str">
            <v>攻撃タイプ</v>
          </cell>
          <cell r="J627">
            <v>1</v>
          </cell>
          <cell r="K627">
            <v>1.33</v>
          </cell>
          <cell r="L627">
            <v>1</v>
          </cell>
          <cell r="M627" t="str">
            <v>human</v>
          </cell>
          <cell r="N627" t="str">
            <v>ヒューマン</v>
          </cell>
          <cell r="O627">
            <v>0.94</v>
          </cell>
          <cell r="P627">
            <v>0.99</v>
          </cell>
          <cell r="Q627">
            <v>1</v>
          </cell>
          <cell r="R627" t="str">
            <v>Boss</v>
          </cell>
          <cell r="S627">
            <v>5</v>
          </cell>
          <cell r="T627">
            <v>1.3</v>
          </cell>
          <cell r="U627">
            <v>0.8</v>
          </cell>
          <cell r="V627">
            <v>3</v>
          </cell>
          <cell r="W627">
            <v>1</v>
          </cell>
          <cell r="X627">
            <v>60</v>
          </cell>
          <cell r="Y627">
            <v>1.7</v>
          </cell>
          <cell r="Z627">
            <v>1.4</v>
          </cell>
          <cell r="AA627">
            <v>1</v>
          </cell>
          <cell r="AB627">
            <v>0</v>
          </cell>
        </row>
        <row r="628">
          <cell r="A628">
            <v>627</v>
          </cell>
          <cell r="B628" t="str">
            <v>メガラニカ</v>
          </cell>
          <cell r="C628">
            <v>5</v>
          </cell>
          <cell r="D628" t="str">
            <v>green</v>
          </cell>
          <cell r="E628">
            <v>1.02</v>
          </cell>
          <cell r="F628">
            <v>0.98</v>
          </cell>
          <cell r="G628">
            <v>1</v>
          </cell>
          <cell r="H628" t="str">
            <v>balance</v>
          </cell>
          <cell r="I628" t="str">
            <v>バランスタイプ</v>
          </cell>
          <cell r="J628">
            <v>1</v>
          </cell>
          <cell r="K628">
            <v>1</v>
          </cell>
          <cell r="L628">
            <v>1</v>
          </cell>
          <cell r="M628" t="str">
            <v>animal</v>
          </cell>
          <cell r="N628" t="str">
            <v>アニマル</v>
          </cell>
          <cell r="O628">
            <v>1</v>
          </cell>
          <cell r="P628">
            <v>1.1000000000000001</v>
          </cell>
          <cell r="Q628">
            <v>1</v>
          </cell>
          <cell r="R628" t="str">
            <v>Boss</v>
          </cell>
          <cell r="S628">
            <v>5</v>
          </cell>
          <cell r="T628">
            <v>1.3</v>
          </cell>
          <cell r="U628">
            <v>0.8</v>
          </cell>
          <cell r="V628">
            <v>3</v>
          </cell>
          <cell r="W628">
            <v>1</v>
          </cell>
          <cell r="X628">
            <v>60</v>
          </cell>
          <cell r="Y628">
            <v>1.7</v>
          </cell>
          <cell r="Z628">
            <v>1.4</v>
          </cell>
          <cell r="AA628">
            <v>1</v>
          </cell>
          <cell r="AB628">
            <v>0</v>
          </cell>
        </row>
        <row r="629">
          <cell r="A629">
            <v>628</v>
          </cell>
          <cell r="B629" t="str">
            <v>玄装の指南隊 メガラニカ</v>
          </cell>
          <cell r="C629">
            <v>6</v>
          </cell>
          <cell r="D629" t="str">
            <v>green</v>
          </cell>
          <cell r="E629">
            <v>1.02</v>
          </cell>
          <cell r="F629">
            <v>0.98</v>
          </cell>
          <cell r="G629">
            <v>1</v>
          </cell>
          <cell r="H629" t="str">
            <v>balance</v>
          </cell>
          <cell r="I629" t="str">
            <v>バランスタイプ</v>
          </cell>
          <cell r="J629">
            <v>1</v>
          </cell>
          <cell r="K629">
            <v>1</v>
          </cell>
          <cell r="L629">
            <v>1</v>
          </cell>
          <cell r="M629" t="str">
            <v>animal</v>
          </cell>
          <cell r="N629" t="str">
            <v>アニマル</v>
          </cell>
          <cell r="O629">
            <v>1</v>
          </cell>
          <cell r="P629">
            <v>1.1000000000000001</v>
          </cell>
          <cell r="Q629">
            <v>1</v>
          </cell>
          <cell r="R629" t="str">
            <v>Boss</v>
          </cell>
          <cell r="S629">
            <v>5</v>
          </cell>
          <cell r="T629">
            <v>1.3</v>
          </cell>
          <cell r="U629">
            <v>0.8</v>
          </cell>
          <cell r="V629">
            <v>3</v>
          </cell>
          <cell r="W629">
            <v>1</v>
          </cell>
          <cell r="X629">
            <v>60</v>
          </cell>
          <cell r="Y629">
            <v>1.7</v>
          </cell>
          <cell r="Z629">
            <v>1.4</v>
          </cell>
          <cell r="AA629">
            <v>1</v>
          </cell>
          <cell r="AB629">
            <v>0</v>
          </cell>
        </row>
        <row r="630">
          <cell r="A630">
            <v>629</v>
          </cell>
          <cell r="B630" t="str">
            <v>チャリオット</v>
          </cell>
          <cell r="C630">
            <v>5</v>
          </cell>
          <cell r="D630" t="str">
            <v>blue</v>
          </cell>
          <cell r="E630">
            <v>1</v>
          </cell>
          <cell r="F630">
            <v>0.98</v>
          </cell>
          <cell r="G630">
            <v>1</v>
          </cell>
          <cell r="H630" t="str">
            <v>hp</v>
          </cell>
          <cell r="I630" t="str">
            <v>体力タイプ</v>
          </cell>
          <cell r="J630">
            <v>1.45</v>
          </cell>
          <cell r="K630">
            <v>0.85</v>
          </cell>
          <cell r="L630">
            <v>1</v>
          </cell>
          <cell r="M630" t="str">
            <v>god</v>
          </cell>
          <cell r="N630" t="str">
            <v>ゴッド</v>
          </cell>
          <cell r="O630">
            <v>0.96</v>
          </cell>
          <cell r="P630">
            <v>1.02</v>
          </cell>
          <cell r="Q630">
            <v>1</v>
          </cell>
          <cell r="R630" t="str">
            <v>Boss</v>
          </cell>
          <cell r="S630">
            <v>5</v>
          </cell>
          <cell r="T630">
            <v>1.3</v>
          </cell>
          <cell r="U630">
            <v>0.8</v>
          </cell>
          <cell r="V630">
            <v>3</v>
          </cell>
          <cell r="W630">
            <v>1</v>
          </cell>
          <cell r="X630">
            <v>60</v>
          </cell>
          <cell r="Y630">
            <v>1.7</v>
          </cell>
          <cell r="Z630">
            <v>1.4</v>
          </cell>
          <cell r="AA630">
            <v>1</v>
          </cell>
          <cell r="AB630">
            <v>0</v>
          </cell>
        </row>
        <row r="631">
          <cell r="A631">
            <v>630</v>
          </cell>
          <cell r="B631" t="str">
            <v>明快の突戦車 チャリオット</v>
          </cell>
          <cell r="C631">
            <v>6</v>
          </cell>
          <cell r="D631" t="str">
            <v>blue</v>
          </cell>
          <cell r="E631">
            <v>1</v>
          </cell>
          <cell r="F631">
            <v>0.98</v>
          </cell>
          <cell r="G631">
            <v>1</v>
          </cell>
          <cell r="H631" t="str">
            <v>hp</v>
          </cell>
          <cell r="I631" t="str">
            <v>体力タイプ</v>
          </cell>
          <cell r="J631">
            <v>1.45</v>
          </cell>
          <cell r="K631">
            <v>0.85</v>
          </cell>
          <cell r="L631">
            <v>1</v>
          </cell>
          <cell r="M631" t="str">
            <v>god</v>
          </cell>
          <cell r="N631" t="str">
            <v>ゴッド</v>
          </cell>
          <cell r="O631">
            <v>0.96</v>
          </cell>
          <cell r="P631">
            <v>1.02</v>
          </cell>
          <cell r="Q631">
            <v>1</v>
          </cell>
          <cell r="R631" t="str">
            <v>Boss</v>
          </cell>
          <cell r="S631">
            <v>5</v>
          </cell>
          <cell r="T631">
            <v>1.3</v>
          </cell>
          <cell r="U631">
            <v>0.8</v>
          </cell>
          <cell r="V631">
            <v>3</v>
          </cell>
          <cell r="W631">
            <v>1</v>
          </cell>
          <cell r="X631">
            <v>60</v>
          </cell>
          <cell r="Y631">
            <v>1.7</v>
          </cell>
          <cell r="Z631">
            <v>1.4</v>
          </cell>
          <cell r="AA631">
            <v>1</v>
          </cell>
          <cell r="AB631">
            <v>0</v>
          </cell>
        </row>
        <row r="632">
          <cell r="A632">
            <v>631</v>
          </cell>
          <cell r="B632" t="str">
            <v>華恋なる宮護隊 パレ</v>
          </cell>
          <cell r="C632">
            <v>5</v>
          </cell>
          <cell r="D632" t="str">
            <v>yellow</v>
          </cell>
          <cell r="E632">
            <v>0.98</v>
          </cell>
          <cell r="F632">
            <v>1.01</v>
          </cell>
          <cell r="G632">
            <v>1</v>
          </cell>
          <cell r="H632" t="str">
            <v>balance</v>
          </cell>
          <cell r="I632" t="str">
            <v>バランスタイプ</v>
          </cell>
          <cell r="J632">
            <v>1</v>
          </cell>
          <cell r="K632">
            <v>1</v>
          </cell>
          <cell r="L632">
            <v>1</v>
          </cell>
          <cell r="M632" t="str">
            <v>human</v>
          </cell>
          <cell r="N632" t="str">
            <v>ヒューマン</v>
          </cell>
          <cell r="O632">
            <v>0.94</v>
          </cell>
          <cell r="P632">
            <v>0.99</v>
          </cell>
          <cell r="Q632">
            <v>1</v>
          </cell>
          <cell r="R632" t="str">
            <v>Boss</v>
          </cell>
          <cell r="S632">
            <v>5</v>
          </cell>
          <cell r="T632">
            <v>1.3</v>
          </cell>
          <cell r="U632">
            <v>0.8</v>
          </cell>
          <cell r="V632">
            <v>3</v>
          </cell>
          <cell r="W632">
            <v>1</v>
          </cell>
          <cell r="X632">
            <v>60</v>
          </cell>
          <cell r="Y632">
            <v>1.7</v>
          </cell>
          <cell r="Z632">
            <v>1.4</v>
          </cell>
          <cell r="AA632">
            <v>1</v>
          </cell>
          <cell r="AB632">
            <v>0</v>
          </cell>
        </row>
        <row r="633">
          <cell r="A633">
            <v>632</v>
          </cell>
          <cell r="B633" t="str">
            <v>緋壁の城塞 アーグラ</v>
          </cell>
          <cell r="C633">
            <v>6</v>
          </cell>
          <cell r="D633" t="str">
            <v>red</v>
          </cell>
          <cell r="E633">
            <v>1</v>
          </cell>
          <cell r="F633">
            <v>1.02</v>
          </cell>
          <cell r="G633">
            <v>1</v>
          </cell>
          <cell r="H633" t="str">
            <v>technical</v>
          </cell>
          <cell r="I633" t="str">
            <v>テクニカルタイプ</v>
          </cell>
          <cell r="J633">
            <v>0.9</v>
          </cell>
          <cell r="K633">
            <v>0.9</v>
          </cell>
          <cell r="L633">
            <v>1</v>
          </cell>
          <cell r="M633" t="str">
            <v>god</v>
          </cell>
          <cell r="N633" t="str">
            <v>ゴッド</v>
          </cell>
          <cell r="O633">
            <v>0.96</v>
          </cell>
          <cell r="P633">
            <v>1.02</v>
          </cell>
          <cell r="Q633">
            <v>1</v>
          </cell>
          <cell r="R633" t="str">
            <v>Boss</v>
          </cell>
          <cell r="S633">
            <v>5</v>
          </cell>
          <cell r="T633">
            <v>1.3</v>
          </cell>
          <cell r="U633">
            <v>0.8</v>
          </cell>
          <cell r="V633">
            <v>3</v>
          </cell>
          <cell r="W633">
            <v>1</v>
          </cell>
          <cell r="X633">
            <v>60</v>
          </cell>
          <cell r="Y633">
            <v>1.7</v>
          </cell>
          <cell r="Z633">
            <v>1.4</v>
          </cell>
          <cell r="AA633">
            <v>1</v>
          </cell>
          <cell r="AB633">
            <v>0</v>
          </cell>
        </row>
        <row r="634">
          <cell r="A634">
            <v>633</v>
          </cell>
          <cell r="B634" t="str">
            <v>麗邸の遊撃守 エリゼ</v>
          </cell>
          <cell r="C634">
            <v>6</v>
          </cell>
          <cell r="D634" t="str">
            <v>blue</v>
          </cell>
          <cell r="E634">
            <v>1</v>
          </cell>
          <cell r="F634">
            <v>0.98</v>
          </cell>
          <cell r="G634">
            <v>1</v>
          </cell>
          <cell r="H634" t="str">
            <v>balance</v>
          </cell>
          <cell r="I634" t="str">
            <v>バランスタイプ</v>
          </cell>
          <cell r="J634">
            <v>1</v>
          </cell>
          <cell r="K634">
            <v>1</v>
          </cell>
          <cell r="L634">
            <v>1</v>
          </cell>
          <cell r="M634" t="str">
            <v>unknown</v>
          </cell>
          <cell r="N634" t="str">
            <v>Unknown</v>
          </cell>
          <cell r="O634">
            <v>1</v>
          </cell>
          <cell r="P634">
            <v>1</v>
          </cell>
          <cell r="Q634">
            <v>1</v>
          </cell>
          <cell r="R634" t="str">
            <v>Boss</v>
          </cell>
          <cell r="S634">
            <v>5</v>
          </cell>
          <cell r="T634">
            <v>1.3</v>
          </cell>
          <cell r="U634">
            <v>0.8</v>
          </cell>
          <cell r="V634">
            <v>3</v>
          </cell>
          <cell r="W634">
            <v>1</v>
          </cell>
          <cell r="X634">
            <v>60</v>
          </cell>
          <cell r="Y634">
            <v>1.7</v>
          </cell>
          <cell r="Z634">
            <v>1.4</v>
          </cell>
          <cell r="AA634">
            <v>1</v>
          </cell>
          <cell r="AB634">
            <v>0</v>
          </cell>
        </row>
        <row r="635">
          <cell r="A635">
            <v>634</v>
          </cell>
          <cell r="B635" t="str">
            <v>赤ドラゴン</v>
          </cell>
          <cell r="C635">
            <v>4</v>
          </cell>
          <cell r="D635" t="str">
            <v>red</v>
          </cell>
          <cell r="E635">
            <v>1</v>
          </cell>
          <cell r="F635">
            <v>1.02</v>
          </cell>
          <cell r="G635">
            <v>1</v>
          </cell>
          <cell r="H635" t="str">
            <v>attack</v>
          </cell>
          <cell r="I635" t="str">
            <v>攻撃タイプ</v>
          </cell>
          <cell r="J635">
            <v>1</v>
          </cell>
          <cell r="K635">
            <v>1.33</v>
          </cell>
          <cell r="L635">
            <v>1</v>
          </cell>
          <cell r="M635" t="str">
            <v>dragon</v>
          </cell>
          <cell r="N635" t="str">
            <v>ドラゴン</v>
          </cell>
          <cell r="O635">
            <v>1.1499999999999999</v>
          </cell>
          <cell r="P635">
            <v>1.1000000000000001</v>
          </cell>
          <cell r="Q635">
            <v>1</v>
          </cell>
          <cell r="R635" t="str">
            <v>Boss</v>
          </cell>
          <cell r="S635">
            <v>5</v>
          </cell>
          <cell r="T635">
            <v>1.3</v>
          </cell>
          <cell r="U635">
            <v>0.8</v>
          </cell>
          <cell r="V635">
            <v>3</v>
          </cell>
          <cell r="W635">
            <v>1</v>
          </cell>
          <cell r="X635">
            <v>30</v>
          </cell>
          <cell r="Y635">
            <v>1.3</v>
          </cell>
          <cell r="Z635">
            <v>1.3</v>
          </cell>
          <cell r="AA635">
            <v>1.1000000000000001</v>
          </cell>
          <cell r="AB635">
            <v>0</v>
          </cell>
        </row>
        <row r="636">
          <cell r="A636">
            <v>635</v>
          </cell>
          <cell r="B636" t="str">
            <v>赤ドラゴン</v>
          </cell>
          <cell r="C636">
            <v>5</v>
          </cell>
          <cell r="D636" t="str">
            <v>red</v>
          </cell>
          <cell r="E636">
            <v>1</v>
          </cell>
          <cell r="F636">
            <v>1.02</v>
          </cell>
          <cell r="G636">
            <v>1</v>
          </cell>
          <cell r="H636" t="str">
            <v>attack</v>
          </cell>
          <cell r="I636" t="str">
            <v>攻撃タイプ</v>
          </cell>
          <cell r="J636">
            <v>1</v>
          </cell>
          <cell r="K636">
            <v>1.33</v>
          </cell>
          <cell r="L636">
            <v>1</v>
          </cell>
          <cell r="M636" t="str">
            <v>dragon</v>
          </cell>
          <cell r="N636" t="str">
            <v>ドラゴン</v>
          </cell>
          <cell r="O636">
            <v>1.1499999999999999</v>
          </cell>
          <cell r="P636">
            <v>1.1000000000000001</v>
          </cell>
          <cell r="Q636">
            <v>1</v>
          </cell>
          <cell r="R636" t="str">
            <v>Boss</v>
          </cell>
          <cell r="S636">
            <v>5</v>
          </cell>
          <cell r="T636">
            <v>1.3</v>
          </cell>
          <cell r="U636">
            <v>0.8</v>
          </cell>
          <cell r="V636">
            <v>3</v>
          </cell>
          <cell r="W636">
            <v>1</v>
          </cell>
          <cell r="X636">
            <v>60</v>
          </cell>
          <cell r="Y636">
            <v>1.7</v>
          </cell>
          <cell r="Z636">
            <v>1.4</v>
          </cell>
          <cell r="AA636">
            <v>1</v>
          </cell>
          <cell r="AB636">
            <v>0</v>
          </cell>
        </row>
        <row r="637">
          <cell r="A637">
            <v>636</v>
          </cell>
          <cell r="B637" t="str">
            <v>コードレッド</v>
          </cell>
          <cell r="C637">
            <v>3</v>
          </cell>
          <cell r="D637" t="str">
            <v>red</v>
          </cell>
          <cell r="E637">
            <v>1</v>
          </cell>
          <cell r="F637">
            <v>1.02</v>
          </cell>
          <cell r="G637">
            <v>1</v>
          </cell>
          <cell r="H637" t="str">
            <v>attack</v>
          </cell>
          <cell r="I637" t="str">
            <v>攻撃タイプ</v>
          </cell>
          <cell r="J637">
            <v>1</v>
          </cell>
          <cell r="K637">
            <v>1.33</v>
          </cell>
          <cell r="L637">
            <v>1</v>
          </cell>
          <cell r="M637" t="str">
            <v>unknown</v>
          </cell>
          <cell r="N637" t="str">
            <v>Unknown</v>
          </cell>
          <cell r="O637">
            <v>1</v>
          </cell>
          <cell r="P637">
            <v>1</v>
          </cell>
          <cell r="Q637">
            <v>1</v>
          </cell>
          <cell r="R637" t="str">
            <v>Boss</v>
          </cell>
          <cell r="S637">
            <v>5</v>
          </cell>
          <cell r="T637">
            <v>1.3</v>
          </cell>
          <cell r="U637">
            <v>0.8</v>
          </cell>
          <cell r="V637">
            <v>3</v>
          </cell>
          <cell r="W637">
            <v>1</v>
          </cell>
          <cell r="X637">
            <v>25</v>
          </cell>
          <cell r="Y637">
            <v>1.2</v>
          </cell>
          <cell r="Z637">
            <v>1.25</v>
          </cell>
          <cell r="AA637">
            <v>1.1499999999999999</v>
          </cell>
          <cell r="AB637">
            <v>0</v>
          </cell>
        </row>
        <row r="638">
          <cell r="A638">
            <v>637</v>
          </cell>
          <cell r="B638" t="str">
            <v>増殖感染型コードレッド</v>
          </cell>
          <cell r="C638">
            <v>4</v>
          </cell>
          <cell r="D638" t="str">
            <v>red</v>
          </cell>
          <cell r="E638">
            <v>1</v>
          </cell>
          <cell r="F638">
            <v>1.02</v>
          </cell>
          <cell r="G638">
            <v>1</v>
          </cell>
          <cell r="H638" t="str">
            <v>attack</v>
          </cell>
          <cell r="I638" t="str">
            <v>攻撃タイプ</v>
          </cell>
          <cell r="J638">
            <v>1</v>
          </cell>
          <cell r="K638">
            <v>1.33</v>
          </cell>
          <cell r="L638">
            <v>1</v>
          </cell>
          <cell r="M638" t="str">
            <v>unknown</v>
          </cell>
          <cell r="N638" t="str">
            <v>Unknown</v>
          </cell>
          <cell r="O638">
            <v>1</v>
          </cell>
          <cell r="P638">
            <v>1</v>
          </cell>
          <cell r="Q638">
            <v>1</v>
          </cell>
          <cell r="R638" t="str">
            <v>Boss</v>
          </cell>
          <cell r="S638">
            <v>5</v>
          </cell>
          <cell r="T638">
            <v>1.3</v>
          </cell>
          <cell r="U638">
            <v>0.8</v>
          </cell>
          <cell r="V638">
            <v>3</v>
          </cell>
          <cell r="W638">
            <v>1</v>
          </cell>
          <cell r="X638">
            <v>30</v>
          </cell>
          <cell r="Y638">
            <v>1.3</v>
          </cell>
          <cell r="Z638">
            <v>1.3</v>
          </cell>
          <cell r="AA638">
            <v>1.1000000000000001</v>
          </cell>
          <cell r="AB638">
            <v>0</v>
          </cell>
        </row>
        <row r="639">
          <cell r="A639">
            <v>638</v>
          </cell>
          <cell r="B639" t="str">
            <v>神様</v>
          </cell>
          <cell r="C639">
            <v>6</v>
          </cell>
          <cell r="D639" t="str">
            <v>yellow</v>
          </cell>
          <cell r="E639">
            <v>0.98</v>
          </cell>
          <cell r="F639">
            <v>1.01</v>
          </cell>
          <cell r="G639">
            <v>1</v>
          </cell>
          <cell r="H639" t="str">
            <v>balance</v>
          </cell>
          <cell r="I639" t="str">
            <v>バランスタイプ</v>
          </cell>
          <cell r="J639">
            <v>1</v>
          </cell>
          <cell r="K639">
            <v>1</v>
          </cell>
          <cell r="L639">
            <v>1</v>
          </cell>
          <cell r="M639" t="str">
            <v>god</v>
          </cell>
          <cell r="N639" t="str">
            <v>ゴッド</v>
          </cell>
          <cell r="O639">
            <v>0.96</v>
          </cell>
          <cell r="P639">
            <v>1.02</v>
          </cell>
          <cell r="Q639">
            <v>1</v>
          </cell>
          <cell r="R639" t="str">
            <v>Boss</v>
          </cell>
          <cell r="S639">
            <v>5</v>
          </cell>
          <cell r="T639">
            <v>1.3</v>
          </cell>
          <cell r="U639">
            <v>0.8</v>
          </cell>
          <cell r="V639">
            <v>3</v>
          </cell>
          <cell r="W639">
            <v>1</v>
          </cell>
          <cell r="X639">
            <v>60</v>
          </cell>
          <cell r="Y639">
            <v>1.7</v>
          </cell>
          <cell r="Z639">
            <v>1.4</v>
          </cell>
          <cell r="AA639">
            <v>1</v>
          </cell>
          <cell r="AB639">
            <v>0</v>
          </cell>
        </row>
        <row r="640">
          <cell r="A640">
            <v>639</v>
          </cell>
          <cell r="B640" t="str">
            <v>看板娘</v>
          </cell>
          <cell r="C640">
            <v>5</v>
          </cell>
          <cell r="D640" t="str">
            <v>red</v>
          </cell>
          <cell r="E640">
            <v>1</v>
          </cell>
          <cell r="F640">
            <v>1.02</v>
          </cell>
          <cell r="G640">
            <v>1</v>
          </cell>
          <cell r="H640" t="str">
            <v>balance</v>
          </cell>
          <cell r="I640" t="str">
            <v>バランスタイプ</v>
          </cell>
          <cell r="J640">
            <v>1</v>
          </cell>
          <cell r="K640">
            <v>1</v>
          </cell>
          <cell r="L640">
            <v>1</v>
          </cell>
          <cell r="M640" t="str">
            <v>human</v>
          </cell>
          <cell r="N640" t="str">
            <v>ヒューマン</v>
          </cell>
          <cell r="O640">
            <v>0.94</v>
          </cell>
          <cell r="P640">
            <v>0.99</v>
          </cell>
          <cell r="Q640">
            <v>1</v>
          </cell>
          <cell r="R640" t="str">
            <v>Boss</v>
          </cell>
          <cell r="S640">
            <v>5</v>
          </cell>
          <cell r="T640">
            <v>1.3</v>
          </cell>
          <cell r="U640">
            <v>0.8</v>
          </cell>
          <cell r="V640">
            <v>3</v>
          </cell>
          <cell r="W640">
            <v>1</v>
          </cell>
          <cell r="X640">
            <v>30</v>
          </cell>
          <cell r="Y640">
            <v>1.3</v>
          </cell>
          <cell r="Z640">
            <v>1.3</v>
          </cell>
          <cell r="AA640">
            <v>1.1000000000000001</v>
          </cell>
          <cell r="AB640">
            <v>0</v>
          </cell>
        </row>
        <row r="641">
          <cell r="A641">
            <v>640</v>
          </cell>
          <cell r="B641" t="str">
            <v>ブラックマ</v>
          </cell>
          <cell r="C641">
            <v>5</v>
          </cell>
          <cell r="D641" t="str">
            <v>green</v>
          </cell>
          <cell r="E641">
            <v>1.02</v>
          </cell>
          <cell r="F641">
            <v>0.98</v>
          </cell>
          <cell r="G641">
            <v>1</v>
          </cell>
          <cell r="H641" t="str">
            <v>balance</v>
          </cell>
          <cell r="I641" t="str">
            <v>バランスタイプ</v>
          </cell>
          <cell r="J641">
            <v>1</v>
          </cell>
          <cell r="K641">
            <v>1</v>
          </cell>
          <cell r="L641">
            <v>1</v>
          </cell>
          <cell r="M641" t="str">
            <v>animal</v>
          </cell>
          <cell r="N641" t="str">
            <v>アニマル</v>
          </cell>
          <cell r="O641">
            <v>1</v>
          </cell>
          <cell r="P641">
            <v>1.1000000000000001</v>
          </cell>
          <cell r="Q641">
            <v>1</v>
          </cell>
          <cell r="R641" t="str">
            <v>Boss</v>
          </cell>
          <cell r="S641">
            <v>5</v>
          </cell>
          <cell r="T641">
            <v>1.3</v>
          </cell>
          <cell r="U641">
            <v>0.8</v>
          </cell>
          <cell r="V641">
            <v>3</v>
          </cell>
          <cell r="W641">
            <v>1</v>
          </cell>
          <cell r="X641">
            <v>30</v>
          </cell>
          <cell r="Y641">
            <v>1.3</v>
          </cell>
          <cell r="Z641">
            <v>1.3</v>
          </cell>
          <cell r="AA641">
            <v>1.1000000000000001</v>
          </cell>
          <cell r="AB641">
            <v>0</v>
          </cell>
        </row>
        <row r="642">
          <cell r="A642">
            <v>641</v>
          </cell>
          <cell r="B642" t="str">
            <v>城</v>
          </cell>
          <cell r="C642">
            <v>5</v>
          </cell>
          <cell r="D642" t="str">
            <v>blue</v>
          </cell>
          <cell r="E642">
            <v>1</v>
          </cell>
          <cell r="F642">
            <v>0.98</v>
          </cell>
          <cell r="G642">
            <v>1</v>
          </cell>
          <cell r="H642" t="str">
            <v>balance</v>
          </cell>
          <cell r="I642" t="str">
            <v>バランスタイプ</v>
          </cell>
          <cell r="J642">
            <v>1</v>
          </cell>
          <cell r="K642">
            <v>1</v>
          </cell>
          <cell r="L642">
            <v>1</v>
          </cell>
          <cell r="M642" t="str">
            <v>unknown</v>
          </cell>
          <cell r="N642" t="str">
            <v>Unknown</v>
          </cell>
          <cell r="O642">
            <v>1</v>
          </cell>
          <cell r="P642">
            <v>1</v>
          </cell>
          <cell r="Q642">
            <v>1</v>
          </cell>
          <cell r="R642" t="str">
            <v>Boss</v>
          </cell>
          <cell r="S642">
            <v>5</v>
          </cell>
          <cell r="T642">
            <v>1.3</v>
          </cell>
          <cell r="U642">
            <v>0.8</v>
          </cell>
          <cell r="V642">
            <v>3</v>
          </cell>
          <cell r="W642">
            <v>1</v>
          </cell>
          <cell r="X642">
            <v>30</v>
          </cell>
          <cell r="Y642">
            <v>1.3</v>
          </cell>
          <cell r="Z642">
            <v>1.3</v>
          </cell>
          <cell r="AA642">
            <v>1.1000000000000001</v>
          </cell>
          <cell r="AB642">
            <v>0</v>
          </cell>
        </row>
        <row r="643">
          <cell r="A643">
            <v>642</v>
          </cell>
          <cell r="B643" t="str">
            <v>カーマ</v>
          </cell>
          <cell r="C643">
            <v>4</v>
          </cell>
          <cell r="D643" t="str">
            <v>red</v>
          </cell>
          <cell r="E643">
            <v>1</v>
          </cell>
          <cell r="F643">
            <v>1.02</v>
          </cell>
          <cell r="G643">
            <v>1</v>
          </cell>
          <cell r="H643" t="str">
            <v>attack</v>
          </cell>
          <cell r="I643" t="str">
            <v>攻撃タイプ</v>
          </cell>
          <cell r="J643">
            <v>1</v>
          </cell>
          <cell r="K643">
            <v>1.33</v>
          </cell>
          <cell r="L643">
            <v>1</v>
          </cell>
          <cell r="M643" t="str">
            <v>god</v>
          </cell>
          <cell r="N643" t="str">
            <v>ゴッド</v>
          </cell>
          <cell r="O643">
            <v>0.96</v>
          </cell>
          <cell r="P643">
            <v>1.02</v>
          </cell>
          <cell r="Q643">
            <v>1</v>
          </cell>
          <cell r="R643" t="str">
            <v>Boss</v>
          </cell>
          <cell r="S643">
            <v>5</v>
          </cell>
          <cell r="T643">
            <v>1.3</v>
          </cell>
          <cell r="U643">
            <v>0.8</v>
          </cell>
          <cell r="V643">
            <v>3</v>
          </cell>
          <cell r="W643">
            <v>1</v>
          </cell>
          <cell r="X643">
            <v>30</v>
          </cell>
          <cell r="Y643">
            <v>1.3</v>
          </cell>
          <cell r="Z643">
            <v>1.3</v>
          </cell>
          <cell r="AA643">
            <v>1.1000000000000001</v>
          </cell>
          <cell r="AB643">
            <v>0</v>
          </cell>
        </row>
        <row r="644">
          <cell r="A644">
            <v>643</v>
          </cell>
          <cell r="B644" t="str">
            <v>愛花天神 カーマ</v>
          </cell>
          <cell r="C644">
            <v>5</v>
          </cell>
          <cell r="D644" t="str">
            <v>red</v>
          </cell>
          <cell r="E644">
            <v>1</v>
          </cell>
          <cell r="F644">
            <v>1.02</v>
          </cell>
          <cell r="G644">
            <v>1</v>
          </cell>
          <cell r="H644" t="str">
            <v>attack</v>
          </cell>
          <cell r="I644" t="str">
            <v>攻撃タイプ</v>
          </cell>
          <cell r="J644">
            <v>1</v>
          </cell>
          <cell r="K644">
            <v>1.33</v>
          </cell>
          <cell r="L644">
            <v>1</v>
          </cell>
          <cell r="M644" t="str">
            <v>god</v>
          </cell>
          <cell r="N644" t="str">
            <v>ゴッド</v>
          </cell>
          <cell r="O644">
            <v>0.96</v>
          </cell>
          <cell r="P644">
            <v>1.02</v>
          </cell>
          <cell r="Q644">
            <v>1</v>
          </cell>
          <cell r="R644" t="str">
            <v>Boss</v>
          </cell>
          <cell r="S644">
            <v>5</v>
          </cell>
          <cell r="T644">
            <v>1.3</v>
          </cell>
          <cell r="U644">
            <v>0.8</v>
          </cell>
          <cell r="V644">
            <v>3</v>
          </cell>
          <cell r="W644">
            <v>1</v>
          </cell>
          <cell r="X644">
            <v>60</v>
          </cell>
          <cell r="Y644">
            <v>1.7</v>
          </cell>
          <cell r="Z644">
            <v>1.4</v>
          </cell>
          <cell r="AA644">
            <v>1</v>
          </cell>
          <cell r="AB644">
            <v>0</v>
          </cell>
        </row>
        <row r="645">
          <cell r="A645">
            <v>644</v>
          </cell>
          <cell r="B645" t="str">
            <v>滑瓢 ショウキ</v>
          </cell>
          <cell r="C645">
            <v>4</v>
          </cell>
          <cell r="D645" t="str">
            <v>green</v>
          </cell>
          <cell r="E645">
            <v>1.02</v>
          </cell>
          <cell r="F645">
            <v>0.98</v>
          </cell>
          <cell r="G645">
            <v>1</v>
          </cell>
          <cell r="H645" t="str">
            <v>technical</v>
          </cell>
          <cell r="I645" t="str">
            <v>テクニカルタイプ</v>
          </cell>
          <cell r="J645">
            <v>0.9</v>
          </cell>
          <cell r="K645">
            <v>0.9</v>
          </cell>
          <cell r="L645">
            <v>1</v>
          </cell>
          <cell r="M645" t="str">
            <v>human</v>
          </cell>
          <cell r="N645" t="str">
            <v>ヒューマン</v>
          </cell>
          <cell r="O645">
            <v>0.94</v>
          </cell>
          <cell r="P645">
            <v>0.99</v>
          </cell>
          <cell r="Q645">
            <v>1</v>
          </cell>
          <cell r="R645" t="str">
            <v>Boss</v>
          </cell>
          <cell r="S645">
            <v>5</v>
          </cell>
          <cell r="T645">
            <v>1.3</v>
          </cell>
          <cell r="U645">
            <v>0.8</v>
          </cell>
          <cell r="V645">
            <v>1</v>
          </cell>
          <cell r="W645">
            <v>0.55000000000000004</v>
          </cell>
          <cell r="X645">
            <v>30</v>
          </cell>
          <cell r="Y645">
            <v>1.3</v>
          </cell>
          <cell r="Z645">
            <v>1.3</v>
          </cell>
          <cell r="AA645">
            <v>1.1000000000000001</v>
          </cell>
          <cell r="AB645">
            <v>0</v>
          </cell>
        </row>
        <row r="646">
          <cell r="A646">
            <v>645</v>
          </cell>
          <cell r="B646" t="str">
            <v>百鬼夜行の創大将 ショウキ</v>
          </cell>
          <cell r="C646">
            <v>5</v>
          </cell>
          <cell r="D646" t="str">
            <v>green</v>
          </cell>
          <cell r="E646">
            <v>1.02</v>
          </cell>
          <cell r="F646">
            <v>0.98</v>
          </cell>
          <cell r="G646">
            <v>1</v>
          </cell>
          <cell r="H646" t="str">
            <v>technical</v>
          </cell>
          <cell r="I646" t="str">
            <v>テクニカルタイプ</v>
          </cell>
          <cell r="J646">
            <v>0.9</v>
          </cell>
          <cell r="K646">
            <v>0.9</v>
          </cell>
          <cell r="L646">
            <v>1</v>
          </cell>
          <cell r="M646" t="str">
            <v>human</v>
          </cell>
          <cell r="N646" t="str">
            <v>ヒューマン</v>
          </cell>
          <cell r="O646">
            <v>0.94</v>
          </cell>
          <cell r="P646">
            <v>0.99</v>
          </cell>
          <cell r="Q646">
            <v>1</v>
          </cell>
          <cell r="R646" t="str">
            <v>Boss</v>
          </cell>
          <cell r="S646">
            <v>5</v>
          </cell>
          <cell r="T646">
            <v>1.3</v>
          </cell>
          <cell r="U646">
            <v>0.8</v>
          </cell>
          <cell r="V646">
            <v>1</v>
          </cell>
          <cell r="W646">
            <v>0.55000000000000004</v>
          </cell>
          <cell r="X646">
            <v>60</v>
          </cell>
          <cell r="Y646">
            <v>1.7</v>
          </cell>
          <cell r="Z646">
            <v>1.4</v>
          </cell>
          <cell r="AA646">
            <v>1</v>
          </cell>
          <cell r="AB646">
            <v>0</v>
          </cell>
        </row>
        <row r="647">
          <cell r="A647">
            <v>646</v>
          </cell>
          <cell r="B647" t="str">
            <v>雪女 ユキ</v>
          </cell>
          <cell r="C647">
            <v>4</v>
          </cell>
          <cell r="D647" t="str">
            <v>blue</v>
          </cell>
          <cell r="E647">
            <v>1</v>
          </cell>
          <cell r="F647">
            <v>0.98</v>
          </cell>
          <cell r="G647">
            <v>1</v>
          </cell>
          <cell r="H647" t="str">
            <v>balance</v>
          </cell>
          <cell r="I647" t="str">
            <v>バランスタイプ</v>
          </cell>
          <cell r="J647">
            <v>1</v>
          </cell>
          <cell r="K647">
            <v>1</v>
          </cell>
          <cell r="L647">
            <v>1</v>
          </cell>
          <cell r="M647" t="str">
            <v>unknown</v>
          </cell>
          <cell r="N647" t="str">
            <v>Unknown</v>
          </cell>
          <cell r="O647">
            <v>1</v>
          </cell>
          <cell r="P647">
            <v>1</v>
          </cell>
          <cell r="Q647">
            <v>1</v>
          </cell>
          <cell r="R647" t="str">
            <v>Boss</v>
          </cell>
          <cell r="S647">
            <v>5</v>
          </cell>
          <cell r="T647">
            <v>1.3</v>
          </cell>
          <cell r="U647">
            <v>0.8</v>
          </cell>
          <cell r="V647">
            <v>2</v>
          </cell>
          <cell r="W647">
            <v>0.75</v>
          </cell>
          <cell r="X647">
            <v>30</v>
          </cell>
          <cell r="Y647">
            <v>1.3</v>
          </cell>
          <cell r="Z647">
            <v>1.3</v>
          </cell>
          <cell r="AA647">
            <v>1.1000000000000001</v>
          </cell>
          <cell r="AB647">
            <v>0</v>
          </cell>
        </row>
        <row r="648">
          <cell r="A648">
            <v>647</v>
          </cell>
          <cell r="B648" t="str">
            <v>氷麗の雪化生 ユキ</v>
          </cell>
          <cell r="C648">
            <v>5</v>
          </cell>
          <cell r="D648" t="str">
            <v>blue</v>
          </cell>
          <cell r="E648">
            <v>1</v>
          </cell>
          <cell r="F648">
            <v>0.98</v>
          </cell>
          <cell r="G648">
            <v>1</v>
          </cell>
          <cell r="H648" t="str">
            <v>balance</v>
          </cell>
          <cell r="I648" t="str">
            <v>バランスタイプ</v>
          </cell>
          <cell r="J648">
            <v>1</v>
          </cell>
          <cell r="K648">
            <v>1</v>
          </cell>
          <cell r="L648">
            <v>1</v>
          </cell>
          <cell r="M648" t="str">
            <v>unknown</v>
          </cell>
          <cell r="N648" t="str">
            <v>Unknown</v>
          </cell>
          <cell r="O648">
            <v>1</v>
          </cell>
          <cell r="P648">
            <v>1</v>
          </cell>
          <cell r="Q648">
            <v>1</v>
          </cell>
          <cell r="R648" t="str">
            <v>Boss</v>
          </cell>
          <cell r="S648">
            <v>5</v>
          </cell>
          <cell r="T648">
            <v>1.3</v>
          </cell>
          <cell r="U648">
            <v>0.8</v>
          </cell>
          <cell r="V648">
            <v>2</v>
          </cell>
          <cell r="W648">
            <v>0.75</v>
          </cell>
          <cell r="X648">
            <v>60</v>
          </cell>
          <cell r="Y648">
            <v>1.7</v>
          </cell>
          <cell r="Z648">
            <v>1.4</v>
          </cell>
          <cell r="AA648">
            <v>1</v>
          </cell>
          <cell r="AB648">
            <v>0</v>
          </cell>
        </row>
        <row r="649">
          <cell r="A649">
            <v>648</v>
          </cell>
          <cell r="B649" t="str">
            <v>パールヴァティ</v>
          </cell>
          <cell r="C649">
            <v>4</v>
          </cell>
          <cell r="D649" t="str">
            <v>blue</v>
          </cell>
          <cell r="E649">
            <v>1</v>
          </cell>
          <cell r="F649">
            <v>0.98</v>
          </cell>
          <cell r="G649">
            <v>1</v>
          </cell>
          <cell r="H649" t="str">
            <v>heal</v>
          </cell>
          <cell r="I649" t="str">
            <v>回復タイプ</v>
          </cell>
          <cell r="J649">
            <v>1</v>
          </cell>
          <cell r="K649">
            <v>1.33</v>
          </cell>
          <cell r="L649">
            <v>1</v>
          </cell>
          <cell r="M649" t="str">
            <v>god</v>
          </cell>
          <cell r="N649" t="str">
            <v>ゴッド</v>
          </cell>
          <cell r="O649">
            <v>0.96</v>
          </cell>
          <cell r="P649">
            <v>1.02</v>
          </cell>
          <cell r="Q649">
            <v>1</v>
          </cell>
          <cell r="R649" t="str">
            <v>Boss</v>
          </cell>
          <cell r="S649">
            <v>5</v>
          </cell>
          <cell r="T649">
            <v>1.3</v>
          </cell>
          <cell r="U649">
            <v>0.8</v>
          </cell>
          <cell r="V649">
            <v>3</v>
          </cell>
          <cell r="W649">
            <v>1</v>
          </cell>
          <cell r="X649">
            <v>30</v>
          </cell>
          <cell r="Y649">
            <v>1.3</v>
          </cell>
          <cell r="Z649">
            <v>1.3</v>
          </cell>
          <cell r="AA649">
            <v>1.1000000000000001</v>
          </cell>
          <cell r="AB649">
            <v>0</v>
          </cell>
        </row>
        <row r="650">
          <cell r="A650">
            <v>649</v>
          </cell>
          <cell r="B650" t="str">
            <v>寄咲く一輪華 パールヴァティ</v>
          </cell>
          <cell r="C650">
            <v>5</v>
          </cell>
          <cell r="D650" t="str">
            <v>blue</v>
          </cell>
          <cell r="E650">
            <v>1</v>
          </cell>
          <cell r="F650">
            <v>0.98</v>
          </cell>
          <cell r="G650">
            <v>1</v>
          </cell>
          <cell r="H650" t="str">
            <v>heal</v>
          </cell>
          <cell r="I650" t="str">
            <v>回復タイプ</v>
          </cell>
          <cell r="J650">
            <v>1</v>
          </cell>
          <cell r="K650">
            <v>1.33</v>
          </cell>
          <cell r="L650">
            <v>1</v>
          </cell>
          <cell r="M650" t="str">
            <v>god</v>
          </cell>
          <cell r="N650" t="str">
            <v>ゴッド</v>
          </cell>
          <cell r="O650">
            <v>0.96</v>
          </cell>
          <cell r="P650">
            <v>1.02</v>
          </cell>
          <cell r="Q650">
            <v>1</v>
          </cell>
          <cell r="R650" t="str">
            <v>Boss</v>
          </cell>
          <cell r="S650">
            <v>5</v>
          </cell>
          <cell r="T650">
            <v>1.3</v>
          </cell>
          <cell r="U650">
            <v>0.8</v>
          </cell>
          <cell r="V650">
            <v>3</v>
          </cell>
          <cell r="W650">
            <v>1</v>
          </cell>
          <cell r="X650">
            <v>60</v>
          </cell>
          <cell r="Y650">
            <v>1.7</v>
          </cell>
          <cell r="Z650">
            <v>1.4</v>
          </cell>
          <cell r="AA650">
            <v>1</v>
          </cell>
          <cell r="AB650">
            <v>0</v>
          </cell>
        </row>
        <row r="651">
          <cell r="A651">
            <v>650</v>
          </cell>
          <cell r="B651" t="str">
            <v>土蜘蛛 ユウヤ</v>
          </cell>
          <cell r="C651">
            <v>4</v>
          </cell>
          <cell r="D651" t="str">
            <v>yellow</v>
          </cell>
          <cell r="E651">
            <v>0.98</v>
          </cell>
          <cell r="F651">
            <v>1.01</v>
          </cell>
          <cell r="G651">
            <v>1</v>
          </cell>
          <cell r="H651" t="str">
            <v>technical</v>
          </cell>
          <cell r="I651" t="str">
            <v>テクニカルタイプ</v>
          </cell>
          <cell r="J651">
            <v>0.9</v>
          </cell>
          <cell r="K651">
            <v>0.9</v>
          </cell>
          <cell r="L651">
            <v>1</v>
          </cell>
          <cell r="M651" t="str">
            <v>animal</v>
          </cell>
          <cell r="N651" t="str">
            <v>アニマル</v>
          </cell>
          <cell r="O651">
            <v>1</v>
          </cell>
          <cell r="P651">
            <v>1.1000000000000001</v>
          </cell>
          <cell r="Q651">
            <v>1</v>
          </cell>
          <cell r="R651" t="str">
            <v>Boss</v>
          </cell>
          <cell r="S651">
            <v>5</v>
          </cell>
          <cell r="T651">
            <v>1.3</v>
          </cell>
          <cell r="U651">
            <v>0.8</v>
          </cell>
          <cell r="V651">
            <v>1</v>
          </cell>
          <cell r="W651">
            <v>0.55000000000000004</v>
          </cell>
          <cell r="X651">
            <v>30</v>
          </cell>
          <cell r="Y651">
            <v>1.3</v>
          </cell>
          <cell r="Z651">
            <v>1.3</v>
          </cell>
          <cell r="AA651">
            <v>1.1000000000000001</v>
          </cell>
          <cell r="AB651">
            <v>0</v>
          </cell>
        </row>
        <row r="652">
          <cell r="A652">
            <v>651</v>
          </cell>
          <cell r="B652" t="str">
            <v>八重祟障 ユウヤ</v>
          </cell>
          <cell r="C652">
            <v>5</v>
          </cell>
          <cell r="D652" t="str">
            <v>yellow</v>
          </cell>
          <cell r="E652">
            <v>0.98</v>
          </cell>
          <cell r="F652">
            <v>1.01</v>
          </cell>
          <cell r="G652">
            <v>1</v>
          </cell>
          <cell r="H652" t="str">
            <v>technical</v>
          </cell>
          <cell r="I652" t="str">
            <v>テクニカルタイプ</v>
          </cell>
          <cell r="J652">
            <v>0.9</v>
          </cell>
          <cell r="K652">
            <v>0.9</v>
          </cell>
          <cell r="L652">
            <v>1</v>
          </cell>
          <cell r="M652" t="str">
            <v>animal</v>
          </cell>
          <cell r="N652" t="str">
            <v>アニマル</v>
          </cell>
          <cell r="O652">
            <v>1</v>
          </cell>
          <cell r="P652">
            <v>1.1000000000000001</v>
          </cell>
          <cell r="Q652">
            <v>1</v>
          </cell>
          <cell r="R652" t="str">
            <v>Boss</v>
          </cell>
          <cell r="S652">
            <v>5</v>
          </cell>
          <cell r="T652">
            <v>1.3</v>
          </cell>
          <cell r="U652">
            <v>0.8</v>
          </cell>
          <cell r="V652">
            <v>1</v>
          </cell>
          <cell r="W652">
            <v>0.55000000000000004</v>
          </cell>
          <cell r="X652">
            <v>60</v>
          </cell>
          <cell r="Y652">
            <v>1.7</v>
          </cell>
          <cell r="Z652">
            <v>1.4</v>
          </cell>
          <cell r="AA652">
            <v>1</v>
          </cell>
          <cell r="AB652">
            <v>0</v>
          </cell>
        </row>
        <row r="653">
          <cell r="A653">
            <v>652</v>
          </cell>
          <cell r="B653" t="str">
            <v>アナンタ</v>
          </cell>
          <cell r="C653">
            <v>4</v>
          </cell>
          <cell r="D653" t="str">
            <v>yellow</v>
          </cell>
          <cell r="E653">
            <v>0.98</v>
          </cell>
          <cell r="F653">
            <v>1.01</v>
          </cell>
          <cell r="G653">
            <v>1</v>
          </cell>
          <cell r="H653" t="str">
            <v>hp</v>
          </cell>
          <cell r="I653" t="str">
            <v>体力タイプ</v>
          </cell>
          <cell r="J653">
            <v>1</v>
          </cell>
          <cell r="K653">
            <v>1.33</v>
          </cell>
          <cell r="L653">
            <v>1</v>
          </cell>
          <cell r="M653" t="str">
            <v>dragon</v>
          </cell>
          <cell r="N653" t="str">
            <v>ドラゴン</v>
          </cell>
          <cell r="O653">
            <v>1.1499999999999999</v>
          </cell>
          <cell r="P653">
            <v>1.1000000000000001</v>
          </cell>
          <cell r="Q653">
            <v>1</v>
          </cell>
          <cell r="R653" t="str">
            <v>Boss</v>
          </cell>
          <cell r="S653">
            <v>5</v>
          </cell>
          <cell r="T653">
            <v>1.3</v>
          </cell>
          <cell r="U653">
            <v>0.8</v>
          </cell>
          <cell r="V653">
            <v>3</v>
          </cell>
          <cell r="W653">
            <v>1</v>
          </cell>
          <cell r="X653">
            <v>30</v>
          </cell>
          <cell r="Y653">
            <v>1.3</v>
          </cell>
          <cell r="Z653">
            <v>1.3</v>
          </cell>
          <cell r="AA653">
            <v>1.1000000000000001</v>
          </cell>
          <cell r="AB653">
            <v>0</v>
          </cell>
        </row>
        <row r="654">
          <cell r="A654">
            <v>653</v>
          </cell>
          <cell r="B654" t="str">
            <v>悠久の狡蛇 アナンタ</v>
          </cell>
          <cell r="C654">
            <v>5</v>
          </cell>
          <cell r="D654" t="str">
            <v>yellow</v>
          </cell>
          <cell r="E654">
            <v>0.98</v>
          </cell>
          <cell r="F654">
            <v>1.01</v>
          </cell>
          <cell r="G654">
            <v>1</v>
          </cell>
          <cell r="H654" t="str">
            <v>hp</v>
          </cell>
          <cell r="I654" t="str">
            <v>体力タイプ</v>
          </cell>
          <cell r="J654">
            <v>1</v>
          </cell>
          <cell r="K654">
            <v>1.33</v>
          </cell>
          <cell r="L654">
            <v>1</v>
          </cell>
          <cell r="M654" t="str">
            <v>dragon</v>
          </cell>
          <cell r="N654" t="str">
            <v>ドラゴン</v>
          </cell>
          <cell r="O654">
            <v>1.1499999999999999</v>
          </cell>
          <cell r="P654">
            <v>1.1000000000000001</v>
          </cell>
          <cell r="Q654">
            <v>1</v>
          </cell>
          <cell r="R654" t="str">
            <v>Boss</v>
          </cell>
          <cell r="S654">
            <v>5</v>
          </cell>
          <cell r="T654">
            <v>1.3</v>
          </cell>
          <cell r="U654">
            <v>0.8</v>
          </cell>
          <cell r="V654">
            <v>3</v>
          </cell>
          <cell r="W654">
            <v>1</v>
          </cell>
          <cell r="X654">
            <v>60</v>
          </cell>
          <cell r="Y654">
            <v>1.7</v>
          </cell>
          <cell r="Z654">
            <v>1.4</v>
          </cell>
          <cell r="AA654">
            <v>1</v>
          </cell>
          <cell r="AB654">
            <v>0</v>
          </cell>
        </row>
        <row r="655">
          <cell r="A655">
            <v>654</v>
          </cell>
          <cell r="B655" t="str">
            <v>酒呑童子 ヨミ</v>
          </cell>
          <cell r="C655">
            <v>4</v>
          </cell>
          <cell r="D655" t="str">
            <v>yellow</v>
          </cell>
          <cell r="E655">
            <v>0.98</v>
          </cell>
          <cell r="F655">
            <v>1.01</v>
          </cell>
          <cell r="G655">
            <v>1</v>
          </cell>
          <cell r="H655" t="str">
            <v>attack</v>
          </cell>
          <cell r="I655" t="str">
            <v>攻撃タイプ</v>
          </cell>
          <cell r="J655">
            <v>1</v>
          </cell>
          <cell r="K655">
            <v>1.33</v>
          </cell>
          <cell r="L655">
            <v>1</v>
          </cell>
          <cell r="M655" t="str">
            <v>god</v>
          </cell>
          <cell r="N655" t="str">
            <v>ゴッド</v>
          </cell>
          <cell r="O655">
            <v>0.96</v>
          </cell>
          <cell r="P655">
            <v>1.02</v>
          </cell>
          <cell r="Q655">
            <v>1</v>
          </cell>
          <cell r="R655" t="str">
            <v>Boss</v>
          </cell>
          <cell r="S655">
            <v>5</v>
          </cell>
          <cell r="T655">
            <v>1.3</v>
          </cell>
          <cell r="U655">
            <v>0.8</v>
          </cell>
          <cell r="V655">
            <v>1</v>
          </cell>
          <cell r="W655">
            <v>0.55000000000000004</v>
          </cell>
          <cell r="X655">
            <v>30</v>
          </cell>
          <cell r="Y655">
            <v>1.3</v>
          </cell>
          <cell r="Z655">
            <v>1.3</v>
          </cell>
          <cell r="AA655">
            <v>1.1000000000000001</v>
          </cell>
          <cell r="AB655">
            <v>0</v>
          </cell>
        </row>
        <row r="656">
          <cell r="A656">
            <v>655</v>
          </cell>
          <cell r="B656" t="str">
            <v>桜花舞う嵐鬼神 ヨミ</v>
          </cell>
          <cell r="C656">
            <v>5</v>
          </cell>
          <cell r="D656" t="str">
            <v>yellow</v>
          </cell>
          <cell r="E656">
            <v>0.98</v>
          </cell>
          <cell r="F656">
            <v>1.01</v>
          </cell>
          <cell r="G656">
            <v>1</v>
          </cell>
          <cell r="H656" t="str">
            <v>attack</v>
          </cell>
          <cell r="I656" t="str">
            <v>攻撃タイプ</v>
          </cell>
          <cell r="J656">
            <v>1</v>
          </cell>
          <cell r="K656">
            <v>1.33</v>
          </cell>
          <cell r="L656">
            <v>1</v>
          </cell>
          <cell r="M656" t="str">
            <v>god</v>
          </cell>
          <cell r="N656" t="str">
            <v>ゴッド</v>
          </cell>
          <cell r="O656">
            <v>0.96</v>
          </cell>
          <cell r="P656">
            <v>1.02</v>
          </cell>
          <cell r="Q656">
            <v>1</v>
          </cell>
          <cell r="R656" t="str">
            <v>Boss</v>
          </cell>
          <cell r="S656">
            <v>5</v>
          </cell>
          <cell r="T656">
            <v>1.3</v>
          </cell>
          <cell r="U656">
            <v>0.8</v>
          </cell>
          <cell r="V656">
            <v>1</v>
          </cell>
          <cell r="W656">
            <v>0.55000000000000004</v>
          </cell>
          <cell r="X656">
            <v>60</v>
          </cell>
          <cell r="Y656">
            <v>1.7</v>
          </cell>
          <cell r="Z656">
            <v>1.4</v>
          </cell>
          <cell r="AA656">
            <v>1</v>
          </cell>
          <cell r="AB656">
            <v>0</v>
          </cell>
        </row>
        <row r="657">
          <cell r="A657">
            <v>656</v>
          </cell>
          <cell r="B657" t="str">
            <v>シヴァ</v>
          </cell>
          <cell r="C657">
            <v>4</v>
          </cell>
          <cell r="D657" t="str">
            <v>blue</v>
          </cell>
          <cell r="E657">
            <v>1</v>
          </cell>
          <cell r="F657">
            <v>0.98</v>
          </cell>
          <cell r="G657">
            <v>1</v>
          </cell>
          <cell r="H657" t="str">
            <v>balance</v>
          </cell>
          <cell r="I657" t="str">
            <v>バランスタイプ</v>
          </cell>
          <cell r="J657">
            <v>1</v>
          </cell>
          <cell r="K657">
            <v>1.33</v>
          </cell>
          <cell r="L657">
            <v>1</v>
          </cell>
          <cell r="M657" t="str">
            <v>god</v>
          </cell>
          <cell r="N657" t="str">
            <v>ゴッド</v>
          </cell>
          <cell r="O657">
            <v>0.96</v>
          </cell>
          <cell r="P657">
            <v>1.02</v>
          </cell>
          <cell r="Q657">
            <v>1</v>
          </cell>
          <cell r="R657" t="str">
            <v>Boss</v>
          </cell>
          <cell r="S657">
            <v>5</v>
          </cell>
          <cell r="T657">
            <v>1.3</v>
          </cell>
          <cell r="U657">
            <v>0.8</v>
          </cell>
          <cell r="V657">
            <v>3</v>
          </cell>
          <cell r="W657">
            <v>1</v>
          </cell>
          <cell r="X657">
            <v>30</v>
          </cell>
          <cell r="Y657">
            <v>1.3</v>
          </cell>
          <cell r="Z657">
            <v>1.3</v>
          </cell>
          <cell r="AA657">
            <v>1.1000000000000001</v>
          </cell>
          <cell r="AB657">
            <v>0</v>
          </cell>
        </row>
        <row r="658">
          <cell r="A658">
            <v>657</v>
          </cell>
          <cell r="B658" t="str">
            <v>解滅の裁神 シヴァ</v>
          </cell>
          <cell r="C658">
            <v>5</v>
          </cell>
          <cell r="D658" t="str">
            <v>blue</v>
          </cell>
          <cell r="E658">
            <v>1</v>
          </cell>
          <cell r="F658">
            <v>0.98</v>
          </cell>
          <cell r="G658">
            <v>1</v>
          </cell>
          <cell r="H658" t="str">
            <v>balance</v>
          </cell>
          <cell r="I658" t="str">
            <v>バランスタイプ</v>
          </cell>
          <cell r="J658">
            <v>1</v>
          </cell>
          <cell r="K658">
            <v>1.33</v>
          </cell>
          <cell r="L658">
            <v>1</v>
          </cell>
          <cell r="M658" t="str">
            <v>god</v>
          </cell>
          <cell r="N658" t="str">
            <v>ゴッド</v>
          </cell>
          <cell r="O658">
            <v>0.96</v>
          </cell>
          <cell r="P658">
            <v>1.02</v>
          </cell>
          <cell r="Q658">
            <v>1</v>
          </cell>
          <cell r="R658" t="str">
            <v>Boss</v>
          </cell>
          <cell r="S658">
            <v>5</v>
          </cell>
          <cell r="T658">
            <v>1.3</v>
          </cell>
          <cell r="U658">
            <v>0.8</v>
          </cell>
          <cell r="V658">
            <v>3</v>
          </cell>
          <cell r="W658">
            <v>1</v>
          </cell>
          <cell r="X658">
            <v>60</v>
          </cell>
          <cell r="Y658">
            <v>1.7</v>
          </cell>
          <cell r="Z658">
            <v>1.4</v>
          </cell>
          <cell r="AA658">
            <v>1</v>
          </cell>
          <cell r="AB658">
            <v>0</v>
          </cell>
        </row>
        <row r="659">
          <cell r="A659">
            <v>658</v>
          </cell>
          <cell r="B659" t="str">
            <v>猫又 クルミ</v>
          </cell>
          <cell r="C659">
            <v>4</v>
          </cell>
          <cell r="D659" t="str">
            <v>red</v>
          </cell>
          <cell r="E659">
            <v>1</v>
          </cell>
          <cell r="F659">
            <v>1.02</v>
          </cell>
          <cell r="G659">
            <v>1</v>
          </cell>
          <cell r="H659" t="str">
            <v>attack</v>
          </cell>
          <cell r="I659" t="str">
            <v>攻撃タイプ</v>
          </cell>
          <cell r="J659">
            <v>1</v>
          </cell>
          <cell r="K659">
            <v>1.33</v>
          </cell>
          <cell r="L659">
            <v>1</v>
          </cell>
          <cell r="M659" t="str">
            <v>animal</v>
          </cell>
          <cell r="N659" t="str">
            <v>アニマル</v>
          </cell>
          <cell r="O659">
            <v>1</v>
          </cell>
          <cell r="P659">
            <v>1.1000000000000001</v>
          </cell>
          <cell r="Q659">
            <v>1</v>
          </cell>
          <cell r="R659" t="str">
            <v>Boss</v>
          </cell>
          <cell r="S659">
            <v>5</v>
          </cell>
          <cell r="T659">
            <v>1.3</v>
          </cell>
          <cell r="U659">
            <v>0.8</v>
          </cell>
          <cell r="V659">
            <v>2</v>
          </cell>
          <cell r="W659">
            <v>0.75</v>
          </cell>
          <cell r="X659">
            <v>30</v>
          </cell>
          <cell r="Y659">
            <v>1.3</v>
          </cell>
          <cell r="Z659">
            <v>1.3</v>
          </cell>
          <cell r="AA659">
            <v>1.1000000000000001</v>
          </cell>
          <cell r="AB659">
            <v>0</v>
          </cell>
        </row>
        <row r="660">
          <cell r="A660">
            <v>659</v>
          </cell>
          <cell r="B660" t="str">
            <v>跳梁する化猫 クルミ</v>
          </cell>
          <cell r="C660">
            <v>5</v>
          </cell>
          <cell r="D660" t="str">
            <v>red</v>
          </cell>
          <cell r="E660">
            <v>1</v>
          </cell>
          <cell r="F660">
            <v>1.02</v>
          </cell>
          <cell r="G660">
            <v>1</v>
          </cell>
          <cell r="H660" t="str">
            <v>attack</v>
          </cell>
          <cell r="I660" t="str">
            <v>攻撃タイプ</v>
          </cell>
          <cell r="J660">
            <v>1</v>
          </cell>
          <cell r="K660">
            <v>1.33</v>
          </cell>
          <cell r="L660">
            <v>1</v>
          </cell>
          <cell r="M660" t="str">
            <v>animal</v>
          </cell>
          <cell r="N660" t="str">
            <v>アニマル</v>
          </cell>
          <cell r="O660">
            <v>1</v>
          </cell>
          <cell r="P660">
            <v>1.1000000000000001</v>
          </cell>
          <cell r="Q660">
            <v>1</v>
          </cell>
          <cell r="R660" t="str">
            <v>Boss</v>
          </cell>
          <cell r="S660">
            <v>5</v>
          </cell>
          <cell r="T660">
            <v>1.3</v>
          </cell>
          <cell r="U660">
            <v>0.8</v>
          </cell>
          <cell r="V660">
            <v>2</v>
          </cell>
          <cell r="W660">
            <v>0.75</v>
          </cell>
          <cell r="X660">
            <v>60</v>
          </cell>
          <cell r="Y660">
            <v>1.7</v>
          </cell>
          <cell r="Z660">
            <v>1.4</v>
          </cell>
          <cell r="AA660">
            <v>1</v>
          </cell>
          <cell r="AB660">
            <v>0</v>
          </cell>
        </row>
        <row r="661">
          <cell r="A661">
            <v>660</v>
          </cell>
          <cell r="B661" t="str">
            <v>烏天狗 フウガ</v>
          </cell>
          <cell r="C661">
            <v>4</v>
          </cell>
          <cell r="D661" t="str">
            <v>green</v>
          </cell>
          <cell r="E661">
            <v>1.02</v>
          </cell>
          <cell r="F661">
            <v>0.98</v>
          </cell>
          <cell r="G661">
            <v>1</v>
          </cell>
          <cell r="H661" t="str">
            <v>balance</v>
          </cell>
          <cell r="I661" t="str">
            <v>バランスタイプ</v>
          </cell>
          <cell r="J661">
            <v>1</v>
          </cell>
          <cell r="K661">
            <v>1</v>
          </cell>
          <cell r="L661">
            <v>1</v>
          </cell>
          <cell r="M661" t="str">
            <v>animal</v>
          </cell>
          <cell r="N661" t="str">
            <v>アニマル</v>
          </cell>
          <cell r="O661">
            <v>1</v>
          </cell>
          <cell r="P661">
            <v>1.1000000000000001</v>
          </cell>
          <cell r="Q661">
            <v>1</v>
          </cell>
          <cell r="R661" t="str">
            <v>Boss</v>
          </cell>
          <cell r="S661">
            <v>5</v>
          </cell>
          <cell r="T661">
            <v>1.3</v>
          </cell>
          <cell r="U661">
            <v>0.8</v>
          </cell>
          <cell r="V661">
            <v>2</v>
          </cell>
          <cell r="W661">
            <v>0.75</v>
          </cell>
          <cell r="X661">
            <v>30</v>
          </cell>
          <cell r="Y661">
            <v>1.3</v>
          </cell>
          <cell r="Z661">
            <v>1.3</v>
          </cell>
          <cell r="AA661">
            <v>1.1000000000000001</v>
          </cell>
          <cell r="AB661">
            <v>0</v>
          </cell>
        </row>
        <row r="662">
          <cell r="A662">
            <v>661</v>
          </cell>
          <cell r="B662" t="str">
            <v>疾風の天狗礫 フウガ</v>
          </cell>
          <cell r="C662">
            <v>5</v>
          </cell>
          <cell r="D662" t="str">
            <v>green</v>
          </cell>
          <cell r="E662">
            <v>1.02</v>
          </cell>
          <cell r="F662">
            <v>0.98</v>
          </cell>
          <cell r="G662">
            <v>1</v>
          </cell>
          <cell r="H662" t="str">
            <v>balance</v>
          </cell>
          <cell r="I662" t="str">
            <v>バランスタイプ</v>
          </cell>
          <cell r="J662">
            <v>1</v>
          </cell>
          <cell r="K662">
            <v>1</v>
          </cell>
          <cell r="L662">
            <v>1</v>
          </cell>
          <cell r="M662" t="str">
            <v>animal</v>
          </cell>
          <cell r="N662" t="str">
            <v>アニマル</v>
          </cell>
          <cell r="O662">
            <v>1</v>
          </cell>
          <cell r="P662">
            <v>1.1000000000000001</v>
          </cell>
          <cell r="Q662">
            <v>1</v>
          </cell>
          <cell r="R662" t="str">
            <v>Boss</v>
          </cell>
          <cell r="S662">
            <v>5</v>
          </cell>
          <cell r="T662">
            <v>1.3</v>
          </cell>
          <cell r="U662">
            <v>0.8</v>
          </cell>
          <cell r="V662">
            <v>3</v>
          </cell>
          <cell r="W662">
            <v>1</v>
          </cell>
          <cell r="X662">
            <v>60</v>
          </cell>
          <cell r="Y662">
            <v>1.7</v>
          </cell>
          <cell r="Z662">
            <v>1.4</v>
          </cell>
          <cell r="AA662">
            <v>1</v>
          </cell>
          <cell r="AB662">
            <v>0</v>
          </cell>
        </row>
        <row r="663">
          <cell r="A663">
            <v>662</v>
          </cell>
          <cell r="B663" t="str">
            <v>ダイダラ</v>
          </cell>
          <cell r="C663">
            <v>3</v>
          </cell>
          <cell r="D663" t="str">
            <v>blue</v>
          </cell>
          <cell r="E663">
            <v>1</v>
          </cell>
          <cell r="F663">
            <v>0.98</v>
          </cell>
          <cell r="G663">
            <v>1</v>
          </cell>
          <cell r="H663" t="str">
            <v>hp</v>
          </cell>
          <cell r="I663" t="str">
            <v>体力タイプ</v>
          </cell>
          <cell r="J663">
            <v>1.45</v>
          </cell>
          <cell r="K663">
            <v>0.85</v>
          </cell>
          <cell r="L663">
            <v>1</v>
          </cell>
          <cell r="M663" t="str">
            <v>unknown</v>
          </cell>
          <cell r="N663" t="str">
            <v>Unknown</v>
          </cell>
          <cell r="O663">
            <v>1</v>
          </cell>
          <cell r="P663">
            <v>1</v>
          </cell>
          <cell r="Q663">
            <v>1</v>
          </cell>
          <cell r="R663" t="str">
            <v>Boss</v>
          </cell>
          <cell r="S663">
            <v>5</v>
          </cell>
          <cell r="T663">
            <v>1.3</v>
          </cell>
          <cell r="U663">
            <v>0.8</v>
          </cell>
          <cell r="V663">
            <v>3</v>
          </cell>
          <cell r="W663">
            <v>1</v>
          </cell>
          <cell r="X663">
            <v>25</v>
          </cell>
          <cell r="Y663">
            <v>1.2</v>
          </cell>
          <cell r="Z663">
            <v>1.25</v>
          </cell>
          <cell r="AA663">
            <v>1.1499999999999999</v>
          </cell>
          <cell r="AB663">
            <v>0</v>
          </cell>
        </row>
        <row r="664">
          <cell r="A664">
            <v>663</v>
          </cell>
          <cell r="B664" t="str">
            <v>都揺らす地響き ダイダラ</v>
          </cell>
          <cell r="C664">
            <v>4</v>
          </cell>
          <cell r="D664" t="str">
            <v>blue</v>
          </cell>
          <cell r="E664">
            <v>1</v>
          </cell>
          <cell r="F664">
            <v>0.98</v>
          </cell>
          <cell r="G664">
            <v>1</v>
          </cell>
          <cell r="H664" t="str">
            <v>hp</v>
          </cell>
          <cell r="I664" t="str">
            <v>体力タイプ</v>
          </cell>
          <cell r="J664">
            <v>1.45</v>
          </cell>
          <cell r="K664">
            <v>0.85</v>
          </cell>
          <cell r="L664">
            <v>1</v>
          </cell>
          <cell r="M664" t="str">
            <v>unknown</v>
          </cell>
          <cell r="N664" t="str">
            <v>Unknown</v>
          </cell>
          <cell r="O664">
            <v>1</v>
          </cell>
          <cell r="P664">
            <v>1</v>
          </cell>
          <cell r="Q664">
            <v>1</v>
          </cell>
          <cell r="R664" t="str">
            <v>Boss</v>
          </cell>
          <cell r="S664">
            <v>5</v>
          </cell>
          <cell r="T664">
            <v>1.3</v>
          </cell>
          <cell r="U664">
            <v>0.8</v>
          </cell>
          <cell r="V664">
            <v>3</v>
          </cell>
          <cell r="W664">
            <v>1</v>
          </cell>
          <cell r="X664">
            <v>30</v>
          </cell>
          <cell r="Y664">
            <v>1.3</v>
          </cell>
          <cell r="Z664">
            <v>1.3</v>
          </cell>
          <cell r="AA664">
            <v>1.1000000000000001</v>
          </cell>
          <cell r="AB664">
            <v>0</v>
          </cell>
        </row>
        <row r="665">
          <cell r="A665">
            <v>664</v>
          </cell>
          <cell r="B665" t="str">
            <v>山掴み国造り ダイダラ</v>
          </cell>
          <cell r="C665">
            <v>5</v>
          </cell>
          <cell r="D665" t="str">
            <v>blue</v>
          </cell>
          <cell r="E665">
            <v>1</v>
          </cell>
          <cell r="F665">
            <v>0.98</v>
          </cell>
          <cell r="G665">
            <v>1</v>
          </cell>
          <cell r="H665" t="str">
            <v>hp</v>
          </cell>
          <cell r="I665" t="str">
            <v>体力タイプ</v>
          </cell>
          <cell r="J665">
            <v>1.45</v>
          </cell>
          <cell r="K665">
            <v>0.85</v>
          </cell>
          <cell r="L665">
            <v>1</v>
          </cell>
          <cell r="M665" t="str">
            <v>unknown</v>
          </cell>
          <cell r="N665" t="str">
            <v>Unknown</v>
          </cell>
          <cell r="O665">
            <v>1</v>
          </cell>
          <cell r="P665">
            <v>1</v>
          </cell>
          <cell r="Q665">
            <v>1</v>
          </cell>
          <cell r="R665" t="str">
            <v>Boss</v>
          </cell>
          <cell r="S665">
            <v>5</v>
          </cell>
          <cell r="T665">
            <v>1.3</v>
          </cell>
          <cell r="U665">
            <v>0.8</v>
          </cell>
          <cell r="V665">
            <v>3</v>
          </cell>
          <cell r="W665">
            <v>1</v>
          </cell>
          <cell r="X665">
            <v>60</v>
          </cell>
          <cell r="Y665">
            <v>1.7</v>
          </cell>
          <cell r="Z665">
            <v>1.4</v>
          </cell>
          <cell r="AA665">
            <v>1</v>
          </cell>
          <cell r="AB665">
            <v>0</v>
          </cell>
        </row>
        <row r="666">
          <cell r="A666">
            <v>665</v>
          </cell>
          <cell r="B666" t="str">
            <v>座敷童子 テマリ</v>
          </cell>
          <cell r="C666">
            <v>3</v>
          </cell>
          <cell r="D666" t="str">
            <v>yellow</v>
          </cell>
          <cell r="E666">
            <v>0.98</v>
          </cell>
          <cell r="F666">
            <v>1.01</v>
          </cell>
          <cell r="G666">
            <v>1</v>
          </cell>
          <cell r="H666" t="str">
            <v>balance</v>
          </cell>
          <cell r="I666" t="str">
            <v>バランスタイプ</v>
          </cell>
          <cell r="J666">
            <v>1</v>
          </cell>
          <cell r="K666">
            <v>1</v>
          </cell>
          <cell r="L666">
            <v>1</v>
          </cell>
          <cell r="M666" t="str">
            <v>unknown</v>
          </cell>
          <cell r="N666" t="str">
            <v>Unknown</v>
          </cell>
          <cell r="O666">
            <v>1</v>
          </cell>
          <cell r="P666">
            <v>1</v>
          </cell>
          <cell r="Q666">
            <v>1</v>
          </cell>
          <cell r="R666" t="str">
            <v>Boss</v>
          </cell>
          <cell r="S666">
            <v>5</v>
          </cell>
          <cell r="T666">
            <v>1.3</v>
          </cell>
          <cell r="U666">
            <v>0.8</v>
          </cell>
          <cell r="V666">
            <v>3</v>
          </cell>
          <cell r="W666">
            <v>1</v>
          </cell>
          <cell r="X666">
            <v>25</v>
          </cell>
          <cell r="Y666">
            <v>1.2</v>
          </cell>
          <cell r="Z666">
            <v>1.25</v>
          </cell>
          <cell r="AA666">
            <v>1.1499999999999999</v>
          </cell>
          <cell r="AB666">
            <v>0</v>
          </cell>
        </row>
        <row r="667">
          <cell r="A667">
            <v>666</v>
          </cell>
          <cell r="B667" t="str">
            <v>拡散する幸福 テマリ</v>
          </cell>
          <cell r="C667">
            <v>4</v>
          </cell>
          <cell r="D667" t="str">
            <v>yellow</v>
          </cell>
          <cell r="E667">
            <v>0.98</v>
          </cell>
          <cell r="F667">
            <v>1.01</v>
          </cell>
          <cell r="G667">
            <v>1</v>
          </cell>
          <cell r="H667" t="str">
            <v>balance</v>
          </cell>
          <cell r="I667" t="str">
            <v>バランスタイプ</v>
          </cell>
          <cell r="J667">
            <v>1</v>
          </cell>
          <cell r="K667">
            <v>1</v>
          </cell>
          <cell r="L667">
            <v>1</v>
          </cell>
          <cell r="M667" t="str">
            <v>unknown</v>
          </cell>
          <cell r="N667" t="str">
            <v>Unknown</v>
          </cell>
          <cell r="O667">
            <v>1</v>
          </cell>
          <cell r="P667">
            <v>1</v>
          </cell>
          <cell r="Q667">
            <v>1</v>
          </cell>
          <cell r="R667" t="str">
            <v>Boss</v>
          </cell>
          <cell r="S667">
            <v>5</v>
          </cell>
          <cell r="T667">
            <v>1.3</v>
          </cell>
          <cell r="U667">
            <v>0.8</v>
          </cell>
          <cell r="V667">
            <v>3</v>
          </cell>
          <cell r="W667">
            <v>1</v>
          </cell>
          <cell r="X667">
            <v>30</v>
          </cell>
          <cell r="Y667">
            <v>1.3</v>
          </cell>
          <cell r="Z667">
            <v>1.3</v>
          </cell>
          <cell r="AA667">
            <v>1.1000000000000001</v>
          </cell>
          <cell r="AB667">
            <v>0</v>
          </cell>
        </row>
        <row r="668">
          <cell r="A668">
            <v>667</v>
          </cell>
          <cell r="B668" t="str">
            <v>最幸運の妖童 テマリ</v>
          </cell>
          <cell r="C668">
            <v>5</v>
          </cell>
          <cell r="D668" t="str">
            <v>yellow</v>
          </cell>
          <cell r="E668">
            <v>0.98</v>
          </cell>
          <cell r="F668">
            <v>1.01</v>
          </cell>
          <cell r="G668">
            <v>1</v>
          </cell>
          <cell r="H668" t="str">
            <v>balance</v>
          </cell>
          <cell r="I668" t="str">
            <v>バランスタイプ</v>
          </cell>
          <cell r="J668">
            <v>1</v>
          </cell>
          <cell r="K668">
            <v>1</v>
          </cell>
          <cell r="L668">
            <v>1</v>
          </cell>
          <cell r="M668" t="str">
            <v>unknown</v>
          </cell>
          <cell r="N668" t="str">
            <v>Unknown</v>
          </cell>
          <cell r="O668">
            <v>1</v>
          </cell>
          <cell r="P668">
            <v>1</v>
          </cell>
          <cell r="Q668">
            <v>1</v>
          </cell>
          <cell r="R668" t="str">
            <v>Boss</v>
          </cell>
          <cell r="S668">
            <v>5</v>
          </cell>
          <cell r="T668">
            <v>1.3</v>
          </cell>
          <cell r="U668">
            <v>0.8</v>
          </cell>
          <cell r="V668">
            <v>3</v>
          </cell>
          <cell r="W668">
            <v>1</v>
          </cell>
          <cell r="X668">
            <v>60</v>
          </cell>
          <cell r="Y668">
            <v>1.7</v>
          </cell>
          <cell r="Z668">
            <v>1.4</v>
          </cell>
          <cell r="AA668">
            <v>1</v>
          </cell>
          <cell r="AB668">
            <v>0</v>
          </cell>
        </row>
        <row r="669">
          <cell r="A669">
            <v>668</v>
          </cell>
          <cell r="B669" t="str">
            <v>アグニ</v>
          </cell>
          <cell r="C669">
            <v>3</v>
          </cell>
          <cell r="D669" t="str">
            <v>red</v>
          </cell>
          <cell r="E669">
            <v>1</v>
          </cell>
          <cell r="F669">
            <v>1.02</v>
          </cell>
          <cell r="G669">
            <v>1</v>
          </cell>
          <cell r="H669" t="str">
            <v>hp</v>
          </cell>
          <cell r="I669" t="str">
            <v>体力タイプ</v>
          </cell>
          <cell r="J669">
            <v>1.45</v>
          </cell>
          <cell r="K669">
            <v>0.85</v>
          </cell>
          <cell r="L669">
            <v>1</v>
          </cell>
          <cell r="M669" t="str">
            <v>god</v>
          </cell>
          <cell r="N669" t="str">
            <v>ゴッド</v>
          </cell>
          <cell r="O669">
            <v>0.96</v>
          </cell>
          <cell r="P669">
            <v>1.02</v>
          </cell>
          <cell r="Q669">
            <v>1</v>
          </cell>
          <cell r="R669" t="str">
            <v>Boss</v>
          </cell>
          <cell r="S669">
            <v>5</v>
          </cell>
          <cell r="T669">
            <v>1.3</v>
          </cell>
          <cell r="U669">
            <v>0.8</v>
          </cell>
          <cell r="V669">
            <v>3</v>
          </cell>
          <cell r="W669">
            <v>1</v>
          </cell>
          <cell r="X669">
            <v>25</v>
          </cell>
          <cell r="Y669">
            <v>1.2</v>
          </cell>
          <cell r="Z669">
            <v>1.25</v>
          </cell>
          <cell r="AA669">
            <v>1.1499999999999999</v>
          </cell>
          <cell r="AB669">
            <v>0</v>
          </cell>
        </row>
        <row r="670">
          <cell r="A670">
            <v>669</v>
          </cell>
          <cell r="B670" t="str">
            <v>天地の仲界 アグニ</v>
          </cell>
          <cell r="C670">
            <v>4</v>
          </cell>
          <cell r="D670" t="str">
            <v>red</v>
          </cell>
          <cell r="E670">
            <v>1</v>
          </cell>
          <cell r="F670">
            <v>1.02</v>
          </cell>
          <cell r="G670">
            <v>1</v>
          </cell>
          <cell r="H670" t="str">
            <v>hp</v>
          </cell>
          <cell r="I670" t="str">
            <v>体力タイプ</v>
          </cell>
          <cell r="J670">
            <v>1.45</v>
          </cell>
          <cell r="K670">
            <v>0.85</v>
          </cell>
          <cell r="L670">
            <v>1</v>
          </cell>
          <cell r="M670" t="str">
            <v>god</v>
          </cell>
          <cell r="N670" t="str">
            <v>ゴッド</v>
          </cell>
          <cell r="O670">
            <v>0.96</v>
          </cell>
          <cell r="P670">
            <v>1.02</v>
          </cell>
          <cell r="Q670">
            <v>1</v>
          </cell>
          <cell r="R670" t="str">
            <v>Boss</v>
          </cell>
          <cell r="S670">
            <v>5</v>
          </cell>
          <cell r="T670">
            <v>1.3</v>
          </cell>
          <cell r="U670">
            <v>0.8</v>
          </cell>
          <cell r="V670">
            <v>3</v>
          </cell>
          <cell r="W670">
            <v>1</v>
          </cell>
          <cell r="X670">
            <v>30</v>
          </cell>
          <cell r="Y670">
            <v>1.3</v>
          </cell>
          <cell r="Z670">
            <v>1.3</v>
          </cell>
          <cell r="AA670">
            <v>1.1000000000000001</v>
          </cell>
          <cell r="AB670">
            <v>0</v>
          </cell>
        </row>
        <row r="671">
          <cell r="A671">
            <v>670</v>
          </cell>
          <cell r="B671" t="str">
            <v>陽天の噴煙 アグニ</v>
          </cell>
          <cell r="C671">
            <v>5</v>
          </cell>
          <cell r="D671" t="str">
            <v>red</v>
          </cell>
          <cell r="E671">
            <v>1</v>
          </cell>
          <cell r="F671">
            <v>1.02</v>
          </cell>
          <cell r="G671">
            <v>1</v>
          </cell>
          <cell r="H671" t="str">
            <v>hp</v>
          </cell>
          <cell r="I671" t="str">
            <v>体力タイプ</v>
          </cell>
          <cell r="J671">
            <v>1.45</v>
          </cell>
          <cell r="K671">
            <v>0.85</v>
          </cell>
          <cell r="L671">
            <v>1</v>
          </cell>
          <cell r="M671" t="str">
            <v>god</v>
          </cell>
          <cell r="N671" t="str">
            <v>ゴッド</v>
          </cell>
          <cell r="O671">
            <v>0.96</v>
          </cell>
          <cell r="P671">
            <v>1.02</v>
          </cell>
          <cell r="Q671">
            <v>1</v>
          </cell>
          <cell r="R671" t="str">
            <v>Boss</v>
          </cell>
          <cell r="S671">
            <v>5</v>
          </cell>
          <cell r="T671">
            <v>1.3</v>
          </cell>
          <cell r="U671">
            <v>0.8</v>
          </cell>
          <cell r="V671">
            <v>3</v>
          </cell>
          <cell r="W671">
            <v>1</v>
          </cell>
          <cell r="X671">
            <v>60</v>
          </cell>
          <cell r="Y671">
            <v>1.7</v>
          </cell>
          <cell r="Z671">
            <v>1.4</v>
          </cell>
          <cell r="AA671">
            <v>1</v>
          </cell>
          <cell r="AB671">
            <v>0</v>
          </cell>
        </row>
        <row r="672">
          <cell r="A672">
            <v>671</v>
          </cell>
          <cell r="B672" t="str">
            <v>ハヌマーン</v>
          </cell>
          <cell r="C672">
            <v>3</v>
          </cell>
          <cell r="D672" t="str">
            <v>green</v>
          </cell>
          <cell r="E672">
            <v>1.02</v>
          </cell>
          <cell r="F672">
            <v>0.98</v>
          </cell>
          <cell r="G672">
            <v>1</v>
          </cell>
          <cell r="H672" t="str">
            <v>attack</v>
          </cell>
          <cell r="I672" t="str">
            <v>攻撃タイプ</v>
          </cell>
          <cell r="J672">
            <v>1</v>
          </cell>
          <cell r="K672">
            <v>1.33</v>
          </cell>
          <cell r="L672">
            <v>1</v>
          </cell>
          <cell r="M672" t="str">
            <v>animal</v>
          </cell>
          <cell r="N672" t="str">
            <v>アニマル</v>
          </cell>
          <cell r="O672">
            <v>1</v>
          </cell>
          <cell r="P672">
            <v>1.1000000000000001</v>
          </cell>
          <cell r="Q672">
            <v>1</v>
          </cell>
          <cell r="R672" t="str">
            <v>Boss</v>
          </cell>
          <cell r="S672">
            <v>5</v>
          </cell>
          <cell r="T672">
            <v>1.3</v>
          </cell>
          <cell r="U672">
            <v>0.8</v>
          </cell>
          <cell r="V672">
            <v>3</v>
          </cell>
          <cell r="W672">
            <v>1</v>
          </cell>
          <cell r="X672">
            <v>25</v>
          </cell>
          <cell r="Y672">
            <v>1.2</v>
          </cell>
          <cell r="Z672">
            <v>1.25</v>
          </cell>
          <cell r="AA672">
            <v>1.1499999999999999</v>
          </cell>
          <cell r="AB672">
            <v>0</v>
          </cell>
        </row>
        <row r="673">
          <cell r="A673">
            <v>672</v>
          </cell>
          <cell r="B673" t="str">
            <v>西遊韋駄天 ハヌマーン</v>
          </cell>
          <cell r="C673">
            <v>4</v>
          </cell>
          <cell r="D673" t="str">
            <v>green</v>
          </cell>
          <cell r="E673">
            <v>1.02</v>
          </cell>
          <cell r="F673">
            <v>0.98</v>
          </cell>
          <cell r="G673">
            <v>1</v>
          </cell>
          <cell r="H673" t="str">
            <v>attack</v>
          </cell>
          <cell r="I673" t="str">
            <v>攻撃タイプ</v>
          </cell>
          <cell r="J673">
            <v>1</v>
          </cell>
          <cell r="K673">
            <v>1.33</v>
          </cell>
          <cell r="L673">
            <v>1</v>
          </cell>
          <cell r="M673" t="str">
            <v>animal</v>
          </cell>
          <cell r="N673" t="str">
            <v>アニマル</v>
          </cell>
          <cell r="O673">
            <v>1</v>
          </cell>
          <cell r="P673">
            <v>1.1000000000000001</v>
          </cell>
          <cell r="Q673">
            <v>1</v>
          </cell>
          <cell r="R673" t="str">
            <v>Boss</v>
          </cell>
          <cell r="S673">
            <v>5</v>
          </cell>
          <cell r="T673">
            <v>1.3</v>
          </cell>
          <cell r="U673">
            <v>0.8</v>
          </cell>
          <cell r="V673">
            <v>3</v>
          </cell>
          <cell r="W673">
            <v>1</v>
          </cell>
          <cell r="X673">
            <v>30</v>
          </cell>
          <cell r="Y673">
            <v>1.3</v>
          </cell>
          <cell r="Z673">
            <v>1.3</v>
          </cell>
          <cell r="AA673">
            <v>1.1000000000000001</v>
          </cell>
          <cell r="AB673">
            <v>0</v>
          </cell>
        </row>
        <row r="674">
          <cell r="A674">
            <v>673</v>
          </cell>
          <cell r="B674" t="str">
            <v>変幻自在の猿王 ハヌマーン</v>
          </cell>
          <cell r="C674">
            <v>5</v>
          </cell>
          <cell r="D674" t="str">
            <v>green</v>
          </cell>
          <cell r="E674">
            <v>1.02</v>
          </cell>
          <cell r="F674">
            <v>0.98</v>
          </cell>
          <cell r="G674">
            <v>1</v>
          </cell>
          <cell r="H674" t="str">
            <v>attack</v>
          </cell>
          <cell r="I674" t="str">
            <v>攻撃タイプ</v>
          </cell>
          <cell r="J674">
            <v>1</v>
          </cell>
          <cell r="K674">
            <v>1.33</v>
          </cell>
          <cell r="L674">
            <v>1</v>
          </cell>
          <cell r="M674" t="str">
            <v>animal</v>
          </cell>
          <cell r="N674" t="str">
            <v>アニマル</v>
          </cell>
          <cell r="O674">
            <v>1</v>
          </cell>
          <cell r="P674">
            <v>1.1000000000000001</v>
          </cell>
          <cell r="Q674">
            <v>1</v>
          </cell>
          <cell r="R674" t="str">
            <v>Boss</v>
          </cell>
          <cell r="S674">
            <v>5</v>
          </cell>
          <cell r="T674">
            <v>1.3</v>
          </cell>
          <cell r="U674">
            <v>0.8</v>
          </cell>
          <cell r="V674">
            <v>3</v>
          </cell>
          <cell r="W674">
            <v>1</v>
          </cell>
          <cell r="X674">
            <v>60</v>
          </cell>
          <cell r="Y674">
            <v>1.7</v>
          </cell>
          <cell r="Z674">
            <v>1.4</v>
          </cell>
          <cell r="AA674">
            <v>1</v>
          </cell>
          <cell r="AB674">
            <v>0</v>
          </cell>
        </row>
        <row r="675">
          <cell r="A675">
            <v>674</v>
          </cell>
          <cell r="B675" t="str">
            <v>サラスヴァティ</v>
          </cell>
          <cell r="C675">
            <v>4</v>
          </cell>
          <cell r="D675" t="str">
            <v>blue</v>
          </cell>
          <cell r="E675">
            <v>1</v>
          </cell>
          <cell r="F675">
            <v>0.98</v>
          </cell>
          <cell r="G675">
            <v>1</v>
          </cell>
          <cell r="H675" t="str">
            <v>balance</v>
          </cell>
          <cell r="I675" t="str">
            <v>バランスタイプ</v>
          </cell>
          <cell r="J675">
            <v>1</v>
          </cell>
          <cell r="K675">
            <v>1</v>
          </cell>
          <cell r="L675">
            <v>1</v>
          </cell>
          <cell r="M675" t="str">
            <v>god</v>
          </cell>
          <cell r="N675" t="str">
            <v>ゴッド</v>
          </cell>
          <cell r="O675">
            <v>0.96</v>
          </cell>
          <cell r="P675">
            <v>1.02</v>
          </cell>
          <cell r="Q675">
            <v>1</v>
          </cell>
          <cell r="R675" t="str">
            <v>Boss</v>
          </cell>
          <cell r="S675">
            <v>5</v>
          </cell>
          <cell r="T675">
            <v>1.3</v>
          </cell>
          <cell r="U675">
            <v>0.8</v>
          </cell>
          <cell r="V675">
            <v>3</v>
          </cell>
          <cell r="W675">
            <v>1</v>
          </cell>
          <cell r="X675">
            <v>30</v>
          </cell>
          <cell r="Y675">
            <v>1.3</v>
          </cell>
          <cell r="Z675">
            <v>1.3</v>
          </cell>
          <cell r="AA675">
            <v>1.1000000000000001</v>
          </cell>
          <cell r="AB675">
            <v>0</v>
          </cell>
        </row>
        <row r="676">
          <cell r="A676">
            <v>675</v>
          </cell>
          <cell r="B676" t="str">
            <v>芸楽の奔流 サラスヴァティ</v>
          </cell>
          <cell r="C676">
            <v>5</v>
          </cell>
          <cell r="D676" t="str">
            <v>blue</v>
          </cell>
          <cell r="E676">
            <v>1</v>
          </cell>
          <cell r="F676">
            <v>0.98</v>
          </cell>
          <cell r="G676">
            <v>1</v>
          </cell>
          <cell r="H676" t="str">
            <v>balance</v>
          </cell>
          <cell r="I676" t="str">
            <v>バランスタイプ</v>
          </cell>
          <cell r="J676">
            <v>1</v>
          </cell>
          <cell r="K676">
            <v>1</v>
          </cell>
          <cell r="L676">
            <v>1</v>
          </cell>
          <cell r="M676" t="str">
            <v>god</v>
          </cell>
          <cell r="N676" t="str">
            <v>ゴッド</v>
          </cell>
          <cell r="O676">
            <v>0.96</v>
          </cell>
          <cell r="P676">
            <v>1.02</v>
          </cell>
          <cell r="Q676">
            <v>1</v>
          </cell>
          <cell r="R676" t="str">
            <v>Boss</v>
          </cell>
          <cell r="S676">
            <v>5</v>
          </cell>
          <cell r="T676">
            <v>1.3</v>
          </cell>
          <cell r="U676">
            <v>0.8</v>
          </cell>
          <cell r="V676">
            <v>3</v>
          </cell>
          <cell r="W676">
            <v>1</v>
          </cell>
          <cell r="X676">
            <v>60</v>
          </cell>
          <cell r="Y676">
            <v>1.7</v>
          </cell>
          <cell r="Z676">
            <v>1.4</v>
          </cell>
          <cell r="AA676">
            <v>1</v>
          </cell>
          <cell r="AB676">
            <v>0</v>
          </cell>
        </row>
        <row r="677">
          <cell r="A677">
            <v>676</v>
          </cell>
          <cell r="B677" t="str">
            <v>ヴィシュヌ</v>
          </cell>
          <cell r="C677">
            <v>4</v>
          </cell>
          <cell r="D677" t="str">
            <v>yellow</v>
          </cell>
          <cell r="E677">
            <v>0.98</v>
          </cell>
          <cell r="F677">
            <v>1.01</v>
          </cell>
          <cell r="G677">
            <v>1</v>
          </cell>
          <cell r="H677" t="str">
            <v>attack</v>
          </cell>
          <cell r="I677" t="str">
            <v>攻撃タイプ</v>
          </cell>
          <cell r="J677">
            <v>1</v>
          </cell>
          <cell r="K677">
            <v>1.33</v>
          </cell>
          <cell r="L677">
            <v>1</v>
          </cell>
          <cell r="M677" t="str">
            <v>god</v>
          </cell>
          <cell r="N677" t="str">
            <v>ゴッド</v>
          </cell>
          <cell r="O677">
            <v>0.96</v>
          </cell>
          <cell r="P677">
            <v>1.02</v>
          </cell>
          <cell r="Q677">
            <v>1</v>
          </cell>
          <cell r="R677" t="str">
            <v>Boss</v>
          </cell>
          <cell r="S677">
            <v>5</v>
          </cell>
          <cell r="T677">
            <v>1.3</v>
          </cell>
          <cell r="U677">
            <v>0.8</v>
          </cell>
          <cell r="V677">
            <v>3</v>
          </cell>
          <cell r="W677">
            <v>1</v>
          </cell>
          <cell r="X677">
            <v>30</v>
          </cell>
          <cell r="Y677">
            <v>1.3</v>
          </cell>
          <cell r="Z677">
            <v>1.3</v>
          </cell>
          <cell r="AA677">
            <v>1.1000000000000001</v>
          </cell>
          <cell r="AB677">
            <v>0</v>
          </cell>
        </row>
        <row r="678">
          <cell r="A678">
            <v>677</v>
          </cell>
          <cell r="B678" t="str">
            <v>武遊闊歩 ヴィシュヌ</v>
          </cell>
          <cell r="C678">
            <v>5</v>
          </cell>
          <cell r="D678" t="str">
            <v>yellow</v>
          </cell>
          <cell r="E678">
            <v>0.98</v>
          </cell>
          <cell r="F678">
            <v>1.01</v>
          </cell>
          <cell r="G678">
            <v>1</v>
          </cell>
          <cell r="H678" t="str">
            <v>attack</v>
          </cell>
          <cell r="I678" t="str">
            <v>攻撃タイプ</v>
          </cell>
          <cell r="J678">
            <v>1</v>
          </cell>
          <cell r="K678">
            <v>1.33</v>
          </cell>
          <cell r="L678">
            <v>1</v>
          </cell>
          <cell r="M678" t="str">
            <v>god</v>
          </cell>
          <cell r="N678" t="str">
            <v>ゴッド</v>
          </cell>
          <cell r="O678">
            <v>0.96</v>
          </cell>
          <cell r="P678">
            <v>1.02</v>
          </cell>
          <cell r="Q678">
            <v>1</v>
          </cell>
          <cell r="R678" t="str">
            <v>Boss</v>
          </cell>
          <cell r="S678">
            <v>5</v>
          </cell>
          <cell r="T678">
            <v>1.3</v>
          </cell>
          <cell r="U678">
            <v>0.8</v>
          </cell>
          <cell r="V678">
            <v>3</v>
          </cell>
          <cell r="W678">
            <v>1</v>
          </cell>
          <cell r="X678">
            <v>60</v>
          </cell>
          <cell r="Y678">
            <v>1.7</v>
          </cell>
          <cell r="Z678">
            <v>1.4</v>
          </cell>
          <cell r="AA678">
            <v>1</v>
          </cell>
          <cell r="AB678">
            <v>0</v>
          </cell>
        </row>
        <row r="679">
          <cell r="A679">
            <v>678</v>
          </cell>
          <cell r="B679" t="str">
            <v>レイヴン</v>
          </cell>
          <cell r="C679">
            <v>4</v>
          </cell>
          <cell r="D679" t="str">
            <v>green</v>
          </cell>
          <cell r="E679">
            <v>1.02</v>
          </cell>
          <cell r="F679">
            <v>0.98</v>
          </cell>
          <cell r="G679">
            <v>1</v>
          </cell>
          <cell r="H679" t="str">
            <v>attack</v>
          </cell>
          <cell r="I679" t="str">
            <v>攻撃タイプ</v>
          </cell>
          <cell r="J679">
            <v>1</v>
          </cell>
          <cell r="K679">
            <v>1.33</v>
          </cell>
          <cell r="L679">
            <v>1</v>
          </cell>
          <cell r="M679" t="str">
            <v>human</v>
          </cell>
          <cell r="N679" t="str">
            <v>ヒューマン</v>
          </cell>
          <cell r="O679">
            <v>0.94</v>
          </cell>
          <cell r="P679">
            <v>0.99</v>
          </cell>
          <cell r="Q679">
            <v>1</v>
          </cell>
          <cell r="R679" t="str">
            <v>Boss</v>
          </cell>
          <cell r="S679">
            <v>5</v>
          </cell>
          <cell r="T679">
            <v>1.3</v>
          </cell>
          <cell r="U679">
            <v>0.8</v>
          </cell>
          <cell r="V679">
            <v>3</v>
          </cell>
          <cell r="W679">
            <v>1</v>
          </cell>
          <cell r="X679">
            <v>30</v>
          </cell>
          <cell r="Y679">
            <v>1.3</v>
          </cell>
          <cell r="Z679">
            <v>1.3</v>
          </cell>
          <cell r="AA679">
            <v>1.1000000000000001</v>
          </cell>
          <cell r="AB679">
            <v>0</v>
          </cell>
        </row>
        <row r="680">
          <cell r="A680">
            <v>679</v>
          </cell>
          <cell r="B680" t="str">
            <v>孤高の王子 レイヴン</v>
          </cell>
          <cell r="C680">
            <v>5</v>
          </cell>
          <cell r="D680" t="str">
            <v>green</v>
          </cell>
          <cell r="E680">
            <v>1.02</v>
          </cell>
          <cell r="F680">
            <v>0.98</v>
          </cell>
          <cell r="G680">
            <v>1</v>
          </cell>
          <cell r="H680" t="str">
            <v>attack</v>
          </cell>
          <cell r="I680" t="str">
            <v>攻撃タイプ</v>
          </cell>
          <cell r="J680">
            <v>1</v>
          </cell>
          <cell r="K680">
            <v>1.33</v>
          </cell>
          <cell r="L680">
            <v>1</v>
          </cell>
          <cell r="M680" t="str">
            <v>human</v>
          </cell>
          <cell r="N680" t="str">
            <v>ヒューマン</v>
          </cell>
          <cell r="O680">
            <v>0.94</v>
          </cell>
          <cell r="P680">
            <v>0.99</v>
          </cell>
          <cell r="Q680">
            <v>1</v>
          </cell>
          <cell r="R680" t="str">
            <v>Boss</v>
          </cell>
          <cell r="S680">
            <v>5</v>
          </cell>
          <cell r="T680">
            <v>1.3</v>
          </cell>
          <cell r="U680">
            <v>0.8</v>
          </cell>
          <cell r="V680">
            <v>3</v>
          </cell>
          <cell r="W680">
            <v>1</v>
          </cell>
          <cell r="X680">
            <v>60</v>
          </cell>
          <cell r="Y680">
            <v>1.7</v>
          </cell>
          <cell r="Z680">
            <v>1.4</v>
          </cell>
          <cell r="AA680">
            <v>1</v>
          </cell>
          <cell r="AB680">
            <v>0</v>
          </cell>
        </row>
        <row r="681">
          <cell r="A681">
            <v>680</v>
          </cell>
          <cell r="B681" t="str">
            <v>炎のプレゼントケロケロ</v>
          </cell>
          <cell r="C681">
            <v>5</v>
          </cell>
          <cell r="D681" t="str">
            <v>red</v>
          </cell>
          <cell r="E681">
            <v>1</v>
          </cell>
          <cell r="F681">
            <v>1.02</v>
          </cell>
          <cell r="G681">
            <v>1</v>
          </cell>
          <cell r="H681" t="str">
            <v>exp</v>
          </cell>
          <cell r="I681" t="str">
            <v>強化素材タイプ</v>
          </cell>
          <cell r="J681">
            <v>0.1</v>
          </cell>
          <cell r="K681">
            <v>0.05</v>
          </cell>
          <cell r="L681">
            <v>1</v>
          </cell>
          <cell r="M681" t="str">
            <v>unknown</v>
          </cell>
          <cell r="N681" t="str">
            <v>Unknown</v>
          </cell>
          <cell r="O681">
            <v>1</v>
          </cell>
          <cell r="P681">
            <v>1</v>
          </cell>
          <cell r="Q681">
            <v>1</v>
          </cell>
          <cell r="R681" t="str">
            <v>Boss</v>
          </cell>
          <cell r="S681">
            <v>5</v>
          </cell>
          <cell r="T681">
            <v>1.3</v>
          </cell>
          <cell r="U681">
            <v>0.8</v>
          </cell>
          <cell r="V681">
            <v>3</v>
          </cell>
          <cell r="W681">
            <v>1</v>
          </cell>
          <cell r="X681">
            <v>30</v>
          </cell>
          <cell r="Y681">
            <v>1.3</v>
          </cell>
          <cell r="Z681">
            <v>1.3</v>
          </cell>
          <cell r="AA681">
            <v>1.1000000000000001</v>
          </cell>
          <cell r="AB681">
            <v>0</v>
          </cell>
        </row>
        <row r="682">
          <cell r="A682">
            <v>681</v>
          </cell>
          <cell r="B682" t="str">
            <v>炎のプレゼントフロッグ</v>
          </cell>
          <cell r="C682">
            <v>6</v>
          </cell>
          <cell r="D682" t="str">
            <v>red</v>
          </cell>
          <cell r="E682">
            <v>1</v>
          </cell>
          <cell r="F682">
            <v>1.02</v>
          </cell>
          <cell r="G682">
            <v>1</v>
          </cell>
          <cell r="H682" t="str">
            <v>exp</v>
          </cell>
          <cell r="I682" t="str">
            <v>強化素材タイプ</v>
          </cell>
          <cell r="J682">
            <v>0.1</v>
          </cell>
          <cell r="K682">
            <v>0.05</v>
          </cell>
          <cell r="L682">
            <v>1</v>
          </cell>
          <cell r="M682" t="str">
            <v>unknown</v>
          </cell>
          <cell r="N682" t="str">
            <v>Unknown</v>
          </cell>
          <cell r="O682">
            <v>1</v>
          </cell>
          <cell r="P682">
            <v>1</v>
          </cell>
          <cell r="Q682">
            <v>1</v>
          </cell>
          <cell r="R682" t="str">
            <v>Boss</v>
          </cell>
          <cell r="S682">
            <v>5</v>
          </cell>
          <cell r="T682">
            <v>1.3</v>
          </cell>
          <cell r="U682">
            <v>0.8</v>
          </cell>
          <cell r="V682">
            <v>3</v>
          </cell>
          <cell r="W682">
            <v>1</v>
          </cell>
          <cell r="X682">
            <v>30</v>
          </cell>
          <cell r="Y682">
            <v>1.3</v>
          </cell>
          <cell r="Z682">
            <v>1.3</v>
          </cell>
          <cell r="AA682">
            <v>1.1000000000000001</v>
          </cell>
          <cell r="AB682">
            <v>0</v>
          </cell>
        </row>
        <row r="683">
          <cell r="A683">
            <v>682</v>
          </cell>
          <cell r="B683" t="str">
            <v>森のプレゼントケロケロ</v>
          </cell>
          <cell r="C683">
            <v>5</v>
          </cell>
          <cell r="D683" t="str">
            <v>green</v>
          </cell>
          <cell r="E683">
            <v>1.02</v>
          </cell>
          <cell r="F683">
            <v>0.98</v>
          </cell>
          <cell r="G683">
            <v>1</v>
          </cell>
          <cell r="H683" t="str">
            <v>exp</v>
          </cell>
          <cell r="I683" t="str">
            <v>強化素材タイプ</v>
          </cell>
          <cell r="J683">
            <v>0.1</v>
          </cell>
          <cell r="K683">
            <v>0.05</v>
          </cell>
          <cell r="L683">
            <v>1</v>
          </cell>
          <cell r="M683" t="str">
            <v>unknown</v>
          </cell>
          <cell r="N683" t="str">
            <v>Unknown</v>
          </cell>
          <cell r="O683">
            <v>1</v>
          </cell>
          <cell r="P683">
            <v>1</v>
          </cell>
          <cell r="Q683">
            <v>1</v>
          </cell>
          <cell r="R683" t="str">
            <v>Boss</v>
          </cell>
          <cell r="S683">
            <v>5</v>
          </cell>
          <cell r="T683">
            <v>1.3</v>
          </cell>
          <cell r="U683">
            <v>0.8</v>
          </cell>
          <cell r="V683">
            <v>3</v>
          </cell>
          <cell r="W683">
            <v>1</v>
          </cell>
          <cell r="X683">
            <v>30</v>
          </cell>
          <cell r="Y683">
            <v>1.3</v>
          </cell>
          <cell r="Z683">
            <v>1.3</v>
          </cell>
          <cell r="AA683">
            <v>1.1000000000000001</v>
          </cell>
          <cell r="AB683">
            <v>0</v>
          </cell>
        </row>
        <row r="684">
          <cell r="A684">
            <v>683</v>
          </cell>
          <cell r="B684" t="str">
            <v>森のプレゼントフロッグ</v>
          </cell>
          <cell r="C684">
            <v>6</v>
          </cell>
          <cell r="D684" t="str">
            <v>green</v>
          </cell>
          <cell r="E684">
            <v>1.02</v>
          </cell>
          <cell r="F684">
            <v>0.98</v>
          </cell>
          <cell r="G684">
            <v>1</v>
          </cell>
          <cell r="H684" t="str">
            <v>exp</v>
          </cell>
          <cell r="I684" t="str">
            <v>強化素材タイプ</v>
          </cell>
          <cell r="J684">
            <v>0.1</v>
          </cell>
          <cell r="K684">
            <v>0.05</v>
          </cell>
          <cell r="L684">
            <v>1</v>
          </cell>
          <cell r="M684" t="str">
            <v>unknown</v>
          </cell>
          <cell r="N684" t="str">
            <v>Unknown</v>
          </cell>
          <cell r="O684">
            <v>1</v>
          </cell>
          <cell r="P684">
            <v>1</v>
          </cell>
          <cell r="Q684">
            <v>1</v>
          </cell>
          <cell r="R684" t="str">
            <v>Boss</v>
          </cell>
          <cell r="S684">
            <v>5</v>
          </cell>
          <cell r="T684">
            <v>1.3</v>
          </cell>
          <cell r="U684">
            <v>0.8</v>
          </cell>
          <cell r="V684">
            <v>3</v>
          </cell>
          <cell r="W684">
            <v>1</v>
          </cell>
          <cell r="X684">
            <v>30</v>
          </cell>
          <cell r="Y684">
            <v>1.3</v>
          </cell>
          <cell r="Z684">
            <v>1.3</v>
          </cell>
          <cell r="AA684">
            <v>1.1000000000000001</v>
          </cell>
          <cell r="AB684">
            <v>0</v>
          </cell>
        </row>
        <row r="685">
          <cell r="A685">
            <v>684</v>
          </cell>
          <cell r="B685" t="str">
            <v>水のプレゼントケロケロ</v>
          </cell>
          <cell r="C685">
            <v>5</v>
          </cell>
          <cell r="D685" t="str">
            <v>blue</v>
          </cell>
          <cell r="E685">
            <v>1</v>
          </cell>
          <cell r="F685">
            <v>0.98</v>
          </cell>
          <cell r="G685">
            <v>1</v>
          </cell>
          <cell r="H685" t="str">
            <v>exp</v>
          </cell>
          <cell r="I685" t="str">
            <v>強化素材タイプ</v>
          </cell>
          <cell r="J685">
            <v>0.1</v>
          </cell>
          <cell r="K685">
            <v>0.05</v>
          </cell>
          <cell r="L685">
            <v>1</v>
          </cell>
          <cell r="M685" t="str">
            <v>unknown</v>
          </cell>
          <cell r="N685" t="str">
            <v>Unknown</v>
          </cell>
          <cell r="O685">
            <v>1</v>
          </cell>
          <cell r="P685">
            <v>1</v>
          </cell>
          <cell r="Q685">
            <v>1</v>
          </cell>
          <cell r="R685" t="str">
            <v>Boss</v>
          </cell>
          <cell r="S685">
            <v>5</v>
          </cell>
          <cell r="T685">
            <v>1.3</v>
          </cell>
          <cell r="U685">
            <v>0.8</v>
          </cell>
          <cell r="V685">
            <v>3</v>
          </cell>
          <cell r="W685">
            <v>1</v>
          </cell>
          <cell r="X685">
            <v>30</v>
          </cell>
          <cell r="Y685">
            <v>1.3</v>
          </cell>
          <cell r="Z685">
            <v>1.3</v>
          </cell>
          <cell r="AA685">
            <v>1.1000000000000001</v>
          </cell>
          <cell r="AB685">
            <v>0</v>
          </cell>
        </row>
        <row r="686">
          <cell r="A686">
            <v>685</v>
          </cell>
          <cell r="B686" t="str">
            <v>水のプレゼントフロッグ</v>
          </cell>
          <cell r="C686">
            <v>6</v>
          </cell>
          <cell r="D686" t="str">
            <v>blue</v>
          </cell>
          <cell r="E686">
            <v>1</v>
          </cell>
          <cell r="F686">
            <v>0.98</v>
          </cell>
          <cell r="G686">
            <v>1</v>
          </cell>
          <cell r="H686" t="str">
            <v>exp</v>
          </cell>
          <cell r="I686" t="str">
            <v>強化素材タイプ</v>
          </cell>
          <cell r="J686">
            <v>0.1</v>
          </cell>
          <cell r="K686">
            <v>0.05</v>
          </cell>
          <cell r="L686">
            <v>1</v>
          </cell>
          <cell r="M686" t="str">
            <v>unknown</v>
          </cell>
          <cell r="N686" t="str">
            <v>Unknown</v>
          </cell>
          <cell r="O686">
            <v>1</v>
          </cell>
          <cell r="P686">
            <v>1</v>
          </cell>
          <cell r="Q686">
            <v>1</v>
          </cell>
          <cell r="R686" t="str">
            <v>Boss</v>
          </cell>
          <cell r="S686">
            <v>5</v>
          </cell>
          <cell r="T686">
            <v>1.3</v>
          </cell>
          <cell r="U686">
            <v>0.8</v>
          </cell>
          <cell r="V686">
            <v>3</v>
          </cell>
          <cell r="W686">
            <v>1</v>
          </cell>
          <cell r="X686">
            <v>30</v>
          </cell>
          <cell r="Y686">
            <v>1.3</v>
          </cell>
          <cell r="Z686">
            <v>1.3</v>
          </cell>
          <cell r="AA686">
            <v>1.1000000000000001</v>
          </cell>
          <cell r="AB686">
            <v>0</v>
          </cell>
        </row>
        <row r="687">
          <cell r="A687">
            <v>686</v>
          </cell>
          <cell r="B687" t="str">
            <v>雷のプレゼントケロケロ</v>
          </cell>
          <cell r="C687">
            <v>5</v>
          </cell>
          <cell r="D687" t="str">
            <v>yellow</v>
          </cell>
          <cell r="E687">
            <v>0.98</v>
          </cell>
          <cell r="F687">
            <v>1.01</v>
          </cell>
          <cell r="G687">
            <v>1</v>
          </cell>
          <cell r="H687" t="str">
            <v>exp</v>
          </cell>
          <cell r="I687" t="str">
            <v>強化素材タイプ</v>
          </cell>
          <cell r="J687">
            <v>0.1</v>
          </cell>
          <cell r="K687">
            <v>0.05</v>
          </cell>
          <cell r="L687">
            <v>1</v>
          </cell>
          <cell r="M687" t="str">
            <v>unknown</v>
          </cell>
          <cell r="N687" t="str">
            <v>Unknown</v>
          </cell>
          <cell r="O687">
            <v>1</v>
          </cell>
          <cell r="P687">
            <v>1</v>
          </cell>
          <cell r="Q687">
            <v>1</v>
          </cell>
          <cell r="R687" t="str">
            <v>Boss</v>
          </cell>
          <cell r="S687">
            <v>5</v>
          </cell>
          <cell r="T687">
            <v>1.3</v>
          </cell>
          <cell r="U687">
            <v>0.8</v>
          </cell>
          <cell r="V687">
            <v>3</v>
          </cell>
          <cell r="W687">
            <v>1</v>
          </cell>
          <cell r="X687">
            <v>30</v>
          </cell>
          <cell r="Y687">
            <v>1.3</v>
          </cell>
          <cell r="Z687">
            <v>1.3</v>
          </cell>
          <cell r="AA687">
            <v>1.1000000000000001</v>
          </cell>
          <cell r="AB687">
            <v>0</v>
          </cell>
        </row>
        <row r="688">
          <cell r="A688">
            <v>687</v>
          </cell>
          <cell r="B688" t="str">
            <v>雷のプレゼントフロッグ</v>
          </cell>
          <cell r="C688">
            <v>6</v>
          </cell>
          <cell r="D688" t="str">
            <v>yellow</v>
          </cell>
          <cell r="E688">
            <v>0.98</v>
          </cell>
          <cell r="F688">
            <v>1.01</v>
          </cell>
          <cell r="G688">
            <v>1</v>
          </cell>
          <cell r="H688" t="str">
            <v>exp</v>
          </cell>
          <cell r="I688" t="str">
            <v>強化素材タイプ</v>
          </cell>
          <cell r="J688">
            <v>0.1</v>
          </cell>
          <cell r="K688">
            <v>0.05</v>
          </cell>
          <cell r="L688">
            <v>1</v>
          </cell>
          <cell r="M688" t="str">
            <v>unknown</v>
          </cell>
          <cell r="N688" t="str">
            <v>Unknown</v>
          </cell>
          <cell r="O688">
            <v>1</v>
          </cell>
          <cell r="P688">
            <v>1</v>
          </cell>
          <cell r="Q688">
            <v>1</v>
          </cell>
          <cell r="R688" t="str">
            <v>Boss</v>
          </cell>
          <cell r="S688">
            <v>5</v>
          </cell>
          <cell r="T688">
            <v>1.3</v>
          </cell>
          <cell r="U688">
            <v>0.8</v>
          </cell>
          <cell r="V688">
            <v>3</v>
          </cell>
          <cell r="W688">
            <v>1</v>
          </cell>
          <cell r="X688">
            <v>30</v>
          </cell>
          <cell r="Y688">
            <v>1.3</v>
          </cell>
          <cell r="Z688">
            <v>1.3</v>
          </cell>
          <cell r="AA688">
            <v>1.1000000000000001</v>
          </cell>
          <cell r="AB688">
            <v>0</v>
          </cell>
        </row>
        <row r="689">
          <cell r="A689">
            <v>688</v>
          </cell>
          <cell r="B689" t="str">
            <v>ユークリッド</v>
          </cell>
          <cell r="C689">
            <v>4</v>
          </cell>
          <cell r="D689" t="str">
            <v>blue</v>
          </cell>
          <cell r="E689">
            <v>1</v>
          </cell>
          <cell r="F689">
            <v>0.98</v>
          </cell>
          <cell r="G689">
            <v>1</v>
          </cell>
          <cell r="H689" t="str">
            <v>balance</v>
          </cell>
          <cell r="I689" t="str">
            <v>バランスタイプ</v>
          </cell>
          <cell r="J689">
            <v>1</v>
          </cell>
          <cell r="K689">
            <v>1</v>
          </cell>
          <cell r="L689">
            <v>1</v>
          </cell>
          <cell r="M689" t="str">
            <v>human</v>
          </cell>
          <cell r="N689" t="str">
            <v>ヒューマン</v>
          </cell>
          <cell r="O689">
            <v>0.94</v>
          </cell>
          <cell r="P689">
            <v>0.99</v>
          </cell>
          <cell r="Q689">
            <v>1</v>
          </cell>
          <cell r="R689" t="str">
            <v>Boss</v>
          </cell>
          <cell r="S689">
            <v>5</v>
          </cell>
          <cell r="T689">
            <v>1.3</v>
          </cell>
          <cell r="U689">
            <v>0.8</v>
          </cell>
          <cell r="V689">
            <v>3</v>
          </cell>
          <cell r="W689">
            <v>1</v>
          </cell>
          <cell r="X689">
            <v>30</v>
          </cell>
          <cell r="Y689">
            <v>1.3</v>
          </cell>
          <cell r="Z689">
            <v>1.3</v>
          </cell>
          <cell r="AA689">
            <v>1.1000000000000001</v>
          </cell>
          <cell r="AB689">
            <v>0</v>
          </cell>
        </row>
        <row r="690">
          <cell r="A690">
            <v>689</v>
          </cell>
          <cell r="B690" t="str">
            <v>根原論理 ユークリッド</v>
          </cell>
          <cell r="C690">
            <v>5</v>
          </cell>
          <cell r="D690" t="str">
            <v>blue</v>
          </cell>
          <cell r="E690">
            <v>1</v>
          </cell>
          <cell r="F690">
            <v>0.98</v>
          </cell>
          <cell r="G690">
            <v>1</v>
          </cell>
          <cell r="H690" t="str">
            <v>balance</v>
          </cell>
          <cell r="I690" t="str">
            <v>バランスタイプ</v>
          </cell>
          <cell r="J690">
            <v>1</v>
          </cell>
          <cell r="K690">
            <v>1</v>
          </cell>
          <cell r="L690">
            <v>1</v>
          </cell>
          <cell r="M690" t="str">
            <v>human</v>
          </cell>
          <cell r="N690" t="str">
            <v>ヒューマン</v>
          </cell>
          <cell r="O690">
            <v>0.94</v>
          </cell>
          <cell r="P690">
            <v>0.99</v>
          </cell>
          <cell r="Q690">
            <v>1</v>
          </cell>
          <cell r="R690" t="str">
            <v>Boss</v>
          </cell>
          <cell r="S690">
            <v>5</v>
          </cell>
          <cell r="T690">
            <v>1.3</v>
          </cell>
          <cell r="U690">
            <v>0.8</v>
          </cell>
          <cell r="V690">
            <v>3</v>
          </cell>
          <cell r="W690">
            <v>1</v>
          </cell>
          <cell r="X690">
            <v>60</v>
          </cell>
          <cell r="Y690">
            <v>1.7</v>
          </cell>
          <cell r="Z690">
            <v>1.4</v>
          </cell>
          <cell r="AA690">
            <v>1</v>
          </cell>
          <cell r="AB690">
            <v>0</v>
          </cell>
        </row>
        <row r="691">
          <cell r="A691">
            <v>690</v>
          </cell>
          <cell r="B691" t="str">
            <v>不朽の極論 ユークリッド</v>
          </cell>
          <cell r="C691">
            <v>6</v>
          </cell>
          <cell r="D691" t="str">
            <v>blue</v>
          </cell>
          <cell r="E691">
            <v>1</v>
          </cell>
          <cell r="F691">
            <v>0.98</v>
          </cell>
          <cell r="G691">
            <v>1</v>
          </cell>
          <cell r="H691" t="str">
            <v>balance</v>
          </cell>
          <cell r="I691" t="str">
            <v>バランスタイプ</v>
          </cell>
          <cell r="J691">
            <v>1</v>
          </cell>
          <cell r="K691">
            <v>1</v>
          </cell>
          <cell r="L691">
            <v>1</v>
          </cell>
          <cell r="M691" t="str">
            <v>human</v>
          </cell>
          <cell r="N691" t="str">
            <v>ヒューマン</v>
          </cell>
          <cell r="O691">
            <v>0.94</v>
          </cell>
          <cell r="P691">
            <v>0.99</v>
          </cell>
          <cell r="Q691">
            <v>1</v>
          </cell>
          <cell r="R691" t="str">
            <v>Boss</v>
          </cell>
          <cell r="S691">
            <v>5</v>
          </cell>
          <cell r="T691">
            <v>1.3</v>
          </cell>
          <cell r="U691">
            <v>0.8</v>
          </cell>
          <cell r="V691">
            <v>3</v>
          </cell>
          <cell r="W691">
            <v>1</v>
          </cell>
          <cell r="X691">
            <v>60</v>
          </cell>
          <cell r="Y691">
            <v>1.7</v>
          </cell>
          <cell r="Z691">
            <v>1.4</v>
          </cell>
          <cell r="AA691">
            <v>1</v>
          </cell>
          <cell r="AB691">
            <v>0</v>
          </cell>
        </row>
        <row r="692">
          <cell r="A692">
            <v>691</v>
          </cell>
          <cell r="B692" t="str">
            <v>黒沼青葉</v>
          </cell>
          <cell r="C692">
            <v>4</v>
          </cell>
          <cell r="D692" t="str">
            <v>blue</v>
          </cell>
          <cell r="E692">
            <v>1</v>
          </cell>
          <cell r="F692">
            <v>0.98</v>
          </cell>
          <cell r="G692">
            <v>1</v>
          </cell>
          <cell r="H692" t="str">
            <v>dr</v>
          </cell>
          <cell r="I692" t="str">
            <v>デュラララ!!</v>
          </cell>
          <cell r="J692">
            <v>1</v>
          </cell>
          <cell r="K692">
            <v>1</v>
          </cell>
          <cell r="L692">
            <v>1</v>
          </cell>
          <cell r="M692" t="str">
            <v>human</v>
          </cell>
          <cell r="N692" t="str">
            <v>ヒューマン</v>
          </cell>
          <cell r="O692">
            <v>0.94</v>
          </cell>
          <cell r="P692">
            <v>0.99</v>
          </cell>
          <cell r="Q692">
            <v>1</v>
          </cell>
          <cell r="R692" t="str">
            <v>Boss</v>
          </cell>
          <cell r="S692">
            <v>5</v>
          </cell>
          <cell r="T692">
            <v>1.3</v>
          </cell>
          <cell r="U692">
            <v>0.8</v>
          </cell>
          <cell r="V692">
            <v>3</v>
          </cell>
          <cell r="W692">
            <v>1</v>
          </cell>
          <cell r="X692">
            <v>30</v>
          </cell>
          <cell r="Y692">
            <v>1.3</v>
          </cell>
          <cell r="Z692">
            <v>1.3</v>
          </cell>
          <cell r="AA692">
            <v>1.1000000000000001</v>
          </cell>
          <cell r="AB692">
            <v>0</v>
          </cell>
        </row>
        <row r="693">
          <cell r="A693">
            <v>692</v>
          </cell>
          <cell r="B693" t="str">
            <v>暗躍する偽帝 黒沼青葉</v>
          </cell>
          <cell r="C693">
            <v>5</v>
          </cell>
          <cell r="D693" t="str">
            <v>blue</v>
          </cell>
          <cell r="E693">
            <v>1</v>
          </cell>
          <cell r="F693">
            <v>0.98</v>
          </cell>
          <cell r="G693">
            <v>1</v>
          </cell>
          <cell r="H693" t="str">
            <v>dr</v>
          </cell>
          <cell r="I693" t="str">
            <v>デュラララ!!</v>
          </cell>
          <cell r="J693">
            <v>1</v>
          </cell>
          <cell r="K693">
            <v>1</v>
          </cell>
          <cell r="L693">
            <v>1</v>
          </cell>
          <cell r="M693" t="str">
            <v>human</v>
          </cell>
          <cell r="N693" t="str">
            <v>ヒューマン</v>
          </cell>
          <cell r="O693">
            <v>0.94</v>
          </cell>
          <cell r="P693">
            <v>0.99</v>
          </cell>
          <cell r="Q693">
            <v>1</v>
          </cell>
          <cell r="R693" t="str">
            <v>Boss</v>
          </cell>
          <cell r="S693">
            <v>5</v>
          </cell>
          <cell r="T693">
            <v>1.3</v>
          </cell>
          <cell r="U693">
            <v>0.8</v>
          </cell>
          <cell r="V693">
            <v>3</v>
          </cell>
          <cell r="W693">
            <v>1</v>
          </cell>
          <cell r="X693">
            <v>60</v>
          </cell>
          <cell r="Y693">
            <v>1.7</v>
          </cell>
          <cell r="Z693">
            <v>1.4</v>
          </cell>
          <cell r="AA693">
            <v>1</v>
          </cell>
          <cell r="AB693">
            <v>0</v>
          </cell>
        </row>
        <row r="694">
          <cell r="A694">
            <v>693</v>
          </cell>
          <cell r="B694" t="str">
            <v>紀田正臣</v>
          </cell>
          <cell r="C694">
            <v>4</v>
          </cell>
          <cell r="D694" t="str">
            <v>yellow</v>
          </cell>
          <cell r="E694">
            <v>0.98</v>
          </cell>
          <cell r="F694">
            <v>1.01</v>
          </cell>
          <cell r="G694">
            <v>1</v>
          </cell>
          <cell r="H694" t="str">
            <v>dr</v>
          </cell>
          <cell r="I694" t="str">
            <v>デュラララ!!</v>
          </cell>
          <cell r="J694">
            <v>1</v>
          </cell>
          <cell r="K694">
            <v>1</v>
          </cell>
          <cell r="L694">
            <v>1</v>
          </cell>
          <cell r="M694" t="str">
            <v>human</v>
          </cell>
          <cell r="N694" t="str">
            <v>ヒューマン</v>
          </cell>
          <cell r="O694">
            <v>0.94</v>
          </cell>
          <cell r="P694">
            <v>0.99</v>
          </cell>
          <cell r="Q694">
            <v>1</v>
          </cell>
          <cell r="R694" t="str">
            <v>Boss</v>
          </cell>
          <cell r="S694">
            <v>5</v>
          </cell>
          <cell r="T694">
            <v>1.3</v>
          </cell>
          <cell r="U694">
            <v>0.8</v>
          </cell>
          <cell r="V694">
            <v>3</v>
          </cell>
          <cell r="W694">
            <v>1</v>
          </cell>
          <cell r="X694">
            <v>30</v>
          </cell>
          <cell r="Y694">
            <v>1.3</v>
          </cell>
          <cell r="Z694">
            <v>1.3</v>
          </cell>
          <cell r="AA694">
            <v>1.1000000000000001</v>
          </cell>
          <cell r="AB694">
            <v>0</v>
          </cell>
        </row>
        <row r="695">
          <cell r="A695">
            <v>694</v>
          </cell>
          <cell r="B695" t="str">
            <v>黄巾賊の将軍 紀田正臣</v>
          </cell>
          <cell r="C695">
            <v>5</v>
          </cell>
          <cell r="D695" t="str">
            <v>yellow</v>
          </cell>
          <cell r="E695">
            <v>0.98</v>
          </cell>
          <cell r="F695">
            <v>1.01</v>
          </cell>
          <cell r="G695">
            <v>1</v>
          </cell>
          <cell r="H695" t="str">
            <v>dr</v>
          </cell>
          <cell r="I695" t="str">
            <v>デュラララ!!</v>
          </cell>
          <cell r="J695">
            <v>1</v>
          </cell>
          <cell r="K695">
            <v>1</v>
          </cell>
          <cell r="L695">
            <v>1</v>
          </cell>
          <cell r="M695" t="str">
            <v>human</v>
          </cell>
          <cell r="N695" t="str">
            <v>ヒューマン</v>
          </cell>
          <cell r="O695">
            <v>0.94</v>
          </cell>
          <cell r="P695">
            <v>0.99</v>
          </cell>
          <cell r="Q695">
            <v>1</v>
          </cell>
          <cell r="R695" t="str">
            <v>Boss</v>
          </cell>
          <cell r="S695">
            <v>5</v>
          </cell>
          <cell r="T695">
            <v>1.3</v>
          </cell>
          <cell r="U695">
            <v>0.8</v>
          </cell>
          <cell r="V695">
            <v>3</v>
          </cell>
          <cell r="W695">
            <v>1</v>
          </cell>
          <cell r="X695">
            <v>60</v>
          </cell>
          <cell r="Y695">
            <v>1.7</v>
          </cell>
          <cell r="Z695">
            <v>1.4</v>
          </cell>
          <cell r="AA695">
            <v>1</v>
          </cell>
          <cell r="AB695">
            <v>0</v>
          </cell>
        </row>
        <row r="696">
          <cell r="A696">
            <v>695</v>
          </cell>
          <cell r="B696" t="str">
            <v>セルティ</v>
          </cell>
          <cell r="C696">
            <v>3</v>
          </cell>
          <cell r="D696" t="str">
            <v>yellow</v>
          </cell>
          <cell r="E696">
            <v>0.98</v>
          </cell>
          <cell r="F696">
            <v>1.01</v>
          </cell>
          <cell r="G696">
            <v>1</v>
          </cell>
          <cell r="H696" t="str">
            <v>dr</v>
          </cell>
          <cell r="I696" t="str">
            <v>デュラララ!!</v>
          </cell>
          <cell r="J696">
            <v>1</v>
          </cell>
          <cell r="K696">
            <v>1</v>
          </cell>
          <cell r="L696">
            <v>1</v>
          </cell>
          <cell r="M696" t="str">
            <v>unknown</v>
          </cell>
          <cell r="N696" t="str">
            <v>Unknown</v>
          </cell>
          <cell r="O696">
            <v>1</v>
          </cell>
          <cell r="P696">
            <v>1</v>
          </cell>
          <cell r="Q696">
            <v>1</v>
          </cell>
          <cell r="R696" t="str">
            <v>Boss</v>
          </cell>
          <cell r="S696">
            <v>5</v>
          </cell>
          <cell r="T696">
            <v>1.3</v>
          </cell>
          <cell r="U696">
            <v>0.8</v>
          </cell>
          <cell r="V696">
            <v>3</v>
          </cell>
          <cell r="W696">
            <v>1</v>
          </cell>
          <cell r="X696">
            <v>25</v>
          </cell>
          <cell r="Y696">
            <v>1.2</v>
          </cell>
          <cell r="Z696">
            <v>1.25</v>
          </cell>
          <cell r="AA696">
            <v>1.1499999999999999</v>
          </cell>
          <cell r="AB696">
            <v>0</v>
          </cell>
        </row>
        <row r="697">
          <cell r="A697">
            <v>696</v>
          </cell>
          <cell r="B697" t="str">
            <v>生きる都市伝説 セルティ</v>
          </cell>
          <cell r="C697">
            <v>4</v>
          </cell>
          <cell r="D697" t="str">
            <v>yellow</v>
          </cell>
          <cell r="E697">
            <v>0.98</v>
          </cell>
          <cell r="F697">
            <v>1.01</v>
          </cell>
          <cell r="G697">
            <v>1</v>
          </cell>
          <cell r="H697" t="str">
            <v>dr</v>
          </cell>
          <cell r="I697" t="str">
            <v>デュラララ!!</v>
          </cell>
          <cell r="J697">
            <v>1</v>
          </cell>
          <cell r="K697">
            <v>1</v>
          </cell>
          <cell r="L697">
            <v>1</v>
          </cell>
          <cell r="M697" t="str">
            <v>unknown</v>
          </cell>
          <cell r="N697" t="str">
            <v>Unknown</v>
          </cell>
          <cell r="O697">
            <v>1</v>
          </cell>
          <cell r="P697">
            <v>1</v>
          </cell>
          <cell r="Q697">
            <v>1</v>
          </cell>
          <cell r="R697" t="str">
            <v>Boss</v>
          </cell>
          <cell r="S697">
            <v>5</v>
          </cell>
          <cell r="T697">
            <v>1.3</v>
          </cell>
          <cell r="U697">
            <v>0.8</v>
          </cell>
          <cell r="V697">
            <v>3</v>
          </cell>
          <cell r="W697">
            <v>1</v>
          </cell>
          <cell r="X697">
            <v>30</v>
          </cell>
          <cell r="Y697">
            <v>1.3</v>
          </cell>
          <cell r="Z697">
            <v>1.3</v>
          </cell>
          <cell r="AA697">
            <v>1.1000000000000001</v>
          </cell>
          <cell r="AB697">
            <v>0</v>
          </cell>
        </row>
        <row r="698">
          <cell r="A698">
            <v>697</v>
          </cell>
          <cell r="B698" t="str">
            <v>黒影の首なしライダー セルティ</v>
          </cell>
          <cell r="C698">
            <v>5</v>
          </cell>
          <cell r="D698" t="str">
            <v>yellow</v>
          </cell>
          <cell r="E698">
            <v>0.98</v>
          </cell>
          <cell r="F698">
            <v>1.01</v>
          </cell>
          <cell r="G698">
            <v>1</v>
          </cell>
          <cell r="H698" t="str">
            <v>dr</v>
          </cell>
          <cell r="I698" t="str">
            <v>デュラララ!!</v>
          </cell>
          <cell r="J698">
            <v>1</v>
          </cell>
          <cell r="K698">
            <v>1</v>
          </cell>
          <cell r="L698">
            <v>1</v>
          </cell>
          <cell r="M698" t="str">
            <v>unknown</v>
          </cell>
          <cell r="N698" t="str">
            <v>Unknown</v>
          </cell>
          <cell r="O698">
            <v>1</v>
          </cell>
          <cell r="P698">
            <v>1</v>
          </cell>
          <cell r="Q698">
            <v>1</v>
          </cell>
          <cell r="R698" t="str">
            <v>Boss</v>
          </cell>
          <cell r="S698">
            <v>5</v>
          </cell>
          <cell r="T698">
            <v>1.3</v>
          </cell>
          <cell r="U698">
            <v>0.8</v>
          </cell>
          <cell r="V698">
            <v>3</v>
          </cell>
          <cell r="W698">
            <v>1</v>
          </cell>
          <cell r="X698">
            <v>60</v>
          </cell>
          <cell r="Y698">
            <v>1.7</v>
          </cell>
          <cell r="Z698">
            <v>1.4</v>
          </cell>
          <cell r="AA698">
            <v>1</v>
          </cell>
          <cell r="AB698">
            <v>0</v>
          </cell>
        </row>
        <row r="699">
          <cell r="A699">
            <v>698</v>
          </cell>
          <cell r="B699" t="str">
            <v>園原杏里</v>
          </cell>
          <cell r="C699">
            <v>5</v>
          </cell>
          <cell r="D699" t="str">
            <v>red</v>
          </cell>
          <cell r="E699">
            <v>1</v>
          </cell>
          <cell r="F699">
            <v>1.02</v>
          </cell>
          <cell r="G699">
            <v>1</v>
          </cell>
          <cell r="H699" t="str">
            <v>dr</v>
          </cell>
          <cell r="I699" t="str">
            <v>デュラララ!!</v>
          </cell>
          <cell r="J699">
            <v>1</v>
          </cell>
          <cell r="K699">
            <v>1</v>
          </cell>
          <cell r="L699">
            <v>1</v>
          </cell>
          <cell r="M699" t="str">
            <v>human</v>
          </cell>
          <cell r="N699" t="str">
            <v>ヒューマン</v>
          </cell>
          <cell r="O699">
            <v>0.94</v>
          </cell>
          <cell r="P699">
            <v>0.99</v>
          </cell>
          <cell r="Q699">
            <v>1</v>
          </cell>
          <cell r="R699" t="str">
            <v>Boss</v>
          </cell>
          <cell r="S699">
            <v>5</v>
          </cell>
          <cell r="T699">
            <v>1.3</v>
          </cell>
          <cell r="U699">
            <v>0.8</v>
          </cell>
          <cell r="V699">
            <v>3</v>
          </cell>
          <cell r="W699">
            <v>1</v>
          </cell>
          <cell r="X699">
            <v>60</v>
          </cell>
          <cell r="Y699">
            <v>1.7</v>
          </cell>
          <cell r="Z699">
            <v>1.4</v>
          </cell>
          <cell r="AA699">
            <v>1</v>
          </cell>
          <cell r="AB699">
            <v>0</v>
          </cell>
        </row>
        <row r="700">
          <cell r="A700">
            <v>699</v>
          </cell>
          <cell r="B700" t="str">
            <v>依存の母愛　園原杏里</v>
          </cell>
          <cell r="C700">
            <v>6</v>
          </cell>
          <cell r="D700" t="str">
            <v>red</v>
          </cell>
          <cell r="E700">
            <v>1</v>
          </cell>
          <cell r="F700">
            <v>1.02</v>
          </cell>
          <cell r="G700">
            <v>1</v>
          </cell>
          <cell r="H700" t="str">
            <v>dr</v>
          </cell>
          <cell r="I700" t="str">
            <v>デュラララ!!</v>
          </cell>
          <cell r="J700">
            <v>1</v>
          </cell>
          <cell r="K700">
            <v>1</v>
          </cell>
          <cell r="L700">
            <v>1</v>
          </cell>
          <cell r="M700" t="str">
            <v>human</v>
          </cell>
          <cell r="N700" t="str">
            <v>ヒューマン</v>
          </cell>
          <cell r="O700">
            <v>0.94</v>
          </cell>
          <cell r="P700">
            <v>0.99</v>
          </cell>
          <cell r="Q700">
            <v>1</v>
          </cell>
          <cell r="R700" t="str">
            <v>Boss</v>
          </cell>
          <cell r="S700">
            <v>5</v>
          </cell>
          <cell r="T700">
            <v>1.3</v>
          </cell>
          <cell r="U700">
            <v>0.8</v>
          </cell>
          <cell r="V700">
            <v>3</v>
          </cell>
          <cell r="W700">
            <v>1</v>
          </cell>
          <cell r="X700">
            <v>60</v>
          </cell>
          <cell r="Y700">
            <v>1.7</v>
          </cell>
          <cell r="Z700">
            <v>1.4</v>
          </cell>
          <cell r="AA700">
            <v>1</v>
          </cell>
          <cell r="AB700">
            <v>0</v>
          </cell>
        </row>
        <row r="701">
          <cell r="A701">
            <v>700</v>
          </cell>
          <cell r="B701" t="str">
            <v>折原臨也</v>
          </cell>
          <cell r="C701">
            <v>5</v>
          </cell>
          <cell r="D701" t="str">
            <v>blue</v>
          </cell>
          <cell r="E701">
            <v>1</v>
          </cell>
          <cell r="F701">
            <v>0.98</v>
          </cell>
          <cell r="G701">
            <v>1</v>
          </cell>
          <cell r="H701" t="str">
            <v>dr</v>
          </cell>
          <cell r="I701" t="str">
            <v>デュラララ!!</v>
          </cell>
          <cell r="J701">
            <v>1</v>
          </cell>
          <cell r="K701">
            <v>1</v>
          </cell>
          <cell r="L701">
            <v>1</v>
          </cell>
          <cell r="M701" t="str">
            <v>human</v>
          </cell>
          <cell r="N701" t="str">
            <v>ヒューマン</v>
          </cell>
          <cell r="O701">
            <v>0.94</v>
          </cell>
          <cell r="P701">
            <v>0.99</v>
          </cell>
          <cell r="Q701">
            <v>1</v>
          </cell>
          <cell r="R701" t="str">
            <v>Boss</v>
          </cell>
          <cell r="S701">
            <v>5</v>
          </cell>
          <cell r="T701">
            <v>1.3</v>
          </cell>
          <cell r="U701">
            <v>0.8</v>
          </cell>
          <cell r="V701">
            <v>3</v>
          </cell>
          <cell r="W701">
            <v>1</v>
          </cell>
          <cell r="X701">
            <v>60</v>
          </cell>
          <cell r="Y701">
            <v>1.7</v>
          </cell>
          <cell r="Z701">
            <v>1.4</v>
          </cell>
          <cell r="AA701">
            <v>1</v>
          </cell>
          <cell r="AB701">
            <v>0</v>
          </cell>
        </row>
        <row r="702">
          <cell r="A702">
            <v>701</v>
          </cell>
          <cell r="B702" t="str">
            <v>謀略の情報屋 折原臨也</v>
          </cell>
          <cell r="C702">
            <v>6</v>
          </cell>
          <cell r="D702" t="str">
            <v>blue</v>
          </cell>
          <cell r="E702">
            <v>1</v>
          </cell>
          <cell r="F702">
            <v>0.98</v>
          </cell>
          <cell r="G702">
            <v>1</v>
          </cell>
          <cell r="H702" t="str">
            <v>dr</v>
          </cell>
          <cell r="I702" t="str">
            <v>デュラララ!!</v>
          </cell>
          <cell r="J702">
            <v>1</v>
          </cell>
          <cell r="K702">
            <v>1</v>
          </cell>
          <cell r="L702">
            <v>1</v>
          </cell>
          <cell r="M702" t="str">
            <v>human</v>
          </cell>
          <cell r="N702" t="str">
            <v>ヒューマン</v>
          </cell>
          <cell r="O702">
            <v>0.94</v>
          </cell>
          <cell r="P702">
            <v>0.99</v>
          </cell>
          <cell r="Q702">
            <v>1</v>
          </cell>
          <cell r="R702" t="str">
            <v>Boss</v>
          </cell>
          <cell r="S702">
            <v>5</v>
          </cell>
          <cell r="T702">
            <v>1.3</v>
          </cell>
          <cell r="U702">
            <v>0.8</v>
          </cell>
          <cell r="V702">
            <v>3</v>
          </cell>
          <cell r="W702">
            <v>1</v>
          </cell>
          <cell r="X702">
            <v>60</v>
          </cell>
          <cell r="Y702">
            <v>1.7</v>
          </cell>
          <cell r="Z702">
            <v>1.4</v>
          </cell>
          <cell r="AA702">
            <v>1</v>
          </cell>
          <cell r="AB702">
            <v>0</v>
          </cell>
        </row>
        <row r="703">
          <cell r="A703">
            <v>702</v>
          </cell>
          <cell r="B703" t="str">
            <v>サイモン</v>
          </cell>
          <cell r="C703">
            <v>4</v>
          </cell>
          <cell r="D703" t="str">
            <v>red</v>
          </cell>
          <cell r="E703">
            <v>1</v>
          </cell>
          <cell r="F703">
            <v>1.02</v>
          </cell>
          <cell r="G703">
            <v>1</v>
          </cell>
          <cell r="H703" t="str">
            <v>dr</v>
          </cell>
          <cell r="I703" t="str">
            <v>デュラララ!!</v>
          </cell>
          <cell r="J703">
            <v>1</v>
          </cell>
          <cell r="K703">
            <v>1</v>
          </cell>
          <cell r="L703">
            <v>1</v>
          </cell>
          <cell r="M703" t="str">
            <v>human</v>
          </cell>
          <cell r="N703" t="str">
            <v>ヒューマン</v>
          </cell>
          <cell r="O703">
            <v>0.94</v>
          </cell>
          <cell r="P703">
            <v>0.99</v>
          </cell>
          <cell r="Q703">
            <v>1</v>
          </cell>
          <cell r="R703" t="str">
            <v>Boss</v>
          </cell>
          <cell r="S703">
            <v>5</v>
          </cell>
          <cell r="T703">
            <v>1.3</v>
          </cell>
          <cell r="U703">
            <v>0.8</v>
          </cell>
          <cell r="V703">
            <v>3</v>
          </cell>
          <cell r="W703">
            <v>1</v>
          </cell>
          <cell r="X703">
            <v>30</v>
          </cell>
          <cell r="Y703">
            <v>1.3</v>
          </cell>
          <cell r="Z703">
            <v>1.3</v>
          </cell>
          <cell r="AA703">
            <v>1.1000000000000001</v>
          </cell>
          <cell r="AB703">
            <v>0</v>
          </cell>
        </row>
        <row r="704">
          <cell r="A704">
            <v>703</v>
          </cell>
          <cell r="B704" t="str">
            <v>豪腕静穏な寿司屋 サイモン</v>
          </cell>
          <cell r="C704">
            <v>5</v>
          </cell>
          <cell r="D704" t="str">
            <v>red</v>
          </cell>
          <cell r="E704">
            <v>1</v>
          </cell>
          <cell r="F704">
            <v>1.02</v>
          </cell>
          <cell r="G704">
            <v>1</v>
          </cell>
          <cell r="H704" t="str">
            <v>dr</v>
          </cell>
          <cell r="I704" t="str">
            <v>デュラララ!!</v>
          </cell>
          <cell r="J704">
            <v>1</v>
          </cell>
          <cell r="K704">
            <v>1</v>
          </cell>
          <cell r="L704">
            <v>1</v>
          </cell>
          <cell r="M704" t="str">
            <v>human</v>
          </cell>
          <cell r="N704" t="str">
            <v>ヒューマン</v>
          </cell>
          <cell r="O704">
            <v>0.94</v>
          </cell>
          <cell r="P704">
            <v>0.99</v>
          </cell>
          <cell r="Q704">
            <v>1</v>
          </cell>
          <cell r="R704" t="str">
            <v>Boss</v>
          </cell>
          <cell r="S704">
            <v>5</v>
          </cell>
          <cell r="T704">
            <v>1.3</v>
          </cell>
          <cell r="U704">
            <v>0.8</v>
          </cell>
          <cell r="V704">
            <v>3</v>
          </cell>
          <cell r="W704">
            <v>1</v>
          </cell>
          <cell r="X704">
            <v>60</v>
          </cell>
          <cell r="Y704">
            <v>1.7</v>
          </cell>
          <cell r="Z704">
            <v>1.4</v>
          </cell>
          <cell r="AA704">
            <v>1</v>
          </cell>
          <cell r="AB704">
            <v>0</v>
          </cell>
        </row>
        <row r="705">
          <cell r="A705">
            <v>704</v>
          </cell>
          <cell r="B705" t="str">
            <v>贄川春奈</v>
          </cell>
          <cell r="C705">
            <v>3</v>
          </cell>
          <cell r="D705" t="str">
            <v>red</v>
          </cell>
          <cell r="E705">
            <v>1</v>
          </cell>
          <cell r="F705">
            <v>1.02</v>
          </cell>
          <cell r="G705">
            <v>1</v>
          </cell>
          <cell r="H705" t="str">
            <v>dr</v>
          </cell>
          <cell r="I705" t="str">
            <v>デュラララ!!</v>
          </cell>
          <cell r="J705">
            <v>1</v>
          </cell>
          <cell r="K705">
            <v>1</v>
          </cell>
          <cell r="L705">
            <v>1</v>
          </cell>
          <cell r="M705" t="str">
            <v>human</v>
          </cell>
          <cell r="N705" t="str">
            <v>ヒューマン</v>
          </cell>
          <cell r="O705">
            <v>0.94</v>
          </cell>
          <cell r="P705">
            <v>0.99</v>
          </cell>
          <cell r="Q705">
            <v>1</v>
          </cell>
          <cell r="R705" t="str">
            <v>Boss</v>
          </cell>
          <cell r="S705">
            <v>5</v>
          </cell>
          <cell r="T705">
            <v>1.3</v>
          </cell>
          <cell r="U705">
            <v>0.8</v>
          </cell>
          <cell r="V705">
            <v>3</v>
          </cell>
          <cell r="W705">
            <v>1</v>
          </cell>
          <cell r="X705">
            <v>25</v>
          </cell>
          <cell r="Y705">
            <v>1.2</v>
          </cell>
          <cell r="Z705">
            <v>1.25</v>
          </cell>
          <cell r="AA705">
            <v>1.1499999999999999</v>
          </cell>
          <cell r="AB705">
            <v>0</v>
          </cell>
        </row>
        <row r="706">
          <cell r="A706">
            <v>705</v>
          </cell>
          <cell r="B706" t="str">
            <v>狂愛なる罪歌の子　贄川春奈</v>
          </cell>
          <cell r="C706">
            <v>4</v>
          </cell>
          <cell r="D706" t="str">
            <v>red</v>
          </cell>
          <cell r="E706">
            <v>1</v>
          </cell>
          <cell r="F706">
            <v>1.02</v>
          </cell>
          <cell r="G706">
            <v>1</v>
          </cell>
          <cell r="H706" t="str">
            <v>dr</v>
          </cell>
          <cell r="I706" t="str">
            <v>デュラララ!!</v>
          </cell>
          <cell r="J706">
            <v>1</v>
          </cell>
          <cell r="K706">
            <v>1</v>
          </cell>
          <cell r="L706">
            <v>1</v>
          </cell>
          <cell r="M706" t="str">
            <v>human</v>
          </cell>
          <cell r="N706" t="str">
            <v>ヒューマン</v>
          </cell>
          <cell r="O706">
            <v>0.94</v>
          </cell>
          <cell r="P706">
            <v>0.99</v>
          </cell>
          <cell r="Q706">
            <v>1</v>
          </cell>
          <cell r="R706" t="str">
            <v>Boss</v>
          </cell>
          <cell r="S706">
            <v>5</v>
          </cell>
          <cell r="T706">
            <v>1.3</v>
          </cell>
          <cell r="U706">
            <v>0.8</v>
          </cell>
          <cell r="V706">
            <v>3</v>
          </cell>
          <cell r="W706">
            <v>1</v>
          </cell>
          <cell r="X706">
            <v>30</v>
          </cell>
          <cell r="Y706">
            <v>1.3</v>
          </cell>
          <cell r="Z706">
            <v>1.3</v>
          </cell>
          <cell r="AA706">
            <v>1.1000000000000001</v>
          </cell>
          <cell r="AB706">
            <v>0</v>
          </cell>
        </row>
        <row r="707">
          <cell r="A707">
            <v>706</v>
          </cell>
          <cell r="B707" t="str">
            <v>岸谷新羅</v>
          </cell>
          <cell r="C707">
            <v>4</v>
          </cell>
          <cell r="D707" t="str">
            <v>green</v>
          </cell>
          <cell r="E707">
            <v>1.02</v>
          </cell>
          <cell r="F707">
            <v>0.98</v>
          </cell>
          <cell r="G707">
            <v>1</v>
          </cell>
          <cell r="H707" t="str">
            <v>dr</v>
          </cell>
          <cell r="I707" t="str">
            <v>デュラララ!!</v>
          </cell>
          <cell r="J707">
            <v>1</v>
          </cell>
          <cell r="K707">
            <v>1</v>
          </cell>
          <cell r="L707">
            <v>1</v>
          </cell>
          <cell r="M707" t="str">
            <v>human</v>
          </cell>
          <cell r="N707" t="str">
            <v>ヒューマン</v>
          </cell>
          <cell r="O707">
            <v>0.94</v>
          </cell>
          <cell r="P707">
            <v>0.99</v>
          </cell>
          <cell r="Q707">
            <v>1</v>
          </cell>
          <cell r="R707" t="str">
            <v>Boss</v>
          </cell>
          <cell r="S707">
            <v>5</v>
          </cell>
          <cell r="T707">
            <v>1.3</v>
          </cell>
          <cell r="U707">
            <v>0.8</v>
          </cell>
          <cell r="V707">
            <v>3</v>
          </cell>
          <cell r="W707">
            <v>1</v>
          </cell>
          <cell r="X707">
            <v>30</v>
          </cell>
          <cell r="Y707">
            <v>1.3</v>
          </cell>
          <cell r="Z707">
            <v>1.3</v>
          </cell>
          <cell r="AA707">
            <v>1.1000000000000001</v>
          </cell>
          <cell r="AB707">
            <v>0</v>
          </cell>
        </row>
        <row r="708">
          <cell r="A708">
            <v>707</v>
          </cell>
          <cell r="B708" t="str">
            <v>愛月撤灯の闇医者 岸谷新羅</v>
          </cell>
          <cell r="C708">
            <v>5</v>
          </cell>
          <cell r="D708" t="str">
            <v>green</v>
          </cell>
          <cell r="E708">
            <v>1.02</v>
          </cell>
          <cell r="F708">
            <v>0.98</v>
          </cell>
          <cell r="G708">
            <v>1</v>
          </cell>
          <cell r="H708" t="str">
            <v>dr</v>
          </cell>
          <cell r="I708" t="str">
            <v>デュラララ!!</v>
          </cell>
          <cell r="J708">
            <v>1</v>
          </cell>
          <cell r="K708">
            <v>1</v>
          </cell>
          <cell r="L708">
            <v>1</v>
          </cell>
          <cell r="M708" t="str">
            <v>human</v>
          </cell>
          <cell r="N708" t="str">
            <v>ヒューマン</v>
          </cell>
          <cell r="O708">
            <v>0.94</v>
          </cell>
          <cell r="P708">
            <v>0.99</v>
          </cell>
          <cell r="Q708">
            <v>1</v>
          </cell>
          <cell r="R708" t="str">
            <v>Boss</v>
          </cell>
          <cell r="S708">
            <v>5</v>
          </cell>
          <cell r="T708">
            <v>1.3</v>
          </cell>
          <cell r="U708">
            <v>0.8</v>
          </cell>
          <cell r="V708">
            <v>3</v>
          </cell>
          <cell r="W708">
            <v>1</v>
          </cell>
          <cell r="X708">
            <v>60</v>
          </cell>
          <cell r="Y708">
            <v>1.7</v>
          </cell>
          <cell r="Z708">
            <v>1.4</v>
          </cell>
          <cell r="AA708">
            <v>1</v>
          </cell>
          <cell r="AB708">
            <v>0</v>
          </cell>
        </row>
        <row r="709">
          <cell r="A709">
            <v>708</v>
          </cell>
          <cell r="B709" t="str">
            <v>門田京平</v>
          </cell>
          <cell r="C709">
            <v>3</v>
          </cell>
          <cell r="D709" t="str">
            <v>green</v>
          </cell>
          <cell r="E709">
            <v>1.02</v>
          </cell>
          <cell r="F709">
            <v>0.98</v>
          </cell>
          <cell r="G709">
            <v>1</v>
          </cell>
          <cell r="H709" t="str">
            <v>dr</v>
          </cell>
          <cell r="I709" t="str">
            <v>デュラララ!!</v>
          </cell>
          <cell r="J709">
            <v>1</v>
          </cell>
          <cell r="K709">
            <v>1</v>
          </cell>
          <cell r="L709">
            <v>1</v>
          </cell>
          <cell r="M709" t="str">
            <v>human</v>
          </cell>
          <cell r="N709" t="str">
            <v>ヒューマン</v>
          </cell>
          <cell r="O709">
            <v>0.94</v>
          </cell>
          <cell r="P709">
            <v>0.99</v>
          </cell>
          <cell r="Q709">
            <v>1</v>
          </cell>
          <cell r="R709" t="str">
            <v>Boss</v>
          </cell>
          <cell r="S709">
            <v>5</v>
          </cell>
          <cell r="T709">
            <v>1.3</v>
          </cell>
          <cell r="U709">
            <v>0.8</v>
          </cell>
          <cell r="V709">
            <v>3</v>
          </cell>
          <cell r="W709">
            <v>1</v>
          </cell>
          <cell r="X709">
            <v>25</v>
          </cell>
          <cell r="Y709">
            <v>1.2</v>
          </cell>
          <cell r="Z709">
            <v>1.25</v>
          </cell>
          <cell r="AA709">
            <v>1.1499999999999999</v>
          </cell>
          <cell r="AB709">
            <v>0</v>
          </cell>
        </row>
        <row r="710">
          <cell r="A710">
            <v>709</v>
          </cell>
          <cell r="B710" t="str">
            <v>不穢の抑止力　門田京平</v>
          </cell>
          <cell r="C710">
            <v>4</v>
          </cell>
          <cell r="D710" t="str">
            <v>green</v>
          </cell>
          <cell r="E710">
            <v>1.02</v>
          </cell>
          <cell r="F710">
            <v>0.98</v>
          </cell>
          <cell r="G710">
            <v>1</v>
          </cell>
          <cell r="H710" t="str">
            <v>dr</v>
          </cell>
          <cell r="I710" t="str">
            <v>デュラララ!!</v>
          </cell>
          <cell r="J710">
            <v>1</v>
          </cell>
          <cell r="K710">
            <v>1</v>
          </cell>
          <cell r="L710">
            <v>1</v>
          </cell>
          <cell r="M710" t="str">
            <v>human</v>
          </cell>
          <cell r="N710" t="str">
            <v>ヒューマン</v>
          </cell>
          <cell r="O710">
            <v>0.94</v>
          </cell>
          <cell r="P710">
            <v>0.99</v>
          </cell>
          <cell r="Q710">
            <v>1</v>
          </cell>
          <cell r="R710" t="str">
            <v>Boss</v>
          </cell>
          <cell r="S710">
            <v>5</v>
          </cell>
          <cell r="T710">
            <v>1.3</v>
          </cell>
          <cell r="U710">
            <v>0.8</v>
          </cell>
          <cell r="V710">
            <v>3</v>
          </cell>
          <cell r="W710">
            <v>1</v>
          </cell>
          <cell r="X710">
            <v>30</v>
          </cell>
          <cell r="Y710">
            <v>1.3</v>
          </cell>
          <cell r="Z710">
            <v>1.3</v>
          </cell>
          <cell r="AA710">
            <v>1.1000000000000001</v>
          </cell>
          <cell r="AB710">
            <v>0</v>
          </cell>
        </row>
        <row r="711">
          <cell r="A711">
            <v>710</v>
          </cell>
          <cell r="B711" t="str">
            <v>田中トム</v>
          </cell>
          <cell r="C711">
            <v>3</v>
          </cell>
          <cell r="D711" t="str">
            <v>green</v>
          </cell>
          <cell r="E711">
            <v>1.02</v>
          </cell>
          <cell r="F711">
            <v>0.98</v>
          </cell>
          <cell r="G711">
            <v>1</v>
          </cell>
          <cell r="H711" t="str">
            <v>dr</v>
          </cell>
          <cell r="I711" t="str">
            <v>デュラララ!!</v>
          </cell>
          <cell r="J711">
            <v>1</v>
          </cell>
          <cell r="K711">
            <v>1</v>
          </cell>
          <cell r="L711">
            <v>1</v>
          </cell>
          <cell r="M711" t="str">
            <v>human</v>
          </cell>
          <cell r="N711" t="str">
            <v>ヒューマン</v>
          </cell>
          <cell r="O711">
            <v>0.94</v>
          </cell>
          <cell r="P711">
            <v>0.99</v>
          </cell>
          <cell r="Q711">
            <v>1</v>
          </cell>
          <cell r="R711" t="str">
            <v>Boss</v>
          </cell>
          <cell r="S711">
            <v>5</v>
          </cell>
          <cell r="T711">
            <v>1.3</v>
          </cell>
          <cell r="U711">
            <v>0.8</v>
          </cell>
          <cell r="V711">
            <v>3</v>
          </cell>
          <cell r="W711">
            <v>1</v>
          </cell>
          <cell r="X711">
            <v>25</v>
          </cell>
          <cell r="Y711">
            <v>1.2</v>
          </cell>
          <cell r="Z711">
            <v>1.25</v>
          </cell>
          <cell r="AA711">
            <v>1.1499999999999999</v>
          </cell>
          <cell r="AB711">
            <v>0</v>
          </cell>
        </row>
        <row r="712">
          <cell r="A712">
            <v>711</v>
          </cell>
          <cell r="B712" t="str">
            <v>平衡調和の取り立て屋　田中トム</v>
          </cell>
          <cell r="C712">
            <v>4</v>
          </cell>
          <cell r="D712" t="str">
            <v>green</v>
          </cell>
          <cell r="E712">
            <v>1.02</v>
          </cell>
          <cell r="F712">
            <v>0.98</v>
          </cell>
          <cell r="G712">
            <v>1</v>
          </cell>
          <cell r="H712" t="str">
            <v>dr</v>
          </cell>
          <cell r="I712" t="str">
            <v>デュラララ!!</v>
          </cell>
          <cell r="J712">
            <v>1</v>
          </cell>
          <cell r="K712">
            <v>1</v>
          </cell>
          <cell r="L712">
            <v>1</v>
          </cell>
          <cell r="M712" t="str">
            <v>human</v>
          </cell>
          <cell r="N712" t="str">
            <v>ヒューマン</v>
          </cell>
          <cell r="O712">
            <v>0.94</v>
          </cell>
          <cell r="P712">
            <v>0.99</v>
          </cell>
          <cell r="Q712">
            <v>1</v>
          </cell>
          <cell r="R712" t="str">
            <v>Boss</v>
          </cell>
          <cell r="S712">
            <v>5</v>
          </cell>
          <cell r="T712">
            <v>1.3</v>
          </cell>
          <cell r="U712">
            <v>0.8</v>
          </cell>
          <cell r="V712">
            <v>3</v>
          </cell>
          <cell r="W712">
            <v>1</v>
          </cell>
          <cell r="X712">
            <v>30</v>
          </cell>
          <cell r="Y712">
            <v>1.3</v>
          </cell>
          <cell r="Z712">
            <v>1.3</v>
          </cell>
          <cell r="AA712">
            <v>1.1000000000000001</v>
          </cell>
          <cell r="AB712">
            <v>0</v>
          </cell>
        </row>
        <row r="713">
          <cell r="A713">
            <v>712</v>
          </cell>
          <cell r="B713" t="str">
            <v>竜ヶ峰帝人</v>
          </cell>
          <cell r="C713">
            <v>5</v>
          </cell>
          <cell r="D713" t="str">
            <v>blue</v>
          </cell>
          <cell r="E713">
            <v>1</v>
          </cell>
          <cell r="F713">
            <v>0.98</v>
          </cell>
          <cell r="G713">
            <v>1</v>
          </cell>
          <cell r="H713" t="str">
            <v>dr</v>
          </cell>
          <cell r="I713" t="str">
            <v>デュラララ!!</v>
          </cell>
          <cell r="J713">
            <v>1</v>
          </cell>
          <cell r="K713">
            <v>1</v>
          </cell>
          <cell r="L713">
            <v>1</v>
          </cell>
          <cell r="M713" t="str">
            <v>human</v>
          </cell>
          <cell r="N713" t="str">
            <v>ヒューマン</v>
          </cell>
          <cell r="O713">
            <v>0.94</v>
          </cell>
          <cell r="P713">
            <v>0.99</v>
          </cell>
          <cell r="Q713">
            <v>1</v>
          </cell>
          <cell r="R713" t="str">
            <v>Boss</v>
          </cell>
          <cell r="S713">
            <v>5</v>
          </cell>
          <cell r="T713">
            <v>1.3</v>
          </cell>
          <cell r="U713">
            <v>0.8</v>
          </cell>
          <cell r="V713">
            <v>3</v>
          </cell>
          <cell r="W713">
            <v>1</v>
          </cell>
          <cell r="X713">
            <v>60</v>
          </cell>
          <cell r="Y713">
            <v>1.7</v>
          </cell>
          <cell r="Z713">
            <v>1.4</v>
          </cell>
          <cell r="AA713">
            <v>1</v>
          </cell>
          <cell r="AB713">
            <v>0</v>
          </cell>
        </row>
        <row r="714">
          <cell r="A714">
            <v>713</v>
          </cell>
          <cell r="B714" t="str">
            <v>始まりの創始者　竜ヶ峰帝人</v>
          </cell>
          <cell r="C714">
            <v>6</v>
          </cell>
          <cell r="D714" t="str">
            <v>blue</v>
          </cell>
          <cell r="E714">
            <v>1</v>
          </cell>
          <cell r="F714">
            <v>0.98</v>
          </cell>
          <cell r="G714">
            <v>1</v>
          </cell>
          <cell r="H714" t="str">
            <v>dr</v>
          </cell>
          <cell r="I714" t="str">
            <v>デュラララ!!</v>
          </cell>
          <cell r="J714">
            <v>1</v>
          </cell>
          <cell r="K714">
            <v>1</v>
          </cell>
          <cell r="L714">
            <v>1</v>
          </cell>
          <cell r="M714" t="str">
            <v>human</v>
          </cell>
          <cell r="N714" t="str">
            <v>ヒューマン</v>
          </cell>
          <cell r="O714">
            <v>0.94</v>
          </cell>
          <cell r="P714">
            <v>0.99</v>
          </cell>
          <cell r="Q714">
            <v>1</v>
          </cell>
          <cell r="R714" t="str">
            <v>Boss</v>
          </cell>
          <cell r="S714">
            <v>5</v>
          </cell>
          <cell r="T714">
            <v>1.3</v>
          </cell>
          <cell r="U714">
            <v>0.8</v>
          </cell>
          <cell r="V714">
            <v>3</v>
          </cell>
          <cell r="W714">
            <v>1</v>
          </cell>
          <cell r="X714">
            <v>60</v>
          </cell>
          <cell r="Y714">
            <v>1.7</v>
          </cell>
          <cell r="Z714">
            <v>1.4</v>
          </cell>
          <cell r="AA714">
            <v>1</v>
          </cell>
          <cell r="AB714">
            <v>0</v>
          </cell>
        </row>
        <row r="715">
          <cell r="A715">
            <v>714</v>
          </cell>
          <cell r="B715" t="str">
            <v>粟楠茜</v>
          </cell>
          <cell r="C715">
            <v>3</v>
          </cell>
          <cell r="D715" t="str">
            <v>blue</v>
          </cell>
          <cell r="E715">
            <v>1</v>
          </cell>
          <cell r="F715">
            <v>0.98</v>
          </cell>
          <cell r="G715">
            <v>1</v>
          </cell>
          <cell r="H715" t="str">
            <v>dr</v>
          </cell>
          <cell r="I715" t="str">
            <v>デュラララ!!</v>
          </cell>
          <cell r="J715">
            <v>1</v>
          </cell>
          <cell r="K715">
            <v>1</v>
          </cell>
          <cell r="L715">
            <v>1</v>
          </cell>
          <cell r="M715" t="str">
            <v>human</v>
          </cell>
          <cell r="N715" t="str">
            <v>ヒューマン</v>
          </cell>
          <cell r="O715">
            <v>0.94</v>
          </cell>
          <cell r="P715">
            <v>0.99</v>
          </cell>
          <cell r="Q715">
            <v>1</v>
          </cell>
          <cell r="R715" t="str">
            <v>Boss</v>
          </cell>
          <cell r="S715">
            <v>5</v>
          </cell>
          <cell r="T715">
            <v>1.3</v>
          </cell>
          <cell r="U715">
            <v>0.8</v>
          </cell>
          <cell r="V715">
            <v>3</v>
          </cell>
          <cell r="W715">
            <v>1</v>
          </cell>
          <cell r="X715">
            <v>25</v>
          </cell>
          <cell r="Y715">
            <v>1.2</v>
          </cell>
          <cell r="Z715">
            <v>1.25</v>
          </cell>
          <cell r="AA715">
            <v>1.1499999999999999</v>
          </cell>
          <cell r="AB715">
            <v>0</v>
          </cell>
        </row>
        <row r="716">
          <cell r="A716">
            <v>715</v>
          </cell>
          <cell r="B716" t="str">
            <v>小さな殺し屋　粟楠茜</v>
          </cell>
          <cell r="C716">
            <v>4</v>
          </cell>
          <cell r="D716" t="str">
            <v>blue</v>
          </cell>
          <cell r="E716">
            <v>1</v>
          </cell>
          <cell r="F716">
            <v>0.98</v>
          </cell>
          <cell r="G716">
            <v>1</v>
          </cell>
          <cell r="H716" t="str">
            <v>dr</v>
          </cell>
          <cell r="I716" t="str">
            <v>デュラララ!!</v>
          </cell>
          <cell r="J716">
            <v>1</v>
          </cell>
          <cell r="K716">
            <v>1</v>
          </cell>
          <cell r="L716">
            <v>1</v>
          </cell>
          <cell r="M716" t="str">
            <v>human</v>
          </cell>
          <cell r="N716" t="str">
            <v>ヒューマン</v>
          </cell>
          <cell r="O716">
            <v>0.94</v>
          </cell>
          <cell r="P716">
            <v>0.99</v>
          </cell>
          <cell r="Q716">
            <v>1</v>
          </cell>
          <cell r="R716" t="str">
            <v>Boss</v>
          </cell>
          <cell r="S716">
            <v>5</v>
          </cell>
          <cell r="T716">
            <v>1.3</v>
          </cell>
          <cell r="U716">
            <v>0.8</v>
          </cell>
          <cell r="V716">
            <v>3</v>
          </cell>
          <cell r="W716">
            <v>1</v>
          </cell>
          <cell r="X716">
            <v>30</v>
          </cell>
          <cell r="Y716">
            <v>1.3</v>
          </cell>
          <cell r="Z716">
            <v>1.3</v>
          </cell>
          <cell r="AA716">
            <v>1.1000000000000001</v>
          </cell>
          <cell r="AB716">
            <v>0</v>
          </cell>
        </row>
        <row r="717">
          <cell r="A717">
            <v>716</v>
          </cell>
          <cell r="B717" t="str">
            <v>平和島静雄</v>
          </cell>
          <cell r="C717">
            <v>5</v>
          </cell>
          <cell r="D717" t="str">
            <v>yellow</v>
          </cell>
          <cell r="E717">
            <v>0.98</v>
          </cell>
          <cell r="F717">
            <v>1.01</v>
          </cell>
          <cell r="G717">
            <v>1</v>
          </cell>
          <cell r="H717" t="str">
            <v>dr</v>
          </cell>
          <cell r="I717" t="str">
            <v>デュラララ!!</v>
          </cell>
          <cell r="J717">
            <v>1</v>
          </cell>
          <cell r="K717">
            <v>1</v>
          </cell>
          <cell r="L717">
            <v>1</v>
          </cell>
          <cell r="M717" t="str">
            <v>human</v>
          </cell>
          <cell r="N717" t="str">
            <v>ヒューマン</v>
          </cell>
          <cell r="O717">
            <v>0.94</v>
          </cell>
          <cell r="P717">
            <v>0.99</v>
          </cell>
          <cell r="Q717">
            <v>1</v>
          </cell>
          <cell r="R717" t="str">
            <v>Boss</v>
          </cell>
          <cell r="S717">
            <v>5</v>
          </cell>
          <cell r="T717">
            <v>1.3</v>
          </cell>
          <cell r="U717">
            <v>0.8</v>
          </cell>
          <cell r="V717">
            <v>3</v>
          </cell>
          <cell r="W717">
            <v>1</v>
          </cell>
          <cell r="X717">
            <v>60</v>
          </cell>
          <cell r="Y717">
            <v>1.7</v>
          </cell>
          <cell r="Z717">
            <v>1.4</v>
          </cell>
          <cell r="AA717">
            <v>1</v>
          </cell>
          <cell r="AB717">
            <v>0</v>
          </cell>
        </row>
        <row r="718">
          <cell r="A718">
            <v>717</v>
          </cell>
          <cell r="B718" t="str">
            <v>池袋最強の暴走 平和島静雄</v>
          </cell>
          <cell r="C718">
            <v>6</v>
          </cell>
          <cell r="D718" t="str">
            <v>yellow</v>
          </cell>
          <cell r="E718">
            <v>0.98</v>
          </cell>
          <cell r="F718">
            <v>1.01</v>
          </cell>
          <cell r="G718">
            <v>1</v>
          </cell>
          <cell r="H718" t="str">
            <v>dr</v>
          </cell>
          <cell r="I718" t="str">
            <v>デュラララ!!</v>
          </cell>
          <cell r="J718">
            <v>1</v>
          </cell>
          <cell r="K718">
            <v>1</v>
          </cell>
          <cell r="L718">
            <v>1</v>
          </cell>
          <cell r="M718" t="str">
            <v>human</v>
          </cell>
          <cell r="N718" t="str">
            <v>ヒューマン</v>
          </cell>
          <cell r="O718">
            <v>0.94</v>
          </cell>
          <cell r="P718">
            <v>0.99</v>
          </cell>
          <cell r="Q718">
            <v>1</v>
          </cell>
          <cell r="R718" t="str">
            <v>Boss</v>
          </cell>
          <cell r="S718">
            <v>5</v>
          </cell>
          <cell r="T718">
            <v>1.3</v>
          </cell>
          <cell r="U718">
            <v>0.8</v>
          </cell>
          <cell r="V718">
            <v>3</v>
          </cell>
          <cell r="W718">
            <v>1</v>
          </cell>
          <cell r="X718">
            <v>60</v>
          </cell>
          <cell r="Y718">
            <v>1.7</v>
          </cell>
          <cell r="Z718">
            <v>1.4</v>
          </cell>
          <cell r="AA718">
            <v>1</v>
          </cell>
          <cell r="AB718">
            <v>0</v>
          </cell>
        </row>
        <row r="719">
          <cell r="A719">
            <v>718</v>
          </cell>
          <cell r="B719" t="str">
            <v>ヴァローナ</v>
          </cell>
          <cell r="C719">
            <v>4</v>
          </cell>
          <cell r="D719" t="str">
            <v>yellow</v>
          </cell>
          <cell r="E719">
            <v>0.98</v>
          </cell>
          <cell r="F719">
            <v>1.01</v>
          </cell>
          <cell r="G719">
            <v>1</v>
          </cell>
          <cell r="H719" t="str">
            <v>dr</v>
          </cell>
          <cell r="I719" t="str">
            <v>デュラララ!!</v>
          </cell>
          <cell r="J719">
            <v>1</v>
          </cell>
          <cell r="K719">
            <v>1</v>
          </cell>
          <cell r="L719">
            <v>1</v>
          </cell>
          <cell r="M719" t="str">
            <v>human</v>
          </cell>
          <cell r="N719" t="str">
            <v>ヒューマン</v>
          </cell>
          <cell r="O719">
            <v>0.94</v>
          </cell>
          <cell r="P719">
            <v>0.99</v>
          </cell>
          <cell r="Q719">
            <v>1</v>
          </cell>
          <cell r="R719" t="str">
            <v>Boss</v>
          </cell>
          <cell r="S719">
            <v>5</v>
          </cell>
          <cell r="T719">
            <v>1.3</v>
          </cell>
          <cell r="U719">
            <v>0.8</v>
          </cell>
          <cell r="V719">
            <v>3</v>
          </cell>
          <cell r="W719">
            <v>1</v>
          </cell>
          <cell r="X719">
            <v>30</v>
          </cell>
          <cell r="Y719">
            <v>1.3</v>
          </cell>
          <cell r="Z719">
            <v>1.3</v>
          </cell>
          <cell r="AA719">
            <v>1.1000000000000001</v>
          </cell>
          <cell r="AB719">
            <v>0</v>
          </cell>
        </row>
        <row r="720">
          <cell r="A720">
            <v>719</v>
          </cell>
          <cell r="B720" t="str">
            <v>聡明な戦狂女 ヴァローナ</v>
          </cell>
          <cell r="C720">
            <v>5</v>
          </cell>
          <cell r="D720" t="str">
            <v>yellow</v>
          </cell>
          <cell r="E720">
            <v>0.98</v>
          </cell>
          <cell r="F720">
            <v>1.01</v>
          </cell>
          <cell r="G720">
            <v>1</v>
          </cell>
          <cell r="H720" t="str">
            <v>dr</v>
          </cell>
          <cell r="I720" t="str">
            <v>デュラララ!!</v>
          </cell>
          <cell r="J720">
            <v>1</v>
          </cell>
          <cell r="K720">
            <v>1</v>
          </cell>
          <cell r="L720">
            <v>1</v>
          </cell>
          <cell r="M720" t="str">
            <v>human</v>
          </cell>
          <cell r="N720" t="str">
            <v>ヒューマン</v>
          </cell>
          <cell r="O720">
            <v>0.94</v>
          </cell>
          <cell r="P720">
            <v>0.99</v>
          </cell>
          <cell r="Q720">
            <v>1</v>
          </cell>
          <cell r="R720" t="str">
            <v>Boss</v>
          </cell>
          <cell r="S720">
            <v>5</v>
          </cell>
          <cell r="T720">
            <v>1.3</v>
          </cell>
          <cell r="U720">
            <v>0.8</v>
          </cell>
          <cell r="V720">
            <v>3</v>
          </cell>
          <cell r="W720">
            <v>1</v>
          </cell>
          <cell r="X720">
            <v>60</v>
          </cell>
          <cell r="Y720">
            <v>1.7</v>
          </cell>
          <cell r="Z720">
            <v>1.4</v>
          </cell>
          <cell r="AA720">
            <v>1</v>
          </cell>
          <cell r="AB720">
            <v>0</v>
          </cell>
        </row>
        <row r="721">
          <cell r="A721">
            <v>720</v>
          </cell>
          <cell r="B721" t="str">
            <v>直江兼続</v>
          </cell>
          <cell r="C721">
            <v>4</v>
          </cell>
          <cell r="D721" t="str">
            <v>green</v>
          </cell>
          <cell r="E721">
            <v>1.02</v>
          </cell>
          <cell r="F721">
            <v>0.98</v>
          </cell>
          <cell r="G721">
            <v>1</v>
          </cell>
          <cell r="H721" t="str">
            <v>hp</v>
          </cell>
          <cell r="I721" t="str">
            <v>体力タイプ</v>
          </cell>
          <cell r="J721">
            <v>1.45</v>
          </cell>
          <cell r="K721">
            <v>0.85</v>
          </cell>
          <cell r="L721">
            <v>1</v>
          </cell>
          <cell r="M721" t="str">
            <v>human</v>
          </cell>
          <cell r="N721" t="str">
            <v>ヒューマン</v>
          </cell>
          <cell r="O721">
            <v>0.94</v>
          </cell>
          <cell r="P721">
            <v>0.99</v>
          </cell>
          <cell r="Q721">
            <v>1</v>
          </cell>
          <cell r="R721" t="str">
            <v>Boss</v>
          </cell>
          <cell r="S721">
            <v>5</v>
          </cell>
          <cell r="T721">
            <v>1.3</v>
          </cell>
          <cell r="U721">
            <v>0.8</v>
          </cell>
          <cell r="V721">
            <v>3</v>
          </cell>
          <cell r="W721">
            <v>1</v>
          </cell>
          <cell r="X721">
            <v>30</v>
          </cell>
          <cell r="Y721">
            <v>1.3</v>
          </cell>
          <cell r="Z721">
            <v>1.3</v>
          </cell>
          <cell r="AA721">
            <v>1.1000000000000001</v>
          </cell>
          <cell r="AB721">
            <v>0</v>
          </cell>
        </row>
        <row r="722">
          <cell r="A722">
            <v>721</v>
          </cell>
          <cell r="B722" t="str">
            <v>迎激の愛銃 直江兼続</v>
          </cell>
          <cell r="C722">
            <v>5</v>
          </cell>
          <cell r="D722" t="str">
            <v>green</v>
          </cell>
          <cell r="E722">
            <v>1.02</v>
          </cell>
          <cell r="F722">
            <v>0.98</v>
          </cell>
          <cell r="G722">
            <v>1</v>
          </cell>
          <cell r="H722" t="str">
            <v>hp</v>
          </cell>
          <cell r="I722" t="str">
            <v>体力タイプ</v>
          </cell>
          <cell r="J722">
            <v>1.45</v>
          </cell>
          <cell r="K722">
            <v>0.85</v>
          </cell>
          <cell r="L722">
            <v>1</v>
          </cell>
          <cell r="M722" t="str">
            <v>human</v>
          </cell>
          <cell r="N722" t="str">
            <v>ヒューマン</v>
          </cell>
          <cell r="O722">
            <v>0.94</v>
          </cell>
          <cell r="P722">
            <v>0.99</v>
          </cell>
          <cell r="Q722">
            <v>1</v>
          </cell>
          <cell r="R722" t="str">
            <v>Boss</v>
          </cell>
          <cell r="S722">
            <v>5</v>
          </cell>
          <cell r="T722">
            <v>1.3</v>
          </cell>
          <cell r="U722">
            <v>0.8</v>
          </cell>
          <cell r="V722">
            <v>3</v>
          </cell>
          <cell r="W722">
            <v>1</v>
          </cell>
          <cell r="X722">
            <v>60</v>
          </cell>
          <cell r="Y722">
            <v>1.7</v>
          </cell>
          <cell r="Z722">
            <v>1.4</v>
          </cell>
          <cell r="AA722">
            <v>1</v>
          </cell>
          <cell r="AB722">
            <v>0</v>
          </cell>
        </row>
        <row r="723">
          <cell r="A723">
            <v>722</v>
          </cell>
          <cell r="B723" t="str">
            <v>森蘭丸</v>
          </cell>
          <cell r="C723">
            <v>4</v>
          </cell>
          <cell r="D723" t="str">
            <v>yellow</v>
          </cell>
          <cell r="E723">
            <v>0.98</v>
          </cell>
          <cell r="F723">
            <v>1.01</v>
          </cell>
          <cell r="G723">
            <v>1</v>
          </cell>
          <cell r="H723" t="str">
            <v>balance</v>
          </cell>
          <cell r="I723" t="str">
            <v>バランスタイプ</v>
          </cell>
          <cell r="J723">
            <v>1</v>
          </cell>
          <cell r="K723">
            <v>1</v>
          </cell>
          <cell r="L723">
            <v>1</v>
          </cell>
          <cell r="M723" t="str">
            <v>human</v>
          </cell>
          <cell r="N723" t="str">
            <v>ヒューマン</v>
          </cell>
          <cell r="O723">
            <v>0.94</v>
          </cell>
          <cell r="P723">
            <v>0.99</v>
          </cell>
          <cell r="Q723">
            <v>1</v>
          </cell>
          <cell r="R723" t="str">
            <v>Boss</v>
          </cell>
          <cell r="S723">
            <v>5</v>
          </cell>
          <cell r="T723">
            <v>1.3</v>
          </cell>
          <cell r="U723">
            <v>0.8</v>
          </cell>
          <cell r="V723">
            <v>3</v>
          </cell>
          <cell r="W723">
            <v>1</v>
          </cell>
          <cell r="X723">
            <v>30</v>
          </cell>
          <cell r="Y723">
            <v>1.3</v>
          </cell>
          <cell r="Z723">
            <v>1.3</v>
          </cell>
          <cell r="AA723">
            <v>1.1000000000000001</v>
          </cell>
          <cell r="AB723">
            <v>0</v>
          </cell>
        </row>
        <row r="724">
          <cell r="A724">
            <v>723</v>
          </cell>
          <cell r="B724" t="str">
            <v>萌芽の密心  森蘭丸</v>
          </cell>
          <cell r="C724">
            <v>5</v>
          </cell>
          <cell r="D724" t="str">
            <v>yellow</v>
          </cell>
          <cell r="E724">
            <v>0.98</v>
          </cell>
          <cell r="F724">
            <v>1.01</v>
          </cell>
          <cell r="G724">
            <v>1</v>
          </cell>
          <cell r="H724" t="str">
            <v>balance</v>
          </cell>
          <cell r="I724" t="str">
            <v>バランスタイプ</v>
          </cell>
          <cell r="J724">
            <v>1</v>
          </cell>
          <cell r="K724">
            <v>1</v>
          </cell>
          <cell r="L724">
            <v>1</v>
          </cell>
          <cell r="M724" t="str">
            <v>human</v>
          </cell>
          <cell r="N724" t="str">
            <v>ヒューマン</v>
          </cell>
          <cell r="O724">
            <v>0.94</v>
          </cell>
          <cell r="P724">
            <v>0.99</v>
          </cell>
          <cell r="Q724">
            <v>1</v>
          </cell>
          <cell r="R724" t="str">
            <v>Boss</v>
          </cell>
          <cell r="S724">
            <v>5</v>
          </cell>
          <cell r="T724">
            <v>1.3</v>
          </cell>
          <cell r="U724">
            <v>0.8</v>
          </cell>
          <cell r="V724">
            <v>3</v>
          </cell>
          <cell r="W724">
            <v>1</v>
          </cell>
          <cell r="X724">
            <v>60</v>
          </cell>
          <cell r="Y724">
            <v>1.7</v>
          </cell>
          <cell r="Z724">
            <v>1.4</v>
          </cell>
          <cell r="AA724">
            <v>1</v>
          </cell>
          <cell r="AB724">
            <v>0</v>
          </cell>
        </row>
        <row r="725">
          <cell r="A725">
            <v>724</v>
          </cell>
          <cell r="B725" t="str">
            <v>武田信玄</v>
          </cell>
          <cell r="C725">
            <v>5</v>
          </cell>
          <cell r="D725" t="str">
            <v>red</v>
          </cell>
          <cell r="E725">
            <v>1</v>
          </cell>
          <cell r="F725">
            <v>1.02</v>
          </cell>
          <cell r="G725">
            <v>1</v>
          </cell>
          <cell r="H725" t="str">
            <v>attack</v>
          </cell>
          <cell r="I725" t="str">
            <v>攻撃タイプ</v>
          </cell>
          <cell r="J725">
            <v>1</v>
          </cell>
          <cell r="K725">
            <v>1.33</v>
          </cell>
          <cell r="L725">
            <v>1</v>
          </cell>
          <cell r="M725" t="str">
            <v>human</v>
          </cell>
          <cell r="N725" t="str">
            <v>ヒューマン</v>
          </cell>
          <cell r="O725">
            <v>0.94</v>
          </cell>
          <cell r="P725">
            <v>0.99</v>
          </cell>
          <cell r="Q725">
            <v>1</v>
          </cell>
          <cell r="R725" t="str">
            <v>Boss</v>
          </cell>
          <cell r="S725">
            <v>5</v>
          </cell>
          <cell r="T725">
            <v>1.3</v>
          </cell>
          <cell r="U725">
            <v>0.8</v>
          </cell>
          <cell r="V725">
            <v>3</v>
          </cell>
          <cell r="W725">
            <v>1</v>
          </cell>
          <cell r="X725">
            <v>60</v>
          </cell>
          <cell r="Y725">
            <v>1.7</v>
          </cell>
          <cell r="Z725">
            <v>1.4</v>
          </cell>
          <cell r="AA725">
            <v>1</v>
          </cell>
          <cell r="AB725">
            <v>0</v>
          </cell>
        </row>
        <row r="726">
          <cell r="A726">
            <v>725</v>
          </cell>
          <cell r="B726" t="str">
            <v>泰然の暴虎 武田信玄</v>
          </cell>
          <cell r="C726">
            <v>6</v>
          </cell>
          <cell r="D726" t="str">
            <v>red</v>
          </cell>
          <cell r="E726">
            <v>1</v>
          </cell>
          <cell r="F726">
            <v>1.02</v>
          </cell>
          <cell r="G726">
            <v>1</v>
          </cell>
          <cell r="H726" t="str">
            <v>attack</v>
          </cell>
          <cell r="I726" t="str">
            <v>攻撃タイプ</v>
          </cell>
          <cell r="J726">
            <v>1</v>
          </cell>
          <cell r="K726">
            <v>1.33</v>
          </cell>
          <cell r="L726">
            <v>1</v>
          </cell>
          <cell r="M726" t="str">
            <v>human</v>
          </cell>
          <cell r="N726" t="str">
            <v>ヒューマン</v>
          </cell>
          <cell r="O726">
            <v>0.94</v>
          </cell>
          <cell r="P726">
            <v>0.99</v>
          </cell>
          <cell r="Q726">
            <v>1</v>
          </cell>
          <cell r="R726" t="str">
            <v>Boss</v>
          </cell>
          <cell r="S726">
            <v>5</v>
          </cell>
          <cell r="T726">
            <v>1.3</v>
          </cell>
          <cell r="U726">
            <v>0.8</v>
          </cell>
          <cell r="V726">
            <v>3</v>
          </cell>
          <cell r="W726">
            <v>1</v>
          </cell>
          <cell r="X726">
            <v>60</v>
          </cell>
          <cell r="Y726">
            <v>1.7</v>
          </cell>
          <cell r="Z726">
            <v>1.4</v>
          </cell>
          <cell r="AA726">
            <v>1</v>
          </cell>
          <cell r="AB726">
            <v>0</v>
          </cell>
        </row>
        <row r="727">
          <cell r="A727">
            <v>726</v>
          </cell>
          <cell r="B727" t="str">
            <v>織田信長</v>
          </cell>
          <cell r="C727">
            <v>5</v>
          </cell>
          <cell r="D727" t="str">
            <v>red</v>
          </cell>
          <cell r="E727">
            <v>1</v>
          </cell>
          <cell r="F727">
            <v>1.02</v>
          </cell>
          <cell r="G727">
            <v>1</v>
          </cell>
          <cell r="H727" t="str">
            <v>attack</v>
          </cell>
          <cell r="I727" t="str">
            <v>攻撃タイプ</v>
          </cell>
          <cell r="J727">
            <v>1</v>
          </cell>
          <cell r="K727">
            <v>1.33</v>
          </cell>
          <cell r="L727">
            <v>1</v>
          </cell>
          <cell r="M727" t="str">
            <v>human</v>
          </cell>
          <cell r="N727" t="str">
            <v>ヒューマン</v>
          </cell>
          <cell r="O727">
            <v>0.94</v>
          </cell>
          <cell r="P727">
            <v>0.99</v>
          </cell>
          <cell r="Q727">
            <v>1</v>
          </cell>
          <cell r="R727" t="str">
            <v>Boss</v>
          </cell>
          <cell r="S727">
            <v>5</v>
          </cell>
          <cell r="T727">
            <v>1.3</v>
          </cell>
          <cell r="U727">
            <v>0.8</v>
          </cell>
          <cell r="V727">
            <v>3</v>
          </cell>
          <cell r="W727">
            <v>1</v>
          </cell>
          <cell r="X727">
            <v>60</v>
          </cell>
          <cell r="Y727">
            <v>1.7</v>
          </cell>
          <cell r="Z727">
            <v>1.4</v>
          </cell>
          <cell r="AA727">
            <v>1</v>
          </cell>
          <cell r="AB727">
            <v>0</v>
          </cell>
        </row>
        <row r="728">
          <cell r="A728">
            <v>727</v>
          </cell>
          <cell r="B728" t="str">
            <v>真鋭の征服者 織田信長</v>
          </cell>
          <cell r="C728">
            <v>6</v>
          </cell>
          <cell r="D728" t="str">
            <v>red</v>
          </cell>
          <cell r="E728">
            <v>1</v>
          </cell>
          <cell r="F728">
            <v>1.02</v>
          </cell>
          <cell r="G728">
            <v>1</v>
          </cell>
          <cell r="H728" t="str">
            <v>attack</v>
          </cell>
          <cell r="I728" t="str">
            <v>攻撃タイプ</v>
          </cell>
          <cell r="J728">
            <v>1</v>
          </cell>
          <cell r="K728">
            <v>1.33</v>
          </cell>
          <cell r="L728">
            <v>1</v>
          </cell>
          <cell r="M728" t="str">
            <v>human</v>
          </cell>
          <cell r="N728" t="str">
            <v>ヒューマン</v>
          </cell>
          <cell r="O728">
            <v>0.94</v>
          </cell>
          <cell r="P728">
            <v>0.99</v>
          </cell>
          <cell r="Q728">
            <v>1</v>
          </cell>
          <cell r="R728" t="str">
            <v>Boss</v>
          </cell>
          <cell r="S728">
            <v>5</v>
          </cell>
          <cell r="T728">
            <v>1.3</v>
          </cell>
          <cell r="U728">
            <v>0.8</v>
          </cell>
          <cell r="V728">
            <v>3</v>
          </cell>
          <cell r="W728">
            <v>1</v>
          </cell>
          <cell r="X728">
            <v>60</v>
          </cell>
          <cell r="Y728">
            <v>1.7</v>
          </cell>
          <cell r="Z728">
            <v>1.4</v>
          </cell>
          <cell r="AA728">
            <v>1</v>
          </cell>
          <cell r="AB728">
            <v>0</v>
          </cell>
        </row>
        <row r="729">
          <cell r="A729">
            <v>728</v>
          </cell>
          <cell r="B729" t="str">
            <v>井伊直虎</v>
          </cell>
          <cell r="C729">
            <v>4</v>
          </cell>
          <cell r="D729" t="str">
            <v>red</v>
          </cell>
          <cell r="E729">
            <v>1</v>
          </cell>
          <cell r="F729">
            <v>1.02</v>
          </cell>
          <cell r="G729">
            <v>1</v>
          </cell>
          <cell r="H729" t="str">
            <v>balance</v>
          </cell>
          <cell r="I729" t="str">
            <v>バランスタイプ</v>
          </cell>
          <cell r="J729">
            <v>1</v>
          </cell>
          <cell r="K729">
            <v>1</v>
          </cell>
          <cell r="L729">
            <v>1</v>
          </cell>
          <cell r="M729" t="str">
            <v>human</v>
          </cell>
          <cell r="N729" t="str">
            <v>ヒューマン</v>
          </cell>
          <cell r="O729">
            <v>0.94</v>
          </cell>
          <cell r="P729">
            <v>0.99</v>
          </cell>
          <cell r="Q729">
            <v>1</v>
          </cell>
          <cell r="R729" t="str">
            <v>Boss</v>
          </cell>
          <cell r="S729">
            <v>5</v>
          </cell>
          <cell r="T729">
            <v>1.3</v>
          </cell>
          <cell r="U729">
            <v>0.8</v>
          </cell>
          <cell r="V729">
            <v>3</v>
          </cell>
          <cell r="W729">
            <v>1</v>
          </cell>
          <cell r="X729">
            <v>30</v>
          </cell>
          <cell r="Y729">
            <v>1.3</v>
          </cell>
          <cell r="Z729">
            <v>1.3</v>
          </cell>
          <cell r="AA729">
            <v>1.1000000000000001</v>
          </cell>
          <cell r="AB729">
            <v>0</v>
          </cell>
        </row>
        <row r="730">
          <cell r="A730">
            <v>729</v>
          </cell>
          <cell r="B730" t="str">
            <v>暗厄の双刀 井伊直虎</v>
          </cell>
          <cell r="C730">
            <v>5</v>
          </cell>
          <cell r="D730" t="str">
            <v>red</v>
          </cell>
          <cell r="E730">
            <v>1</v>
          </cell>
          <cell r="F730">
            <v>1.02</v>
          </cell>
          <cell r="G730">
            <v>1</v>
          </cell>
          <cell r="H730" t="str">
            <v>balance</v>
          </cell>
          <cell r="I730" t="str">
            <v>バランスタイプ</v>
          </cell>
          <cell r="J730">
            <v>1</v>
          </cell>
          <cell r="K730">
            <v>1</v>
          </cell>
          <cell r="L730">
            <v>1</v>
          </cell>
          <cell r="M730" t="str">
            <v>human</v>
          </cell>
          <cell r="N730" t="str">
            <v>ヒューマン</v>
          </cell>
          <cell r="O730">
            <v>0.94</v>
          </cell>
          <cell r="P730">
            <v>0.99</v>
          </cell>
          <cell r="Q730">
            <v>1</v>
          </cell>
          <cell r="R730" t="str">
            <v>Boss</v>
          </cell>
          <cell r="S730">
            <v>5</v>
          </cell>
          <cell r="T730">
            <v>1.3</v>
          </cell>
          <cell r="U730">
            <v>0.8</v>
          </cell>
          <cell r="V730">
            <v>3</v>
          </cell>
          <cell r="W730">
            <v>1</v>
          </cell>
          <cell r="X730">
            <v>60</v>
          </cell>
          <cell r="Y730">
            <v>1.7</v>
          </cell>
          <cell r="Z730">
            <v>1.4</v>
          </cell>
          <cell r="AA730">
            <v>1</v>
          </cell>
          <cell r="AB730">
            <v>0</v>
          </cell>
        </row>
        <row r="731">
          <cell r="A731">
            <v>730</v>
          </cell>
          <cell r="B731" t="str">
            <v>ガラシャ</v>
          </cell>
          <cell r="C731">
            <v>4</v>
          </cell>
          <cell r="D731" t="str">
            <v>green</v>
          </cell>
          <cell r="E731">
            <v>1.02</v>
          </cell>
          <cell r="F731">
            <v>0.98</v>
          </cell>
          <cell r="G731">
            <v>1</v>
          </cell>
          <cell r="H731" t="str">
            <v>heal</v>
          </cell>
          <cell r="I731" t="str">
            <v>回復タイプ</v>
          </cell>
          <cell r="J731">
            <v>0.8</v>
          </cell>
          <cell r="K731">
            <v>0.78</v>
          </cell>
          <cell r="L731">
            <v>1</v>
          </cell>
          <cell r="M731" t="str">
            <v>human</v>
          </cell>
          <cell r="N731" t="str">
            <v>ヒューマン</v>
          </cell>
          <cell r="O731">
            <v>0.94</v>
          </cell>
          <cell r="P731">
            <v>0.99</v>
          </cell>
          <cell r="Q731">
            <v>1</v>
          </cell>
          <cell r="R731" t="str">
            <v>Boss</v>
          </cell>
          <cell r="S731">
            <v>5</v>
          </cell>
          <cell r="T731">
            <v>1.3</v>
          </cell>
          <cell r="U731">
            <v>0.8</v>
          </cell>
          <cell r="V731">
            <v>3</v>
          </cell>
          <cell r="W731">
            <v>1</v>
          </cell>
          <cell r="X731">
            <v>30</v>
          </cell>
          <cell r="Y731">
            <v>1.3</v>
          </cell>
          <cell r="Z731">
            <v>1.3</v>
          </cell>
          <cell r="AA731">
            <v>1.1000000000000001</v>
          </cell>
          <cell r="AB731">
            <v>0</v>
          </cell>
        </row>
        <row r="732">
          <cell r="A732">
            <v>731</v>
          </cell>
          <cell r="B732" t="str">
            <v>敬虔なる追銃 ガラシャ</v>
          </cell>
          <cell r="C732">
            <v>5</v>
          </cell>
          <cell r="D732" t="str">
            <v>green</v>
          </cell>
          <cell r="E732">
            <v>1.02</v>
          </cell>
          <cell r="F732">
            <v>0.98</v>
          </cell>
          <cell r="G732">
            <v>1</v>
          </cell>
          <cell r="H732" t="str">
            <v>heal</v>
          </cell>
          <cell r="I732" t="str">
            <v>回復タイプ</v>
          </cell>
          <cell r="J732">
            <v>0.8</v>
          </cell>
          <cell r="K732">
            <v>0.78</v>
          </cell>
          <cell r="L732">
            <v>1</v>
          </cell>
          <cell r="M732" t="str">
            <v>human</v>
          </cell>
          <cell r="N732" t="str">
            <v>ヒューマン</v>
          </cell>
          <cell r="O732">
            <v>0.94</v>
          </cell>
          <cell r="P732">
            <v>0.99</v>
          </cell>
          <cell r="Q732">
            <v>1</v>
          </cell>
          <cell r="R732" t="str">
            <v>Boss</v>
          </cell>
          <cell r="S732">
            <v>5</v>
          </cell>
          <cell r="T732">
            <v>1.3</v>
          </cell>
          <cell r="U732">
            <v>0.8</v>
          </cell>
          <cell r="V732">
            <v>3</v>
          </cell>
          <cell r="W732">
            <v>1</v>
          </cell>
          <cell r="X732">
            <v>60</v>
          </cell>
          <cell r="Y732">
            <v>1.7</v>
          </cell>
          <cell r="Z732">
            <v>1.4</v>
          </cell>
          <cell r="AA732">
            <v>1</v>
          </cell>
          <cell r="AB732">
            <v>0</v>
          </cell>
        </row>
        <row r="733">
          <cell r="A733">
            <v>732</v>
          </cell>
          <cell r="B733" t="str">
            <v>上杉謙信</v>
          </cell>
          <cell r="C733">
            <v>5</v>
          </cell>
          <cell r="D733" t="str">
            <v>blue</v>
          </cell>
          <cell r="E733">
            <v>1</v>
          </cell>
          <cell r="F733">
            <v>0.98</v>
          </cell>
          <cell r="G733">
            <v>1</v>
          </cell>
          <cell r="H733" t="str">
            <v>attack</v>
          </cell>
          <cell r="I733" t="str">
            <v>攻撃タイプ</v>
          </cell>
          <cell r="J733">
            <v>1</v>
          </cell>
          <cell r="K733">
            <v>1.33</v>
          </cell>
          <cell r="L733">
            <v>1</v>
          </cell>
          <cell r="M733" t="str">
            <v>human</v>
          </cell>
          <cell r="N733" t="str">
            <v>ヒューマン</v>
          </cell>
          <cell r="O733">
            <v>0.94</v>
          </cell>
          <cell r="P733">
            <v>0.99</v>
          </cell>
          <cell r="Q733">
            <v>1</v>
          </cell>
          <cell r="R733" t="str">
            <v>Boss</v>
          </cell>
          <cell r="S733">
            <v>5</v>
          </cell>
          <cell r="T733">
            <v>1.3</v>
          </cell>
          <cell r="U733">
            <v>0.8</v>
          </cell>
          <cell r="V733">
            <v>3</v>
          </cell>
          <cell r="W733">
            <v>1</v>
          </cell>
          <cell r="X733">
            <v>60</v>
          </cell>
          <cell r="Y733">
            <v>1.7</v>
          </cell>
          <cell r="Z733">
            <v>1.4</v>
          </cell>
          <cell r="AA733">
            <v>1</v>
          </cell>
          <cell r="AB733">
            <v>0</v>
          </cell>
        </row>
        <row r="734">
          <cell r="A734">
            <v>733</v>
          </cell>
          <cell r="B734" t="str">
            <v>夢幻の千刃 上杉謙信</v>
          </cell>
          <cell r="C734">
            <v>6</v>
          </cell>
          <cell r="D734" t="str">
            <v>blue</v>
          </cell>
          <cell r="E734">
            <v>1</v>
          </cell>
          <cell r="F734">
            <v>0.98</v>
          </cell>
          <cell r="G734">
            <v>1</v>
          </cell>
          <cell r="H734" t="str">
            <v>attack</v>
          </cell>
          <cell r="I734" t="str">
            <v>攻撃タイプ</v>
          </cell>
          <cell r="J734">
            <v>1</v>
          </cell>
          <cell r="K734">
            <v>1.33</v>
          </cell>
          <cell r="L734">
            <v>1</v>
          </cell>
          <cell r="M734" t="str">
            <v>human</v>
          </cell>
          <cell r="N734" t="str">
            <v>ヒューマン</v>
          </cell>
          <cell r="O734">
            <v>0.94</v>
          </cell>
          <cell r="P734">
            <v>0.99</v>
          </cell>
          <cell r="Q734">
            <v>1</v>
          </cell>
          <cell r="R734" t="str">
            <v>Boss</v>
          </cell>
          <cell r="S734">
            <v>5</v>
          </cell>
          <cell r="T734">
            <v>1.3</v>
          </cell>
          <cell r="U734">
            <v>0.8</v>
          </cell>
          <cell r="V734">
            <v>3</v>
          </cell>
          <cell r="W734">
            <v>1</v>
          </cell>
          <cell r="X734">
            <v>60</v>
          </cell>
          <cell r="Y734">
            <v>1.7</v>
          </cell>
          <cell r="Z734">
            <v>1.4</v>
          </cell>
          <cell r="AA734">
            <v>1</v>
          </cell>
          <cell r="AB734">
            <v>0</v>
          </cell>
        </row>
        <row r="735">
          <cell r="A735">
            <v>734</v>
          </cell>
          <cell r="B735" t="str">
            <v>伊達政宗</v>
          </cell>
          <cell r="C735">
            <v>5</v>
          </cell>
          <cell r="D735" t="str">
            <v>yellow</v>
          </cell>
          <cell r="E735">
            <v>0.98</v>
          </cell>
          <cell r="F735">
            <v>1.01</v>
          </cell>
          <cell r="G735">
            <v>1</v>
          </cell>
          <cell r="H735" t="str">
            <v>balance</v>
          </cell>
          <cell r="I735" t="str">
            <v>バランスタイプ</v>
          </cell>
          <cell r="J735">
            <v>1</v>
          </cell>
          <cell r="K735">
            <v>1</v>
          </cell>
          <cell r="L735">
            <v>1</v>
          </cell>
          <cell r="M735" t="str">
            <v>human</v>
          </cell>
          <cell r="N735" t="str">
            <v>ヒューマン</v>
          </cell>
          <cell r="O735">
            <v>0.94</v>
          </cell>
          <cell r="P735">
            <v>0.99</v>
          </cell>
          <cell r="Q735">
            <v>1</v>
          </cell>
          <cell r="R735" t="str">
            <v>Boss</v>
          </cell>
          <cell r="S735">
            <v>5</v>
          </cell>
          <cell r="T735">
            <v>1.3</v>
          </cell>
          <cell r="U735">
            <v>0.8</v>
          </cell>
          <cell r="V735">
            <v>3</v>
          </cell>
          <cell r="W735">
            <v>1</v>
          </cell>
          <cell r="X735">
            <v>60</v>
          </cell>
          <cell r="Y735">
            <v>1.7</v>
          </cell>
          <cell r="Z735">
            <v>1.4</v>
          </cell>
          <cell r="AA735">
            <v>1</v>
          </cell>
          <cell r="AB735">
            <v>0</v>
          </cell>
        </row>
        <row r="736">
          <cell r="A736">
            <v>735</v>
          </cell>
          <cell r="B736" t="str">
            <v>破天の隻眼 伊達政宗</v>
          </cell>
          <cell r="C736">
            <v>6</v>
          </cell>
          <cell r="D736" t="str">
            <v>yellow</v>
          </cell>
          <cell r="E736">
            <v>0.98</v>
          </cell>
          <cell r="F736">
            <v>1.01</v>
          </cell>
          <cell r="G736">
            <v>1</v>
          </cell>
          <cell r="H736" t="str">
            <v>balance</v>
          </cell>
          <cell r="I736" t="str">
            <v>バランスタイプ</v>
          </cell>
          <cell r="J736">
            <v>1</v>
          </cell>
          <cell r="K736">
            <v>1</v>
          </cell>
          <cell r="L736">
            <v>1</v>
          </cell>
          <cell r="M736" t="str">
            <v>human</v>
          </cell>
          <cell r="N736" t="str">
            <v>ヒューマン</v>
          </cell>
          <cell r="O736">
            <v>0.94</v>
          </cell>
          <cell r="P736">
            <v>0.99</v>
          </cell>
          <cell r="Q736">
            <v>1</v>
          </cell>
          <cell r="R736" t="str">
            <v>Boss</v>
          </cell>
          <cell r="S736">
            <v>5</v>
          </cell>
          <cell r="T736">
            <v>1.3</v>
          </cell>
          <cell r="U736">
            <v>0.8</v>
          </cell>
          <cell r="V736">
            <v>3</v>
          </cell>
          <cell r="W736">
            <v>1</v>
          </cell>
          <cell r="X736">
            <v>60</v>
          </cell>
          <cell r="Y736">
            <v>1.7</v>
          </cell>
          <cell r="Z736">
            <v>1.4</v>
          </cell>
          <cell r="AA736">
            <v>1</v>
          </cell>
          <cell r="AB736">
            <v>0</v>
          </cell>
        </row>
        <row r="737">
          <cell r="A737">
            <v>736</v>
          </cell>
          <cell r="B737" t="str">
            <v>オルトロス</v>
          </cell>
          <cell r="C737">
            <v>4</v>
          </cell>
          <cell r="D737" t="str">
            <v>red</v>
          </cell>
          <cell r="E737">
            <v>1</v>
          </cell>
          <cell r="F737">
            <v>1.02</v>
          </cell>
          <cell r="G737">
            <v>1</v>
          </cell>
          <cell r="H737" t="str">
            <v>hp</v>
          </cell>
          <cell r="I737" t="str">
            <v>体力タイプ</v>
          </cell>
          <cell r="J737">
            <v>1.45</v>
          </cell>
          <cell r="K737">
            <v>0.85</v>
          </cell>
          <cell r="L737">
            <v>1</v>
          </cell>
          <cell r="M737" t="str">
            <v>animal</v>
          </cell>
          <cell r="N737" t="str">
            <v>アニマル</v>
          </cell>
          <cell r="O737">
            <v>1</v>
          </cell>
          <cell r="P737">
            <v>1.1000000000000001</v>
          </cell>
          <cell r="Q737">
            <v>1</v>
          </cell>
          <cell r="R737" t="str">
            <v>Boss</v>
          </cell>
          <cell r="S737">
            <v>5</v>
          </cell>
          <cell r="T737">
            <v>1.3</v>
          </cell>
          <cell r="U737">
            <v>0.8</v>
          </cell>
          <cell r="V737">
            <v>3</v>
          </cell>
          <cell r="W737">
            <v>1</v>
          </cell>
          <cell r="X737">
            <v>30</v>
          </cell>
          <cell r="Y737">
            <v>1.3</v>
          </cell>
          <cell r="Z737">
            <v>1.3</v>
          </cell>
          <cell r="AA737">
            <v>1.1000000000000001</v>
          </cell>
          <cell r="AB737">
            <v>0</v>
          </cell>
        </row>
        <row r="738">
          <cell r="A738">
            <v>737</v>
          </cell>
          <cell r="B738" t="str">
            <v>狂鳴の慟哭 オルトロス</v>
          </cell>
          <cell r="C738">
            <v>5</v>
          </cell>
          <cell r="D738" t="str">
            <v>red</v>
          </cell>
          <cell r="E738">
            <v>1</v>
          </cell>
          <cell r="F738">
            <v>1.02</v>
          </cell>
          <cell r="G738">
            <v>1</v>
          </cell>
          <cell r="H738" t="str">
            <v>hp</v>
          </cell>
          <cell r="I738" t="str">
            <v>体力タイプ</v>
          </cell>
          <cell r="J738">
            <v>1.45</v>
          </cell>
          <cell r="K738">
            <v>0.85</v>
          </cell>
          <cell r="L738">
            <v>1</v>
          </cell>
          <cell r="M738" t="str">
            <v>animal</v>
          </cell>
          <cell r="N738" t="str">
            <v>アニマル</v>
          </cell>
          <cell r="O738">
            <v>1</v>
          </cell>
          <cell r="P738">
            <v>1.1000000000000001</v>
          </cell>
          <cell r="Q738">
            <v>1</v>
          </cell>
          <cell r="R738" t="str">
            <v>Boss</v>
          </cell>
          <cell r="S738">
            <v>5</v>
          </cell>
          <cell r="T738">
            <v>1.3</v>
          </cell>
          <cell r="U738">
            <v>0.8</v>
          </cell>
          <cell r="V738">
            <v>3</v>
          </cell>
          <cell r="W738">
            <v>1</v>
          </cell>
          <cell r="X738">
            <v>60</v>
          </cell>
          <cell r="Y738">
            <v>1.7</v>
          </cell>
          <cell r="Z738">
            <v>1.4</v>
          </cell>
          <cell r="AA738">
            <v>1</v>
          </cell>
          <cell r="AB738">
            <v>0</v>
          </cell>
        </row>
        <row r="739">
          <cell r="A739">
            <v>738</v>
          </cell>
          <cell r="B739" t="str">
            <v>ラドン</v>
          </cell>
          <cell r="C739">
            <v>4</v>
          </cell>
          <cell r="D739" t="str">
            <v>blue</v>
          </cell>
          <cell r="E739">
            <v>1</v>
          </cell>
          <cell r="F739">
            <v>0.98</v>
          </cell>
          <cell r="G739">
            <v>1</v>
          </cell>
          <cell r="H739" t="str">
            <v>balance</v>
          </cell>
          <cell r="I739" t="str">
            <v>バランスタイプ</v>
          </cell>
          <cell r="J739">
            <v>1</v>
          </cell>
          <cell r="K739">
            <v>1</v>
          </cell>
          <cell r="L739">
            <v>1</v>
          </cell>
          <cell r="M739" t="str">
            <v>dragon</v>
          </cell>
          <cell r="N739" t="str">
            <v>ドラゴン</v>
          </cell>
          <cell r="O739">
            <v>1.1499999999999999</v>
          </cell>
          <cell r="P739">
            <v>1.1000000000000001</v>
          </cell>
          <cell r="Q739">
            <v>1</v>
          </cell>
          <cell r="R739" t="str">
            <v>Boss</v>
          </cell>
          <cell r="S739">
            <v>5</v>
          </cell>
          <cell r="T739">
            <v>1.3</v>
          </cell>
          <cell r="U739">
            <v>0.8</v>
          </cell>
          <cell r="V739">
            <v>3</v>
          </cell>
          <cell r="W739">
            <v>1</v>
          </cell>
          <cell r="X739">
            <v>30</v>
          </cell>
          <cell r="Y739">
            <v>1.3</v>
          </cell>
          <cell r="Z739">
            <v>1.3</v>
          </cell>
          <cell r="AA739">
            <v>1.1000000000000001</v>
          </cell>
          <cell r="AB739">
            <v>0</v>
          </cell>
        </row>
        <row r="740">
          <cell r="A740">
            <v>739</v>
          </cell>
          <cell r="B740" t="str">
            <v>寡言の密使 ラドン</v>
          </cell>
          <cell r="C740">
            <v>5</v>
          </cell>
          <cell r="D740" t="str">
            <v>blue</v>
          </cell>
          <cell r="E740">
            <v>1</v>
          </cell>
          <cell r="F740">
            <v>0.98</v>
          </cell>
          <cell r="G740">
            <v>1</v>
          </cell>
          <cell r="H740" t="str">
            <v>balance</v>
          </cell>
          <cell r="I740" t="str">
            <v>バランスタイプ</v>
          </cell>
          <cell r="J740">
            <v>1</v>
          </cell>
          <cell r="K740">
            <v>1</v>
          </cell>
          <cell r="L740">
            <v>1</v>
          </cell>
          <cell r="M740" t="str">
            <v>dragon</v>
          </cell>
          <cell r="N740" t="str">
            <v>ドラゴン</v>
          </cell>
          <cell r="O740">
            <v>1.1499999999999999</v>
          </cell>
          <cell r="P740">
            <v>1.1000000000000001</v>
          </cell>
          <cell r="Q740">
            <v>1</v>
          </cell>
          <cell r="R740" t="str">
            <v>Boss</v>
          </cell>
          <cell r="S740">
            <v>5</v>
          </cell>
          <cell r="T740">
            <v>1.3</v>
          </cell>
          <cell r="U740">
            <v>0.8</v>
          </cell>
          <cell r="V740">
            <v>3</v>
          </cell>
          <cell r="W740">
            <v>1</v>
          </cell>
          <cell r="X740">
            <v>60</v>
          </cell>
          <cell r="Y740">
            <v>1.7</v>
          </cell>
          <cell r="Z740">
            <v>1.4</v>
          </cell>
          <cell r="AA740">
            <v>1</v>
          </cell>
          <cell r="AB740">
            <v>0</v>
          </cell>
        </row>
        <row r="741">
          <cell r="A741">
            <v>740</v>
          </cell>
          <cell r="B741" t="str">
            <v>テュポーン</v>
          </cell>
          <cell r="C741">
            <v>5</v>
          </cell>
          <cell r="D741" t="str">
            <v>yellow</v>
          </cell>
          <cell r="E741">
            <v>0.98</v>
          </cell>
          <cell r="F741">
            <v>1.01</v>
          </cell>
          <cell r="G741">
            <v>1</v>
          </cell>
          <cell r="H741" t="str">
            <v>attack</v>
          </cell>
          <cell r="I741" t="str">
            <v>攻撃タイプ</v>
          </cell>
          <cell r="J741">
            <v>1</v>
          </cell>
          <cell r="K741">
            <v>1.33</v>
          </cell>
          <cell r="L741">
            <v>1</v>
          </cell>
          <cell r="M741" t="str">
            <v>dragon</v>
          </cell>
          <cell r="N741" t="str">
            <v>ドラゴン</v>
          </cell>
          <cell r="O741">
            <v>1.1499999999999999</v>
          </cell>
          <cell r="P741">
            <v>1.1000000000000001</v>
          </cell>
          <cell r="Q741">
            <v>1</v>
          </cell>
          <cell r="R741" t="str">
            <v>Boss</v>
          </cell>
          <cell r="S741">
            <v>5</v>
          </cell>
          <cell r="T741">
            <v>1.3</v>
          </cell>
          <cell r="U741">
            <v>0.8</v>
          </cell>
          <cell r="V741">
            <v>3</v>
          </cell>
          <cell r="W741">
            <v>1</v>
          </cell>
          <cell r="X741">
            <v>60</v>
          </cell>
          <cell r="Y741">
            <v>1.7</v>
          </cell>
          <cell r="Z741">
            <v>1.4</v>
          </cell>
          <cell r="AA741">
            <v>1</v>
          </cell>
          <cell r="AB741">
            <v>0</v>
          </cell>
        </row>
        <row r="742">
          <cell r="A742">
            <v>741</v>
          </cell>
          <cell r="B742" t="str">
            <v>皆滅の戦鬼 テュポーン</v>
          </cell>
          <cell r="C742">
            <v>6</v>
          </cell>
          <cell r="D742" t="str">
            <v>yellow</v>
          </cell>
          <cell r="E742">
            <v>0.98</v>
          </cell>
          <cell r="F742">
            <v>1.01</v>
          </cell>
          <cell r="G742">
            <v>1</v>
          </cell>
          <cell r="H742" t="str">
            <v>attack</v>
          </cell>
          <cell r="I742" t="str">
            <v>攻撃タイプ</v>
          </cell>
          <cell r="J742">
            <v>1</v>
          </cell>
          <cell r="K742">
            <v>1.33</v>
          </cell>
          <cell r="L742">
            <v>1</v>
          </cell>
          <cell r="M742" t="str">
            <v>dragon</v>
          </cell>
          <cell r="N742" t="str">
            <v>ドラゴン</v>
          </cell>
          <cell r="O742">
            <v>1.1499999999999999</v>
          </cell>
          <cell r="P742">
            <v>1.1000000000000001</v>
          </cell>
          <cell r="Q742">
            <v>1</v>
          </cell>
          <cell r="R742" t="str">
            <v>Boss</v>
          </cell>
          <cell r="S742">
            <v>5</v>
          </cell>
          <cell r="T742">
            <v>1.3</v>
          </cell>
          <cell r="U742">
            <v>0.8</v>
          </cell>
          <cell r="V742">
            <v>3</v>
          </cell>
          <cell r="W742">
            <v>1</v>
          </cell>
          <cell r="X742">
            <v>60</v>
          </cell>
          <cell r="Y742">
            <v>1.7</v>
          </cell>
          <cell r="Z742">
            <v>1.4</v>
          </cell>
          <cell r="AA742">
            <v>1</v>
          </cell>
          <cell r="AB742">
            <v>0</v>
          </cell>
        </row>
        <row r="743">
          <cell r="A743">
            <v>742</v>
          </cell>
          <cell r="B743" t="str">
            <v>アポロン</v>
          </cell>
          <cell r="C743">
            <v>5</v>
          </cell>
          <cell r="D743" t="str">
            <v>red</v>
          </cell>
          <cell r="E743">
            <v>1</v>
          </cell>
          <cell r="F743">
            <v>1.02</v>
          </cell>
          <cell r="G743">
            <v>1</v>
          </cell>
          <cell r="H743" t="str">
            <v>attack</v>
          </cell>
          <cell r="I743" t="str">
            <v>攻撃タイプ</v>
          </cell>
          <cell r="J743">
            <v>1</v>
          </cell>
          <cell r="K743">
            <v>1.33</v>
          </cell>
          <cell r="L743">
            <v>1</v>
          </cell>
          <cell r="M743" t="str">
            <v>god</v>
          </cell>
          <cell r="N743" t="str">
            <v>ゴッド</v>
          </cell>
          <cell r="O743">
            <v>0.96</v>
          </cell>
          <cell r="P743">
            <v>1.02</v>
          </cell>
          <cell r="Q743">
            <v>1</v>
          </cell>
          <cell r="R743" t="str">
            <v>Boss</v>
          </cell>
          <cell r="S743">
            <v>5</v>
          </cell>
          <cell r="T743">
            <v>1.3</v>
          </cell>
          <cell r="U743">
            <v>0.8</v>
          </cell>
          <cell r="V743">
            <v>3</v>
          </cell>
          <cell r="W743">
            <v>1</v>
          </cell>
          <cell r="X743">
            <v>60</v>
          </cell>
          <cell r="Y743">
            <v>1.7</v>
          </cell>
          <cell r="Z743">
            <v>1.4</v>
          </cell>
          <cell r="AA743">
            <v>1</v>
          </cell>
          <cell r="AB743">
            <v>0</v>
          </cell>
        </row>
        <row r="744">
          <cell r="A744">
            <v>743</v>
          </cell>
          <cell r="B744" t="str">
            <v>弩級の洸源 アポロン</v>
          </cell>
          <cell r="C744">
            <v>6</v>
          </cell>
          <cell r="D744" t="str">
            <v>red</v>
          </cell>
          <cell r="E744">
            <v>1</v>
          </cell>
          <cell r="F744">
            <v>1.02</v>
          </cell>
          <cell r="G744">
            <v>1</v>
          </cell>
          <cell r="H744" t="str">
            <v>attack</v>
          </cell>
          <cell r="I744" t="str">
            <v>攻撃タイプ</v>
          </cell>
          <cell r="J744">
            <v>1</v>
          </cell>
          <cell r="K744">
            <v>1.33</v>
          </cell>
          <cell r="L744">
            <v>1</v>
          </cell>
          <cell r="M744" t="str">
            <v>god</v>
          </cell>
          <cell r="N744" t="str">
            <v>ゴッド</v>
          </cell>
          <cell r="O744">
            <v>0.96</v>
          </cell>
          <cell r="P744">
            <v>1.02</v>
          </cell>
          <cell r="Q744">
            <v>1</v>
          </cell>
          <cell r="R744" t="str">
            <v>Boss</v>
          </cell>
          <cell r="S744">
            <v>5</v>
          </cell>
          <cell r="T744">
            <v>1.3</v>
          </cell>
          <cell r="U744">
            <v>0.8</v>
          </cell>
          <cell r="V744">
            <v>3</v>
          </cell>
          <cell r="W744">
            <v>1</v>
          </cell>
          <cell r="X744">
            <v>60</v>
          </cell>
          <cell r="Y744">
            <v>1.7</v>
          </cell>
          <cell r="Z744">
            <v>1.4</v>
          </cell>
          <cell r="AA744">
            <v>1</v>
          </cell>
          <cell r="AB744">
            <v>0</v>
          </cell>
        </row>
        <row r="745">
          <cell r="A745">
            <v>744</v>
          </cell>
          <cell r="B745" t="str">
            <v>ヘルメス</v>
          </cell>
          <cell r="C745">
            <v>5</v>
          </cell>
          <cell r="D745" t="str">
            <v>green</v>
          </cell>
          <cell r="E745">
            <v>1.02</v>
          </cell>
          <cell r="F745">
            <v>0.98</v>
          </cell>
          <cell r="G745">
            <v>1</v>
          </cell>
          <cell r="H745" t="str">
            <v>technical</v>
          </cell>
          <cell r="I745" t="str">
            <v>テクニカルタイプ</v>
          </cell>
          <cell r="J745">
            <v>0.9</v>
          </cell>
          <cell r="K745">
            <v>0.9</v>
          </cell>
          <cell r="L745">
            <v>1</v>
          </cell>
          <cell r="M745" t="str">
            <v>god</v>
          </cell>
          <cell r="N745" t="str">
            <v>ゴッド</v>
          </cell>
          <cell r="O745">
            <v>0.96</v>
          </cell>
          <cell r="P745">
            <v>1.02</v>
          </cell>
          <cell r="Q745">
            <v>1</v>
          </cell>
          <cell r="R745" t="str">
            <v>Boss</v>
          </cell>
          <cell r="S745">
            <v>5</v>
          </cell>
          <cell r="T745">
            <v>1.3</v>
          </cell>
          <cell r="U745">
            <v>0.8</v>
          </cell>
          <cell r="V745">
            <v>3</v>
          </cell>
          <cell r="W745">
            <v>1</v>
          </cell>
          <cell r="X745">
            <v>60</v>
          </cell>
          <cell r="Y745">
            <v>1.7</v>
          </cell>
          <cell r="Z745">
            <v>1.4</v>
          </cell>
          <cell r="AA745">
            <v>1</v>
          </cell>
          <cell r="AB745">
            <v>0</v>
          </cell>
        </row>
        <row r="746">
          <cell r="A746">
            <v>745</v>
          </cell>
          <cell r="B746" t="str">
            <v>望羅の発神 ヘルメス</v>
          </cell>
          <cell r="C746">
            <v>6</v>
          </cell>
          <cell r="D746" t="str">
            <v>green</v>
          </cell>
          <cell r="E746">
            <v>1.02</v>
          </cell>
          <cell r="F746">
            <v>0.98</v>
          </cell>
          <cell r="G746">
            <v>1</v>
          </cell>
          <cell r="H746" t="str">
            <v>technical</v>
          </cell>
          <cell r="I746" t="str">
            <v>テクニカルタイプ</v>
          </cell>
          <cell r="J746">
            <v>0.9</v>
          </cell>
          <cell r="K746">
            <v>0.9</v>
          </cell>
          <cell r="L746">
            <v>1</v>
          </cell>
          <cell r="M746" t="str">
            <v>god</v>
          </cell>
          <cell r="N746" t="str">
            <v>ゴッド</v>
          </cell>
          <cell r="O746">
            <v>0.96</v>
          </cell>
          <cell r="P746">
            <v>1.02</v>
          </cell>
          <cell r="Q746">
            <v>1</v>
          </cell>
          <cell r="R746" t="str">
            <v>Boss</v>
          </cell>
          <cell r="S746">
            <v>5</v>
          </cell>
          <cell r="T746">
            <v>1.3</v>
          </cell>
          <cell r="U746">
            <v>0.8</v>
          </cell>
          <cell r="V746">
            <v>3</v>
          </cell>
          <cell r="W746">
            <v>1</v>
          </cell>
          <cell r="X746">
            <v>60</v>
          </cell>
          <cell r="Y746">
            <v>1.7</v>
          </cell>
          <cell r="Z746">
            <v>1.4</v>
          </cell>
          <cell r="AA746">
            <v>1</v>
          </cell>
          <cell r="AB746">
            <v>0</v>
          </cell>
        </row>
        <row r="747">
          <cell r="A747">
            <v>746</v>
          </cell>
          <cell r="B747" t="str">
            <v>ノルン</v>
          </cell>
          <cell r="C747">
            <v>4</v>
          </cell>
          <cell r="D747" t="str">
            <v>blue</v>
          </cell>
          <cell r="E747">
            <v>1</v>
          </cell>
          <cell r="F747">
            <v>0.98</v>
          </cell>
          <cell r="G747">
            <v>1</v>
          </cell>
          <cell r="H747" t="str">
            <v>balance</v>
          </cell>
          <cell r="I747" t="str">
            <v>バランスタイプ</v>
          </cell>
          <cell r="J747">
            <v>1</v>
          </cell>
          <cell r="K747">
            <v>1</v>
          </cell>
          <cell r="L747">
            <v>1</v>
          </cell>
          <cell r="M747" t="str">
            <v>god</v>
          </cell>
          <cell r="N747" t="str">
            <v>ゴッド</v>
          </cell>
          <cell r="O747">
            <v>0.96</v>
          </cell>
          <cell r="P747">
            <v>1.02</v>
          </cell>
          <cell r="Q747">
            <v>1</v>
          </cell>
          <cell r="R747" t="str">
            <v>Boss</v>
          </cell>
          <cell r="S747">
            <v>5</v>
          </cell>
          <cell r="T747">
            <v>1.3</v>
          </cell>
          <cell r="U747">
            <v>0.8</v>
          </cell>
          <cell r="V747">
            <v>3</v>
          </cell>
          <cell r="W747">
            <v>1</v>
          </cell>
          <cell r="X747">
            <v>30</v>
          </cell>
          <cell r="Y747">
            <v>1.3</v>
          </cell>
          <cell r="Z747">
            <v>1.3</v>
          </cell>
          <cell r="AA747">
            <v>1.1000000000000001</v>
          </cell>
          <cell r="AB747">
            <v>0</v>
          </cell>
        </row>
        <row r="748">
          <cell r="A748">
            <v>747</v>
          </cell>
          <cell r="B748" t="str">
            <v>潔碧の巡励神 ノルン</v>
          </cell>
          <cell r="C748">
            <v>5</v>
          </cell>
          <cell r="D748" t="str">
            <v>blue</v>
          </cell>
          <cell r="E748">
            <v>1</v>
          </cell>
          <cell r="F748">
            <v>0.98</v>
          </cell>
          <cell r="G748">
            <v>1</v>
          </cell>
          <cell r="H748" t="str">
            <v>balance</v>
          </cell>
          <cell r="I748" t="str">
            <v>バランスタイプ</v>
          </cell>
          <cell r="J748">
            <v>1</v>
          </cell>
          <cell r="K748">
            <v>1</v>
          </cell>
          <cell r="L748">
            <v>1</v>
          </cell>
          <cell r="M748" t="str">
            <v>god</v>
          </cell>
          <cell r="N748" t="str">
            <v>ゴッド</v>
          </cell>
          <cell r="O748">
            <v>0.96</v>
          </cell>
          <cell r="P748">
            <v>1.02</v>
          </cell>
          <cell r="Q748">
            <v>1</v>
          </cell>
          <cell r="R748" t="str">
            <v>Boss</v>
          </cell>
          <cell r="S748">
            <v>5</v>
          </cell>
          <cell r="T748">
            <v>1.3</v>
          </cell>
          <cell r="U748">
            <v>0.8</v>
          </cell>
          <cell r="V748">
            <v>3</v>
          </cell>
          <cell r="W748">
            <v>1</v>
          </cell>
          <cell r="X748">
            <v>60</v>
          </cell>
          <cell r="Y748">
            <v>1.7</v>
          </cell>
          <cell r="Z748">
            <v>1.4</v>
          </cell>
          <cell r="AA748">
            <v>1</v>
          </cell>
          <cell r="AB748">
            <v>0</v>
          </cell>
        </row>
        <row r="749">
          <cell r="A749">
            <v>748</v>
          </cell>
          <cell r="B749" t="str">
            <v>パーン</v>
          </cell>
          <cell r="C749">
            <v>4</v>
          </cell>
          <cell r="D749" t="str">
            <v>yellow</v>
          </cell>
          <cell r="E749">
            <v>0.98</v>
          </cell>
          <cell r="F749">
            <v>1.01</v>
          </cell>
          <cell r="G749">
            <v>1</v>
          </cell>
          <cell r="H749" t="str">
            <v>heal</v>
          </cell>
          <cell r="I749" t="str">
            <v>回復タイプ</v>
          </cell>
          <cell r="J749">
            <v>0.8</v>
          </cell>
          <cell r="K749">
            <v>0.78</v>
          </cell>
          <cell r="L749">
            <v>1</v>
          </cell>
          <cell r="M749" t="str">
            <v>animal</v>
          </cell>
          <cell r="N749" t="str">
            <v>アニマル</v>
          </cell>
          <cell r="O749">
            <v>1</v>
          </cell>
          <cell r="P749">
            <v>1.1000000000000001</v>
          </cell>
          <cell r="Q749">
            <v>1</v>
          </cell>
          <cell r="R749" t="str">
            <v>Boss</v>
          </cell>
          <cell r="S749">
            <v>5</v>
          </cell>
          <cell r="T749">
            <v>1.3</v>
          </cell>
          <cell r="U749">
            <v>0.8</v>
          </cell>
          <cell r="V749">
            <v>3</v>
          </cell>
          <cell r="W749">
            <v>1</v>
          </cell>
          <cell r="X749">
            <v>30</v>
          </cell>
          <cell r="Y749">
            <v>1.3</v>
          </cell>
          <cell r="Z749">
            <v>1.3</v>
          </cell>
          <cell r="AA749">
            <v>1.1000000000000001</v>
          </cell>
          <cell r="AB749">
            <v>0</v>
          </cell>
        </row>
        <row r="750">
          <cell r="A750">
            <v>749</v>
          </cell>
          <cell r="B750" t="str">
            <v>光喜の牧童 パーン</v>
          </cell>
          <cell r="C750">
            <v>5</v>
          </cell>
          <cell r="D750" t="str">
            <v>yellow</v>
          </cell>
          <cell r="E750">
            <v>0.98</v>
          </cell>
          <cell r="F750">
            <v>1.01</v>
          </cell>
          <cell r="G750">
            <v>1</v>
          </cell>
          <cell r="H750" t="str">
            <v>heal</v>
          </cell>
          <cell r="I750" t="str">
            <v>回復タイプ</v>
          </cell>
          <cell r="J750">
            <v>0.8</v>
          </cell>
          <cell r="K750">
            <v>0.78</v>
          </cell>
          <cell r="L750">
            <v>1</v>
          </cell>
          <cell r="M750" t="str">
            <v>animal</v>
          </cell>
          <cell r="N750" t="str">
            <v>アニマル</v>
          </cell>
          <cell r="O750">
            <v>1</v>
          </cell>
          <cell r="P750">
            <v>1.1000000000000001</v>
          </cell>
          <cell r="Q750">
            <v>1</v>
          </cell>
          <cell r="R750" t="str">
            <v>Boss</v>
          </cell>
          <cell r="S750">
            <v>5</v>
          </cell>
          <cell r="T750">
            <v>1.3</v>
          </cell>
          <cell r="U750">
            <v>0.8</v>
          </cell>
          <cell r="V750">
            <v>3</v>
          </cell>
          <cell r="W750">
            <v>1</v>
          </cell>
          <cell r="X750">
            <v>60</v>
          </cell>
          <cell r="Y750">
            <v>1.7</v>
          </cell>
          <cell r="Z750">
            <v>1.4</v>
          </cell>
          <cell r="AA750">
            <v>1</v>
          </cell>
          <cell r="AB750">
            <v>0</v>
          </cell>
        </row>
        <row r="751">
          <cell r="A751">
            <v>750</v>
          </cell>
          <cell r="B751" t="str">
            <v>ポアソン</v>
          </cell>
          <cell r="C751">
            <v>5</v>
          </cell>
          <cell r="D751" t="str">
            <v>green</v>
          </cell>
          <cell r="E751">
            <v>1.02</v>
          </cell>
          <cell r="F751">
            <v>0.98</v>
          </cell>
          <cell r="G751">
            <v>1</v>
          </cell>
          <cell r="H751" t="str">
            <v>balance</v>
          </cell>
          <cell r="I751" t="str">
            <v>バランスタイプ</v>
          </cell>
          <cell r="J751">
            <v>1</v>
          </cell>
          <cell r="K751">
            <v>1</v>
          </cell>
          <cell r="L751">
            <v>1</v>
          </cell>
          <cell r="M751" t="str">
            <v>academia</v>
          </cell>
          <cell r="N751" t="str">
            <v>アカデミア</v>
          </cell>
          <cell r="O751">
            <v>1</v>
          </cell>
          <cell r="P751">
            <v>1</v>
          </cell>
          <cell r="Q751">
            <v>1</v>
          </cell>
          <cell r="R751" t="str">
            <v>Boss</v>
          </cell>
          <cell r="S751">
            <v>5</v>
          </cell>
          <cell r="T751">
            <v>1.3</v>
          </cell>
          <cell r="U751">
            <v>0.8</v>
          </cell>
          <cell r="V751">
            <v>3</v>
          </cell>
          <cell r="W751">
            <v>1</v>
          </cell>
          <cell r="X751">
            <v>60</v>
          </cell>
          <cell r="Y751">
            <v>1.7</v>
          </cell>
          <cell r="Z751">
            <v>1.4</v>
          </cell>
          <cell r="AA751">
            <v>1</v>
          </cell>
          <cell r="AB751">
            <v>0</v>
          </cell>
        </row>
        <row r="752">
          <cell r="A752">
            <v>751</v>
          </cell>
          <cell r="B752" t="str">
            <v>交錯の旋匣 ポアソン</v>
          </cell>
          <cell r="C752">
            <v>6</v>
          </cell>
          <cell r="D752" t="str">
            <v>green</v>
          </cell>
          <cell r="E752">
            <v>1.02</v>
          </cell>
          <cell r="F752">
            <v>0.98</v>
          </cell>
          <cell r="G752">
            <v>1</v>
          </cell>
          <cell r="H752" t="str">
            <v>balance</v>
          </cell>
          <cell r="I752" t="str">
            <v>バランスタイプ</v>
          </cell>
          <cell r="J752">
            <v>1</v>
          </cell>
          <cell r="K752">
            <v>1</v>
          </cell>
          <cell r="L752">
            <v>1</v>
          </cell>
          <cell r="M752" t="str">
            <v>academia</v>
          </cell>
          <cell r="N752" t="str">
            <v>アカデミア</v>
          </cell>
          <cell r="O752">
            <v>1</v>
          </cell>
          <cell r="P752">
            <v>1</v>
          </cell>
          <cell r="Q752">
            <v>1</v>
          </cell>
          <cell r="R752" t="str">
            <v>Boss</v>
          </cell>
          <cell r="S752">
            <v>5</v>
          </cell>
          <cell r="T752">
            <v>1.3</v>
          </cell>
          <cell r="U752">
            <v>0.8</v>
          </cell>
          <cell r="V752">
            <v>3</v>
          </cell>
          <cell r="W752">
            <v>1</v>
          </cell>
          <cell r="X752">
            <v>60</v>
          </cell>
          <cell r="Y752">
            <v>1.7</v>
          </cell>
          <cell r="Z752">
            <v>1.4</v>
          </cell>
          <cell r="AA752">
            <v>1</v>
          </cell>
          <cell r="AB752">
            <v>0</v>
          </cell>
        </row>
        <row r="753">
          <cell r="A753">
            <v>752</v>
          </cell>
          <cell r="B753" t="str">
            <v>ムラマサ</v>
          </cell>
          <cell r="C753">
            <v>5</v>
          </cell>
          <cell r="D753" t="str">
            <v>red</v>
          </cell>
          <cell r="E753">
            <v>1</v>
          </cell>
          <cell r="F753">
            <v>1.02</v>
          </cell>
          <cell r="G753">
            <v>1</v>
          </cell>
          <cell r="H753" t="str">
            <v>attack</v>
          </cell>
          <cell r="I753" t="str">
            <v>攻撃タイプ</v>
          </cell>
          <cell r="J753">
            <v>1</v>
          </cell>
          <cell r="K753">
            <v>1.33</v>
          </cell>
          <cell r="L753">
            <v>1</v>
          </cell>
          <cell r="M753" t="str">
            <v>weapon</v>
          </cell>
          <cell r="N753" t="str">
            <v>ウェポン</v>
          </cell>
          <cell r="O753">
            <v>1</v>
          </cell>
          <cell r="P753">
            <v>1</v>
          </cell>
          <cell r="Q753">
            <v>1</v>
          </cell>
          <cell r="R753" t="str">
            <v>Boss</v>
          </cell>
          <cell r="S753">
            <v>5</v>
          </cell>
          <cell r="T753">
            <v>1.3</v>
          </cell>
          <cell r="U753">
            <v>0.8</v>
          </cell>
          <cell r="V753">
            <v>3</v>
          </cell>
          <cell r="W753">
            <v>1</v>
          </cell>
          <cell r="X753">
            <v>60</v>
          </cell>
          <cell r="Y753">
            <v>1.7</v>
          </cell>
          <cell r="Z753">
            <v>1.4</v>
          </cell>
          <cell r="AA753">
            <v>1</v>
          </cell>
          <cell r="AB753">
            <v>0</v>
          </cell>
        </row>
        <row r="754">
          <cell r="A754">
            <v>753</v>
          </cell>
          <cell r="B754" t="str">
            <v>皆斬の虐器 ムラマサ</v>
          </cell>
          <cell r="C754">
            <v>6</v>
          </cell>
          <cell r="D754" t="str">
            <v>red</v>
          </cell>
          <cell r="E754">
            <v>1</v>
          </cell>
          <cell r="F754">
            <v>1.02</v>
          </cell>
          <cell r="G754">
            <v>1</v>
          </cell>
          <cell r="H754" t="str">
            <v>attack</v>
          </cell>
          <cell r="I754" t="str">
            <v>攻撃タイプ</v>
          </cell>
          <cell r="J754">
            <v>1</v>
          </cell>
          <cell r="K754">
            <v>1.33</v>
          </cell>
          <cell r="L754">
            <v>1</v>
          </cell>
          <cell r="M754" t="str">
            <v>weapon</v>
          </cell>
          <cell r="N754" t="str">
            <v>ウェポン</v>
          </cell>
          <cell r="O754">
            <v>1</v>
          </cell>
          <cell r="P754">
            <v>1</v>
          </cell>
          <cell r="Q754">
            <v>1</v>
          </cell>
          <cell r="R754" t="str">
            <v>Boss</v>
          </cell>
          <cell r="S754">
            <v>5</v>
          </cell>
          <cell r="T754">
            <v>1.3</v>
          </cell>
          <cell r="U754">
            <v>0.8</v>
          </cell>
          <cell r="V754">
            <v>3</v>
          </cell>
          <cell r="W754">
            <v>1</v>
          </cell>
          <cell r="X754">
            <v>60</v>
          </cell>
          <cell r="Y754">
            <v>1.7</v>
          </cell>
          <cell r="Z754">
            <v>1.4</v>
          </cell>
          <cell r="AA754">
            <v>1</v>
          </cell>
          <cell r="AB754">
            <v>0</v>
          </cell>
        </row>
        <row r="755">
          <cell r="A755">
            <v>754</v>
          </cell>
          <cell r="B755" t="str">
            <v>マサムネ</v>
          </cell>
          <cell r="C755">
            <v>5</v>
          </cell>
          <cell r="D755" t="str">
            <v>green</v>
          </cell>
          <cell r="E755">
            <v>1.02</v>
          </cell>
          <cell r="F755">
            <v>0.98</v>
          </cell>
          <cell r="G755">
            <v>1</v>
          </cell>
          <cell r="H755" t="str">
            <v>balance</v>
          </cell>
          <cell r="I755" t="str">
            <v>バランスタイプ</v>
          </cell>
          <cell r="J755">
            <v>1</v>
          </cell>
          <cell r="K755">
            <v>1</v>
          </cell>
          <cell r="L755">
            <v>1</v>
          </cell>
          <cell r="M755" t="str">
            <v>weapon</v>
          </cell>
          <cell r="N755" t="str">
            <v>ウェポン</v>
          </cell>
          <cell r="O755">
            <v>1</v>
          </cell>
          <cell r="P755">
            <v>1</v>
          </cell>
          <cell r="Q755">
            <v>1</v>
          </cell>
          <cell r="R755" t="str">
            <v>Boss</v>
          </cell>
          <cell r="S755">
            <v>5</v>
          </cell>
          <cell r="T755">
            <v>1.3</v>
          </cell>
          <cell r="U755">
            <v>0.8</v>
          </cell>
          <cell r="V755">
            <v>3</v>
          </cell>
          <cell r="W755">
            <v>1</v>
          </cell>
          <cell r="X755">
            <v>60</v>
          </cell>
          <cell r="Y755">
            <v>1.7</v>
          </cell>
          <cell r="Z755">
            <v>1.4</v>
          </cell>
          <cell r="AA755">
            <v>1</v>
          </cell>
          <cell r="AB755">
            <v>0</v>
          </cell>
        </row>
        <row r="756">
          <cell r="A756">
            <v>755</v>
          </cell>
          <cell r="B756" t="str">
            <v>究覇の一剣 マサムネ</v>
          </cell>
          <cell r="C756">
            <v>6</v>
          </cell>
          <cell r="D756" t="str">
            <v>green</v>
          </cell>
          <cell r="E756">
            <v>1.02</v>
          </cell>
          <cell r="F756">
            <v>0.98</v>
          </cell>
          <cell r="G756">
            <v>1</v>
          </cell>
          <cell r="H756" t="str">
            <v>balance</v>
          </cell>
          <cell r="I756" t="str">
            <v>バランスタイプ</v>
          </cell>
          <cell r="J756">
            <v>1</v>
          </cell>
          <cell r="K756">
            <v>1</v>
          </cell>
          <cell r="L756">
            <v>1</v>
          </cell>
          <cell r="M756" t="str">
            <v>weapon</v>
          </cell>
          <cell r="N756" t="str">
            <v>ウェポン</v>
          </cell>
          <cell r="O756">
            <v>1</v>
          </cell>
          <cell r="P756">
            <v>1</v>
          </cell>
          <cell r="Q756">
            <v>1</v>
          </cell>
          <cell r="R756" t="str">
            <v>Boss</v>
          </cell>
          <cell r="S756">
            <v>5</v>
          </cell>
          <cell r="T756">
            <v>1.3</v>
          </cell>
          <cell r="U756">
            <v>0.8</v>
          </cell>
          <cell r="V756">
            <v>3</v>
          </cell>
          <cell r="W756">
            <v>1</v>
          </cell>
          <cell r="X756">
            <v>60</v>
          </cell>
          <cell r="Y756">
            <v>1.7</v>
          </cell>
          <cell r="Z756">
            <v>1.4</v>
          </cell>
          <cell r="AA756">
            <v>1</v>
          </cell>
          <cell r="AB756">
            <v>0</v>
          </cell>
        </row>
        <row r="757">
          <cell r="A757">
            <v>756</v>
          </cell>
          <cell r="B757" t="str">
            <v>アメノムラクモ</v>
          </cell>
          <cell r="C757">
            <v>5</v>
          </cell>
          <cell r="D757" t="str">
            <v>blue</v>
          </cell>
          <cell r="E757">
            <v>1</v>
          </cell>
          <cell r="F757">
            <v>0.98</v>
          </cell>
          <cell r="G757">
            <v>1</v>
          </cell>
          <cell r="H757" t="str">
            <v>technical</v>
          </cell>
          <cell r="I757" t="str">
            <v>テクニカルタイプ</v>
          </cell>
          <cell r="J757">
            <v>0.9</v>
          </cell>
          <cell r="K757">
            <v>0.9</v>
          </cell>
          <cell r="L757">
            <v>1</v>
          </cell>
          <cell r="M757" t="str">
            <v>weapon</v>
          </cell>
          <cell r="N757" t="str">
            <v>ウェポン</v>
          </cell>
          <cell r="O757">
            <v>1</v>
          </cell>
          <cell r="P757">
            <v>1</v>
          </cell>
          <cell r="Q757">
            <v>1</v>
          </cell>
          <cell r="R757" t="str">
            <v>Boss</v>
          </cell>
          <cell r="S757">
            <v>5</v>
          </cell>
          <cell r="T757">
            <v>1.3</v>
          </cell>
          <cell r="U757">
            <v>0.8</v>
          </cell>
          <cell r="V757">
            <v>3</v>
          </cell>
          <cell r="W757">
            <v>1</v>
          </cell>
          <cell r="X757">
            <v>60</v>
          </cell>
          <cell r="Y757">
            <v>1.7</v>
          </cell>
          <cell r="Z757">
            <v>1.4</v>
          </cell>
          <cell r="AA757">
            <v>1</v>
          </cell>
          <cell r="AB757">
            <v>0</v>
          </cell>
        </row>
        <row r="758">
          <cell r="A758">
            <v>757</v>
          </cell>
          <cell r="B758" t="str">
            <v>荒龍の復魂 アメノムラクモ</v>
          </cell>
          <cell r="C758">
            <v>6</v>
          </cell>
          <cell r="D758" t="str">
            <v>blue</v>
          </cell>
          <cell r="E758">
            <v>1</v>
          </cell>
          <cell r="F758">
            <v>0.98</v>
          </cell>
          <cell r="G758">
            <v>1</v>
          </cell>
          <cell r="H758" t="str">
            <v>technical</v>
          </cell>
          <cell r="I758" t="str">
            <v>テクニカルタイプ</v>
          </cell>
          <cell r="J758">
            <v>0.9</v>
          </cell>
          <cell r="K758">
            <v>0.9</v>
          </cell>
          <cell r="L758">
            <v>1</v>
          </cell>
          <cell r="M758" t="str">
            <v>weapon</v>
          </cell>
          <cell r="N758" t="str">
            <v>ウェポン</v>
          </cell>
          <cell r="O758">
            <v>1</v>
          </cell>
          <cell r="P758">
            <v>1</v>
          </cell>
          <cell r="Q758">
            <v>1</v>
          </cell>
          <cell r="R758" t="str">
            <v>Boss</v>
          </cell>
          <cell r="S758">
            <v>5</v>
          </cell>
          <cell r="T758">
            <v>1.3</v>
          </cell>
          <cell r="U758">
            <v>0.8</v>
          </cell>
          <cell r="V758">
            <v>3</v>
          </cell>
          <cell r="W758">
            <v>1</v>
          </cell>
          <cell r="X758">
            <v>60</v>
          </cell>
          <cell r="Y758">
            <v>1.7</v>
          </cell>
          <cell r="Z758">
            <v>1.4</v>
          </cell>
          <cell r="AA758">
            <v>1</v>
          </cell>
          <cell r="AB758">
            <v>0</v>
          </cell>
        </row>
        <row r="759">
          <cell r="A759">
            <v>758</v>
          </cell>
          <cell r="B759" t="str">
            <v>雷切</v>
          </cell>
          <cell r="C759">
            <v>5</v>
          </cell>
          <cell r="D759" t="str">
            <v>yellow</v>
          </cell>
          <cell r="E759">
            <v>0.98</v>
          </cell>
          <cell r="F759">
            <v>1.01</v>
          </cell>
          <cell r="G759">
            <v>1</v>
          </cell>
          <cell r="H759" t="str">
            <v>attack</v>
          </cell>
          <cell r="I759" t="str">
            <v>攻撃タイプ</v>
          </cell>
          <cell r="J759">
            <v>1</v>
          </cell>
          <cell r="K759">
            <v>1.33</v>
          </cell>
          <cell r="L759">
            <v>1</v>
          </cell>
          <cell r="M759" t="str">
            <v>weapon</v>
          </cell>
          <cell r="N759" t="str">
            <v>ウェポン</v>
          </cell>
          <cell r="O759">
            <v>1</v>
          </cell>
          <cell r="P759">
            <v>1</v>
          </cell>
          <cell r="Q759">
            <v>1</v>
          </cell>
          <cell r="R759" t="str">
            <v>Boss</v>
          </cell>
          <cell r="S759">
            <v>5</v>
          </cell>
          <cell r="T759">
            <v>1.3</v>
          </cell>
          <cell r="U759">
            <v>0.8</v>
          </cell>
          <cell r="V759">
            <v>3</v>
          </cell>
          <cell r="W759">
            <v>1</v>
          </cell>
          <cell r="X759">
            <v>60</v>
          </cell>
          <cell r="Y759">
            <v>1.7</v>
          </cell>
          <cell r="Z759">
            <v>1.4</v>
          </cell>
          <cell r="AA759">
            <v>1</v>
          </cell>
          <cell r="AB759">
            <v>0</v>
          </cell>
        </row>
        <row r="760">
          <cell r="A760">
            <v>759</v>
          </cell>
          <cell r="B760" t="str">
            <v>超光の鳴鋒 雷切</v>
          </cell>
          <cell r="C760">
            <v>6</v>
          </cell>
          <cell r="D760" t="str">
            <v>yellow</v>
          </cell>
          <cell r="E760">
            <v>0.98</v>
          </cell>
          <cell r="F760">
            <v>1.01</v>
          </cell>
          <cell r="G760">
            <v>1</v>
          </cell>
          <cell r="H760" t="str">
            <v>attack</v>
          </cell>
          <cell r="I760" t="str">
            <v>攻撃タイプ</v>
          </cell>
          <cell r="J760">
            <v>1</v>
          </cell>
          <cell r="K760">
            <v>1.33</v>
          </cell>
          <cell r="L760">
            <v>1</v>
          </cell>
          <cell r="M760" t="str">
            <v>weapon</v>
          </cell>
          <cell r="N760" t="str">
            <v>ウェポン</v>
          </cell>
          <cell r="O760">
            <v>1</v>
          </cell>
          <cell r="P760">
            <v>1</v>
          </cell>
          <cell r="Q760">
            <v>1</v>
          </cell>
          <cell r="R760" t="str">
            <v>Boss</v>
          </cell>
          <cell r="S760">
            <v>5</v>
          </cell>
          <cell r="T760">
            <v>1.3</v>
          </cell>
          <cell r="U760">
            <v>0.8</v>
          </cell>
          <cell r="V760">
            <v>3</v>
          </cell>
          <cell r="W760">
            <v>1</v>
          </cell>
          <cell r="X760">
            <v>60</v>
          </cell>
          <cell r="Y760">
            <v>1.7</v>
          </cell>
          <cell r="Z760">
            <v>1.4</v>
          </cell>
          <cell r="AA760">
            <v>1</v>
          </cell>
          <cell r="AB760">
            <v>0</v>
          </cell>
        </row>
        <row r="761">
          <cell r="A761">
            <v>760</v>
          </cell>
          <cell r="B761" t="str">
            <v>限論顕現 クロネッカー</v>
          </cell>
          <cell r="C761">
            <v>5</v>
          </cell>
          <cell r="D761" t="str">
            <v>yellow</v>
          </cell>
          <cell r="E761">
            <v>0.98</v>
          </cell>
          <cell r="F761">
            <v>1.01</v>
          </cell>
          <cell r="G761">
            <v>1</v>
          </cell>
          <cell r="H761" t="str">
            <v>balance</v>
          </cell>
          <cell r="I761" t="str">
            <v>バランスタイプ</v>
          </cell>
          <cell r="J761">
            <v>1</v>
          </cell>
          <cell r="K761">
            <v>1</v>
          </cell>
          <cell r="L761">
            <v>1</v>
          </cell>
          <cell r="M761" t="str">
            <v>human</v>
          </cell>
          <cell r="N761" t="str">
            <v>ヒューマン</v>
          </cell>
          <cell r="O761">
            <v>0.94</v>
          </cell>
          <cell r="P761">
            <v>0.99</v>
          </cell>
          <cell r="Q761">
            <v>1</v>
          </cell>
          <cell r="R761" t="str">
            <v>Boss</v>
          </cell>
          <cell r="S761">
            <v>5</v>
          </cell>
          <cell r="T761">
            <v>1.3</v>
          </cell>
          <cell r="U761">
            <v>0.8</v>
          </cell>
          <cell r="V761">
            <v>3</v>
          </cell>
          <cell r="W761">
            <v>1</v>
          </cell>
          <cell r="X761">
            <v>60</v>
          </cell>
          <cell r="Y761">
            <v>1.7</v>
          </cell>
          <cell r="Z761">
            <v>1.4</v>
          </cell>
          <cell r="AA761">
            <v>1</v>
          </cell>
          <cell r="AB761">
            <v>0</v>
          </cell>
        </row>
        <row r="762">
          <cell r="A762">
            <v>761</v>
          </cell>
          <cell r="B762" t="str">
            <v>唯限の崇嬢 クロネッカー</v>
          </cell>
          <cell r="C762">
            <v>6</v>
          </cell>
          <cell r="D762" t="str">
            <v>yellow</v>
          </cell>
          <cell r="E762">
            <v>0.98</v>
          </cell>
          <cell r="F762">
            <v>1.01</v>
          </cell>
          <cell r="G762">
            <v>1</v>
          </cell>
          <cell r="H762" t="str">
            <v>balance</v>
          </cell>
          <cell r="I762" t="str">
            <v>バランスタイプ</v>
          </cell>
          <cell r="J762">
            <v>1</v>
          </cell>
          <cell r="K762">
            <v>1</v>
          </cell>
          <cell r="L762">
            <v>1</v>
          </cell>
          <cell r="M762" t="str">
            <v>human</v>
          </cell>
          <cell r="N762" t="str">
            <v>ヒューマン</v>
          </cell>
          <cell r="O762">
            <v>0.94</v>
          </cell>
          <cell r="P762">
            <v>0.99</v>
          </cell>
          <cell r="Q762">
            <v>1</v>
          </cell>
          <cell r="R762" t="str">
            <v>Boss</v>
          </cell>
          <cell r="S762">
            <v>5</v>
          </cell>
          <cell r="T762">
            <v>1.3</v>
          </cell>
          <cell r="U762">
            <v>0.8</v>
          </cell>
          <cell r="V762">
            <v>3</v>
          </cell>
          <cell r="W762">
            <v>1</v>
          </cell>
          <cell r="X762">
            <v>60</v>
          </cell>
          <cell r="Y762">
            <v>1.7</v>
          </cell>
          <cell r="Z762">
            <v>1.4</v>
          </cell>
          <cell r="AA762">
            <v>1</v>
          </cell>
          <cell r="AB762">
            <v>0</v>
          </cell>
        </row>
        <row r="763">
          <cell r="A763">
            <v>762</v>
          </cell>
          <cell r="B763" t="str">
            <v>フィボナッチ</v>
          </cell>
          <cell r="C763">
            <v>5</v>
          </cell>
          <cell r="D763" t="str">
            <v>blue</v>
          </cell>
          <cell r="E763">
            <v>1</v>
          </cell>
          <cell r="F763">
            <v>0.98</v>
          </cell>
          <cell r="G763">
            <v>1</v>
          </cell>
          <cell r="H763" t="str">
            <v>balance</v>
          </cell>
          <cell r="I763" t="str">
            <v>バランスタイプ</v>
          </cell>
          <cell r="J763">
            <v>1</v>
          </cell>
          <cell r="K763">
            <v>1</v>
          </cell>
          <cell r="L763">
            <v>1</v>
          </cell>
          <cell r="M763" t="str">
            <v>human</v>
          </cell>
          <cell r="N763" t="str">
            <v>ヒューマン</v>
          </cell>
          <cell r="O763">
            <v>0.94</v>
          </cell>
          <cell r="P763">
            <v>0.99</v>
          </cell>
          <cell r="Q763">
            <v>1</v>
          </cell>
          <cell r="R763" t="str">
            <v>Boss</v>
          </cell>
          <cell r="S763">
            <v>5</v>
          </cell>
          <cell r="T763">
            <v>1.3</v>
          </cell>
          <cell r="U763">
            <v>0.8</v>
          </cell>
          <cell r="V763">
            <v>3</v>
          </cell>
          <cell r="W763">
            <v>1</v>
          </cell>
          <cell r="X763">
            <v>60</v>
          </cell>
          <cell r="Y763">
            <v>1.7</v>
          </cell>
          <cell r="Z763">
            <v>1.4</v>
          </cell>
          <cell r="AA763">
            <v>1</v>
          </cell>
          <cell r="AB763">
            <v>0</v>
          </cell>
        </row>
        <row r="764">
          <cell r="A764">
            <v>763</v>
          </cell>
          <cell r="B764" t="str">
            <v>螺旋の皇魂比 フィボナッチ</v>
          </cell>
          <cell r="C764">
            <v>6</v>
          </cell>
          <cell r="D764" t="str">
            <v>blue</v>
          </cell>
          <cell r="E764">
            <v>1</v>
          </cell>
          <cell r="F764">
            <v>0.98</v>
          </cell>
          <cell r="G764">
            <v>1</v>
          </cell>
          <cell r="H764" t="str">
            <v>balance</v>
          </cell>
          <cell r="I764" t="str">
            <v>バランスタイプ</v>
          </cell>
          <cell r="J764">
            <v>1</v>
          </cell>
          <cell r="K764">
            <v>1</v>
          </cell>
          <cell r="L764">
            <v>1</v>
          </cell>
          <cell r="M764" t="str">
            <v>human</v>
          </cell>
          <cell r="N764" t="str">
            <v>ヒューマン</v>
          </cell>
          <cell r="O764">
            <v>0.94</v>
          </cell>
          <cell r="P764">
            <v>0.99</v>
          </cell>
          <cell r="Q764">
            <v>1</v>
          </cell>
          <cell r="R764" t="str">
            <v>Boss</v>
          </cell>
          <cell r="S764">
            <v>5</v>
          </cell>
          <cell r="T764">
            <v>1.3</v>
          </cell>
          <cell r="U764">
            <v>0.8</v>
          </cell>
          <cell r="V764">
            <v>3</v>
          </cell>
          <cell r="W764">
            <v>1</v>
          </cell>
          <cell r="X764">
            <v>60</v>
          </cell>
          <cell r="Y764">
            <v>1.7</v>
          </cell>
          <cell r="Z764">
            <v>1.4</v>
          </cell>
          <cell r="AA764">
            <v>1</v>
          </cell>
          <cell r="AB764">
            <v>0</v>
          </cell>
        </row>
        <row r="765">
          <cell r="A765">
            <v>764</v>
          </cell>
          <cell r="B765" t="str">
            <v>ライオネル</v>
          </cell>
          <cell r="C765">
            <v>4</v>
          </cell>
          <cell r="D765" t="str">
            <v>yellow</v>
          </cell>
          <cell r="E765">
            <v>0.98</v>
          </cell>
          <cell r="F765">
            <v>1.01</v>
          </cell>
          <cell r="G765">
            <v>1</v>
          </cell>
          <cell r="H765" t="str">
            <v>balance</v>
          </cell>
          <cell r="I765" t="str">
            <v>バランスタイプ</v>
          </cell>
          <cell r="J765">
            <v>1</v>
          </cell>
          <cell r="K765">
            <v>1</v>
          </cell>
          <cell r="L765">
            <v>1</v>
          </cell>
          <cell r="M765" t="str">
            <v>animal</v>
          </cell>
          <cell r="N765" t="str">
            <v>アニマル</v>
          </cell>
          <cell r="O765">
            <v>1</v>
          </cell>
          <cell r="P765">
            <v>1.1000000000000001</v>
          </cell>
          <cell r="Q765">
            <v>1</v>
          </cell>
          <cell r="R765" t="str">
            <v>Boss</v>
          </cell>
          <cell r="S765">
            <v>5</v>
          </cell>
          <cell r="T765">
            <v>1.3</v>
          </cell>
          <cell r="U765">
            <v>0.8</v>
          </cell>
          <cell r="V765">
            <v>3</v>
          </cell>
          <cell r="W765">
            <v>1</v>
          </cell>
          <cell r="X765">
            <v>30</v>
          </cell>
          <cell r="Y765">
            <v>1.3</v>
          </cell>
          <cell r="Z765">
            <v>1.3</v>
          </cell>
          <cell r="AA765">
            <v>1.1000000000000001</v>
          </cell>
          <cell r="AB765">
            <v>0</v>
          </cell>
        </row>
        <row r="766">
          <cell r="A766">
            <v>765</v>
          </cell>
          <cell r="B766" t="str">
            <v>逆襲獣皇 ライオネル</v>
          </cell>
          <cell r="C766">
            <v>5</v>
          </cell>
          <cell r="D766" t="str">
            <v>yellow</v>
          </cell>
          <cell r="E766">
            <v>0.98</v>
          </cell>
          <cell r="F766">
            <v>1.01</v>
          </cell>
          <cell r="G766">
            <v>1</v>
          </cell>
          <cell r="H766" t="str">
            <v>balance</v>
          </cell>
          <cell r="I766" t="str">
            <v>バランスタイプ</v>
          </cell>
          <cell r="J766">
            <v>1</v>
          </cell>
          <cell r="K766">
            <v>1</v>
          </cell>
          <cell r="L766">
            <v>1</v>
          </cell>
          <cell r="M766" t="str">
            <v>animal</v>
          </cell>
          <cell r="N766" t="str">
            <v>アニマル</v>
          </cell>
          <cell r="O766">
            <v>1</v>
          </cell>
          <cell r="P766">
            <v>1.1000000000000001</v>
          </cell>
          <cell r="Q766">
            <v>1</v>
          </cell>
          <cell r="R766" t="str">
            <v>Boss</v>
          </cell>
          <cell r="S766">
            <v>5</v>
          </cell>
          <cell r="T766">
            <v>1.3</v>
          </cell>
          <cell r="U766">
            <v>0.8</v>
          </cell>
          <cell r="V766">
            <v>3</v>
          </cell>
          <cell r="W766">
            <v>1</v>
          </cell>
          <cell r="X766">
            <v>60</v>
          </cell>
          <cell r="Y766">
            <v>1.7</v>
          </cell>
          <cell r="Z766">
            <v>1.4</v>
          </cell>
          <cell r="AA766">
            <v>1</v>
          </cell>
          <cell r="AB766">
            <v>0</v>
          </cell>
        </row>
        <row r="767">
          <cell r="A767">
            <v>766</v>
          </cell>
          <cell r="B767" t="str">
            <v>ランドラグ</v>
          </cell>
          <cell r="C767">
            <v>4</v>
          </cell>
          <cell r="D767" t="str">
            <v>red</v>
          </cell>
          <cell r="E767">
            <v>1</v>
          </cell>
          <cell r="F767">
            <v>1.02</v>
          </cell>
          <cell r="G767">
            <v>1</v>
          </cell>
          <cell r="H767" t="str">
            <v>hp</v>
          </cell>
          <cell r="I767" t="str">
            <v>体力タイプ</v>
          </cell>
          <cell r="J767">
            <v>1.45</v>
          </cell>
          <cell r="K767">
            <v>0.85</v>
          </cell>
          <cell r="L767">
            <v>1</v>
          </cell>
          <cell r="M767" t="str">
            <v>dragon</v>
          </cell>
          <cell r="N767" t="str">
            <v>ドラゴン</v>
          </cell>
          <cell r="O767">
            <v>1.1499999999999999</v>
          </cell>
          <cell r="P767">
            <v>1.1000000000000001</v>
          </cell>
          <cell r="Q767">
            <v>1</v>
          </cell>
          <cell r="R767" t="str">
            <v>Boss</v>
          </cell>
          <cell r="S767">
            <v>5</v>
          </cell>
          <cell r="T767">
            <v>1.3</v>
          </cell>
          <cell r="U767">
            <v>0.8</v>
          </cell>
          <cell r="V767">
            <v>3</v>
          </cell>
          <cell r="W767">
            <v>1</v>
          </cell>
          <cell r="X767">
            <v>30</v>
          </cell>
          <cell r="Y767">
            <v>1.3</v>
          </cell>
          <cell r="Z767">
            <v>1.3</v>
          </cell>
          <cell r="AA767">
            <v>1.1000000000000001</v>
          </cell>
          <cell r="AB767">
            <v>0</v>
          </cell>
        </row>
        <row r="768">
          <cell r="A768">
            <v>767</v>
          </cell>
          <cell r="B768" t="str">
            <v>灼炎業竜 ランドラグ</v>
          </cell>
          <cell r="C768">
            <v>5</v>
          </cell>
          <cell r="D768" t="str">
            <v>red</v>
          </cell>
          <cell r="E768">
            <v>1</v>
          </cell>
          <cell r="F768">
            <v>1.02</v>
          </cell>
          <cell r="G768">
            <v>1</v>
          </cell>
          <cell r="H768" t="str">
            <v>hp</v>
          </cell>
          <cell r="I768" t="str">
            <v>体力タイプ</v>
          </cell>
          <cell r="J768">
            <v>1.45</v>
          </cell>
          <cell r="K768">
            <v>0.85</v>
          </cell>
          <cell r="L768">
            <v>1</v>
          </cell>
          <cell r="M768" t="str">
            <v>dragon</v>
          </cell>
          <cell r="N768" t="str">
            <v>ドラゴン</v>
          </cell>
          <cell r="O768">
            <v>1.1499999999999999</v>
          </cell>
          <cell r="P768">
            <v>1.1000000000000001</v>
          </cell>
          <cell r="Q768">
            <v>1</v>
          </cell>
          <cell r="R768" t="str">
            <v>Boss</v>
          </cell>
          <cell r="S768">
            <v>5</v>
          </cell>
          <cell r="T768">
            <v>1.3</v>
          </cell>
          <cell r="U768">
            <v>0.8</v>
          </cell>
          <cell r="V768">
            <v>3</v>
          </cell>
          <cell r="W768">
            <v>1</v>
          </cell>
          <cell r="X768">
            <v>60</v>
          </cell>
          <cell r="Y768">
            <v>1.7</v>
          </cell>
          <cell r="Z768">
            <v>1.4</v>
          </cell>
          <cell r="AA768">
            <v>1</v>
          </cell>
          <cell r="AB768">
            <v>0</v>
          </cell>
        </row>
        <row r="769">
          <cell r="A769">
            <v>768</v>
          </cell>
          <cell r="B769" t="str">
            <v>ガレス</v>
          </cell>
          <cell r="C769">
            <v>4</v>
          </cell>
          <cell r="D769" t="str">
            <v>green</v>
          </cell>
          <cell r="E769">
            <v>1.02</v>
          </cell>
          <cell r="F769">
            <v>0.98</v>
          </cell>
          <cell r="G769">
            <v>1</v>
          </cell>
          <cell r="H769" t="str">
            <v>technical</v>
          </cell>
          <cell r="I769" t="str">
            <v>テクニカルタイプ</v>
          </cell>
          <cell r="J769">
            <v>0.9</v>
          </cell>
          <cell r="K769">
            <v>0.9</v>
          </cell>
          <cell r="L769">
            <v>1</v>
          </cell>
          <cell r="M769" t="str">
            <v>human</v>
          </cell>
          <cell r="N769" t="str">
            <v>ヒューマン</v>
          </cell>
          <cell r="O769">
            <v>0.94</v>
          </cell>
          <cell r="P769">
            <v>0.99</v>
          </cell>
          <cell r="Q769">
            <v>1</v>
          </cell>
          <cell r="R769" t="str">
            <v>Boss</v>
          </cell>
          <cell r="S769">
            <v>5</v>
          </cell>
          <cell r="T769">
            <v>1.3</v>
          </cell>
          <cell r="U769">
            <v>0.8</v>
          </cell>
          <cell r="V769">
            <v>3</v>
          </cell>
          <cell r="W769">
            <v>1</v>
          </cell>
          <cell r="X769">
            <v>30</v>
          </cell>
          <cell r="Y769">
            <v>1.3</v>
          </cell>
          <cell r="Z769">
            <v>1.3</v>
          </cell>
          <cell r="AA769">
            <v>1.1000000000000001</v>
          </cell>
          <cell r="AB769">
            <v>0</v>
          </cell>
        </row>
        <row r="770">
          <cell r="A770">
            <v>769</v>
          </cell>
          <cell r="B770" t="str">
            <v>白域・純双剣 ガレス</v>
          </cell>
          <cell r="C770">
            <v>5</v>
          </cell>
          <cell r="D770" t="str">
            <v>green</v>
          </cell>
          <cell r="E770">
            <v>1.02</v>
          </cell>
          <cell r="F770">
            <v>0.98</v>
          </cell>
          <cell r="G770">
            <v>1</v>
          </cell>
          <cell r="H770" t="str">
            <v>technical</v>
          </cell>
          <cell r="I770" t="str">
            <v>テクニカルタイプ</v>
          </cell>
          <cell r="J770">
            <v>0.9</v>
          </cell>
          <cell r="K770">
            <v>0.9</v>
          </cell>
          <cell r="L770">
            <v>1</v>
          </cell>
          <cell r="M770" t="str">
            <v>human</v>
          </cell>
          <cell r="N770" t="str">
            <v>ヒューマン</v>
          </cell>
          <cell r="O770">
            <v>0.94</v>
          </cell>
          <cell r="P770">
            <v>0.99</v>
          </cell>
          <cell r="Q770">
            <v>1</v>
          </cell>
          <cell r="R770" t="str">
            <v>Boss</v>
          </cell>
          <cell r="S770">
            <v>5</v>
          </cell>
          <cell r="T770">
            <v>1.3</v>
          </cell>
          <cell r="U770">
            <v>0.8</v>
          </cell>
          <cell r="V770">
            <v>3</v>
          </cell>
          <cell r="W770">
            <v>1</v>
          </cell>
          <cell r="X770">
            <v>60</v>
          </cell>
          <cell r="Y770">
            <v>1.7</v>
          </cell>
          <cell r="Z770">
            <v>1.4</v>
          </cell>
          <cell r="AA770">
            <v>1</v>
          </cell>
          <cell r="AB770">
            <v>0</v>
          </cell>
        </row>
        <row r="771">
          <cell r="A771">
            <v>770</v>
          </cell>
          <cell r="B771" t="str">
            <v>ハヅル</v>
          </cell>
          <cell r="C771">
            <v>4</v>
          </cell>
          <cell r="D771" t="str">
            <v>red</v>
          </cell>
          <cell r="E771">
            <v>1</v>
          </cell>
          <cell r="F771">
            <v>1.02</v>
          </cell>
          <cell r="G771">
            <v>1</v>
          </cell>
          <cell r="H771" t="str">
            <v>balance</v>
          </cell>
          <cell r="I771" t="str">
            <v>バランスタイプ</v>
          </cell>
          <cell r="J771">
            <v>1</v>
          </cell>
          <cell r="K771">
            <v>1</v>
          </cell>
          <cell r="L771">
            <v>1</v>
          </cell>
          <cell r="M771" t="str">
            <v>animal</v>
          </cell>
          <cell r="N771" t="str">
            <v>アニマル</v>
          </cell>
          <cell r="O771">
            <v>1</v>
          </cell>
          <cell r="P771">
            <v>1.1000000000000001</v>
          </cell>
          <cell r="Q771">
            <v>1</v>
          </cell>
          <cell r="R771" t="str">
            <v>Boss</v>
          </cell>
          <cell r="S771">
            <v>5</v>
          </cell>
          <cell r="T771">
            <v>1.3</v>
          </cell>
          <cell r="U771">
            <v>0.8</v>
          </cell>
          <cell r="V771">
            <v>3</v>
          </cell>
          <cell r="W771">
            <v>1</v>
          </cell>
          <cell r="X771">
            <v>30</v>
          </cell>
          <cell r="Y771">
            <v>1.3</v>
          </cell>
          <cell r="Z771">
            <v>1.3</v>
          </cell>
          <cell r="AA771">
            <v>1.1000000000000001</v>
          </cell>
          <cell r="AB771">
            <v>0</v>
          </cell>
        </row>
        <row r="772">
          <cell r="A772">
            <v>771</v>
          </cell>
          <cell r="B772" t="str">
            <v>天織羽鶴 ハヅル</v>
          </cell>
          <cell r="C772">
            <v>5</v>
          </cell>
          <cell r="D772" t="str">
            <v>red</v>
          </cell>
          <cell r="E772">
            <v>1</v>
          </cell>
          <cell r="F772">
            <v>1.02</v>
          </cell>
          <cell r="G772">
            <v>1</v>
          </cell>
          <cell r="H772" t="str">
            <v>balance</v>
          </cell>
          <cell r="I772" t="str">
            <v>バランスタイプ</v>
          </cell>
          <cell r="J772">
            <v>1</v>
          </cell>
          <cell r="K772">
            <v>1</v>
          </cell>
          <cell r="L772">
            <v>1</v>
          </cell>
          <cell r="M772" t="str">
            <v>animal</v>
          </cell>
          <cell r="N772" t="str">
            <v>アニマル</v>
          </cell>
          <cell r="O772">
            <v>1</v>
          </cell>
          <cell r="P772">
            <v>1.1000000000000001</v>
          </cell>
          <cell r="Q772">
            <v>1</v>
          </cell>
          <cell r="R772" t="str">
            <v>Boss</v>
          </cell>
          <cell r="S772">
            <v>5</v>
          </cell>
          <cell r="T772">
            <v>1.3</v>
          </cell>
          <cell r="U772">
            <v>0.8</v>
          </cell>
          <cell r="V772">
            <v>3</v>
          </cell>
          <cell r="W772">
            <v>1</v>
          </cell>
          <cell r="X772">
            <v>60</v>
          </cell>
          <cell r="Y772">
            <v>1.7</v>
          </cell>
          <cell r="Z772">
            <v>1.4</v>
          </cell>
          <cell r="AA772">
            <v>1</v>
          </cell>
          <cell r="AB772">
            <v>0</v>
          </cell>
        </row>
        <row r="773">
          <cell r="A773">
            <v>772</v>
          </cell>
          <cell r="B773" t="str">
            <v>イナバ</v>
          </cell>
          <cell r="C773">
            <v>4</v>
          </cell>
          <cell r="D773" t="str">
            <v>green</v>
          </cell>
          <cell r="E773">
            <v>1.02</v>
          </cell>
          <cell r="F773">
            <v>0.98</v>
          </cell>
          <cell r="G773">
            <v>1</v>
          </cell>
          <cell r="H773" t="str">
            <v>balance</v>
          </cell>
          <cell r="I773" t="str">
            <v>バランスタイプ</v>
          </cell>
          <cell r="J773">
            <v>1</v>
          </cell>
          <cell r="K773">
            <v>1</v>
          </cell>
          <cell r="L773">
            <v>1</v>
          </cell>
          <cell r="M773" t="str">
            <v>animal</v>
          </cell>
          <cell r="N773" t="str">
            <v>アニマル</v>
          </cell>
          <cell r="O773">
            <v>1</v>
          </cell>
          <cell r="P773">
            <v>1.1000000000000001</v>
          </cell>
          <cell r="Q773">
            <v>1</v>
          </cell>
          <cell r="R773" t="str">
            <v>Boss</v>
          </cell>
          <cell r="S773">
            <v>5</v>
          </cell>
          <cell r="T773">
            <v>1.3</v>
          </cell>
          <cell r="U773">
            <v>0.8</v>
          </cell>
          <cell r="V773">
            <v>3</v>
          </cell>
          <cell r="W773">
            <v>1</v>
          </cell>
          <cell r="X773">
            <v>30</v>
          </cell>
          <cell r="Y773">
            <v>1.3</v>
          </cell>
          <cell r="Z773">
            <v>1.3</v>
          </cell>
          <cell r="AA773">
            <v>1.1000000000000001</v>
          </cell>
          <cell r="AB773">
            <v>0</v>
          </cell>
        </row>
        <row r="774">
          <cell r="A774">
            <v>773</v>
          </cell>
          <cell r="B774" t="str">
            <v>浮跳天兎 イナバ</v>
          </cell>
          <cell r="C774">
            <v>5</v>
          </cell>
          <cell r="D774" t="str">
            <v>green</v>
          </cell>
          <cell r="E774">
            <v>1.02</v>
          </cell>
          <cell r="F774">
            <v>0.98</v>
          </cell>
          <cell r="G774">
            <v>1</v>
          </cell>
          <cell r="H774" t="str">
            <v>balance</v>
          </cell>
          <cell r="I774" t="str">
            <v>バランスタイプ</v>
          </cell>
          <cell r="J774">
            <v>1</v>
          </cell>
          <cell r="K774">
            <v>1</v>
          </cell>
          <cell r="L774">
            <v>1</v>
          </cell>
          <cell r="M774" t="str">
            <v>animal</v>
          </cell>
          <cell r="N774" t="str">
            <v>アニマル</v>
          </cell>
          <cell r="O774">
            <v>1</v>
          </cell>
          <cell r="P774">
            <v>1.1000000000000001</v>
          </cell>
          <cell r="Q774">
            <v>1</v>
          </cell>
          <cell r="R774" t="str">
            <v>Boss</v>
          </cell>
          <cell r="S774">
            <v>5</v>
          </cell>
          <cell r="T774">
            <v>1.3</v>
          </cell>
          <cell r="U774">
            <v>0.8</v>
          </cell>
          <cell r="V774">
            <v>3</v>
          </cell>
          <cell r="W774">
            <v>1</v>
          </cell>
          <cell r="X774">
            <v>60</v>
          </cell>
          <cell r="Y774">
            <v>1.7</v>
          </cell>
          <cell r="Z774">
            <v>1.4</v>
          </cell>
          <cell r="AA774">
            <v>1</v>
          </cell>
          <cell r="AB774">
            <v>0</v>
          </cell>
        </row>
        <row r="775">
          <cell r="A775">
            <v>774</v>
          </cell>
          <cell r="B775" t="str">
            <v>ミズチ</v>
          </cell>
          <cell r="C775">
            <v>3</v>
          </cell>
          <cell r="D775" t="str">
            <v>blue</v>
          </cell>
          <cell r="E775">
            <v>1</v>
          </cell>
          <cell r="F775">
            <v>0.98</v>
          </cell>
          <cell r="G775">
            <v>1</v>
          </cell>
          <cell r="H775" t="str">
            <v>heal</v>
          </cell>
          <cell r="I775" t="str">
            <v>回復タイプ</v>
          </cell>
          <cell r="J775">
            <v>0.8</v>
          </cell>
          <cell r="K775">
            <v>0.78</v>
          </cell>
          <cell r="L775">
            <v>1</v>
          </cell>
          <cell r="M775" t="str">
            <v>dragon</v>
          </cell>
          <cell r="N775" t="str">
            <v>ドラゴン</v>
          </cell>
          <cell r="O775">
            <v>1.1499999999999999</v>
          </cell>
          <cell r="P775">
            <v>1.1000000000000001</v>
          </cell>
          <cell r="Q775">
            <v>1</v>
          </cell>
          <cell r="R775" t="str">
            <v>Boss</v>
          </cell>
          <cell r="S775">
            <v>5</v>
          </cell>
          <cell r="T775">
            <v>1.3</v>
          </cell>
          <cell r="U775">
            <v>0.8</v>
          </cell>
          <cell r="V775">
            <v>3</v>
          </cell>
          <cell r="W775">
            <v>1</v>
          </cell>
          <cell r="X775">
            <v>25</v>
          </cell>
          <cell r="Y775">
            <v>1.2</v>
          </cell>
          <cell r="Z775">
            <v>1.25</v>
          </cell>
          <cell r="AA775">
            <v>1.1499999999999999</v>
          </cell>
          <cell r="AB775">
            <v>0</v>
          </cell>
        </row>
        <row r="776">
          <cell r="A776">
            <v>775</v>
          </cell>
          <cell r="B776" t="str">
            <v>水底霊竜 ミズチ</v>
          </cell>
          <cell r="C776">
            <v>4</v>
          </cell>
          <cell r="D776" t="str">
            <v>blue</v>
          </cell>
          <cell r="E776">
            <v>1</v>
          </cell>
          <cell r="F776">
            <v>0.98</v>
          </cell>
          <cell r="G776">
            <v>1</v>
          </cell>
          <cell r="H776" t="str">
            <v>heal</v>
          </cell>
          <cell r="I776" t="str">
            <v>回復タイプ</v>
          </cell>
          <cell r="J776">
            <v>0.8</v>
          </cell>
          <cell r="K776">
            <v>0.78</v>
          </cell>
          <cell r="L776">
            <v>1</v>
          </cell>
          <cell r="M776" t="str">
            <v>dragon</v>
          </cell>
          <cell r="N776" t="str">
            <v>ドラゴン</v>
          </cell>
          <cell r="O776">
            <v>1.1499999999999999</v>
          </cell>
          <cell r="P776">
            <v>1.1000000000000001</v>
          </cell>
          <cell r="Q776">
            <v>1</v>
          </cell>
          <cell r="R776" t="str">
            <v>Boss</v>
          </cell>
          <cell r="S776">
            <v>5</v>
          </cell>
          <cell r="T776">
            <v>1.3</v>
          </cell>
          <cell r="U776">
            <v>0.8</v>
          </cell>
          <cell r="V776">
            <v>3</v>
          </cell>
          <cell r="W776">
            <v>1</v>
          </cell>
          <cell r="X776">
            <v>30</v>
          </cell>
          <cell r="Y776">
            <v>1.3</v>
          </cell>
          <cell r="Z776">
            <v>1.3</v>
          </cell>
          <cell r="AA776">
            <v>1.1000000000000001</v>
          </cell>
          <cell r="AB776">
            <v>0</v>
          </cell>
        </row>
        <row r="777">
          <cell r="A777">
            <v>776</v>
          </cell>
          <cell r="B777" t="str">
            <v>水竜底主 ミズチ</v>
          </cell>
          <cell r="C777">
            <v>5</v>
          </cell>
          <cell r="D777" t="str">
            <v>blue</v>
          </cell>
          <cell r="E777">
            <v>1</v>
          </cell>
          <cell r="F777">
            <v>0.98</v>
          </cell>
          <cell r="G777">
            <v>1</v>
          </cell>
          <cell r="H777" t="str">
            <v>heal</v>
          </cell>
          <cell r="I777" t="str">
            <v>回復タイプ</v>
          </cell>
          <cell r="J777">
            <v>0.8</v>
          </cell>
          <cell r="K777">
            <v>0.78</v>
          </cell>
          <cell r="L777">
            <v>1</v>
          </cell>
          <cell r="M777" t="str">
            <v>dragon</v>
          </cell>
          <cell r="N777" t="str">
            <v>ドラゴン</v>
          </cell>
          <cell r="O777">
            <v>1.1499999999999999</v>
          </cell>
          <cell r="P777">
            <v>1.1000000000000001</v>
          </cell>
          <cell r="Q777">
            <v>1</v>
          </cell>
          <cell r="R777" t="str">
            <v>Boss</v>
          </cell>
          <cell r="S777">
            <v>5</v>
          </cell>
          <cell r="T777">
            <v>1.3</v>
          </cell>
          <cell r="U777">
            <v>0.8</v>
          </cell>
          <cell r="V777">
            <v>3</v>
          </cell>
          <cell r="W777">
            <v>1</v>
          </cell>
          <cell r="X777">
            <v>60</v>
          </cell>
          <cell r="Y777">
            <v>1.7</v>
          </cell>
          <cell r="Z777">
            <v>1.4</v>
          </cell>
          <cell r="AA777">
            <v>1</v>
          </cell>
          <cell r="AB777">
            <v>0</v>
          </cell>
        </row>
        <row r="778">
          <cell r="A778">
            <v>777</v>
          </cell>
          <cell r="B778" t="str">
            <v>ガメック</v>
          </cell>
          <cell r="C778">
            <v>3</v>
          </cell>
          <cell r="D778" t="str">
            <v>yellow</v>
          </cell>
          <cell r="E778">
            <v>0.98</v>
          </cell>
          <cell r="F778">
            <v>1.01</v>
          </cell>
          <cell r="G778">
            <v>1</v>
          </cell>
          <cell r="H778" t="str">
            <v>hp</v>
          </cell>
          <cell r="I778" t="str">
            <v>体力タイプ</v>
          </cell>
          <cell r="J778">
            <v>1.45</v>
          </cell>
          <cell r="K778">
            <v>0.85</v>
          </cell>
          <cell r="L778">
            <v>1</v>
          </cell>
          <cell r="M778" t="str">
            <v>animal</v>
          </cell>
          <cell r="N778" t="str">
            <v>アニマル</v>
          </cell>
          <cell r="O778">
            <v>1</v>
          </cell>
          <cell r="P778">
            <v>1.1000000000000001</v>
          </cell>
          <cell r="Q778">
            <v>1</v>
          </cell>
          <cell r="R778" t="str">
            <v>Boss</v>
          </cell>
          <cell r="S778">
            <v>5</v>
          </cell>
          <cell r="T778">
            <v>1.3</v>
          </cell>
          <cell r="U778">
            <v>0.8</v>
          </cell>
          <cell r="V778">
            <v>3</v>
          </cell>
          <cell r="W778">
            <v>1</v>
          </cell>
          <cell r="X778">
            <v>25</v>
          </cell>
          <cell r="Y778">
            <v>1.2</v>
          </cell>
          <cell r="Z778">
            <v>1.25</v>
          </cell>
          <cell r="AA778">
            <v>1.1499999999999999</v>
          </cell>
          <cell r="AB778">
            <v>0</v>
          </cell>
        </row>
        <row r="779">
          <cell r="A779">
            <v>778</v>
          </cell>
          <cell r="B779" t="str">
            <v>一亀懸明 ガメック</v>
          </cell>
          <cell r="C779">
            <v>4</v>
          </cell>
          <cell r="D779" t="str">
            <v>yellow</v>
          </cell>
          <cell r="E779">
            <v>0.98</v>
          </cell>
          <cell r="F779">
            <v>1.01</v>
          </cell>
          <cell r="G779">
            <v>1</v>
          </cell>
          <cell r="H779" t="str">
            <v>hp</v>
          </cell>
          <cell r="I779" t="str">
            <v>体力タイプ</v>
          </cell>
          <cell r="J779">
            <v>1.45</v>
          </cell>
          <cell r="K779">
            <v>0.85</v>
          </cell>
          <cell r="L779">
            <v>1</v>
          </cell>
          <cell r="M779" t="str">
            <v>animal</v>
          </cell>
          <cell r="N779" t="str">
            <v>アニマル</v>
          </cell>
          <cell r="O779">
            <v>1</v>
          </cell>
          <cell r="P779">
            <v>1.1000000000000001</v>
          </cell>
          <cell r="Q779">
            <v>1</v>
          </cell>
          <cell r="R779" t="str">
            <v>Boss</v>
          </cell>
          <cell r="S779">
            <v>5</v>
          </cell>
          <cell r="T779">
            <v>1.3</v>
          </cell>
          <cell r="U779">
            <v>0.8</v>
          </cell>
          <cell r="V779">
            <v>3</v>
          </cell>
          <cell r="W779">
            <v>1</v>
          </cell>
          <cell r="X779">
            <v>30</v>
          </cell>
          <cell r="Y779">
            <v>1.3</v>
          </cell>
          <cell r="Z779">
            <v>1.3</v>
          </cell>
          <cell r="AA779">
            <v>1.1000000000000001</v>
          </cell>
          <cell r="AB779">
            <v>0</v>
          </cell>
        </row>
        <row r="780">
          <cell r="A780">
            <v>779</v>
          </cell>
          <cell r="B780" t="str">
            <v>頑堅咬亀 ガメック</v>
          </cell>
          <cell r="C780">
            <v>5</v>
          </cell>
          <cell r="D780" t="str">
            <v>yellow</v>
          </cell>
          <cell r="E780">
            <v>0.98</v>
          </cell>
          <cell r="F780">
            <v>1.01</v>
          </cell>
          <cell r="G780">
            <v>1</v>
          </cell>
          <cell r="H780" t="str">
            <v>hp</v>
          </cell>
          <cell r="I780" t="str">
            <v>体力タイプ</v>
          </cell>
          <cell r="J780">
            <v>1.45</v>
          </cell>
          <cell r="K780">
            <v>0.85</v>
          </cell>
          <cell r="L780">
            <v>1</v>
          </cell>
          <cell r="M780" t="str">
            <v>animal</v>
          </cell>
          <cell r="N780" t="str">
            <v>アニマル</v>
          </cell>
          <cell r="O780">
            <v>1</v>
          </cell>
          <cell r="P780">
            <v>1.1000000000000001</v>
          </cell>
          <cell r="Q780">
            <v>1</v>
          </cell>
          <cell r="R780" t="str">
            <v>Boss</v>
          </cell>
          <cell r="S780">
            <v>5</v>
          </cell>
          <cell r="T780">
            <v>1.3</v>
          </cell>
          <cell r="U780">
            <v>0.8</v>
          </cell>
          <cell r="V780">
            <v>3</v>
          </cell>
          <cell r="W780">
            <v>1</v>
          </cell>
          <cell r="X780">
            <v>60</v>
          </cell>
          <cell r="Y780">
            <v>1.7</v>
          </cell>
          <cell r="Z780">
            <v>1.4</v>
          </cell>
          <cell r="AA780">
            <v>1</v>
          </cell>
          <cell r="AB780">
            <v>0</v>
          </cell>
        </row>
        <row r="781">
          <cell r="A781">
            <v>780</v>
          </cell>
          <cell r="B781" t="str">
            <v>カスケード</v>
          </cell>
          <cell r="C781">
            <v>5</v>
          </cell>
          <cell r="D781" t="str">
            <v>yellow</v>
          </cell>
          <cell r="E781">
            <v>0.98</v>
          </cell>
          <cell r="F781">
            <v>1.01</v>
          </cell>
          <cell r="G781">
            <v>1</v>
          </cell>
          <cell r="H781" t="str">
            <v>technical</v>
          </cell>
          <cell r="I781" t="str">
            <v>テクニカルタイプ</v>
          </cell>
          <cell r="J781">
            <v>0.9</v>
          </cell>
          <cell r="K781">
            <v>0.9</v>
          </cell>
          <cell r="L781">
            <v>1</v>
          </cell>
          <cell r="M781" t="str">
            <v>unknown</v>
          </cell>
          <cell r="N781" t="str">
            <v>Unknown</v>
          </cell>
          <cell r="O781">
            <v>1</v>
          </cell>
          <cell r="P781">
            <v>1</v>
          </cell>
          <cell r="Q781">
            <v>1</v>
          </cell>
          <cell r="R781" t="str">
            <v>Boss</v>
          </cell>
          <cell r="S781">
            <v>5</v>
          </cell>
          <cell r="T781">
            <v>1.3</v>
          </cell>
          <cell r="U781">
            <v>0.8</v>
          </cell>
          <cell r="V781">
            <v>3</v>
          </cell>
          <cell r="W781">
            <v>1</v>
          </cell>
          <cell r="X781">
            <v>60</v>
          </cell>
          <cell r="Y781">
            <v>1.7</v>
          </cell>
          <cell r="Z781">
            <v>1.4</v>
          </cell>
          <cell r="AA781">
            <v>1</v>
          </cell>
          <cell r="AB781">
            <v>0</v>
          </cell>
        </row>
        <row r="782">
          <cell r="A782">
            <v>781</v>
          </cell>
          <cell r="B782" t="str">
            <v>崩落の大瀑布 カスケード</v>
          </cell>
          <cell r="C782">
            <v>6</v>
          </cell>
          <cell r="D782" t="str">
            <v>yellow</v>
          </cell>
          <cell r="E782">
            <v>0.98</v>
          </cell>
          <cell r="F782">
            <v>1.01</v>
          </cell>
          <cell r="G782">
            <v>1</v>
          </cell>
          <cell r="H782" t="str">
            <v>technical</v>
          </cell>
          <cell r="I782" t="str">
            <v>テクニカルタイプ</v>
          </cell>
          <cell r="J782">
            <v>0.9</v>
          </cell>
          <cell r="K782">
            <v>0.9</v>
          </cell>
          <cell r="L782">
            <v>1</v>
          </cell>
          <cell r="M782" t="str">
            <v>unknown</v>
          </cell>
          <cell r="N782" t="str">
            <v>Unknown</v>
          </cell>
          <cell r="O782">
            <v>1</v>
          </cell>
          <cell r="P782">
            <v>1</v>
          </cell>
          <cell r="Q782">
            <v>1</v>
          </cell>
          <cell r="R782" t="str">
            <v>Boss</v>
          </cell>
          <cell r="S782">
            <v>5</v>
          </cell>
          <cell r="T782">
            <v>1.3</v>
          </cell>
          <cell r="U782">
            <v>0.8</v>
          </cell>
          <cell r="V782">
            <v>3</v>
          </cell>
          <cell r="W782">
            <v>1</v>
          </cell>
          <cell r="X782">
            <v>60</v>
          </cell>
          <cell r="Y782">
            <v>1.7</v>
          </cell>
          <cell r="Z782">
            <v>1.4</v>
          </cell>
          <cell r="AA782">
            <v>1</v>
          </cell>
          <cell r="AB782">
            <v>0</v>
          </cell>
        </row>
        <row r="783">
          <cell r="A783">
            <v>782</v>
          </cell>
          <cell r="B783" t="str">
            <v>機甲雷天使 ミカエル・グロリアス</v>
          </cell>
          <cell r="C783">
            <v>6</v>
          </cell>
          <cell r="D783" t="str">
            <v>yellow</v>
          </cell>
          <cell r="E783">
            <v>0.98</v>
          </cell>
          <cell r="F783">
            <v>1.01</v>
          </cell>
          <cell r="G783">
            <v>1</v>
          </cell>
          <cell r="H783" t="str">
            <v>attack</v>
          </cell>
          <cell r="I783" t="str">
            <v>攻撃タイプ</v>
          </cell>
          <cell r="J783">
            <v>1</v>
          </cell>
          <cell r="K783">
            <v>1.33</v>
          </cell>
          <cell r="L783">
            <v>1</v>
          </cell>
          <cell r="M783" t="str">
            <v>machine</v>
          </cell>
          <cell r="N783" t="str">
            <v>マシン</v>
          </cell>
          <cell r="O783">
            <v>1</v>
          </cell>
          <cell r="P783">
            <v>1</v>
          </cell>
          <cell r="Q783">
            <v>1</v>
          </cell>
          <cell r="R783" t="str">
            <v>Boss</v>
          </cell>
          <cell r="S783">
            <v>5</v>
          </cell>
          <cell r="T783">
            <v>1.3</v>
          </cell>
          <cell r="U783">
            <v>0.8</v>
          </cell>
          <cell r="V783">
            <v>3</v>
          </cell>
          <cell r="W783">
            <v>1</v>
          </cell>
          <cell r="X783">
            <v>60</v>
          </cell>
          <cell r="Y783">
            <v>1.7</v>
          </cell>
          <cell r="Z783">
            <v>1.4</v>
          </cell>
          <cell r="AA783">
            <v>1</v>
          </cell>
          <cell r="AB783">
            <v>0</v>
          </cell>
        </row>
        <row r="784">
          <cell r="A784">
            <v>783</v>
          </cell>
          <cell r="B784" t="str">
            <v>モールス</v>
          </cell>
          <cell r="C784">
            <v>5</v>
          </cell>
          <cell r="D784" t="str">
            <v>red</v>
          </cell>
          <cell r="E784">
            <v>1</v>
          </cell>
          <cell r="F784">
            <v>1.02</v>
          </cell>
          <cell r="G784">
            <v>1</v>
          </cell>
          <cell r="H784" t="str">
            <v>technical</v>
          </cell>
          <cell r="I784" t="str">
            <v>テクニカルタイプ</v>
          </cell>
          <cell r="J784">
            <v>0.9</v>
          </cell>
          <cell r="K784">
            <v>0.9</v>
          </cell>
          <cell r="L784">
            <v>1</v>
          </cell>
          <cell r="M784" t="str">
            <v>academia</v>
          </cell>
          <cell r="N784" t="str">
            <v>アカデミア</v>
          </cell>
          <cell r="O784">
            <v>1</v>
          </cell>
          <cell r="P784">
            <v>1</v>
          </cell>
          <cell r="Q784">
            <v>1</v>
          </cell>
          <cell r="R784" t="str">
            <v>Boss</v>
          </cell>
          <cell r="S784">
            <v>5</v>
          </cell>
          <cell r="T784">
            <v>1.3</v>
          </cell>
          <cell r="U784">
            <v>0.8</v>
          </cell>
          <cell r="V784">
            <v>3</v>
          </cell>
          <cell r="W784">
            <v>1</v>
          </cell>
          <cell r="X784">
            <v>60</v>
          </cell>
          <cell r="Y784">
            <v>1.7</v>
          </cell>
          <cell r="Z784">
            <v>1.4</v>
          </cell>
          <cell r="AA784">
            <v>1</v>
          </cell>
          <cell r="AB784">
            <v>0</v>
          </cell>
        </row>
        <row r="785">
          <cell r="A785">
            <v>784</v>
          </cell>
          <cell r="B785" t="str">
            <v>想心の恋鎖 モールス</v>
          </cell>
          <cell r="C785">
            <v>6</v>
          </cell>
          <cell r="D785" t="str">
            <v>red</v>
          </cell>
          <cell r="E785">
            <v>1</v>
          </cell>
          <cell r="F785">
            <v>1.02</v>
          </cell>
          <cell r="G785">
            <v>1</v>
          </cell>
          <cell r="H785" t="str">
            <v>technical</v>
          </cell>
          <cell r="I785" t="str">
            <v>テクニカルタイプ</v>
          </cell>
          <cell r="J785">
            <v>0.9</v>
          </cell>
          <cell r="K785">
            <v>0.9</v>
          </cell>
          <cell r="L785">
            <v>1</v>
          </cell>
          <cell r="M785" t="str">
            <v>academia</v>
          </cell>
          <cell r="N785" t="str">
            <v>アカデミア</v>
          </cell>
          <cell r="O785">
            <v>1</v>
          </cell>
          <cell r="P785">
            <v>1</v>
          </cell>
          <cell r="Q785">
            <v>1</v>
          </cell>
          <cell r="R785" t="str">
            <v>Boss</v>
          </cell>
          <cell r="S785">
            <v>5</v>
          </cell>
          <cell r="T785">
            <v>1.3</v>
          </cell>
          <cell r="U785">
            <v>0.8</v>
          </cell>
          <cell r="V785">
            <v>3</v>
          </cell>
          <cell r="W785">
            <v>1</v>
          </cell>
          <cell r="X785">
            <v>60</v>
          </cell>
          <cell r="Y785">
            <v>1.7</v>
          </cell>
          <cell r="Z785">
            <v>1.4</v>
          </cell>
          <cell r="AA785">
            <v>1</v>
          </cell>
          <cell r="AB785">
            <v>0</v>
          </cell>
        </row>
        <row r="786">
          <cell r="A786">
            <v>785</v>
          </cell>
          <cell r="B786" t="str">
            <v>あけおめダック2017</v>
          </cell>
          <cell r="C786">
            <v>6</v>
          </cell>
          <cell r="D786" t="str">
            <v>yellow</v>
          </cell>
          <cell r="E786">
            <v>0.98</v>
          </cell>
          <cell r="F786">
            <v>1.01</v>
          </cell>
          <cell r="G786">
            <v>1</v>
          </cell>
          <cell r="H786" t="str">
            <v>coin</v>
          </cell>
          <cell r="I786" t="str">
            <v>コインタイプ</v>
          </cell>
          <cell r="J786">
            <v>0.1</v>
          </cell>
          <cell r="K786">
            <v>0.05</v>
          </cell>
          <cell r="L786">
            <v>1</v>
          </cell>
          <cell r="M786" t="str">
            <v>unknown</v>
          </cell>
          <cell r="N786" t="str">
            <v>Unknown</v>
          </cell>
          <cell r="O786">
            <v>1</v>
          </cell>
          <cell r="P786">
            <v>1</v>
          </cell>
          <cell r="Q786">
            <v>1</v>
          </cell>
          <cell r="R786" t="str">
            <v>Boss</v>
          </cell>
          <cell r="S786">
            <v>5</v>
          </cell>
          <cell r="T786">
            <v>1.3</v>
          </cell>
          <cell r="U786">
            <v>0.8</v>
          </cell>
          <cell r="V786">
            <v>3</v>
          </cell>
          <cell r="W786">
            <v>1</v>
          </cell>
          <cell r="X786">
            <v>60</v>
          </cell>
          <cell r="Y786">
            <v>1.7</v>
          </cell>
          <cell r="Z786">
            <v>1.4</v>
          </cell>
          <cell r="AA786">
            <v>1</v>
          </cell>
          <cell r="AB786">
            <v>0</v>
          </cell>
        </row>
        <row r="787">
          <cell r="A787">
            <v>786</v>
          </cell>
          <cell r="B787" t="str">
            <v>ヘイウェイ</v>
          </cell>
          <cell r="C787">
            <v>5</v>
          </cell>
          <cell r="D787" t="str">
            <v>red</v>
          </cell>
          <cell r="E787">
            <v>1</v>
          </cell>
          <cell r="F787">
            <v>1.02</v>
          </cell>
          <cell r="G787">
            <v>1</v>
          </cell>
          <cell r="H787" t="str">
            <v>attack</v>
          </cell>
          <cell r="I787" t="str">
            <v>攻撃タイプ</v>
          </cell>
          <cell r="J787">
            <v>1</v>
          </cell>
          <cell r="K787">
            <v>1.33</v>
          </cell>
          <cell r="L787">
            <v>1</v>
          </cell>
          <cell r="M787" t="str">
            <v>dragon</v>
          </cell>
          <cell r="N787" t="str">
            <v>ドラゴン</v>
          </cell>
          <cell r="O787">
            <v>1.1499999999999999</v>
          </cell>
          <cell r="P787">
            <v>1.1000000000000001</v>
          </cell>
          <cell r="Q787">
            <v>1</v>
          </cell>
          <cell r="R787" t="str">
            <v>Boss</v>
          </cell>
          <cell r="S787">
            <v>5</v>
          </cell>
          <cell r="T787">
            <v>1.3</v>
          </cell>
          <cell r="U787">
            <v>0.8</v>
          </cell>
          <cell r="V787">
            <v>3</v>
          </cell>
          <cell r="W787">
            <v>1</v>
          </cell>
          <cell r="X787">
            <v>60</v>
          </cell>
          <cell r="Y787">
            <v>1.7</v>
          </cell>
          <cell r="Z787">
            <v>1.4</v>
          </cell>
          <cell r="AA787">
            <v>1</v>
          </cell>
          <cell r="AB787">
            <v>0</v>
          </cell>
        </row>
        <row r="788">
          <cell r="A788">
            <v>787</v>
          </cell>
          <cell r="B788" t="str">
            <v>極閃描牙 ヘイウェイ</v>
          </cell>
          <cell r="C788">
            <v>6</v>
          </cell>
          <cell r="D788" t="str">
            <v>red</v>
          </cell>
          <cell r="E788">
            <v>1</v>
          </cell>
          <cell r="F788">
            <v>1.02</v>
          </cell>
          <cell r="G788">
            <v>1</v>
          </cell>
          <cell r="H788" t="str">
            <v>attack</v>
          </cell>
          <cell r="I788" t="str">
            <v>攻撃タイプ</v>
          </cell>
          <cell r="J788">
            <v>1</v>
          </cell>
          <cell r="K788">
            <v>1.33</v>
          </cell>
          <cell r="L788">
            <v>1</v>
          </cell>
          <cell r="M788" t="str">
            <v>dragon</v>
          </cell>
          <cell r="N788" t="str">
            <v>ドラゴン</v>
          </cell>
          <cell r="O788">
            <v>1.1499999999999999</v>
          </cell>
          <cell r="P788">
            <v>1.1000000000000001</v>
          </cell>
          <cell r="Q788">
            <v>1</v>
          </cell>
          <cell r="R788" t="str">
            <v>Boss</v>
          </cell>
          <cell r="S788">
            <v>5</v>
          </cell>
          <cell r="T788">
            <v>1.3</v>
          </cell>
          <cell r="U788">
            <v>0.8</v>
          </cell>
          <cell r="V788">
            <v>3</v>
          </cell>
          <cell r="W788">
            <v>1</v>
          </cell>
          <cell r="X788">
            <v>60</v>
          </cell>
          <cell r="Y788">
            <v>1.7</v>
          </cell>
          <cell r="Z788">
            <v>1.4</v>
          </cell>
          <cell r="AA788">
            <v>1</v>
          </cell>
          <cell r="AB788">
            <v>0</v>
          </cell>
        </row>
        <row r="789">
          <cell r="A789">
            <v>788</v>
          </cell>
          <cell r="B789" t="str">
            <v>アトラス</v>
          </cell>
          <cell r="C789">
            <v>5</v>
          </cell>
          <cell r="D789" t="str">
            <v>green</v>
          </cell>
          <cell r="E789">
            <v>1.02</v>
          </cell>
          <cell r="F789">
            <v>0.98</v>
          </cell>
          <cell r="G789">
            <v>1</v>
          </cell>
          <cell r="H789" t="str">
            <v>balance</v>
          </cell>
          <cell r="I789" t="str">
            <v>バランスタイプ</v>
          </cell>
          <cell r="J789">
            <v>1</v>
          </cell>
          <cell r="K789">
            <v>1</v>
          </cell>
          <cell r="L789">
            <v>1</v>
          </cell>
          <cell r="M789" t="str">
            <v>god</v>
          </cell>
          <cell r="N789" t="str">
            <v>ゴッド</v>
          </cell>
          <cell r="O789">
            <v>0.96</v>
          </cell>
          <cell r="P789">
            <v>1.02</v>
          </cell>
          <cell r="Q789">
            <v>1</v>
          </cell>
          <cell r="R789" t="str">
            <v>Boss</v>
          </cell>
          <cell r="S789">
            <v>5</v>
          </cell>
          <cell r="T789">
            <v>1.3</v>
          </cell>
          <cell r="U789">
            <v>0.8</v>
          </cell>
          <cell r="V789">
            <v>3</v>
          </cell>
          <cell r="W789">
            <v>1</v>
          </cell>
          <cell r="X789">
            <v>60</v>
          </cell>
          <cell r="Y789">
            <v>1.7</v>
          </cell>
          <cell r="Z789">
            <v>1.4</v>
          </cell>
          <cell r="AA789">
            <v>1</v>
          </cell>
          <cell r="AB789">
            <v>0</v>
          </cell>
        </row>
        <row r="790">
          <cell r="A790">
            <v>789</v>
          </cell>
          <cell r="B790" t="str">
            <v>極闘の大鋼腕 アトラス</v>
          </cell>
          <cell r="C790">
            <v>6</v>
          </cell>
          <cell r="D790" t="str">
            <v>green</v>
          </cell>
          <cell r="E790">
            <v>1.02</v>
          </cell>
          <cell r="F790">
            <v>0.98</v>
          </cell>
          <cell r="G790">
            <v>1</v>
          </cell>
          <cell r="H790" t="str">
            <v>balance</v>
          </cell>
          <cell r="I790" t="str">
            <v>バランスタイプ</v>
          </cell>
          <cell r="J790">
            <v>1</v>
          </cell>
          <cell r="K790">
            <v>1</v>
          </cell>
          <cell r="L790">
            <v>1</v>
          </cell>
          <cell r="M790" t="str">
            <v>god</v>
          </cell>
          <cell r="N790" t="str">
            <v>ゴッド</v>
          </cell>
          <cell r="O790">
            <v>0.96</v>
          </cell>
          <cell r="P790">
            <v>1.02</v>
          </cell>
          <cell r="Q790">
            <v>1</v>
          </cell>
          <cell r="R790" t="str">
            <v>Boss</v>
          </cell>
          <cell r="S790">
            <v>5</v>
          </cell>
          <cell r="T790">
            <v>1.3</v>
          </cell>
          <cell r="U790">
            <v>0.8</v>
          </cell>
          <cell r="V790">
            <v>3</v>
          </cell>
          <cell r="W790">
            <v>1</v>
          </cell>
          <cell r="X790">
            <v>60</v>
          </cell>
          <cell r="Y790">
            <v>1.7</v>
          </cell>
          <cell r="Z790">
            <v>1.4</v>
          </cell>
          <cell r="AA790">
            <v>1</v>
          </cell>
          <cell r="AB790">
            <v>0</v>
          </cell>
        </row>
        <row r="791">
          <cell r="A791">
            <v>790</v>
          </cell>
          <cell r="B791" t="str">
            <v>戦略級の才脳 ノイマン</v>
          </cell>
          <cell r="C791">
            <v>5</v>
          </cell>
          <cell r="D791" t="str">
            <v>blue</v>
          </cell>
          <cell r="E791">
            <v>1</v>
          </cell>
          <cell r="F791">
            <v>0.98</v>
          </cell>
          <cell r="G791">
            <v>1</v>
          </cell>
          <cell r="H791" t="str">
            <v>attack</v>
          </cell>
          <cell r="I791" t="str">
            <v>攻撃タイプ</v>
          </cell>
          <cell r="J791">
            <v>1</v>
          </cell>
          <cell r="K791">
            <v>1.33</v>
          </cell>
          <cell r="L791">
            <v>1</v>
          </cell>
          <cell r="M791" t="str">
            <v>machine</v>
          </cell>
          <cell r="N791" t="str">
            <v>マシン</v>
          </cell>
          <cell r="O791">
            <v>1</v>
          </cell>
          <cell r="P791">
            <v>1</v>
          </cell>
          <cell r="Q791">
            <v>1</v>
          </cell>
          <cell r="R791" t="str">
            <v>Boss</v>
          </cell>
          <cell r="S791">
            <v>5</v>
          </cell>
          <cell r="T791">
            <v>1.3</v>
          </cell>
          <cell r="U791">
            <v>0.8</v>
          </cell>
          <cell r="V791">
            <v>3</v>
          </cell>
          <cell r="W791">
            <v>1</v>
          </cell>
          <cell r="X791">
            <v>60</v>
          </cell>
          <cell r="Y791">
            <v>1.7</v>
          </cell>
          <cell r="Z791">
            <v>1.4</v>
          </cell>
          <cell r="AA791">
            <v>1</v>
          </cell>
          <cell r="AB791">
            <v>0</v>
          </cell>
        </row>
        <row r="792">
          <cell r="A792">
            <v>791</v>
          </cell>
          <cell r="B792" t="str">
            <v>無差別求の破者 ノイマン</v>
          </cell>
          <cell r="C792">
            <v>6</v>
          </cell>
          <cell r="D792" t="str">
            <v>blue</v>
          </cell>
          <cell r="E792">
            <v>1</v>
          </cell>
          <cell r="F792">
            <v>0.98</v>
          </cell>
          <cell r="G792">
            <v>1</v>
          </cell>
          <cell r="H792" t="str">
            <v>attack</v>
          </cell>
          <cell r="I792" t="str">
            <v>攻撃タイプ</v>
          </cell>
          <cell r="J792">
            <v>1</v>
          </cell>
          <cell r="K792">
            <v>1.33</v>
          </cell>
          <cell r="L792">
            <v>1</v>
          </cell>
          <cell r="M792" t="str">
            <v>machine</v>
          </cell>
          <cell r="N792" t="str">
            <v>マシン</v>
          </cell>
          <cell r="O792">
            <v>1</v>
          </cell>
          <cell r="P792">
            <v>1</v>
          </cell>
          <cell r="Q792">
            <v>1</v>
          </cell>
          <cell r="R792" t="str">
            <v>Boss</v>
          </cell>
          <cell r="S792">
            <v>5</v>
          </cell>
          <cell r="T792">
            <v>1.3</v>
          </cell>
          <cell r="U792">
            <v>0.8</v>
          </cell>
          <cell r="V792">
            <v>3</v>
          </cell>
          <cell r="W792">
            <v>1</v>
          </cell>
          <cell r="X792">
            <v>60</v>
          </cell>
          <cell r="Y792">
            <v>1.7</v>
          </cell>
          <cell r="Z792">
            <v>1.4</v>
          </cell>
          <cell r="AA792">
            <v>1</v>
          </cell>
          <cell r="AB792">
            <v>0</v>
          </cell>
        </row>
        <row r="793">
          <cell r="A793">
            <v>792</v>
          </cell>
          <cell r="B793" t="str">
            <v>片還の収波 フーリエ</v>
          </cell>
          <cell r="C793">
            <v>5</v>
          </cell>
          <cell r="D793" t="str">
            <v>yellow</v>
          </cell>
          <cell r="E793">
            <v>0.98</v>
          </cell>
          <cell r="F793">
            <v>1.01</v>
          </cell>
          <cell r="G793">
            <v>1</v>
          </cell>
          <cell r="H793" t="str">
            <v>technical</v>
          </cell>
          <cell r="I793" t="str">
            <v>テクニカルタイプ</v>
          </cell>
          <cell r="J793">
            <v>0.9</v>
          </cell>
          <cell r="K793">
            <v>0.9</v>
          </cell>
          <cell r="L793">
            <v>1</v>
          </cell>
          <cell r="M793" t="str">
            <v>human</v>
          </cell>
          <cell r="N793" t="str">
            <v>ヒューマン</v>
          </cell>
          <cell r="O793">
            <v>0.94</v>
          </cell>
          <cell r="P793">
            <v>0.99</v>
          </cell>
          <cell r="Q793">
            <v>1</v>
          </cell>
          <cell r="R793" t="str">
            <v>Boss</v>
          </cell>
          <cell r="S793">
            <v>5</v>
          </cell>
          <cell r="T793">
            <v>1.3</v>
          </cell>
          <cell r="U793">
            <v>0.8</v>
          </cell>
          <cell r="V793">
            <v>3</v>
          </cell>
          <cell r="W793">
            <v>1</v>
          </cell>
          <cell r="X793">
            <v>60</v>
          </cell>
          <cell r="Y793">
            <v>1.7</v>
          </cell>
          <cell r="Z793">
            <v>1.4</v>
          </cell>
          <cell r="AA793">
            <v>1</v>
          </cell>
          <cell r="AB793">
            <v>0</v>
          </cell>
        </row>
        <row r="794">
          <cell r="A794">
            <v>793</v>
          </cell>
          <cell r="B794" t="str">
            <v>熱解する求波導 フーリエ</v>
          </cell>
          <cell r="C794">
            <v>6</v>
          </cell>
          <cell r="D794" t="str">
            <v>yellow</v>
          </cell>
          <cell r="E794">
            <v>0.98</v>
          </cell>
          <cell r="F794">
            <v>1.01</v>
          </cell>
          <cell r="G794">
            <v>1</v>
          </cell>
          <cell r="H794" t="str">
            <v>technical</v>
          </cell>
          <cell r="I794" t="str">
            <v>テクニカルタイプ</v>
          </cell>
          <cell r="J794">
            <v>0.9</v>
          </cell>
          <cell r="K794">
            <v>0.9</v>
          </cell>
          <cell r="L794">
            <v>1</v>
          </cell>
          <cell r="M794" t="str">
            <v>academia</v>
          </cell>
          <cell r="N794" t="str">
            <v>アカデミア</v>
          </cell>
          <cell r="O794">
            <v>1</v>
          </cell>
          <cell r="P794">
            <v>1</v>
          </cell>
          <cell r="Q794">
            <v>1</v>
          </cell>
          <cell r="R794" t="str">
            <v>Boss</v>
          </cell>
          <cell r="S794">
            <v>5</v>
          </cell>
          <cell r="T794">
            <v>1.3</v>
          </cell>
          <cell r="U794">
            <v>0.8</v>
          </cell>
          <cell r="V794">
            <v>3</v>
          </cell>
          <cell r="W794">
            <v>1</v>
          </cell>
          <cell r="X794">
            <v>60</v>
          </cell>
          <cell r="Y794">
            <v>1.7</v>
          </cell>
          <cell r="Z794">
            <v>1.4</v>
          </cell>
          <cell r="AA794">
            <v>1</v>
          </cell>
          <cell r="AB794">
            <v>0</v>
          </cell>
        </row>
        <row r="795">
          <cell r="A795">
            <v>794</v>
          </cell>
          <cell r="B795" t="str">
            <v>卒業のウィルス ハッピー</v>
          </cell>
          <cell r="C795">
            <v>3</v>
          </cell>
          <cell r="D795" t="str">
            <v>green</v>
          </cell>
          <cell r="E795">
            <v>1.02</v>
          </cell>
          <cell r="F795">
            <v>0.98</v>
          </cell>
          <cell r="G795">
            <v>1</v>
          </cell>
          <cell r="H795" t="str">
            <v>heal</v>
          </cell>
          <cell r="I795" t="str">
            <v>回復タイプ</v>
          </cell>
          <cell r="J795">
            <v>0.8</v>
          </cell>
          <cell r="K795">
            <v>0.78</v>
          </cell>
          <cell r="L795">
            <v>1</v>
          </cell>
          <cell r="M795" t="str">
            <v>unknown</v>
          </cell>
          <cell r="N795" t="str">
            <v>Unknown</v>
          </cell>
          <cell r="O795">
            <v>1</v>
          </cell>
          <cell r="P795">
            <v>1</v>
          </cell>
          <cell r="Q795">
            <v>1</v>
          </cell>
          <cell r="R795" t="str">
            <v>Boss</v>
          </cell>
          <cell r="S795">
            <v>5</v>
          </cell>
          <cell r="T795">
            <v>1.3</v>
          </cell>
          <cell r="U795">
            <v>0.8</v>
          </cell>
          <cell r="V795">
            <v>3</v>
          </cell>
          <cell r="W795">
            <v>1</v>
          </cell>
          <cell r="X795">
            <v>25</v>
          </cell>
          <cell r="Y795">
            <v>1.2</v>
          </cell>
          <cell r="Z795">
            <v>1.25</v>
          </cell>
          <cell r="AA795">
            <v>1.1499999999999999</v>
          </cell>
          <cell r="AB795">
            <v>0</v>
          </cell>
        </row>
        <row r="796">
          <cell r="A796">
            <v>795</v>
          </cell>
          <cell r="B796" t="str">
            <v>桜花の果実</v>
          </cell>
          <cell r="C796">
            <v>3</v>
          </cell>
          <cell r="D796" t="str">
            <v>blue</v>
          </cell>
          <cell r="E796">
            <v>1</v>
          </cell>
          <cell r="F796">
            <v>0.98</v>
          </cell>
          <cell r="G796">
            <v>1</v>
          </cell>
          <cell r="H796" t="str">
            <v>skilllevel</v>
          </cell>
          <cell r="I796" t="str">
            <v>スキルレベル素材</v>
          </cell>
          <cell r="J796">
            <v>0.1</v>
          </cell>
          <cell r="K796">
            <v>0.05</v>
          </cell>
          <cell r="L796">
            <v>1</v>
          </cell>
          <cell r="M796" t="str">
            <v>unknown</v>
          </cell>
          <cell r="N796" t="str">
            <v>Unknown</v>
          </cell>
          <cell r="O796">
            <v>1</v>
          </cell>
          <cell r="P796">
            <v>1</v>
          </cell>
          <cell r="Q796">
            <v>1</v>
          </cell>
          <cell r="R796" t="str">
            <v>Boss</v>
          </cell>
          <cell r="S796">
            <v>5</v>
          </cell>
          <cell r="T796">
            <v>1.3</v>
          </cell>
          <cell r="U796">
            <v>0.8</v>
          </cell>
          <cell r="V796">
            <v>3</v>
          </cell>
          <cell r="W796">
            <v>1</v>
          </cell>
          <cell r="X796">
            <v>25</v>
          </cell>
          <cell r="Y796">
            <v>1.2</v>
          </cell>
          <cell r="Z796">
            <v>1.25</v>
          </cell>
          <cell r="AA796">
            <v>1.1499999999999999</v>
          </cell>
          <cell r="AB796">
            <v>0</v>
          </cell>
        </row>
        <row r="797">
          <cell r="A797">
            <v>796</v>
          </cell>
          <cell r="B797" t="str">
            <v>超越凌駕 ラグランジュ</v>
          </cell>
          <cell r="C797">
            <v>6</v>
          </cell>
          <cell r="D797" t="str">
            <v>red</v>
          </cell>
          <cell r="E797">
            <v>1</v>
          </cell>
          <cell r="F797">
            <v>1.02</v>
          </cell>
          <cell r="G797">
            <v>1</v>
          </cell>
          <cell r="H797" t="str">
            <v>technical</v>
          </cell>
          <cell r="I797" t="str">
            <v>テクニカルタイプ</v>
          </cell>
          <cell r="J797">
            <v>0.9</v>
          </cell>
          <cell r="K797">
            <v>0.9</v>
          </cell>
          <cell r="L797">
            <v>1</v>
          </cell>
          <cell r="M797" t="str">
            <v>human</v>
          </cell>
          <cell r="N797" t="str">
            <v>ヒューマン</v>
          </cell>
          <cell r="O797">
            <v>0.94</v>
          </cell>
          <cell r="P797">
            <v>0.99</v>
          </cell>
          <cell r="Q797">
            <v>1</v>
          </cell>
          <cell r="R797" t="str">
            <v>Boss</v>
          </cell>
          <cell r="S797">
            <v>5</v>
          </cell>
          <cell r="T797">
            <v>1.3</v>
          </cell>
          <cell r="U797">
            <v>0.8</v>
          </cell>
          <cell r="V797">
            <v>3</v>
          </cell>
          <cell r="W797">
            <v>1</v>
          </cell>
          <cell r="X797">
            <v>60</v>
          </cell>
          <cell r="Y797">
            <v>1.7</v>
          </cell>
          <cell r="Z797">
            <v>1.4</v>
          </cell>
          <cell r="AA797">
            <v>1</v>
          </cell>
          <cell r="AB797">
            <v>0</v>
          </cell>
        </row>
        <row r="798">
          <cell r="A798">
            <v>797</v>
          </cell>
          <cell r="B798" t="str">
            <v>崩烙の世解 シュレディンガー</v>
          </cell>
          <cell r="C798">
            <v>6</v>
          </cell>
          <cell r="D798" t="str">
            <v>red</v>
          </cell>
          <cell r="E798">
            <v>1</v>
          </cell>
          <cell r="F798">
            <v>1.02</v>
          </cell>
          <cell r="G798">
            <v>1</v>
          </cell>
          <cell r="H798" t="str">
            <v>balance</v>
          </cell>
          <cell r="I798" t="str">
            <v>バランスタイプ</v>
          </cell>
          <cell r="J798">
            <v>1</v>
          </cell>
          <cell r="K798">
            <v>1</v>
          </cell>
          <cell r="L798">
            <v>1</v>
          </cell>
          <cell r="M798" t="str">
            <v>animal</v>
          </cell>
          <cell r="N798" t="str">
            <v>アニマル</v>
          </cell>
          <cell r="O798">
            <v>1</v>
          </cell>
          <cell r="P798">
            <v>1.1000000000000001</v>
          </cell>
          <cell r="Q798">
            <v>1</v>
          </cell>
          <cell r="R798" t="str">
            <v>Boss</v>
          </cell>
          <cell r="S798">
            <v>5</v>
          </cell>
          <cell r="T798">
            <v>1.3</v>
          </cell>
          <cell r="U798">
            <v>0.8</v>
          </cell>
          <cell r="V798">
            <v>3</v>
          </cell>
          <cell r="W798">
            <v>1</v>
          </cell>
          <cell r="X798">
            <v>60</v>
          </cell>
          <cell r="Y798">
            <v>1.7</v>
          </cell>
          <cell r="Z798">
            <v>1.4</v>
          </cell>
          <cell r="AA798">
            <v>1</v>
          </cell>
          <cell r="AB798">
            <v>0</v>
          </cell>
        </row>
        <row r="799">
          <cell r="A799">
            <v>798</v>
          </cell>
          <cell r="B799" t="str">
            <v>煌式の大機刃 オイラー</v>
          </cell>
          <cell r="C799">
            <v>6</v>
          </cell>
          <cell r="D799" t="str">
            <v>green</v>
          </cell>
          <cell r="E799">
            <v>1.02</v>
          </cell>
          <cell r="F799">
            <v>0.98</v>
          </cell>
          <cell r="G799">
            <v>1</v>
          </cell>
          <cell r="H799" t="str">
            <v>balance</v>
          </cell>
          <cell r="I799" t="str">
            <v>バランスタイプ</v>
          </cell>
          <cell r="J799">
            <v>1</v>
          </cell>
          <cell r="K799">
            <v>1</v>
          </cell>
          <cell r="L799">
            <v>1</v>
          </cell>
          <cell r="M799" t="str">
            <v>human</v>
          </cell>
          <cell r="N799" t="str">
            <v>ヒューマン</v>
          </cell>
          <cell r="O799">
            <v>0.94</v>
          </cell>
          <cell r="P799">
            <v>0.99</v>
          </cell>
          <cell r="Q799">
            <v>1</v>
          </cell>
          <cell r="R799" t="str">
            <v>Boss</v>
          </cell>
          <cell r="S799">
            <v>5</v>
          </cell>
          <cell r="T799">
            <v>1.3</v>
          </cell>
          <cell r="U799">
            <v>0.8</v>
          </cell>
          <cell r="V799">
            <v>3</v>
          </cell>
          <cell r="W799">
            <v>1</v>
          </cell>
          <cell r="X799">
            <v>60</v>
          </cell>
          <cell r="Y799">
            <v>1.7</v>
          </cell>
          <cell r="Z799">
            <v>1.4</v>
          </cell>
          <cell r="AA799">
            <v>1</v>
          </cell>
          <cell r="AB799">
            <v>0</v>
          </cell>
        </row>
        <row r="800">
          <cell r="A800">
            <v>799</v>
          </cell>
          <cell r="B800" t="str">
            <v>電讃の魔機 チューリング</v>
          </cell>
          <cell r="C800">
            <v>6</v>
          </cell>
          <cell r="D800" t="str">
            <v>green</v>
          </cell>
          <cell r="E800">
            <v>1.02</v>
          </cell>
          <cell r="F800">
            <v>0.98</v>
          </cell>
          <cell r="G800">
            <v>1</v>
          </cell>
          <cell r="H800" t="str">
            <v>hp</v>
          </cell>
          <cell r="I800" t="str">
            <v>体力タイプ</v>
          </cell>
          <cell r="J800">
            <v>1.45</v>
          </cell>
          <cell r="K800">
            <v>0.85</v>
          </cell>
          <cell r="L800">
            <v>1</v>
          </cell>
          <cell r="M800" t="str">
            <v>human</v>
          </cell>
          <cell r="N800" t="str">
            <v>ヒューマン</v>
          </cell>
          <cell r="O800">
            <v>0.94</v>
          </cell>
          <cell r="P800">
            <v>0.99</v>
          </cell>
          <cell r="Q800">
            <v>1</v>
          </cell>
          <cell r="R800" t="str">
            <v>Boss</v>
          </cell>
          <cell r="S800">
            <v>5</v>
          </cell>
          <cell r="T800">
            <v>1.3</v>
          </cell>
          <cell r="U800">
            <v>0.8</v>
          </cell>
          <cell r="V800">
            <v>3</v>
          </cell>
          <cell r="W800">
            <v>1</v>
          </cell>
          <cell r="X800">
            <v>60</v>
          </cell>
          <cell r="Y800">
            <v>1.7</v>
          </cell>
          <cell r="Z800">
            <v>1.4</v>
          </cell>
          <cell r="AA800">
            <v>1</v>
          </cell>
          <cell r="AB800">
            <v>0</v>
          </cell>
        </row>
        <row r="801">
          <cell r="A801">
            <v>800</v>
          </cell>
          <cell r="B801" t="str">
            <v>蒼穹包む命題 ヘンペル</v>
          </cell>
          <cell r="C801">
            <v>6</v>
          </cell>
          <cell r="D801" t="str">
            <v>blue</v>
          </cell>
          <cell r="E801">
            <v>1</v>
          </cell>
          <cell r="F801">
            <v>0.98</v>
          </cell>
          <cell r="G801">
            <v>1</v>
          </cell>
          <cell r="H801" t="str">
            <v>technical</v>
          </cell>
          <cell r="I801" t="str">
            <v>テクニカルタイプ</v>
          </cell>
          <cell r="J801">
            <v>0.9</v>
          </cell>
          <cell r="K801">
            <v>0.9</v>
          </cell>
          <cell r="L801">
            <v>1</v>
          </cell>
          <cell r="M801" t="str">
            <v>human</v>
          </cell>
          <cell r="N801" t="str">
            <v>ヒューマン</v>
          </cell>
          <cell r="O801">
            <v>0.94</v>
          </cell>
          <cell r="P801">
            <v>0.99</v>
          </cell>
          <cell r="Q801">
            <v>1</v>
          </cell>
          <cell r="R801" t="str">
            <v>Boss</v>
          </cell>
          <cell r="S801">
            <v>5</v>
          </cell>
          <cell r="T801">
            <v>1.3</v>
          </cell>
          <cell r="U801">
            <v>0.8</v>
          </cell>
          <cell r="V801">
            <v>3</v>
          </cell>
          <cell r="W801">
            <v>1</v>
          </cell>
          <cell r="X801">
            <v>60</v>
          </cell>
          <cell r="Y801">
            <v>1.7</v>
          </cell>
          <cell r="Z801">
            <v>1.4</v>
          </cell>
          <cell r="AA801">
            <v>1</v>
          </cell>
          <cell r="AB801">
            <v>0</v>
          </cell>
        </row>
        <row r="802">
          <cell r="A802">
            <v>801</v>
          </cell>
          <cell r="B802" t="str">
            <v>覚世の大機神 オーディン</v>
          </cell>
          <cell r="C802">
            <v>6</v>
          </cell>
          <cell r="D802" t="str">
            <v>blue</v>
          </cell>
          <cell r="E802">
            <v>1</v>
          </cell>
          <cell r="F802">
            <v>0.98</v>
          </cell>
          <cell r="G802">
            <v>1</v>
          </cell>
          <cell r="H802" t="str">
            <v>hp</v>
          </cell>
          <cell r="I802" t="str">
            <v>体力タイプ</v>
          </cell>
          <cell r="J802">
            <v>1.45</v>
          </cell>
          <cell r="K802">
            <v>0.85</v>
          </cell>
          <cell r="L802">
            <v>1</v>
          </cell>
          <cell r="M802" t="str">
            <v>machine</v>
          </cell>
          <cell r="N802" t="str">
            <v>マシン</v>
          </cell>
          <cell r="O802">
            <v>1</v>
          </cell>
          <cell r="P802">
            <v>1</v>
          </cell>
          <cell r="Q802">
            <v>1</v>
          </cell>
          <cell r="R802" t="str">
            <v>Boss</v>
          </cell>
          <cell r="S802">
            <v>5</v>
          </cell>
          <cell r="T802">
            <v>1.3</v>
          </cell>
          <cell r="U802">
            <v>0.8</v>
          </cell>
          <cell r="V802">
            <v>3</v>
          </cell>
          <cell r="W802">
            <v>1</v>
          </cell>
          <cell r="X802">
            <v>60</v>
          </cell>
          <cell r="Y802">
            <v>1.7</v>
          </cell>
          <cell r="Z802">
            <v>1.4</v>
          </cell>
          <cell r="AA802">
            <v>1</v>
          </cell>
          <cell r="AB802">
            <v>0</v>
          </cell>
        </row>
        <row r="803">
          <cell r="A803">
            <v>802</v>
          </cell>
          <cell r="B803" t="str">
            <v>四聖結終の超獣 麒麟</v>
          </cell>
          <cell r="C803">
            <v>6</v>
          </cell>
          <cell r="D803" t="str">
            <v>yellow</v>
          </cell>
          <cell r="E803">
            <v>0.98</v>
          </cell>
          <cell r="F803">
            <v>1.01</v>
          </cell>
          <cell r="G803">
            <v>1</v>
          </cell>
          <cell r="H803" t="str">
            <v>balance</v>
          </cell>
          <cell r="I803" t="str">
            <v>バランスタイプ</v>
          </cell>
          <cell r="J803">
            <v>1</v>
          </cell>
          <cell r="K803">
            <v>1</v>
          </cell>
          <cell r="L803">
            <v>1</v>
          </cell>
          <cell r="M803" t="str">
            <v>god</v>
          </cell>
          <cell r="N803" t="str">
            <v>ゴッド</v>
          </cell>
          <cell r="O803">
            <v>0.96</v>
          </cell>
          <cell r="P803">
            <v>1.02</v>
          </cell>
          <cell r="Q803">
            <v>1</v>
          </cell>
          <cell r="R803" t="str">
            <v>Boss</v>
          </cell>
          <cell r="S803">
            <v>5</v>
          </cell>
          <cell r="T803">
            <v>1.3</v>
          </cell>
          <cell r="U803">
            <v>0.8</v>
          </cell>
          <cell r="V803">
            <v>3</v>
          </cell>
          <cell r="W803">
            <v>1</v>
          </cell>
          <cell r="X803">
            <v>60</v>
          </cell>
          <cell r="Y803">
            <v>1.7</v>
          </cell>
          <cell r="Z803">
            <v>1.4</v>
          </cell>
          <cell r="AA803">
            <v>1</v>
          </cell>
          <cell r="AB803">
            <v>0</v>
          </cell>
        </row>
        <row r="804">
          <cell r="A804">
            <v>803</v>
          </cell>
          <cell r="B804" t="str">
            <v>大宇宙の膨超 ハップル</v>
          </cell>
          <cell r="C804">
            <v>6</v>
          </cell>
          <cell r="D804" t="str">
            <v>yellow</v>
          </cell>
          <cell r="E804">
            <v>0.98</v>
          </cell>
          <cell r="F804">
            <v>1.01</v>
          </cell>
          <cell r="G804">
            <v>1</v>
          </cell>
          <cell r="H804" t="str">
            <v>technical</v>
          </cell>
          <cell r="I804" t="str">
            <v>テクニカルタイプ</v>
          </cell>
          <cell r="J804">
            <v>0.9</v>
          </cell>
          <cell r="K804">
            <v>0.9</v>
          </cell>
          <cell r="L804">
            <v>1</v>
          </cell>
          <cell r="M804" t="str">
            <v>human</v>
          </cell>
          <cell r="N804" t="str">
            <v>ヒューマン</v>
          </cell>
          <cell r="O804">
            <v>0.94</v>
          </cell>
          <cell r="P804">
            <v>0.99</v>
          </cell>
          <cell r="Q804">
            <v>1</v>
          </cell>
          <cell r="R804" t="str">
            <v>Boss</v>
          </cell>
          <cell r="S804">
            <v>5</v>
          </cell>
          <cell r="T804">
            <v>1.3</v>
          </cell>
          <cell r="U804">
            <v>0.8</v>
          </cell>
          <cell r="V804">
            <v>3</v>
          </cell>
          <cell r="W804">
            <v>1</v>
          </cell>
          <cell r="X804">
            <v>60</v>
          </cell>
          <cell r="Y804">
            <v>1.7</v>
          </cell>
          <cell r="Z804">
            <v>1.4</v>
          </cell>
          <cell r="AA804">
            <v>1</v>
          </cell>
          <cell r="AB804">
            <v>0</v>
          </cell>
        </row>
        <row r="805">
          <cell r="A805">
            <v>804</v>
          </cell>
          <cell r="B805" t="str">
            <v>豪電の守護芯 ファラデー</v>
          </cell>
          <cell r="C805">
            <v>6</v>
          </cell>
          <cell r="D805" t="str">
            <v>yellow</v>
          </cell>
          <cell r="E805">
            <v>0.98</v>
          </cell>
          <cell r="F805">
            <v>1.01</v>
          </cell>
          <cell r="G805">
            <v>1</v>
          </cell>
          <cell r="H805" t="str">
            <v>balance</v>
          </cell>
          <cell r="I805" t="str">
            <v>バランスタイプ</v>
          </cell>
          <cell r="J805">
            <v>1</v>
          </cell>
          <cell r="K805">
            <v>1</v>
          </cell>
          <cell r="L805">
            <v>1</v>
          </cell>
          <cell r="M805" t="str">
            <v>human</v>
          </cell>
          <cell r="N805" t="str">
            <v>ヒューマン</v>
          </cell>
          <cell r="O805">
            <v>0.94</v>
          </cell>
          <cell r="P805">
            <v>0.99</v>
          </cell>
          <cell r="Q805">
            <v>1</v>
          </cell>
          <cell r="R805" t="str">
            <v>Boss</v>
          </cell>
          <cell r="S805">
            <v>5</v>
          </cell>
          <cell r="T805">
            <v>1.3</v>
          </cell>
          <cell r="U805">
            <v>0.8</v>
          </cell>
          <cell r="V805">
            <v>3</v>
          </cell>
          <cell r="W805">
            <v>1</v>
          </cell>
          <cell r="X805">
            <v>60</v>
          </cell>
          <cell r="Y805">
            <v>1.7</v>
          </cell>
          <cell r="Z805">
            <v>1.4</v>
          </cell>
          <cell r="AA805">
            <v>1</v>
          </cell>
          <cell r="AB805">
            <v>0</v>
          </cell>
        </row>
        <row r="806">
          <cell r="A806">
            <v>805</v>
          </cell>
          <cell r="B806" t="str">
            <v>熱環の大逆聖 ベリアル</v>
          </cell>
          <cell r="C806">
            <v>6</v>
          </cell>
          <cell r="D806" t="str">
            <v>red</v>
          </cell>
          <cell r="E806">
            <v>1</v>
          </cell>
          <cell r="F806">
            <v>1.02</v>
          </cell>
          <cell r="G806">
            <v>1</v>
          </cell>
          <cell r="H806" t="str">
            <v>attack</v>
          </cell>
          <cell r="I806" t="str">
            <v>攻撃タイプ</v>
          </cell>
          <cell r="J806">
            <v>1</v>
          </cell>
          <cell r="K806">
            <v>1.33</v>
          </cell>
          <cell r="L806">
            <v>1</v>
          </cell>
          <cell r="M806" t="str">
            <v>god</v>
          </cell>
          <cell r="N806" t="str">
            <v>ゴッド</v>
          </cell>
          <cell r="O806">
            <v>0.96</v>
          </cell>
          <cell r="P806">
            <v>1.02</v>
          </cell>
          <cell r="Q806">
            <v>1</v>
          </cell>
          <cell r="R806" t="str">
            <v>Boss</v>
          </cell>
          <cell r="S806">
            <v>5</v>
          </cell>
          <cell r="T806">
            <v>1.3</v>
          </cell>
          <cell r="U806">
            <v>0.8</v>
          </cell>
          <cell r="V806">
            <v>2</v>
          </cell>
          <cell r="W806">
            <v>0.75</v>
          </cell>
          <cell r="X806">
            <v>60</v>
          </cell>
          <cell r="Y806">
            <v>1.7</v>
          </cell>
          <cell r="Z806">
            <v>1.4</v>
          </cell>
          <cell r="AA806">
            <v>1</v>
          </cell>
          <cell r="AB806">
            <v>0</v>
          </cell>
        </row>
        <row r="807">
          <cell r="A807">
            <v>806</v>
          </cell>
          <cell r="B807" t="str">
            <v>全解の預智聖 オセ</v>
          </cell>
          <cell r="C807">
            <v>6</v>
          </cell>
          <cell r="D807" t="str">
            <v>green</v>
          </cell>
          <cell r="E807">
            <v>1.02</v>
          </cell>
          <cell r="F807">
            <v>0.98</v>
          </cell>
          <cell r="G807">
            <v>1</v>
          </cell>
          <cell r="H807" t="str">
            <v>attack</v>
          </cell>
          <cell r="I807" t="str">
            <v>攻撃タイプ</v>
          </cell>
          <cell r="J807">
            <v>1</v>
          </cell>
          <cell r="K807">
            <v>1.33</v>
          </cell>
          <cell r="L807">
            <v>1</v>
          </cell>
          <cell r="M807" t="str">
            <v>god</v>
          </cell>
          <cell r="N807" t="str">
            <v>ゴッド</v>
          </cell>
          <cell r="O807">
            <v>0.96</v>
          </cell>
          <cell r="P807">
            <v>1.02</v>
          </cell>
          <cell r="Q807">
            <v>1</v>
          </cell>
          <cell r="R807" t="str">
            <v>Boss</v>
          </cell>
          <cell r="S807">
            <v>5</v>
          </cell>
          <cell r="T807">
            <v>1.3</v>
          </cell>
          <cell r="U807">
            <v>0.8</v>
          </cell>
          <cell r="V807">
            <v>2</v>
          </cell>
          <cell r="W807">
            <v>0.75</v>
          </cell>
          <cell r="X807">
            <v>60</v>
          </cell>
          <cell r="Y807">
            <v>1.7</v>
          </cell>
          <cell r="Z807">
            <v>1.4</v>
          </cell>
          <cell r="AA807">
            <v>1</v>
          </cell>
          <cell r="AB807">
            <v>0</v>
          </cell>
        </row>
        <row r="808">
          <cell r="A808">
            <v>807</v>
          </cell>
          <cell r="B808" t="str">
            <v>襲愛の真公爵 フォルネウス</v>
          </cell>
          <cell r="C808">
            <v>6</v>
          </cell>
          <cell r="D808" t="str">
            <v>blue</v>
          </cell>
          <cell r="E808">
            <v>1</v>
          </cell>
          <cell r="F808">
            <v>0.98</v>
          </cell>
          <cell r="G808">
            <v>1</v>
          </cell>
          <cell r="H808" t="str">
            <v>attack</v>
          </cell>
          <cell r="I808" t="str">
            <v>攻撃タイプ</v>
          </cell>
          <cell r="J808">
            <v>1</v>
          </cell>
          <cell r="K808">
            <v>1.33</v>
          </cell>
          <cell r="L808">
            <v>1</v>
          </cell>
          <cell r="M808" t="str">
            <v>god</v>
          </cell>
          <cell r="N808" t="str">
            <v>ゴッド</v>
          </cell>
          <cell r="O808">
            <v>0.96</v>
          </cell>
          <cell r="P808">
            <v>1.02</v>
          </cell>
          <cell r="Q808">
            <v>1</v>
          </cell>
          <cell r="R808" t="str">
            <v>Boss</v>
          </cell>
          <cell r="S808">
            <v>5</v>
          </cell>
          <cell r="T808">
            <v>1.3</v>
          </cell>
          <cell r="U808">
            <v>0.8</v>
          </cell>
          <cell r="V808">
            <v>2</v>
          </cell>
          <cell r="W808">
            <v>0.75</v>
          </cell>
          <cell r="X808">
            <v>60</v>
          </cell>
          <cell r="Y808">
            <v>1.7</v>
          </cell>
          <cell r="Z808">
            <v>1.4</v>
          </cell>
          <cell r="AA808">
            <v>1</v>
          </cell>
          <cell r="AB808">
            <v>0</v>
          </cell>
        </row>
        <row r="809">
          <cell r="A809">
            <v>808</v>
          </cell>
          <cell r="B809" t="str">
            <v>天地万物の烈神母 イザナミ</v>
          </cell>
          <cell r="C809">
            <v>6</v>
          </cell>
          <cell r="D809" t="str">
            <v>yellow</v>
          </cell>
          <cell r="E809">
            <v>0.98</v>
          </cell>
          <cell r="F809">
            <v>1.01</v>
          </cell>
          <cell r="G809">
            <v>1</v>
          </cell>
          <cell r="H809" t="str">
            <v>attack</v>
          </cell>
          <cell r="I809" t="str">
            <v>攻撃タイプ</v>
          </cell>
          <cell r="J809">
            <v>1</v>
          </cell>
          <cell r="K809">
            <v>1.33</v>
          </cell>
          <cell r="L809">
            <v>1</v>
          </cell>
          <cell r="M809" t="str">
            <v>god</v>
          </cell>
          <cell r="N809" t="str">
            <v>ゴッド</v>
          </cell>
          <cell r="O809">
            <v>0.96</v>
          </cell>
          <cell r="P809">
            <v>1.02</v>
          </cell>
          <cell r="Q809">
            <v>1</v>
          </cell>
          <cell r="R809" t="str">
            <v>Boss</v>
          </cell>
          <cell r="S809">
            <v>5</v>
          </cell>
          <cell r="T809">
            <v>1.3</v>
          </cell>
          <cell r="U809">
            <v>0.8</v>
          </cell>
          <cell r="V809">
            <v>2</v>
          </cell>
          <cell r="W809">
            <v>0.75</v>
          </cell>
          <cell r="X809">
            <v>60</v>
          </cell>
          <cell r="Y809">
            <v>1.7</v>
          </cell>
          <cell r="Z809">
            <v>1.4</v>
          </cell>
          <cell r="AA809">
            <v>1</v>
          </cell>
          <cell r="AB809">
            <v>0</v>
          </cell>
        </row>
        <row r="810">
          <cell r="A810">
            <v>809</v>
          </cell>
          <cell r="B810" t="str">
            <v>天然理心の激凛 沖田総司</v>
          </cell>
          <cell r="C810">
            <v>6</v>
          </cell>
          <cell r="D810" t="str">
            <v>blue</v>
          </cell>
          <cell r="E810">
            <v>1</v>
          </cell>
          <cell r="F810">
            <v>0.98</v>
          </cell>
          <cell r="G810">
            <v>1</v>
          </cell>
          <cell r="H810" t="str">
            <v>balance</v>
          </cell>
          <cell r="I810" t="str">
            <v>バランスタイプ</v>
          </cell>
          <cell r="J810">
            <v>1</v>
          </cell>
          <cell r="K810">
            <v>1</v>
          </cell>
          <cell r="L810">
            <v>1</v>
          </cell>
          <cell r="M810" t="str">
            <v>human</v>
          </cell>
          <cell r="N810" t="str">
            <v>ヒューマン</v>
          </cell>
          <cell r="O810">
            <v>0.94</v>
          </cell>
          <cell r="P810">
            <v>0.99</v>
          </cell>
          <cell r="Q810">
            <v>1</v>
          </cell>
          <cell r="R810" t="str">
            <v>Boss</v>
          </cell>
          <cell r="S810">
            <v>5</v>
          </cell>
          <cell r="T810">
            <v>1.3</v>
          </cell>
          <cell r="U810">
            <v>0.8</v>
          </cell>
          <cell r="V810">
            <v>2</v>
          </cell>
          <cell r="W810">
            <v>0.75</v>
          </cell>
          <cell r="X810">
            <v>60</v>
          </cell>
          <cell r="Y810">
            <v>1.7</v>
          </cell>
          <cell r="Z810">
            <v>1.4</v>
          </cell>
          <cell r="AA810">
            <v>1</v>
          </cell>
          <cell r="AB810">
            <v>0</v>
          </cell>
        </row>
        <row r="811">
          <cell r="A811">
            <v>810</v>
          </cell>
          <cell r="B811" t="str">
            <v>君臨大御神 アマテラス</v>
          </cell>
          <cell r="C811">
            <v>6</v>
          </cell>
          <cell r="D811" t="str">
            <v>red</v>
          </cell>
          <cell r="E811">
            <v>1</v>
          </cell>
          <cell r="F811">
            <v>1.02</v>
          </cell>
          <cell r="G811">
            <v>1</v>
          </cell>
          <cell r="H811" t="str">
            <v>attack</v>
          </cell>
          <cell r="I811" t="str">
            <v>攻撃タイプ</v>
          </cell>
          <cell r="J811">
            <v>1</v>
          </cell>
          <cell r="K811">
            <v>1.33</v>
          </cell>
          <cell r="L811">
            <v>1</v>
          </cell>
          <cell r="M811" t="str">
            <v>god</v>
          </cell>
          <cell r="N811" t="str">
            <v>ゴッド</v>
          </cell>
          <cell r="O811">
            <v>0.96</v>
          </cell>
          <cell r="P811">
            <v>1.02</v>
          </cell>
          <cell r="Q811">
            <v>1</v>
          </cell>
          <cell r="R811" t="str">
            <v>Boss</v>
          </cell>
          <cell r="S811">
            <v>5</v>
          </cell>
          <cell r="T811">
            <v>1.3</v>
          </cell>
          <cell r="U811">
            <v>0.8</v>
          </cell>
          <cell r="V811">
            <v>2</v>
          </cell>
          <cell r="W811">
            <v>0.75</v>
          </cell>
          <cell r="X811">
            <v>60</v>
          </cell>
          <cell r="Y811">
            <v>1.7</v>
          </cell>
          <cell r="Z811">
            <v>1.4</v>
          </cell>
          <cell r="AA811">
            <v>1</v>
          </cell>
          <cell r="AB811">
            <v>0</v>
          </cell>
        </row>
        <row r="812">
          <cell r="A812">
            <v>811</v>
          </cell>
          <cell r="B812" t="str">
            <v>咲き誇る旅航者 親指姫</v>
          </cell>
          <cell r="C812">
            <v>6</v>
          </cell>
          <cell r="D812" t="str">
            <v>red</v>
          </cell>
          <cell r="E812">
            <v>1</v>
          </cell>
          <cell r="F812">
            <v>1.02</v>
          </cell>
          <cell r="G812">
            <v>1</v>
          </cell>
          <cell r="H812" t="str">
            <v>heal</v>
          </cell>
          <cell r="I812" t="str">
            <v>回復タイプ</v>
          </cell>
          <cell r="J812">
            <v>0.8</v>
          </cell>
          <cell r="K812">
            <v>0.78</v>
          </cell>
          <cell r="L812">
            <v>1</v>
          </cell>
          <cell r="M812" t="str">
            <v>human</v>
          </cell>
          <cell r="N812" t="str">
            <v>ヒューマン</v>
          </cell>
          <cell r="O812">
            <v>0.94</v>
          </cell>
          <cell r="P812">
            <v>0.99</v>
          </cell>
          <cell r="Q812">
            <v>1</v>
          </cell>
          <cell r="R812" t="str">
            <v>Boss</v>
          </cell>
          <cell r="S812">
            <v>5</v>
          </cell>
          <cell r="T812">
            <v>1.3</v>
          </cell>
          <cell r="U812">
            <v>0.8</v>
          </cell>
          <cell r="V812">
            <v>2</v>
          </cell>
          <cell r="W812">
            <v>0.75</v>
          </cell>
          <cell r="X812">
            <v>60</v>
          </cell>
          <cell r="Y812">
            <v>1.7</v>
          </cell>
          <cell r="Z812">
            <v>1.4</v>
          </cell>
          <cell r="AA812">
            <v>1</v>
          </cell>
          <cell r="AB812">
            <v>0</v>
          </cell>
        </row>
        <row r="813">
          <cell r="A813">
            <v>812</v>
          </cell>
          <cell r="B813" t="str">
            <v>凶膨なる殲滅 アザゼル</v>
          </cell>
          <cell r="C813">
            <v>6</v>
          </cell>
          <cell r="D813" t="str">
            <v>green</v>
          </cell>
          <cell r="E813">
            <v>1.02</v>
          </cell>
          <cell r="F813">
            <v>0.98</v>
          </cell>
          <cell r="G813">
            <v>1</v>
          </cell>
          <cell r="H813" t="str">
            <v>technical</v>
          </cell>
          <cell r="I813" t="str">
            <v>テクニカルタイプ</v>
          </cell>
          <cell r="J813">
            <v>0.9</v>
          </cell>
          <cell r="K813">
            <v>0.9</v>
          </cell>
          <cell r="L813">
            <v>1</v>
          </cell>
          <cell r="M813" t="str">
            <v>god</v>
          </cell>
          <cell r="N813" t="str">
            <v>ゴッド</v>
          </cell>
          <cell r="O813">
            <v>0.96</v>
          </cell>
          <cell r="P813">
            <v>1.02</v>
          </cell>
          <cell r="Q813">
            <v>1</v>
          </cell>
          <cell r="R813" t="str">
            <v>Boss</v>
          </cell>
          <cell r="S813">
            <v>5</v>
          </cell>
          <cell r="T813">
            <v>1.3</v>
          </cell>
          <cell r="U813">
            <v>0.8</v>
          </cell>
          <cell r="V813">
            <v>2</v>
          </cell>
          <cell r="W813">
            <v>0.75</v>
          </cell>
          <cell r="X813">
            <v>60</v>
          </cell>
          <cell r="Y813">
            <v>1.7</v>
          </cell>
          <cell r="Z813">
            <v>1.4</v>
          </cell>
          <cell r="AA813">
            <v>1</v>
          </cell>
          <cell r="AB813">
            <v>0</v>
          </cell>
        </row>
        <row r="814">
          <cell r="A814">
            <v>813</v>
          </cell>
          <cell r="B814" t="str">
            <v>絆の大冒険 ヘンゼル＆グレーテル</v>
          </cell>
          <cell r="C814">
            <v>6</v>
          </cell>
          <cell r="D814" t="str">
            <v>yellow</v>
          </cell>
          <cell r="E814">
            <v>0.98</v>
          </cell>
          <cell r="F814">
            <v>1.01</v>
          </cell>
          <cell r="G814">
            <v>1</v>
          </cell>
          <cell r="H814" t="str">
            <v>balance</v>
          </cell>
          <cell r="I814" t="str">
            <v>バランスタイプ</v>
          </cell>
          <cell r="J814">
            <v>1</v>
          </cell>
          <cell r="K814">
            <v>1</v>
          </cell>
          <cell r="L814">
            <v>1</v>
          </cell>
          <cell r="M814" t="str">
            <v>human</v>
          </cell>
          <cell r="N814" t="str">
            <v>ヒューマン</v>
          </cell>
          <cell r="O814">
            <v>0.94</v>
          </cell>
          <cell r="P814">
            <v>0.99</v>
          </cell>
          <cell r="Q814">
            <v>1</v>
          </cell>
          <cell r="R814" t="str">
            <v>Boss</v>
          </cell>
          <cell r="S814">
            <v>5</v>
          </cell>
          <cell r="T814">
            <v>1.3</v>
          </cell>
          <cell r="U814">
            <v>0.8</v>
          </cell>
          <cell r="V814">
            <v>2</v>
          </cell>
          <cell r="W814">
            <v>0.75</v>
          </cell>
          <cell r="X814">
            <v>60</v>
          </cell>
          <cell r="Y814">
            <v>1.7</v>
          </cell>
          <cell r="Z814">
            <v>1.4</v>
          </cell>
          <cell r="AA814">
            <v>1</v>
          </cell>
          <cell r="AB814">
            <v>0</v>
          </cell>
        </row>
        <row r="815">
          <cell r="A815">
            <v>814</v>
          </cell>
          <cell r="B815" t="str">
            <v>戦場疾駆の鋼蹄 ジャンヌ</v>
          </cell>
          <cell r="C815">
            <v>6</v>
          </cell>
          <cell r="D815" t="str">
            <v>blue</v>
          </cell>
          <cell r="E815">
            <v>1</v>
          </cell>
          <cell r="F815">
            <v>0.98</v>
          </cell>
          <cell r="G815">
            <v>1</v>
          </cell>
          <cell r="H815" t="str">
            <v>heal</v>
          </cell>
          <cell r="I815" t="str">
            <v>回復タイプ</v>
          </cell>
          <cell r="J815">
            <v>0.8</v>
          </cell>
          <cell r="K815">
            <v>0.78</v>
          </cell>
          <cell r="L815">
            <v>1</v>
          </cell>
          <cell r="M815" t="str">
            <v>human</v>
          </cell>
          <cell r="N815" t="str">
            <v>ヒューマン</v>
          </cell>
          <cell r="O815">
            <v>0.94</v>
          </cell>
          <cell r="P815">
            <v>0.99</v>
          </cell>
          <cell r="Q815">
            <v>1</v>
          </cell>
          <cell r="R815" t="str">
            <v>Boss</v>
          </cell>
          <cell r="S815">
            <v>5</v>
          </cell>
          <cell r="T815">
            <v>1.3</v>
          </cell>
          <cell r="U815">
            <v>0.8</v>
          </cell>
          <cell r="V815">
            <v>2</v>
          </cell>
          <cell r="W815">
            <v>0.75</v>
          </cell>
          <cell r="X815">
            <v>60</v>
          </cell>
          <cell r="Y815">
            <v>1.7</v>
          </cell>
          <cell r="Z815">
            <v>1.4</v>
          </cell>
          <cell r="AA815">
            <v>1</v>
          </cell>
          <cell r="AB815">
            <v>0</v>
          </cell>
        </row>
        <row r="816">
          <cell r="A816">
            <v>815</v>
          </cell>
          <cell r="B816" t="str">
            <v>解砲の鴉眼 八咫烏</v>
          </cell>
          <cell r="C816">
            <v>6</v>
          </cell>
          <cell r="D816" t="str">
            <v>green</v>
          </cell>
          <cell r="E816">
            <v>1.02</v>
          </cell>
          <cell r="F816">
            <v>0.98</v>
          </cell>
          <cell r="G816">
            <v>1</v>
          </cell>
          <cell r="H816" t="str">
            <v>balance</v>
          </cell>
          <cell r="I816" t="str">
            <v>バランスタイプ</v>
          </cell>
          <cell r="J816">
            <v>1</v>
          </cell>
          <cell r="K816">
            <v>1</v>
          </cell>
          <cell r="L816">
            <v>1</v>
          </cell>
          <cell r="M816" t="str">
            <v>animal</v>
          </cell>
          <cell r="N816" t="str">
            <v>アニマル</v>
          </cell>
          <cell r="O816">
            <v>1</v>
          </cell>
          <cell r="P816">
            <v>1.1000000000000001</v>
          </cell>
          <cell r="Q816">
            <v>1</v>
          </cell>
          <cell r="R816" t="str">
            <v>Boss</v>
          </cell>
          <cell r="S816">
            <v>5</v>
          </cell>
          <cell r="T816">
            <v>1.3</v>
          </cell>
          <cell r="U816">
            <v>0.8</v>
          </cell>
          <cell r="V816">
            <v>2</v>
          </cell>
          <cell r="W816">
            <v>0.75</v>
          </cell>
          <cell r="X816">
            <v>60</v>
          </cell>
          <cell r="Y816">
            <v>1.7</v>
          </cell>
          <cell r="Z816">
            <v>1.4</v>
          </cell>
          <cell r="AA816">
            <v>1</v>
          </cell>
          <cell r="AB816">
            <v>0</v>
          </cell>
        </row>
        <row r="817">
          <cell r="A817">
            <v>816</v>
          </cell>
          <cell r="B817" t="str">
            <v>極・二天一流 宮本武蔵</v>
          </cell>
          <cell r="C817">
            <v>6</v>
          </cell>
          <cell r="D817" t="str">
            <v>yellow</v>
          </cell>
          <cell r="E817">
            <v>0.98</v>
          </cell>
          <cell r="F817">
            <v>1.01</v>
          </cell>
          <cell r="G817">
            <v>1</v>
          </cell>
          <cell r="H817" t="str">
            <v>attack</v>
          </cell>
          <cell r="I817" t="str">
            <v>攻撃タイプ</v>
          </cell>
          <cell r="J817">
            <v>1</v>
          </cell>
          <cell r="K817">
            <v>1.33</v>
          </cell>
          <cell r="L817">
            <v>1</v>
          </cell>
          <cell r="M817" t="str">
            <v>human</v>
          </cell>
          <cell r="N817" t="str">
            <v>ヒューマン</v>
          </cell>
          <cell r="O817">
            <v>0.94</v>
          </cell>
          <cell r="P817">
            <v>0.99</v>
          </cell>
          <cell r="Q817">
            <v>1</v>
          </cell>
          <cell r="R817" t="str">
            <v>Boss</v>
          </cell>
          <cell r="S817">
            <v>5</v>
          </cell>
          <cell r="T817">
            <v>1.3</v>
          </cell>
          <cell r="U817">
            <v>0.8</v>
          </cell>
          <cell r="V817">
            <v>2</v>
          </cell>
          <cell r="W817">
            <v>0.75</v>
          </cell>
          <cell r="X817">
            <v>60</v>
          </cell>
          <cell r="Y817">
            <v>1.7</v>
          </cell>
          <cell r="Z817">
            <v>1.4</v>
          </cell>
          <cell r="AA817">
            <v>1</v>
          </cell>
          <cell r="AB817">
            <v>0</v>
          </cell>
        </row>
        <row r="818">
          <cell r="A818">
            <v>817</v>
          </cell>
          <cell r="B818" t="str">
            <v>決戦の抗弾 D.R.T.H.</v>
          </cell>
          <cell r="C818">
            <v>6</v>
          </cell>
          <cell r="D818" t="str">
            <v>red</v>
          </cell>
          <cell r="E818">
            <v>1</v>
          </cell>
          <cell r="F818">
            <v>1.02</v>
          </cell>
          <cell r="G818">
            <v>1</v>
          </cell>
          <cell r="H818" t="str">
            <v>balance</v>
          </cell>
          <cell r="I818" t="str">
            <v>バランスタイプ</v>
          </cell>
          <cell r="J818">
            <v>1</v>
          </cell>
          <cell r="K818">
            <v>1</v>
          </cell>
          <cell r="L818">
            <v>1</v>
          </cell>
          <cell r="M818" t="str">
            <v>human</v>
          </cell>
          <cell r="N818" t="str">
            <v>ヒューマン</v>
          </cell>
          <cell r="O818">
            <v>0.94</v>
          </cell>
          <cell r="P818">
            <v>0.99</v>
          </cell>
          <cell r="Q818">
            <v>1</v>
          </cell>
          <cell r="R818" t="str">
            <v>Boss</v>
          </cell>
          <cell r="S818">
            <v>5</v>
          </cell>
          <cell r="T818">
            <v>1.3</v>
          </cell>
          <cell r="U818">
            <v>0.8</v>
          </cell>
          <cell r="V818">
            <v>2</v>
          </cell>
          <cell r="W818">
            <v>0.75</v>
          </cell>
          <cell r="X818">
            <v>60</v>
          </cell>
          <cell r="Y818">
            <v>1.7</v>
          </cell>
          <cell r="Z818">
            <v>1.4</v>
          </cell>
          <cell r="AA818">
            <v>1</v>
          </cell>
          <cell r="AB818">
            <v>0</v>
          </cell>
        </row>
        <row r="819">
          <cell r="A819">
            <v>818</v>
          </cell>
          <cell r="B819" t="str">
            <v>虚空を飾る大輪 オズ</v>
          </cell>
          <cell r="C819">
            <v>6</v>
          </cell>
          <cell r="D819" t="str">
            <v>green</v>
          </cell>
          <cell r="E819">
            <v>1.02</v>
          </cell>
          <cell r="F819">
            <v>0.98</v>
          </cell>
          <cell r="G819">
            <v>1</v>
          </cell>
          <cell r="H819" t="str">
            <v>technical</v>
          </cell>
          <cell r="I819" t="str">
            <v>テクニカルタイプ</v>
          </cell>
          <cell r="J819">
            <v>0.9</v>
          </cell>
          <cell r="K819">
            <v>0.9</v>
          </cell>
          <cell r="L819">
            <v>1</v>
          </cell>
          <cell r="M819" t="str">
            <v>human</v>
          </cell>
          <cell r="N819" t="str">
            <v>ヒューマン</v>
          </cell>
          <cell r="O819">
            <v>0.94</v>
          </cell>
          <cell r="P819">
            <v>0.99</v>
          </cell>
          <cell r="Q819">
            <v>1</v>
          </cell>
          <cell r="R819" t="str">
            <v>Boss</v>
          </cell>
          <cell r="S819">
            <v>5</v>
          </cell>
          <cell r="T819">
            <v>1.3</v>
          </cell>
          <cell r="U819">
            <v>0.8</v>
          </cell>
          <cell r="V819">
            <v>3</v>
          </cell>
          <cell r="W819">
            <v>1</v>
          </cell>
          <cell r="X819">
            <v>60</v>
          </cell>
          <cell r="Y819">
            <v>1.7</v>
          </cell>
          <cell r="Z819">
            <v>1.4</v>
          </cell>
          <cell r="AA819">
            <v>1</v>
          </cell>
          <cell r="AB819">
            <v>0</v>
          </cell>
        </row>
        <row r="820">
          <cell r="A820">
            <v>819</v>
          </cell>
          <cell r="B820" t="str">
            <v>讐命の我突 モルドレッド</v>
          </cell>
          <cell r="C820">
            <v>6</v>
          </cell>
          <cell r="D820" t="str">
            <v>blue</v>
          </cell>
          <cell r="E820">
            <v>1</v>
          </cell>
          <cell r="F820">
            <v>0.98</v>
          </cell>
          <cell r="G820">
            <v>1</v>
          </cell>
          <cell r="H820" t="str">
            <v>technical</v>
          </cell>
          <cell r="I820" t="str">
            <v>テクニカルタイプ</v>
          </cell>
          <cell r="J820">
            <v>0.9</v>
          </cell>
          <cell r="K820">
            <v>0.9</v>
          </cell>
          <cell r="L820">
            <v>1</v>
          </cell>
          <cell r="M820" t="str">
            <v>human</v>
          </cell>
          <cell r="N820" t="str">
            <v>ヒューマン</v>
          </cell>
          <cell r="O820">
            <v>0.94</v>
          </cell>
          <cell r="P820">
            <v>0.99</v>
          </cell>
          <cell r="Q820">
            <v>1</v>
          </cell>
          <cell r="R820" t="str">
            <v>Boss</v>
          </cell>
          <cell r="S820">
            <v>5</v>
          </cell>
          <cell r="T820">
            <v>1.3</v>
          </cell>
          <cell r="U820">
            <v>0.8</v>
          </cell>
          <cell r="V820">
            <v>2</v>
          </cell>
          <cell r="W820">
            <v>0.75</v>
          </cell>
          <cell r="X820">
            <v>60</v>
          </cell>
          <cell r="Y820">
            <v>1.7</v>
          </cell>
          <cell r="Z820">
            <v>1.4</v>
          </cell>
          <cell r="AA820">
            <v>1</v>
          </cell>
          <cell r="AB820">
            <v>0</v>
          </cell>
        </row>
        <row r="821">
          <cell r="A821">
            <v>820</v>
          </cell>
          <cell r="B821" t="str">
            <v>凶心者の聖儀 アーサー</v>
          </cell>
          <cell r="C821">
            <v>6</v>
          </cell>
          <cell r="D821" t="str">
            <v>red</v>
          </cell>
          <cell r="E821">
            <v>1</v>
          </cell>
          <cell r="F821">
            <v>1.02</v>
          </cell>
          <cell r="G821">
            <v>1</v>
          </cell>
          <cell r="H821" t="str">
            <v>balance</v>
          </cell>
          <cell r="I821" t="str">
            <v>バランスタイプ</v>
          </cell>
          <cell r="J821">
            <v>1</v>
          </cell>
          <cell r="K821">
            <v>1</v>
          </cell>
          <cell r="L821">
            <v>1</v>
          </cell>
          <cell r="M821" t="str">
            <v>human</v>
          </cell>
          <cell r="N821" t="str">
            <v>ヒューマン</v>
          </cell>
          <cell r="O821">
            <v>0.94</v>
          </cell>
          <cell r="P821">
            <v>0.99</v>
          </cell>
          <cell r="Q821">
            <v>1</v>
          </cell>
          <cell r="R821" t="str">
            <v>Boss</v>
          </cell>
          <cell r="S821">
            <v>5</v>
          </cell>
          <cell r="T821">
            <v>1.3</v>
          </cell>
          <cell r="U821">
            <v>0.8</v>
          </cell>
          <cell r="V821">
            <v>2</v>
          </cell>
          <cell r="W821">
            <v>0.75</v>
          </cell>
          <cell r="X821">
            <v>60</v>
          </cell>
          <cell r="Y821">
            <v>1.7</v>
          </cell>
          <cell r="Z821">
            <v>1.4</v>
          </cell>
          <cell r="AA821">
            <v>1</v>
          </cell>
          <cell r="AB821">
            <v>0</v>
          </cell>
        </row>
        <row r="822">
          <cell r="A822">
            <v>821</v>
          </cell>
          <cell r="B822" t="str">
            <v>急蹴の硬機脚 ブートレグ・ペロー</v>
          </cell>
          <cell r="C822">
            <v>6</v>
          </cell>
          <cell r="D822" t="str">
            <v>red</v>
          </cell>
          <cell r="E822">
            <v>1</v>
          </cell>
          <cell r="F822">
            <v>1.02</v>
          </cell>
          <cell r="G822">
            <v>1</v>
          </cell>
          <cell r="H822" t="str">
            <v>hp</v>
          </cell>
          <cell r="I822" t="str">
            <v>体力タイプ</v>
          </cell>
          <cell r="J822">
            <v>1.45</v>
          </cell>
          <cell r="K822">
            <v>0.85</v>
          </cell>
          <cell r="L822">
            <v>1</v>
          </cell>
          <cell r="M822" t="str">
            <v>animal</v>
          </cell>
          <cell r="N822" t="str">
            <v>アニマル</v>
          </cell>
          <cell r="O822">
            <v>1</v>
          </cell>
          <cell r="P822">
            <v>1.1000000000000001</v>
          </cell>
          <cell r="Q822">
            <v>1</v>
          </cell>
          <cell r="R822" t="str">
            <v>Boss</v>
          </cell>
          <cell r="S822">
            <v>5</v>
          </cell>
          <cell r="T822">
            <v>1.3</v>
          </cell>
          <cell r="U822">
            <v>0.8</v>
          </cell>
          <cell r="V822">
            <v>2</v>
          </cell>
          <cell r="W822">
            <v>0.75</v>
          </cell>
          <cell r="X822">
            <v>60</v>
          </cell>
          <cell r="Y822">
            <v>1.7</v>
          </cell>
          <cell r="Z822">
            <v>1.4</v>
          </cell>
          <cell r="AA822">
            <v>1</v>
          </cell>
          <cell r="AB822">
            <v>0</v>
          </cell>
        </row>
        <row r="823">
          <cell r="A823">
            <v>822</v>
          </cell>
          <cell r="B823" t="str">
            <v>操魂の蒐集家 グリム</v>
          </cell>
          <cell r="C823">
            <v>6</v>
          </cell>
          <cell r="D823" t="str">
            <v>green</v>
          </cell>
          <cell r="E823">
            <v>1.02</v>
          </cell>
          <cell r="F823">
            <v>0.98</v>
          </cell>
          <cell r="G823">
            <v>1</v>
          </cell>
          <cell r="H823" t="str">
            <v>balance</v>
          </cell>
          <cell r="I823" t="str">
            <v>バランスタイプ</v>
          </cell>
          <cell r="J823">
            <v>1</v>
          </cell>
          <cell r="K823">
            <v>1</v>
          </cell>
          <cell r="L823">
            <v>1</v>
          </cell>
          <cell r="M823" t="str">
            <v>human</v>
          </cell>
          <cell r="N823" t="str">
            <v>ヒューマン</v>
          </cell>
          <cell r="O823">
            <v>0.94</v>
          </cell>
          <cell r="P823">
            <v>0.99</v>
          </cell>
          <cell r="Q823">
            <v>1</v>
          </cell>
          <cell r="R823" t="str">
            <v>Boss</v>
          </cell>
          <cell r="S823">
            <v>5</v>
          </cell>
          <cell r="T823">
            <v>1.3</v>
          </cell>
          <cell r="U823">
            <v>0.8</v>
          </cell>
          <cell r="V823">
            <v>3</v>
          </cell>
          <cell r="W823">
            <v>1</v>
          </cell>
          <cell r="X823">
            <v>60</v>
          </cell>
          <cell r="Y823">
            <v>1.7</v>
          </cell>
          <cell r="Z823">
            <v>1.4</v>
          </cell>
          <cell r="AA823">
            <v>1</v>
          </cell>
          <cell r="AB823">
            <v>0</v>
          </cell>
        </row>
        <row r="824">
          <cell r="A824">
            <v>823</v>
          </cell>
          <cell r="B824" t="str">
            <v>跳鼠の睡奏楽 ハーメルン</v>
          </cell>
          <cell r="C824">
            <v>6</v>
          </cell>
          <cell r="D824" t="str">
            <v>green</v>
          </cell>
          <cell r="E824">
            <v>1.02</v>
          </cell>
          <cell r="F824">
            <v>0.98</v>
          </cell>
          <cell r="G824">
            <v>1</v>
          </cell>
          <cell r="H824" t="str">
            <v>technical</v>
          </cell>
          <cell r="I824" t="str">
            <v>テクニカルタイプ</v>
          </cell>
          <cell r="J824">
            <v>0.9</v>
          </cell>
          <cell r="K824">
            <v>0.9</v>
          </cell>
          <cell r="L824">
            <v>1</v>
          </cell>
          <cell r="M824" t="str">
            <v>human</v>
          </cell>
          <cell r="N824" t="str">
            <v>ヒューマン</v>
          </cell>
          <cell r="O824">
            <v>0.94</v>
          </cell>
          <cell r="P824">
            <v>0.99</v>
          </cell>
          <cell r="Q824">
            <v>1</v>
          </cell>
          <cell r="R824" t="str">
            <v>Boss</v>
          </cell>
          <cell r="S824">
            <v>5</v>
          </cell>
          <cell r="T824">
            <v>1.3</v>
          </cell>
          <cell r="U824">
            <v>0.8</v>
          </cell>
          <cell r="V824">
            <v>3</v>
          </cell>
          <cell r="W824">
            <v>1</v>
          </cell>
          <cell r="X824">
            <v>60</v>
          </cell>
          <cell r="Y824">
            <v>1.7</v>
          </cell>
          <cell r="Z824">
            <v>1.4</v>
          </cell>
          <cell r="AA824">
            <v>1</v>
          </cell>
          <cell r="AB824">
            <v>0</v>
          </cell>
        </row>
        <row r="825">
          <cell r="A825">
            <v>824</v>
          </cell>
          <cell r="B825" t="str">
            <v>悪意の団塊  Gスター・チルドレン</v>
          </cell>
          <cell r="C825">
            <v>6</v>
          </cell>
          <cell r="D825" t="str">
            <v>yellow</v>
          </cell>
          <cell r="E825">
            <v>0.98</v>
          </cell>
          <cell r="F825">
            <v>1.01</v>
          </cell>
          <cell r="G825">
            <v>1</v>
          </cell>
          <cell r="H825" t="str">
            <v>hp</v>
          </cell>
          <cell r="I825" t="str">
            <v>体力タイプ</v>
          </cell>
          <cell r="J825">
            <v>1</v>
          </cell>
          <cell r="K825">
            <v>1.33</v>
          </cell>
          <cell r="L825">
            <v>1</v>
          </cell>
          <cell r="M825" t="str">
            <v>unknown</v>
          </cell>
          <cell r="N825" t="str">
            <v>Unknown</v>
          </cell>
          <cell r="O825">
            <v>0.94</v>
          </cell>
          <cell r="P825">
            <v>0.99</v>
          </cell>
          <cell r="Q825">
            <v>1</v>
          </cell>
          <cell r="R825" t="str">
            <v>Boss</v>
          </cell>
          <cell r="S825">
            <v>5</v>
          </cell>
          <cell r="T825">
            <v>1.3</v>
          </cell>
          <cell r="U825">
            <v>0.8</v>
          </cell>
          <cell r="V825">
            <v>3</v>
          </cell>
          <cell r="W825">
            <v>1</v>
          </cell>
          <cell r="X825">
            <v>60</v>
          </cell>
          <cell r="Y825">
            <v>1.7</v>
          </cell>
          <cell r="Z825">
            <v>1.4</v>
          </cell>
          <cell r="AA825">
            <v>1</v>
          </cell>
          <cell r="AB825">
            <v>0</v>
          </cell>
        </row>
        <row r="826">
          <cell r="A826">
            <v>825</v>
          </cell>
          <cell r="B826" t="str">
            <v>彩愛なる豊穣妃神 フレイヤ</v>
          </cell>
          <cell r="C826">
            <v>6</v>
          </cell>
          <cell r="D826" t="str">
            <v>blue</v>
          </cell>
          <cell r="E826">
            <v>1</v>
          </cell>
          <cell r="F826">
            <v>0.98</v>
          </cell>
          <cell r="G826">
            <v>1</v>
          </cell>
          <cell r="H826" t="str">
            <v>heal</v>
          </cell>
          <cell r="I826" t="str">
            <v>回復タイプ</v>
          </cell>
          <cell r="J826">
            <v>0.8</v>
          </cell>
          <cell r="K826">
            <v>0.78</v>
          </cell>
          <cell r="L826">
            <v>1</v>
          </cell>
          <cell r="M826" t="str">
            <v>animal</v>
          </cell>
          <cell r="N826" t="str">
            <v>アニマル</v>
          </cell>
          <cell r="O826">
            <v>1</v>
          </cell>
          <cell r="P826">
            <v>1.1000000000000001</v>
          </cell>
          <cell r="Q826">
            <v>1</v>
          </cell>
          <cell r="R826" t="str">
            <v>Boss</v>
          </cell>
          <cell r="S826">
            <v>5</v>
          </cell>
          <cell r="T826">
            <v>1.3</v>
          </cell>
          <cell r="U826">
            <v>0.8</v>
          </cell>
          <cell r="V826">
            <v>3</v>
          </cell>
          <cell r="W826">
            <v>1</v>
          </cell>
          <cell r="X826">
            <v>60</v>
          </cell>
          <cell r="Y826">
            <v>1.7</v>
          </cell>
          <cell r="Z826">
            <v>1.4</v>
          </cell>
          <cell r="AA826">
            <v>1</v>
          </cell>
          <cell r="AB826">
            <v>0</v>
          </cell>
        </row>
        <row r="827">
          <cell r="A827">
            <v>826</v>
          </cell>
          <cell r="B827" t="str">
            <v>崇紅なる豊穣皇神 フレイ</v>
          </cell>
          <cell r="C827">
            <v>6</v>
          </cell>
          <cell r="D827" t="str">
            <v>red</v>
          </cell>
          <cell r="E827">
            <v>1</v>
          </cell>
          <cell r="F827">
            <v>1.02</v>
          </cell>
          <cell r="G827">
            <v>1</v>
          </cell>
          <cell r="H827" t="str">
            <v>attack</v>
          </cell>
          <cell r="I827" t="str">
            <v>攻撃タイプ</v>
          </cell>
          <cell r="J827">
            <v>1</v>
          </cell>
          <cell r="K827">
            <v>1.33</v>
          </cell>
          <cell r="L827">
            <v>1</v>
          </cell>
          <cell r="M827" t="str">
            <v>animal</v>
          </cell>
          <cell r="N827" t="str">
            <v>アニマル</v>
          </cell>
          <cell r="O827">
            <v>1</v>
          </cell>
          <cell r="P827">
            <v>1.1000000000000001</v>
          </cell>
          <cell r="Q827">
            <v>1</v>
          </cell>
          <cell r="R827" t="str">
            <v>Boss</v>
          </cell>
          <cell r="S827">
            <v>5</v>
          </cell>
          <cell r="T827">
            <v>1.3</v>
          </cell>
          <cell r="U827">
            <v>0.8</v>
          </cell>
          <cell r="V827">
            <v>3</v>
          </cell>
          <cell r="W827">
            <v>1</v>
          </cell>
          <cell r="X827">
            <v>60</v>
          </cell>
          <cell r="Y827">
            <v>1.7</v>
          </cell>
          <cell r="Z827">
            <v>1.4</v>
          </cell>
          <cell r="AA827">
            <v>1</v>
          </cell>
          <cell r="AB827">
            <v>0</v>
          </cell>
        </row>
        <row r="828">
          <cell r="A828">
            <v>827</v>
          </cell>
          <cell r="B828" t="str">
            <v>光神しき彩雲龍 アルフヘイム</v>
          </cell>
          <cell r="C828">
            <v>6</v>
          </cell>
          <cell r="D828" t="str">
            <v>yellow</v>
          </cell>
          <cell r="E828">
            <v>0.98</v>
          </cell>
          <cell r="F828">
            <v>1.01</v>
          </cell>
          <cell r="G828">
            <v>1</v>
          </cell>
          <cell r="H828" t="str">
            <v>attack</v>
          </cell>
          <cell r="I828" t="str">
            <v>攻撃タイプ</v>
          </cell>
          <cell r="J828">
            <v>1</v>
          </cell>
          <cell r="K828">
            <v>1.33</v>
          </cell>
          <cell r="L828">
            <v>1</v>
          </cell>
          <cell r="M828" t="str">
            <v>dragon</v>
          </cell>
          <cell r="N828" t="str">
            <v>ドラゴン</v>
          </cell>
          <cell r="O828">
            <v>1.1499999999999999</v>
          </cell>
          <cell r="P828">
            <v>1.1000000000000001</v>
          </cell>
          <cell r="Q828">
            <v>1</v>
          </cell>
          <cell r="R828" t="str">
            <v>Boss</v>
          </cell>
          <cell r="S828">
            <v>5</v>
          </cell>
          <cell r="T828">
            <v>1.3</v>
          </cell>
          <cell r="U828">
            <v>0.8</v>
          </cell>
          <cell r="V828">
            <v>3</v>
          </cell>
          <cell r="W828">
            <v>1</v>
          </cell>
          <cell r="X828">
            <v>60</v>
          </cell>
          <cell r="Y828">
            <v>1.7</v>
          </cell>
          <cell r="Z828">
            <v>1.4</v>
          </cell>
          <cell r="AA828">
            <v>1</v>
          </cell>
          <cell r="AB828">
            <v>0</v>
          </cell>
        </row>
        <row r="829">
          <cell r="A829">
            <v>828</v>
          </cell>
          <cell r="B829" t="str">
            <v>双究の覇翼 フギンとムニン</v>
          </cell>
          <cell r="C829">
            <v>6</v>
          </cell>
          <cell r="D829" t="str">
            <v>blue</v>
          </cell>
          <cell r="E829">
            <v>1</v>
          </cell>
          <cell r="F829">
            <v>0.98</v>
          </cell>
          <cell r="G829">
            <v>1</v>
          </cell>
          <cell r="H829" t="str">
            <v>technical</v>
          </cell>
          <cell r="I829" t="str">
            <v>テクニカルタイプ</v>
          </cell>
          <cell r="J829">
            <v>1</v>
          </cell>
          <cell r="K829">
            <v>1.33</v>
          </cell>
          <cell r="L829">
            <v>1</v>
          </cell>
          <cell r="M829" t="str">
            <v>machine</v>
          </cell>
          <cell r="N829" t="str">
            <v>マシン</v>
          </cell>
          <cell r="O829">
            <v>1</v>
          </cell>
          <cell r="P829">
            <v>1</v>
          </cell>
          <cell r="Q829">
            <v>1</v>
          </cell>
          <cell r="R829" t="str">
            <v>Boss</v>
          </cell>
          <cell r="S829">
            <v>5</v>
          </cell>
          <cell r="T829">
            <v>1.3</v>
          </cell>
          <cell r="U829">
            <v>0.8</v>
          </cell>
          <cell r="V829">
            <v>3</v>
          </cell>
          <cell r="W829">
            <v>1</v>
          </cell>
          <cell r="X829">
            <v>60</v>
          </cell>
          <cell r="Y829">
            <v>1.7</v>
          </cell>
          <cell r="Z829">
            <v>1.4</v>
          </cell>
          <cell r="AA829">
            <v>1</v>
          </cell>
          <cell r="AB829">
            <v>0</v>
          </cell>
        </row>
        <row r="830">
          <cell r="A830">
            <v>829</v>
          </cell>
          <cell r="B830" t="str">
            <v>銃刃乱舞の怪猫 クルミ</v>
          </cell>
          <cell r="C830">
            <v>6</v>
          </cell>
          <cell r="D830" t="str">
            <v>red</v>
          </cell>
          <cell r="E830">
            <v>1</v>
          </cell>
          <cell r="F830">
            <v>1.02</v>
          </cell>
          <cell r="G830">
            <v>1</v>
          </cell>
          <cell r="H830" t="str">
            <v>attack</v>
          </cell>
          <cell r="I830" t="str">
            <v>攻撃タイプ</v>
          </cell>
          <cell r="J830">
            <v>1</v>
          </cell>
          <cell r="K830">
            <v>1.33</v>
          </cell>
          <cell r="L830">
            <v>1</v>
          </cell>
          <cell r="M830" t="str">
            <v>unknown</v>
          </cell>
          <cell r="N830" t="str">
            <v>Unknown</v>
          </cell>
          <cell r="O830">
            <v>1</v>
          </cell>
          <cell r="P830">
            <v>1</v>
          </cell>
          <cell r="Q830">
            <v>1</v>
          </cell>
          <cell r="R830" t="str">
            <v>Boss</v>
          </cell>
          <cell r="S830">
            <v>5</v>
          </cell>
          <cell r="T830">
            <v>1.3</v>
          </cell>
          <cell r="U830">
            <v>0.8</v>
          </cell>
          <cell r="V830">
            <v>3</v>
          </cell>
          <cell r="W830">
            <v>1</v>
          </cell>
          <cell r="X830">
            <v>60</v>
          </cell>
          <cell r="Y830">
            <v>1.7</v>
          </cell>
          <cell r="Z830">
            <v>1.4</v>
          </cell>
          <cell r="AA830">
            <v>1</v>
          </cell>
          <cell r="AB830">
            <v>0</v>
          </cell>
        </row>
        <row r="831">
          <cell r="A831">
            <v>830</v>
          </cell>
          <cell r="B831" t="str">
            <v>清兆の天狗礫 フウガ</v>
          </cell>
          <cell r="C831">
            <v>6</v>
          </cell>
          <cell r="D831" t="str">
            <v>green</v>
          </cell>
          <cell r="E831">
            <v>1.02</v>
          </cell>
          <cell r="F831">
            <v>0.98</v>
          </cell>
          <cell r="G831">
            <v>1</v>
          </cell>
          <cell r="H831" t="str">
            <v>balance</v>
          </cell>
          <cell r="I831" t="str">
            <v>バランスタイプ</v>
          </cell>
          <cell r="J831">
            <v>1</v>
          </cell>
          <cell r="K831">
            <v>1</v>
          </cell>
          <cell r="L831">
            <v>1</v>
          </cell>
          <cell r="M831" t="str">
            <v>unknown</v>
          </cell>
          <cell r="N831" t="str">
            <v>Unknown</v>
          </cell>
          <cell r="O831">
            <v>1</v>
          </cell>
          <cell r="P831">
            <v>1</v>
          </cell>
          <cell r="Q831">
            <v>1</v>
          </cell>
          <cell r="R831" t="str">
            <v>Boss</v>
          </cell>
          <cell r="S831">
            <v>5</v>
          </cell>
          <cell r="T831">
            <v>1.3</v>
          </cell>
          <cell r="U831">
            <v>0.8</v>
          </cell>
          <cell r="V831">
            <v>3</v>
          </cell>
          <cell r="W831">
            <v>1</v>
          </cell>
          <cell r="X831">
            <v>60</v>
          </cell>
          <cell r="Y831">
            <v>1.7</v>
          </cell>
          <cell r="Z831">
            <v>1.4</v>
          </cell>
          <cell r="AA831">
            <v>1</v>
          </cell>
          <cell r="AB831">
            <v>0</v>
          </cell>
        </row>
        <row r="832">
          <cell r="A832">
            <v>831</v>
          </cell>
          <cell r="B832" t="str">
            <v>万鬼乱襲の大創帥 ショウキ</v>
          </cell>
          <cell r="C832">
            <v>6</v>
          </cell>
          <cell r="D832" t="str">
            <v>green</v>
          </cell>
          <cell r="E832">
            <v>1.02</v>
          </cell>
          <cell r="F832">
            <v>0.98</v>
          </cell>
          <cell r="G832">
            <v>1</v>
          </cell>
          <cell r="H832" t="str">
            <v>technical</v>
          </cell>
          <cell r="I832" t="str">
            <v>テクニカルタイプ</v>
          </cell>
          <cell r="J832">
            <v>0.9</v>
          </cell>
          <cell r="K832">
            <v>0.9</v>
          </cell>
          <cell r="L832">
            <v>1</v>
          </cell>
          <cell r="M832" t="str">
            <v>human</v>
          </cell>
          <cell r="N832" t="str">
            <v>ヒューマン</v>
          </cell>
          <cell r="O832">
            <v>0.94</v>
          </cell>
          <cell r="P832">
            <v>0.99</v>
          </cell>
          <cell r="Q832">
            <v>1</v>
          </cell>
          <cell r="R832" t="str">
            <v>Boss</v>
          </cell>
          <cell r="S832">
            <v>5</v>
          </cell>
          <cell r="T832">
            <v>1.3</v>
          </cell>
          <cell r="U832">
            <v>0.8</v>
          </cell>
          <cell r="V832">
            <v>1</v>
          </cell>
          <cell r="W832">
            <v>0.55000000000000004</v>
          </cell>
          <cell r="X832">
            <v>60</v>
          </cell>
          <cell r="Y832">
            <v>1.7</v>
          </cell>
          <cell r="Z832">
            <v>1.4</v>
          </cell>
          <cell r="AA832">
            <v>1</v>
          </cell>
          <cell r="AB832">
            <v>0</v>
          </cell>
        </row>
        <row r="833">
          <cell r="A833">
            <v>832</v>
          </cell>
          <cell r="B833" t="str">
            <v>狂花吹雪く旋獄鬼神 ヨミ</v>
          </cell>
          <cell r="C833">
            <v>6</v>
          </cell>
          <cell r="D833" t="str">
            <v>yellow</v>
          </cell>
          <cell r="E833">
            <v>0.98</v>
          </cell>
          <cell r="F833">
            <v>1.01</v>
          </cell>
          <cell r="G833">
            <v>1</v>
          </cell>
          <cell r="H833" t="str">
            <v>attack</v>
          </cell>
          <cell r="I833" t="str">
            <v>攻撃タイプ</v>
          </cell>
          <cell r="J833">
            <v>1</v>
          </cell>
          <cell r="K833">
            <v>1.33</v>
          </cell>
          <cell r="L833">
            <v>1</v>
          </cell>
          <cell r="M833" t="str">
            <v>god</v>
          </cell>
          <cell r="N833" t="str">
            <v>ゴッド</v>
          </cell>
          <cell r="O833">
            <v>0.96</v>
          </cell>
          <cell r="P833">
            <v>1.02</v>
          </cell>
          <cell r="Q833">
            <v>1</v>
          </cell>
          <cell r="R833" t="str">
            <v>Boss</v>
          </cell>
          <cell r="S833">
            <v>5</v>
          </cell>
          <cell r="T833">
            <v>1.3</v>
          </cell>
          <cell r="U833">
            <v>0.8</v>
          </cell>
          <cell r="V833">
            <v>1</v>
          </cell>
          <cell r="W833">
            <v>0.55000000000000004</v>
          </cell>
          <cell r="X833">
            <v>60</v>
          </cell>
          <cell r="Y833">
            <v>1.7</v>
          </cell>
          <cell r="Z833">
            <v>1.4</v>
          </cell>
          <cell r="AA833">
            <v>1</v>
          </cell>
          <cell r="AB833">
            <v>0</v>
          </cell>
        </row>
        <row r="834">
          <cell r="A834">
            <v>833</v>
          </cell>
          <cell r="B834" t="str">
            <v>維界の復世神 ヴィシュヌ</v>
          </cell>
          <cell r="C834">
            <v>6</v>
          </cell>
          <cell r="D834" t="str">
            <v>yellow</v>
          </cell>
          <cell r="E834">
            <v>0.98</v>
          </cell>
          <cell r="F834">
            <v>1.01</v>
          </cell>
          <cell r="G834">
            <v>1</v>
          </cell>
          <cell r="H834" t="str">
            <v>attack</v>
          </cell>
          <cell r="I834" t="str">
            <v>攻撃タイプ</v>
          </cell>
          <cell r="J834">
            <v>1</v>
          </cell>
          <cell r="K834">
            <v>1.33</v>
          </cell>
          <cell r="L834">
            <v>1</v>
          </cell>
          <cell r="M834" t="str">
            <v>god</v>
          </cell>
          <cell r="N834" t="str">
            <v>ゴッド</v>
          </cell>
          <cell r="O834">
            <v>0.96</v>
          </cell>
          <cell r="P834">
            <v>1.02</v>
          </cell>
          <cell r="Q834">
            <v>1</v>
          </cell>
          <cell r="R834" t="str">
            <v>Boss</v>
          </cell>
          <cell r="S834">
            <v>5</v>
          </cell>
          <cell r="T834">
            <v>1.3</v>
          </cell>
          <cell r="U834">
            <v>0.8</v>
          </cell>
          <cell r="V834">
            <v>3</v>
          </cell>
          <cell r="W834">
            <v>1</v>
          </cell>
          <cell r="X834">
            <v>60</v>
          </cell>
          <cell r="Y834">
            <v>1.7</v>
          </cell>
          <cell r="Z834">
            <v>1.4</v>
          </cell>
          <cell r="AA834">
            <v>1</v>
          </cell>
          <cell r="AB834">
            <v>0</v>
          </cell>
        </row>
        <row r="835">
          <cell r="A835">
            <v>834</v>
          </cell>
          <cell r="B835" t="str">
            <v>破界する裁滅神 シヴァ</v>
          </cell>
          <cell r="C835">
            <v>6</v>
          </cell>
          <cell r="D835" t="str">
            <v>blue</v>
          </cell>
          <cell r="E835">
            <v>1</v>
          </cell>
          <cell r="F835">
            <v>0.98</v>
          </cell>
          <cell r="G835">
            <v>1</v>
          </cell>
          <cell r="H835" t="str">
            <v>balance</v>
          </cell>
          <cell r="I835" t="str">
            <v>バランスタイプ</v>
          </cell>
          <cell r="J835">
            <v>1</v>
          </cell>
          <cell r="K835">
            <v>1.33</v>
          </cell>
          <cell r="L835">
            <v>1</v>
          </cell>
          <cell r="M835" t="str">
            <v>god</v>
          </cell>
          <cell r="N835" t="str">
            <v>ゴッド</v>
          </cell>
          <cell r="O835">
            <v>0.96</v>
          </cell>
          <cell r="P835">
            <v>1.02</v>
          </cell>
          <cell r="Q835">
            <v>1</v>
          </cell>
          <cell r="R835" t="str">
            <v>Boss</v>
          </cell>
          <cell r="S835">
            <v>5</v>
          </cell>
          <cell r="T835">
            <v>1.3</v>
          </cell>
          <cell r="U835">
            <v>0.8</v>
          </cell>
          <cell r="V835">
            <v>3</v>
          </cell>
          <cell r="W835">
            <v>1</v>
          </cell>
          <cell r="X835">
            <v>60</v>
          </cell>
          <cell r="Y835">
            <v>1.7</v>
          </cell>
          <cell r="Z835">
            <v>1.4</v>
          </cell>
          <cell r="AA835">
            <v>1</v>
          </cell>
          <cell r="AB835">
            <v>0</v>
          </cell>
        </row>
        <row r="836">
          <cell r="A836">
            <v>835</v>
          </cell>
          <cell r="B836" t="str">
            <v>流奏の鳳楽神 サラスヴァティ</v>
          </cell>
          <cell r="C836">
            <v>6</v>
          </cell>
          <cell r="D836" t="str">
            <v>blue</v>
          </cell>
          <cell r="E836">
            <v>1</v>
          </cell>
          <cell r="F836">
            <v>0.98</v>
          </cell>
          <cell r="G836">
            <v>1</v>
          </cell>
          <cell r="H836" t="str">
            <v>balance</v>
          </cell>
          <cell r="I836" t="str">
            <v>バランスタイプ</v>
          </cell>
          <cell r="J836">
            <v>1</v>
          </cell>
          <cell r="K836">
            <v>1</v>
          </cell>
          <cell r="L836">
            <v>1</v>
          </cell>
          <cell r="M836" t="str">
            <v>god</v>
          </cell>
          <cell r="N836" t="str">
            <v>ゴッド</v>
          </cell>
          <cell r="O836">
            <v>0.96</v>
          </cell>
          <cell r="P836">
            <v>1.02</v>
          </cell>
          <cell r="Q836">
            <v>1</v>
          </cell>
          <cell r="R836" t="str">
            <v>Boss</v>
          </cell>
          <cell r="S836">
            <v>5</v>
          </cell>
          <cell r="T836">
            <v>1.3</v>
          </cell>
          <cell r="U836">
            <v>0.8</v>
          </cell>
          <cell r="V836">
            <v>3</v>
          </cell>
          <cell r="W836">
            <v>1</v>
          </cell>
          <cell r="X836">
            <v>60</v>
          </cell>
          <cell r="Y836">
            <v>1.7</v>
          </cell>
          <cell r="Z836">
            <v>1.4</v>
          </cell>
          <cell r="AA836">
            <v>1</v>
          </cell>
          <cell r="AB836">
            <v>0</v>
          </cell>
        </row>
        <row r="837">
          <cell r="A837">
            <v>836</v>
          </cell>
          <cell r="B837" t="str">
            <v>射愛の恋華天神 カーマ</v>
          </cell>
          <cell r="C837">
            <v>6</v>
          </cell>
          <cell r="D837" t="str">
            <v>red</v>
          </cell>
          <cell r="E837">
            <v>1</v>
          </cell>
          <cell r="F837">
            <v>1.02</v>
          </cell>
          <cell r="G837">
            <v>1</v>
          </cell>
          <cell r="H837" t="str">
            <v>attack</v>
          </cell>
          <cell r="I837" t="str">
            <v>攻撃タイプ</v>
          </cell>
          <cell r="J837">
            <v>1</v>
          </cell>
          <cell r="K837">
            <v>1.33</v>
          </cell>
          <cell r="L837">
            <v>1</v>
          </cell>
          <cell r="M837" t="str">
            <v>god</v>
          </cell>
          <cell r="N837" t="str">
            <v>ゴッド</v>
          </cell>
          <cell r="O837">
            <v>0.96</v>
          </cell>
          <cell r="P837">
            <v>1.02</v>
          </cell>
          <cell r="Q837">
            <v>1</v>
          </cell>
          <cell r="R837" t="str">
            <v>Boss</v>
          </cell>
          <cell r="S837">
            <v>5</v>
          </cell>
          <cell r="T837">
            <v>1.3</v>
          </cell>
          <cell r="U837">
            <v>0.8</v>
          </cell>
          <cell r="V837">
            <v>3</v>
          </cell>
          <cell r="W837">
            <v>1</v>
          </cell>
          <cell r="X837">
            <v>60</v>
          </cell>
          <cell r="Y837">
            <v>1.7</v>
          </cell>
          <cell r="Z837">
            <v>1.4</v>
          </cell>
          <cell r="AA837">
            <v>1</v>
          </cell>
          <cell r="AB837">
            <v>0</v>
          </cell>
        </row>
        <row r="838">
          <cell r="A838">
            <v>837</v>
          </cell>
          <cell r="B838" t="str">
            <v>リトルハンプティ</v>
          </cell>
          <cell r="C838">
            <v>6</v>
          </cell>
          <cell r="D838" t="str">
            <v>yellow</v>
          </cell>
          <cell r="E838">
            <v>0.98</v>
          </cell>
          <cell r="F838">
            <v>1.01</v>
          </cell>
          <cell r="G838">
            <v>1</v>
          </cell>
          <cell r="H838" t="str">
            <v>evolution</v>
          </cell>
          <cell r="I838" t="str">
            <v>覚醒素材タイプ</v>
          </cell>
          <cell r="J838">
            <v>0.1</v>
          </cell>
          <cell r="K838">
            <v>0.05</v>
          </cell>
          <cell r="L838">
            <v>1</v>
          </cell>
          <cell r="M838" t="str">
            <v>unknown</v>
          </cell>
          <cell r="N838" t="str">
            <v>Unknown</v>
          </cell>
          <cell r="O838">
            <v>1</v>
          </cell>
          <cell r="P838">
            <v>1</v>
          </cell>
          <cell r="Q838">
            <v>1</v>
          </cell>
          <cell r="R838" t="str">
            <v>Boss</v>
          </cell>
          <cell r="S838">
            <v>5</v>
          </cell>
          <cell r="T838">
            <v>1.3</v>
          </cell>
          <cell r="U838">
            <v>0.8</v>
          </cell>
          <cell r="V838">
            <v>3</v>
          </cell>
          <cell r="W838">
            <v>1</v>
          </cell>
          <cell r="X838">
            <v>60</v>
          </cell>
          <cell r="Y838">
            <v>1.7</v>
          </cell>
          <cell r="Z838">
            <v>1.4</v>
          </cell>
          <cell r="AA838">
            <v>1</v>
          </cell>
          <cell r="AB838">
            <v>0</v>
          </cell>
        </row>
        <row r="839">
          <cell r="A839">
            <v>838</v>
          </cell>
          <cell r="B839" t="str">
            <v>巌鋼の爆烈志士 近藤勇</v>
          </cell>
          <cell r="C839">
            <v>6</v>
          </cell>
          <cell r="D839" t="str">
            <v>red</v>
          </cell>
          <cell r="E839">
            <v>1</v>
          </cell>
          <cell r="F839">
            <v>1.02</v>
          </cell>
          <cell r="G839">
            <v>1</v>
          </cell>
          <cell r="H839" t="str">
            <v>hp</v>
          </cell>
          <cell r="I839" t="str">
            <v>体力タイプ</v>
          </cell>
          <cell r="J839">
            <v>1.45</v>
          </cell>
          <cell r="K839">
            <v>0.85</v>
          </cell>
          <cell r="L839">
            <v>1</v>
          </cell>
          <cell r="M839" t="str">
            <v>human</v>
          </cell>
          <cell r="N839" t="str">
            <v>ヒューマン</v>
          </cell>
          <cell r="O839">
            <v>0.94</v>
          </cell>
          <cell r="P839">
            <v>0.99</v>
          </cell>
          <cell r="Q839">
            <v>1</v>
          </cell>
          <cell r="R839" t="str">
            <v>Boss</v>
          </cell>
          <cell r="S839">
            <v>5</v>
          </cell>
          <cell r="T839">
            <v>1.3</v>
          </cell>
          <cell r="U839">
            <v>0.8</v>
          </cell>
          <cell r="V839">
            <v>3</v>
          </cell>
          <cell r="W839">
            <v>1</v>
          </cell>
          <cell r="X839">
            <v>60</v>
          </cell>
          <cell r="Y839">
            <v>1.7</v>
          </cell>
          <cell r="Z839">
            <v>1.4</v>
          </cell>
          <cell r="AA839">
            <v>1</v>
          </cell>
          <cell r="AB839">
            <v>0</v>
          </cell>
        </row>
        <row r="840">
          <cell r="A840">
            <v>839</v>
          </cell>
          <cell r="B840" t="str">
            <v>真覇の勇魔剣 ランスロット</v>
          </cell>
          <cell r="C840">
            <v>6</v>
          </cell>
          <cell r="D840" t="str">
            <v>green</v>
          </cell>
          <cell r="E840">
            <v>1.02</v>
          </cell>
          <cell r="F840">
            <v>0.98</v>
          </cell>
          <cell r="G840">
            <v>1</v>
          </cell>
          <cell r="H840" t="str">
            <v>balance</v>
          </cell>
          <cell r="I840" t="str">
            <v>バランスタイプ</v>
          </cell>
          <cell r="J840">
            <v>1</v>
          </cell>
          <cell r="K840">
            <v>1</v>
          </cell>
          <cell r="L840">
            <v>1</v>
          </cell>
          <cell r="M840" t="str">
            <v>human</v>
          </cell>
          <cell r="N840" t="str">
            <v>ヒューマン</v>
          </cell>
          <cell r="O840">
            <v>0.94</v>
          </cell>
          <cell r="P840">
            <v>0.99</v>
          </cell>
          <cell r="Q840">
            <v>1</v>
          </cell>
          <cell r="R840" t="str">
            <v>Boss</v>
          </cell>
          <cell r="S840">
            <v>5</v>
          </cell>
          <cell r="T840">
            <v>1.3</v>
          </cell>
          <cell r="U840">
            <v>0.8</v>
          </cell>
          <cell r="V840">
            <v>3</v>
          </cell>
          <cell r="W840">
            <v>1</v>
          </cell>
          <cell r="X840">
            <v>60</v>
          </cell>
          <cell r="Y840">
            <v>1.7</v>
          </cell>
          <cell r="Z840">
            <v>1.4</v>
          </cell>
          <cell r="AA840">
            <v>1</v>
          </cell>
          <cell r="AB840">
            <v>0</v>
          </cell>
        </row>
        <row r="841">
          <cell r="A841">
            <v>840</v>
          </cell>
          <cell r="B841" t="str">
            <v>フェニックス</v>
          </cell>
          <cell r="C841">
            <v>4</v>
          </cell>
          <cell r="D841" t="str">
            <v>red</v>
          </cell>
          <cell r="E841">
            <v>1</v>
          </cell>
          <cell r="F841">
            <v>1.02</v>
          </cell>
          <cell r="G841">
            <v>1</v>
          </cell>
          <cell r="H841" t="str">
            <v>hp</v>
          </cell>
          <cell r="I841" t="str">
            <v>体力タイプ</v>
          </cell>
          <cell r="J841">
            <v>1.45</v>
          </cell>
          <cell r="K841">
            <v>0.85</v>
          </cell>
          <cell r="L841">
            <v>1</v>
          </cell>
          <cell r="M841" t="str">
            <v>animal</v>
          </cell>
          <cell r="N841" t="str">
            <v>アニマル</v>
          </cell>
          <cell r="O841">
            <v>1</v>
          </cell>
          <cell r="P841">
            <v>1.1000000000000001</v>
          </cell>
          <cell r="Q841">
            <v>1</v>
          </cell>
          <cell r="R841" t="str">
            <v>Boss</v>
          </cell>
          <cell r="S841">
            <v>5</v>
          </cell>
          <cell r="T841">
            <v>1.3</v>
          </cell>
          <cell r="U841">
            <v>0.8</v>
          </cell>
          <cell r="V841">
            <v>3</v>
          </cell>
          <cell r="W841">
            <v>1</v>
          </cell>
          <cell r="X841">
            <v>30</v>
          </cell>
          <cell r="Y841">
            <v>1.3</v>
          </cell>
          <cell r="Z841">
            <v>1.3</v>
          </cell>
          <cell r="AA841">
            <v>1.1000000000000001</v>
          </cell>
          <cell r="AB841">
            <v>0</v>
          </cell>
        </row>
        <row r="842">
          <cell r="A842">
            <v>841</v>
          </cell>
          <cell r="B842" t="str">
            <v>排斥の不死鳥 フェニックス</v>
          </cell>
          <cell r="C842">
            <v>5</v>
          </cell>
          <cell r="D842" t="str">
            <v>red</v>
          </cell>
          <cell r="E842">
            <v>1</v>
          </cell>
          <cell r="F842">
            <v>1.02</v>
          </cell>
          <cell r="G842">
            <v>1</v>
          </cell>
          <cell r="H842" t="str">
            <v>hp</v>
          </cell>
          <cell r="I842" t="str">
            <v>体力タイプ</v>
          </cell>
          <cell r="J842">
            <v>1.45</v>
          </cell>
          <cell r="K842">
            <v>0.85</v>
          </cell>
          <cell r="L842">
            <v>1</v>
          </cell>
          <cell r="M842" t="str">
            <v>animal</v>
          </cell>
          <cell r="N842" t="str">
            <v>アニマル</v>
          </cell>
          <cell r="O842">
            <v>1</v>
          </cell>
          <cell r="P842">
            <v>1.1000000000000001</v>
          </cell>
          <cell r="Q842">
            <v>1</v>
          </cell>
          <cell r="R842" t="str">
            <v>Boss</v>
          </cell>
          <cell r="S842">
            <v>5</v>
          </cell>
          <cell r="T842">
            <v>1.3</v>
          </cell>
          <cell r="U842">
            <v>0.8</v>
          </cell>
          <cell r="V842">
            <v>3</v>
          </cell>
          <cell r="W842">
            <v>1</v>
          </cell>
          <cell r="X842">
            <v>60</v>
          </cell>
          <cell r="Y842">
            <v>1.7</v>
          </cell>
          <cell r="Z842">
            <v>1.4</v>
          </cell>
          <cell r="AA842">
            <v>1</v>
          </cell>
          <cell r="AB842">
            <v>0</v>
          </cell>
        </row>
        <row r="843">
          <cell r="A843">
            <v>842</v>
          </cell>
          <cell r="B843" t="str">
            <v>セイレーン</v>
          </cell>
          <cell r="C843">
            <v>4</v>
          </cell>
          <cell r="D843" t="str">
            <v>blue</v>
          </cell>
          <cell r="E843">
            <v>1</v>
          </cell>
          <cell r="F843">
            <v>0.98</v>
          </cell>
          <cell r="G843">
            <v>1</v>
          </cell>
          <cell r="H843" t="str">
            <v>heal</v>
          </cell>
          <cell r="I843" t="str">
            <v>回復タイプ</v>
          </cell>
          <cell r="J843">
            <v>0.8</v>
          </cell>
          <cell r="K843">
            <v>0.78</v>
          </cell>
          <cell r="L843">
            <v>1</v>
          </cell>
          <cell r="M843" t="str">
            <v>animal</v>
          </cell>
          <cell r="N843" t="str">
            <v>アニマル</v>
          </cell>
          <cell r="O843">
            <v>1</v>
          </cell>
          <cell r="P843">
            <v>1.1000000000000001</v>
          </cell>
          <cell r="Q843">
            <v>1</v>
          </cell>
          <cell r="R843" t="str">
            <v>Boss</v>
          </cell>
          <cell r="S843">
            <v>5</v>
          </cell>
          <cell r="T843">
            <v>1.3</v>
          </cell>
          <cell r="U843">
            <v>0.8</v>
          </cell>
          <cell r="V843">
            <v>3</v>
          </cell>
          <cell r="W843">
            <v>1</v>
          </cell>
          <cell r="X843">
            <v>30</v>
          </cell>
          <cell r="Y843">
            <v>1.3</v>
          </cell>
          <cell r="Z843">
            <v>1.3</v>
          </cell>
          <cell r="AA843">
            <v>1.1000000000000001</v>
          </cell>
          <cell r="AB843">
            <v>0</v>
          </cell>
        </row>
        <row r="844">
          <cell r="A844">
            <v>843</v>
          </cell>
          <cell r="B844" t="str">
            <v>荒れ狂う乱歌 セイレーン</v>
          </cell>
          <cell r="C844">
            <v>5</v>
          </cell>
          <cell r="D844" t="str">
            <v>blue</v>
          </cell>
          <cell r="E844">
            <v>1</v>
          </cell>
          <cell r="F844">
            <v>0.98</v>
          </cell>
          <cell r="G844">
            <v>1</v>
          </cell>
          <cell r="H844" t="str">
            <v>heal</v>
          </cell>
          <cell r="I844" t="str">
            <v>回復タイプ</v>
          </cell>
          <cell r="J844">
            <v>0.8</v>
          </cell>
          <cell r="K844">
            <v>0.78</v>
          </cell>
          <cell r="L844">
            <v>1</v>
          </cell>
          <cell r="M844" t="str">
            <v>animal</v>
          </cell>
          <cell r="N844" t="str">
            <v>アニマル</v>
          </cell>
          <cell r="O844">
            <v>1</v>
          </cell>
          <cell r="P844">
            <v>1.1000000000000001</v>
          </cell>
          <cell r="Q844">
            <v>1</v>
          </cell>
          <cell r="R844" t="str">
            <v>Boss</v>
          </cell>
          <cell r="S844">
            <v>5</v>
          </cell>
          <cell r="T844">
            <v>1.3</v>
          </cell>
          <cell r="U844">
            <v>0.8</v>
          </cell>
          <cell r="V844">
            <v>3</v>
          </cell>
          <cell r="W844">
            <v>1</v>
          </cell>
          <cell r="X844">
            <v>60</v>
          </cell>
          <cell r="Y844">
            <v>1.7</v>
          </cell>
          <cell r="Z844">
            <v>1.4</v>
          </cell>
          <cell r="AA844">
            <v>1</v>
          </cell>
          <cell r="AB844">
            <v>0</v>
          </cell>
        </row>
        <row r="845">
          <cell r="A845">
            <v>844</v>
          </cell>
          <cell r="B845" t="str">
            <v>ベルゼブブ</v>
          </cell>
          <cell r="C845">
            <v>5</v>
          </cell>
          <cell r="D845" t="str">
            <v>green</v>
          </cell>
          <cell r="E845">
            <v>1.02</v>
          </cell>
          <cell r="F845">
            <v>0.98</v>
          </cell>
          <cell r="G845">
            <v>1</v>
          </cell>
          <cell r="H845" t="str">
            <v>technical</v>
          </cell>
          <cell r="I845" t="str">
            <v>テクニカルタイプ</v>
          </cell>
          <cell r="J845">
            <v>0.9</v>
          </cell>
          <cell r="K845">
            <v>0.9</v>
          </cell>
          <cell r="L845">
            <v>1</v>
          </cell>
          <cell r="M845" t="str">
            <v>god</v>
          </cell>
          <cell r="N845" t="str">
            <v>ゴッド</v>
          </cell>
          <cell r="O845">
            <v>0.96</v>
          </cell>
          <cell r="P845">
            <v>1.02</v>
          </cell>
          <cell r="Q845">
            <v>1</v>
          </cell>
          <cell r="R845" t="str">
            <v>Boss</v>
          </cell>
          <cell r="S845">
            <v>5</v>
          </cell>
          <cell r="T845">
            <v>1.3</v>
          </cell>
          <cell r="U845">
            <v>0.8</v>
          </cell>
          <cell r="V845">
            <v>3</v>
          </cell>
          <cell r="W845">
            <v>1</v>
          </cell>
          <cell r="X845">
            <v>60</v>
          </cell>
          <cell r="Y845">
            <v>1.7</v>
          </cell>
          <cell r="Z845">
            <v>1.4</v>
          </cell>
          <cell r="AA845">
            <v>1</v>
          </cell>
          <cell r="AB845">
            <v>0</v>
          </cell>
        </row>
        <row r="846">
          <cell r="A846">
            <v>845</v>
          </cell>
          <cell r="B846" t="str">
            <v>妖艶なる蝿王 ベルゼブブ</v>
          </cell>
          <cell r="C846">
            <v>6</v>
          </cell>
          <cell r="D846" t="str">
            <v>green</v>
          </cell>
          <cell r="E846">
            <v>1.02</v>
          </cell>
          <cell r="F846">
            <v>0.98</v>
          </cell>
          <cell r="G846">
            <v>1</v>
          </cell>
          <cell r="H846" t="str">
            <v>technical</v>
          </cell>
          <cell r="I846" t="str">
            <v>テクニカルタイプ</v>
          </cell>
          <cell r="J846">
            <v>0.9</v>
          </cell>
          <cell r="K846">
            <v>0.9</v>
          </cell>
          <cell r="L846">
            <v>1</v>
          </cell>
          <cell r="M846" t="str">
            <v>god</v>
          </cell>
          <cell r="N846" t="str">
            <v>ゴッド</v>
          </cell>
          <cell r="O846">
            <v>0.96</v>
          </cell>
          <cell r="P846">
            <v>1.02</v>
          </cell>
          <cell r="Q846">
            <v>1</v>
          </cell>
          <cell r="R846" t="str">
            <v>Boss</v>
          </cell>
          <cell r="S846">
            <v>5</v>
          </cell>
          <cell r="T846">
            <v>1.3</v>
          </cell>
          <cell r="U846">
            <v>0.8</v>
          </cell>
          <cell r="V846">
            <v>3</v>
          </cell>
          <cell r="W846">
            <v>1</v>
          </cell>
          <cell r="X846">
            <v>60</v>
          </cell>
          <cell r="Y846">
            <v>1.7</v>
          </cell>
          <cell r="Z846">
            <v>1.4</v>
          </cell>
          <cell r="AA846">
            <v>1</v>
          </cell>
          <cell r="AB846">
            <v>0</v>
          </cell>
        </row>
        <row r="847">
          <cell r="A847">
            <v>846</v>
          </cell>
          <cell r="B847" t="str">
            <v>ルシファー</v>
          </cell>
          <cell r="C847">
            <v>5</v>
          </cell>
          <cell r="D847" t="str">
            <v>green</v>
          </cell>
          <cell r="E847">
            <v>1.02</v>
          </cell>
          <cell r="F847">
            <v>0.98</v>
          </cell>
          <cell r="G847">
            <v>1</v>
          </cell>
          <cell r="H847" t="str">
            <v>attack</v>
          </cell>
          <cell r="I847" t="str">
            <v>攻撃タイプ</v>
          </cell>
          <cell r="J847">
            <v>1</v>
          </cell>
          <cell r="K847">
            <v>1.33</v>
          </cell>
          <cell r="L847">
            <v>1</v>
          </cell>
          <cell r="M847" t="str">
            <v>god</v>
          </cell>
          <cell r="N847" t="str">
            <v>ゴッド</v>
          </cell>
          <cell r="O847">
            <v>0.96</v>
          </cell>
          <cell r="P847">
            <v>1.02</v>
          </cell>
          <cell r="Q847">
            <v>1</v>
          </cell>
          <cell r="R847" t="str">
            <v>Boss</v>
          </cell>
          <cell r="S847">
            <v>5</v>
          </cell>
          <cell r="T847">
            <v>1.3</v>
          </cell>
          <cell r="U847">
            <v>0.8</v>
          </cell>
          <cell r="V847">
            <v>3</v>
          </cell>
          <cell r="W847">
            <v>1</v>
          </cell>
          <cell r="X847">
            <v>60</v>
          </cell>
          <cell r="Y847">
            <v>1.7</v>
          </cell>
          <cell r="Z847">
            <v>1.4</v>
          </cell>
          <cell r="AA847">
            <v>1</v>
          </cell>
          <cell r="AB847">
            <v>0</v>
          </cell>
        </row>
        <row r="848">
          <cell r="A848">
            <v>847</v>
          </cell>
          <cell r="B848" t="str">
            <v>傲慢なる堕天史 ルシファー</v>
          </cell>
          <cell r="C848">
            <v>6</v>
          </cell>
          <cell r="D848" t="str">
            <v>green</v>
          </cell>
          <cell r="E848">
            <v>1.02</v>
          </cell>
          <cell r="F848">
            <v>0.98</v>
          </cell>
          <cell r="G848">
            <v>1</v>
          </cell>
          <cell r="H848" t="str">
            <v>attack</v>
          </cell>
          <cell r="I848" t="str">
            <v>攻撃タイプ</v>
          </cell>
          <cell r="J848">
            <v>1</v>
          </cell>
          <cell r="K848">
            <v>1.33</v>
          </cell>
          <cell r="L848">
            <v>1</v>
          </cell>
          <cell r="M848" t="str">
            <v>god</v>
          </cell>
          <cell r="N848" t="str">
            <v>ゴッド</v>
          </cell>
          <cell r="O848">
            <v>0.96</v>
          </cell>
          <cell r="P848">
            <v>1.02</v>
          </cell>
          <cell r="Q848">
            <v>1</v>
          </cell>
          <cell r="R848" t="str">
            <v>Boss</v>
          </cell>
          <cell r="S848">
            <v>5</v>
          </cell>
          <cell r="T848">
            <v>1.3</v>
          </cell>
          <cell r="U848">
            <v>0.8</v>
          </cell>
          <cell r="V848">
            <v>3</v>
          </cell>
          <cell r="W848">
            <v>1</v>
          </cell>
          <cell r="X848">
            <v>60</v>
          </cell>
          <cell r="Y848">
            <v>1.7</v>
          </cell>
          <cell r="Z848">
            <v>1.4</v>
          </cell>
          <cell r="AA848">
            <v>1</v>
          </cell>
          <cell r="AB848">
            <v>0</v>
          </cell>
        </row>
        <row r="849">
          <cell r="A849">
            <v>848</v>
          </cell>
          <cell r="B849" t="str">
            <v>メタトロン</v>
          </cell>
          <cell r="C849">
            <v>5</v>
          </cell>
          <cell r="D849" t="str">
            <v>red</v>
          </cell>
          <cell r="E849">
            <v>1</v>
          </cell>
          <cell r="F849">
            <v>1.02</v>
          </cell>
          <cell r="G849">
            <v>1</v>
          </cell>
          <cell r="H849" t="str">
            <v>balance</v>
          </cell>
          <cell r="I849" t="str">
            <v>バランスタイプ</v>
          </cell>
          <cell r="J849">
            <v>1</v>
          </cell>
          <cell r="K849">
            <v>1</v>
          </cell>
          <cell r="L849">
            <v>1</v>
          </cell>
          <cell r="M849" t="str">
            <v>god</v>
          </cell>
          <cell r="N849" t="str">
            <v>ゴッド</v>
          </cell>
          <cell r="O849">
            <v>0.96</v>
          </cell>
          <cell r="P849">
            <v>1.02</v>
          </cell>
          <cell r="Q849">
            <v>1</v>
          </cell>
          <cell r="R849" t="str">
            <v>Boss</v>
          </cell>
          <cell r="S849">
            <v>5</v>
          </cell>
          <cell r="T849">
            <v>1.3</v>
          </cell>
          <cell r="U849">
            <v>0.8</v>
          </cell>
          <cell r="V849">
            <v>3</v>
          </cell>
          <cell r="W849">
            <v>1</v>
          </cell>
          <cell r="X849">
            <v>60</v>
          </cell>
          <cell r="Y849">
            <v>1.7</v>
          </cell>
          <cell r="Z849">
            <v>1.4</v>
          </cell>
          <cell r="AA849">
            <v>1</v>
          </cell>
          <cell r="AB849">
            <v>0</v>
          </cell>
        </row>
        <row r="850">
          <cell r="A850">
            <v>849</v>
          </cell>
          <cell r="B850" t="str">
            <v>燦然たる天使 メタトロン・ラヴァ</v>
          </cell>
          <cell r="C850">
            <v>6</v>
          </cell>
          <cell r="D850" t="str">
            <v>red</v>
          </cell>
          <cell r="E850">
            <v>1</v>
          </cell>
          <cell r="F850">
            <v>1.02</v>
          </cell>
          <cell r="G850">
            <v>1</v>
          </cell>
          <cell r="H850" t="str">
            <v>balance</v>
          </cell>
          <cell r="I850" t="str">
            <v>バランスタイプ</v>
          </cell>
          <cell r="J850">
            <v>1</v>
          </cell>
          <cell r="K850">
            <v>1</v>
          </cell>
          <cell r="L850">
            <v>1</v>
          </cell>
          <cell r="M850" t="str">
            <v>god</v>
          </cell>
          <cell r="N850" t="str">
            <v>ゴッド</v>
          </cell>
          <cell r="O850">
            <v>0.96</v>
          </cell>
          <cell r="P850">
            <v>1.02</v>
          </cell>
          <cell r="Q850">
            <v>1</v>
          </cell>
          <cell r="R850" t="str">
            <v>Boss</v>
          </cell>
          <cell r="S850">
            <v>5</v>
          </cell>
          <cell r="T850">
            <v>1.3</v>
          </cell>
          <cell r="U850">
            <v>0.8</v>
          </cell>
          <cell r="V850">
            <v>3</v>
          </cell>
          <cell r="W850">
            <v>1</v>
          </cell>
          <cell r="X850">
            <v>60</v>
          </cell>
          <cell r="Y850">
            <v>1.7</v>
          </cell>
          <cell r="Z850">
            <v>1.4</v>
          </cell>
          <cell r="AA850">
            <v>1</v>
          </cell>
          <cell r="AB850">
            <v>0</v>
          </cell>
        </row>
        <row r="851">
          <cell r="A851">
            <v>850</v>
          </cell>
          <cell r="B851" t="str">
            <v>バアル</v>
          </cell>
          <cell r="C851">
            <v>5</v>
          </cell>
          <cell r="D851" t="str">
            <v>green</v>
          </cell>
          <cell r="E851">
            <v>1.02</v>
          </cell>
          <cell r="F851">
            <v>0.98</v>
          </cell>
          <cell r="G851">
            <v>1</v>
          </cell>
          <cell r="H851" t="str">
            <v>technical</v>
          </cell>
          <cell r="I851" t="str">
            <v>テクニカルタイプ</v>
          </cell>
          <cell r="J851">
            <v>0.9</v>
          </cell>
          <cell r="K851">
            <v>0.9</v>
          </cell>
          <cell r="L851">
            <v>1</v>
          </cell>
          <cell r="M851" t="str">
            <v>god</v>
          </cell>
          <cell r="N851" t="str">
            <v>ゴッド</v>
          </cell>
          <cell r="O851">
            <v>0.96</v>
          </cell>
          <cell r="P851">
            <v>1.02</v>
          </cell>
          <cell r="Q851">
            <v>1</v>
          </cell>
          <cell r="R851" t="str">
            <v>Boss</v>
          </cell>
          <cell r="S851">
            <v>5</v>
          </cell>
          <cell r="T851">
            <v>1.3</v>
          </cell>
          <cell r="U851">
            <v>0.8</v>
          </cell>
          <cell r="V851">
            <v>3</v>
          </cell>
          <cell r="W851">
            <v>1</v>
          </cell>
          <cell r="X851">
            <v>60</v>
          </cell>
          <cell r="Y851">
            <v>1.7</v>
          </cell>
          <cell r="Z851">
            <v>1.4</v>
          </cell>
          <cell r="AA851">
            <v>1</v>
          </cell>
          <cell r="AB851">
            <v>0</v>
          </cell>
        </row>
        <row r="852">
          <cell r="A852">
            <v>851</v>
          </cell>
          <cell r="B852" t="str">
            <v>寡黙なる凶王 バアル</v>
          </cell>
          <cell r="C852">
            <v>6</v>
          </cell>
          <cell r="D852" t="str">
            <v>green</v>
          </cell>
          <cell r="E852">
            <v>1.02</v>
          </cell>
          <cell r="F852">
            <v>0.98</v>
          </cell>
          <cell r="G852">
            <v>1</v>
          </cell>
          <cell r="H852" t="str">
            <v>technical</v>
          </cell>
          <cell r="I852" t="str">
            <v>テクニカルタイプ</v>
          </cell>
          <cell r="J852">
            <v>0.9</v>
          </cell>
          <cell r="K852">
            <v>0.9</v>
          </cell>
          <cell r="L852">
            <v>1</v>
          </cell>
          <cell r="M852" t="str">
            <v>god</v>
          </cell>
          <cell r="N852" t="str">
            <v>ゴッド</v>
          </cell>
          <cell r="O852">
            <v>0.96</v>
          </cell>
          <cell r="P852">
            <v>1.02</v>
          </cell>
          <cell r="Q852">
            <v>1</v>
          </cell>
          <cell r="R852" t="str">
            <v>Boss</v>
          </cell>
          <cell r="S852">
            <v>5</v>
          </cell>
          <cell r="T852">
            <v>1.3</v>
          </cell>
          <cell r="U852">
            <v>0.8</v>
          </cell>
          <cell r="V852">
            <v>3</v>
          </cell>
          <cell r="W852">
            <v>1</v>
          </cell>
          <cell r="X852">
            <v>60</v>
          </cell>
          <cell r="Y852">
            <v>1.7</v>
          </cell>
          <cell r="Z852">
            <v>1.4</v>
          </cell>
          <cell r="AA852">
            <v>1</v>
          </cell>
          <cell r="AB852">
            <v>0</v>
          </cell>
        </row>
        <row r="853">
          <cell r="A853">
            <v>852</v>
          </cell>
          <cell r="B853" t="str">
            <v>サキエル</v>
          </cell>
          <cell r="C853">
            <v>4</v>
          </cell>
          <cell r="D853" t="str">
            <v>blue</v>
          </cell>
          <cell r="E853">
            <v>1</v>
          </cell>
          <cell r="F853">
            <v>0.98</v>
          </cell>
          <cell r="G853">
            <v>1</v>
          </cell>
          <cell r="H853" t="str">
            <v>hp</v>
          </cell>
          <cell r="I853" t="str">
            <v>体力タイプ</v>
          </cell>
          <cell r="J853">
            <v>1.45</v>
          </cell>
          <cell r="K853">
            <v>0.85</v>
          </cell>
          <cell r="L853">
            <v>1</v>
          </cell>
          <cell r="M853" t="str">
            <v>god</v>
          </cell>
          <cell r="N853" t="str">
            <v>ゴッド</v>
          </cell>
          <cell r="O853">
            <v>0.96</v>
          </cell>
          <cell r="P853">
            <v>1.02</v>
          </cell>
          <cell r="Q853">
            <v>1</v>
          </cell>
          <cell r="R853" t="str">
            <v>Boss</v>
          </cell>
          <cell r="S853">
            <v>5</v>
          </cell>
          <cell r="T853">
            <v>1.3</v>
          </cell>
          <cell r="U853">
            <v>0.8</v>
          </cell>
          <cell r="V853">
            <v>3</v>
          </cell>
          <cell r="W853">
            <v>1</v>
          </cell>
          <cell r="X853">
            <v>30</v>
          </cell>
          <cell r="Y853">
            <v>1.3</v>
          </cell>
          <cell r="Z853">
            <v>1.3</v>
          </cell>
          <cell r="AA853">
            <v>1.1000000000000001</v>
          </cell>
          <cell r="AB853">
            <v>0</v>
          </cell>
        </row>
        <row r="854">
          <cell r="A854">
            <v>853</v>
          </cell>
          <cell r="B854" t="str">
            <v>裂爪の天使 サキエル・ティア</v>
          </cell>
          <cell r="C854">
            <v>5</v>
          </cell>
          <cell r="D854" t="str">
            <v>blue</v>
          </cell>
          <cell r="E854">
            <v>1</v>
          </cell>
          <cell r="F854">
            <v>0.98</v>
          </cell>
          <cell r="G854">
            <v>1</v>
          </cell>
          <cell r="H854" t="str">
            <v>hp</v>
          </cell>
          <cell r="I854" t="str">
            <v>体力タイプ</v>
          </cell>
          <cell r="J854">
            <v>1.45</v>
          </cell>
          <cell r="K854">
            <v>0.85</v>
          </cell>
          <cell r="L854">
            <v>1</v>
          </cell>
          <cell r="M854" t="str">
            <v>god</v>
          </cell>
          <cell r="N854" t="str">
            <v>ゴッド</v>
          </cell>
          <cell r="O854">
            <v>0.96</v>
          </cell>
          <cell r="P854">
            <v>1.02</v>
          </cell>
          <cell r="Q854">
            <v>1</v>
          </cell>
          <cell r="R854" t="str">
            <v>Boss</v>
          </cell>
          <cell r="S854">
            <v>5</v>
          </cell>
          <cell r="T854">
            <v>1.3</v>
          </cell>
          <cell r="U854">
            <v>0.8</v>
          </cell>
          <cell r="V854">
            <v>3</v>
          </cell>
          <cell r="W854">
            <v>1</v>
          </cell>
          <cell r="X854">
            <v>60</v>
          </cell>
          <cell r="Y854">
            <v>1.7</v>
          </cell>
          <cell r="Z854">
            <v>1.4</v>
          </cell>
          <cell r="AA854">
            <v>1</v>
          </cell>
          <cell r="AB854">
            <v>0</v>
          </cell>
        </row>
        <row r="855">
          <cell r="A855">
            <v>854</v>
          </cell>
          <cell r="B855" t="str">
            <v>フラウロス</v>
          </cell>
          <cell r="C855">
            <v>4</v>
          </cell>
          <cell r="D855" t="str">
            <v>yellow</v>
          </cell>
          <cell r="E855">
            <v>0.98</v>
          </cell>
          <cell r="F855">
            <v>1.01</v>
          </cell>
          <cell r="G855">
            <v>1</v>
          </cell>
          <cell r="H855" t="str">
            <v>attack</v>
          </cell>
          <cell r="I855" t="str">
            <v>攻撃タイプ</v>
          </cell>
          <cell r="J855">
            <v>1</v>
          </cell>
          <cell r="K855">
            <v>1.33</v>
          </cell>
          <cell r="L855">
            <v>1</v>
          </cell>
          <cell r="M855" t="str">
            <v>animal</v>
          </cell>
          <cell r="N855" t="str">
            <v>アニマル</v>
          </cell>
          <cell r="O855">
            <v>1</v>
          </cell>
          <cell r="P855">
            <v>1.1000000000000001</v>
          </cell>
          <cell r="Q855">
            <v>1</v>
          </cell>
          <cell r="R855" t="str">
            <v>Boss</v>
          </cell>
          <cell r="S855">
            <v>5</v>
          </cell>
          <cell r="T855">
            <v>1.3</v>
          </cell>
          <cell r="U855">
            <v>0.8</v>
          </cell>
          <cell r="V855">
            <v>3</v>
          </cell>
          <cell r="W855">
            <v>1</v>
          </cell>
          <cell r="X855">
            <v>30</v>
          </cell>
          <cell r="Y855">
            <v>1.3</v>
          </cell>
          <cell r="Z855">
            <v>1.3</v>
          </cell>
          <cell r="AA855">
            <v>1.1000000000000001</v>
          </cell>
          <cell r="AB855">
            <v>0</v>
          </cell>
        </row>
        <row r="856">
          <cell r="A856">
            <v>855</v>
          </cell>
          <cell r="B856" t="str">
            <v>豹魔の侠客 フラウロス</v>
          </cell>
          <cell r="C856">
            <v>5</v>
          </cell>
          <cell r="D856" t="str">
            <v>yellow</v>
          </cell>
          <cell r="E856">
            <v>0.98</v>
          </cell>
          <cell r="F856">
            <v>1.01</v>
          </cell>
          <cell r="G856">
            <v>1</v>
          </cell>
          <cell r="H856" t="str">
            <v>attack</v>
          </cell>
          <cell r="I856" t="str">
            <v>攻撃タイプ</v>
          </cell>
          <cell r="J856">
            <v>1</v>
          </cell>
          <cell r="K856">
            <v>1.33</v>
          </cell>
          <cell r="L856">
            <v>1</v>
          </cell>
          <cell r="M856" t="str">
            <v>animal</v>
          </cell>
          <cell r="N856" t="str">
            <v>アニマル</v>
          </cell>
          <cell r="O856">
            <v>1</v>
          </cell>
          <cell r="P856">
            <v>1.1000000000000001</v>
          </cell>
          <cell r="Q856">
            <v>1</v>
          </cell>
          <cell r="R856" t="str">
            <v>Boss</v>
          </cell>
          <cell r="S856">
            <v>5</v>
          </cell>
          <cell r="T856">
            <v>1.3</v>
          </cell>
          <cell r="U856">
            <v>0.8</v>
          </cell>
          <cell r="V856">
            <v>3</v>
          </cell>
          <cell r="W856">
            <v>1</v>
          </cell>
          <cell r="X856">
            <v>60</v>
          </cell>
          <cell r="Y856">
            <v>1.7</v>
          </cell>
          <cell r="Z856">
            <v>1.4</v>
          </cell>
          <cell r="AA856">
            <v>1</v>
          </cell>
          <cell r="AB856">
            <v>0</v>
          </cell>
        </row>
        <row r="857">
          <cell r="A857">
            <v>856</v>
          </cell>
          <cell r="B857" t="str">
            <v>リフレクト＆M.I.R.R.O.R.</v>
          </cell>
          <cell r="C857">
            <v>4</v>
          </cell>
          <cell r="D857" t="str">
            <v>red</v>
          </cell>
          <cell r="E857">
            <v>1</v>
          </cell>
          <cell r="F857">
            <v>1.02</v>
          </cell>
          <cell r="G857">
            <v>1</v>
          </cell>
          <cell r="H857" t="str">
            <v>technical</v>
          </cell>
          <cell r="I857" t="str">
            <v>テクニカルタイプ</v>
          </cell>
          <cell r="J857">
            <v>0.9</v>
          </cell>
          <cell r="K857">
            <v>0.9</v>
          </cell>
          <cell r="L857">
            <v>1</v>
          </cell>
          <cell r="M857" t="str">
            <v>human</v>
          </cell>
          <cell r="N857" t="str">
            <v>ヒューマン</v>
          </cell>
          <cell r="O857">
            <v>0.94</v>
          </cell>
          <cell r="P857">
            <v>0.99</v>
          </cell>
          <cell r="Q857">
            <v>1</v>
          </cell>
          <cell r="R857" t="str">
            <v>Boss</v>
          </cell>
          <cell r="S857">
            <v>5</v>
          </cell>
          <cell r="T857">
            <v>1.3</v>
          </cell>
          <cell r="U857">
            <v>0.8</v>
          </cell>
          <cell r="V857">
            <v>3</v>
          </cell>
          <cell r="W857">
            <v>1</v>
          </cell>
          <cell r="X857">
            <v>30</v>
          </cell>
          <cell r="Y857">
            <v>1.3</v>
          </cell>
          <cell r="Z857">
            <v>1.3</v>
          </cell>
          <cell r="AA857">
            <v>1.1000000000000001</v>
          </cell>
          <cell r="AB857">
            <v>0</v>
          </cell>
        </row>
        <row r="858">
          <cell r="A858">
            <v>857</v>
          </cell>
          <cell r="B858" t="str">
            <v>嫉心のリフレクト＆M.I.R.R.O.R.</v>
          </cell>
          <cell r="C858">
            <v>5</v>
          </cell>
          <cell r="D858" t="str">
            <v>red</v>
          </cell>
          <cell r="E858">
            <v>1</v>
          </cell>
          <cell r="F858">
            <v>1.02</v>
          </cell>
          <cell r="G858">
            <v>1</v>
          </cell>
          <cell r="H858" t="str">
            <v>technical</v>
          </cell>
          <cell r="I858" t="str">
            <v>テクニカルタイプ</v>
          </cell>
          <cell r="J858">
            <v>0.9</v>
          </cell>
          <cell r="K858">
            <v>0.9</v>
          </cell>
          <cell r="L858">
            <v>1</v>
          </cell>
          <cell r="M858" t="str">
            <v>human</v>
          </cell>
          <cell r="N858" t="str">
            <v>ヒューマン</v>
          </cell>
          <cell r="O858">
            <v>0.94</v>
          </cell>
          <cell r="P858">
            <v>0.99</v>
          </cell>
          <cell r="Q858">
            <v>1</v>
          </cell>
          <cell r="R858" t="str">
            <v>Boss</v>
          </cell>
          <cell r="S858">
            <v>5</v>
          </cell>
          <cell r="T858">
            <v>1.3</v>
          </cell>
          <cell r="U858">
            <v>0.8</v>
          </cell>
          <cell r="V858">
            <v>3</v>
          </cell>
          <cell r="W858">
            <v>1</v>
          </cell>
          <cell r="X858">
            <v>60</v>
          </cell>
          <cell r="Y858">
            <v>1.7</v>
          </cell>
          <cell r="Z858">
            <v>1.4</v>
          </cell>
          <cell r="AA858">
            <v>1</v>
          </cell>
          <cell r="AB858">
            <v>0</v>
          </cell>
        </row>
        <row r="859">
          <cell r="A859">
            <v>858</v>
          </cell>
          <cell r="B859" t="str">
            <v>Mr.ホエール</v>
          </cell>
          <cell r="C859">
            <v>4</v>
          </cell>
          <cell r="D859" t="str">
            <v>yellow</v>
          </cell>
          <cell r="E859">
            <v>0.98</v>
          </cell>
          <cell r="F859">
            <v>1.01</v>
          </cell>
          <cell r="G859">
            <v>1</v>
          </cell>
          <cell r="H859" t="str">
            <v>hp</v>
          </cell>
          <cell r="I859" t="str">
            <v>体力タイプ</v>
          </cell>
          <cell r="J859">
            <v>1.45</v>
          </cell>
          <cell r="K859">
            <v>0.85</v>
          </cell>
          <cell r="L859">
            <v>1</v>
          </cell>
          <cell r="M859" t="str">
            <v>machine</v>
          </cell>
          <cell r="N859" t="str">
            <v>マシン</v>
          </cell>
          <cell r="O859">
            <v>1</v>
          </cell>
          <cell r="P859">
            <v>1</v>
          </cell>
          <cell r="Q859">
            <v>1</v>
          </cell>
          <cell r="R859" t="str">
            <v>Boss</v>
          </cell>
          <cell r="S859">
            <v>5</v>
          </cell>
          <cell r="T859">
            <v>1.3</v>
          </cell>
          <cell r="U859">
            <v>0.8</v>
          </cell>
          <cell r="V859">
            <v>3</v>
          </cell>
          <cell r="W859">
            <v>1</v>
          </cell>
          <cell r="X859">
            <v>30</v>
          </cell>
          <cell r="Y859">
            <v>1.3</v>
          </cell>
          <cell r="Z859">
            <v>1.3</v>
          </cell>
          <cell r="AA859">
            <v>1.1000000000000001</v>
          </cell>
          <cell r="AB859">
            <v>0</v>
          </cell>
        </row>
        <row r="860">
          <cell r="A860">
            <v>859</v>
          </cell>
          <cell r="B860" t="str">
            <v>夢鯨大食 Mr.ホエール</v>
          </cell>
          <cell r="C860">
            <v>5</v>
          </cell>
          <cell r="D860" t="str">
            <v>yellow</v>
          </cell>
          <cell r="E860">
            <v>0.98</v>
          </cell>
          <cell r="F860">
            <v>1.01</v>
          </cell>
          <cell r="G860">
            <v>1</v>
          </cell>
          <cell r="H860" t="str">
            <v>hp</v>
          </cell>
          <cell r="I860" t="str">
            <v>体力タイプ</v>
          </cell>
          <cell r="J860">
            <v>1.45</v>
          </cell>
          <cell r="K860">
            <v>0.85</v>
          </cell>
          <cell r="L860">
            <v>1</v>
          </cell>
          <cell r="M860" t="str">
            <v>machine</v>
          </cell>
          <cell r="N860" t="str">
            <v>マシン</v>
          </cell>
          <cell r="O860">
            <v>1</v>
          </cell>
          <cell r="P860">
            <v>1</v>
          </cell>
          <cell r="Q860">
            <v>1</v>
          </cell>
          <cell r="R860" t="str">
            <v>Boss</v>
          </cell>
          <cell r="S860">
            <v>5</v>
          </cell>
          <cell r="T860">
            <v>1.3</v>
          </cell>
          <cell r="U860">
            <v>0.8</v>
          </cell>
          <cell r="V860">
            <v>3</v>
          </cell>
          <cell r="W860">
            <v>1</v>
          </cell>
          <cell r="X860">
            <v>60</v>
          </cell>
          <cell r="Y860">
            <v>1.7</v>
          </cell>
          <cell r="Z860">
            <v>1.4</v>
          </cell>
          <cell r="AA860">
            <v>1</v>
          </cell>
          <cell r="AB860">
            <v>0</v>
          </cell>
        </row>
        <row r="861">
          <cell r="A861">
            <v>860</v>
          </cell>
          <cell r="B861" t="str">
            <v>叶望の幻燈 ジーナ</v>
          </cell>
          <cell r="C861">
            <v>5</v>
          </cell>
          <cell r="D861" t="str">
            <v>blue</v>
          </cell>
          <cell r="E861">
            <v>1</v>
          </cell>
          <cell r="F861">
            <v>0.98</v>
          </cell>
          <cell r="G861">
            <v>1</v>
          </cell>
          <cell r="H861" t="str">
            <v>hp</v>
          </cell>
          <cell r="I861" t="str">
            <v>体力タイプ</v>
          </cell>
          <cell r="J861">
            <v>1.45</v>
          </cell>
          <cell r="K861">
            <v>0.85</v>
          </cell>
          <cell r="L861">
            <v>1</v>
          </cell>
          <cell r="M861" t="str">
            <v>unknown</v>
          </cell>
          <cell r="N861" t="str">
            <v>Unknown</v>
          </cell>
          <cell r="O861">
            <v>1</v>
          </cell>
          <cell r="P861">
            <v>1</v>
          </cell>
          <cell r="Q861">
            <v>1</v>
          </cell>
          <cell r="R861" t="str">
            <v>Boss</v>
          </cell>
          <cell r="S861">
            <v>5</v>
          </cell>
          <cell r="T861">
            <v>1.3</v>
          </cell>
          <cell r="U861">
            <v>0.8</v>
          </cell>
          <cell r="V861">
            <v>3</v>
          </cell>
          <cell r="W861">
            <v>1</v>
          </cell>
          <cell r="X861">
            <v>60</v>
          </cell>
          <cell r="Y861">
            <v>1.7</v>
          </cell>
          <cell r="Z861">
            <v>1.4</v>
          </cell>
          <cell r="AA861">
            <v>1</v>
          </cell>
          <cell r="AB861">
            <v>0</v>
          </cell>
        </row>
        <row r="862">
          <cell r="A862">
            <v>861</v>
          </cell>
          <cell r="B862" t="str">
            <v>青燈の巨躯 ジーナ</v>
          </cell>
          <cell r="C862">
            <v>6</v>
          </cell>
          <cell r="D862" t="str">
            <v>blue</v>
          </cell>
          <cell r="E862">
            <v>1</v>
          </cell>
          <cell r="F862">
            <v>0.98</v>
          </cell>
          <cell r="G862">
            <v>1</v>
          </cell>
          <cell r="H862" t="str">
            <v>hp</v>
          </cell>
          <cell r="I862" t="str">
            <v>体力タイプ</v>
          </cell>
          <cell r="J862">
            <v>1.45</v>
          </cell>
          <cell r="K862">
            <v>0.85</v>
          </cell>
          <cell r="L862">
            <v>1</v>
          </cell>
          <cell r="M862" t="str">
            <v>unknown</v>
          </cell>
          <cell r="N862" t="str">
            <v>Unknown</v>
          </cell>
          <cell r="O862">
            <v>1</v>
          </cell>
          <cell r="P862">
            <v>1</v>
          </cell>
          <cell r="Q862">
            <v>1</v>
          </cell>
          <cell r="R862" t="str">
            <v>Boss</v>
          </cell>
          <cell r="S862">
            <v>5</v>
          </cell>
          <cell r="T862">
            <v>1.3</v>
          </cell>
          <cell r="U862">
            <v>0.8</v>
          </cell>
          <cell r="V862">
            <v>3</v>
          </cell>
          <cell r="W862">
            <v>1</v>
          </cell>
          <cell r="X862">
            <v>60</v>
          </cell>
          <cell r="Y862">
            <v>1.7</v>
          </cell>
          <cell r="Z862">
            <v>1.4</v>
          </cell>
          <cell r="AA862">
            <v>1</v>
          </cell>
          <cell r="AB862">
            <v>0</v>
          </cell>
        </row>
        <row r="863">
          <cell r="A863">
            <v>862</v>
          </cell>
          <cell r="B863" t="str">
            <v>ブレーメン</v>
          </cell>
          <cell r="C863">
            <v>4</v>
          </cell>
          <cell r="D863" t="str">
            <v>red</v>
          </cell>
          <cell r="E863">
            <v>1</v>
          </cell>
          <cell r="F863">
            <v>1.02</v>
          </cell>
          <cell r="G863">
            <v>1</v>
          </cell>
          <cell r="H863" t="str">
            <v>balance</v>
          </cell>
          <cell r="I863" t="str">
            <v>バランスタイプ</v>
          </cell>
          <cell r="J863">
            <v>1</v>
          </cell>
          <cell r="K863">
            <v>1</v>
          </cell>
          <cell r="L863">
            <v>1</v>
          </cell>
          <cell r="M863" t="str">
            <v>animal</v>
          </cell>
          <cell r="N863" t="str">
            <v>アニマル</v>
          </cell>
          <cell r="O863">
            <v>1</v>
          </cell>
          <cell r="P863">
            <v>1.1000000000000001</v>
          </cell>
          <cell r="Q863">
            <v>1</v>
          </cell>
          <cell r="R863" t="str">
            <v>Boss</v>
          </cell>
          <cell r="S863">
            <v>5</v>
          </cell>
          <cell r="T863">
            <v>1.3</v>
          </cell>
          <cell r="U863">
            <v>0.8</v>
          </cell>
          <cell r="V863">
            <v>3</v>
          </cell>
          <cell r="W863">
            <v>1</v>
          </cell>
          <cell r="X863">
            <v>30</v>
          </cell>
          <cell r="Y863">
            <v>1.3</v>
          </cell>
          <cell r="Z863">
            <v>1.3</v>
          </cell>
          <cell r="AA863">
            <v>1.1000000000000001</v>
          </cell>
          <cell r="AB863">
            <v>0</v>
          </cell>
        </row>
        <row r="864">
          <cell r="A864">
            <v>863</v>
          </cell>
          <cell r="B864" t="str">
            <v>歓揮の楽団長 ブレーメン</v>
          </cell>
          <cell r="C864">
            <v>5</v>
          </cell>
          <cell r="D864" t="str">
            <v>red</v>
          </cell>
          <cell r="E864">
            <v>1</v>
          </cell>
          <cell r="F864">
            <v>1.02</v>
          </cell>
          <cell r="G864">
            <v>1</v>
          </cell>
          <cell r="H864" t="str">
            <v>balance</v>
          </cell>
          <cell r="I864" t="str">
            <v>バランスタイプ</v>
          </cell>
          <cell r="J864">
            <v>1</v>
          </cell>
          <cell r="K864">
            <v>1</v>
          </cell>
          <cell r="L864">
            <v>1</v>
          </cell>
          <cell r="M864" t="str">
            <v>animal</v>
          </cell>
          <cell r="N864" t="str">
            <v>アニマル</v>
          </cell>
          <cell r="O864">
            <v>1</v>
          </cell>
          <cell r="P864">
            <v>1.1000000000000001</v>
          </cell>
          <cell r="Q864">
            <v>1</v>
          </cell>
          <cell r="R864" t="str">
            <v>Boss</v>
          </cell>
          <cell r="S864">
            <v>5</v>
          </cell>
          <cell r="T864">
            <v>1.3</v>
          </cell>
          <cell r="U864">
            <v>0.8</v>
          </cell>
          <cell r="V864">
            <v>3</v>
          </cell>
          <cell r="W864">
            <v>1</v>
          </cell>
          <cell r="X864">
            <v>60</v>
          </cell>
          <cell r="Y864">
            <v>1.7</v>
          </cell>
          <cell r="Z864">
            <v>1.4</v>
          </cell>
          <cell r="AA864">
            <v>1</v>
          </cell>
          <cell r="AB864">
            <v>0</v>
          </cell>
        </row>
        <row r="865">
          <cell r="A865">
            <v>864</v>
          </cell>
          <cell r="B865" t="str">
            <v>ピノキオ</v>
          </cell>
          <cell r="C865">
            <v>4</v>
          </cell>
          <cell r="D865" t="str">
            <v>green</v>
          </cell>
          <cell r="E865">
            <v>1.02</v>
          </cell>
          <cell r="F865">
            <v>0.98</v>
          </cell>
          <cell r="G865">
            <v>1</v>
          </cell>
          <cell r="H865" t="str">
            <v>attack</v>
          </cell>
          <cell r="I865" t="str">
            <v>攻撃タイプ</v>
          </cell>
          <cell r="J865">
            <v>1</v>
          </cell>
          <cell r="K865">
            <v>1.33</v>
          </cell>
          <cell r="L865">
            <v>1</v>
          </cell>
          <cell r="M865" t="str">
            <v>machine</v>
          </cell>
          <cell r="N865" t="str">
            <v>マシン</v>
          </cell>
          <cell r="O865">
            <v>1</v>
          </cell>
          <cell r="P865">
            <v>1</v>
          </cell>
          <cell r="Q865">
            <v>1</v>
          </cell>
          <cell r="R865" t="str">
            <v>Boss</v>
          </cell>
          <cell r="S865">
            <v>5</v>
          </cell>
          <cell r="T865">
            <v>1.3</v>
          </cell>
          <cell r="U865">
            <v>0.8</v>
          </cell>
          <cell r="V865">
            <v>3</v>
          </cell>
          <cell r="W865">
            <v>1</v>
          </cell>
          <cell r="X865">
            <v>30</v>
          </cell>
          <cell r="Y865">
            <v>1.3</v>
          </cell>
          <cell r="Z865">
            <v>1.3</v>
          </cell>
          <cell r="AA865">
            <v>1.1000000000000001</v>
          </cell>
          <cell r="AB865">
            <v>0</v>
          </cell>
        </row>
        <row r="866">
          <cell r="A866">
            <v>865</v>
          </cell>
          <cell r="B866" t="str">
            <v>無情の感線 ピノキオ</v>
          </cell>
          <cell r="C866">
            <v>5</v>
          </cell>
          <cell r="D866" t="str">
            <v>green</v>
          </cell>
          <cell r="E866">
            <v>1.02</v>
          </cell>
          <cell r="F866">
            <v>0.98</v>
          </cell>
          <cell r="G866">
            <v>1</v>
          </cell>
          <cell r="H866" t="str">
            <v>attack</v>
          </cell>
          <cell r="I866" t="str">
            <v>攻撃タイプ</v>
          </cell>
          <cell r="J866">
            <v>1</v>
          </cell>
          <cell r="K866">
            <v>1.33</v>
          </cell>
          <cell r="L866">
            <v>1</v>
          </cell>
          <cell r="M866" t="str">
            <v>machine</v>
          </cell>
          <cell r="N866" t="str">
            <v>マシン</v>
          </cell>
          <cell r="O866">
            <v>1</v>
          </cell>
          <cell r="P866">
            <v>1</v>
          </cell>
          <cell r="Q866">
            <v>1</v>
          </cell>
          <cell r="R866" t="str">
            <v>Boss</v>
          </cell>
          <cell r="S866">
            <v>5</v>
          </cell>
          <cell r="T866">
            <v>1.3</v>
          </cell>
          <cell r="U866">
            <v>0.8</v>
          </cell>
          <cell r="V866">
            <v>3</v>
          </cell>
          <cell r="W866">
            <v>1</v>
          </cell>
          <cell r="X866">
            <v>60</v>
          </cell>
          <cell r="Y866">
            <v>1.7</v>
          </cell>
          <cell r="Z866">
            <v>1.4</v>
          </cell>
          <cell r="AA866">
            <v>1</v>
          </cell>
          <cell r="AB866">
            <v>0</v>
          </cell>
        </row>
        <row r="867">
          <cell r="A867">
            <v>866</v>
          </cell>
          <cell r="B867" t="str">
            <v>無敗の司令姫 白雪姫</v>
          </cell>
          <cell r="C867">
            <v>5</v>
          </cell>
          <cell r="D867" t="str">
            <v>blue</v>
          </cell>
          <cell r="E867">
            <v>1</v>
          </cell>
          <cell r="F867">
            <v>0.98</v>
          </cell>
          <cell r="G867">
            <v>1</v>
          </cell>
          <cell r="H867" t="str">
            <v>balance</v>
          </cell>
          <cell r="I867" t="str">
            <v>バランスタイプ</v>
          </cell>
          <cell r="J867">
            <v>1</v>
          </cell>
          <cell r="K867">
            <v>1</v>
          </cell>
          <cell r="L867">
            <v>1</v>
          </cell>
          <cell r="M867" t="str">
            <v>human</v>
          </cell>
          <cell r="N867" t="str">
            <v>ヒューマン</v>
          </cell>
          <cell r="O867">
            <v>0.94</v>
          </cell>
          <cell r="P867">
            <v>0.99</v>
          </cell>
          <cell r="Q867">
            <v>1</v>
          </cell>
          <cell r="R867" t="str">
            <v>Boss</v>
          </cell>
          <cell r="S867">
            <v>5</v>
          </cell>
          <cell r="T867">
            <v>1.3</v>
          </cell>
          <cell r="U867">
            <v>0.8</v>
          </cell>
          <cell r="V867">
            <v>3</v>
          </cell>
          <cell r="W867">
            <v>1</v>
          </cell>
          <cell r="X867">
            <v>60</v>
          </cell>
          <cell r="Y867">
            <v>1.7</v>
          </cell>
          <cell r="Z867">
            <v>1.4</v>
          </cell>
          <cell r="AA867">
            <v>1</v>
          </cell>
          <cell r="AB867">
            <v>0</v>
          </cell>
        </row>
        <row r="868">
          <cell r="A868">
            <v>867</v>
          </cell>
          <cell r="B868" t="str">
            <v>華麗なる作戦 白雪姫</v>
          </cell>
          <cell r="C868">
            <v>6</v>
          </cell>
          <cell r="D868" t="str">
            <v>blue</v>
          </cell>
          <cell r="E868">
            <v>1</v>
          </cell>
          <cell r="F868">
            <v>0.98</v>
          </cell>
          <cell r="G868">
            <v>1</v>
          </cell>
          <cell r="H868" t="str">
            <v>balance</v>
          </cell>
          <cell r="I868" t="str">
            <v>バランスタイプ</v>
          </cell>
          <cell r="J868">
            <v>1</v>
          </cell>
          <cell r="K868">
            <v>1</v>
          </cell>
          <cell r="L868">
            <v>1</v>
          </cell>
          <cell r="M868" t="str">
            <v>human</v>
          </cell>
          <cell r="N868" t="str">
            <v>ヒューマン</v>
          </cell>
          <cell r="O868">
            <v>0.94</v>
          </cell>
          <cell r="P868">
            <v>0.99</v>
          </cell>
          <cell r="Q868">
            <v>1</v>
          </cell>
          <cell r="R868" t="str">
            <v>Boss</v>
          </cell>
          <cell r="S868">
            <v>5</v>
          </cell>
          <cell r="T868">
            <v>1.3</v>
          </cell>
          <cell r="U868">
            <v>0.8</v>
          </cell>
          <cell r="V868">
            <v>3</v>
          </cell>
          <cell r="W868">
            <v>1</v>
          </cell>
          <cell r="X868">
            <v>60</v>
          </cell>
          <cell r="Y868">
            <v>1.7</v>
          </cell>
          <cell r="Z868">
            <v>1.4</v>
          </cell>
          <cell r="AA868">
            <v>1</v>
          </cell>
          <cell r="AB868">
            <v>0</v>
          </cell>
        </row>
        <row r="869">
          <cell r="A869">
            <v>868</v>
          </cell>
          <cell r="B869" t="str">
            <v>アラジンと殲滅機兵LAMP</v>
          </cell>
          <cell r="C869">
            <v>5</v>
          </cell>
          <cell r="D869" t="str">
            <v>yellow</v>
          </cell>
          <cell r="E869">
            <v>0.98</v>
          </cell>
          <cell r="F869">
            <v>1.01</v>
          </cell>
          <cell r="G869">
            <v>1</v>
          </cell>
          <cell r="H869" t="str">
            <v>hp</v>
          </cell>
          <cell r="I869" t="str">
            <v>体力タイプ</v>
          </cell>
          <cell r="J869">
            <v>1.45</v>
          </cell>
          <cell r="K869">
            <v>0.85</v>
          </cell>
          <cell r="L869">
            <v>1</v>
          </cell>
          <cell r="M869" t="str">
            <v>human</v>
          </cell>
          <cell r="N869" t="str">
            <v>ヒューマン</v>
          </cell>
          <cell r="O869">
            <v>0.94</v>
          </cell>
          <cell r="P869">
            <v>0.99</v>
          </cell>
          <cell r="Q869">
            <v>1</v>
          </cell>
          <cell r="R869" t="str">
            <v>Boss</v>
          </cell>
          <cell r="S869">
            <v>5</v>
          </cell>
          <cell r="T869">
            <v>1.3</v>
          </cell>
          <cell r="U869">
            <v>0.8</v>
          </cell>
          <cell r="V869">
            <v>3</v>
          </cell>
          <cell r="W869">
            <v>1</v>
          </cell>
          <cell r="X869">
            <v>60</v>
          </cell>
          <cell r="Y869">
            <v>1.7</v>
          </cell>
          <cell r="Z869">
            <v>1.4</v>
          </cell>
          <cell r="AA869">
            <v>1</v>
          </cell>
          <cell r="AB869">
            <v>0</v>
          </cell>
        </row>
        <row r="870">
          <cell r="A870">
            <v>869</v>
          </cell>
          <cell r="B870" t="str">
            <v xml:space="preserve">マスター･アラジンと殲滅機兵LAMP </v>
          </cell>
          <cell r="C870">
            <v>6</v>
          </cell>
          <cell r="D870" t="str">
            <v>yellow</v>
          </cell>
          <cell r="E870">
            <v>0.98</v>
          </cell>
          <cell r="F870">
            <v>1.01</v>
          </cell>
          <cell r="G870">
            <v>1</v>
          </cell>
          <cell r="H870" t="str">
            <v>hp</v>
          </cell>
          <cell r="I870" t="str">
            <v>体力タイプ</v>
          </cell>
          <cell r="J870">
            <v>1.45</v>
          </cell>
          <cell r="K870">
            <v>0.85</v>
          </cell>
          <cell r="L870">
            <v>1</v>
          </cell>
          <cell r="M870" t="str">
            <v>human</v>
          </cell>
          <cell r="N870" t="str">
            <v>ヒューマン</v>
          </cell>
          <cell r="O870">
            <v>0.94</v>
          </cell>
          <cell r="P870">
            <v>0.99</v>
          </cell>
          <cell r="Q870">
            <v>1</v>
          </cell>
          <cell r="R870" t="str">
            <v>Boss</v>
          </cell>
          <cell r="S870">
            <v>5</v>
          </cell>
          <cell r="T870">
            <v>1.3</v>
          </cell>
          <cell r="U870">
            <v>0.8</v>
          </cell>
          <cell r="V870">
            <v>3</v>
          </cell>
          <cell r="W870">
            <v>1</v>
          </cell>
          <cell r="X870">
            <v>60</v>
          </cell>
          <cell r="Y870">
            <v>1.7</v>
          </cell>
          <cell r="Z870">
            <v>1.4</v>
          </cell>
          <cell r="AA870">
            <v>1</v>
          </cell>
          <cell r="AB870">
            <v>0</v>
          </cell>
        </row>
        <row r="871">
          <cell r="A871">
            <v>870</v>
          </cell>
          <cell r="B871" t="str">
            <v>フロイト</v>
          </cell>
          <cell r="C871">
            <v>5</v>
          </cell>
          <cell r="D871" t="str">
            <v>red</v>
          </cell>
          <cell r="E871">
            <v>1</v>
          </cell>
          <cell r="F871">
            <v>1.02</v>
          </cell>
          <cell r="G871">
            <v>1</v>
          </cell>
          <cell r="H871" t="str">
            <v>balance</v>
          </cell>
          <cell r="I871" t="str">
            <v>バランスタイプ</v>
          </cell>
          <cell r="J871">
            <v>1</v>
          </cell>
          <cell r="K871">
            <v>1</v>
          </cell>
          <cell r="L871">
            <v>1</v>
          </cell>
          <cell r="M871" t="str">
            <v>academia</v>
          </cell>
          <cell r="N871" t="str">
            <v>アカデミア</v>
          </cell>
          <cell r="O871">
            <v>1</v>
          </cell>
          <cell r="P871">
            <v>1</v>
          </cell>
          <cell r="Q871">
            <v>1</v>
          </cell>
          <cell r="R871" t="str">
            <v>Boss</v>
          </cell>
          <cell r="S871">
            <v>5</v>
          </cell>
          <cell r="T871">
            <v>1.3</v>
          </cell>
          <cell r="U871">
            <v>0.8</v>
          </cell>
          <cell r="V871">
            <v>3</v>
          </cell>
          <cell r="W871">
            <v>1</v>
          </cell>
          <cell r="X871">
            <v>60</v>
          </cell>
          <cell r="Y871">
            <v>1.7</v>
          </cell>
          <cell r="Z871">
            <v>1.4</v>
          </cell>
          <cell r="AA871">
            <v>1</v>
          </cell>
          <cell r="AB871">
            <v>0</v>
          </cell>
        </row>
        <row r="872">
          <cell r="A872">
            <v>871</v>
          </cell>
          <cell r="B872" t="str">
            <v>無我夢中の羊狩り フロイト</v>
          </cell>
          <cell r="C872">
            <v>6</v>
          </cell>
          <cell r="D872" t="str">
            <v>red</v>
          </cell>
          <cell r="E872">
            <v>1</v>
          </cell>
          <cell r="F872">
            <v>1.02</v>
          </cell>
          <cell r="G872">
            <v>1</v>
          </cell>
          <cell r="H872" t="str">
            <v>balance</v>
          </cell>
          <cell r="I872" t="str">
            <v>バランスタイプ</v>
          </cell>
          <cell r="J872">
            <v>1</v>
          </cell>
          <cell r="K872">
            <v>1</v>
          </cell>
          <cell r="L872">
            <v>1</v>
          </cell>
          <cell r="M872" t="str">
            <v>academia</v>
          </cell>
          <cell r="N872" t="str">
            <v>アカデミア</v>
          </cell>
          <cell r="O872">
            <v>1</v>
          </cell>
          <cell r="P872">
            <v>1</v>
          </cell>
          <cell r="Q872">
            <v>1</v>
          </cell>
          <cell r="R872" t="str">
            <v>Boss</v>
          </cell>
          <cell r="S872">
            <v>5</v>
          </cell>
          <cell r="T872">
            <v>1.3</v>
          </cell>
          <cell r="U872">
            <v>0.8</v>
          </cell>
          <cell r="V872">
            <v>3</v>
          </cell>
          <cell r="W872">
            <v>1</v>
          </cell>
          <cell r="X872">
            <v>60</v>
          </cell>
          <cell r="Y872">
            <v>1.7</v>
          </cell>
          <cell r="Z872">
            <v>1.4</v>
          </cell>
          <cell r="AA872">
            <v>1</v>
          </cell>
          <cell r="AB872">
            <v>0</v>
          </cell>
        </row>
        <row r="873">
          <cell r="A873">
            <v>872</v>
          </cell>
          <cell r="B873" t="str">
            <v>シュヴァルツシルト</v>
          </cell>
          <cell r="C873">
            <v>5</v>
          </cell>
          <cell r="D873" t="str">
            <v>blue</v>
          </cell>
          <cell r="E873">
            <v>1</v>
          </cell>
          <cell r="F873">
            <v>0.98</v>
          </cell>
          <cell r="G873">
            <v>1</v>
          </cell>
          <cell r="H873" t="str">
            <v>attack</v>
          </cell>
          <cell r="I873" t="str">
            <v>攻撃タイプ</v>
          </cell>
          <cell r="J873">
            <v>1</v>
          </cell>
          <cell r="K873">
            <v>1.33</v>
          </cell>
          <cell r="L873">
            <v>1</v>
          </cell>
          <cell r="M873" t="str">
            <v>academia</v>
          </cell>
          <cell r="N873" t="str">
            <v>アカデミア</v>
          </cell>
          <cell r="O873">
            <v>1</v>
          </cell>
          <cell r="P873">
            <v>1</v>
          </cell>
          <cell r="Q873">
            <v>1</v>
          </cell>
          <cell r="R873" t="str">
            <v>Boss</v>
          </cell>
          <cell r="S873">
            <v>5</v>
          </cell>
          <cell r="T873">
            <v>1.3</v>
          </cell>
          <cell r="U873">
            <v>0.8</v>
          </cell>
          <cell r="V873">
            <v>3</v>
          </cell>
          <cell r="W873">
            <v>1</v>
          </cell>
          <cell r="X873">
            <v>60</v>
          </cell>
          <cell r="Y873">
            <v>1.7</v>
          </cell>
          <cell r="Z873">
            <v>1.4</v>
          </cell>
          <cell r="AA873">
            <v>1</v>
          </cell>
          <cell r="AB873">
            <v>0</v>
          </cell>
        </row>
        <row r="874">
          <cell r="A874">
            <v>873</v>
          </cell>
          <cell r="B874" t="str">
            <v>時歪の特異天 シュヴァルツシルト</v>
          </cell>
          <cell r="C874">
            <v>6</v>
          </cell>
          <cell r="D874" t="str">
            <v>blue</v>
          </cell>
          <cell r="E874">
            <v>1</v>
          </cell>
          <cell r="F874">
            <v>0.98</v>
          </cell>
          <cell r="G874">
            <v>1</v>
          </cell>
          <cell r="H874" t="str">
            <v>attack</v>
          </cell>
          <cell r="I874" t="str">
            <v>攻撃タイプ</v>
          </cell>
          <cell r="J874">
            <v>1</v>
          </cell>
          <cell r="K874">
            <v>1.33</v>
          </cell>
          <cell r="L874">
            <v>1</v>
          </cell>
          <cell r="M874" t="str">
            <v>academia</v>
          </cell>
          <cell r="N874" t="str">
            <v>アカデミア</v>
          </cell>
          <cell r="O874">
            <v>1</v>
          </cell>
          <cell r="P874">
            <v>1</v>
          </cell>
          <cell r="Q874">
            <v>1</v>
          </cell>
          <cell r="R874" t="str">
            <v>Boss</v>
          </cell>
          <cell r="S874">
            <v>5</v>
          </cell>
          <cell r="T874">
            <v>1.3</v>
          </cell>
          <cell r="U874">
            <v>0.8</v>
          </cell>
          <cell r="V874">
            <v>3</v>
          </cell>
          <cell r="W874">
            <v>1</v>
          </cell>
          <cell r="X874">
            <v>60</v>
          </cell>
          <cell r="Y874">
            <v>1.7</v>
          </cell>
          <cell r="Z874">
            <v>1.4</v>
          </cell>
          <cell r="AA874">
            <v>1</v>
          </cell>
          <cell r="AB874">
            <v>0</v>
          </cell>
        </row>
        <row r="875">
          <cell r="A875">
            <v>874</v>
          </cell>
          <cell r="B875" t="str">
            <v>フレネル</v>
          </cell>
          <cell r="C875">
            <v>5</v>
          </cell>
          <cell r="D875" t="str">
            <v>yellow</v>
          </cell>
          <cell r="E875">
            <v>0.98</v>
          </cell>
          <cell r="F875">
            <v>1.01</v>
          </cell>
          <cell r="G875">
            <v>1</v>
          </cell>
          <cell r="H875" t="str">
            <v>attack</v>
          </cell>
          <cell r="I875" t="str">
            <v>攻撃タイプ</v>
          </cell>
          <cell r="J875">
            <v>1</v>
          </cell>
          <cell r="K875">
            <v>1.33</v>
          </cell>
          <cell r="L875">
            <v>1</v>
          </cell>
          <cell r="M875" t="str">
            <v>academia</v>
          </cell>
          <cell r="N875" t="str">
            <v>アカデミア</v>
          </cell>
          <cell r="O875">
            <v>1</v>
          </cell>
          <cell r="P875">
            <v>1</v>
          </cell>
          <cell r="Q875">
            <v>1</v>
          </cell>
          <cell r="R875" t="str">
            <v>Boss</v>
          </cell>
          <cell r="S875">
            <v>5</v>
          </cell>
          <cell r="T875">
            <v>1.3</v>
          </cell>
          <cell r="U875">
            <v>0.8</v>
          </cell>
          <cell r="V875">
            <v>3</v>
          </cell>
          <cell r="W875">
            <v>1</v>
          </cell>
          <cell r="X875">
            <v>60</v>
          </cell>
          <cell r="Y875">
            <v>1.7</v>
          </cell>
          <cell r="Z875">
            <v>1.4</v>
          </cell>
          <cell r="AA875">
            <v>1</v>
          </cell>
          <cell r="AB875">
            <v>0</v>
          </cell>
        </row>
        <row r="876">
          <cell r="A876">
            <v>875</v>
          </cell>
          <cell r="B876" t="str">
            <v>覇導の光跡 フレネル</v>
          </cell>
          <cell r="C876">
            <v>6</v>
          </cell>
          <cell r="D876" t="str">
            <v>yellow</v>
          </cell>
          <cell r="E876">
            <v>0.98</v>
          </cell>
          <cell r="F876">
            <v>1.01</v>
          </cell>
          <cell r="G876">
            <v>1</v>
          </cell>
          <cell r="H876" t="str">
            <v>attack</v>
          </cell>
          <cell r="I876" t="str">
            <v>攻撃タイプ</v>
          </cell>
          <cell r="J876">
            <v>1</v>
          </cell>
          <cell r="K876">
            <v>1.33</v>
          </cell>
          <cell r="L876">
            <v>1</v>
          </cell>
          <cell r="M876" t="str">
            <v>academia</v>
          </cell>
          <cell r="N876" t="str">
            <v>アカデミア</v>
          </cell>
          <cell r="O876">
            <v>1</v>
          </cell>
          <cell r="P876">
            <v>1</v>
          </cell>
          <cell r="Q876">
            <v>1</v>
          </cell>
          <cell r="R876" t="str">
            <v>Boss</v>
          </cell>
          <cell r="S876">
            <v>5</v>
          </cell>
          <cell r="T876">
            <v>1.3</v>
          </cell>
          <cell r="U876">
            <v>0.8</v>
          </cell>
          <cell r="V876">
            <v>3</v>
          </cell>
          <cell r="W876">
            <v>1</v>
          </cell>
          <cell r="X876">
            <v>60</v>
          </cell>
          <cell r="Y876">
            <v>1.7</v>
          </cell>
          <cell r="Z876">
            <v>1.4</v>
          </cell>
          <cell r="AA876">
            <v>1</v>
          </cell>
          <cell r="AB876">
            <v>0</v>
          </cell>
        </row>
        <row r="877">
          <cell r="A877">
            <v>876</v>
          </cell>
          <cell r="B877" t="str">
            <v>イフリート</v>
          </cell>
          <cell r="C877">
            <v>4</v>
          </cell>
          <cell r="D877" t="str">
            <v>red</v>
          </cell>
          <cell r="E877">
            <v>1</v>
          </cell>
          <cell r="F877">
            <v>1.02</v>
          </cell>
          <cell r="G877">
            <v>1</v>
          </cell>
          <cell r="H877" t="str">
            <v>attack</v>
          </cell>
          <cell r="I877" t="str">
            <v>攻撃タイプ</v>
          </cell>
          <cell r="J877">
            <v>1</v>
          </cell>
          <cell r="K877">
            <v>1.33</v>
          </cell>
          <cell r="L877">
            <v>1</v>
          </cell>
          <cell r="M877" t="str">
            <v>god</v>
          </cell>
          <cell r="N877" t="str">
            <v>ゴッド</v>
          </cell>
          <cell r="O877">
            <v>0.96</v>
          </cell>
          <cell r="P877">
            <v>1.02</v>
          </cell>
          <cell r="Q877">
            <v>1</v>
          </cell>
          <cell r="R877" t="str">
            <v>Boss</v>
          </cell>
          <cell r="S877">
            <v>5</v>
          </cell>
          <cell r="T877">
            <v>1.3</v>
          </cell>
          <cell r="U877">
            <v>0.8</v>
          </cell>
          <cell r="V877">
            <v>3</v>
          </cell>
          <cell r="W877">
            <v>1</v>
          </cell>
          <cell r="X877">
            <v>30</v>
          </cell>
          <cell r="Y877">
            <v>1.3</v>
          </cell>
          <cell r="Z877">
            <v>1.3</v>
          </cell>
          <cell r="AA877">
            <v>1.1000000000000001</v>
          </cell>
          <cell r="AB877">
            <v>0</v>
          </cell>
        </row>
        <row r="878">
          <cell r="A878">
            <v>877</v>
          </cell>
          <cell r="B878" t="str">
            <v>自律の協炎 イフリート</v>
          </cell>
          <cell r="C878">
            <v>5</v>
          </cell>
          <cell r="D878" t="str">
            <v>red</v>
          </cell>
          <cell r="E878">
            <v>1</v>
          </cell>
          <cell r="F878">
            <v>1.02</v>
          </cell>
          <cell r="G878">
            <v>1</v>
          </cell>
          <cell r="H878" t="str">
            <v>attack</v>
          </cell>
          <cell r="I878" t="str">
            <v>攻撃タイプ</v>
          </cell>
          <cell r="J878">
            <v>1</v>
          </cell>
          <cell r="K878">
            <v>1.33</v>
          </cell>
          <cell r="L878">
            <v>1</v>
          </cell>
          <cell r="M878" t="str">
            <v>god</v>
          </cell>
          <cell r="N878" t="str">
            <v>ゴッド</v>
          </cell>
          <cell r="O878">
            <v>0.96</v>
          </cell>
          <cell r="P878">
            <v>1.02</v>
          </cell>
          <cell r="Q878">
            <v>1</v>
          </cell>
          <cell r="R878" t="str">
            <v>Boss</v>
          </cell>
          <cell r="S878">
            <v>5</v>
          </cell>
          <cell r="T878">
            <v>1.3</v>
          </cell>
          <cell r="U878">
            <v>0.8</v>
          </cell>
          <cell r="V878">
            <v>3</v>
          </cell>
          <cell r="W878">
            <v>1</v>
          </cell>
          <cell r="X878">
            <v>60</v>
          </cell>
          <cell r="Y878">
            <v>1.7</v>
          </cell>
          <cell r="Z878">
            <v>1.4</v>
          </cell>
          <cell r="AA878">
            <v>1</v>
          </cell>
          <cell r="AB878">
            <v>0</v>
          </cell>
        </row>
        <row r="879">
          <cell r="A879">
            <v>878</v>
          </cell>
          <cell r="B879" t="str">
            <v>イグニス</v>
          </cell>
          <cell r="C879">
            <v>4</v>
          </cell>
          <cell r="D879" t="str">
            <v>red</v>
          </cell>
          <cell r="E879">
            <v>1</v>
          </cell>
          <cell r="F879">
            <v>1.02</v>
          </cell>
          <cell r="G879">
            <v>1</v>
          </cell>
          <cell r="H879" t="str">
            <v>balance</v>
          </cell>
          <cell r="I879" t="str">
            <v>バランスタイプ</v>
          </cell>
          <cell r="J879">
            <v>1</v>
          </cell>
          <cell r="K879">
            <v>1</v>
          </cell>
          <cell r="L879">
            <v>1</v>
          </cell>
          <cell r="M879" t="str">
            <v>god</v>
          </cell>
          <cell r="N879" t="str">
            <v>ゴッド</v>
          </cell>
          <cell r="O879">
            <v>0.96</v>
          </cell>
          <cell r="P879">
            <v>1.02</v>
          </cell>
          <cell r="Q879">
            <v>1</v>
          </cell>
          <cell r="R879" t="str">
            <v>Boss</v>
          </cell>
          <cell r="S879">
            <v>5</v>
          </cell>
          <cell r="T879">
            <v>1.3</v>
          </cell>
          <cell r="U879">
            <v>0.8</v>
          </cell>
          <cell r="V879">
            <v>3</v>
          </cell>
          <cell r="W879">
            <v>1</v>
          </cell>
          <cell r="X879">
            <v>30</v>
          </cell>
          <cell r="Y879">
            <v>1.3</v>
          </cell>
          <cell r="Z879">
            <v>1.3</v>
          </cell>
          <cell r="AA879">
            <v>1.1000000000000001</v>
          </cell>
          <cell r="AB879">
            <v>0</v>
          </cell>
        </row>
        <row r="880">
          <cell r="A880">
            <v>879</v>
          </cell>
          <cell r="B880" t="str">
            <v>イグニス・フューリー</v>
          </cell>
          <cell r="C880">
            <v>5</v>
          </cell>
          <cell r="D880" t="str">
            <v>red</v>
          </cell>
          <cell r="E880">
            <v>1</v>
          </cell>
          <cell r="F880">
            <v>1.02</v>
          </cell>
          <cell r="G880">
            <v>1</v>
          </cell>
          <cell r="H880" t="str">
            <v>balance</v>
          </cell>
          <cell r="I880" t="str">
            <v>バランスタイプ</v>
          </cell>
          <cell r="J880">
            <v>1</v>
          </cell>
          <cell r="K880">
            <v>1</v>
          </cell>
          <cell r="L880">
            <v>1</v>
          </cell>
          <cell r="M880" t="str">
            <v>god</v>
          </cell>
          <cell r="N880" t="str">
            <v>ゴッド</v>
          </cell>
          <cell r="O880">
            <v>0.96</v>
          </cell>
          <cell r="P880">
            <v>1.02</v>
          </cell>
          <cell r="Q880">
            <v>1</v>
          </cell>
          <cell r="R880" t="str">
            <v>Boss</v>
          </cell>
          <cell r="S880">
            <v>5</v>
          </cell>
          <cell r="T880">
            <v>1.3</v>
          </cell>
          <cell r="U880">
            <v>0.8</v>
          </cell>
          <cell r="V880">
            <v>3</v>
          </cell>
          <cell r="W880">
            <v>1</v>
          </cell>
          <cell r="X880">
            <v>60</v>
          </cell>
          <cell r="Y880">
            <v>1.7</v>
          </cell>
          <cell r="Z880">
            <v>1.4</v>
          </cell>
          <cell r="AA880">
            <v>1</v>
          </cell>
          <cell r="AB880">
            <v>0</v>
          </cell>
        </row>
        <row r="881">
          <cell r="A881">
            <v>880</v>
          </cell>
          <cell r="B881" t="str">
            <v>ハーシェル</v>
          </cell>
          <cell r="C881">
            <v>5</v>
          </cell>
          <cell r="D881" t="str">
            <v>yellow</v>
          </cell>
          <cell r="E881">
            <v>0.98</v>
          </cell>
          <cell r="F881">
            <v>1.01</v>
          </cell>
          <cell r="G881">
            <v>1</v>
          </cell>
          <cell r="H881" t="str">
            <v>heal</v>
          </cell>
          <cell r="I881" t="str">
            <v>回復タイプ</v>
          </cell>
          <cell r="J881">
            <v>0.8</v>
          </cell>
          <cell r="K881">
            <v>0.78</v>
          </cell>
          <cell r="L881">
            <v>1</v>
          </cell>
          <cell r="M881" t="str">
            <v>academia</v>
          </cell>
          <cell r="N881" t="str">
            <v>アカデミア</v>
          </cell>
          <cell r="O881">
            <v>1</v>
          </cell>
          <cell r="P881">
            <v>1</v>
          </cell>
          <cell r="Q881">
            <v>1</v>
          </cell>
          <cell r="R881" t="str">
            <v>Boss</v>
          </cell>
          <cell r="S881">
            <v>5</v>
          </cell>
          <cell r="T881">
            <v>1.3</v>
          </cell>
          <cell r="U881">
            <v>0.8</v>
          </cell>
          <cell r="V881">
            <v>3</v>
          </cell>
          <cell r="W881">
            <v>1</v>
          </cell>
          <cell r="X881">
            <v>60</v>
          </cell>
          <cell r="Y881">
            <v>1.7</v>
          </cell>
          <cell r="Z881">
            <v>1.4</v>
          </cell>
          <cell r="AA881">
            <v>1</v>
          </cell>
          <cell r="AB881">
            <v>0</v>
          </cell>
        </row>
        <row r="882">
          <cell r="A882">
            <v>881</v>
          </cell>
          <cell r="B882" t="str">
            <v>銀河究星の望観者 ハーシェル</v>
          </cell>
          <cell r="C882">
            <v>6</v>
          </cell>
          <cell r="D882" t="str">
            <v>yellow</v>
          </cell>
          <cell r="E882">
            <v>0.98</v>
          </cell>
          <cell r="F882">
            <v>1.01</v>
          </cell>
          <cell r="G882">
            <v>1</v>
          </cell>
          <cell r="H882" t="str">
            <v>heal</v>
          </cell>
          <cell r="I882" t="str">
            <v>回復タイプ</v>
          </cell>
          <cell r="J882">
            <v>0.8</v>
          </cell>
          <cell r="K882">
            <v>0.78</v>
          </cell>
          <cell r="L882">
            <v>1</v>
          </cell>
          <cell r="M882" t="str">
            <v>academia</v>
          </cell>
          <cell r="N882" t="str">
            <v>アカデミア</v>
          </cell>
          <cell r="O882">
            <v>1</v>
          </cell>
          <cell r="P882">
            <v>1</v>
          </cell>
          <cell r="Q882">
            <v>1</v>
          </cell>
          <cell r="R882" t="str">
            <v>Boss</v>
          </cell>
          <cell r="S882">
            <v>5</v>
          </cell>
          <cell r="T882">
            <v>1.3</v>
          </cell>
          <cell r="U882">
            <v>0.8</v>
          </cell>
          <cell r="V882">
            <v>3</v>
          </cell>
          <cell r="W882">
            <v>1</v>
          </cell>
          <cell r="X882">
            <v>60</v>
          </cell>
          <cell r="Y882">
            <v>1.7</v>
          </cell>
          <cell r="Z882">
            <v>1.4</v>
          </cell>
          <cell r="AA882">
            <v>1</v>
          </cell>
          <cell r="AB882">
            <v>0</v>
          </cell>
        </row>
        <row r="883">
          <cell r="A883">
            <v>882</v>
          </cell>
          <cell r="B883" t="str">
            <v>歪極する星壊 シュヴァルツシルト</v>
          </cell>
          <cell r="C883">
            <v>6</v>
          </cell>
          <cell r="D883" t="str">
            <v>blue</v>
          </cell>
          <cell r="E883">
            <v>1</v>
          </cell>
          <cell r="F883">
            <v>0.98</v>
          </cell>
          <cell r="G883">
            <v>1</v>
          </cell>
          <cell r="H883" t="str">
            <v>attack</v>
          </cell>
          <cell r="I883" t="str">
            <v>攻撃タイプ</v>
          </cell>
          <cell r="J883">
            <v>1</v>
          </cell>
          <cell r="K883">
            <v>1.33</v>
          </cell>
          <cell r="L883">
            <v>1</v>
          </cell>
          <cell r="M883" t="str">
            <v>ti</v>
          </cell>
          <cell r="N883" t="str">
            <v>t</v>
          </cell>
          <cell r="O883">
            <v>1</v>
          </cell>
          <cell r="P883">
            <v>1</v>
          </cell>
          <cell r="Q883">
            <v>1</v>
          </cell>
          <cell r="R883" t="str">
            <v>Boss</v>
          </cell>
          <cell r="S883">
            <v>5</v>
          </cell>
          <cell r="T883">
            <v>1.3</v>
          </cell>
          <cell r="U883">
            <v>0.8</v>
          </cell>
          <cell r="V883">
            <v>3</v>
          </cell>
          <cell r="W883">
            <v>1</v>
          </cell>
          <cell r="X883">
            <v>60</v>
          </cell>
          <cell r="Y883">
            <v>1.7</v>
          </cell>
          <cell r="Z883">
            <v>1.4</v>
          </cell>
          <cell r="AA883">
            <v>1</v>
          </cell>
          <cell r="AB883">
            <v>0</v>
          </cell>
        </row>
        <row r="884">
          <cell r="A884">
            <v>883</v>
          </cell>
          <cell r="B884" t="str">
            <v>灼動する猛巨炎 プロメテウス</v>
          </cell>
          <cell r="C884">
            <v>6</v>
          </cell>
          <cell r="D884" t="str">
            <v>red</v>
          </cell>
          <cell r="E884">
            <v>1</v>
          </cell>
          <cell r="F884">
            <v>1.02</v>
          </cell>
          <cell r="G884">
            <v>1</v>
          </cell>
          <cell r="H884" t="str">
            <v>hp</v>
          </cell>
          <cell r="I884" t="str">
            <v>体力タイプ</v>
          </cell>
          <cell r="J884">
            <v>1.45</v>
          </cell>
          <cell r="K884">
            <v>0.85</v>
          </cell>
          <cell r="L884">
            <v>1</v>
          </cell>
          <cell r="M884" t="str">
            <v>god</v>
          </cell>
          <cell r="N884" t="str">
            <v>ゴッド</v>
          </cell>
          <cell r="O884">
            <v>0.96</v>
          </cell>
          <cell r="P884">
            <v>1.02</v>
          </cell>
          <cell r="Q884">
            <v>1</v>
          </cell>
          <cell r="R884" t="str">
            <v>Boss</v>
          </cell>
          <cell r="S884">
            <v>5</v>
          </cell>
          <cell r="T884">
            <v>1.3</v>
          </cell>
          <cell r="U884">
            <v>0.8</v>
          </cell>
          <cell r="V884">
            <v>3</v>
          </cell>
          <cell r="W884">
            <v>1</v>
          </cell>
          <cell r="X884">
            <v>60</v>
          </cell>
          <cell r="Y884">
            <v>1.7</v>
          </cell>
          <cell r="Z884">
            <v>1.4</v>
          </cell>
          <cell r="AA884">
            <v>1</v>
          </cell>
          <cell r="AB884">
            <v>0</v>
          </cell>
        </row>
        <row r="885">
          <cell r="A885">
            <v>884</v>
          </cell>
          <cell r="B885" t="str">
            <v>咲園の爛漫神 アフロディーテ</v>
          </cell>
          <cell r="C885">
            <v>6</v>
          </cell>
          <cell r="D885" t="str">
            <v>green</v>
          </cell>
          <cell r="E885">
            <v>1.02</v>
          </cell>
          <cell r="F885">
            <v>0.98</v>
          </cell>
          <cell r="G885">
            <v>1</v>
          </cell>
          <cell r="H885" t="str">
            <v>hp</v>
          </cell>
          <cell r="I885" t="str">
            <v>体力タイプ</v>
          </cell>
          <cell r="J885">
            <v>1.45</v>
          </cell>
          <cell r="K885">
            <v>0.85</v>
          </cell>
          <cell r="L885">
            <v>1</v>
          </cell>
          <cell r="M885" t="str">
            <v>god</v>
          </cell>
          <cell r="N885" t="str">
            <v>ゴッド</v>
          </cell>
          <cell r="O885">
            <v>0.96</v>
          </cell>
          <cell r="P885">
            <v>1.02</v>
          </cell>
          <cell r="Q885">
            <v>1</v>
          </cell>
          <cell r="R885" t="str">
            <v>Boss</v>
          </cell>
          <cell r="S885">
            <v>5</v>
          </cell>
          <cell r="T885">
            <v>1.3</v>
          </cell>
          <cell r="U885">
            <v>0.8</v>
          </cell>
          <cell r="V885">
            <v>3</v>
          </cell>
          <cell r="W885">
            <v>1</v>
          </cell>
          <cell r="X885">
            <v>60</v>
          </cell>
          <cell r="Y885">
            <v>1.7</v>
          </cell>
          <cell r="Z885">
            <v>1.4</v>
          </cell>
          <cell r="AA885">
            <v>1</v>
          </cell>
          <cell r="AB885">
            <v>0</v>
          </cell>
        </row>
        <row r="886">
          <cell r="A886">
            <v>885</v>
          </cell>
          <cell r="B886" t="str">
            <v>御群の絶海女神 テティス</v>
          </cell>
          <cell r="C886">
            <v>6</v>
          </cell>
          <cell r="D886" t="str">
            <v>blue</v>
          </cell>
          <cell r="E886">
            <v>1</v>
          </cell>
          <cell r="F886">
            <v>0.98</v>
          </cell>
          <cell r="G886">
            <v>1</v>
          </cell>
          <cell r="H886" t="str">
            <v>hp</v>
          </cell>
          <cell r="I886" t="str">
            <v>体力タイプ</v>
          </cell>
          <cell r="J886">
            <v>1.45</v>
          </cell>
          <cell r="K886">
            <v>0.85</v>
          </cell>
          <cell r="L886">
            <v>1</v>
          </cell>
          <cell r="M886" t="str">
            <v>god</v>
          </cell>
          <cell r="N886" t="str">
            <v>ゴッド</v>
          </cell>
          <cell r="O886">
            <v>0.96</v>
          </cell>
          <cell r="P886">
            <v>1.02</v>
          </cell>
          <cell r="Q886">
            <v>1</v>
          </cell>
          <cell r="R886" t="str">
            <v>Boss</v>
          </cell>
          <cell r="S886">
            <v>5</v>
          </cell>
          <cell r="T886">
            <v>1.3</v>
          </cell>
          <cell r="U886">
            <v>0.8</v>
          </cell>
          <cell r="V886">
            <v>3</v>
          </cell>
          <cell r="W886">
            <v>1</v>
          </cell>
          <cell r="X886">
            <v>60</v>
          </cell>
          <cell r="Y886">
            <v>1.7</v>
          </cell>
          <cell r="Z886">
            <v>1.4</v>
          </cell>
          <cell r="AA886">
            <v>1</v>
          </cell>
          <cell r="AB886">
            <v>0</v>
          </cell>
        </row>
        <row r="887">
          <cell r="A887">
            <v>886</v>
          </cell>
          <cell r="B887" t="str">
            <v>星義司る天聖神 アストライアー</v>
          </cell>
          <cell r="C887">
            <v>6</v>
          </cell>
          <cell r="D887" t="str">
            <v>yellow</v>
          </cell>
          <cell r="E887">
            <v>0.98</v>
          </cell>
          <cell r="F887">
            <v>1.01</v>
          </cell>
          <cell r="G887">
            <v>1</v>
          </cell>
          <cell r="H887" t="str">
            <v>balance</v>
          </cell>
          <cell r="I887" t="str">
            <v>バランスタイプ</v>
          </cell>
          <cell r="J887">
            <v>1</v>
          </cell>
          <cell r="K887">
            <v>1</v>
          </cell>
          <cell r="L887">
            <v>1</v>
          </cell>
          <cell r="M887" t="str">
            <v>god</v>
          </cell>
          <cell r="N887" t="str">
            <v>ゴッド</v>
          </cell>
          <cell r="O887">
            <v>0.96</v>
          </cell>
          <cell r="P887">
            <v>1.02</v>
          </cell>
          <cell r="Q887">
            <v>1</v>
          </cell>
          <cell r="R887" t="str">
            <v>Boss</v>
          </cell>
          <cell r="S887">
            <v>5</v>
          </cell>
          <cell r="T887">
            <v>1.3</v>
          </cell>
          <cell r="U887">
            <v>0.8</v>
          </cell>
          <cell r="V887">
            <v>3</v>
          </cell>
          <cell r="W887">
            <v>1</v>
          </cell>
          <cell r="X887">
            <v>60</v>
          </cell>
          <cell r="Y887">
            <v>1.7</v>
          </cell>
          <cell r="Z887">
            <v>1.4</v>
          </cell>
          <cell r="AA887">
            <v>1</v>
          </cell>
          <cell r="AB887">
            <v>0</v>
          </cell>
        </row>
        <row r="888">
          <cell r="A888">
            <v>887</v>
          </cell>
          <cell r="B888" t="str">
            <v>エリス</v>
          </cell>
          <cell r="C888">
            <v>5</v>
          </cell>
          <cell r="D888" t="str">
            <v>red</v>
          </cell>
          <cell r="E888">
            <v>1</v>
          </cell>
          <cell r="F888">
            <v>1.02</v>
          </cell>
          <cell r="G888">
            <v>1</v>
          </cell>
          <cell r="H888" t="str">
            <v>attack</v>
          </cell>
          <cell r="I888" t="str">
            <v>攻撃タイプ</v>
          </cell>
          <cell r="J888">
            <v>1</v>
          </cell>
          <cell r="K888">
            <v>1.33</v>
          </cell>
          <cell r="L888">
            <v>1</v>
          </cell>
          <cell r="M888" t="str">
            <v>human</v>
          </cell>
          <cell r="N888" t="str">
            <v>ヒューマン</v>
          </cell>
          <cell r="O888">
            <v>0.94</v>
          </cell>
          <cell r="P888">
            <v>0.99</v>
          </cell>
          <cell r="Q888">
            <v>1</v>
          </cell>
          <cell r="R888" t="str">
            <v>Boss</v>
          </cell>
          <cell r="S888">
            <v>5</v>
          </cell>
          <cell r="T888">
            <v>1.3</v>
          </cell>
          <cell r="U888">
            <v>0.8</v>
          </cell>
          <cell r="V888">
            <v>3</v>
          </cell>
          <cell r="W888">
            <v>1</v>
          </cell>
          <cell r="X888">
            <v>60</v>
          </cell>
          <cell r="Y888">
            <v>1.7</v>
          </cell>
          <cell r="Z888">
            <v>1.4</v>
          </cell>
          <cell r="AA888">
            <v>1</v>
          </cell>
          <cell r="AB888">
            <v>0</v>
          </cell>
        </row>
        <row r="889">
          <cell r="A889">
            <v>888</v>
          </cell>
          <cell r="B889" t="str">
            <v>禍根の暴送者 エリス</v>
          </cell>
          <cell r="C889">
            <v>6</v>
          </cell>
          <cell r="D889" t="str">
            <v>red</v>
          </cell>
          <cell r="E889">
            <v>1</v>
          </cell>
          <cell r="F889">
            <v>1.02</v>
          </cell>
          <cell r="G889">
            <v>1</v>
          </cell>
          <cell r="H889" t="str">
            <v>attack</v>
          </cell>
          <cell r="I889" t="str">
            <v>攻撃タイプ</v>
          </cell>
          <cell r="J889">
            <v>1</v>
          </cell>
          <cell r="K889">
            <v>1.33</v>
          </cell>
          <cell r="L889">
            <v>1</v>
          </cell>
          <cell r="M889" t="str">
            <v>human</v>
          </cell>
          <cell r="N889" t="str">
            <v>ヒューマン</v>
          </cell>
          <cell r="O889">
            <v>0.94</v>
          </cell>
          <cell r="P889">
            <v>0.99</v>
          </cell>
          <cell r="Q889">
            <v>1</v>
          </cell>
          <cell r="R889" t="str">
            <v>Boss</v>
          </cell>
          <cell r="S889">
            <v>5</v>
          </cell>
          <cell r="T889">
            <v>1.3</v>
          </cell>
          <cell r="U889">
            <v>0.8</v>
          </cell>
          <cell r="V889">
            <v>3</v>
          </cell>
          <cell r="W889">
            <v>1</v>
          </cell>
          <cell r="X889">
            <v>60</v>
          </cell>
          <cell r="Y889">
            <v>1.7</v>
          </cell>
          <cell r="Z889">
            <v>1.4</v>
          </cell>
          <cell r="AA889">
            <v>1</v>
          </cell>
          <cell r="AB889">
            <v>0</v>
          </cell>
        </row>
        <row r="890">
          <cell r="A890">
            <v>889</v>
          </cell>
          <cell r="B890" t="str">
            <v>未定</v>
          </cell>
          <cell r="C890">
            <v>5</v>
          </cell>
          <cell r="D890" t="str">
            <v>green</v>
          </cell>
          <cell r="E890">
            <v>1.02</v>
          </cell>
          <cell r="F890">
            <v>0.98</v>
          </cell>
          <cell r="G890">
            <v>1</v>
          </cell>
          <cell r="H890" t="str">
            <v>balance</v>
          </cell>
          <cell r="I890" t="str">
            <v>バランスタイプ</v>
          </cell>
          <cell r="J890">
            <v>1</v>
          </cell>
          <cell r="K890">
            <v>1</v>
          </cell>
          <cell r="L890">
            <v>1</v>
          </cell>
          <cell r="M890" t="str">
            <v>academia</v>
          </cell>
          <cell r="N890" t="str">
            <v>アカデミア</v>
          </cell>
          <cell r="O890">
            <v>1</v>
          </cell>
          <cell r="P890">
            <v>1</v>
          </cell>
          <cell r="Q890">
            <v>1</v>
          </cell>
          <cell r="R890" t="str">
            <v>Boss</v>
          </cell>
          <cell r="S890">
            <v>5</v>
          </cell>
          <cell r="T890">
            <v>1.3</v>
          </cell>
          <cell r="U890">
            <v>0.8</v>
          </cell>
          <cell r="V890">
            <v>3</v>
          </cell>
          <cell r="W890">
            <v>1</v>
          </cell>
          <cell r="X890">
            <v>60</v>
          </cell>
          <cell r="Y890">
            <v>1.7</v>
          </cell>
          <cell r="Z890">
            <v>1.4</v>
          </cell>
          <cell r="AA890">
            <v>1</v>
          </cell>
          <cell r="AB890">
            <v>0</v>
          </cell>
        </row>
        <row r="891">
          <cell r="A891">
            <v>890</v>
          </cell>
          <cell r="B891" t="str">
            <v>未定</v>
          </cell>
          <cell r="C891">
            <v>6</v>
          </cell>
          <cell r="D891" t="str">
            <v>green</v>
          </cell>
          <cell r="E891">
            <v>1.02</v>
          </cell>
          <cell r="F891">
            <v>0.98</v>
          </cell>
          <cell r="G891">
            <v>1</v>
          </cell>
          <cell r="H891" t="str">
            <v>balance</v>
          </cell>
          <cell r="I891" t="str">
            <v>バランスタイプ</v>
          </cell>
          <cell r="J891">
            <v>1</v>
          </cell>
          <cell r="K891">
            <v>1</v>
          </cell>
          <cell r="L891">
            <v>1</v>
          </cell>
          <cell r="M891" t="str">
            <v>academia</v>
          </cell>
          <cell r="N891" t="str">
            <v>アカデミア</v>
          </cell>
          <cell r="O891">
            <v>1</v>
          </cell>
          <cell r="P891">
            <v>1</v>
          </cell>
          <cell r="Q891">
            <v>1</v>
          </cell>
          <cell r="R891" t="str">
            <v>Boss</v>
          </cell>
          <cell r="S891">
            <v>5</v>
          </cell>
          <cell r="T891">
            <v>1.3</v>
          </cell>
          <cell r="U891">
            <v>0.8</v>
          </cell>
          <cell r="V891">
            <v>3</v>
          </cell>
          <cell r="W891">
            <v>1</v>
          </cell>
          <cell r="X891">
            <v>60</v>
          </cell>
          <cell r="Y891">
            <v>1.7</v>
          </cell>
          <cell r="Z891">
            <v>1.4</v>
          </cell>
          <cell r="AA891">
            <v>1</v>
          </cell>
          <cell r="AB891">
            <v>0</v>
          </cell>
        </row>
        <row r="892">
          <cell r="A892">
            <v>891</v>
          </cell>
          <cell r="B892" t="str">
            <v>コルキス</v>
          </cell>
          <cell r="C892">
            <v>5</v>
          </cell>
          <cell r="D892" t="str">
            <v>blue</v>
          </cell>
          <cell r="E892">
            <v>1</v>
          </cell>
          <cell r="F892">
            <v>0.98</v>
          </cell>
          <cell r="G892">
            <v>1</v>
          </cell>
          <cell r="H892" t="str">
            <v>hp</v>
          </cell>
          <cell r="I892" t="str">
            <v>体力タイプ</v>
          </cell>
          <cell r="J892">
            <v>1.45</v>
          </cell>
          <cell r="K892">
            <v>0.85</v>
          </cell>
          <cell r="L892">
            <v>1</v>
          </cell>
          <cell r="M892" t="str">
            <v>god</v>
          </cell>
          <cell r="N892" t="str">
            <v>ゴッド</v>
          </cell>
          <cell r="O892">
            <v>0.96</v>
          </cell>
          <cell r="P892">
            <v>1.02</v>
          </cell>
          <cell r="Q892">
            <v>1</v>
          </cell>
          <cell r="R892" t="str">
            <v>Boss</v>
          </cell>
          <cell r="S892">
            <v>5</v>
          </cell>
          <cell r="T892">
            <v>1.3</v>
          </cell>
          <cell r="U892">
            <v>0.8</v>
          </cell>
          <cell r="V892">
            <v>3</v>
          </cell>
          <cell r="W892">
            <v>1</v>
          </cell>
          <cell r="X892">
            <v>60</v>
          </cell>
          <cell r="Y892">
            <v>1.7</v>
          </cell>
          <cell r="Z892">
            <v>1.4</v>
          </cell>
          <cell r="AA892">
            <v>1</v>
          </cell>
          <cell r="AB892">
            <v>0</v>
          </cell>
        </row>
        <row r="893">
          <cell r="A893">
            <v>892</v>
          </cell>
          <cell r="B893" t="str">
            <v>金碧の羊星 コルキス</v>
          </cell>
          <cell r="C893">
            <v>6</v>
          </cell>
          <cell r="D893" t="str">
            <v>blue</v>
          </cell>
          <cell r="E893">
            <v>1</v>
          </cell>
          <cell r="F893">
            <v>0.98</v>
          </cell>
          <cell r="G893">
            <v>1</v>
          </cell>
          <cell r="H893" t="str">
            <v>hp</v>
          </cell>
          <cell r="I893" t="str">
            <v>体力タイプ</v>
          </cell>
          <cell r="J893">
            <v>1.45</v>
          </cell>
          <cell r="K893">
            <v>0.85</v>
          </cell>
          <cell r="L893">
            <v>1</v>
          </cell>
          <cell r="M893" t="str">
            <v>god</v>
          </cell>
          <cell r="N893" t="str">
            <v>ゴッド</v>
          </cell>
          <cell r="O893">
            <v>0.96</v>
          </cell>
          <cell r="P893">
            <v>1.02</v>
          </cell>
          <cell r="Q893">
            <v>1</v>
          </cell>
          <cell r="R893" t="str">
            <v>Boss</v>
          </cell>
          <cell r="S893">
            <v>5</v>
          </cell>
          <cell r="T893">
            <v>1.3</v>
          </cell>
          <cell r="U893">
            <v>0.8</v>
          </cell>
          <cell r="V893">
            <v>3</v>
          </cell>
          <cell r="W893">
            <v>1</v>
          </cell>
          <cell r="X893">
            <v>60</v>
          </cell>
          <cell r="Y893">
            <v>1.7</v>
          </cell>
          <cell r="Z893">
            <v>1.4</v>
          </cell>
          <cell r="AA893">
            <v>1</v>
          </cell>
          <cell r="AB893">
            <v>0</v>
          </cell>
        </row>
        <row r="894">
          <cell r="A894">
            <v>893</v>
          </cell>
          <cell r="B894" t="str">
            <v>アテナ</v>
          </cell>
          <cell r="C894">
            <v>5</v>
          </cell>
          <cell r="D894" t="str">
            <v>yellow</v>
          </cell>
          <cell r="E894">
            <v>0.98</v>
          </cell>
          <cell r="F894">
            <v>1.01</v>
          </cell>
          <cell r="G894">
            <v>1</v>
          </cell>
          <cell r="H894" t="str">
            <v>balance</v>
          </cell>
          <cell r="I894" t="str">
            <v>バランスタイプ</v>
          </cell>
          <cell r="J894">
            <v>1</v>
          </cell>
          <cell r="K894">
            <v>1</v>
          </cell>
          <cell r="L894">
            <v>1</v>
          </cell>
          <cell r="M894" t="str">
            <v>god</v>
          </cell>
          <cell r="N894" t="str">
            <v>ゴッド</v>
          </cell>
          <cell r="O894">
            <v>0.96</v>
          </cell>
          <cell r="P894">
            <v>1.02</v>
          </cell>
          <cell r="Q894">
            <v>1</v>
          </cell>
          <cell r="R894" t="str">
            <v>Boss</v>
          </cell>
          <cell r="S894">
            <v>5</v>
          </cell>
          <cell r="T894">
            <v>1.3</v>
          </cell>
          <cell r="U894">
            <v>0.8</v>
          </cell>
          <cell r="V894">
            <v>3</v>
          </cell>
          <cell r="W894">
            <v>1</v>
          </cell>
          <cell r="X894">
            <v>60</v>
          </cell>
          <cell r="Y894">
            <v>1.7</v>
          </cell>
          <cell r="Z894">
            <v>1.4</v>
          </cell>
          <cell r="AA894">
            <v>1</v>
          </cell>
          <cell r="AB894">
            <v>0</v>
          </cell>
        </row>
        <row r="895">
          <cell r="A895">
            <v>894</v>
          </cell>
          <cell r="B895" t="str">
            <v>聖澄の戦慧神 アテナ</v>
          </cell>
          <cell r="C895">
            <v>6</v>
          </cell>
          <cell r="D895" t="str">
            <v>yellow</v>
          </cell>
          <cell r="E895">
            <v>0.98</v>
          </cell>
          <cell r="F895">
            <v>1.01</v>
          </cell>
          <cell r="G895">
            <v>1</v>
          </cell>
          <cell r="H895" t="str">
            <v>balance</v>
          </cell>
          <cell r="I895" t="str">
            <v>バランスタイプ</v>
          </cell>
          <cell r="J895">
            <v>1</v>
          </cell>
          <cell r="K895">
            <v>1</v>
          </cell>
          <cell r="L895">
            <v>1</v>
          </cell>
          <cell r="M895" t="str">
            <v>god</v>
          </cell>
          <cell r="N895" t="str">
            <v>ゴッド</v>
          </cell>
          <cell r="O895">
            <v>0.96</v>
          </cell>
          <cell r="P895">
            <v>1.02</v>
          </cell>
          <cell r="Q895">
            <v>1</v>
          </cell>
          <cell r="R895" t="str">
            <v>Boss</v>
          </cell>
          <cell r="S895">
            <v>5</v>
          </cell>
          <cell r="T895">
            <v>1.3</v>
          </cell>
          <cell r="U895">
            <v>0.8</v>
          </cell>
          <cell r="V895">
            <v>3</v>
          </cell>
          <cell r="W895">
            <v>1</v>
          </cell>
          <cell r="X895">
            <v>60</v>
          </cell>
          <cell r="Y895">
            <v>1.7</v>
          </cell>
          <cell r="Z895">
            <v>1.4</v>
          </cell>
          <cell r="AA895">
            <v>1</v>
          </cell>
          <cell r="AB895">
            <v>0</v>
          </cell>
        </row>
        <row r="896">
          <cell r="A896">
            <v>895</v>
          </cell>
          <cell r="B896" t="str">
            <v>未定</v>
          </cell>
          <cell r="C896">
            <v>5</v>
          </cell>
          <cell r="D896" t="str">
            <v>blue</v>
          </cell>
          <cell r="E896">
            <v>1</v>
          </cell>
          <cell r="F896">
            <v>0.98</v>
          </cell>
          <cell r="G896">
            <v>1</v>
          </cell>
          <cell r="H896" t="str">
            <v>attack</v>
          </cell>
          <cell r="I896" t="str">
            <v>攻撃タイプ</v>
          </cell>
          <cell r="J896">
            <v>1</v>
          </cell>
          <cell r="K896">
            <v>1.33</v>
          </cell>
          <cell r="L896">
            <v>1</v>
          </cell>
          <cell r="M896" t="str">
            <v>human</v>
          </cell>
          <cell r="N896" t="str">
            <v>ヒューマン</v>
          </cell>
          <cell r="O896">
            <v>0.94</v>
          </cell>
          <cell r="P896">
            <v>0.99</v>
          </cell>
          <cell r="Q896">
            <v>1</v>
          </cell>
          <cell r="R896" t="str">
            <v>Boss</v>
          </cell>
          <cell r="S896">
            <v>5</v>
          </cell>
          <cell r="T896">
            <v>1.3</v>
          </cell>
          <cell r="U896">
            <v>0.8</v>
          </cell>
          <cell r="V896">
            <v>3</v>
          </cell>
          <cell r="W896">
            <v>1</v>
          </cell>
          <cell r="X896">
            <v>60</v>
          </cell>
          <cell r="Y896">
            <v>1.7</v>
          </cell>
          <cell r="Z896">
            <v>1.4</v>
          </cell>
          <cell r="AA896">
            <v>1</v>
          </cell>
          <cell r="AB896">
            <v>0</v>
          </cell>
        </row>
        <row r="897">
          <cell r="A897">
            <v>896</v>
          </cell>
          <cell r="B897" t="str">
            <v>天衣紡ぐ麗鶴 ハヅル</v>
          </cell>
          <cell r="C897">
            <v>6</v>
          </cell>
          <cell r="D897" t="str">
            <v>red</v>
          </cell>
          <cell r="E897">
            <v>1</v>
          </cell>
          <cell r="F897">
            <v>1.02</v>
          </cell>
          <cell r="G897">
            <v>1</v>
          </cell>
          <cell r="H897" t="str">
            <v>balance</v>
          </cell>
          <cell r="I897" t="str">
            <v>バランスタイプ</v>
          </cell>
          <cell r="J897">
            <v>1</v>
          </cell>
          <cell r="K897">
            <v>1</v>
          </cell>
          <cell r="L897">
            <v>1</v>
          </cell>
          <cell r="M897" t="str">
            <v>animal</v>
          </cell>
          <cell r="N897" t="str">
            <v>アニマル</v>
          </cell>
          <cell r="O897">
            <v>1</v>
          </cell>
          <cell r="P897">
            <v>1.1000000000000001</v>
          </cell>
          <cell r="Q897">
            <v>1</v>
          </cell>
          <cell r="R897" t="str">
            <v>Boss</v>
          </cell>
          <cell r="S897">
            <v>5</v>
          </cell>
          <cell r="T897">
            <v>1.3</v>
          </cell>
          <cell r="U897">
            <v>0.8</v>
          </cell>
          <cell r="V897">
            <v>3</v>
          </cell>
          <cell r="W897">
            <v>1</v>
          </cell>
          <cell r="X897">
            <v>60</v>
          </cell>
          <cell r="Y897">
            <v>1.7</v>
          </cell>
          <cell r="Z897">
            <v>1.4</v>
          </cell>
          <cell r="AA897">
            <v>1</v>
          </cell>
          <cell r="AB897">
            <v>0</v>
          </cell>
        </row>
        <row r="898">
          <cell r="A898">
            <v>897</v>
          </cell>
          <cell r="B898" t="str">
            <v>天跳兎破 イナバ</v>
          </cell>
          <cell r="C898">
            <v>6</v>
          </cell>
          <cell r="D898" t="str">
            <v>green</v>
          </cell>
          <cell r="E898">
            <v>1.02</v>
          </cell>
          <cell r="F898">
            <v>0.98</v>
          </cell>
          <cell r="G898">
            <v>1</v>
          </cell>
          <cell r="H898" t="str">
            <v>balance</v>
          </cell>
          <cell r="I898" t="str">
            <v>バランスタイプ</v>
          </cell>
          <cell r="J898">
            <v>1</v>
          </cell>
          <cell r="K898">
            <v>1</v>
          </cell>
          <cell r="L898">
            <v>1</v>
          </cell>
          <cell r="M898" t="str">
            <v>animal</v>
          </cell>
          <cell r="N898" t="str">
            <v>アニマル</v>
          </cell>
          <cell r="O898">
            <v>1</v>
          </cell>
          <cell r="P898">
            <v>1.1000000000000001</v>
          </cell>
          <cell r="Q898">
            <v>1</v>
          </cell>
          <cell r="R898" t="str">
            <v>Boss</v>
          </cell>
          <cell r="S898">
            <v>5</v>
          </cell>
          <cell r="T898">
            <v>1.3</v>
          </cell>
          <cell r="U898">
            <v>0.8</v>
          </cell>
          <cell r="V898">
            <v>3</v>
          </cell>
          <cell r="W898">
            <v>1</v>
          </cell>
          <cell r="X898">
            <v>60</v>
          </cell>
          <cell r="Y898">
            <v>1.7</v>
          </cell>
          <cell r="Z898">
            <v>1.4</v>
          </cell>
          <cell r="AA898">
            <v>1</v>
          </cell>
          <cell r="AB898">
            <v>0</v>
          </cell>
        </row>
        <row r="899">
          <cell r="A899">
            <v>898</v>
          </cell>
          <cell r="B899" t="str">
            <v>未定</v>
          </cell>
          <cell r="C899">
            <v>6</v>
          </cell>
          <cell r="D899" t="str">
            <v>red</v>
          </cell>
          <cell r="E899">
            <v>1</v>
          </cell>
          <cell r="F899">
            <v>1.02</v>
          </cell>
          <cell r="G899">
            <v>1</v>
          </cell>
          <cell r="H899" t="str">
            <v>attack</v>
          </cell>
          <cell r="I899" t="str">
            <v>攻撃タイプ</v>
          </cell>
          <cell r="J899">
            <v>1</v>
          </cell>
          <cell r="K899">
            <v>1.33</v>
          </cell>
          <cell r="L899">
            <v>1</v>
          </cell>
          <cell r="M899" t="str">
            <v>human</v>
          </cell>
          <cell r="N899" t="str">
            <v>ヒューマン</v>
          </cell>
          <cell r="O899">
            <v>0.94</v>
          </cell>
          <cell r="P899">
            <v>0.99</v>
          </cell>
          <cell r="Q899">
            <v>1</v>
          </cell>
          <cell r="R899" t="str">
            <v>Boss</v>
          </cell>
          <cell r="S899">
            <v>5</v>
          </cell>
          <cell r="T899">
            <v>1.3</v>
          </cell>
          <cell r="U899">
            <v>0.8</v>
          </cell>
          <cell r="V899">
            <v>3</v>
          </cell>
          <cell r="W899">
            <v>1</v>
          </cell>
          <cell r="X899">
            <v>60</v>
          </cell>
          <cell r="Y899">
            <v>1.7</v>
          </cell>
          <cell r="Z899">
            <v>1.4</v>
          </cell>
          <cell r="AA899">
            <v>1</v>
          </cell>
          <cell r="AB899">
            <v>0</v>
          </cell>
        </row>
        <row r="900">
          <cell r="A900">
            <v>899</v>
          </cell>
          <cell r="B900" t="str">
            <v>楽園からの帰還 アザゼル</v>
          </cell>
          <cell r="C900">
            <v>5</v>
          </cell>
          <cell r="D900" t="str">
            <v>green</v>
          </cell>
          <cell r="E900">
            <v>1.02</v>
          </cell>
          <cell r="F900">
            <v>0.98</v>
          </cell>
          <cell r="G900">
            <v>1</v>
          </cell>
          <cell r="H900" t="str">
            <v>technical</v>
          </cell>
          <cell r="I900" t="str">
            <v>テクニカルタイプ</v>
          </cell>
          <cell r="J900">
            <v>1</v>
          </cell>
          <cell r="K900">
            <v>1</v>
          </cell>
          <cell r="L900">
            <v>1</v>
          </cell>
          <cell r="M900" t="str">
            <v>god</v>
          </cell>
          <cell r="N900" t="str">
            <v>ゴッド</v>
          </cell>
          <cell r="O900">
            <v>0.96</v>
          </cell>
          <cell r="P900">
            <v>1.02</v>
          </cell>
          <cell r="Q900">
            <v>1</v>
          </cell>
          <cell r="R900" t="str">
            <v>Boss</v>
          </cell>
          <cell r="S900">
            <v>5</v>
          </cell>
          <cell r="T900">
            <v>1.3</v>
          </cell>
          <cell r="U900">
            <v>0.8</v>
          </cell>
          <cell r="V900">
            <v>3</v>
          </cell>
          <cell r="W900">
            <v>1</v>
          </cell>
          <cell r="X900">
            <v>60</v>
          </cell>
          <cell r="Y900">
            <v>1.7</v>
          </cell>
          <cell r="Z900">
            <v>1.4</v>
          </cell>
          <cell r="AA900">
            <v>1</v>
          </cell>
          <cell r="AB900">
            <v>0</v>
          </cell>
        </row>
        <row r="901">
          <cell r="A901">
            <v>900</v>
          </cell>
          <cell r="B901" t="str">
            <v>桃源郷での大宴会 アザゼル</v>
          </cell>
          <cell r="C901">
            <v>6</v>
          </cell>
          <cell r="D901" t="str">
            <v>green</v>
          </cell>
          <cell r="E901">
            <v>1.02</v>
          </cell>
          <cell r="F901">
            <v>0.98</v>
          </cell>
          <cell r="G901">
            <v>1</v>
          </cell>
          <cell r="H901" t="str">
            <v>technical</v>
          </cell>
          <cell r="I901" t="str">
            <v>テクニカルタイプ</v>
          </cell>
          <cell r="J901">
            <v>1</v>
          </cell>
          <cell r="K901">
            <v>1</v>
          </cell>
          <cell r="L901">
            <v>1</v>
          </cell>
          <cell r="M901" t="str">
            <v>god</v>
          </cell>
          <cell r="N901" t="str">
            <v>ゴッド</v>
          </cell>
          <cell r="O901">
            <v>0.96</v>
          </cell>
          <cell r="P901">
            <v>1.02</v>
          </cell>
          <cell r="Q901">
            <v>1</v>
          </cell>
          <cell r="R901" t="str">
            <v>Boss</v>
          </cell>
          <cell r="S901">
            <v>5</v>
          </cell>
          <cell r="T901">
            <v>1.3</v>
          </cell>
          <cell r="U901">
            <v>0.8</v>
          </cell>
          <cell r="V901">
            <v>3</v>
          </cell>
          <cell r="W901">
            <v>1</v>
          </cell>
          <cell r="X901">
            <v>60</v>
          </cell>
          <cell r="Y901">
            <v>1.7</v>
          </cell>
          <cell r="Z901">
            <v>1.4</v>
          </cell>
          <cell r="AA901">
            <v>1</v>
          </cell>
          <cell r="AB901">
            <v>0</v>
          </cell>
        </row>
        <row r="902">
          <cell r="A902">
            <v>901</v>
          </cell>
          <cell r="B902" t="str">
            <v>恩愛性ニムダ</v>
          </cell>
          <cell r="C902">
            <v>4</v>
          </cell>
          <cell r="D902" t="str">
            <v>yellow</v>
          </cell>
          <cell r="E902">
            <v>0.98</v>
          </cell>
          <cell r="F902">
            <v>1.01</v>
          </cell>
          <cell r="G902">
            <v>1</v>
          </cell>
          <cell r="H902" t="str">
            <v>technical</v>
          </cell>
          <cell r="I902" t="str">
            <v>テクニカルタイプ</v>
          </cell>
          <cell r="J902">
            <v>1</v>
          </cell>
          <cell r="K902">
            <v>1</v>
          </cell>
          <cell r="L902">
            <v>1</v>
          </cell>
          <cell r="M902" t="str">
            <v>unknown</v>
          </cell>
          <cell r="N902" t="str">
            <v>Unknown</v>
          </cell>
          <cell r="O902">
            <v>1</v>
          </cell>
          <cell r="P902">
            <v>1</v>
          </cell>
          <cell r="Q902">
            <v>1</v>
          </cell>
          <cell r="R902" t="str">
            <v>Boss</v>
          </cell>
          <cell r="S902">
            <v>5</v>
          </cell>
          <cell r="T902">
            <v>1.3</v>
          </cell>
          <cell r="U902">
            <v>0.8</v>
          </cell>
          <cell r="V902">
            <v>3</v>
          </cell>
          <cell r="W902">
            <v>1</v>
          </cell>
          <cell r="X902">
            <v>30</v>
          </cell>
          <cell r="Y902">
            <v>1.3</v>
          </cell>
          <cell r="Z902">
            <v>1.3</v>
          </cell>
          <cell r="AA902">
            <v>1.1000000000000001</v>
          </cell>
          <cell r="AB902">
            <v>0</v>
          </cell>
        </row>
        <row r="903">
          <cell r="A903">
            <v>902</v>
          </cell>
          <cell r="B903" t="str">
            <v>集団恩愛性ニムダL</v>
          </cell>
          <cell r="C903">
            <v>5</v>
          </cell>
          <cell r="D903" t="str">
            <v>yellow</v>
          </cell>
          <cell r="E903">
            <v>0.98</v>
          </cell>
          <cell r="F903">
            <v>1.01</v>
          </cell>
          <cell r="G903">
            <v>1</v>
          </cell>
          <cell r="H903" t="str">
            <v>technical</v>
          </cell>
          <cell r="I903" t="str">
            <v>テクニカルタイプ</v>
          </cell>
          <cell r="J903">
            <v>1</v>
          </cell>
          <cell r="K903">
            <v>1</v>
          </cell>
          <cell r="L903">
            <v>1</v>
          </cell>
          <cell r="M903" t="str">
            <v>unknown</v>
          </cell>
          <cell r="N903" t="str">
            <v>Unknown</v>
          </cell>
          <cell r="O903">
            <v>1</v>
          </cell>
          <cell r="P903">
            <v>1</v>
          </cell>
          <cell r="Q903">
            <v>1</v>
          </cell>
          <cell r="R903" t="str">
            <v>Boss</v>
          </cell>
          <cell r="S903">
            <v>5</v>
          </cell>
          <cell r="T903">
            <v>1.3</v>
          </cell>
          <cell r="U903">
            <v>0.8</v>
          </cell>
          <cell r="V903">
            <v>3</v>
          </cell>
          <cell r="W903">
            <v>1</v>
          </cell>
          <cell r="X903">
            <v>60</v>
          </cell>
          <cell r="Y903">
            <v>1.7</v>
          </cell>
          <cell r="Z903">
            <v>1.4</v>
          </cell>
          <cell r="AA903">
            <v>1</v>
          </cell>
          <cell r="AB903">
            <v>0</v>
          </cell>
        </row>
        <row r="904">
          <cell r="A904">
            <v>903</v>
          </cell>
          <cell r="B904" t="str">
            <v>ハローキティ</v>
          </cell>
          <cell r="C904">
            <v>4</v>
          </cell>
          <cell r="D904" t="str">
            <v>red</v>
          </cell>
          <cell r="E904">
            <v>1</v>
          </cell>
          <cell r="F904">
            <v>1.02</v>
          </cell>
          <cell r="G904">
            <v>1</v>
          </cell>
          <cell r="H904" t="str">
            <v>balance</v>
          </cell>
          <cell r="I904" t="str">
            <v>バランスタイプ</v>
          </cell>
          <cell r="J904">
            <v>1</v>
          </cell>
          <cell r="K904">
            <v>1</v>
          </cell>
          <cell r="L904">
            <v>1</v>
          </cell>
          <cell r="M904" t="str">
            <v>unknown</v>
          </cell>
          <cell r="N904" t="str">
            <v>Unknown</v>
          </cell>
          <cell r="O904">
            <v>1</v>
          </cell>
          <cell r="P904">
            <v>1</v>
          </cell>
          <cell r="Q904">
            <v>1</v>
          </cell>
          <cell r="R904" t="str">
            <v>Boss</v>
          </cell>
          <cell r="S904">
            <v>5</v>
          </cell>
          <cell r="T904">
            <v>1.3</v>
          </cell>
          <cell r="U904">
            <v>0.8</v>
          </cell>
          <cell r="V904">
            <v>3</v>
          </cell>
          <cell r="W904">
            <v>1</v>
          </cell>
          <cell r="X904">
            <v>30</v>
          </cell>
          <cell r="Y904">
            <v>1.3</v>
          </cell>
          <cell r="Z904">
            <v>1.3</v>
          </cell>
          <cell r="AA904">
            <v>1.1000000000000001</v>
          </cell>
          <cell r="AB904">
            <v>0</v>
          </cell>
        </row>
        <row r="905">
          <cell r="A905">
            <v>904</v>
          </cell>
          <cell r="B905" t="str">
            <v>りんごの馬車　ハローキティ</v>
          </cell>
          <cell r="C905">
            <v>5</v>
          </cell>
          <cell r="D905" t="str">
            <v>red</v>
          </cell>
          <cell r="E905">
            <v>1</v>
          </cell>
          <cell r="F905">
            <v>1.02</v>
          </cell>
          <cell r="G905">
            <v>1</v>
          </cell>
          <cell r="H905" t="str">
            <v>balance</v>
          </cell>
          <cell r="I905" t="str">
            <v>バランスタイプ</v>
          </cell>
          <cell r="J905">
            <v>1</v>
          </cell>
          <cell r="K905">
            <v>1</v>
          </cell>
          <cell r="L905">
            <v>1</v>
          </cell>
          <cell r="M905" t="str">
            <v>unknown</v>
          </cell>
          <cell r="N905" t="str">
            <v>Unknown</v>
          </cell>
          <cell r="O905">
            <v>1</v>
          </cell>
          <cell r="P905">
            <v>1</v>
          </cell>
          <cell r="Q905">
            <v>1</v>
          </cell>
          <cell r="R905" t="str">
            <v>Boss</v>
          </cell>
          <cell r="S905">
            <v>5</v>
          </cell>
          <cell r="T905">
            <v>1.3</v>
          </cell>
          <cell r="U905">
            <v>0.8</v>
          </cell>
          <cell r="V905">
            <v>3</v>
          </cell>
          <cell r="W905">
            <v>1</v>
          </cell>
          <cell r="X905">
            <v>60</v>
          </cell>
          <cell r="Y905">
            <v>1.7</v>
          </cell>
          <cell r="Z905">
            <v>1.4</v>
          </cell>
          <cell r="AA905">
            <v>1</v>
          </cell>
          <cell r="AB905">
            <v>0</v>
          </cell>
        </row>
        <row r="906">
          <cell r="A906">
            <v>905</v>
          </cell>
          <cell r="B906" t="str">
            <v>KIRIMIちゃん.</v>
          </cell>
          <cell r="C906">
            <v>4</v>
          </cell>
          <cell r="D906" t="str">
            <v>red</v>
          </cell>
          <cell r="E906">
            <v>1</v>
          </cell>
          <cell r="F906">
            <v>1.02</v>
          </cell>
          <cell r="G906">
            <v>1</v>
          </cell>
          <cell r="H906" t="str">
            <v>hp</v>
          </cell>
          <cell r="I906" t="str">
            <v>体力タイプ</v>
          </cell>
          <cell r="J906">
            <v>1</v>
          </cell>
          <cell r="K906">
            <v>1</v>
          </cell>
          <cell r="L906">
            <v>1</v>
          </cell>
          <cell r="M906" t="str">
            <v>unknown</v>
          </cell>
          <cell r="N906" t="str">
            <v>Unknown</v>
          </cell>
          <cell r="O906">
            <v>1</v>
          </cell>
          <cell r="P906">
            <v>1</v>
          </cell>
          <cell r="Q906">
            <v>1</v>
          </cell>
          <cell r="R906" t="str">
            <v>Boss</v>
          </cell>
          <cell r="S906">
            <v>5</v>
          </cell>
          <cell r="T906">
            <v>1.3</v>
          </cell>
          <cell r="U906">
            <v>0.8</v>
          </cell>
          <cell r="V906">
            <v>3</v>
          </cell>
          <cell r="W906">
            <v>1</v>
          </cell>
          <cell r="X906">
            <v>30</v>
          </cell>
          <cell r="Y906">
            <v>1.3</v>
          </cell>
          <cell r="Z906">
            <v>1.3</v>
          </cell>
          <cell r="AA906">
            <v>1.1000000000000001</v>
          </cell>
          <cell r="AB906">
            <v>0</v>
          </cell>
        </row>
        <row r="907">
          <cell r="A907">
            <v>906</v>
          </cell>
          <cell r="B907" t="str">
            <v>おいしくたべてね KIRIMIちゃん.</v>
          </cell>
          <cell r="C907">
            <v>5</v>
          </cell>
          <cell r="D907" t="str">
            <v>red</v>
          </cell>
          <cell r="E907">
            <v>1</v>
          </cell>
          <cell r="F907">
            <v>1.02</v>
          </cell>
          <cell r="G907">
            <v>1</v>
          </cell>
          <cell r="H907" t="str">
            <v>hp</v>
          </cell>
          <cell r="I907" t="str">
            <v>体力タイプ</v>
          </cell>
          <cell r="J907">
            <v>1</v>
          </cell>
          <cell r="K907">
            <v>1</v>
          </cell>
          <cell r="L907">
            <v>1</v>
          </cell>
          <cell r="M907" t="str">
            <v>unknown</v>
          </cell>
          <cell r="N907" t="str">
            <v>Unknown</v>
          </cell>
          <cell r="O907">
            <v>1</v>
          </cell>
          <cell r="P907">
            <v>1</v>
          </cell>
          <cell r="Q907">
            <v>1</v>
          </cell>
          <cell r="R907" t="str">
            <v>Boss</v>
          </cell>
          <cell r="S907">
            <v>5</v>
          </cell>
          <cell r="T907">
            <v>1.3</v>
          </cell>
          <cell r="U907">
            <v>0.8</v>
          </cell>
          <cell r="V907">
            <v>3</v>
          </cell>
          <cell r="W907">
            <v>1</v>
          </cell>
          <cell r="X907">
            <v>60</v>
          </cell>
          <cell r="Y907">
            <v>1.7</v>
          </cell>
          <cell r="Z907">
            <v>1.4</v>
          </cell>
          <cell r="AA907">
            <v>1</v>
          </cell>
          <cell r="AB907">
            <v>0</v>
          </cell>
        </row>
        <row r="908">
          <cell r="A908">
            <v>907</v>
          </cell>
          <cell r="B908" t="str">
            <v>ハローキティのリボン</v>
          </cell>
          <cell r="C908">
            <v>5</v>
          </cell>
          <cell r="D908" t="str">
            <v>red</v>
          </cell>
          <cell r="E908">
            <v>1</v>
          </cell>
          <cell r="F908">
            <v>1.02</v>
          </cell>
          <cell r="G908">
            <v>1</v>
          </cell>
          <cell r="H908" t="str">
            <v>evolution</v>
          </cell>
          <cell r="I908" t="str">
            <v>覚醒素材タイプ</v>
          </cell>
          <cell r="J908">
            <v>1</v>
          </cell>
          <cell r="K908">
            <v>1</v>
          </cell>
          <cell r="L908">
            <v>1</v>
          </cell>
          <cell r="M908" t="str">
            <v>unknown</v>
          </cell>
          <cell r="N908" t="str">
            <v>Unknown</v>
          </cell>
          <cell r="O908">
            <v>1</v>
          </cell>
          <cell r="P908">
            <v>1</v>
          </cell>
          <cell r="Q908">
            <v>1</v>
          </cell>
          <cell r="R908" t="str">
            <v>Boss</v>
          </cell>
          <cell r="S908">
            <v>5</v>
          </cell>
          <cell r="T908">
            <v>1.3</v>
          </cell>
          <cell r="U908">
            <v>0.8</v>
          </cell>
          <cell r="V908">
            <v>3</v>
          </cell>
          <cell r="W908">
            <v>1</v>
          </cell>
          <cell r="X908">
            <v>60</v>
          </cell>
          <cell r="Y908">
            <v>1.7</v>
          </cell>
          <cell r="Z908">
            <v>1.4</v>
          </cell>
          <cell r="AA908">
            <v>1</v>
          </cell>
          <cell r="AB908">
            <v>0</v>
          </cell>
        </row>
        <row r="909">
          <cell r="A909">
            <v>908</v>
          </cell>
          <cell r="B909" t="str">
            <v>ママの作ったアップルパイ</v>
          </cell>
          <cell r="C909">
            <v>4</v>
          </cell>
          <cell r="D909" t="str">
            <v>red</v>
          </cell>
          <cell r="E909">
            <v>1</v>
          </cell>
          <cell r="F909">
            <v>1.02</v>
          </cell>
          <cell r="G909">
            <v>1</v>
          </cell>
          <cell r="H909" t="str">
            <v>evolution</v>
          </cell>
          <cell r="I909" t="str">
            <v>覚醒素材タイプ</v>
          </cell>
          <cell r="J909">
            <v>1</v>
          </cell>
          <cell r="K909">
            <v>1</v>
          </cell>
          <cell r="L909">
            <v>1</v>
          </cell>
          <cell r="M909" t="str">
            <v>unknown</v>
          </cell>
          <cell r="N909" t="str">
            <v>Unknown</v>
          </cell>
          <cell r="O909">
            <v>1</v>
          </cell>
          <cell r="P909">
            <v>1</v>
          </cell>
          <cell r="Q909">
            <v>1</v>
          </cell>
          <cell r="R909" t="str">
            <v>Boss</v>
          </cell>
          <cell r="S909">
            <v>5</v>
          </cell>
          <cell r="T909">
            <v>1.3</v>
          </cell>
          <cell r="U909">
            <v>0.8</v>
          </cell>
          <cell r="V909">
            <v>3</v>
          </cell>
          <cell r="W909">
            <v>1</v>
          </cell>
          <cell r="X909">
            <v>30</v>
          </cell>
          <cell r="Y909">
            <v>1.3</v>
          </cell>
          <cell r="Z909">
            <v>1.3</v>
          </cell>
          <cell r="AA909">
            <v>1.1000000000000001</v>
          </cell>
          <cell r="AB909">
            <v>0</v>
          </cell>
        </row>
        <row r="910">
          <cell r="A910">
            <v>909</v>
          </cell>
          <cell r="B910" t="str">
            <v>光愛の弾幕 D.R.T.H.</v>
          </cell>
          <cell r="C910">
            <v>5</v>
          </cell>
          <cell r="D910" t="str">
            <v>red</v>
          </cell>
          <cell r="E910">
            <v>1</v>
          </cell>
          <cell r="F910">
            <v>1.02</v>
          </cell>
          <cell r="G910">
            <v>1</v>
          </cell>
          <cell r="H910" t="str">
            <v>balance</v>
          </cell>
          <cell r="I910" t="str">
            <v>バランスタイプ</v>
          </cell>
          <cell r="J910">
            <v>1</v>
          </cell>
          <cell r="K910">
            <v>1</v>
          </cell>
          <cell r="L910">
            <v>1</v>
          </cell>
          <cell r="M910" t="str">
            <v>human</v>
          </cell>
          <cell r="N910" t="str">
            <v>ヒューマン</v>
          </cell>
          <cell r="O910">
            <v>0.94</v>
          </cell>
          <cell r="P910">
            <v>0.99</v>
          </cell>
          <cell r="Q910">
            <v>1</v>
          </cell>
          <cell r="R910" t="str">
            <v>Boss</v>
          </cell>
          <cell r="S910">
            <v>5</v>
          </cell>
          <cell r="T910">
            <v>1.3</v>
          </cell>
          <cell r="U910">
            <v>0.8</v>
          </cell>
          <cell r="V910">
            <v>3</v>
          </cell>
          <cell r="W910">
            <v>1</v>
          </cell>
          <cell r="X910">
            <v>60</v>
          </cell>
          <cell r="Y910">
            <v>1.7</v>
          </cell>
          <cell r="Z910">
            <v>1.4</v>
          </cell>
          <cell r="AA910">
            <v>1</v>
          </cell>
          <cell r="AB910">
            <v>0</v>
          </cell>
        </row>
        <row r="911">
          <cell r="A911">
            <v>910</v>
          </cell>
          <cell r="B911" t="str">
            <v>輝愛の大弾幕 D.R.T.H.</v>
          </cell>
          <cell r="C911">
            <v>6</v>
          </cell>
          <cell r="D911" t="str">
            <v>red</v>
          </cell>
          <cell r="E911">
            <v>1</v>
          </cell>
          <cell r="F911">
            <v>1.02</v>
          </cell>
          <cell r="G911">
            <v>1</v>
          </cell>
          <cell r="H911" t="str">
            <v>balance</v>
          </cell>
          <cell r="I911" t="str">
            <v>バランスタイプ</v>
          </cell>
          <cell r="J911">
            <v>1</v>
          </cell>
          <cell r="K911">
            <v>1</v>
          </cell>
          <cell r="L911">
            <v>1</v>
          </cell>
          <cell r="M911" t="str">
            <v>human</v>
          </cell>
          <cell r="N911" t="str">
            <v>ヒューマン</v>
          </cell>
          <cell r="O911">
            <v>0.94</v>
          </cell>
          <cell r="P911">
            <v>0.99</v>
          </cell>
          <cell r="Q911">
            <v>1</v>
          </cell>
          <cell r="R911" t="str">
            <v>Boss</v>
          </cell>
          <cell r="S911">
            <v>5</v>
          </cell>
          <cell r="T911">
            <v>1.3</v>
          </cell>
          <cell r="U911">
            <v>0.8</v>
          </cell>
          <cell r="V911">
            <v>3</v>
          </cell>
          <cell r="W911">
            <v>1</v>
          </cell>
          <cell r="X911">
            <v>60</v>
          </cell>
          <cell r="Y911">
            <v>1.7</v>
          </cell>
          <cell r="Z911">
            <v>1.4</v>
          </cell>
          <cell r="AA911">
            <v>1</v>
          </cell>
          <cell r="AB911">
            <v>0</v>
          </cell>
        </row>
        <row r="912">
          <cell r="A912">
            <v>911</v>
          </cell>
          <cell r="B912" t="str">
            <v>マイメロディ</v>
          </cell>
          <cell r="C912">
            <v>4</v>
          </cell>
          <cell r="D912" t="str">
            <v>red</v>
          </cell>
          <cell r="E912">
            <v>1</v>
          </cell>
          <cell r="F912">
            <v>1.02</v>
          </cell>
          <cell r="G912">
            <v>1</v>
          </cell>
          <cell r="H912" t="str">
            <v>attack</v>
          </cell>
          <cell r="I912" t="str">
            <v>攻撃タイプ</v>
          </cell>
          <cell r="J912">
            <v>1</v>
          </cell>
          <cell r="K912">
            <v>1</v>
          </cell>
          <cell r="L912">
            <v>1</v>
          </cell>
          <cell r="M912" t="str">
            <v>unknown</v>
          </cell>
          <cell r="N912" t="str">
            <v>Unknown</v>
          </cell>
          <cell r="O912">
            <v>1</v>
          </cell>
          <cell r="P912">
            <v>1</v>
          </cell>
          <cell r="Q912">
            <v>1</v>
          </cell>
          <cell r="R912" t="str">
            <v>Boss</v>
          </cell>
          <cell r="S912">
            <v>5</v>
          </cell>
          <cell r="T912">
            <v>1.3</v>
          </cell>
          <cell r="U912">
            <v>0.8</v>
          </cell>
          <cell r="V912">
            <v>3</v>
          </cell>
          <cell r="W912">
            <v>1</v>
          </cell>
          <cell r="X912">
            <v>30</v>
          </cell>
          <cell r="Y912">
            <v>1.3</v>
          </cell>
          <cell r="Z912">
            <v>1.3</v>
          </cell>
          <cell r="AA912">
            <v>1.1000000000000001</v>
          </cell>
          <cell r="AB912">
            <v>0</v>
          </cell>
        </row>
        <row r="913">
          <cell r="A913">
            <v>912</v>
          </cell>
          <cell r="B913" t="str">
            <v>フラットくんと一緒 マイメロディ</v>
          </cell>
          <cell r="C913">
            <v>5</v>
          </cell>
          <cell r="D913" t="str">
            <v>red</v>
          </cell>
          <cell r="E913">
            <v>1</v>
          </cell>
          <cell r="F913">
            <v>1.02</v>
          </cell>
          <cell r="G913">
            <v>1</v>
          </cell>
          <cell r="H913" t="str">
            <v>attack</v>
          </cell>
          <cell r="I913" t="str">
            <v>攻撃タイプ</v>
          </cell>
          <cell r="J913">
            <v>1</v>
          </cell>
          <cell r="K913">
            <v>1</v>
          </cell>
          <cell r="L913">
            <v>1</v>
          </cell>
          <cell r="M913" t="str">
            <v>unknown</v>
          </cell>
          <cell r="N913" t="str">
            <v>Unknown</v>
          </cell>
          <cell r="O913">
            <v>1</v>
          </cell>
          <cell r="P913">
            <v>1</v>
          </cell>
          <cell r="Q913">
            <v>1</v>
          </cell>
          <cell r="R913" t="str">
            <v>Boss</v>
          </cell>
          <cell r="S913">
            <v>5</v>
          </cell>
          <cell r="T913">
            <v>1.3</v>
          </cell>
          <cell r="U913">
            <v>0.8</v>
          </cell>
          <cell r="V913">
            <v>3</v>
          </cell>
          <cell r="W913">
            <v>1</v>
          </cell>
          <cell r="X913">
            <v>60</v>
          </cell>
          <cell r="Y913">
            <v>1.7</v>
          </cell>
          <cell r="Z913">
            <v>1.4</v>
          </cell>
          <cell r="AA913">
            <v>1</v>
          </cell>
          <cell r="AB913">
            <v>0</v>
          </cell>
        </row>
        <row r="914">
          <cell r="A914">
            <v>913</v>
          </cell>
          <cell r="B914" t="str">
            <v>幸福の縁廻　ニーベルゲン</v>
          </cell>
          <cell r="C914">
            <v>4</v>
          </cell>
          <cell r="D914" t="str">
            <v>green</v>
          </cell>
          <cell r="E914">
            <v>1.02</v>
          </cell>
          <cell r="F914">
            <v>0.98</v>
          </cell>
          <cell r="G914">
            <v>1</v>
          </cell>
          <cell r="H914" t="str">
            <v>balance</v>
          </cell>
          <cell r="I914" t="str">
            <v>バランスタイプ</v>
          </cell>
          <cell r="J914">
            <v>1</v>
          </cell>
          <cell r="K914">
            <v>1</v>
          </cell>
          <cell r="L914">
            <v>1</v>
          </cell>
          <cell r="M914" t="str">
            <v>unknown</v>
          </cell>
          <cell r="N914" t="str">
            <v>Unknown</v>
          </cell>
          <cell r="O914">
            <v>1</v>
          </cell>
          <cell r="P914">
            <v>1</v>
          </cell>
          <cell r="Q914">
            <v>1</v>
          </cell>
          <cell r="R914" t="str">
            <v>Boss</v>
          </cell>
          <cell r="S914">
            <v>5</v>
          </cell>
          <cell r="T914">
            <v>1.3</v>
          </cell>
          <cell r="U914">
            <v>0.8</v>
          </cell>
          <cell r="V914">
            <v>3</v>
          </cell>
          <cell r="W914">
            <v>1</v>
          </cell>
          <cell r="X914">
            <v>30</v>
          </cell>
          <cell r="Y914">
            <v>1.3</v>
          </cell>
          <cell r="Z914">
            <v>1.3</v>
          </cell>
          <cell r="AA914">
            <v>1.1000000000000001</v>
          </cell>
          <cell r="AB914">
            <v>0</v>
          </cell>
        </row>
        <row r="915">
          <cell r="A915">
            <v>914</v>
          </cell>
          <cell r="B915" t="str">
            <v>淡色を廻る倖せ　ニーベルゲン</v>
          </cell>
          <cell r="C915">
            <v>5</v>
          </cell>
          <cell r="D915" t="str">
            <v>green</v>
          </cell>
          <cell r="E915">
            <v>1.02</v>
          </cell>
          <cell r="F915">
            <v>0.98</v>
          </cell>
          <cell r="G915">
            <v>1</v>
          </cell>
          <cell r="H915" t="str">
            <v>balance</v>
          </cell>
          <cell r="I915" t="str">
            <v>バランスタイプ</v>
          </cell>
          <cell r="J915">
            <v>1</v>
          </cell>
          <cell r="K915">
            <v>1</v>
          </cell>
          <cell r="L915">
            <v>1</v>
          </cell>
          <cell r="M915" t="str">
            <v>unknown</v>
          </cell>
          <cell r="N915" t="str">
            <v>Unknown</v>
          </cell>
          <cell r="O915">
            <v>1</v>
          </cell>
          <cell r="P915">
            <v>1</v>
          </cell>
          <cell r="Q915">
            <v>1</v>
          </cell>
          <cell r="R915" t="str">
            <v>Boss</v>
          </cell>
          <cell r="S915">
            <v>5</v>
          </cell>
          <cell r="T915">
            <v>1.3</v>
          </cell>
          <cell r="U915">
            <v>0.8</v>
          </cell>
          <cell r="V915">
            <v>3</v>
          </cell>
          <cell r="W915">
            <v>1</v>
          </cell>
          <cell r="X915">
            <v>60</v>
          </cell>
          <cell r="Y915">
            <v>1.7</v>
          </cell>
          <cell r="Z915">
            <v>1.4</v>
          </cell>
          <cell r="AA915">
            <v>1</v>
          </cell>
          <cell r="AB915">
            <v>0</v>
          </cell>
        </row>
        <row r="916">
          <cell r="A916">
            <v>915</v>
          </cell>
          <cell r="B916" t="str">
            <v>休息者　カカシ</v>
          </cell>
          <cell r="C916">
            <v>4</v>
          </cell>
          <cell r="D916" t="str">
            <v>green</v>
          </cell>
          <cell r="E916">
            <v>1.02</v>
          </cell>
          <cell r="F916">
            <v>0.98</v>
          </cell>
          <cell r="G916">
            <v>1</v>
          </cell>
          <cell r="H916" t="str">
            <v>technical</v>
          </cell>
          <cell r="I916" t="str">
            <v>テクニカルタイプ</v>
          </cell>
          <cell r="J916">
            <v>1</v>
          </cell>
          <cell r="K916">
            <v>1</v>
          </cell>
          <cell r="L916">
            <v>1</v>
          </cell>
          <cell r="M916" t="str">
            <v>human</v>
          </cell>
          <cell r="N916" t="str">
            <v>ヒューマン</v>
          </cell>
          <cell r="O916">
            <v>0.94</v>
          </cell>
          <cell r="P916">
            <v>0.99</v>
          </cell>
          <cell r="Q916">
            <v>1</v>
          </cell>
          <cell r="R916" t="str">
            <v>Boss</v>
          </cell>
          <cell r="S916">
            <v>5</v>
          </cell>
          <cell r="T916">
            <v>1.3</v>
          </cell>
          <cell r="U916">
            <v>0.8</v>
          </cell>
          <cell r="V916">
            <v>3</v>
          </cell>
          <cell r="W916">
            <v>1</v>
          </cell>
          <cell r="X916">
            <v>30</v>
          </cell>
          <cell r="Y916">
            <v>1.3</v>
          </cell>
          <cell r="Z916">
            <v>1.3</v>
          </cell>
          <cell r="AA916">
            <v>1.1000000000000001</v>
          </cell>
          <cell r="AB916">
            <v>0</v>
          </cell>
        </row>
        <row r="917">
          <cell r="A917">
            <v>916</v>
          </cell>
          <cell r="B917" t="str">
            <v>翠線譜の音色　カカシ</v>
          </cell>
          <cell r="C917">
            <v>5</v>
          </cell>
          <cell r="D917" t="str">
            <v>green</v>
          </cell>
          <cell r="E917">
            <v>1.02</v>
          </cell>
          <cell r="F917">
            <v>0.98</v>
          </cell>
          <cell r="G917">
            <v>1</v>
          </cell>
          <cell r="H917" t="str">
            <v>technical</v>
          </cell>
          <cell r="I917" t="str">
            <v>テクニカルタイプ</v>
          </cell>
          <cell r="J917">
            <v>1</v>
          </cell>
          <cell r="K917">
            <v>1</v>
          </cell>
          <cell r="L917">
            <v>1</v>
          </cell>
          <cell r="M917" t="str">
            <v>human</v>
          </cell>
          <cell r="N917" t="str">
            <v>ヒューマン</v>
          </cell>
          <cell r="O917">
            <v>0.94</v>
          </cell>
          <cell r="P917">
            <v>0.99</v>
          </cell>
          <cell r="Q917">
            <v>1</v>
          </cell>
          <cell r="R917" t="str">
            <v>Boss</v>
          </cell>
          <cell r="S917">
            <v>5</v>
          </cell>
          <cell r="T917">
            <v>1.3</v>
          </cell>
          <cell r="U917">
            <v>0.8</v>
          </cell>
          <cell r="V917">
            <v>3</v>
          </cell>
          <cell r="W917">
            <v>1</v>
          </cell>
          <cell r="X917">
            <v>60</v>
          </cell>
          <cell r="Y917">
            <v>1.7</v>
          </cell>
          <cell r="Z917">
            <v>1.4</v>
          </cell>
          <cell r="AA917">
            <v>1</v>
          </cell>
          <cell r="AB917">
            <v>0</v>
          </cell>
        </row>
        <row r="918">
          <cell r="A918">
            <v>917</v>
          </cell>
          <cell r="B918" t="str">
            <v>けろけろけろっぴ</v>
          </cell>
          <cell r="C918">
            <v>3</v>
          </cell>
          <cell r="D918" t="str">
            <v>green</v>
          </cell>
          <cell r="E918">
            <v>1.02</v>
          </cell>
          <cell r="F918">
            <v>0.98</v>
          </cell>
          <cell r="G918">
            <v>1</v>
          </cell>
          <cell r="H918" t="str">
            <v>balance</v>
          </cell>
          <cell r="I918" t="str">
            <v>バランスタイプ</v>
          </cell>
          <cell r="J918">
            <v>1</v>
          </cell>
          <cell r="K918">
            <v>1</v>
          </cell>
          <cell r="L918">
            <v>1</v>
          </cell>
          <cell r="M918" t="str">
            <v>unknown</v>
          </cell>
          <cell r="N918" t="str">
            <v>Unknown</v>
          </cell>
          <cell r="O918">
            <v>1</v>
          </cell>
          <cell r="P918">
            <v>1</v>
          </cell>
          <cell r="Q918">
            <v>1</v>
          </cell>
          <cell r="R918" t="str">
            <v>Boss</v>
          </cell>
          <cell r="S918">
            <v>5</v>
          </cell>
          <cell r="T918">
            <v>1.3</v>
          </cell>
          <cell r="U918">
            <v>0.8</v>
          </cell>
          <cell r="V918">
            <v>3</v>
          </cell>
          <cell r="W918">
            <v>1</v>
          </cell>
          <cell r="X918">
            <v>25</v>
          </cell>
          <cell r="Y918">
            <v>1.2</v>
          </cell>
          <cell r="Z918">
            <v>1.25</v>
          </cell>
          <cell r="AA918">
            <v>1.1499999999999999</v>
          </cell>
          <cell r="AB918">
            <v>0</v>
          </cell>
        </row>
        <row r="919">
          <cell r="A919">
            <v>918</v>
          </cell>
          <cell r="B919" t="str">
            <v>てるてる天気 けろけろけろっぴ</v>
          </cell>
          <cell r="C919">
            <v>4</v>
          </cell>
          <cell r="D919" t="str">
            <v>green</v>
          </cell>
          <cell r="E919">
            <v>1.02</v>
          </cell>
          <cell r="F919">
            <v>0.98</v>
          </cell>
          <cell r="G919">
            <v>1</v>
          </cell>
          <cell r="H919" t="str">
            <v>balance</v>
          </cell>
          <cell r="I919" t="str">
            <v>バランスタイプ</v>
          </cell>
          <cell r="J919">
            <v>1</v>
          </cell>
          <cell r="K919">
            <v>1</v>
          </cell>
          <cell r="L919">
            <v>1</v>
          </cell>
          <cell r="M919" t="str">
            <v>unknown</v>
          </cell>
          <cell r="N919" t="str">
            <v>Unknown</v>
          </cell>
          <cell r="O919">
            <v>1</v>
          </cell>
          <cell r="P919">
            <v>1</v>
          </cell>
          <cell r="Q919">
            <v>1</v>
          </cell>
          <cell r="R919" t="str">
            <v>Boss</v>
          </cell>
          <cell r="S919">
            <v>5</v>
          </cell>
          <cell r="T919">
            <v>1.3</v>
          </cell>
          <cell r="U919">
            <v>0.8</v>
          </cell>
          <cell r="V919">
            <v>3</v>
          </cell>
          <cell r="W919">
            <v>1</v>
          </cell>
          <cell r="X919">
            <v>30</v>
          </cell>
          <cell r="Y919">
            <v>1.3</v>
          </cell>
          <cell r="Z919">
            <v>1.3</v>
          </cell>
          <cell r="AA919">
            <v>1.1000000000000001</v>
          </cell>
          <cell r="AB919">
            <v>0</v>
          </cell>
        </row>
        <row r="920">
          <cell r="A920">
            <v>919</v>
          </cell>
          <cell r="B920" t="str">
            <v>甘美の誘惑 モルドレッド</v>
          </cell>
          <cell r="C920">
            <v>5</v>
          </cell>
          <cell r="D920" t="str">
            <v>blue</v>
          </cell>
          <cell r="E920">
            <v>1</v>
          </cell>
          <cell r="F920">
            <v>0.98</v>
          </cell>
          <cell r="G920">
            <v>1</v>
          </cell>
          <cell r="H920" t="str">
            <v>heal</v>
          </cell>
          <cell r="I920" t="str">
            <v>回復タイプ</v>
          </cell>
          <cell r="J920">
            <v>1</v>
          </cell>
          <cell r="K920">
            <v>1</v>
          </cell>
          <cell r="L920">
            <v>1</v>
          </cell>
          <cell r="M920" t="str">
            <v>human</v>
          </cell>
          <cell r="N920" t="str">
            <v>ヒューマン</v>
          </cell>
          <cell r="O920">
            <v>0.94</v>
          </cell>
          <cell r="P920">
            <v>0.99</v>
          </cell>
          <cell r="Q920">
            <v>1</v>
          </cell>
          <cell r="R920" t="str">
            <v>Boss</v>
          </cell>
          <cell r="S920">
            <v>5</v>
          </cell>
          <cell r="T920">
            <v>1.3</v>
          </cell>
          <cell r="U920">
            <v>0.8</v>
          </cell>
          <cell r="V920">
            <v>3</v>
          </cell>
          <cell r="W920">
            <v>1</v>
          </cell>
          <cell r="X920">
            <v>60</v>
          </cell>
          <cell r="Y920">
            <v>1.7</v>
          </cell>
          <cell r="Z920">
            <v>1.4</v>
          </cell>
          <cell r="AA920">
            <v>1</v>
          </cell>
          <cell r="AB920">
            <v>0</v>
          </cell>
        </row>
        <row r="921">
          <cell r="A921">
            <v>920</v>
          </cell>
          <cell r="B921" t="str">
            <v>甘美の誘迷 モルドレッド</v>
          </cell>
          <cell r="C921">
            <v>6</v>
          </cell>
          <cell r="D921" t="str">
            <v>blue</v>
          </cell>
          <cell r="E921">
            <v>1</v>
          </cell>
          <cell r="F921">
            <v>0.98</v>
          </cell>
          <cell r="G921">
            <v>1</v>
          </cell>
          <cell r="H921" t="str">
            <v>heal</v>
          </cell>
          <cell r="I921" t="str">
            <v>回復タイプ</v>
          </cell>
          <cell r="J921">
            <v>1</v>
          </cell>
          <cell r="K921">
            <v>1</v>
          </cell>
          <cell r="L921">
            <v>1</v>
          </cell>
          <cell r="M921" t="str">
            <v>human</v>
          </cell>
          <cell r="N921" t="str">
            <v>ヒューマン</v>
          </cell>
          <cell r="O921">
            <v>0.94</v>
          </cell>
          <cell r="P921">
            <v>0.99</v>
          </cell>
          <cell r="Q921">
            <v>1</v>
          </cell>
          <cell r="R921" t="str">
            <v>Boss</v>
          </cell>
          <cell r="S921">
            <v>5</v>
          </cell>
          <cell r="T921">
            <v>1.3</v>
          </cell>
          <cell r="U921">
            <v>0.8</v>
          </cell>
          <cell r="V921">
            <v>3</v>
          </cell>
          <cell r="W921">
            <v>1</v>
          </cell>
          <cell r="X921">
            <v>60</v>
          </cell>
          <cell r="Y921">
            <v>1.7</v>
          </cell>
          <cell r="Z921">
            <v>1.4</v>
          </cell>
          <cell r="AA921">
            <v>1</v>
          </cell>
          <cell r="AB921">
            <v>0</v>
          </cell>
        </row>
        <row r="922">
          <cell r="A922">
            <v>921</v>
          </cell>
          <cell r="B922" t="str">
            <v>クロミ</v>
          </cell>
          <cell r="C922">
            <v>3</v>
          </cell>
          <cell r="D922" t="str">
            <v>blue</v>
          </cell>
          <cell r="E922">
            <v>1</v>
          </cell>
          <cell r="F922">
            <v>0.98</v>
          </cell>
          <cell r="G922">
            <v>1</v>
          </cell>
          <cell r="H922" t="str">
            <v>technical</v>
          </cell>
          <cell r="I922" t="str">
            <v>テクニカルタイプ</v>
          </cell>
          <cell r="J922">
            <v>1</v>
          </cell>
          <cell r="K922">
            <v>1</v>
          </cell>
          <cell r="L922">
            <v>1</v>
          </cell>
          <cell r="M922" t="str">
            <v>unknown</v>
          </cell>
          <cell r="N922" t="str">
            <v>Unknown</v>
          </cell>
          <cell r="O922">
            <v>1</v>
          </cell>
          <cell r="P922">
            <v>1</v>
          </cell>
          <cell r="Q922">
            <v>1</v>
          </cell>
          <cell r="R922" t="str">
            <v>Boss</v>
          </cell>
          <cell r="S922">
            <v>5</v>
          </cell>
          <cell r="T922">
            <v>1.3</v>
          </cell>
          <cell r="U922">
            <v>0.8</v>
          </cell>
          <cell r="V922">
            <v>3</v>
          </cell>
          <cell r="W922">
            <v>1</v>
          </cell>
          <cell r="X922">
            <v>25</v>
          </cell>
          <cell r="Y922">
            <v>1.2</v>
          </cell>
          <cell r="Z922">
            <v>1.25</v>
          </cell>
          <cell r="AA922">
            <v>1.1499999999999999</v>
          </cell>
          <cell r="AB922">
            <v>0</v>
          </cell>
        </row>
        <row r="923">
          <cell r="A923">
            <v>922</v>
          </cell>
          <cell r="B923" t="str">
            <v>アタイとバク クロミ</v>
          </cell>
          <cell r="C923">
            <v>4</v>
          </cell>
          <cell r="D923" t="str">
            <v>blue</v>
          </cell>
          <cell r="E923">
            <v>1</v>
          </cell>
          <cell r="F923">
            <v>0.98</v>
          </cell>
          <cell r="G923">
            <v>1</v>
          </cell>
          <cell r="H923" t="str">
            <v>technical</v>
          </cell>
          <cell r="I923" t="str">
            <v>テクニカルタイプ</v>
          </cell>
          <cell r="J923">
            <v>1</v>
          </cell>
          <cell r="K923">
            <v>1</v>
          </cell>
          <cell r="L923">
            <v>1</v>
          </cell>
          <cell r="M923" t="str">
            <v>unknown</v>
          </cell>
          <cell r="N923" t="str">
            <v>Unknown</v>
          </cell>
          <cell r="O923">
            <v>1</v>
          </cell>
          <cell r="P923">
            <v>1</v>
          </cell>
          <cell r="Q923">
            <v>1</v>
          </cell>
          <cell r="R923" t="str">
            <v>Boss</v>
          </cell>
          <cell r="S923">
            <v>5</v>
          </cell>
          <cell r="T923">
            <v>1.3</v>
          </cell>
          <cell r="U923">
            <v>0.8</v>
          </cell>
          <cell r="V923">
            <v>3</v>
          </cell>
          <cell r="W923">
            <v>1</v>
          </cell>
          <cell r="X923">
            <v>30</v>
          </cell>
          <cell r="Y923">
            <v>1.3</v>
          </cell>
          <cell r="Z923">
            <v>1.3</v>
          </cell>
          <cell r="AA923">
            <v>1.1000000000000001</v>
          </cell>
          <cell r="AB923">
            <v>0</v>
          </cell>
        </row>
        <row r="924">
          <cell r="A924">
            <v>923</v>
          </cell>
          <cell r="B924" t="str">
            <v>バッドばつ丸</v>
          </cell>
          <cell r="C924">
            <v>3</v>
          </cell>
          <cell r="D924" t="str">
            <v>blue</v>
          </cell>
          <cell r="E924">
            <v>1</v>
          </cell>
          <cell r="F924">
            <v>0.98</v>
          </cell>
          <cell r="G924">
            <v>1</v>
          </cell>
          <cell r="H924" t="str">
            <v>attack</v>
          </cell>
          <cell r="I924" t="str">
            <v>攻撃タイプ</v>
          </cell>
          <cell r="J924">
            <v>1</v>
          </cell>
          <cell r="K924">
            <v>1</v>
          </cell>
          <cell r="L924">
            <v>1</v>
          </cell>
          <cell r="M924" t="str">
            <v>unknown</v>
          </cell>
          <cell r="N924" t="str">
            <v>Unknown</v>
          </cell>
          <cell r="O924">
            <v>1</v>
          </cell>
          <cell r="P924">
            <v>1</v>
          </cell>
          <cell r="Q924">
            <v>1</v>
          </cell>
          <cell r="R924" t="str">
            <v>Boss</v>
          </cell>
          <cell r="S924">
            <v>5</v>
          </cell>
          <cell r="T924">
            <v>1.3</v>
          </cell>
          <cell r="U924">
            <v>0.8</v>
          </cell>
          <cell r="V924">
            <v>3</v>
          </cell>
          <cell r="W924">
            <v>1</v>
          </cell>
          <cell r="X924">
            <v>25</v>
          </cell>
          <cell r="Y924">
            <v>1.2</v>
          </cell>
          <cell r="Z924">
            <v>1.25</v>
          </cell>
          <cell r="AA924">
            <v>1.1499999999999999</v>
          </cell>
          <cell r="AB924">
            <v>0</v>
          </cell>
        </row>
        <row r="925">
          <cell r="A925">
            <v>924</v>
          </cell>
          <cell r="B925" t="str">
            <v>いたずら大好き　バッドばつ丸</v>
          </cell>
          <cell r="C925">
            <v>4</v>
          </cell>
          <cell r="D925" t="str">
            <v>blue</v>
          </cell>
          <cell r="E925">
            <v>1</v>
          </cell>
          <cell r="F925">
            <v>0.98</v>
          </cell>
          <cell r="G925">
            <v>1</v>
          </cell>
          <cell r="H925" t="str">
            <v>attack</v>
          </cell>
          <cell r="I925" t="str">
            <v>攻撃タイプ</v>
          </cell>
          <cell r="J925">
            <v>1</v>
          </cell>
          <cell r="K925">
            <v>1</v>
          </cell>
          <cell r="L925">
            <v>1</v>
          </cell>
          <cell r="M925" t="str">
            <v>unknown</v>
          </cell>
          <cell r="N925" t="str">
            <v>Unknown</v>
          </cell>
          <cell r="O925">
            <v>1</v>
          </cell>
          <cell r="P925">
            <v>1</v>
          </cell>
          <cell r="Q925">
            <v>1</v>
          </cell>
          <cell r="R925" t="str">
            <v>Boss</v>
          </cell>
          <cell r="S925">
            <v>5</v>
          </cell>
          <cell r="T925">
            <v>1.3</v>
          </cell>
          <cell r="U925">
            <v>0.8</v>
          </cell>
          <cell r="V925">
            <v>3</v>
          </cell>
          <cell r="W925">
            <v>1</v>
          </cell>
          <cell r="X925">
            <v>30</v>
          </cell>
          <cell r="Y925">
            <v>1.3</v>
          </cell>
          <cell r="Z925">
            <v>1.3</v>
          </cell>
          <cell r="AA925">
            <v>1.1000000000000001</v>
          </cell>
          <cell r="AB925">
            <v>0</v>
          </cell>
        </row>
        <row r="926">
          <cell r="A926">
            <v>925</v>
          </cell>
          <cell r="B926" t="str">
            <v>シナモロール</v>
          </cell>
          <cell r="C926">
            <v>4</v>
          </cell>
          <cell r="D926" t="str">
            <v>yellow</v>
          </cell>
          <cell r="E926">
            <v>0.98</v>
          </cell>
          <cell r="F926">
            <v>1.01</v>
          </cell>
          <cell r="G926">
            <v>1</v>
          </cell>
          <cell r="H926" t="str">
            <v>heal</v>
          </cell>
          <cell r="I926" t="str">
            <v>回復タイプ</v>
          </cell>
          <cell r="J926">
            <v>1</v>
          </cell>
          <cell r="K926">
            <v>1</v>
          </cell>
          <cell r="L926">
            <v>1</v>
          </cell>
          <cell r="M926" t="str">
            <v>unknown</v>
          </cell>
          <cell r="N926" t="str">
            <v>Unknown</v>
          </cell>
          <cell r="O926">
            <v>1</v>
          </cell>
          <cell r="P926">
            <v>1</v>
          </cell>
          <cell r="Q926">
            <v>1</v>
          </cell>
          <cell r="R926" t="str">
            <v>Boss</v>
          </cell>
          <cell r="S926">
            <v>5</v>
          </cell>
          <cell r="T926">
            <v>1.3</v>
          </cell>
          <cell r="U926">
            <v>0.8</v>
          </cell>
          <cell r="V926">
            <v>3</v>
          </cell>
          <cell r="W926">
            <v>1</v>
          </cell>
          <cell r="X926">
            <v>30</v>
          </cell>
          <cell r="Y926">
            <v>1.3</v>
          </cell>
          <cell r="Z926">
            <v>1.3</v>
          </cell>
          <cell r="AA926">
            <v>1.1000000000000001</v>
          </cell>
          <cell r="AB926">
            <v>0</v>
          </cell>
        </row>
        <row r="927">
          <cell r="A927">
            <v>926</v>
          </cell>
          <cell r="B927" t="str">
            <v>ふわふわおさんぽ♪ シナモロール</v>
          </cell>
          <cell r="C927">
            <v>5</v>
          </cell>
          <cell r="D927" t="str">
            <v>yellow</v>
          </cell>
          <cell r="E927">
            <v>0.98</v>
          </cell>
          <cell r="F927">
            <v>1.01</v>
          </cell>
          <cell r="G927">
            <v>1</v>
          </cell>
          <cell r="H927" t="str">
            <v>heal</v>
          </cell>
          <cell r="I927" t="str">
            <v>回復タイプ</v>
          </cell>
          <cell r="J927">
            <v>1</v>
          </cell>
          <cell r="K927">
            <v>1</v>
          </cell>
          <cell r="L927">
            <v>1</v>
          </cell>
          <cell r="M927" t="str">
            <v>unknown</v>
          </cell>
          <cell r="N927" t="str">
            <v>Unknown</v>
          </cell>
          <cell r="O927">
            <v>1</v>
          </cell>
          <cell r="P927">
            <v>1</v>
          </cell>
          <cell r="Q927">
            <v>1</v>
          </cell>
          <cell r="R927" t="str">
            <v>Boss</v>
          </cell>
          <cell r="S927">
            <v>5</v>
          </cell>
          <cell r="T927">
            <v>1.3</v>
          </cell>
          <cell r="U927">
            <v>0.8</v>
          </cell>
          <cell r="V927">
            <v>3</v>
          </cell>
          <cell r="W927">
            <v>1</v>
          </cell>
          <cell r="X927">
            <v>60</v>
          </cell>
          <cell r="Y927">
            <v>1.7</v>
          </cell>
          <cell r="Z927">
            <v>1.4</v>
          </cell>
          <cell r="AA927">
            <v>1</v>
          </cell>
          <cell r="AB927">
            <v>0</v>
          </cell>
        </row>
        <row r="928">
          <cell r="A928">
            <v>927</v>
          </cell>
          <cell r="B928" t="str">
            <v>ポムポムプリン</v>
          </cell>
          <cell r="C928">
            <v>3</v>
          </cell>
          <cell r="D928" t="str">
            <v>yellow</v>
          </cell>
          <cell r="E928">
            <v>0.98</v>
          </cell>
          <cell r="F928">
            <v>1.01</v>
          </cell>
          <cell r="G928">
            <v>1</v>
          </cell>
          <cell r="H928" t="str">
            <v>hp</v>
          </cell>
          <cell r="I928" t="str">
            <v>体力タイプ</v>
          </cell>
          <cell r="J928">
            <v>1</v>
          </cell>
          <cell r="K928">
            <v>1</v>
          </cell>
          <cell r="L928">
            <v>1</v>
          </cell>
          <cell r="M928" t="str">
            <v>unknown</v>
          </cell>
          <cell r="N928" t="str">
            <v>Unknown</v>
          </cell>
          <cell r="O928">
            <v>1</v>
          </cell>
          <cell r="P928">
            <v>1</v>
          </cell>
          <cell r="Q928">
            <v>1</v>
          </cell>
          <cell r="R928" t="str">
            <v>Boss</v>
          </cell>
          <cell r="S928">
            <v>5</v>
          </cell>
          <cell r="T928">
            <v>1.3</v>
          </cell>
          <cell r="U928">
            <v>0.8</v>
          </cell>
          <cell r="V928">
            <v>3</v>
          </cell>
          <cell r="W928">
            <v>1</v>
          </cell>
          <cell r="X928">
            <v>25</v>
          </cell>
          <cell r="Y928">
            <v>1.2</v>
          </cell>
          <cell r="Z928">
            <v>1.25</v>
          </cell>
          <cell r="AA928">
            <v>1.1499999999999999</v>
          </cell>
          <cell r="AB928">
            <v>0</v>
          </cell>
        </row>
        <row r="929">
          <cell r="A929">
            <v>928</v>
          </cell>
          <cell r="B929" t="str">
            <v>一緒におでかけ ポムポムプリン</v>
          </cell>
          <cell r="C929">
            <v>4</v>
          </cell>
          <cell r="D929" t="str">
            <v>yellow</v>
          </cell>
          <cell r="E929">
            <v>0.98</v>
          </cell>
          <cell r="F929">
            <v>1.01</v>
          </cell>
          <cell r="G929">
            <v>1</v>
          </cell>
          <cell r="H929" t="str">
            <v>hp</v>
          </cell>
          <cell r="I929" t="str">
            <v>体力タイプ</v>
          </cell>
          <cell r="J929">
            <v>1</v>
          </cell>
          <cell r="K929">
            <v>1</v>
          </cell>
          <cell r="L929">
            <v>1</v>
          </cell>
          <cell r="M929" t="str">
            <v>unknown</v>
          </cell>
          <cell r="N929" t="str">
            <v>Unknown</v>
          </cell>
          <cell r="O929">
            <v>1</v>
          </cell>
          <cell r="P929">
            <v>1</v>
          </cell>
          <cell r="Q929">
            <v>1</v>
          </cell>
          <cell r="R929" t="str">
            <v>Boss</v>
          </cell>
          <cell r="S929">
            <v>5</v>
          </cell>
          <cell r="T929">
            <v>1.3</v>
          </cell>
          <cell r="U929">
            <v>0.8</v>
          </cell>
          <cell r="V929">
            <v>3</v>
          </cell>
          <cell r="W929">
            <v>1</v>
          </cell>
          <cell r="X929">
            <v>30</v>
          </cell>
          <cell r="Y929">
            <v>1.3</v>
          </cell>
          <cell r="Z929">
            <v>1.3</v>
          </cell>
          <cell r="AA929">
            <v>1.1000000000000001</v>
          </cell>
          <cell r="AB929">
            <v>0</v>
          </cell>
        </row>
        <row r="930">
          <cell r="A930">
            <v>929</v>
          </cell>
          <cell r="B930" t="str">
            <v>ゼウス</v>
          </cell>
          <cell r="C930">
            <v>5</v>
          </cell>
          <cell r="D930" t="str">
            <v>yellow</v>
          </cell>
          <cell r="E930">
            <v>0.98</v>
          </cell>
          <cell r="F930">
            <v>1.01</v>
          </cell>
          <cell r="G930">
            <v>1</v>
          </cell>
          <cell r="H930" t="str">
            <v>balance</v>
          </cell>
          <cell r="I930" t="str">
            <v>バランスタイプ</v>
          </cell>
          <cell r="J930">
            <v>1</v>
          </cell>
          <cell r="K930">
            <v>1</v>
          </cell>
          <cell r="L930">
            <v>1</v>
          </cell>
          <cell r="M930" t="str">
            <v>god</v>
          </cell>
          <cell r="N930" t="str">
            <v>ゴッド</v>
          </cell>
          <cell r="O930">
            <v>0.96</v>
          </cell>
          <cell r="P930">
            <v>1.02</v>
          </cell>
          <cell r="Q930">
            <v>1</v>
          </cell>
          <cell r="R930" t="str">
            <v>Boss</v>
          </cell>
          <cell r="S930">
            <v>5</v>
          </cell>
          <cell r="T930">
            <v>1.3</v>
          </cell>
          <cell r="U930">
            <v>0.8</v>
          </cell>
          <cell r="V930">
            <v>3</v>
          </cell>
          <cell r="W930">
            <v>1</v>
          </cell>
          <cell r="X930">
            <v>60</v>
          </cell>
          <cell r="Y930">
            <v>1.7</v>
          </cell>
          <cell r="Z930">
            <v>1.4</v>
          </cell>
          <cell r="AA930">
            <v>1</v>
          </cell>
          <cell r="AB930">
            <v>0</v>
          </cell>
        </row>
        <row r="931">
          <cell r="A931">
            <v>930</v>
          </cell>
          <cell r="B931" t="str">
            <v>烙雷の全能神 ゼウス</v>
          </cell>
          <cell r="C931">
            <v>6</v>
          </cell>
          <cell r="D931" t="str">
            <v>yellow</v>
          </cell>
          <cell r="E931">
            <v>0.98</v>
          </cell>
          <cell r="F931">
            <v>1.01</v>
          </cell>
          <cell r="G931">
            <v>1</v>
          </cell>
          <cell r="H931" t="str">
            <v>balance</v>
          </cell>
          <cell r="I931" t="str">
            <v>バランスタイプ</v>
          </cell>
          <cell r="J931">
            <v>1</v>
          </cell>
          <cell r="K931">
            <v>1</v>
          </cell>
          <cell r="L931">
            <v>1</v>
          </cell>
          <cell r="M931" t="str">
            <v>god</v>
          </cell>
          <cell r="N931" t="str">
            <v>ゴッド</v>
          </cell>
          <cell r="O931">
            <v>0.96</v>
          </cell>
          <cell r="P931">
            <v>1.02</v>
          </cell>
          <cell r="Q931">
            <v>1</v>
          </cell>
          <cell r="R931" t="str">
            <v>Boss</v>
          </cell>
          <cell r="S931">
            <v>5</v>
          </cell>
          <cell r="T931">
            <v>1.3</v>
          </cell>
          <cell r="U931">
            <v>0.8</v>
          </cell>
          <cell r="V931">
            <v>3</v>
          </cell>
          <cell r="W931">
            <v>1</v>
          </cell>
          <cell r="X931">
            <v>60</v>
          </cell>
          <cell r="Y931">
            <v>1.7</v>
          </cell>
          <cell r="Z931">
            <v>1.4</v>
          </cell>
          <cell r="AA931">
            <v>1</v>
          </cell>
          <cell r="AB931">
            <v>0</v>
          </cell>
        </row>
        <row r="932">
          <cell r="A932">
            <v>931</v>
          </cell>
          <cell r="B932" t="str">
            <v>ネルソン</v>
          </cell>
          <cell r="C932">
            <v>4</v>
          </cell>
          <cell r="D932" t="str">
            <v>green</v>
          </cell>
          <cell r="E932">
            <v>1.02</v>
          </cell>
          <cell r="F932">
            <v>0.98</v>
          </cell>
          <cell r="G932">
            <v>1</v>
          </cell>
          <cell r="H932" t="str">
            <v>technical</v>
          </cell>
          <cell r="I932" t="str">
            <v>テクニカルタイプ</v>
          </cell>
          <cell r="J932">
            <v>0.9</v>
          </cell>
          <cell r="K932">
            <v>0.9</v>
          </cell>
          <cell r="L932">
            <v>1</v>
          </cell>
          <cell r="M932" t="str">
            <v>human</v>
          </cell>
          <cell r="N932" t="str">
            <v>ヒューマン</v>
          </cell>
          <cell r="O932">
            <v>0.94</v>
          </cell>
          <cell r="P932">
            <v>0.99</v>
          </cell>
          <cell r="Q932">
            <v>1</v>
          </cell>
          <cell r="R932" t="str">
            <v>Boss</v>
          </cell>
          <cell r="S932">
            <v>5</v>
          </cell>
          <cell r="T932">
            <v>1.3</v>
          </cell>
          <cell r="U932">
            <v>0.8</v>
          </cell>
          <cell r="V932">
            <v>3</v>
          </cell>
          <cell r="W932">
            <v>1</v>
          </cell>
          <cell r="X932">
            <v>30</v>
          </cell>
          <cell r="Y932">
            <v>1.3</v>
          </cell>
          <cell r="Z932">
            <v>1.3</v>
          </cell>
          <cell r="AA932">
            <v>1.1000000000000001</v>
          </cell>
          <cell r="AB932">
            <v>0</v>
          </cell>
        </row>
        <row r="933">
          <cell r="A933">
            <v>932</v>
          </cell>
          <cell r="B933" t="str">
            <v>隻眼の英堤 ネルソン</v>
          </cell>
          <cell r="C933">
            <v>5</v>
          </cell>
          <cell r="D933" t="str">
            <v>green</v>
          </cell>
          <cell r="E933">
            <v>1.02</v>
          </cell>
          <cell r="F933">
            <v>0.98</v>
          </cell>
          <cell r="G933">
            <v>1</v>
          </cell>
          <cell r="H933" t="str">
            <v>technical</v>
          </cell>
          <cell r="I933" t="str">
            <v>テクニカルタイプ</v>
          </cell>
          <cell r="J933">
            <v>0.9</v>
          </cell>
          <cell r="K933">
            <v>0.9</v>
          </cell>
          <cell r="L933">
            <v>1</v>
          </cell>
          <cell r="M933" t="str">
            <v>human</v>
          </cell>
          <cell r="N933" t="str">
            <v>ヒューマン</v>
          </cell>
          <cell r="O933">
            <v>0.94</v>
          </cell>
          <cell r="P933">
            <v>0.99</v>
          </cell>
          <cell r="Q933">
            <v>1</v>
          </cell>
          <cell r="R933" t="str">
            <v>Boss</v>
          </cell>
          <cell r="S933">
            <v>5</v>
          </cell>
          <cell r="T933">
            <v>1.3</v>
          </cell>
          <cell r="U933">
            <v>0.8</v>
          </cell>
          <cell r="V933">
            <v>3</v>
          </cell>
          <cell r="W933">
            <v>1</v>
          </cell>
          <cell r="X933">
            <v>60</v>
          </cell>
          <cell r="Y933">
            <v>1.7</v>
          </cell>
          <cell r="Z933">
            <v>1.4</v>
          </cell>
          <cell r="AA933">
            <v>1</v>
          </cell>
          <cell r="AB933">
            <v>0</v>
          </cell>
        </row>
        <row r="934">
          <cell r="A934">
            <v>933</v>
          </cell>
          <cell r="B934" t="str">
            <v>ヴェルサイユ</v>
          </cell>
          <cell r="C934">
            <v>4</v>
          </cell>
          <cell r="D934" t="str">
            <v>yellow</v>
          </cell>
          <cell r="E934">
            <v>0.98</v>
          </cell>
          <cell r="F934">
            <v>1.01</v>
          </cell>
          <cell r="G934">
            <v>1</v>
          </cell>
          <cell r="H934" t="str">
            <v>attack</v>
          </cell>
          <cell r="I934" t="str">
            <v>攻撃タイプ</v>
          </cell>
          <cell r="J934">
            <v>1</v>
          </cell>
          <cell r="K934">
            <v>1.33</v>
          </cell>
          <cell r="L934">
            <v>1</v>
          </cell>
          <cell r="M934" t="str">
            <v>unknown</v>
          </cell>
          <cell r="N934" t="str">
            <v>Unknown</v>
          </cell>
          <cell r="O934">
            <v>1</v>
          </cell>
          <cell r="P934">
            <v>1</v>
          </cell>
          <cell r="Q934">
            <v>1</v>
          </cell>
          <cell r="R934" t="str">
            <v>Boss</v>
          </cell>
          <cell r="S934">
            <v>5</v>
          </cell>
          <cell r="T934">
            <v>1.3</v>
          </cell>
          <cell r="U934">
            <v>0.8</v>
          </cell>
          <cell r="V934">
            <v>3</v>
          </cell>
          <cell r="W934">
            <v>1</v>
          </cell>
          <cell r="X934">
            <v>30</v>
          </cell>
          <cell r="Y934">
            <v>1.3</v>
          </cell>
          <cell r="Z934">
            <v>1.3</v>
          </cell>
          <cell r="AA934">
            <v>1.1000000000000001</v>
          </cell>
          <cell r="AB934">
            <v>0</v>
          </cell>
        </row>
        <row r="935">
          <cell r="A935">
            <v>934</v>
          </cell>
          <cell r="B935" t="str">
            <v>絢爛たる燈城 ヴェルサイユ</v>
          </cell>
          <cell r="C935">
            <v>5</v>
          </cell>
          <cell r="D935" t="str">
            <v>yellow</v>
          </cell>
          <cell r="E935">
            <v>0.98</v>
          </cell>
          <cell r="F935">
            <v>1.01</v>
          </cell>
          <cell r="G935">
            <v>1</v>
          </cell>
          <cell r="H935" t="str">
            <v>attack</v>
          </cell>
          <cell r="I935" t="str">
            <v>攻撃タイプ</v>
          </cell>
          <cell r="J935">
            <v>1</v>
          </cell>
          <cell r="K935">
            <v>1.33</v>
          </cell>
          <cell r="L935">
            <v>1</v>
          </cell>
          <cell r="M935" t="str">
            <v>unknown</v>
          </cell>
          <cell r="N935" t="str">
            <v>Unknown</v>
          </cell>
          <cell r="O935">
            <v>1</v>
          </cell>
          <cell r="P935">
            <v>1</v>
          </cell>
          <cell r="Q935">
            <v>1</v>
          </cell>
          <cell r="R935" t="str">
            <v>Boss</v>
          </cell>
          <cell r="S935">
            <v>5</v>
          </cell>
          <cell r="T935">
            <v>1.3</v>
          </cell>
          <cell r="U935">
            <v>0.8</v>
          </cell>
          <cell r="V935">
            <v>3</v>
          </cell>
          <cell r="W935">
            <v>1</v>
          </cell>
          <cell r="X935">
            <v>60</v>
          </cell>
          <cell r="Y935">
            <v>1.7</v>
          </cell>
          <cell r="Z935">
            <v>1.4</v>
          </cell>
          <cell r="AA935">
            <v>1</v>
          </cell>
          <cell r="AB935">
            <v>0</v>
          </cell>
        </row>
        <row r="936">
          <cell r="A936">
            <v>935</v>
          </cell>
          <cell r="B936" t="str">
            <v>ルイ16世</v>
          </cell>
          <cell r="C936">
            <v>5</v>
          </cell>
          <cell r="D936" t="str">
            <v>red</v>
          </cell>
          <cell r="E936">
            <v>1</v>
          </cell>
          <cell r="F936">
            <v>1.02</v>
          </cell>
          <cell r="G936">
            <v>1</v>
          </cell>
          <cell r="H936" t="str">
            <v>balance</v>
          </cell>
          <cell r="I936" t="str">
            <v>バランスタイプ</v>
          </cell>
          <cell r="J936">
            <v>1</v>
          </cell>
          <cell r="K936">
            <v>1</v>
          </cell>
          <cell r="L936">
            <v>1</v>
          </cell>
          <cell r="M936" t="str">
            <v>human</v>
          </cell>
          <cell r="N936" t="str">
            <v>ヒューマン</v>
          </cell>
          <cell r="O936">
            <v>0.94</v>
          </cell>
          <cell r="P936">
            <v>0.99</v>
          </cell>
          <cell r="Q936">
            <v>1</v>
          </cell>
          <cell r="R936" t="str">
            <v>Boss</v>
          </cell>
          <cell r="S936">
            <v>5</v>
          </cell>
          <cell r="T936">
            <v>1.3</v>
          </cell>
          <cell r="U936">
            <v>0.8</v>
          </cell>
          <cell r="V936">
            <v>3</v>
          </cell>
          <cell r="W936">
            <v>1</v>
          </cell>
          <cell r="X936">
            <v>60</v>
          </cell>
          <cell r="Y936">
            <v>1.7</v>
          </cell>
          <cell r="Z936">
            <v>1.4</v>
          </cell>
          <cell r="AA936">
            <v>1</v>
          </cell>
          <cell r="AB936">
            <v>0</v>
          </cell>
        </row>
        <row r="937">
          <cell r="A937">
            <v>936</v>
          </cell>
          <cell r="B937" t="str">
            <v>憲誓の煉王 ルイ16世</v>
          </cell>
          <cell r="C937">
            <v>6</v>
          </cell>
          <cell r="D937" t="str">
            <v>red</v>
          </cell>
          <cell r="E937">
            <v>1</v>
          </cell>
          <cell r="F937">
            <v>1.02</v>
          </cell>
          <cell r="G937">
            <v>1</v>
          </cell>
          <cell r="H937" t="str">
            <v>balance</v>
          </cell>
          <cell r="I937" t="str">
            <v>バランスタイプ</v>
          </cell>
          <cell r="J937">
            <v>1</v>
          </cell>
          <cell r="K937">
            <v>1</v>
          </cell>
          <cell r="L937">
            <v>1</v>
          </cell>
          <cell r="M937" t="str">
            <v>human</v>
          </cell>
          <cell r="N937" t="str">
            <v>ヒューマン</v>
          </cell>
          <cell r="O937">
            <v>0.94</v>
          </cell>
          <cell r="P937">
            <v>0.99</v>
          </cell>
          <cell r="Q937">
            <v>1</v>
          </cell>
          <cell r="R937" t="str">
            <v>Boss</v>
          </cell>
          <cell r="S937">
            <v>5</v>
          </cell>
          <cell r="T937">
            <v>1.3</v>
          </cell>
          <cell r="U937">
            <v>0.8</v>
          </cell>
          <cell r="V937">
            <v>3</v>
          </cell>
          <cell r="W937">
            <v>1</v>
          </cell>
          <cell r="X937">
            <v>60</v>
          </cell>
          <cell r="Y937">
            <v>1.7</v>
          </cell>
          <cell r="Z937">
            <v>1.4</v>
          </cell>
          <cell r="AA937">
            <v>1</v>
          </cell>
          <cell r="AB937">
            <v>0</v>
          </cell>
        </row>
        <row r="938">
          <cell r="A938">
            <v>937</v>
          </cell>
          <cell r="B938" t="str">
            <v>ナポレオン</v>
          </cell>
          <cell r="C938">
            <v>5</v>
          </cell>
          <cell r="D938" t="str">
            <v>red</v>
          </cell>
          <cell r="E938">
            <v>1</v>
          </cell>
          <cell r="F938">
            <v>1.02</v>
          </cell>
          <cell r="G938">
            <v>1</v>
          </cell>
          <cell r="H938" t="str">
            <v>balance</v>
          </cell>
          <cell r="I938" t="str">
            <v>バランスタイプ</v>
          </cell>
          <cell r="J938">
            <v>1</v>
          </cell>
          <cell r="K938">
            <v>1</v>
          </cell>
          <cell r="L938">
            <v>1</v>
          </cell>
          <cell r="M938" t="str">
            <v>human</v>
          </cell>
          <cell r="N938" t="str">
            <v>ヒューマン</v>
          </cell>
          <cell r="O938">
            <v>0.94</v>
          </cell>
          <cell r="P938">
            <v>0.99</v>
          </cell>
          <cell r="Q938">
            <v>1</v>
          </cell>
          <cell r="R938" t="str">
            <v>Boss</v>
          </cell>
          <cell r="S938">
            <v>5</v>
          </cell>
          <cell r="T938">
            <v>1.3</v>
          </cell>
          <cell r="U938">
            <v>0.8</v>
          </cell>
          <cell r="V938">
            <v>3</v>
          </cell>
          <cell r="W938">
            <v>1</v>
          </cell>
          <cell r="X938">
            <v>60</v>
          </cell>
          <cell r="Y938">
            <v>1.7</v>
          </cell>
          <cell r="Z938">
            <v>1.4</v>
          </cell>
          <cell r="AA938">
            <v>1</v>
          </cell>
          <cell r="AB938">
            <v>0</v>
          </cell>
        </row>
        <row r="939">
          <cell r="A939">
            <v>938</v>
          </cell>
          <cell r="B939" t="str">
            <v>炎焔宿す革命皇 ナポレオン</v>
          </cell>
          <cell r="C939">
            <v>6</v>
          </cell>
          <cell r="D939" t="str">
            <v>red</v>
          </cell>
          <cell r="E939">
            <v>1</v>
          </cell>
          <cell r="F939">
            <v>1.02</v>
          </cell>
          <cell r="G939">
            <v>1</v>
          </cell>
          <cell r="H939" t="str">
            <v>balance</v>
          </cell>
          <cell r="I939" t="str">
            <v>バランスタイプ</v>
          </cell>
          <cell r="J939">
            <v>1</v>
          </cell>
          <cell r="K939">
            <v>1</v>
          </cell>
          <cell r="L939">
            <v>1</v>
          </cell>
          <cell r="M939" t="str">
            <v>human</v>
          </cell>
          <cell r="N939" t="str">
            <v>ヒューマン</v>
          </cell>
          <cell r="O939">
            <v>0.94</v>
          </cell>
          <cell r="P939">
            <v>0.99</v>
          </cell>
          <cell r="Q939">
            <v>1</v>
          </cell>
          <cell r="R939" t="str">
            <v>Boss</v>
          </cell>
          <cell r="S939">
            <v>5</v>
          </cell>
          <cell r="T939">
            <v>1.3</v>
          </cell>
          <cell r="U939">
            <v>0.8</v>
          </cell>
          <cell r="V939">
            <v>3</v>
          </cell>
          <cell r="W939">
            <v>1</v>
          </cell>
          <cell r="X939">
            <v>60</v>
          </cell>
          <cell r="Y939">
            <v>1.7</v>
          </cell>
          <cell r="Z939">
            <v>1.4</v>
          </cell>
          <cell r="AA939">
            <v>1</v>
          </cell>
          <cell r="AB939">
            <v>0</v>
          </cell>
        </row>
        <row r="940">
          <cell r="A940">
            <v>939</v>
          </cell>
          <cell r="B940" t="str">
            <v>バスティーユ</v>
          </cell>
          <cell r="C940">
            <v>4</v>
          </cell>
          <cell r="D940" t="str">
            <v>green</v>
          </cell>
          <cell r="E940">
            <v>1.02</v>
          </cell>
          <cell r="F940">
            <v>0.98</v>
          </cell>
          <cell r="G940">
            <v>1</v>
          </cell>
          <cell r="H940" t="str">
            <v>hp</v>
          </cell>
          <cell r="I940" t="str">
            <v>体力タイプ</v>
          </cell>
          <cell r="J940">
            <v>1.45</v>
          </cell>
          <cell r="K940">
            <v>0.85</v>
          </cell>
          <cell r="L940">
            <v>1</v>
          </cell>
          <cell r="M940" t="str">
            <v>unknown</v>
          </cell>
          <cell r="N940" t="str">
            <v>Unknown</v>
          </cell>
          <cell r="O940">
            <v>1</v>
          </cell>
          <cell r="P940">
            <v>1</v>
          </cell>
          <cell r="Q940">
            <v>1</v>
          </cell>
          <cell r="R940" t="str">
            <v>Boss</v>
          </cell>
          <cell r="S940">
            <v>5</v>
          </cell>
          <cell r="T940">
            <v>1.3</v>
          </cell>
          <cell r="U940">
            <v>0.8</v>
          </cell>
          <cell r="V940">
            <v>3</v>
          </cell>
          <cell r="W940">
            <v>1</v>
          </cell>
          <cell r="X940">
            <v>30</v>
          </cell>
          <cell r="Y940">
            <v>1.3</v>
          </cell>
          <cell r="Z940">
            <v>1.3</v>
          </cell>
          <cell r="AA940">
            <v>1.1000000000000001</v>
          </cell>
          <cell r="AB940">
            <v>0</v>
          </cell>
        </row>
        <row r="941">
          <cell r="A941">
            <v>940</v>
          </cell>
          <cell r="B941" t="str">
            <v>不壊の大要塞 バスティーユ</v>
          </cell>
          <cell r="C941">
            <v>5</v>
          </cell>
          <cell r="D941" t="str">
            <v>green</v>
          </cell>
          <cell r="E941">
            <v>1.02</v>
          </cell>
          <cell r="F941">
            <v>0.98</v>
          </cell>
          <cell r="G941">
            <v>1</v>
          </cell>
          <cell r="H941" t="str">
            <v>hp</v>
          </cell>
          <cell r="I941" t="str">
            <v>体力タイプ</v>
          </cell>
          <cell r="J941">
            <v>1.45</v>
          </cell>
          <cell r="K941">
            <v>0.85</v>
          </cell>
          <cell r="L941">
            <v>1</v>
          </cell>
          <cell r="M941" t="str">
            <v>unknown</v>
          </cell>
          <cell r="N941" t="str">
            <v>Unknown</v>
          </cell>
          <cell r="O941">
            <v>1</v>
          </cell>
          <cell r="P941">
            <v>1</v>
          </cell>
          <cell r="Q941">
            <v>1</v>
          </cell>
          <cell r="R941" t="str">
            <v>Boss</v>
          </cell>
          <cell r="S941">
            <v>5</v>
          </cell>
          <cell r="T941">
            <v>1.3</v>
          </cell>
          <cell r="U941">
            <v>0.8</v>
          </cell>
          <cell r="V941">
            <v>3</v>
          </cell>
          <cell r="W941">
            <v>1</v>
          </cell>
          <cell r="X941">
            <v>60</v>
          </cell>
          <cell r="Y941">
            <v>1.7</v>
          </cell>
          <cell r="Z941">
            <v>1.4</v>
          </cell>
          <cell r="AA941">
            <v>1</v>
          </cell>
          <cell r="AB941">
            <v>0</v>
          </cell>
        </row>
        <row r="942">
          <cell r="A942">
            <v>941</v>
          </cell>
          <cell r="B942" t="str">
            <v>アントワネット</v>
          </cell>
          <cell r="C942">
            <v>5</v>
          </cell>
          <cell r="D942" t="str">
            <v>blue</v>
          </cell>
          <cell r="E942">
            <v>1</v>
          </cell>
          <cell r="F942">
            <v>0.98</v>
          </cell>
          <cell r="G942">
            <v>1</v>
          </cell>
          <cell r="H942" t="str">
            <v>technical</v>
          </cell>
          <cell r="I942" t="str">
            <v>テクニカルタイプ</v>
          </cell>
          <cell r="J942">
            <v>0.9</v>
          </cell>
          <cell r="K942">
            <v>0.9</v>
          </cell>
          <cell r="L942">
            <v>1</v>
          </cell>
          <cell r="M942" t="str">
            <v>human</v>
          </cell>
          <cell r="N942" t="str">
            <v>ヒューマン</v>
          </cell>
          <cell r="O942">
            <v>0.94</v>
          </cell>
          <cell r="P942">
            <v>0.99</v>
          </cell>
          <cell r="Q942">
            <v>1</v>
          </cell>
          <cell r="R942" t="str">
            <v>Boss</v>
          </cell>
          <cell r="S942">
            <v>5</v>
          </cell>
          <cell r="T942">
            <v>1.3</v>
          </cell>
          <cell r="U942">
            <v>0.8</v>
          </cell>
          <cell r="V942">
            <v>3</v>
          </cell>
          <cell r="W942">
            <v>1</v>
          </cell>
          <cell r="X942">
            <v>60</v>
          </cell>
          <cell r="Y942">
            <v>1.7</v>
          </cell>
          <cell r="Z942">
            <v>1.4</v>
          </cell>
          <cell r="AA942">
            <v>1</v>
          </cell>
          <cell r="AB942">
            <v>0</v>
          </cell>
        </row>
        <row r="943">
          <cell r="A943">
            <v>942</v>
          </cell>
          <cell r="B943" t="str">
            <v>華戯たる傲妃 アントワネット</v>
          </cell>
          <cell r="C943">
            <v>6</v>
          </cell>
          <cell r="D943" t="str">
            <v>blue</v>
          </cell>
          <cell r="E943">
            <v>1</v>
          </cell>
          <cell r="F943">
            <v>0.98</v>
          </cell>
          <cell r="G943">
            <v>1</v>
          </cell>
          <cell r="H943" t="str">
            <v>technical</v>
          </cell>
          <cell r="I943" t="str">
            <v>テクニカルタイプ</v>
          </cell>
          <cell r="J943">
            <v>0.9</v>
          </cell>
          <cell r="K943">
            <v>0.9</v>
          </cell>
          <cell r="L943">
            <v>1</v>
          </cell>
          <cell r="M943" t="str">
            <v>human</v>
          </cell>
          <cell r="N943" t="str">
            <v>ヒューマン</v>
          </cell>
          <cell r="O943">
            <v>0.94</v>
          </cell>
          <cell r="P943">
            <v>0.99</v>
          </cell>
          <cell r="Q943">
            <v>1</v>
          </cell>
          <cell r="R943" t="str">
            <v>Boss</v>
          </cell>
          <cell r="S943">
            <v>5</v>
          </cell>
          <cell r="T943">
            <v>1.3</v>
          </cell>
          <cell r="U943">
            <v>0.8</v>
          </cell>
          <cell r="V943">
            <v>3</v>
          </cell>
          <cell r="W943">
            <v>1</v>
          </cell>
          <cell r="X943">
            <v>60</v>
          </cell>
          <cell r="Y943">
            <v>1.7</v>
          </cell>
          <cell r="Z943">
            <v>1.4</v>
          </cell>
          <cell r="AA943">
            <v>1</v>
          </cell>
          <cell r="AB943">
            <v>0</v>
          </cell>
        </row>
        <row r="944">
          <cell r="A944">
            <v>943</v>
          </cell>
          <cell r="B944" t="str">
            <v>サンソン</v>
          </cell>
          <cell r="C944">
            <v>5</v>
          </cell>
          <cell r="D944" t="str">
            <v>yellow</v>
          </cell>
          <cell r="E944">
            <v>0.98</v>
          </cell>
          <cell r="F944">
            <v>1.01</v>
          </cell>
          <cell r="G944">
            <v>1</v>
          </cell>
          <cell r="H944" t="str">
            <v>attack</v>
          </cell>
          <cell r="I944" t="str">
            <v>攻撃タイプ</v>
          </cell>
          <cell r="J944">
            <v>1</v>
          </cell>
          <cell r="K944">
            <v>1.33</v>
          </cell>
          <cell r="L944">
            <v>1</v>
          </cell>
          <cell r="M944" t="str">
            <v>human</v>
          </cell>
          <cell r="N944" t="str">
            <v>ヒューマン</v>
          </cell>
          <cell r="O944">
            <v>0.94</v>
          </cell>
          <cell r="P944">
            <v>0.99</v>
          </cell>
          <cell r="Q944">
            <v>1</v>
          </cell>
          <cell r="R944" t="str">
            <v>Boss</v>
          </cell>
          <cell r="S944">
            <v>5</v>
          </cell>
          <cell r="T944">
            <v>1.3</v>
          </cell>
          <cell r="U944">
            <v>0.8</v>
          </cell>
          <cell r="V944">
            <v>3</v>
          </cell>
          <cell r="W944">
            <v>1</v>
          </cell>
          <cell r="X944">
            <v>60</v>
          </cell>
          <cell r="Y944">
            <v>1.7</v>
          </cell>
          <cell r="Z944">
            <v>1.4</v>
          </cell>
          <cell r="AA944">
            <v>1</v>
          </cell>
          <cell r="AB944">
            <v>0</v>
          </cell>
        </row>
        <row r="945">
          <cell r="A945">
            <v>944</v>
          </cell>
          <cell r="B945" t="str">
            <v>王敬の執行者 サンソン</v>
          </cell>
          <cell r="C945">
            <v>6</v>
          </cell>
          <cell r="D945" t="str">
            <v>yellow</v>
          </cell>
          <cell r="E945">
            <v>0.98</v>
          </cell>
          <cell r="F945">
            <v>1.01</v>
          </cell>
          <cell r="G945">
            <v>1</v>
          </cell>
          <cell r="H945" t="str">
            <v>attack</v>
          </cell>
          <cell r="I945" t="str">
            <v>攻撃タイプ</v>
          </cell>
          <cell r="J945">
            <v>1</v>
          </cell>
          <cell r="K945">
            <v>1.33</v>
          </cell>
          <cell r="L945">
            <v>1</v>
          </cell>
          <cell r="M945" t="str">
            <v>human</v>
          </cell>
          <cell r="N945" t="str">
            <v>ヒューマン</v>
          </cell>
          <cell r="O945">
            <v>0.94</v>
          </cell>
          <cell r="P945">
            <v>0.99</v>
          </cell>
          <cell r="Q945">
            <v>1</v>
          </cell>
          <cell r="R945" t="str">
            <v>Boss</v>
          </cell>
          <cell r="S945">
            <v>5</v>
          </cell>
          <cell r="T945">
            <v>1.3</v>
          </cell>
          <cell r="U945">
            <v>0.8</v>
          </cell>
          <cell r="V945">
            <v>3</v>
          </cell>
          <cell r="W945">
            <v>1</v>
          </cell>
          <cell r="X945">
            <v>60</v>
          </cell>
          <cell r="Y945">
            <v>1.7</v>
          </cell>
          <cell r="Z945">
            <v>1.4</v>
          </cell>
          <cell r="AA945">
            <v>1</v>
          </cell>
          <cell r="AB945">
            <v>0</v>
          </cell>
        </row>
        <row r="946">
          <cell r="A946">
            <v>945</v>
          </cell>
          <cell r="B946" t="str">
            <v>ブリューナク</v>
          </cell>
          <cell r="C946">
            <v>5</v>
          </cell>
          <cell r="D946" t="str">
            <v>red</v>
          </cell>
          <cell r="E946">
            <v>1</v>
          </cell>
          <cell r="F946">
            <v>1.02</v>
          </cell>
          <cell r="G946">
            <v>1</v>
          </cell>
          <cell r="H946" t="str">
            <v>attack</v>
          </cell>
          <cell r="I946" t="str">
            <v>攻撃タイプ</v>
          </cell>
          <cell r="J946">
            <v>1</v>
          </cell>
          <cell r="K946">
            <v>1.33</v>
          </cell>
          <cell r="L946">
            <v>1</v>
          </cell>
          <cell r="M946" t="str">
            <v>academia</v>
          </cell>
          <cell r="N946" t="str">
            <v>アカデミア</v>
          </cell>
          <cell r="O946">
            <v>1</v>
          </cell>
          <cell r="P946">
            <v>1</v>
          </cell>
          <cell r="Q946">
            <v>1</v>
          </cell>
          <cell r="R946" t="str">
            <v>Boss</v>
          </cell>
          <cell r="S946">
            <v>5</v>
          </cell>
          <cell r="T946">
            <v>1.3</v>
          </cell>
          <cell r="U946">
            <v>0.8</v>
          </cell>
          <cell r="V946">
            <v>3</v>
          </cell>
          <cell r="W946">
            <v>1</v>
          </cell>
          <cell r="X946">
            <v>60</v>
          </cell>
          <cell r="Y946">
            <v>1.7</v>
          </cell>
          <cell r="Z946">
            <v>1.4</v>
          </cell>
          <cell r="AA946">
            <v>1</v>
          </cell>
          <cell r="AB946">
            <v>0</v>
          </cell>
        </row>
        <row r="947">
          <cell r="A947">
            <v>946</v>
          </cell>
          <cell r="B947" t="str">
            <v>ブリューナク</v>
          </cell>
          <cell r="C947">
            <v>6</v>
          </cell>
          <cell r="D947" t="str">
            <v>red</v>
          </cell>
          <cell r="E947">
            <v>1</v>
          </cell>
          <cell r="F947">
            <v>1.02</v>
          </cell>
          <cell r="G947">
            <v>1</v>
          </cell>
          <cell r="H947" t="str">
            <v>attack</v>
          </cell>
          <cell r="I947" t="str">
            <v>攻撃タイプ</v>
          </cell>
          <cell r="J947">
            <v>1</v>
          </cell>
          <cell r="K947">
            <v>1.33</v>
          </cell>
          <cell r="L947">
            <v>1</v>
          </cell>
          <cell r="M947" t="str">
            <v>academia</v>
          </cell>
          <cell r="N947" t="str">
            <v>アカデミア</v>
          </cell>
          <cell r="O947">
            <v>1</v>
          </cell>
          <cell r="P947">
            <v>1</v>
          </cell>
          <cell r="Q947">
            <v>1</v>
          </cell>
          <cell r="R947" t="str">
            <v>Boss</v>
          </cell>
          <cell r="S947">
            <v>5</v>
          </cell>
          <cell r="T947">
            <v>1.3</v>
          </cell>
          <cell r="U947">
            <v>0.8</v>
          </cell>
          <cell r="V947">
            <v>3</v>
          </cell>
          <cell r="W947">
            <v>1</v>
          </cell>
          <cell r="X947">
            <v>60</v>
          </cell>
          <cell r="Y947">
            <v>1.7</v>
          </cell>
          <cell r="Z947">
            <v>1.4</v>
          </cell>
          <cell r="AA947">
            <v>1</v>
          </cell>
          <cell r="AB947">
            <v>0</v>
          </cell>
        </row>
        <row r="948">
          <cell r="A948">
            <v>947</v>
          </cell>
          <cell r="B948" t="str">
            <v>ゲイボルグ</v>
          </cell>
          <cell r="C948">
            <v>5</v>
          </cell>
          <cell r="D948" t="str">
            <v>green</v>
          </cell>
          <cell r="E948">
            <v>1.02</v>
          </cell>
          <cell r="F948">
            <v>0.98</v>
          </cell>
          <cell r="G948">
            <v>1</v>
          </cell>
          <cell r="H948" t="str">
            <v>attack</v>
          </cell>
          <cell r="I948" t="str">
            <v>攻撃タイプ</v>
          </cell>
          <cell r="J948">
            <v>1</v>
          </cell>
          <cell r="K948">
            <v>1.33</v>
          </cell>
          <cell r="L948">
            <v>1</v>
          </cell>
          <cell r="M948" t="str">
            <v>weapon</v>
          </cell>
          <cell r="N948" t="str">
            <v>ウェポン</v>
          </cell>
          <cell r="O948">
            <v>1</v>
          </cell>
          <cell r="P948">
            <v>1</v>
          </cell>
          <cell r="Q948">
            <v>1</v>
          </cell>
          <cell r="R948" t="str">
            <v>Boss</v>
          </cell>
          <cell r="S948">
            <v>5</v>
          </cell>
          <cell r="T948">
            <v>1.3</v>
          </cell>
          <cell r="U948">
            <v>0.8</v>
          </cell>
          <cell r="V948">
            <v>3</v>
          </cell>
          <cell r="W948">
            <v>1</v>
          </cell>
          <cell r="X948">
            <v>60</v>
          </cell>
          <cell r="Y948">
            <v>1.7</v>
          </cell>
          <cell r="Z948">
            <v>1.4</v>
          </cell>
          <cell r="AA948">
            <v>1</v>
          </cell>
          <cell r="AB948">
            <v>0</v>
          </cell>
        </row>
        <row r="949">
          <cell r="A949">
            <v>948</v>
          </cell>
          <cell r="B949" t="str">
            <v>裂雷の必撃鏃 ゲイボルグ</v>
          </cell>
          <cell r="C949">
            <v>6</v>
          </cell>
          <cell r="D949" t="str">
            <v>green</v>
          </cell>
          <cell r="E949">
            <v>1.02</v>
          </cell>
          <cell r="F949">
            <v>0.98</v>
          </cell>
          <cell r="G949">
            <v>1</v>
          </cell>
          <cell r="H949" t="str">
            <v>attack</v>
          </cell>
          <cell r="I949" t="str">
            <v>攻撃タイプ</v>
          </cell>
          <cell r="J949">
            <v>1</v>
          </cell>
          <cell r="K949">
            <v>1.33</v>
          </cell>
          <cell r="L949">
            <v>1</v>
          </cell>
          <cell r="M949" t="str">
            <v>weapon</v>
          </cell>
          <cell r="N949" t="str">
            <v>ウェポン</v>
          </cell>
          <cell r="O949">
            <v>1</v>
          </cell>
          <cell r="P949">
            <v>1</v>
          </cell>
          <cell r="Q949">
            <v>1</v>
          </cell>
          <cell r="R949" t="str">
            <v>Boss</v>
          </cell>
          <cell r="S949">
            <v>5</v>
          </cell>
          <cell r="T949">
            <v>1.3</v>
          </cell>
          <cell r="U949">
            <v>0.8</v>
          </cell>
          <cell r="V949">
            <v>3</v>
          </cell>
          <cell r="W949">
            <v>1</v>
          </cell>
          <cell r="X949">
            <v>60</v>
          </cell>
          <cell r="Y949">
            <v>1.7</v>
          </cell>
          <cell r="Z949">
            <v>1.4</v>
          </cell>
          <cell r="AA949">
            <v>1</v>
          </cell>
          <cell r="AB949">
            <v>0</v>
          </cell>
        </row>
        <row r="950">
          <cell r="A950">
            <v>949</v>
          </cell>
          <cell r="B950" t="str">
            <v>トライデント</v>
          </cell>
          <cell r="C950">
            <v>5</v>
          </cell>
          <cell r="D950" t="str">
            <v>blue</v>
          </cell>
          <cell r="E950">
            <v>1</v>
          </cell>
          <cell r="F950">
            <v>0.98</v>
          </cell>
          <cell r="G950">
            <v>1</v>
          </cell>
          <cell r="H950" t="str">
            <v>balance</v>
          </cell>
          <cell r="I950" t="str">
            <v>バランスタイプ</v>
          </cell>
          <cell r="J950">
            <v>1</v>
          </cell>
          <cell r="K950">
            <v>1</v>
          </cell>
          <cell r="L950">
            <v>1</v>
          </cell>
          <cell r="M950" t="str">
            <v>weapon</v>
          </cell>
          <cell r="N950" t="str">
            <v>ウェポン</v>
          </cell>
          <cell r="O950">
            <v>1</v>
          </cell>
          <cell r="P950">
            <v>1</v>
          </cell>
          <cell r="Q950">
            <v>1</v>
          </cell>
          <cell r="R950" t="str">
            <v>Boss</v>
          </cell>
          <cell r="S950">
            <v>5</v>
          </cell>
          <cell r="T950">
            <v>1.3</v>
          </cell>
          <cell r="U950">
            <v>0.8</v>
          </cell>
          <cell r="V950">
            <v>3</v>
          </cell>
          <cell r="W950">
            <v>1</v>
          </cell>
          <cell r="X950">
            <v>60</v>
          </cell>
          <cell r="Y950">
            <v>1.7</v>
          </cell>
          <cell r="Z950">
            <v>1.4</v>
          </cell>
          <cell r="AA950">
            <v>1</v>
          </cell>
          <cell r="AB950">
            <v>0</v>
          </cell>
        </row>
        <row r="951">
          <cell r="A951">
            <v>950</v>
          </cell>
          <cell r="B951" t="str">
            <v>海洪操る三叉戟 トライデント</v>
          </cell>
          <cell r="C951">
            <v>6</v>
          </cell>
          <cell r="D951" t="str">
            <v>blue</v>
          </cell>
          <cell r="E951">
            <v>1</v>
          </cell>
          <cell r="F951">
            <v>0.98</v>
          </cell>
          <cell r="G951">
            <v>1</v>
          </cell>
          <cell r="H951" t="str">
            <v>balance</v>
          </cell>
          <cell r="I951" t="str">
            <v>バランスタイプ</v>
          </cell>
          <cell r="J951">
            <v>1</v>
          </cell>
          <cell r="K951">
            <v>1</v>
          </cell>
          <cell r="L951">
            <v>1</v>
          </cell>
          <cell r="M951" t="str">
            <v>weapon</v>
          </cell>
          <cell r="N951" t="str">
            <v>ウェポン</v>
          </cell>
          <cell r="O951">
            <v>1</v>
          </cell>
          <cell r="P951">
            <v>1</v>
          </cell>
          <cell r="Q951">
            <v>1</v>
          </cell>
          <cell r="R951" t="str">
            <v>Boss</v>
          </cell>
          <cell r="S951">
            <v>5</v>
          </cell>
          <cell r="T951">
            <v>1.3</v>
          </cell>
          <cell r="U951">
            <v>0.8</v>
          </cell>
          <cell r="V951">
            <v>3</v>
          </cell>
          <cell r="W951">
            <v>1</v>
          </cell>
          <cell r="X951">
            <v>60</v>
          </cell>
          <cell r="Y951">
            <v>1.7</v>
          </cell>
          <cell r="Z951">
            <v>1.4</v>
          </cell>
          <cell r="AA951">
            <v>1</v>
          </cell>
          <cell r="AB951">
            <v>0</v>
          </cell>
        </row>
        <row r="952">
          <cell r="A952">
            <v>951</v>
          </cell>
          <cell r="B952" t="str">
            <v>グングニル</v>
          </cell>
          <cell r="C952">
            <v>5</v>
          </cell>
          <cell r="D952" t="str">
            <v>yellow</v>
          </cell>
          <cell r="E952">
            <v>0.98</v>
          </cell>
          <cell r="F952">
            <v>1.01</v>
          </cell>
          <cell r="G952">
            <v>1</v>
          </cell>
          <cell r="H952" t="str">
            <v>attack</v>
          </cell>
          <cell r="I952" t="str">
            <v>攻撃タイプ</v>
          </cell>
          <cell r="J952">
            <v>1</v>
          </cell>
          <cell r="K952">
            <v>1.33</v>
          </cell>
          <cell r="L952">
            <v>1</v>
          </cell>
          <cell r="M952" t="str">
            <v>weapon</v>
          </cell>
          <cell r="N952" t="str">
            <v>ウェポン</v>
          </cell>
          <cell r="O952">
            <v>1</v>
          </cell>
          <cell r="P952">
            <v>1</v>
          </cell>
          <cell r="Q952">
            <v>1</v>
          </cell>
          <cell r="R952" t="str">
            <v>Boss</v>
          </cell>
          <cell r="S952">
            <v>5</v>
          </cell>
          <cell r="T952">
            <v>1.3</v>
          </cell>
          <cell r="U952">
            <v>0.8</v>
          </cell>
          <cell r="V952">
            <v>3</v>
          </cell>
          <cell r="W952">
            <v>1</v>
          </cell>
          <cell r="X952">
            <v>60</v>
          </cell>
          <cell r="Y952">
            <v>1.7</v>
          </cell>
          <cell r="Z952">
            <v>1.4</v>
          </cell>
          <cell r="AA952">
            <v>1</v>
          </cell>
          <cell r="AB952">
            <v>0</v>
          </cell>
        </row>
        <row r="953">
          <cell r="A953">
            <v>952</v>
          </cell>
          <cell r="B953" t="str">
            <v>勝臨の機鋭槍 グングニル</v>
          </cell>
          <cell r="C953">
            <v>6</v>
          </cell>
          <cell r="D953" t="str">
            <v>yellow</v>
          </cell>
          <cell r="E953">
            <v>0.98</v>
          </cell>
          <cell r="F953">
            <v>1.01</v>
          </cell>
          <cell r="G953">
            <v>1</v>
          </cell>
          <cell r="H953" t="str">
            <v>attack</v>
          </cell>
          <cell r="I953" t="str">
            <v>攻撃タイプ</v>
          </cell>
          <cell r="J953">
            <v>1</v>
          </cell>
          <cell r="K953">
            <v>1.33</v>
          </cell>
          <cell r="L953">
            <v>1</v>
          </cell>
          <cell r="M953" t="str">
            <v>weapon</v>
          </cell>
          <cell r="N953" t="str">
            <v>ウェポン</v>
          </cell>
          <cell r="O953">
            <v>1</v>
          </cell>
          <cell r="P953">
            <v>1</v>
          </cell>
          <cell r="Q953">
            <v>1</v>
          </cell>
          <cell r="R953" t="str">
            <v>Boss</v>
          </cell>
          <cell r="S953">
            <v>5</v>
          </cell>
          <cell r="T953">
            <v>1.3</v>
          </cell>
          <cell r="U953">
            <v>0.8</v>
          </cell>
          <cell r="V953">
            <v>3</v>
          </cell>
          <cell r="W953">
            <v>1</v>
          </cell>
          <cell r="X953">
            <v>60</v>
          </cell>
          <cell r="Y953">
            <v>1.7</v>
          </cell>
          <cell r="Z953">
            <v>1.4</v>
          </cell>
          <cell r="AA953">
            <v>1</v>
          </cell>
          <cell r="AB953">
            <v>0</v>
          </cell>
        </row>
        <row r="954">
          <cell r="A954">
            <v>953</v>
          </cell>
          <cell r="B954" t="str">
            <v>ハイゼンベルク</v>
          </cell>
          <cell r="C954">
            <v>5</v>
          </cell>
          <cell r="D954" t="str">
            <v>green</v>
          </cell>
          <cell r="E954">
            <v>1.02</v>
          </cell>
          <cell r="F954">
            <v>0.98</v>
          </cell>
          <cell r="G954">
            <v>1</v>
          </cell>
          <cell r="H954" t="str">
            <v>attack</v>
          </cell>
          <cell r="I954" t="str">
            <v>攻撃タイプ</v>
          </cell>
          <cell r="J954">
            <v>1</v>
          </cell>
          <cell r="K954">
            <v>1.33</v>
          </cell>
          <cell r="L954">
            <v>1</v>
          </cell>
          <cell r="M954" t="str">
            <v>academia</v>
          </cell>
          <cell r="N954" t="str">
            <v>アカデミア</v>
          </cell>
          <cell r="O954">
            <v>1</v>
          </cell>
          <cell r="P954">
            <v>1</v>
          </cell>
          <cell r="Q954">
            <v>1</v>
          </cell>
          <cell r="R954" t="str">
            <v>Boss</v>
          </cell>
          <cell r="S954">
            <v>5</v>
          </cell>
          <cell r="T954">
            <v>1.3</v>
          </cell>
          <cell r="U954">
            <v>0.8</v>
          </cell>
          <cell r="V954">
            <v>3</v>
          </cell>
          <cell r="W954">
            <v>1</v>
          </cell>
          <cell r="X954">
            <v>60</v>
          </cell>
          <cell r="Y954">
            <v>1.7</v>
          </cell>
          <cell r="Z954">
            <v>1.4</v>
          </cell>
          <cell r="AA954">
            <v>1</v>
          </cell>
          <cell r="AB954">
            <v>0</v>
          </cell>
        </row>
        <row r="955">
          <cell r="A955">
            <v>954</v>
          </cell>
          <cell r="B955" t="str">
            <v>不確の量熔者 ハイゼンベルク</v>
          </cell>
          <cell r="C955">
            <v>6</v>
          </cell>
          <cell r="D955" t="str">
            <v>green</v>
          </cell>
          <cell r="E955">
            <v>1.02</v>
          </cell>
          <cell r="F955">
            <v>0.98</v>
          </cell>
          <cell r="G955">
            <v>1</v>
          </cell>
          <cell r="H955" t="str">
            <v>attack</v>
          </cell>
          <cell r="I955" t="str">
            <v>攻撃タイプ</v>
          </cell>
          <cell r="J955">
            <v>1</v>
          </cell>
          <cell r="K955">
            <v>1.33</v>
          </cell>
          <cell r="L955">
            <v>1</v>
          </cell>
          <cell r="M955" t="str">
            <v>academia</v>
          </cell>
          <cell r="N955" t="str">
            <v>アカデミア</v>
          </cell>
          <cell r="O955">
            <v>1</v>
          </cell>
          <cell r="P955">
            <v>1</v>
          </cell>
          <cell r="Q955">
            <v>1</v>
          </cell>
          <cell r="R955" t="str">
            <v>Boss</v>
          </cell>
          <cell r="S955">
            <v>5</v>
          </cell>
          <cell r="T955">
            <v>1.3</v>
          </cell>
          <cell r="U955">
            <v>0.8</v>
          </cell>
          <cell r="V955">
            <v>3</v>
          </cell>
          <cell r="W955">
            <v>1</v>
          </cell>
          <cell r="X955">
            <v>60</v>
          </cell>
          <cell r="Y955">
            <v>1.7</v>
          </cell>
          <cell r="Z955">
            <v>1.4</v>
          </cell>
          <cell r="AA955">
            <v>1</v>
          </cell>
          <cell r="AB955">
            <v>0</v>
          </cell>
        </row>
        <row r="956">
          <cell r="A956">
            <v>955</v>
          </cell>
          <cell r="B956" t="str">
            <v>マクローリン</v>
          </cell>
          <cell r="C956">
            <v>5</v>
          </cell>
          <cell r="D956" t="str">
            <v>red</v>
          </cell>
          <cell r="E956">
            <v>1</v>
          </cell>
          <cell r="F956">
            <v>1.02</v>
          </cell>
          <cell r="G956">
            <v>1</v>
          </cell>
          <cell r="H956" t="str">
            <v>technical</v>
          </cell>
          <cell r="I956" t="str">
            <v>テクニカルタイプ</v>
          </cell>
          <cell r="J956">
            <v>0.9</v>
          </cell>
          <cell r="K956">
            <v>0.9</v>
          </cell>
          <cell r="L956">
            <v>1</v>
          </cell>
          <cell r="M956" t="str">
            <v>academia</v>
          </cell>
          <cell r="N956" t="str">
            <v>アカデミア</v>
          </cell>
          <cell r="O956">
            <v>1</v>
          </cell>
          <cell r="P956">
            <v>1</v>
          </cell>
          <cell r="Q956">
            <v>1</v>
          </cell>
          <cell r="R956" t="str">
            <v>Boss</v>
          </cell>
          <cell r="S956">
            <v>5</v>
          </cell>
          <cell r="T956">
            <v>1.3</v>
          </cell>
          <cell r="U956">
            <v>0.8</v>
          </cell>
          <cell r="V956">
            <v>3</v>
          </cell>
          <cell r="W956">
            <v>1</v>
          </cell>
          <cell r="X956">
            <v>60</v>
          </cell>
          <cell r="Y956">
            <v>1.7</v>
          </cell>
          <cell r="Z956">
            <v>1.4</v>
          </cell>
          <cell r="AA956">
            <v>1</v>
          </cell>
          <cell r="AB956">
            <v>0</v>
          </cell>
        </row>
        <row r="957">
          <cell r="A957">
            <v>956</v>
          </cell>
          <cell r="B957" t="str">
            <v>導環の崇論 マクローリン</v>
          </cell>
          <cell r="C957">
            <v>6</v>
          </cell>
          <cell r="D957" t="str">
            <v>red</v>
          </cell>
          <cell r="E957">
            <v>1</v>
          </cell>
          <cell r="F957">
            <v>1.02</v>
          </cell>
          <cell r="G957">
            <v>1</v>
          </cell>
          <cell r="H957" t="str">
            <v>technical</v>
          </cell>
          <cell r="I957" t="str">
            <v>テクニカルタイプ</v>
          </cell>
          <cell r="J957">
            <v>0.9</v>
          </cell>
          <cell r="K957">
            <v>0.9</v>
          </cell>
          <cell r="L957">
            <v>1</v>
          </cell>
          <cell r="M957" t="str">
            <v>academia</v>
          </cell>
          <cell r="N957" t="str">
            <v>アカデミア</v>
          </cell>
          <cell r="O957">
            <v>1</v>
          </cell>
          <cell r="P957">
            <v>1</v>
          </cell>
          <cell r="Q957">
            <v>1</v>
          </cell>
          <cell r="R957" t="str">
            <v>Boss</v>
          </cell>
          <cell r="S957">
            <v>5</v>
          </cell>
          <cell r="T957">
            <v>1.3</v>
          </cell>
          <cell r="U957">
            <v>0.8</v>
          </cell>
          <cell r="V957">
            <v>3</v>
          </cell>
          <cell r="W957">
            <v>1</v>
          </cell>
          <cell r="X957">
            <v>60</v>
          </cell>
          <cell r="Y957">
            <v>1.7</v>
          </cell>
          <cell r="Z957">
            <v>1.4</v>
          </cell>
          <cell r="AA957">
            <v>1</v>
          </cell>
          <cell r="AB957">
            <v>0</v>
          </cell>
        </row>
        <row r="958">
          <cell r="A958">
            <v>957</v>
          </cell>
          <cell r="B958" t="str">
            <v>浮環の流律論 マクローリン</v>
          </cell>
          <cell r="C958">
            <v>6</v>
          </cell>
          <cell r="D958" t="str">
            <v>red</v>
          </cell>
          <cell r="E958">
            <v>1</v>
          </cell>
          <cell r="F958">
            <v>1.02</v>
          </cell>
          <cell r="G958">
            <v>1</v>
          </cell>
          <cell r="H958" t="str">
            <v>hp</v>
          </cell>
          <cell r="I958" t="str">
            <v>体力タイプ</v>
          </cell>
          <cell r="J958">
            <v>1.45</v>
          </cell>
          <cell r="K958">
            <v>0.85</v>
          </cell>
          <cell r="L958">
            <v>1</v>
          </cell>
          <cell r="M958" t="str">
            <v>academia</v>
          </cell>
          <cell r="N958" t="str">
            <v>アカデミア</v>
          </cell>
          <cell r="O958">
            <v>1</v>
          </cell>
          <cell r="P958">
            <v>1</v>
          </cell>
          <cell r="Q958">
            <v>1</v>
          </cell>
          <cell r="R958" t="str">
            <v>Boss</v>
          </cell>
          <cell r="S958">
            <v>5</v>
          </cell>
          <cell r="T958">
            <v>1.3</v>
          </cell>
          <cell r="U958">
            <v>0.8</v>
          </cell>
          <cell r="V958">
            <v>3</v>
          </cell>
          <cell r="W958">
            <v>1</v>
          </cell>
          <cell r="X958">
            <v>60</v>
          </cell>
          <cell r="Y958">
            <v>1.7</v>
          </cell>
          <cell r="Z958">
            <v>1.4</v>
          </cell>
          <cell r="AA958">
            <v>1</v>
          </cell>
          <cell r="AB958">
            <v>0</v>
          </cell>
        </row>
        <row r="959">
          <cell r="A959">
            <v>958</v>
          </cell>
          <cell r="B959" t="str">
            <v>ド・モルガン</v>
          </cell>
          <cell r="C959">
            <v>5</v>
          </cell>
          <cell r="D959" t="str">
            <v>green</v>
          </cell>
          <cell r="E959">
            <v>1.02</v>
          </cell>
          <cell r="F959">
            <v>0.98</v>
          </cell>
          <cell r="G959">
            <v>1</v>
          </cell>
          <cell r="H959" t="str">
            <v>balance</v>
          </cell>
          <cell r="I959" t="str">
            <v>バランスタイプ</v>
          </cell>
          <cell r="J959">
            <v>1</v>
          </cell>
          <cell r="K959">
            <v>1</v>
          </cell>
          <cell r="L959">
            <v>1</v>
          </cell>
          <cell r="M959" t="str">
            <v>academia</v>
          </cell>
          <cell r="N959" t="str">
            <v>アカデミア</v>
          </cell>
          <cell r="O959">
            <v>1</v>
          </cell>
          <cell r="P959">
            <v>1</v>
          </cell>
          <cell r="Q959">
            <v>1</v>
          </cell>
          <cell r="R959" t="str">
            <v>Boss</v>
          </cell>
          <cell r="S959">
            <v>5</v>
          </cell>
          <cell r="T959">
            <v>1.3</v>
          </cell>
          <cell r="U959">
            <v>0.8</v>
          </cell>
          <cell r="V959">
            <v>3</v>
          </cell>
          <cell r="W959">
            <v>1</v>
          </cell>
          <cell r="X959">
            <v>60</v>
          </cell>
          <cell r="Y959">
            <v>1.7</v>
          </cell>
          <cell r="Z959">
            <v>1.4</v>
          </cell>
          <cell r="AA959">
            <v>1</v>
          </cell>
          <cell r="AB959">
            <v>0</v>
          </cell>
        </row>
        <row r="960">
          <cell r="A960">
            <v>959</v>
          </cell>
          <cell r="B960" t="str">
            <v>双世の論和 ド・モルガン</v>
          </cell>
          <cell r="C960">
            <v>6</v>
          </cell>
          <cell r="D960" t="str">
            <v>green</v>
          </cell>
          <cell r="E960">
            <v>1.02</v>
          </cell>
          <cell r="F960">
            <v>0.98</v>
          </cell>
          <cell r="G960">
            <v>1</v>
          </cell>
          <cell r="H960" t="str">
            <v>balance</v>
          </cell>
          <cell r="I960" t="str">
            <v>バランスタイプ</v>
          </cell>
          <cell r="J960">
            <v>1</v>
          </cell>
          <cell r="K960">
            <v>1</v>
          </cell>
          <cell r="L960">
            <v>1</v>
          </cell>
          <cell r="M960" t="str">
            <v>academia</v>
          </cell>
          <cell r="N960" t="str">
            <v>アカデミア</v>
          </cell>
          <cell r="O960">
            <v>1</v>
          </cell>
          <cell r="P960">
            <v>1</v>
          </cell>
          <cell r="Q960">
            <v>1</v>
          </cell>
          <cell r="R960" t="str">
            <v>Boss</v>
          </cell>
          <cell r="S960">
            <v>5</v>
          </cell>
          <cell r="T960">
            <v>1.3</v>
          </cell>
          <cell r="U960">
            <v>0.8</v>
          </cell>
          <cell r="V960">
            <v>3</v>
          </cell>
          <cell r="W960">
            <v>1</v>
          </cell>
          <cell r="X960">
            <v>60</v>
          </cell>
          <cell r="Y960">
            <v>1.7</v>
          </cell>
          <cell r="Z960">
            <v>1.4</v>
          </cell>
          <cell r="AA960">
            <v>1</v>
          </cell>
          <cell r="AB960">
            <v>0</v>
          </cell>
        </row>
        <row r="961">
          <cell r="A961">
            <v>960</v>
          </cell>
          <cell r="B961" t="str">
            <v>双対する真偽者 ド・モルガン</v>
          </cell>
          <cell r="C961">
            <v>6</v>
          </cell>
          <cell r="D961" t="str">
            <v>green</v>
          </cell>
          <cell r="E961">
            <v>1.02</v>
          </cell>
          <cell r="F961">
            <v>0.98</v>
          </cell>
          <cell r="G961">
            <v>1</v>
          </cell>
          <cell r="H961" t="str">
            <v>heal</v>
          </cell>
          <cell r="I961" t="str">
            <v>回復タイプ</v>
          </cell>
          <cell r="J961">
            <v>0.8</v>
          </cell>
          <cell r="K961">
            <v>0.78</v>
          </cell>
          <cell r="L961">
            <v>1</v>
          </cell>
          <cell r="M961" t="str">
            <v>academia</v>
          </cell>
          <cell r="N961" t="str">
            <v>アカデミア</v>
          </cell>
          <cell r="O961">
            <v>1</v>
          </cell>
          <cell r="P961">
            <v>1</v>
          </cell>
          <cell r="Q961">
            <v>1</v>
          </cell>
          <cell r="R961" t="str">
            <v>Boss</v>
          </cell>
          <cell r="S961">
            <v>5</v>
          </cell>
          <cell r="T961">
            <v>1.3</v>
          </cell>
          <cell r="U961">
            <v>0.8</v>
          </cell>
          <cell r="V961">
            <v>3</v>
          </cell>
          <cell r="W961">
            <v>1</v>
          </cell>
          <cell r="X961">
            <v>60</v>
          </cell>
          <cell r="Y961">
            <v>1.7</v>
          </cell>
          <cell r="Z961">
            <v>1.4</v>
          </cell>
          <cell r="AA961">
            <v>1</v>
          </cell>
          <cell r="AB961">
            <v>0</v>
          </cell>
        </row>
        <row r="962">
          <cell r="A962">
            <v>961</v>
          </cell>
          <cell r="B962" t="str">
            <v>狂奏・混業剣 ガレス</v>
          </cell>
          <cell r="C962">
            <v>6</v>
          </cell>
          <cell r="D962" t="str">
            <v>green</v>
          </cell>
          <cell r="E962">
            <v>1.02</v>
          </cell>
          <cell r="F962">
            <v>0.98</v>
          </cell>
          <cell r="G962">
            <v>1</v>
          </cell>
          <cell r="H962" t="str">
            <v>technical</v>
          </cell>
          <cell r="I962" t="str">
            <v>テクニカルタイプ</v>
          </cell>
          <cell r="J962">
            <v>0.9</v>
          </cell>
          <cell r="K962">
            <v>0.9</v>
          </cell>
          <cell r="L962">
            <v>1</v>
          </cell>
          <cell r="M962" t="str">
            <v>human</v>
          </cell>
          <cell r="N962" t="str">
            <v>ヒューマン</v>
          </cell>
          <cell r="O962">
            <v>0.94</v>
          </cell>
          <cell r="P962">
            <v>0.99</v>
          </cell>
          <cell r="Q962">
            <v>1</v>
          </cell>
          <cell r="R962" t="str">
            <v>Boss</v>
          </cell>
          <cell r="S962">
            <v>5</v>
          </cell>
          <cell r="T962">
            <v>1.3</v>
          </cell>
          <cell r="U962">
            <v>0.8</v>
          </cell>
          <cell r="V962">
            <v>3</v>
          </cell>
          <cell r="W962">
            <v>1</v>
          </cell>
          <cell r="X962">
            <v>60</v>
          </cell>
          <cell r="Y962">
            <v>1.7</v>
          </cell>
          <cell r="Z962">
            <v>1.4</v>
          </cell>
          <cell r="AA962">
            <v>1</v>
          </cell>
          <cell r="AB962">
            <v>0</v>
          </cell>
        </row>
        <row r="963">
          <cell r="A963">
            <v>962</v>
          </cell>
          <cell r="B963" t="str">
            <v>酩酊する大宴龍 ヤマタノオロチ</v>
          </cell>
          <cell r="C963">
            <v>6</v>
          </cell>
          <cell r="D963" t="str">
            <v>green</v>
          </cell>
          <cell r="E963">
            <v>1.02</v>
          </cell>
          <cell r="F963">
            <v>0.98</v>
          </cell>
          <cell r="G963">
            <v>1</v>
          </cell>
          <cell r="H963" t="str">
            <v>hp</v>
          </cell>
          <cell r="I963" t="str">
            <v>体力タイプ</v>
          </cell>
          <cell r="J963">
            <v>1.45</v>
          </cell>
          <cell r="K963">
            <v>0.85</v>
          </cell>
          <cell r="L963">
            <v>1</v>
          </cell>
          <cell r="M963" t="str">
            <v>dragon</v>
          </cell>
          <cell r="N963" t="str">
            <v>ドラゴン</v>
          </cell>
          <cell r="O963">
            <v>1.1499999999999999</v>
          </cell>
          <cell r="P963">
            <v>1.1000000000000001</v>
          </cell>
          <cell r="Q963">
            <v>1</v>
          </cell>
          <cell r="R963" t="str">
            <v>Boss</v>
          </cell>
          <cell r="S963">
            <v>5</v>
          </cell>
          <cell r="T963">
            <v>1.3</v>
          </cell>
          <cell r="U963">
            <v>0.8</v>
          </cell>
          <cell r="V963">
            <v>3</v>
          </cell>
          <cell r="W963">
            <v>1</v>
          </cell>
          <cell r="X963">
            <v>60</v>
          </cell>
          <cell r="Y963">
            <v>1.7</v>
          </cell>
          <cell r="Z963">
            <v>1.4</v>
          </cell>
          <cell r="AA963">
            <v>1</v>
          </cell>
          <cell r="AB963">
            <v>0</v>
          </cell>
        </row>
        <row r="964">
          <cell r="A964">
            <v>963</v>
          </cell>
          <cell r="B964" t="str">
            <v>天蛇の閃皇貴魔 アスタロト</v>
          </cell>
          <cell r="C964">
            <v>6</v>
          </cell>
          <cell r="D964" t="str">
            <v>yellow</v>
          </cell>
          <cell r="E964">
            <v>0.98</v>
          </cell>
          <cell r="F964">
            <v>1.01</v>
          </cell>
          <cell r="G964">
            <v>1</v>
          </cell>
          <cell r="H964" t="str">
            <v>attack</v>
          </cell>
          <cell r="I964" t="str">
            <v>攻撃タイプ</v>
          </cell>
          <cell r="J964">
            <v>1</v>
          </cell>
          <cell r="K964">
            <v>1.33</v>
          </cell>
          <cell r="L964">
            <v>1</v>
          </cell>
          <cell r="M964" t="str">
            <v>god</v>
          </cell>
          <cell r="N964" t="str">
            <v>ゴッド</v>
          </cell>
          <cell r="O964">
            <v>0.96</v>
          </cell>
          <cell r="P964">
            <v>1.02</v>
          </cell>
          <cell r="Q964">
            <v>1</v>
          </cell>
          <cell r="R964" t="str">
            <v>Boss</v>
          </cell>
          <cell r="S964">
            <v>5</v>
          </cell>
          <cell r="T964">
            <v>1.3</v>
          </cell>
          <cell r="U964">
            <v>0.8</v>
          </cell>
          <cell r="V964">
            <v>3</v>
          </cell>
          <cell r="W964">
            <v>1</v>
          </cell>
          <cell r="X964">
            <v>60</v>
          </cell>
          <cell r="Y964">
            <v>1.7</v>
          </cell>
          <cell r="Z964">
            <v>1.4</v>
          </cell>
          <cell r="AA964">
            <v>1</v>
          </cell>
          <cell r="AB964">
            <v>0</v>
          </cell>
        </row>
        <row r="965">
          <cell r="A965">
            <v>964</v>
          </cell>
          <cell r="B965" t="str">
            <v>海破雨散の海龍 リヴァイアサン</v>
          </cell>
          <cell r="C965">
            <v>6</v>
          </cell>
          <cell r="D965" t="str">
            <v>blue</v>
          </cell>
          <cell r="E965">
            <v>1</v>
          </cell>
          <cell r="F965">
            <v>0.98</v>
          </cell>
          <cell r="G965">
            <v>1</v>
          </cell>
          <cell r="H965" t="str">
            <v>balance</v>
          </cell>
          <cell r="I965" t="str">
            <v>バランスタイプ</v>
          </cell>
          <cell r="J965">
            <v>1</v>
          </cell>
          <cell r="K965">
            <v>1</v>
          </cell>
          <cell r="L965">
            <v>1</v>
          </cell>
          <cell r="M965" t="str">
            <v>dragon</v>
          </cell>
          <cell r="N965" t="str">
            <v>ドラゴン</v>
          </cell>
          <cell r="O965">
            <v>1.1499999999999999</v>
          </cell>
          <cell r="P965">
            <v>1.1000000000000001</v>
          </cell>
          <cell r="Q965">
            <v>1</v>
          </cell>
          <cell r="R965" t="str">
            <v>Boss</v>
          </cell>
          <cell r="S965">
            <v>5</v>
          </cell>
          <cell r="T965">
            <v>1.3</v>
          </cell>
          <cell r="U965">
            <v>0.8</v>
          </cell>
          <cell r="V965">
            <v>3</v>
          </cell>
          <cell r="W965">
            <v>1</v>
          </cell>
          <cell r="X965">
            <v>60</v>
          </cell>
          <cell r="Y965">
            <v>1.7</v>
          </cell>
          <cell r="Z965">
            <v>1.4</v>
          </cell>
          <cell r="AA965">
            <v>1</v>
          </cell>
          <cell r="AB965">
            <v>0</v>
          </cell>
        </row>
        <row r="966">
          <cell r="A966">
            <v>965</v>
          </cell>
          <cell r="B966" t="str">
            <v>穿熱の緋龍王 キング・ドライグ</v>
          </cell>
          <cell r="C966">
            <v>6</v>
          </cell>
          <cell r="D966" t="str">
            <v>red</v>
          </cell>
          <cell r="E966">
            <v>1</v>
          </cell>
          <cell r="F966">
            <v>1.02</v>
          </cell>
          <cell r="G966">
            <v>1</v>
          </cell>
          <cell r="H966" t="str">
            <v>attack</v>
          </cell>
          <cell r="I966" t="str">
            <v>攻撃タイプ</v>
          </cell>
          <cell r="J966">
            <v>1</v>
          </cell>
          <cell r="K966">
            <v>1.33</v>
          </cell>
          <cell r="L966">
            <v>1</v>
          </cell>
          <cell r="M966" t="str">
            <v>dragon</v>
          </cell>
          <cell r="N966" t="str">
            <v>ドラゴン</v>
          </cell>
          <cell r="O966">
            <v>1.1499999999999999</v>
          </cell>
          <cell r="P966">
            <v>1.1000000000000001</v>
          </cell>
          <cell r="Q966">
            <v>1</v>
          </cell>
          <cell r="R966" t="str">
            <v>Boss</v>
          </cell>
          <cell r="S966">
            <v>5</v>
          </cell>
          <cell r="T966">
            <v>1.3</v>
          </cell>
          <cell r="U966">
            <v>0.8</v>
          </cell>
          <cell r="V966">
            <v>3</v>
          </cell>
          <cell r="W966">
            <v>1</v>
          </cell>
          <cell r="X966">
            <v>60</v>
          </cell>
          <cell r="Y966">
            <v>1.7</v>
          </cell>
          <cell r="Z966">
            <v>1.4</v>
          </cell>
          <cell r="AA966">
            <v>1</v>
          </cell>
          <cell r="AB966">
            <v>0</v>
          </cell>
        </row>
        <row r="967">
          <cell r="A967">
            <v>966</v>
          </cell>
          <cell r="B967" t="str">
            <v>麗嵐の颯愛志士 土方歳三</v>
          </cell>
          <cell r="C967">
            <v>6</v>
          </cell>
          <cell r="D967" t="str">
            <v>green</v>
          </cell>
          <cell r="E967">
            <v>1.02</v>
          </cell>
          <cell r="F967">
            <v>0.98</v>
          </cell>
          <cell r="G967">
            <v>1</v>
          </cell>
          <cell r="H967" t="str">
            <v>attack</v>
          </cell>
          <cell r="I967" t="str">
            <v>攻撃タイプ</v>
          </cell>
          <cell r="J967">
            <v>1</v>
          </cell>
          <cell r="K967">
            <v>1.33</v>
          </cell>
          <cell r="L967">
            <v>1</v>
          </cell>
          <cell r="M967" t="str">
            <v>human</v>
          </cell>
          <cell r="N967" t="str">
            <v>ヒューマン</v>
          </cell>
          <cell r="O967">
            <v>0.94</v>
          </cell>
          <cell r="P967">
            <v>0.99</v>
          </cell>
          <cell r="Q967">
            <v>1</v>
          </cell>
          <cell r="R967" t="str">
            <v>Boss</v>
          </cell>
          <cell r="S967">
            <v>5</v>
          </cell>
          <cell r="T967">
            <v>1.3</v>
          </cell>
          <cell r="U967">
            <v>0.8</v>
          </cell>
          <cell r="V967">
            <v>3</v>
          </cell>
          <cell r="W967">
            <v>1</v>
          </cell>
          <cell r="X967">
            <v>60</v>
          </cell>
          <cell r="Y967">
            <v>1.7</v>
          </cell>
          <cell r="Z967">
            <v>1.4</v>
          </cell>
          <cell r="AA967">
            <v>1</v>
          </cell>
          <cell r="AB967">
            <v>0</v>
          </cell>
        </row>
        <row r="968">
          <cell r="A968">
            <v>967</v>
          </cell>
          <cell r="B968" t="str">
            <v>討滅の凶妖志士 斎藤一</v>
          </cell>
          <cell r="C968">
            <v>6</v>
          </cell>
          <cell r="D968" t="str">
            <v>yellow</v>
          </cell>
          <cell r="E968">
            <v>0.98</v>
          </cell>
          <cell r="F968">
            <v>1.01</v>
          </cell>
          <cell r="G968">
            <v>1</v>
          </cell>
          <cell r="H968" t="str">
            <v>technical</v>
          </cell>
          <cell r="I968" t="str">
            <v>テクニカルタイプ</v>
          </cell>
          <cell r="J968">
            <v>0.9</v>
          </cell>
          <cell r="K968">
            <v>0.9</v>
          </cell>
          <cell r="L968">
            <v>1</v>
          </cell>
          <cell r="M968" t="str">
            <v>human</v>
          </cell>
          <cell r="N968" t="str">
            <v>ヒューマン</v>
          </cell>
          <cell r="O968">
            <v>0.94</v>
          </cell>
          <cell r="P968">
            <v>0.99</v>
          </cell>
          <cell r="Q968">
            <v>1</v>
          </cell>
          <cell r="R968" t="str">
            <v>Boss</v>
          </cell>
          <cell r="S968">
            <v>5</v>
          </cell>
          <cell r="T968">
            <v>1.3</v>
          </cell>
          <cell r="U968">
            <v>0.8</v>
          </cell>
          <cell r="V968">
            <v>3</v>
          </cell>
          <cell r="W968">
            <v>1</v>
          </cell>
          <cell r="X968">
            <v>60</v>
          </cell>
          <cell r="Y968">
            <v>1.7</v>
          </cell>
          <cell r="Z968">
            <v>1.4</v>
          </cell>
          <cell r="AA968">
            <v>1</v>
          </cell>
          <cell r="AB968">
            <v>0</v>
          </cell>
        </row>
        <row r="969">
          <cell r="A969">
            <v>968</v>
          </cell>
          <cell r="B969" t="str">
            <v>夢謀の愚幻者 フール</v>
          </cell>
          <cell r="C969">
            <v>6</v>
          </cell>
          <cell r="D969" t="str">
            <v>blue</v>
          </cell>
          <cell r="E969">
            <v>1</v>
          </cell>
          <cell r="F969">
            <v>0.98</v>
          </cell>
          <cell r="G969">
            <v>1</v>
          </cell>
          <cell r="H969" t="str">
            <v>technical</v>
          </cell>
          <cell r="I969" t="str">
            <v>テクニカルタイプ</v>
          </cell>
          <cell r="J969">
            <v>0.9</v>
          </cell>
          <cell r="K969">
            <v>0.9</v>
          </cell>
          <cell r="L969">
            <v>1</v>
          </cell>
          <cell r="M969" t="str">
            <v>god</v>
          </cell>
          <cell r="N969" t="str">
            <v>ゴッド</v>
          </cell>
          <cell r="O969">
            <v>0.96</v>
          </cell>
          <cell r="P969">
            <v>1.02</v>
          </cell>
          <cell r="Q969">
            <v>1</v>
          </cell>
          <cell r="R969" t="str">
            <v>Boss</v>
          </cell>
          <cell r="S969">
            <v>5</v>
          </cell>
          <cell r="T969">
            <v>1.3</v>
          </cell>
          <cell r="U969">
            <v>0.8</v>
          </cell>
          <cell r="V969">
            <v>3</v>
          </cell>
          <cell r="W969">
            <v>1</v>
          </cell>
          <cell r="X969">
            <v>60</v>
          </cell>
          <cell r="Y969">
            <v>1.7</v>
          </cell>
          <cell r="Z969">
            <v>1.4</v>
          </cell>
          <cell r="AA969">
            <v>1</v>
          </cell>
          <cell r="AB969">
            <v>0</v>
          </cell>
        </row>
        <row r="970">
          <cell r="A970">
            <v>969</v>
          </cell>
          <cell r="B970" t="str">
            <v>超排撃の焔砲巨神 ユミル</v>
          </cell>
          <cell r="C970">
            <v>6</v>
          </cell>
          <cell r="D970" t="str">
            <v>red</v>
          </cell>
          <cell r="E970">
            <v>1</v>
          </cell>
          <cell r="F970">
            <v>1.02</v>
          </cell>
          <cell r="G970">
            <v>1</v>
          </cell>
          <cell r="H970" t="str">
            <v>hp</v>
          </cell>
          <cell r="I970" t="str">
            <v>体力タイプ</v>
          </cell>
          <cell r="J970">
            <v>1.45</v>
          </cell>
          <cell r="K970">
            <v>0.85</v>
          </cell>
          <cell r="L970">
            <v>1</v>
          </cell>
          <cell r="M970" t="str">
            <v>machine</v>
          </cell>
          <cell r="N970" t="str">
            <v>マシン</v>
          </cell>
          <cell r="O970">
            <v>1</v>
          </cell>
          <cell r="P970">
            <v>1</v>
          </cell>
          <cell r="Q970">
            <v>1</v>
          </cell>
          <cell r="R970" t="str">
            <v>Boss</v>
          </cell>
          <cell r="S970">
            <v>5</v>
          </cell>
          <cell r="T970">
            <v>1.3</v>
          </cell>
          <cell r="U970">
            <v>0.8</v>
          </cell>
          <cell r="V970">
            <v>3</v>
          </cell>
          <cell r="W970">
            <v>1</v>
          </cell>
          <cell r="X970">
            <v>60</v>
          </cell>
          <cell r="Y970">
            <v>1.7</v>
          </cell>
          <cell r="Z970">
            <v>1.4</v>
          </cell>
          <cell r="AA970">
            <v>1</v>
          </cell>
          <cell r="AB970">
            <v>0</v>
          </cell>
        </row>
        <row r="971">
          <cell r="A971">
            <v>970</v>
          </cell>
          <cell r="B971" t="str">
            <v>目醒の鋏牙 ラプンツェル</v>
          </cell>
          <cell r="C971">
            <v>6</v>
          </cell>
          <cell r="D971" t="str">
            <v>yellow</v>
          </cell>
          <cell r="E971">
            <v>0.98</v>
          </cell>
          <cell r="F971">
            <v>1.01</v>
          </cell>
          <cell r="G971">
            <v>1</v>
          </cell>
          <cell r="H971" t="str">
            <v>balance</v>
          </cell>
          <cell r="I971" t="str">
            <v>バランスタイプ</v>
          </cell>
          <cell r="J971">
            <v>1</v>
          </cell>
          <cell r="K971">
            <v>1</v>
          </cell>
          <cell r="L971">
            <v>1</v>
          </cell>
          <cell r="M971" t="str">
            <v>human</v>
          </cell>
          <cell r="N971" t="str">
            <v>ヒューマン</v>
          </cell>
          <cell r="O971">
            <v>0.94</v>
          </cell>
          <cell r="P971">
            <v>0.99</v>
          </cell>
          <cell r="Q971">
            <v>1</v>
          </cell>
          <cell r="R971" t="str">
            <v>Boss</v>
          </cell>
          <cell r="S971">
            <v>5</v>
          </cell>
          <cell r="T971">
            <v>1.3</v>
          </cell>
          <cell r="U971">
            <v>0.8</v>
          </cell>
          <cell r="V971">
            <v>3</v>
          </cell>
          <cell r="W971">
            <v>1</v>
          </cell>
          <cell r="X971">
            <v>60</v>
          </cell>
          <cell r="Y971">
            <v>1.7</v>
          </cell>
          <cell r="Z971">
            <v>1.4</v>
          </cell>
          <cell r="AA971">
            <v>1</v>
          </cell>
          <cell r="AB971">
            <v>0</v>
          </cell>
        </row>
        <row r="972">
          <cell r="A972">
            <v>971</v>
          </cell>
          <cell r="B972" t="str">
            <v>機獅蛮勇 ブレイブリー・ライオン</v>
          </cell>
          <cell r="C972">
            <v>6</v>
          </cell>
          <cell r="D972" t="str">
            <v>yellow</v>
          </cell>
          <cell r="E972">
            <v>0.98</v>
          </cell>
          <cell r="F972">
            <v>1.01</v>
          </cell>
          <cell r="G972">
            <v>1</v>
          </cell>
          <cell r="H972" t="str">
            <v>hp</v>
          </cell>
          <cell r="I972" t="str">
            <v>体力タイプ</v>
          </cell>
          <cell r="J972">
            <v>1.45</v>
          </cell>
          <cell r="K972">
            <v>0.85</v>
          </cell>
          <cell r="L972">
            <v>1</v>
          </cell>
          <cell r="M972" t="str">
            <v>animal</v>
          </cell>
          <cell r="N972" t="str">
            <v>アニマル</v>
          </cell>
          <cell r="O972">
            <v>1</v>
          </cell>
          <cell r="P972">
            <v>1.1000000000000001</v>
          </cell>
          <cell r="Q972">
            <v>1</v>
          </cell>
          <cell r="R972" t="str">
            <v>Boss</v>
          </cell>
          <cell r="S972">
            <v>5</v>
          </cell>
          <cell r="T972">
            <v>1.3</v>
          </cell>
          <cell r="U972">
            <v>0.8</v>
          </cell>
          <cell r="V972">
            <v>3</v>
          </cell>
          <cell r="W972">
            <v>1</v>
          </cell>
          <cell r="X972">
            <v>60</v>
          </cell>
          <cell r="Y972">
            <v>1.7</v>
          </cell>
          <cell r="Z972">
            <v>1.4</v>
          </cell>
          <cell r="AA972">
            <v>1</v>
          </cell>
          <cell r="AB972">
            <v>0</v>
          </cell>
        </row>
        <row r="973">
          <cell r="A973">
            <v>972</v>
          </cell>
          <cell r="B973" t="str">
            <v>コーシー</v>
          </cell>
          <cell r="C973">
            <v>5</v>
          </cell>
          <cell r="D973" t="str">
            <v>red</v>
          </cell>
          <cell r="E973">
            <v>1</v>
          </cell>
          <cell r="F973">
            <v>1.02</v>
          </cell>
          <cell r="G973">
            <v>1</v>
          </cell>
          <cell r="H973" t="str">
            <v>attack</v>
          </cell>
          <cell r="I973" t="str">
            <v>攻撃タイプ</v>
          </cell>
          <cell r="J973">
            <v>1</v>
          </cell>
          <cell r="K973">
            <v>1.33</v>
          </cell>
          <cell r="L973">
            <v>1</v>
          </cell>
          <cell r="M973" t="str">
            <v>academia</v>
          </cell>
          <cell r="N973" t="str">
            <v>アカデミア</v>
          </cell>
          <cell r="O973">
            <v>1</v>
          </cell>
          <cell r="P973">
            <v>1</v>
          </cell>
          <cell r="Q973">
            <v>1</v>
          </cell>
          <cell r="R973" t="str">
            <v>Boss</v>
          </cell>
          <cell r="S973">
            <v>5</v>
          </cell>
          <cell r="T973">
            <v>1.3</v>
          </cell>
          <cell r="U973">
            <v>0.8</v>
          </cell>
          <cell r="V973">
            <v>3</v>
          </cell>
          <cell r="W973">
            <v>1</v>
          </cell>
          <cell r="X973">
            <v>60</v>
          </cell>
          <cell r="Y973">
            <v>1.7</v>
          </cell>
          <cell r="Z973">
            <v>1.4</v>
          </cell>
          <cell r="AA973">
            <v>1</v>
          </cell>
          <cell r="AB973">
            <v>0</v>
          </cell>
        </row>
        <row r="974">
          <cell r="A974">
            <v>973</v>
          </cell>
          <cell r="B974" t="str">
            <v>幻蜜なる怪跡 コーシー</v>
          </cell>
          <cell r="C974">
            <v>6</v>
          </cell>
          <cell r="D974" t="str">
            <v>red</v>
          </cell>
          <cell r="E974">
            <v>1</v>
          </cell>
          <cell r="F974">
            <v>1.02</v>
          </cell>
          <cell r="G974">
            <v>1</v>
          </cell>
          <cell r="H974" t="str">
            <v>attack</v>
          </cell>
          <cell r="I974" t="str">
            <v>攻撃タイプ</v>
          </cell>
          <cell r="J974">
            <v>1</v>
          </cell>
          <cell r="K974">
            <v>1.33</v>
          </cell>
          <cell r="L974">
            <v>1</v>
          </cell>
          <cell r="M974" t="str">
            <v>academia</v>
          </cell>
          <cell r="N974" t="str">
            <v>アカデミア</v>
          </cell>
          <cell r="O974">
            <v>1</v>
          </cell>
          <cell r="P974">
            <v>1</v>
          </cell>
          <cell r="Q974">
            <v>1</v>
          </cell>
          <cell r="R974" t="str">
            <v>Boss</v>
          </cell>
          <cell r="S974">
            <v>5</v>
          </cell>
          <cell r="T974">
            <v>1.3</v>
          </cell>
          <cell r="U974">
            <v>0.8</v>
          </cell>
          <cell r="V974">
            <v>3</v>
          </cell>
          <cell r="W974">
            <v>1</v>
          </cell>
          <cell r="X974">
            <v>60</v>
          </cell>
          <cell r="Y974">
            <v>1.7</v>
          </cell>
          <cell r="Z974">
            <v>1.4</v>
          </cell>
          <cell r="AA974">
            <v>1</v>
          </cell>
          <cell r="AB974">
            <v>0</v>
          </cell>
        </row>
        <row r="975">
          <cell r="A975">
            <v>974</v>
          </cell>
          <cell r="B975" t="str">
            <v>ブール</v>
          </cell>
          <cell r="C975">
            <v>5</v>
          </cell>
          <cell r="D975" t="str">
            <v>blue</v>
          </cell>
          <cell r="E975">
            <v>1</v>
          </cell>
          <cell r="F975">
            <v>0.98</v>
          </cell>
          <cell r="G975">
            <v>1</v>
          </cell>
          <cell r="H975" t="str">
            <v>balance</v>
          </cell>
          <cell r="I975" t="str">
            <v>バランスタイプ</v>
          </cell>
          <cell r="J975">
            <v>1</v>
          </cell>
          <cell r="K975">
            <v>1</v>
          </cell>
          <cell r="L975">
            <v>1</v>
          </cell>
          <cell r="M975" t="str">
            <v>academia</v>
          </cell>
          <cell r="N975" t="str">
            <v>アカデミア</v>
          </cell>
          <cell r="O975">
            <v>1</v>
          </cell>
          <cell r="P975">
            <v>1</v>
          </cell>
          <cell r="Q975">
            <v>1</v>
          </cell>
          <cell r="R975" t="str">
            <v>Boss</v>
          </cell>
          <cell r="S975">
            <v>5</v>
          </cell>
          <cell r="T975">
            <v>1.3</v>
          </cell>
          <cell r="U975">
            <v>0.8</v>
          </cell>
          <cell r="V975">
            <v>3</v>
          </cell>
          <cell r="W975">
            <v>1</v>
          </cell>
          <cell r="X975">
            <v>60</v>
          </cell>
          <cell r="Y975">
            <v>1.7</v>
          </cell>
          <cell r="Z975">
            <v>1.4</v>
          </cell>
          <cell r="AA975">
            <v>1</v>
          </cell>
          <cell r="AB975">
            <v>0</v>
          </cell>
        </row>
        <row r="976">
          <cell r="A976">
            <v>975</v>
          </cell>
          <cell r="B976" t="str">
            <v>綺号を巡る輝翼 ブール</v>
          </cell>
          <cell r="C976">
            <v>6</v>
          </cell>
          <cell r="D976" t="str">
            <v>blue</v>
          </cell>
          <cell r="E976">
            <v>1</v>
          </cell>
          <cell r="F976">
            <v>0.98</v>
          </cell>
          <cell r="G976">
            <v>1</v>
          </cell>
          <cell r="H976" t="str">
            <v>balance</v>
          </cell>
          <cell r="I976" t="str">
            <v>バランスタイプ</v>
          </cell>
          <cell r="J976">
            <v>1</v>
          </cell>
          <cell r="K976">
            <v>1</v>
          </cell>
          <cell r="L976">
            <v>1</v>
          </cell>
          <cell r="M976" t="str">
            <v>academia</v>
          </cell>
          <cell r="N976" t="str">
            <v>アカデミア</v>
          </cell>
          <cell r="O976">
            <v>1</v>
          </cell>
          <cell r="P976">
            <v>1</v>
          </cell>
          <cell r="Q976">
            <v>1</v>
          </cell>
          <cell r="R976" t="str">
            <v>Boss</v>
          </cell>
          <cell r="S976">
            <v>5</v>
          </cell>
          <cell r="T976">
            <v>1.3</v>
          </cell>
          <cell r="U976">
            <v>0.8</v>
          </cell>
          <cell r="V976">
            <v>3</v>
          </cell>
          <cell r="W976">
            <v>1</v>
          </cell>
          <cell r="X976">
            <v>60</v>
          </cell>
          <cell r="Y976">
            <v>1.7</v>
          </cell>
          <cell r="Z976">
            <v>1.4</v>
          </cell>
          <cell r="AA976">
            <v>1</v>
          </cell>
          <cell r="AB976">
            <v>0</v>
          </cell>
        </row>
        <row r="977">
          <cell r="A977">
            <v>976</v>
          </cell>
          <cell r="B977" t="str">
            <v>ウザリーマン</v>
          </cell>
          <cell r="C977">
            <v>3</v>
          </cell>
          <cell r="D977" t="str">
            <v>red</v>
          </cell>
          <cell r="E977">
            <v>1</v>
          </cell>
          <cell r="F977">
            <v>1.02</v>
          </cell>
          <cell r="G977">
            <v>1</v>
          </cell>
          <cell r="H977" t="str">
            <v>technical</v>
          </cell>
          <cell r="I977" t="str">
            <v>テクニカルタイプ</v>
          </cell>
          <cell r="J977">
            <v>0.9</v>
          </cell>
          <cell r="K977">
            <v>0.9</v>
          </cell>
          <cell r="L977">
            <v>1</v>
          </cell>
          <cell r="M977" t="str">
            <v>unknown</v>
          </cell>
          <cell r="N977" t="str">
            <v>Unknown</v>
          </cell>
          <cell r="O977">
            <v>1</v>
          </cell>
          <cell r="P977">
            <v>1</v>
          </cell>
          <cell r="Q977">
            <v>1</v>
          </cell>
          <cell r="R977" t="str">
            <v>Boss</v>
          </cell>
          <cell r="S977">
            <v>5</v>
          </cell>
          <cell r="T977">
            <v>1.3</v>
          </cell>
          <cell r="U977">
            <v>0.8</v>
          </cell>
          <cell r="V977">
            <v>3</v>
          </cell>
          <cell r="W977">
            <v>1</v>
          </cell>
          <cell r="X977">
            <v>25</v>
          </cell>
          <cell r="Y977">
            <v>1.2</v>
          </cell>
          <cell r="Z977">
            <v>1.25</v>
          </cell>
          <cell r="AA977">
            <v>1.1499999999999999</v>
          </cell>
          <cell r="AB977">
            <v>0</v>
          </cell>
        </row>
        <row r="978">
          <cell r="A978">
            <v>977</v>
          </cell>
          <cell r="B978" t="str">
            <v>リヴァイ お掃除ver</v>
          </cell>
          <cell r="C978">
            <v>4</v>
          </cell>
          <cell r="D978" t="str">
            <v>blue</v>
          </cell>
          <cell r="E978">
            <v>1</v>
          </cell>
          <cell r="F978">
            <v>0.98</v>
          </cell>
          <cell r="G978">
            <v>1</v>
          </cell>
          <cell r="H978" t="str">
            <v>balance</v>
          </cell>
          <cell r="I978" t="str">
            <v>バランスタイプ</v>
          </cell>
          <cell r="J978">
            <v>1</v>
          </cell>
          <cell r="K978">
            <v>1</v>
          </cell>
          <cell r="L978">
            <v>1</v>
          </cell>
          <cell r="M978" t="str">
            <v>human</v>
          </cell>
          <cell r="N978" t="str">
            <v>ヒューマン</v>
          </cell>
          <cell r="O978">
            <v>0.94</v>
          </cell>
          <cell r="P978">
            <v>0.99</v>
          </cell>
          <cell r="Q978">
            <v>1</v>
          </cell>
          <cell r="R978" t="str">
            <v>Boss</v>
          </cell>
          <cell r="S978">
            <v>5</v>
          </cell>
          <cell r="T978">
            <v>1.3</v>
          </cell>
          <cell r="U978">
            <v>0.8</v>
          </cell>
          <cell r="V978">
            <v>3</v>
          </cell>
          <cell r="W978">
            <v>1</v>
          </cell>
          <cell r="X978">
            <v>30</v>
          </cell>
          <cell r="Y978">
            <v>1.3</v>
          </cell>
          <cell r="Z978">
            <v>1.3</v>
          </cell>
          <cell r="AA978">
            <v>1.1000000000000001</v>
          </cell>
          <cell r="AB978">
            <v>0</v>
          </cell>
        </row>
        <row r="979">
          <cell r="A979">
            <v>978</v>
          </cell>
          <cell r="B979" t="str">
            <v>潔癖の掃討 リヴァイ お掃除ver</v>
          </cell>
          <cell r="C979">
            <v>5</v>
          </cell>
          <cell r="D979" t="str">
            <v>blue</v>
          </cell>
          <cell r="E979">
            <v>1</v>
          </cell>
          <cell r="F979">
            <v>0.98</v>
          </cell>
          <cell r="G979">
            <v>1</v>
          </cell>
          <cell r="H979" t="str">
            <v>balance</v>
          </cell>
          <cell r="I979" t="str">
            <v>バランスタイプ</v>
          </cell>
          <cell r="J979">
            <v>1</v>
          </cell>
          <cell r="K979">
            <v>1</v>
          </cell>
          <cell r="L979">
            <v>1</v>
          </cell>
          <cell r="M979" t="str">
            <v>human</v>
          </cell>
          <cell r="N979" t="str">
            <v>ヒューマン</v>
          </cell>
          <cell r="O979">
            <v>0.94</v>
          </cell>
          <cell r="P979">
            <v>0.99</v>
          </cell>
          <cell r="Q979">
            <v>1</v>
          </cell>
          <cell r="R979" t="str">
            <v>Boss</v>
          </cell>
          <cell r="S979">
            <v>5</v>
          </cell>
          <cell r="T979">
            <v>1.3</v>
          </cell>
          <cell r="U979">
            <v>0.8</v>
          </cell>
          <cell r="V979">
            <v>3</v>
          </cell>
          <cell r="W979">
            <v>1</v>
          </cell>
          <cell r="X979">
            <v>60</v>
          </cell>
          <cell r="Y979">
            <v>1.7</v>
          </cell>
          <cell r="Z979">
            <v>1.4</v>
          </cell>
          <cell r="AA979">
            <v>1</v>
          </cell>
          <cell r="AB979">
            <v>0</v>
          </cell>
        </row>
        <row r="980">
          <cell r="A980">
            <v>979</v>
          </cell>
          <cell r="B980" t="str">
            <v>超大型巨人</v>
          </cell>
          <cell r="C980">
            <v>5</v>
          </cell>
          <cell r="D980" t="str">
            <v>red</v>
          </cell>
          <cell r="E980">
            <v>1</v>
          </cell>
          <cell r="F980">
            <v>1.02</v>
          </cell>
          <cell r="G980">
            <v>1</v>
          </cell>
          <cell r="H980" t="str">
            <v>hp</v>
          </cell>
          <cell r="I980" t="str">
            <v>体力タイプ</v>
          </cell>
          <cell r="J980">
            <v>1.45</v>
          </cell>
          <cell r="K980">
            <v>0.85</v>
          </cell>
          <cell r="L980">
            <v>1</v>
          </cell>
          <cell r="M980" t="str">
            <v>ti</v>
          </cell>
          <cell r="N980" t="str">
            <v>t</v>
          </cell>
          <cell r="O980">
            <v>1</v>
          </cell>
          <cell r="P980">
            <v>1</v>
          </cell>
          <cell r="Q980">
            <v>1</v>
          </cell>
          <cell r="R980" t="str">
            <v>Boss</v>
          </cell>
          <cell r="S980">
            <v>5</v>
          </cell>
          <cell r="T980">
            <v>1.3</v>
          </cell>
          <cell r="U980">
            <v>0.8</v>
          </cell>
          <cell r="V980">
            <v>3</v>
          </cell>
          <cell r="W980">
            <v>1</v>
          </cell>
          <cell r="X980">
            <v>60</v>
          </cell>
          <cell r="Y980">
            <v>1.7</v>
          </cell>
          <cell r="Z980">
            <v>1.4</v>
          </cell>
          <cell r="AA980">
            <v>1</v>
          </cell>
          <cell r="AB980">
            <v>0</v>
          </cell>
        </row>
        <row r="981">
          <cell r="A981">
            <v>980</v>
          </cell>
          <cell r="B981" t="str">
            <v>猛熱の災厄 超大型巨人</v>
          </cell>
          <cell r="C981">
            <v>6</v>
          </cell>
          <cell r="D981" t="str">
            <v>red</v>
          </cell>
          <cell r="E981">
            <v>1</v>
          </cell>
          <cell r="F981">
            <v>1.02</v>
          </cell>
          <cell r="G981">
            <v>1</v>
          </cell>
          <cell r="H981" t="str">
            <v>hp</v>
          </cell>
          <cell r="I981" t="str">
            <v>体力タイプ</v>
          </cell>
          <cell r="J981">
            <v>1.45</v>
          </cell>
          <cell r="K981">
            <v>0.85</v>
          </cell>
          <cell r="L981">
            <v>1</v>
          </cell>
          <cell r="M981" t="str">
            <v>ti</v>
          </cell>
          <cell r="N981" t="str">
            <v>t</v>
          </cell>
          <cell r="O981">
            <v>1</v>
          </cell>
          <cell r="P981">
            <v>1</v>
          </cell>
          <cell r="Q981">
            <v>1</v>
          </cell>
          <cell r="R981" t="str">
            <v>Boss</v>
          </cell>
          <cell r="S981">
            <v>5</v>
          </cell>
          <cell r="T981">
            <v>1.3</v>
          </cell>
          <cell r="U981">
            <v>0.8</v>
          </cell>
          <cell r="V981">
            <v>3</v>
          </cell>
          <cell r="W981">
            <v>1</v>
          </cell>
          <cell r="X981">
            <v>60</v>
          </cell>
          <cell r="Y981">
            <v>1.7</v>
          </cell>
          <cell r="Z981">
            <v>1.4</v>
          </cell>
          <cell r="AA981">
            <v>1</v>
          </cell>
          <cell r="AB981">
            <v>0</v>
          </cell>
        </row>
        <row r="982">
          <cell r="A982">
            <v>981</v>
          </cell>
          <cell r="B982" t="str">
            <v>女型の巨人</v>
          </cell>
          <cell r="C982">
            <v>4</v>
          </cell>
          <cell r="D982" t="str">
            <v>green</v>
          </cell>
          <cell r="E982">
            <v>1.02</v>
          </cell>
          <cell r="F982">
            <v>0.98</v>
          </cell>
          <cell r="G982">
            <v>1</v>
          </cell>
          <cell r="H982" t="str">
            <v>balance</v>
          </cell>
          <cell r="I982" t="str">
            <v>バランスタイプ</v>
          </cell>
          <cell r="J982">
            <v>1</v>
          </cell>
          <cell r="K982">
            <v>1</v>
          </cell>
          <cell r="L982">
            <v>1</v>
          </cell>
          <cell r="M982" t="str">
            <v>ti</v>
          </cell>
          <cell r="N982" t="str">
            <v>t</v>
          </cell>
          <cell r="O982">
            <v>1</v>
          </cell>
          <cell r="P982">
            <v>1</v>
          </cell>
          <cell r="Q982">
            <v>1</v>
          </cell>
          <cell r="R982" t="str">
            <v>Boss</v>
          </cell>
          <cell r="S982">
            <v>5</v>
          </cell>
          <cell r="T982">
            <v>1.3</v>
          </cell>
          <cell r="U982">
            <v>0.8</v>
          </cell>
          <cell r="V982">
            <v>3</v>
          </cell>
          <cell r="W982">
            <v>1</v>
          </cell>
          <cell r="X982">
            <v>30</v>
          </cell>
          <cell r="Y982">
            <v>1.3</v>
          </cell>
          <cell r="Z982">
            <v>1.3</v>
          </cell>
          <cell r="AA982">
            <v>1.1000000000000001</v>
          </cell>
          <cell r="AB982">
            <v>0</v>
          </cell>
        </row>
        <row r="983">
          <cell r="A983">
            <v>982</v>
          </cell>
          <cell r="B983" t="str">
            <v>柔靭なる剛脚 女型の巨人</v>
          </cell>
          <cell r="C983">
            <v>5</v>
          </cell>
          <cell r="D983" t="str">
            <v>green</v>
          </cell>
          <cell r="E983">
            <v>1.02</v>
          </cell>
          <cell r="F983">
            <v>0.98</v>
          </cell>
          <cell r="G983">
            <v>1</v>
          </cell>
          <cell r="H983" t="str">
            <v>balance</v>
          </cell>
          <cell r="I983" t="str">
            <v>バランスタイプ</v>
          </cell>
          <cell r="J983">
            <v>1</v>
          </cell>
          <cell r="K983">
            <v>1</v>
          </cell>
          <cell r="L983">
            <v>1</v>
          </cell>
          <cell r="M983" t="str">
            <v>ti</v>
          </cell>
          <cell r="N983" t="str">
            <v>t</v>
          </cell>
          <cell r="O983">
            <v>1</v>
          </cell>
          <cell r="P983">
            <v>1</v>
          </cell>
          <cell r="Q983">
            <v>1</v>
          </cell>
          <cell r="R983" t="str">
            <v>Boss</v>
          </cell>
          <cell r="S983">
            <v>5</v>
          </cell>
          <cell r="T983">
            <v>1.3</v>
          </cell>
          <cell r="U983">
            <v>0.8</v>
          </cell>
          <cell r="V983">
            <v>3</v>
          </cell>
          <cell r="W983">
            <v>1</v>
          </cell>
          <cell r="X983">
            <v>60</v>
          </cell>
          <cell r="Y983">
            <v>1.7</v>
          </cell>
          <cell r="Z983">
            <v>1.4</v>
          </cell>
          <cell r="AA983">
            <v>1</v>
          </cell>
          <cell r="AB983">
            <v>0</v>
          </cell>
        </row>
        <row r="984">
          <cell r="A984">
            <v>983</v>
          </cell>
          <cell r="B984" t="str">
            <v>鎧の巨人</v>
          </cell>
          <cell r="C984">
            <v>4</v>
          </cell>
          <cell r="D984" t="str">
            <v>yellow</v>
          </cell>
          <cell r="E984">
            <v>0.98</v>
          </cell>
          <cell r="F984">
            <v>1.01</v>
          </cell>
          <cell r="G984">
            <v>1</v>
          </cell>
          <cell r="H984" t="str">
            <v>attack</v>
          </cell>
          <cell r="I984" t="str">
            <v>攻撃タイプ</v>
          </cell>
          <cell r="J984">
            <v>1</v>
          </cell>
          <cell r="K984">
            <v>1.33</v>
          </cell>
          <cell r="L984">
            <v>1</v>
          </cell>
          <cell r="M984" t="str">
            <v>ti</v>
          </cell>
          <cell r="N984" t="str">
            <v>t</v>
          </cell>
          <cell r="O984">
            <v>1</v>
          </cell>
          <cell r="P984">
            <v>1</v>
          </cell>
          <cell r="Q984">
            <v>1</v>
          </cell>
          <cell r="R984" t="str">
            <v>Boss</v>
          </cell>
          <cell r="S984">
            <v>5</v>
          </cell>
          <cell r="T984">
            <v>1.3</v>
          </cell>
          <cell r="U984">
            <v>0.8</v>
          </cell>
          <cell r="V984">
            <v>3</v>
          </cell>
          <cell r="W984">
            <v>1</v>
          </cell>
          <cell r="X984">
            <v>30</v>
          </cell>
          <cell r="Y984">
            <v>1.3</v>
          </cell>
          <cell r="Z984">
            <v>1.3</v>
          </cell>
          <cell r="AA984">
            <v>1.1000000000000001</v>
          </cell>
          <cell r="AB984">
            <v>0</v>
          </cell>
        </row>
        <row r="985">
          <cell r="A985">
            <v>984</v>
          </cell>
          <cell r="B985" t="str">
            <v>破壁の剛弾 鎧の巨人</v>
          </cell>
          <cell r="C985">
            <v>5</v>
          </cell>
          <cell r="D985" t="str">
            <v>yellow</v>
          </cell>
          <cell r="E985">
            <v>0.98</v>
          </cell>
          <cell r="F985">
            <v>1.01</v>
          </cell>
          <cell r="G985">
            <v>1</v>
          </cell>
          <cell r="H985" t="str">
            <v>attack</v>
          </cell>
          <cell r="I985" t="str">
            <v>攻撃タイプ</v>
          </cell>
          <cell r="J985">
            <v>1</v>
          </cell>
          <cell r="K985">
            <v>1.33</v>
          </cell>
          <cell r="L985">
            <v>1</v>
          </cell>
          <cell r="M985" t="str">
            <v>ti</v>
          </cell>
          <cell r="N985" t="str">
            <v>t</v>
          </cell>
          <cell r="O985">
            <v>1</v>
          </cell>
          <cell r="P985">
            <v>1</v>
          </cell>
          <cell r="Q985">
            <v>1</v>
          </cell>
          <cell r="R985" t="str">
            <v>Boss</v>
          </cell>
          <cell r="S985">
            <v>5</v>
          </cell>
          <cell r="T985">
            <v>1.3</v>
          </cell>
          <cell r="U985">
            <v>0.8</v>
          </cell>
          <cell r="V985">
            <v>3</v>
          </cell>
          <cell r="W985">
            <v>1</v>
          </cell>
          <cell r="X985">
            <v>60</v>
          </cell>
          <cell r="Y985">
            <v>1.7</v>
          </cell>
          <cell r="Z985">
            <v>1.4</v>
          </cell>
          <cell r="AA985">
            <v>1</v>
          </cell>
          <cell r="AB985">
            <v>0</v>
          </cell>
        </row>
        <row r="986">
          <cell r="A986">
            <v>985</v>
          </cell>
          <cell r="B986" t="str">
            <v>エレン</v>
          </cell>
          <cell r="C986">
            <v>5</v>
          </cell>
          <cell r="D986" t="str">
            <v>red</v>
          </cell>
          <cell r="E986">
            <v>1</v>
          </cell>
          <cell r="F986">
            <v>1.02</v>
          </cell>
          <cell r="G986">
            <v>1</v>
          </cell>
          <cell r="H986" t="str">
            <v>balance</v>
          </cell>
          <cell r="I986" t="str">
            <v>バランスタイプ</v>
          </cell>
          <cell r="J986">
            <v>1</v>
          </cell>
          <cell r="K986">
            <v>1</v>
          </cell>
          <cell r="L986">
            <v>1</v>
          </cell>
          <cell r="M986" t="str">
            <v>human</v>
          </cell>
          <cell r="N986" t="str">
            <v>ヒューマン</v>
          </cell>
          <cell r="O986">
            <v>0.94</v>
          </cell>
          <cell r="P986">
            <v>0.99</v>
          </cell>
          <cell r="Q986">
            <v>1</v>
          </cell>
          <cell r="R986" t="str">
            <v>Boss</v>
          </cell>
          <cell r="S986">
            <v>5</v>
          </cell>
          <cell r="T986">
            <v>1.3</v>
          </cell>
          <cell r="U986">
            <v>0.8</v>
          </cell>
          <cell r="V986">
            <v>3</v>
          </cell>
          <cell r="W986">
            <v>1</v>
          </cell>
          <cell r="X986">
            <v>60</v>
          </cell>
          <cell r="Y986">
            <v>1.7</v>
          </cell>
          <cell r="Z986">
            <v>1.4</v>
          </cell>
          <cell r="AA986">
            <v>1</v>
          </cell>
          <cell r="AB986">
            <v>0</v>
          </cell>
        </row>
        <row r="987">
          <cell r="A987">
            <v>986</v>
          </cell>
          <cell r="B987" t="str">
            <v>復讐の誓約 エレン</v>
          </cell>
          <cell r="C987">
            <v>6</v>
          </cell>
          <cell r="D987" t="str">
            <v>red</v>
          </cell>
          <cell r="E987">
            <v>1</v>
          </cell>
          <cell r="F987">
            <v>1.02</v>
          </cell>
          <cell r="G987">
            <v>1</v>
          </cell>
          <cell r="H987" t="str">
            <v>balance</v>
          </cell>
          <cell r="I987" t="str">
            <v>バランスタイプ</v>
          </cell>
          <cell r="J987">
            <v>1</v>
          </cell>
          <cell r="K987">
            <v>1</v>
          </cell>
          <cell r="L987">
            <v>1</v>
          </cell>
          <cell r="M987" t="str">
            <v>human</v>
          </cell>
          <cell r="N987" t="str">
            <v>ヒューマン</v>
          </cell>
          <cell r="O987">
            <v>0.94</v>
          </cell>
          <cell r="P987">
            <v>0.99</v>
          </cell>
          <cell r="Q987">
            <v>1</v>
          </cell>
          <cell r="R987" t="str">
            <v>Boss</v>
          </cell>
          <cell r="S987">
            <v>5</v>
          </cell>
          <cell r="T987">
            <v>1.3</v>
          </cell>
          <cell r="U987">
            <v>0.8</v>
          </cell>
          <cell r="V987">
            <v>3</v>
          </cell>
          <cell r="W987">
            <v>1</v>
          </cell>
          <cell r="X987">
            <v>60</v>
          </cell>
          <cell r="Y987">
            <v>1.7</v>
          </cell>
          <cell r="Z987">
            <v>1.4</v>
          </cell>
          <cell r="AA987">
            <v>1</v>
          </cell>
          <cell r="AB987">
            <v>0</v>
          </cell>
        </row>
        <row r="988">
          <cell r="A988">
            <v>987</v>
          </cell>
          <cell r="B988" t="str">
            <v>撃壊の眼煌 エレン巨人</v>
          </cell>
          <cell r="C988">
            <v>6</v>
          </cell>
          <cell r="D988" t="str">
            <v>blue</v>
          </cell>
          <cell r="E988">
            <v>1</v>
          </cell>
          <cell r="F988">
            <v>0.98</v>
          </cell>
          <cell r="G988">
            <v>1</v>
          </cell>
          <cell r="H988" t="str">
            <v>attack</v>
          </cell>
          <cell r="I988" t="str">
            <v>攻撃タイプ</v>
          </cell>
          <cell r="J988">
            <v>1</v>
          </cell>
          <cell r="K988">
            <v>1.33</v>
          </cell>
          <cell r="L988">
            <v>1</v>
          </cell>
          <cell r="M988" t="str">
            <v>ti</v>
          </cell>
          <cell r="N988" t="str">
            <v>t</v>
          </cell>
          <cell r="O988">
            <v>1</v>
          </cell>
          <cell r="P988">
            <v>1</v>
          </cell>
          <cell r="Q988">
            <v>1</v>
          </cell>
          <cell r="R988" t="str">
            <v>Boss</v>
          </cell>
          <cell r="S988">
            <v>5</v>
          </cell>
          <cell r="T988">
            <v>1.3</v>
          </cell>
          <cell r="U988">
            <v>0.8</v>
          </cell>
          <cell r="V988">
            <v>3</v>
          </cell>
          <cell r="W988">
            <v>1</v>
          </cell>
          <cell r="X988">
            <v>60</v>
          </cell>
          <cell r="Y988">
            <v>1.7</v>
          </cell>
          <cell r="Z988">
            <v>1.4</v>
          </cell>
          <cell r="AA988">
            <v>1</v>
          </cell>
          <cell r="AB988">
            <v>0</v>
          </cell>
        </row>
        <row r="989">
          <cell r="A989">
            <v>988</v>
          </cell>
          <cell r="B989" t="str">
            <v>ミカサ</v>
          </cell>
          <cell r="C989">
            <v>5</v>
          </cell>
          <cell r="D989" t="str">
            <v>red</v>
          </cell>
          <cell r="E989">
            <v>1</v>
          </cell>
          <cell r="F989">
            <v>1.02</v>
          </cell>
          <cell r="G989">
            <v>1</v>
          </cell>
          <cell r="H989" t="str">
            <v>attack</v>
          </cell>
          <cell r="I989" t="str">
            <v>攻撃タイプ</v>
          </cell>
          <cell r="J989">
            <v>1</v>
          </cell>
          <cell r="K989">
            <v>1.33</v>
          </cell>
          <cell r="L989">
            <v>1</v>
          </cell>
          <cell r="M989" t="str">
            <v>human</v>
          </cell>
          <cell r="N989" t="str">
            <v>ヒューマン</v>
          </cell>
          <cell r="O989">
            <v>0.94</v>
          </cell>
          <cell r="P989">
            <v>0.99</v>
          </cell>
          <cell r="Q989">
            <v>1</v>
          </cell>
          <cell r="R989" t="str">
            <v>Boss</v>
          </cell>
          <cell r="S989">
            <v>5</v>
          </cell>
          <cell r="T989">
            <v>1.3</v>
          </cell>
          <cell r="U989">
            <v>0.8</v>
          </cell>
          <cell r="V989">
            <v>3</v>
          </cell>
          <cell r="W989">
            <v>1</v>
          </cell>
          <cell r="X989">
            <v>60</v>
          </cell>
          <cell r="Y989">
            <v>1.7</v>
          </cell>
          <cell r="Z989">
            <v>1.4</v>
          </cell>
          <cell r="AA989">
            <v>1</v>
          </cell>
          <cell r="AB989">
            <v>0</v>
          </cell>
        </row>
        <row r="990">
          <cell r="A990">
            <v>989</v>
          </cell>
          <cell r="B990" t="str">
            <v>稀代の逸材 ミカサ</v>
          </cell>
          <cell r="C990">
            <v>6</v>
          </cell>
          <cell r="D990" t="str">
            <v>red</v>
          </cell>
          <cell r="E990">
            <v>1</v>
          </cell>
          <cell r="F990">
            <v>1.02</v>
          </cell>
          <cell r="G990">
            <v>1</v>
          </cell>
          <cell r="H990" t="str">
            <v>attack</v>
          </cell>
          <cell r="I990" t="str">
            <v>攻撃タイプ</v>
          </cell>
          <cell r="J990">
            <v>1</v>
          </cell>
          <cell r="K990">
            <v>1.33</v>
          </cell>
          <cell r="L990">
            <v>1</v>
          </cell>
          <cell r="M990" t="str">
            <v>human</v>
          </cell>
          <cell r="N990" t="str">
            <v>ヒューマン</v>
          </cell>
          <cell r="O990">
            <v>0.94</v>
          </cell>
          <cell r="P990">
            <v>0.99</v>
          </cell>
          <cell r="Q990">
            <v>1</v>
          </cell>
          <cell r="R990" t="str">
            <v>Boss</v>
          </cell>
          <cell r="S990">
            <v>5</v>
          </cell>
          <cell r="T990">
            <v>1.3</v>
          </cell>
          <cell r="U990">
            <v>0.8</v>
          </cell>
          <cell r="V990">
            <v>3</v>
          </cell>
          <cell r="W990">
            <v>1</v>
          </cell>
          <cell r="X990">
            <v>60</v>
          </cell>
          <cell r="Y990">
            <v>1.7</v>
          </cell>
          <cell r="Z990">
            <v>1.4</v>
          </cell>
          <cell r="AA990">
            <v>1</v>
          </cell>
          <cell r="AB990">
            <v>0</v>
          </cell>
        </row>
        <row r="991">
          <cell r="A991">
            <v>990</v>
          </cell>
          <cell r="B991" t="str">
            <v>エルヴィン</v>
          </cell>
          <cell r="C991">
            <v>4</v>
          </cell>
          <cell r="D991" t="str">
            <v>red</v>
          </cell>
          <cell r="E991">
            <v>1</v>
          </cell>
          <cell r="F991">
            <v>1.02</v>
          </cell>
          <cell r="G991">
            <v>1</v>
          </cell>
          <cell r="H991" t="str">
            <v>balance</v>
          </cell>
          <cell r="I991" t="str">
            <v>バランスタイプ</v>
          </cell>
          <cell r="J991">
            <v>1</v>
          </cell>
          <cell r="K991">
            <v>1</v>
          </cell>
          <cell r="L991">
            <v>1</v>
          </cell>
          <cell r="M991" t="str">
            <v>human</v>
          </cell>
          <cell r="N991" t="str">
            <v>ヒューマン</v>
          </cell>
          <cell r="O991">
            <v>0.94</v>
          </cell>
          <cell r="P991">
            <v>0.99</v>
          </cell>
          <cell r="Q991">
            <v>1</v>
          </cell>
          <cell r="R991" t="str">
            <v>Boss</v>
          </cell>
          <cell r="S991">
            <v>5</v>
          </cell>
          <cell r="T991">
            <v>1.3</v>
          </cell>
          <cell r="U991">
            <v>0.8</v>
          </cell>
          <cell r="V991">
            <v>3</v>
          </cell>
          <cell r="W991">
            <v>1</v>
          </cell>
          <cell r="X991">
            <v>30</v>
          </cell>
          <cell r="Y991">
            <v>1.3</v>
          </cell>
          <cell r="Z991">
            <v>1.3</v>
          </cell>
          <cell r="AA991">
            <v>1.1000000000000001</v>
          </cell>
          <cell r="AB991">
            <v>0</v>
          </cell>
        </row>
        <row r="992">
          <cell r="A992">
            <v>991</v>
          </cell>
          <cell r="B992" t="str">
            <v>反撃の核心 エルヴィン</v>
          </cell>
          <cell r="C992">
            <v>5</v>
          </cell>
          <cell r="D992" t="str">
            <v>red</v>
          </cell>
          <cell r="E992">
            <v>1</v>
          </cell>
          <cell r="F992">
            <v>1.02</v>
          </cell>
          <cell r="G992">
            <v>1</v>
          </cell>
          <cell r="H992" t="str">
            <v>balance</v>
          </cell>
          <cell r="I992" t="str">
            <v>バランスタイプ</v>
          </cell>
          <cell r="J992">
            <v>1</v>
          </cell>
          <cell r="K992">
            <v>1</v>
          </cell>
          <cell r="L992">
            <v>1</v>
          </cell>
          <cell r="M992" t="str">
            <v>human</v>
          </cell>
          <cell r="N992" t="str">
            <v>ヒューマン</v>
          </cell>
          <cell r="O992">
            <v>0.94</v>
          </cell>
          <cell r="P992">
            <v>0.99</v>
          </cell>
          <cell r="Q992">
            <v>1</v>
          </cell>
          <cell r="R992" t="str">
            <v>Boss</v>
          </cell>
          <cell r="S992">
            <v>5</v>
          </cell>
          <cell r="T992">
            <v>1.3</v>
          </cell>
          <cell r="U992">
            <v>0.8</v>
          </cell>
          <cell r="V992">
            <v>3</v>
          </cell>
          <cell r="W992">
            <v>1</v>
          </cell>
          <cell r="X992">
            <v>60</v>
          </cell>
          <cell r="Y992">
            <v>1.7</v>
          </cell>
          <cell r="Z992">
            <v>1.4</v>
          </cell>
          <cell r="AA992">
            <v>1</v>
          </cell>
          <cell r="AB992">
            <v>0</v>
          </cell>
        </row>
        <row r="993">
          <cell r="A993">
            <v>992</v>
          </cell>
          <cell r="B993" t="str">
            <v>ハンジ</v>
          </cell>
          <cell r="C993">
            <v>4</v>
          </cell>
          <cell r="D993" t="str">
            <v>green</v>
          </cell>
          <cell r="E993">
            <v>1.02</v>
          </cell>
          <cell r="F993">
            <v>0.98</v>
          </cell>
          <cell r="G993">
            <v>1</v>
          </cell>
          <cell r="H993" t="str">
            <v>technical</v>
          </cell>
          <cell r="I993" t="str">
            <v>テクニカルタイプ</v>
          </cell>
          <cell r="J993">
            <v>0.9</v>
          </cell>
          <cell r="K993">
            <v>0.9</v>
          </cell>
          <cell r="L993">
            <v>1</v>
          </cell>
          <cell r="M993" t="str">
            <v>human</v>
          </cell>
          <cell r="N993" t="str">
            <v>ヒューマン</v>
          </cell>
          <cell r="O993">
            <v>0.94</v>
          </cell>
          <cell r="P993">
            <v>0.99</v>
          </cell>
          <cell r="Q993">
            <v>1</v>
          </cell>
          <cell r="R993" t="str">
            <v>Boss</v>
          </cell>
          <cell r="S993">
            <v>5</v>
          </cell>
          <cell r="T993">
            <v>1.3</v>
          </cell>
          <cell r="U993">
            <v>0.8</v>
          </cell>
          <cell r="V993">
            <v>3</v>
          </cell>
          <cell r="W993">
            <v>1</v>
          </cell>
          <cell r="X993">
            <v>30</v>
          </cell>
          <cell r="Y993">
            <v>1.3</v>
          </cell>
          <cell r="Z993">
            <v>1.3</v>
          </cell>
          <cell r="AA993">
            <v>1.1000000000000001</v>
          </cell>
          <cell r="AB993">
            <v>0</v>
          </cell>
        </row>
        <row r="994">
          <cell r="A994">
            <v>993</v>
          </cell>
          <cell r="B994" t="str">
            <v>巨躯への執着 ハンジ</v>
          </cell>
          <cell r="C994">
            <v>5</v>
          </cell>
          <cell r="D994" t="str">
            <v>green</v>
          </cell>
          <cell r="E994">
            <v>1.02</v>
          </cell>
          <cell r="F994">
            <v>0.98</v>
          </cell>
          <cell r="G994">
            <v>1</v>
          </cell>
          <cell r="H994" t="str">
            <v>technical</v>
          </cell>
          <cell r="I994" t="str">
            <v>テクニカルタイプ</v>
          </cell>
          <cell r="J994">
            <v>0.9</v>
          </cell>
          <cell r="K994">
            <v>0.9</v>
          </cell>
          <cell r="L994">
            <v>1</v>
          </cell>
          <cell r="M994" t="str">
            <v>human</v>
          </cell>
          <cell r="N994" t="str">
            <v>ヒューマン</v>
          </cell>
          <cell r="O994">
            <v>0.94</v>
          </cell>
          <cell r="P994">
            <v>0.99</v>
          </cell>
          <cell r="Q994">
            <v>1</v>
          </cell>
          <cell r="R994" t="str">
            <v>Boss</v>
          </cell>
          <cell r="S994">
            <v>5</v>
          </cell>
          <cell r="T994">
            <v>1.3</v>
          </cell>
          <cell r="U994">
            <v>0.8</v>
          </cell>
          <cell r="V994">
            <v>3</v>
          </cell>
          <cell r="W994">
            <v>1</v>
          </cell>
          <cell r="X994">
            <v>60</v>
          </cell>
          <cell r="Y994">
            <v>1.7</v>
          </cell>
          <cell r="Z994">
            <v>1.4</v>
          </cell>
          <cell r="AA994">
            <v>1</v>
          </cell>
          <cell r="AB994">
            <v>0</v>
          </cell>
        </row>
        <row r="995">
          <cell r="A995">
            <v>994</v>
          </cell>
          <cell r="B995" t="str">
            <v>アルミン</v>
          </cell>
          <cell r="C995">
            <v>4</v>
          </cell>
          <cell r="D995" t="str">
            <v>green</v>
          </cell>
          <cell r="E995">
            <v>1.02</v>
          </cell>
          <cell r="F995">
            <v>0.98</v>
          </cell>
          <cell r="G995">
            <v>1</v>
          </cell>
          <cell r="H995" t="str">
            <v>balance</v>
          </cell>
          <cell r="I995" t="str">
            <v>バランスタイプ</v>
          </cell>
          <cell r="J995">
            <v>1</v>
          </cell>
          <cell r="K995">
            <v>1</v>
          </cell>
          <cell r="L995">
            <v>1</v>
          </cell>
          <cell r="M995" t="str">
            <v>human</v>
          </cell>
          <cell r="N995" t="str">
            <v>ヒューマン</v>
          </cell>
          <cell r="O995">
            <v>0.94</v>
          </cell>
          <cell r="P995">
            <v>0.99</v>
          </cell>
          <cell r="Q995">
            <v>1</v>
          </cell>
          <cell r="R995" t="str">
            <v>Boss</v>
          </cell>
          <cell r="S995">
            <v>5</v>
          </cell>
          <cell r="T995">
            <v>1.3</v>
          </cell>
          <cell r="U995">
            <v>0.8</v>
          </cell>
          <cell r="V995">
            <v>3</v>
          </cell>
          <cell r="W995">
            <v>1</v>
          </cell>
          <cell r="X995">
            <v>30</v>
          </cell>
          <cell r="Y995">
            <v>1.3</v>
          </cell>
          <cell r="Z995">
            <v>1.3</v>
          </cell>
          <cell r="AA995">
            <v>1.1000000000000001</v>
          </cell>
          <cell r="AB995">
            <v>0</v>
          </cell>
        </row>
        <row r="996">
          <cell r="A996">
            <v>995</v>
          </cell>
          <cell r="B996" t="str">
            <v>疾駆する閃略 アルミン</v>
          </cell>
          <cell r="C996">
            <v>5</v>
          </cell>
          <cell r="D996" t="str">
            <v>green</v>
          </cell>
          <cell r="E996">
            <v>1.02</v>
          </cell>
          <cell r="F996">
            <v>0.98</v>
          </cell>
          <cell r="G996">
            <v>1</v>
          </cell>
          <cell r="H996" t="str">
            <v>balance</v>
          </cell>
          <cell r="I996" t="str">
            <v>バランスタイプ</v>
          </cell>
          <cell r="J996">
            <v>1</v>
          </cell>
          <cell r="K996">
            <v>1</v>
          </cell>
          <cell r="L996">
            <v>1</v>
          </cell>
          <cell r="M996" t="str">
            <v>human</v>
          </cell>
          <cell r="N996" t="str">
            <v>ヒューマン</v>
          </cell>
          <cell r="O996">
            <v>0.94</v>
          </cell>
          <cell r="P996">
            <v>0.99</v>
          </cell>
          <cell r="Q996">
            <v>1</v>
          </cell>
          <cell r="R996" t="str">
            <v>Boss</v>
          </cell>
          <cell r="S996">
            <v>5</v>
          </cell>
          <cell r="T996">
            <v>1.3</v>
          </cell>
          <cell r="U996">
            <v>0.8</v>
          </cell>
          <cell r="V996">
            <v>3</v>
          </cell>
          <cell r="W996">
            <v>1</v>
          </cell>
          <cell r="X996">
            <v>60</v>
          </cell>
          <cell r="Y996">
            <v>1.7</v>
          </cell>
          <cell r="Z996">
            <v>1.4</v>
          </cell>
          <cell r="AA996">
            <v>1</v>
          </cell>
          <cell r="AB996">
            <v>0</v>
          </cell>
        </row>
        <row r="997">
          <cell r="A997">
            <v>996</v>
          </cell>
          <cell r="B997" t="str">
            <v>リヴァイ</v>
          </cell>
          <cell r="C997">
            <v>5</v>
          </cell>
          <cell r="D997" t="str">
            <v>blue</v>
          </cell>
          <cell r="E997">
            <v>1</v>
          </cell>
          <cell r="F997">
            <v>0.98</v>
          </cell>
          <cell r="G997">
            <v>1</v>
          </cell>
          <cell r="H997" t="str">
            <v>attack</v>
          </cell>
          <cell r="I997" t="str">
            <v>攻撃タイプ</v>
          </cell>
          <cell r="J997">
            <v>1</v>
          </cell>
          <cell r="K997">
            <v>1.33</v>
          </cell>
          <cell r="L997">
            <v>1</v>
          </cell>
          <cell r="M997" t="str">
            <v>human</v>
          </cell>
          <cell r="N997" t="str">
            <v>ヒューマン</v>
          </cell>
          <cell r="O997">
            <v>0.94</v>
          </cell>
          <cell r="P997">
            <v>0.99</v>
          </cell>
          <cell r="Q997">
            <v>1</v>
          </cell>
          <cell r="R997" t="str">
            <v>Boss</v>
          </cell>
          <cell r="S997">
            <v>5</v>
          </cell>
          <cell r="T997">
            <v>1.3</v>
          </cell>
          <cell r="U997">
            <v>0.8</v>
          </cell>
          <cell r="V997">
            <v>3</v>
          </cell>
          <cell r="W997">
            <v>1</v>
          </cell>
          <cell r="X997">
            <v>60</v>
          </cell>
          <cell r="Y997">
            <v>1.7</v>
          </cell>
          <cell r="Z997">
            <v>1.4</v>
          </cell>
          <cell r="AA997">
            <v>1</v>
          </cell>
          <cell r="AB997">
            <v>0</v>
          </cell>
        </row>
        <row r="998">
          <cell r="A998">
            <v>997</v>
          </cell>
          <cell r="B998" t="str">
            <v>人類最強 リヴァイ</v>
          </cell>
          <cell r="C998">
            <v>6</v>
          </cell>
          <cell r="D998" t="str">
            <v>blue</v>
          </cell>
          <cell r="E998">
            <v>1</v>
          </cell>
          <cell r="F998">
            <v>0.98</v>
          </cell>
          <cell r="G998">
            <v>1</v>
          </cell>
          <cell r="H998" t="str">
            <v>attack</v>
          </cell>
          <cell r="I998" t="str">
            <v>攻撃タイプ</v>
          </cell>
          <cell r="J998">
            <v>1</v>
          </cell>
          <cell r="K998">
            <v>1.33</v>
          </cell>
          <cell r="L998">
            <v>1</v>
          </cell>
          <cell r="M998" t="str">
            <v>human</v>
          </cell>
          <cell r="N998" t="str">
            <v>ヒューマン</v>
          </cell>
          <cell r="O998">
            <v>0.94</v>
          </cell>
          <cell r="P998">
            <v>0.99</v>
          </cell>
          <cell r="Q998">
            <v>1</v>
          </cell>
          <cell r="R998" t="str">
            <v>Boss</v>
          </cell>
          <cell r="S998">
            <v>5</v>
          </cell>
          <cell r="T998">
            <v>1.3</v>
          </cell>
          <cell r="U998">
            <v>0.8</v>
          </cell>
          <cell r="V998">
            <v>3</v>
          </cell>
          <cell r="W998">
            <v>1</v>
          </cell>
          <cell r="X998">
            <v>60</v>
          </cell>
          <cell r="Y998">
            <v>1.7</v>
          </cell>
          <cell r="Z998">
            <v>1.4</v>
          </cell>
          <cell r="AA998">
            <v>1</v>
          </cell>
          <cell r="AB998">
            <v>0</v>
          </cell>
        </row>
        <row r="999">
          <cell r="A999">
            <v>998</v>
          </cell>
          <cell r="B999" t="str">
            <v>サシャ</v>
          </cell>
          <cell r="C999">
            <v>4</v>
          </cell>
          <cell r="D999" t="str">
            <v>blue</v>
          </cell>
          <cell r="E999">
            <v>1</v>
          </cell>
          <cell r="F999">
            <v>0.98</v>
          </cell>
          <cell r="G999">
            <v>1</v>
          </cell>
          <cell r="H999" t="str">
            <v>hp</v>
          </cell>
          <cell r="I999" t="str">
            <v>体力タイプ</v>
          </cell>
          <cell r="J999">
            <v>1.45</v>
          </cell>
          <cell r="K999">
            <v>0.85</v>
          </cell>
          <cell r="L999">
            <v>1</v>
          </cell>
          <cell r="M999" t="str">
            <v>human</v>
          </cell>
          <cell r="N999" t="str">
            <v>ヒューマン</v>
          </cell>
          <cell r="O999">
            <v>0.94</v>
          </cell>
          <cell r="P999">
            <v>0.99</v>
          </cell>
          <cell r="Q999">
            <v>1</v>
          </cell>
          <cell r="R999" t="str">
            <v>Boss</v>
          </cell>
          <cell r="S999">
            <v>5</v>
          </cell>
          <cell r="T999">
            <v>1.3</v>
          </cell>
          <cell r="U999">
            <v>0.8</v>
          </cell>
          <cell r="V999">
            <v>3</v>
          </cell>
          <cell r="W999">
            <v>1</v>
          </cell>
          <cell r="X999">
            <v>30</v>
          </cell>
          <cell r="Y999">
            <v>1.3</v>
          </cell>
          <cell r="Z999">
            <v>1.3</v>
          </cell>
          <cell r="AA999">
            <v>1.1000000000000001</v>
          </cell>
          <cell r="AB999">
            <v>0</v>
          </cell>
        </row>
        <row r="1000">
          <cell r="A1000">
            <v>999</v>
          </cell>
          <cell r="B1000" t="str">
            <v>無尽蔵の食猟 サシャ</v>
          </cell>
          <cell r="C1000">
            <v>5</v>
          </cell>
          <cell r="D1000" t="str">
            <v>blue</v>
          </cell>
          <cell r="E1000">
            <v>1</v>
          </cell>
          <cell r="F1000">
            <v>0.98</v>
          </cell>
          <cell r="G1000">
            <v>1</v>
          </cell>
          <cell r="H1000" t="str">
            <v>hp</v>
          </cell>
          <cell r="I1000" t="str">
            <v>体力タイプ</v>
          </cell>
          <cell r="J1000">
            <v>1.45</v>
          </cell>
          <cell r="K1000">
            <v>0.85</v>
          </cell>
          <cell r="L1000">
            <v>1</v>
          </cell>
          <cell r="M1000" t="str">
            <v>human</v>
          </cell>
          <cell r="N1000" t="str">
            <v>ヒューマン</v>
          </cell>
          <cell r="O1000">
            <v>0.94</v>
          </cell>
          <cell r="P1000">
            <v>0.99</v>
          </cell>
          <cell r="Q1000">
            <v>1</v>
          </cell>
          <cell r="R1000" t="str">
            <v>Boss</v>
          </cell>
          <cell r="S1000">
            <v>5</v>
          </cell>
          <cell r="T1000">
            <v>1.3</v>
          </cell>
          <cell r="U1000">
            <v>0.8</v>
          </cell>
          <cell r="V1000">
            <v>3</v>
          </cell>
          <cell r="W1000">
            <v>1</v>
          </cell>
          <cell r="X1000">
            <v>60</v>
          </cell>
          <cell r="Y1000">
            <v>1.7</v>
          </cell>
          <cell r="Z1000">
            <v>1.4</v>
          </cell>
          <cell r="AA1000">
            <v>1</v>
          </cell>
          <cell r="AB1000">
            <v>0</v>
          </cell>
        </row>
        <row r="1001">
          <cell r="A1001">
            <v>1000</v>
          </cell>
          <cell r="B1001" t="str">
            <v>クリスタ</v>
          </cell>
          <cell r="C1001">
            <v>4</v>
          </cell>
          <cell r="D1001" t="str">
            <v>yellow</v>
          </cell>
          <cell r="E1001">
            <v>0.98</v>
          </cell>
          <cell r="F1001">
            <v>1.01</v>
          </cell>
          <cell r="G1001">
            <v>1</v>
          </cell>
          <cell r="H1001" t="str">
            <v>heal</v>
          </cell>
          <cell r="I1001" t="str">
            <v>回復タイプ</v>
          </cell>
          <cell r="J1001">
            <v>0.8</v>
          </cell>
          <cell r="K1001">
            <v>0.78</v>
          </cell>
          <cell r="L1001">
            <v>1</v>
          </cell>
          <cell r="M1001" t="str">
            <v>human</v>
          </cell>
          <cell r="N1001" t="str">
            <v>ヒューマン</v>
          </cell>
          <cell r="O1001">
            <v>0.94</v>
          </cell>
          <cell r="P1001">
            <v>0.99</v>
          </cell>
          <cell r="Q1001">
            <v>1</v>
          </cell>
          <cell r="R1001" t="str">
            <v>Boss</v>
          </cell>
          <cell r="S1001">
            <v>5</v>
          </cell>
          <cell r="T1001">
            <v>1.3</v>
          </cell>
          <cell r="U1001">
            <v>0.8</v>
          </cell>
          <cell r="V1001">
            <v>3</v>
          </cell>
          <cell r="W1001">
            <v>1</v>
          </cell>
          <cell r="X1001">
            <v>30</v>
          </cell>
          <cell r="Y1001">
            <v>1.3</v>
          </cell>
          <cell r="Z1001">
            <v>1.3</v>
          </cell>
          <cell r="AA1001">
            <v>1.1000000000000001</v>
          </cell>
          <cell r="AB1001">
            <v>0</v>
          </cell>
        </row>
        <row r="1002">
          <cell r="A1002">
            <v>1001</v>
          </cell>
          <cell r="B1002" t="str">
            <v>細愛の女神 クリスタ</v>
          </cell>
          <cell r="C1002">
            <v>5</v>
          </cell>
          <cell r="D1002" t="str">
            <v>yellow</v>
          </cell>
          <cell r="E1002">
            <v>0.98</v>
          </cell>
          <cell r="F1002">
            <v>1.01</v>
          </cell>
          <cell r="G1002">
            <v>1</v>
          </cell>
          <cell r="H1002" t="str">
            <v>heal</v>
          </cell>
          <cell r="I1002" t="str">
            <v>回復タイプ</v>
          </cell>
          <cell r="J1002">
            <v>0.8</v>
          </cell>
          <cell r="K1002">
            <v>0.78</v>
          </cell>
          <cell r="L1002">
            <v>1</v>
          </cell>
          <cell r="M1002" t="str">
            <v>human</v>
          </cell>
          <cell r="N1002" t="str">
            <v>ヒューマン</v>
          </cell>
          <cell r="O1002">
            <v>0.94</v>
          </cell>
          <cell r="P1002">
            <v>0.99</v>
          </cell>
          <cell r="Q1002">
            <v>1</v>
          </cell>
          <cell r="R1002" t="str">
            <v>Boss</v>
          </cell>
          <cell r="S1002">
            <v>5</v>
          </cell>
          <cell r="T1002">
            <v>1.3</v>
          </cell>
          <cell r="U1002">
            <v>0.8</v>
          </cell>
          <cell r="V1002">
            <v>3</v>
          </cell>
          <cell r="W1002">
            <v>1</v>
          </cell>
          <cell r="X1002">
            <v>60</v>
          </cell>
          <cell r="Y1002">
            <v>1.7</v>
          </cell>
          <cell r="Z1002">
            <v>1.4</v>
          </cell>
          <cell r="AA1002">
            <v>1</v>
          </cell>
          <cell r="AB1002">
            <v>0</v>
          </cell>
        </row>
        <row r="1003">
          <cell r="A1003">
            <v>1002</v>
          </cell>
          <cell r="B1003" t="str">
            <v>ジャン</v>
          </cell>
          <cell r="C1003">
            <v>4</v>
          </cell>
          <cell r="D1003" t="str">
            <v>yellow</v>
          </cell>
          <cell r="E1003">
            <v>0.98</v>
          </cell>
          <cell r="F1003">
            <v>1.01</v>
          </cell>
          <cell r="G1003">
            <v>1</v>
          </cell>
          <cell r="H1003" t="str">
            <v>balance</v>
          </cell>
          <cell r="I1003" t="str">
            <v>バランスタイプ</v>
          </cell>
          <cell r="J1003">
            <v>1</v>
          </cell>
          <cell r="K1003">
            <v>1</v>
          </cell>
          <cell r="L1003">
            <v>1</v>
          </cell>
          <cell r="M1003" t="str">
            <v>human</v>
          </cell>
          <cell r="N1003" t="str">
            <v>ヒューマン</v>
          </cell>
          <cell r="O1003">
            <v>0.94</v>
          </cell>
          <cell r="P1003">
            <v>0.99</v>
          </cell>
          <cell r="Q1003">
            <v>1</v>
          </cell>
          <cell r="R1003" t="str">
            <v>Boss</v>
          </cell>
          <cell r="S1003">
            <v>5</v>
          </cell>
          <cell r="T1003">
            <v>1.3</v>
          </cell>
          <cell r="U1003">
            <v>0.8</v>
          </cell>
          <cell r="V1003">
            <v>3</v>
          </cell>
          <cell r="W1003">
            <v>1</v>
          </cell>
          <cell r="X1003">
            <v>30</v>
          </cell>
          <cell r="Y1003">
            <v>1.3</v>
          </cell>
          <cell r="Z1003">
            <v>1.3</v>
          </cell>
          <cell r="AA1003">
            <v>1.1000000000000001</v>
          </cell>
          <cell r="AB1003">
            <v>0</v>
          </cell>
        </row>
        <row r="1004">
          <cell r="A1004">
            <v>1003</v>
          </cell>
          <cell r="B1004" t="str">
            <v>真義の勇抱 ジャン</v>
          </cell>
          <cell r="C1004">
            <v>5</v>
          </cell>
          <cell r="D1004" t="str">
            <v>yellow</v>
          </cell>
          <cell r="E1004">
            <v>0.98</v>
          </cell>
          <cell r="F1004">
            <v>1.01</v>
          </cell>
          <cell r="G1004">
            <v>1</v>
          </cell>
          <cell r="H1004" t="str">
            <v>balance</v>
          </cell>
          <cell r="I1004" t="str">
            <v>バランスタイプ</v>
          </cell>
          <cell r="J1004">
            <v>1</v>
          </cell>
          <cell r="K1004">
            <v>1</v>
          </cell>
          <cell r="L1004">
            <v>1</v>
          </cell>
          <cell r="M1004" t="str">
            <v>human</v>
          </cell>
          <cell r="N1004" t="str">
            <v>ヒューマン</v>
          </cell>
          <cell r="O1004">
            <v>0.94</v>
          </cell>
          <cell r="P1004">
            <v>0.99</v>
          </cell>
          <cell r="Q1004">
            <v>1</v>
          </cell>
          <cell r="R1004" t="str">
            <v>Boss</v>
          </cell>
          <cell r="S1004">
            <v>5</v>
          </cell>
          <cell r="T1004">
            <v>1.3</v>
          </cell>
          <cell r="U1004">
            <v>0.8</v>
          </cell>
          <cell r="V1004">
            <v>3</v>
          </cell>
          <cell r="W1004">
            <v>1</v>
          </cell>
          <cell r="X1004">
            <v>60</v>
          </cell>
          <cell r="Y1004">
            <v>1.7</v>
          </cell>
          <cell r="Z1004">
            <v>1.4</v>
          </cell>
          <cell r="AA1004">
            <v>1</v>
          </cell>
          <cell r="AB1004">
            <v>0</v>
          </cell>
        </row>
        <row r="1005">
          <cell r="A1005">
            <v>1004</v>
          </cell>
          <cell r="B1005" t="str">
            <v>アメミット</v>
          </cell>
          <cell r="C1005">
            <v>4</v>
          </cell>
          <cell r="D1005" t="str">
            <v>blue</v>
          </cell>
          <cell r="E1005">
            <v>1</v>
          </cell>
          <cell r="F1005">
            <v>0.98</v>
          </cell>
          <cell r="G1005">
            <v>1</v>
          </cell>
          <cell r="H1005" t="str">
            <v>attack</v>
          </cell>
          <cell r="I1005" t="str">
            <v>攻撃タイプ</v>
          </cell>
          <cell r="J1005">
            <v>1</v>
          </cell>
          <cell r="K1005">
            <v>1.33</v>
          </cell>
          <cell r="L1005">
            <v>1</v>
          </cell>
          <cell r="M1005" t="str">
            <v>animal</v>
          </cell>
          <cell r="N1005" t="str">
            <v>アニマル</v>
          </cell>
          <cell r="O1005">
            <v>1</v>
          </cell>
          <cell r="P1005">
            <v>1.1000000000000001</v>
          </cell>
          <cell r="Q1005">
            <v>1</v>
          </cell>
          <cell r="R1005" t="str">
            <v>Boss</v>
          </cell>
          <cell r="S1005">
            <v>5</v>
          </cell>
          <cell r="T1005">
            <v>1.3</v>
          </cell>
          <cell r="U1005">
            <v>0.8</v>
          </cell>
          <cell r="V1005">
            <v>3</v>
          </cell>
          <cell r="W1005">
            <v>1</v>
          </cell>
          <cell r="X1005">
            <v>30</v>
          </cell>
          <cell r="Y1005">
            <v>1.3</v>
          </cell>
          <cell r="Z1005">
            <v>1.3</v>
          </cell>
          <cell r="AA1005">
            <v>1.1000000000000001</v>
          </cell>
          <cell r="AB1005">
            <v>0</v>
          </cell>
        </row>
        <row r="1006">
          <cell r="A1006">
            <v>1005</v>
          </cell>
          <cell r="B1006" t="str">
            <v>恐牙なる魂喰獣 アメミット</v>
          </cell>
          <cell r="C1006">
            <v>5</v>
          </cell>
          <cell r="D1006" t="str">
            <v>blue</v>
          </cell>
          <cell r="E1006">
            <v>1</v>
          </cell>
          <cell r="F1006">
            <v>0.98</v>
          </cell>
          <cell r="G1006">
            <v>1</v>
          </cell>
          <cell r="H1006" t="str">
            <v>attack</v>
          </cell>
          <cell r="I1006" t="str">
            <v>攻撃タイプ</v>
          </cell>
          <cell r="J1006">
            <v>1</v>
          </cell>
          <cell r="K1006">
            <v>1.33</v>
          </cell>
          <cell r="L1006">
            <v>1</v>
          </cell>
          <cell r="M1006" t="str">
            <v>animal</v>
          </cell>
          <cell r="N1006" t="str">
            <v>アニマル</v>
          </cell>
          <cell r="O1006">
            <v>1</v>
          </cell>
          <cell r="P1006">
            <v>1.1000000000000001</v>
          </cell>
          <cell r="Q1006">
            <v>1</v>
          </cell>
          <cell r="R1006" t="str">
            <v>Boss</v>
          </cell>
          <cell r="S1006">
            <v>5</v>
          </cell>
          <cell r="T1006">
            <v>1.3</v>
          </cell>
          <cell r="U1006">
            <v>0.8</v>
          </cell>
          <cell r="V1006">
            <v>3</v>
          </cell>
          <cell r="W1006">
            <v>1</v>
          </cell>
          <cell r="X1006">
            <v>60</v>
          </cell>
          <cell r="Y1006">
            <v>1.7</v>
          </cell>
          <cell r="Z1006">
            <v>1.4</v>
          </cell>
          <cell r="AA1006">
            <v>1</v>
          </cell>
          <cell r="AB1006">
            <v>0</v>
          </cell>
        </row>
        <row r="1007">
          <cell r="A1007">
            <v>1006</v>
          </cell>
          <cell r="B1007" t="str">
            <v>セルケト</v>
          </cell>
          <cell r="C1007">
            <v>4</v>
          </cell>
          <cell r="D1007" t="str">
            <v>red</v>
          </cell>
          <cell r="E1007">
            <v>1</v>
          </cell>
          <cell r="F1007">
            <v>1.02</v>
          </cell>
          <cell r="G1007">
            <v>1</v>
          </cell>
          <cell r="H1007" t="str">
            <v>balance</v>
          </cell>
          <cell r="I1007" t="str">
            <v>バランスタイプ</v>
          </cell>
          <cell r="J1007">
            <v>1</v>
          </cell>
          <cell r="K1007">
            <v>1</v>
          </cell>
          <cell r="L1007">
            <v>1</v>
          </cell>
          <cell r="M1007" t="str">
            <v>god</v>
          </cell>
          <cell r="N1007" t="str">
            <v>ゴッド</v>
          </cell>
          <cell r="O1007">
            <v>0.96</v>
          </cell>
          <cell r="P1007">
            <v>1.02</v>
          </cell>
          <cell r="Q1007">
            <v>1</v>
          </cell>
          <cell r="R1007" t="str">
            <v>Boss</v>
          </cell>
          <cell r="S1007">
            <v>5</v>
          </cell>
          <cell r="T1007">
            <v>1.3</v>
          </cell>
          <cell r="U1007">
            <v>0.8</v>
          </cell>
          <cell r="V1007">
            <v>3</v>
          </cell>
          <cell r="W1007">
            <v>1</v>
          </cell>
          <cell r="X1007">
            <v>30</v>
          </cell>
          <cell r="Y1007">
            <v>1.3</v>
          </cell>
          <cell r="Z1007">
            <v>1.3</v>
          </cell>
          <cell r="AA1007">
            <v>1.1000000000000001</v>
          </cell>
          <cell r="AB1007">
            <v>0</v>
          </cell>
        </row>
        <row r="1008">
          <cell r="A1008">
            <v>1007</v>
          </cell>
          <cell r="B1008" t="str">
            <v>癒命の守蠍神 セルケト</v>
          </cell>
          <cell r="C1008">
            <v>5</v>
          </cell>
          <cell r="D1008" t="str">
            <v>red</v>
          </cell>
          <cell r="E1008">
            <v>1</v>
          </cell>
          <cell r="F1008">
            <v>1.02</v>
          </cell>
          <cell r="G1008">
            <v>1</v>
          </cell>
          <cell r="H1008" t="str">
            <v>balance</v>
          </cell>
          <cell r="I1008" t="str">
            <v>バランスタイプ</v>
          </cell>
          <cell r="J1008">
            <v>1</v>
          </cell>
          <cell r="K1008">
            <v>1</v>
          </cell>
          <cell r="L1008">
            <v>1</v>
          </cell>
          <cell r="M1008" t="str">
            <v>god</v>
          </cell>
          <cell r="N1008" t="str">
            <v>ゴッド</v>
          </cell>
          <cell r="O1008">
            <v>0.96</v>
          </cell>
          <cell r="P1008">
            <v>1.02</v>
          </cell>
          <cell r="Q1008">
            <v>1</v>
          </cell>
          <cell r="R1008" t="str">
            <v>Boss</v>
          </cell>
          <cell r="S1008">
            <v>5</v>
          </cell>
          <cell r="T1008">
            <v>1.3</v>
          </cell>
          <cell r="U1008">
            <v>0.8</v>
          </cell>
          <cell r="V1008">
            <v>3</v>
          </cell>
          <cell r="W1008">
            <v>1</v>
          </cell>
          <cell r="X1008">
            <v>60</v>
          </cell>
          <cell r="Y1008">
            <v>1.7</v>
          </cell>
          <cell r="Z1008">
            <v>1.4</v>
          </cell>
          <cell r="AA1008">
            <v>1</v>
          </cell>
          <cell r="AB1008">
            <v>0</v>
          </cell>
        </row>
        <row r="1009">
          <cell r="A1009">
            <v>1008</v>
          </cell>
          <cell r="B1009" t="str">
            <v>オシリス</v>
          </cell>
          <cell r="C1009">
            <v>5</v>
          </cell>
          <cell r="D1009" t="str">
            <v>green</v>
          </cell>
          <cell r="E1009">
            <v>1.02</v>
          </cell>
          <cell r="F1009">
            <v>0.98</v>
          </cell>
          <cell r="G1009">
            <v>1</v>
          </cell>
          <cell r="H1009" t="str">
            <v>attack</v>
          </cell>
          <cell r="I1009" t="str">
            <v>攻撃タイプ</v>
          </cell>
          <cell r="J1009">
            <v>1</v>
          </cell>
          <cell r="K1009">
            <v>1.33</v>
          </cell>
          <cell r="L1009">
            <v>1</v>
          </cell>
          <cell r="M1009" t="str">
            <v>god</v>
          </cell>
          <cell r="N1009" t="str">
            <v>ゴッド</v>
          </cell>
          <cell r="O1009">
            <v>0.96</v>
          </cell>
          <cell r="P1009">
            <v>1.02</v>
          </cell>
          <cell r="Q1009">
            <v>1</v>
          </cell>
          <cell r="R1009" t="str">
            <v>Boss</v>
          </cell>
          <cell r="S1009">
            <v>5</v>
          </cell>
          <cell r="T1009">
            <v>1.3</v>
          </cell>
          <cell r="U1009">
            <v>0.8</v>
          </cell>
          <cell r="V1009">
            <v>3</v>
          </cell>
          <cell r="W1009">
            <v>1</v>
          </cell>
          <cell r="X1009">
            <v>60</v>
          </cell>
          <cell r="Y1009">
            <v>1.7</v>
          </cell>
          <cell r="Z1009">
            <v>1.4</v>
          </cell>
          <cell r="AA1009">
            <v>1</v>
          </cell>
          <cell r="AB1009">
            <v>0</v>
          </cell>
        </row>
        <row r="1010">
          <cell r="A1010">
            <v>1009</v>
          </cell>
          <cell r="B1010" t="str">
            <v>再醒の冥皇神 オシリス</v>
          </cell>
          <cell r="C1010">
            <v>6</v>
          </cell>
          <cell r="D1010" t="str">
            <v>green</v>
          </cell>
          <cell r="E1010">
            <v>1.02</v>
          </cell>
          <cell r="F1010">
            <v>0.98</v>
          </cell>
          <cell r="G1010">
            <v>1</v>
          </cell>
          <cell r="H1010" t="str">
            <v>attack</v>
          </cell>
          <cell r="I1010" t="str">
            <v>攻撃タイプ</v>
          </cell>
          <cell r="J1010">
            <v>1</v>
          </cell>
          <cell r="K1010">
            <v>1.33</v>
          </cell>
          <cell r="L1010">
            <v>1</v>
          </cell>
          <cell r="M1010" t="str">
            <v>god</v>
          </cell>
          <cell r="N1010" t="str">
            <v>ゴッド</v>
          </cell>
          <cell r="O1010">
            <v>0.96</v>
          </cell>
          <cell r="P1010">
            <v>1.02</v>
          </cell>
          <cell r="Q1010">
            <v>1</v>
          </cell>
          <cell r="R1010" t="str">
            <v>Boss</v>
          </cell>
          <cell r="S1010">
            <v>5</v>
          </cell>
          <cell r="T1010">
            <v>1.3</v>
          </cell>
          <cell r="U1010">
            <v>0.8</v>
          </cell>
          <cell r="V1010">
            <v>3</v>
          </cell>
          <cell r="W1010">
            <v>1</v>
          </cell>
          <cell r="X1010">
            <v>60</v>
          </cell>
          <cell r="Y1010">
            <v>1.7</v>
          </cell>
          <cell r="Z1010">
            <v>1.4</v>
          </cell>
          <cell r="AA1010">
            <v>1</v>
          </cell>
          <cell r="AB1010">
            <v>0</v>
          </cell>
        </row>
        <row r="1011">
          <cell r="A1011">
            <v>1010</v>
          </cell>
          <cell r="B1011" t="str">
            <v>セト</v>
          </cell>
          <cell r="C1011">
            <v>5</v>
          </cell>
          <cell r="D1011" t="str">
            <v>blue</v>
          </cell>
          <cell r="E1011">
            <v>1</v>
          </cell>
          <cell r="F1011">
            <v>0.98</v>
          </cell>
          <cell r="G1011">
            <v>1</v>
          </cell>
          <cell r="H1011" t="str">
            <v>technical</v>
          </cell>
          <cell r="I1011" t="str">
            <v>テクニカルタイプ</v>
          </cell>
          <cell r="J1011">
            <v>0.9</v>
          </cell>
          <cell r="K1011">
            <v>0.9</v>
          </cell>
          <cell r="L1011">
            <v>1</v>
          </cell>
          <cell r="M1011" t="str">
            <v>god</v>
          </cell>
          <cell r="N1011" t="str">
            <v>ゴッド</v>
          </cell>
          <cell r="O1011">
            <v>0.96</v>
          </cell>
          <cell r="P1011">
            <v>1.02</v>
          </cell>
          <cell r="Q1011">
            <v>1</v>
          </cell>
          <cell r="R1011" t="str">
            <v>Boss</v>
          </cell>
          <cell r="S1011">
            <v>5</v>
          </cell>
          <cell r="T1011">
            <v>1.3</v>
          </cell>
          <cell r="U1011">
            <v>0.8</v>
          </cell>
          <cell r="V1011">
            <v>3</v>
          </cell>
          <cell r="W1011">
            <v>1</v>
          </cell>
          <cell r="X1011">
            <v>60</v>
          </cell>
          <cell r="Y1011">
            <v>1.7</v>
          </cell>
          <cell r="Z1011">
            <v>1.4</v>
          </cell>
          <cell r="AA1011">
            <v>1</v>
          </cell>
          <cell r="AB1011">
            <v>0</v>
          </cell>
        </row>
        <row r="1012">
          <cell r="A1012">
            <v>1011</v>
          </cell>
          <cell r="B1012" t="str">
            <v>偉獰なる荒嵐神 セト</v>
          </cell>
          <cell r="C1012">
            <v>6</v>
          </cell>
          <cell r="D1012" t="str">
            <v>blue</v>
          </cell>
          <cell r="E1012">
            <v>1</v>
          </cell>
          <cell r="F1012">
            <v>0.98</v>
          </cell>
          <cell r="G1012">
            <v>1</v>
          </cell>
          <cell r="H1012" t="str">
            <v>technical</v>
          </cell>
          <cell r="I1012" t="str">
            <v>テクニカルタイプ</v>
          </cell>
          <cell r="J1012">
            <v>0.9</v>
          </cell>
          <cell r="K1012">
            <v>0.9</v>
          </cell>
          <cell r="L1012">
            <v>1</v>
          </cell>
          <cell r="M1012" t="str">
            <v>god</v>
          </cell>
          <cell r="N1012" t="str">
            <v>ゴッド</v>
          </cell>
          <cell r="O1012">
            <v>0.96</v>
          </cell>
          <cell r="P1012">
            <v>1.02</v>
          </cell>
          <cell r="Q1012">
            <v>1</v>
          </cell>
          <cell r="R1012" t="str">
            <v>Boss</v>
          </cell>
          <cell r="S1012">
            <v>5</v>
          </cell>
          <cell r="T1012">
            <v>1.3</v>
          </cell>
          <cell r="U1012">
            <v>0.8</v>
          </cell>
          <cell r="V1012">
            <v>3</v>
          </cell>
          <cell r="W1012">
            <v>1</v>
          </cell>
          <cell r="X1012">
            <v>60</v>
          </cell>
          <cell r="Y1012">
            <v>1.7</v>
          </cell>
          <cell r="Z1012">
            <v>1.4</v>
          </cell>
          <cell r="AA1012">
            <v>1</v>
          </cell>
          <cell r="AB1012">
            <v>0</v>
          </cell>
        </row>
        <row r="1013">
          <cell r="A1013">
            <v>1012</v>
          </cell>
          <cell r="B1013" t="str">
            <v>ラー</v>
          </cell>
          <cell r="C1013">
            <v>5</v>
          </cell>
          <cell r="D1013" t="str">
            <v>red</v>
          </cell>
          <cell r="E1013">
            <v>1</v>
          </cell>
          <cell r="F1013">
            <v>1.02</v>
          </cell>
          <cell r="G1013">
            <v>1</v>
          </cell>
          <cell r="H1013" t="str">
            <v>balance</v>
          </cell>
          <cell r="I1013" t="str">
            <v>バランスタイプ</v>
          </cell>
          <cell r="J1013">
            <v>1</v>
          </cell>
          <cell r="K1013">
            <v>1</v>
          </cell>
          <cell r="L1013">
            <v>1</v>
          </cell>
          <cell r="M1013" t="str">
            <v>god</v>
          </cell>
          <cell r="N1013" t="str">
            <v>ゴッド</v>
          </cell>
          <cell r="O1013">
            <v>0.96</v>
          </cell>
          <cell r="P1013">
            <v>1.02</v>
          </cell>
          <cell r="Q1013">
            <v>1</v>
          </cell>
          <cell r="R1013" t="str">
            <v>Boss</v>
          </cell>
          <cell r="S1013">
            <v>5</v>
          </cell>
          <cell r="T1013">
            <v>1.3</v>
          </cell>
          <cell r="U1013">
            <v>0.8</v>
          </cell>
          <cell r="V1013">
            <v>3</v>
          </cell>
          <cell r="W1013">
            <v>1</v>
          </cell>
          <cell r="X1013">
            <v>60</v>
          </cell>
          <cell r="Y1013">
            <v>1.7</v>
          </cell>
          <cell r="Z1013">
            <v>1.4</v>
          </cell>
          <cell r="AA1013">
            <v>1</v>
          </cell>
          <cell r="AB1013">
            <v>0</v>
          </cell>
        </row>
        <row r="1014">
          <cell r="A1014">
            <v>1013</v>
          </cell>
          <cell r="B1014" t="str">
            <v>聖陽昇る緋洸神 ラー</v>
          </cell>
          <cell r="C1014">
            <v>6</v>
          </cell>
          <cell r="D1014" t="str">
            <v>red</v>
          </cell>
          <cell r="E1014">
            <v>1</v>
          </cell>
          <cell r="F1014">
            <v>1.02</v>
          </cell>
          <cell r="G1014">
            <v>1</v>
          </cell>
          <cell r="H1014" t="str">
            <v>balance</v>
          </cell>
          <cell r="I1014" t="str">
            <v>バランスタイプ</v>
          </cell>
          <cell r="J1014">
            <v>1</v>
          </cell>
          <cell r="K1014">
            <v>1</v>
          </cell>
          <cell r="L1014">
            <v>1</v>
          </cell>
          <cell r="M1014" t="str">
            <v>god</v>
          </cell>
          <cell r="N1014" t="str">
            <v>ゴッド</v>
          </cell>
          <cell r="O1014">
            <v>0.96</v>
          </cell>
          <cell r="P1014">
            <v>1.02</v>
          </cell>
          <cell r="Q1014">
            <v>1</v>
          </cell>
          <cell r="R1014" t="str">
            <v>Boss</v>
          </cell>
          <cell r="S1014">
            <v>5</v>
          </cell>
          <cell r="T1014">
            <v>1.3</v>
          </cell>
          <cell r="U1014">
            <v>0.8</v>
          </cell>
          <cell r="V1014">
            <v>3</v>
          </cell>
          <cell r="W1014">
            <v>1</v>
          </cell>
          <cell r="X1014">
            <v>60</v>
          </cell>
          <cell r="Y1014">
            <v>1.7</v>
          </cell>
          <cell r="Z1014">
            <v>1.4</v>
          </cell>
          <cell r="AA1014">
            <v>1</v>
          </cell>
          <cell r="AB1014">
            <v>0</v>
          </cell>
        </row>
        <row r="1015">
          <cell r="A1015">
            <v>1014</v>
          </cell>
          <cell r="B1015" t="str">
            <v>イシス</v>
          </cell>
          <cell r="C1015">
            <v>5</v>
          </cell>
          <cell r="D1015" t="str">
            <v>green</v>
          </cell>
          <cell r="E1015">
            <v>1.02</v>
          </cell>
          <cell r="F1015">
            <v>0.98</v>
          </cell>
          <cell r="G1015">
            <v>1</v>
          </cell>
          <cell r="H1015" t="str">
            <v>hp</v>
          </cell>
          <cell r="I1015" t="str">
            <v>体力タイプ</v>
          </cell>
          <cell r="J1015">
            <v>1.45</v>
          </cell>
          <cell r="K1015">
            <v>0.85</v>
          </cell>
          <cell r="L1015">
            <v>1</v>
          </cell>
          <cell r="M1015" t="str">
            <v>god</v>
          </cell>
          <cell r="N1015" t="str">
            <v>ゴッド</v>
          </cell>
          <cell r="O1015">
            <v>0.96</v>
          </cell>
          <cell r="P1015">
            <v>1.02</v>
          </cell>
          <cell r="Q1015">
            <v>1</v>
          </cell>
          <cell r="R1015" t="str">
            <v>Boss</v>
          </cell>
          <cell r="S1015">
            <v>5</v>
          </cell>
          <cell r="T1015">
            <v>1.3</v>
          </cell>
          <cell r="U1015">
            <v>0.8</v>
          </cell>
          <cell r="V1015">
            <v>3</v>
          </cell>
          <cell r="W1015">
            <v>1</v>
          </cell>
          <cell r="X1015">
            <v>60</v>
          </cell>
          <cell r="Y1015">
            <v>1.7</v>
          </cell>
          <cell r="Z1015">
            <v>1.4</v>
          </cell>
          <cell r="AA1015">
            <v>1</v>
          </cell>
          <cell r="AB1015">
            <v>0</v>
          </cell>
        </row>
        <row r="1016">
          <cell r="A1016">
            <v>1015</v>
          </cell>
          <cell r="B1016" t="str">
            <v>繁翠なる蘇聖神 イシス</v>
          </cell>
          <cell r="C1016">
            <v>6</v>
          </cell>
          <cell r="D1016" t="str">
            <v>green</v>
          </cell>
          <cell r="E1016">
            <v>1.02</v>
          </cell>
          <cell r="F1016">
            <v>0.98</v>
          </cell>
          <cell r="G1016">
            <v>1</v>
          </cell>
          <cell r="H1016" t="str">
            <v>hp</v>
          </cell>
          <cell r="I1016" t="str">
            <v>体力タイプ</v>
          </cell>
          <cell r="J1016">
            <v>1.45</v>
          </cell>
          <cell r="K1016">
            <v>0.85</v>
          </cell>
          <cell r="L1016">
            <v>1</v>
          </cell>
          <cell r="M1016" t="str">
            <v>god</v>
          </cell>
          <cell r="N1016" t="str">
            <v>ゴッド</v>
          </cell>
          <cell r="O1016">
            <v>0.96</v>
          </cell>
          <cell r="P1016">
            <v>1.02</v>
          </cell>
          <cell r="Q1016">
            <v>1</v>
          </cell>
          <cell r="R1016" t="str">
            <v>Boss</v>
          </cell>
          <cell r="S1016">
            <v>5</v>
          </cell>
          <cell r="T1016">
            <v>1.3</v>
          </cell>
          <cell r="U1016">
            <v>0.8</v>
          </cell>
          <cell r="V1016">
            <v>3</v>
          </cell>
          <cell r="W1016">
            <v>1</v>
          </cell>
          <cell r="X1016">
            <v>60</v>
          </cell>
          <cell r="Y1016">
            <v>1.7</v>
          </cell>
          <cell r="Z1016">
            <v>1.4</v>
          </cell>
          <cell r="AA1016">
            <v>1</v>
          </cell>
          <cell r="AB1016">
            <v>0</v>
          </cell>
        </row>
        <row r="1017">
          <cell r="A1017">
            <v>1016</v>
          </cell>
          <cell r="B1017" t="str">
            <v>ハトホル</v>
          </cell>
          <cell r="C1017">
            <v>4</v>
          </cell>
          <cell r="D1017" t="str">
            <v>blue</v>
          </cell>
          <cell r="E1017">
            <v>1</v>
          </cell>
          <cell r="F1017">
            <v>0.98</v>
          </cell>
          <cell r="G1017">
            <v>1</v>
          </cell>
          <cell r="H1017" t="str">
            <v>heal</v>
          </cell>
          <cell r="I1017" t="str">
            <v>回復タイプ</v>
          </cell>
          <cell r="J1017">
            <v>0.8</v>
          </cell>
          <cell r="K1017">
            <v>0.78</v>
          </cell>
          <cell r="L1017">
            <v>1</v>
          </cell>
          <cell r="M1017" t="str">
            <v>god</v>
          </cell>
          <cell r="N1017" t="str">
            <v>ゴッド</v>
          </cell>
          <cell r="O1017">
            <v>0.96</v>
          </cell>
          <cell r="P1017">
            <v>1.02</v>
          </cell>
          <cell r="Q1017">
            <v>1</v>
          </cell>
          <cell r="R1017" t="str">
            <v>Boss</v>
          </cell>
          <cell r="S1017">
            <v>5</v>
          </cell>
          <cell r="T1017">
            <v>1.3</v>
          </cell>
          <cell r="U1017">
            <v>0.8</v>
          </cell>
          <cell r="V1017">
            <v>3</v>
          </cell>
          <cell r="W1017">
            <v>1</v>
          </cell>
          <cell r="X1017">
            <v>30</v>
          </cell>
          <cell r="Y1017">
            <v>1.3</v>
          </cell>
          <cell r="Z1017">
            <v>1.3</v>
          </cell>
          <cell r="AA1017">
            <v>1.1000000000000001</v>
          </cell>
          <cell r="AB1017">
            <v>0</v>
          </cell>
        </row>
        <row r="1018">
          <cell r="A1018">
            <v>1017</v>
          </cell>
          <cell r="B1018" t="str">
            <v>命瞳の慈母神 ハトホル</v>
          </cell>
          <cell r="C1018">
            <v>5</v>
          </cell>
          <cell r="D1018" t="str">
            <v>blue</v>
          </cell>
          <cell r="E1018">
            <v>1</v>
          </cell>
          <cell r="F1018">
            <v>0.98</v>
          </cell>
          <cell r="G1018">
            <v>1</v>
          </cell>
          <cell r="H1018" t="str">
            <v>heal</v>
          </cell>
          <cell r="I1018" t="str">
            <v>回復タイプ</v>
          </cell>
          <cell r="J1018">
            <v>0.8</v>
          </cell>
          <cell r="K1018">
            <v>0.78</v>
          </cell>
          <cell r="L1018">
            <v>1</v>
          </cell>
          <cell r="M1018" t="str">
            <v>god</v>
          </cell>
          <cell r="N1018" t="str">
            <v>ゴッド</v>
          </cell>
          <cell r="O1018">
            <v>0.96</v>
          </cell>
          <cell r="P1018">
            <v>1.02</v>
          </cell>
          <cell r="Q1018">
            <v>1</v>
          </cell>
          <cell r="R1018" t="str">
            <v>Boss</v>
          </cell>
          <cell r="S1018">
            <v>5</v>
          </cell>
          <cell r="T1018">
            <v>1.3</v>
          </cell>
          <cell r="U1018">
            <v>0.8</v>
          </cell>
          <cell r="V1018">
            <v>3</v>
          </cell>
          <cell r="W1018">
            <v>1</v>
          </cell>
          <cell r="X1018">
            <v>60</v>
          </cell>
          <cell r="Y1018">
            <v>1.7</v>
          </cell>
          <cell r="Z1018">
            <v>1.4</v>
          </cell>
          <cell r="AA1018">
            <v>1</v>
          </cell>
          <cell r="AB1018">
            <v>0</v>
          </cell>
        </row>
        <row r="1019">
          <cell r="A1019">
            <v>1018</v>
          </cell>
          <cell r="B1019" t="str">
            <v>バステト</v>
          </cell>
          <cell r="C1019">
            <v>5</v>
          </cell>
          <cell r="D1019" t="str">
            <v>yellow</v>
          </cell>
          <cell r="E1019">
            <v>0.98</v>
          </cell>
          <cell r="F1019">
            <v>1.01</v>
          </cell>
          <cell r="G1019">
            <v>1</v>
          </cell>
          <cell r="H1019" t="str">
            <v>attack</v>
          </cell>
          <cell r="I1019" t="str">
            <v>攻撃タイプ</v>
          </cell>
          <cell r="J1019">
            <v>1</v>
          </cell>
          <cell r="K1019">
            <v>1.33</v>
          </cell>
          <cell r="L1019">
            <v>1</v>
          </cell>
          <cell r="M1019" t="str">
            <v>god</v>
          </cell>
          <cell r="N1019" t="str">
            <v>ゴッド</v>
          </cell>
          <cell r="O1019">
            <v>0.96</v>
          </cell>
          <cell r="P1019">
            <v>1.02</v>
          </cell>
          <cell r="Q1019">
            <v>1</v>
          </cell>
          <cell r="R1019" t="str">
            <v>Boss</v>
          </cell>
          <cell r="S1019">
            <v>5</v>
          </cell>
          <cell r="T1019">
            <v>1.3</v>
          </cell>
          <cell r="U1019">
            <v>0.8</v>
          </cell>
          <cell r="V1019">
            <v>3</v>
          </cell>
          <cell r="W1019">
            <v>1</v>
          </cell>
          <cell r="X1019">
            <v>60</v>
          </cell>
          <cell r="Y1019">
            <v>1.7</v>
          </cell>
          <cell r="Z1019">
            <v>1.4</v>
          </cell>
          <cell r="AA1019">
            <v>1</v>
          </cell>
          <cell r="AB1019">
            <v>0</v>
          </cell>
        </row>
        <row r="1020">
          <cell r="A1020">
            <v>1019</v>
          </cell>
          <cell r="B1020" t="str">
            <v>愛鈴鳴る寵猫神 バステト</v>
          </cell>
          <cell r="C1020">
            <v>6</v>
          </cell>
          <cell r="D1020" t="str">
            <v>yellow</v>
          </cell>
          <cell r="E1020">
            <v>0.98</v>
          </cell>
          <cell r="F1020">
            <v>1.01</v>
          </cell>
          <cell r="G1020">
            <v>1</v>
          </cell>
          <cell r="H1020" t="str">
            <v>attack</v>
          </cell>
          <cell r="I1020" t="str">
            <v>攻撃タイプ</v>
          </cell>
          <cell r="J1020">
            <v>1</v>
          </cell>
          <cell r="K1020">
            <v>1.33</v>
          </cell>
          <cell r="L1020">
            <v>1</v>
          </cell>
          <cell r="M1020" t="str">
            <v>god</v>
          </cell>
          <cell r="N1020" t="str">
            <v>ゴッド</v>
          </cell>
          <cell r="O1020">
            <v>0.96</v>
          </cell>
          <cell r="P1020">
            <v>1.02</v>
          </cell>
          <cell r="Q1020">
            <v>1</v>
          </cell>
          <cell r="R1020" t="str">
            <v>Boss</v>
          </cell>
          <cell r="S1020">
            <v>5</v>
          </cell>
          <cell r="T1020">
            <v>1.3</v>
          </cell>
          <cell r="U1020">
            <v>0.8</v>
          </cell>
          <cell r="V1020">
            <v>3</v>
          </cell>
          <cell r="W1020">
            <v>1</v>
          </cell>
          <cell r="X1020">
            <v>60</v>
          </cell>
          <cell r="Y1020">
            <v>1.7</v>
          </cell>
          <cell r="Z1020">
            <v>1.4</v>
          </cell>
          <cell r="AA1020">
            <v>1</v>
          </cell>
          <cell r="AB1020">
            <v>0</v>
          </cell>
        </row>
        <row r="1021">
          <cell r="A1021">
            <v>1020</v>
          </cell>
          <cell r="B1021" t="str">
            <v>静御前</v>
          </cell>
          <cell r="C1021">
            <v>4</v>
          </cell>
          <cell r="D1021" t="str">
            <v>red</v>
          </cell>
          <cell r="E1021">
            <v>1</v>
          </cell>
          <cell r="F1021">
            <v>1.02</v>
          </cell>
          <cell r="G1021">
            <v>1</v>
          </cell>
          <cell r="H1021" t="str">
            <v>technical</v>
          </cell>
          <cell r="I1021" t="str">
            <v>テクニカルタイプ</v>
          </cell>
          <cell r="J1021">
            <v>0.9</v>
          </cell>
          <cell r="K1021">
            <v>0.9</v>
          </cell>
          <cell r="L1021">
            <v>1</v>
          </cell>
          <cell r="M1021" t="str">
            <v>human</v>
          </cell>
          <cell r="N1021" t="str">
            <v>ヒューマン</v>
          </cell>
          <cell r="O1021">
            <v>0.94</v>
          </cell>
          <cell r="P1021">
            <v>0.99</v>
          </cell>
          <cell r="Q1021">
            <v>1</v>
          </cell>
          <cell r="R1021" t="str">
            <v>Boss</v>
          </cell>
          <cell r="S1021">
            <v>5</v>
          </cell>
          <cell r="T1021">
            <v>1.3</v>
          </cell>
          <cell r="U1021">
            <v>0.8</v>
          </cell>
          <cell r="V1021">
            <v>3</v>
          </cell>
          <cell r="W1021">
            <v>1</v>
          </cell>
          <cell r="X1021">
            <v>30</v>
          </cell>
          <cell r="Y1021">
            <v>1.3</v>
          </cell>
          <cell r="Z1021">
            <v>1.3</v>
          </cell>
          <cell r="AA1021">
            <v>1.1000000000000001</v>
          </cell>
          <cell r="AB1021">
            <v>0</v>
          </cell>
        </row>
        <row r="1022">
          <cell r="A1022">
            <v>1021</v>
          </cell>
          <cell r="B1022" t="str">
            <v>焔耀の舞姫 静御前</v>
          </cell>
          <cell r="C1022">
            <v>5</v>
          </cell>
          <cell r="D1022" t="str">
            <v>red</v>
          </cell>
          <cell r="E1022">
            <v>1</v>
          </cell>
          <cell r="F1022">
            <v>1.02</v>
          </cell>
          <cell r="G1022">
            <v>1</v>
          </cell>
          <cell r="H1022" t="str">
            <v>technical</v>
          </cell>
          <cell r="I1022" t="str">
            <v>テクニカルタイプ</v>
          </cell>
          <cell r="J1022">
            <v>0.9</v>
          </cell>
          <cell r="K1022">
            <v>0.9</v>
          </cell>
          <cell r="L1022">
            <v>1</v>
          </cell>
          <cell r="M1022" t="str">
            <v>human</v>
          </cell>
          <cell r="N1022" t="str">
            <v>ヒューマン</v>
          </cell>
          <cell r="O1022">
            <v>0.94</v>
          </cell>
          <cell r="P1022">
            <v>0.99</v>
          </cell>
          <cell r="Q1022">
            <v>1</v>
          </cell>
          <cell r="R1022" t="str">
            <v>Boss</v>
          </cell>
          <cell r="S1022">
            <v>5</v>
          </cell>
          <cell r="T1022">
            <v>1.3</v>
          </cell>
          <cell r="U1022">
            <v>0.8</v>
          </cell>
          <cell r="V1022">
            <v>3</v>
          </cell>
          <cell r="W1022">
            <v>1</v>
          </cell>
          <cell r="X1022">
            <v>60</v>
          </cell>
          <cell r="Y1022">
            <v>1.7</v>
          </cell>
          <cell r="Z1022">
            <v>1.4</v>
          </cell>
          <cell r="AA1022">
            <v>1</v>
          </cell>
          <cell r="AB1022">
            <v>0</v>
          </cell>
        </row>
        <row r="1023">
          <cell r="A1023">
            <v>1022</v>
          </cell>
          <cell r="B1023" t="str">
            <v>那須与一</v>
          </cell>
          <cell r="C1023">
            <v>4</v>
          </cell>
          <cell r="D1023" t="str">
            <v>green</v>
          </cell>
          <cell r="E1023">
            <v>1.02</v>
          </cell>
          <cell r="F1023">
            <v>0.98</v>
          </cell>
          <cell r="G1023">
            <v>1</v>
          </cell>
          <cell r="H1023" t="str">
            <v>technical</v>
          </cell>
          <cell r="I1023" t="str">
            <v>テクニカルタイプ</v>
          </cell>
          <cell r="J1023">
            <v>0.9</v>
          </cell>
          <cell r="K1023">
            <v>0.9</v>
          </cell>
          <cell r="L1023">
            <v>1</v>
          </cell>
          <cell r="M1023" t="str">
            <v>human</v>
          </cell>
          <cell r="N1023" t="str">
            <v>ヒューマン</v>
          </cell>
          <cell r="O1023">
            <v>0.94</v>
          </cell>
          <cell r="P1023">
            <v>0.99</v>
          </cell>
          <cell r="Q1023">
            <v>1</v>
          </cell>
          <cell r="R1023" t="str">
            <v>Boss</v>
          </cell>
          <cell r="S1023">
            <v>5</v>
          </cell>
          <cell r="T1023">
            <v>1.3</v>
          </cell>
          <cell r="U1023">
            <v>0.8</v>
          </cell>
          <cell r="V1023">
            <v>3</v>
          </cell>
          <cell r="W1023">
            <v>1</v>
          </cell>
          <cell r="X1023">
            <v>30</v>
          </cell>
          <cell r="Y1023">
            <v>1.3</v>
          </cell>
          <cell r="Z1023">
            <v>1.3</v>
          </cell>
          <cell r="AA1023">
            <v>1.1000000000000001</v>
          </cell>
          <cell r="AB1023">
            <v>0</v>
          </cell>
        </row>
        <row r="1024">
          <cell r="A1024">
            <v>1023</v>
          </cell>
          <cell r="B1024" t="str">
            <v>心射抜く投擲者 那須与一</v>
          </cell>
          <cell r="C1024">
            <v>5</v>
          </cell>
          <cell r="D1024" t="str">
            <v>green</v>
          </cell>
          <cell r="E1024">
            <v>1.02</v>
          </cell>
          <cell r="F1024">
            <v>0.98</v>
          </cell>
          <cell r="G1024">
            <v>1</v>
          </cell>
          <cell r="H1024" t="str">
            <v>technical</v>
          </cell>
          <cell r="I1024" t="str">
            <v>テクニカルタイプ</v>
          </cell>
          <cell r="J1024">
            <v>0.9</v>
          </cell>
          <cell r="K1024">
            <v>0.9</v>
          </cell>
          <cell r="L1024">
            <v>1</v>
          </cell>
          <cell r="M1024" t="str">
            <v>human</v>
          </cell>
          <cell r="N1024" t="str">
            <v>ヒューマン</v>
          </cell>
          <cell r="O1024">
            <v>0.94</v>
          </cell>
          <cell r="P1024">
            <v>0.99</v>
          </cell>
          <cell r="Q1024">
            <v>1</v>
          </cell>
          <cell r="R1024" t="str">
            <v>Boss</v>
          </cell>
          <cell r="S1024">
            <v>5</v>
          </cell>
          <cell r="T1024">
            <v>1.3</v>
          </cell>
          <cell r="U1024">
            <v>0.8</v>
          </cell>
          <cell r="V1024">
            <v>3</v>
          </cell>
          <cell r="W1024">
            <v>1</v>
          </cell>
          <cell r="X1024">
            <v>60</v>
          </cell>
          <cell r="Y1024">
            <v>1.7</v>
          </cell>
          <cell r="Z1024">
            <v>1.4</v>
          </cell>
          <cell r="AA1024">
            <v>1</v>
          </cell>
          <cell r="AB1024">
            <v>0</v>
          </cell>
        </row>
        <row r="1025">
          <cell r="A1025">
            <v>1024</v>
          </cell>
          <cell r="B1025" t="str">
            <v>武蔵坊弁慶</v>
          </cell>
          <cell r="C1025">
            <v>5</v>
          </cell>
          <cell r="D1025" t="str">
            <v>yellow</v>
          </cell>
          <cell r="E1025">
            <v>0.98</v>
          </cell>
          <cell r="F1025">
            <v>1.01</v>
          </cell>
          <cell r="G1025">
            <v>1</v>
          </cell>
          <cell r="H1025" t="str">
            <v>attack</v>
          </cell>
          <cell r="I1025" t="str">
            <v>攻撃タイプ</v>
          </cell>
          <cell r="J1025">
            <v>1</v>
          </cell>
          <cell r="K1025">
            <v>1.33</v>
          </cell>
          <cell r="L1025">
            <v>1</v>
          </cell>
          <cell r="M1025" t="str">
            <v>human</v>
          </cell>
          <cell r="N1025" t="str">
            <v>ヒューマン</v>
          </cell>
          <cell r="O1025">
            <v>0.94</v>
          </cell>
          <cell r="P1025">
            <v>0.99</v>
          </cell>
          <cell r="Q1025">
            <v>1</v>
          </cell>
          <cell r="R1025" t="str">
            <v>Boss</v>
          </cell>
          <cell r="S1025">
            <v>5</v>
          </cell>
          <cell r="T1025">
            <v>1.3</v>
          </cell>
          <cell r="U1025">
            <v>0.8</v>
          </cell>
          <cell r="V1025">
            <v>3</v>
          </cell>
          <cell r="W1025">
            <v>1</v>
          </cell>
          <cell r="X1025">
            <v>60</v>
          </cell>
          <cell r="Y1025">
            <v>1.7</v>
          </cell>
          <cell r="Z1025">
            <v>1.4</v>
          </cell>
          <cell r="AA1025">
            <v>1</v>
          </cell>
          <cell r="AB1025">
            <v>0</v>
          </cell>
        </row>
        <row r="1026">
          <cell r="A1026">
            <v>1025</v>
          </cell>
          <cell r="B1026" t="str">
            <v>多重撃の荒法師 武蔵坊弁慶</v>
          </cell>
          <cell r="C1026">
            <v>6</v>
          </cell>
          <cell r="D1026" t="str">
            <v>yellow</v>
          </cell>
          <cell r="E1026">
            <v>0.98</v>
          </cell>
          <cell r="F1026">
            <v>1.01</v>
          </cell>
          <cell r="G1026">
            <v>1</v>
          </cell>
          <cell r="H1026" t="str">
            <v>attack</v>
          </cell>
          <cell r="I1026" t="str">
            <v>攻撃タイプ</v>
          </cell>
          <cell r="J1026">
            <v>1</v>
          </cell>
          <cell r="K1026">
            <v>1.33</v>
          </cell>
          <cell r="L1026">
            <v>1</v>
          </cell>
          <cell r="M1026" t="str">
            <v>human</v>
          </cell>
          <cell r="N1026" t="str">
            <v>ヒューマン</v>
          </cell>
          <cell r="O1026">
            <v>0.94</v>
          </cell>
          <cell r="P1026">
            <v>0.99</v>
          </cell>
          <cell r="Q1026">
            <v>1</v>
          </cell>
          <cell r="R1026" t="str">
            <v>Boss</v>
          </cell>
          <cell r="S1026">
            <v>5</v>
          </cell>
          <cell r="T1026">
            <v>1.3</v>
          </cell>
          <cell r="U1026">
            <v>0.8</v>
          </cell>
          <cell r="V1026">
            <v>3</v>
          </cell>
          <cell r="W1026">
            <v>1</v>
          </cell>
          <cell r="X1026">
            <v>60</v>
          </cell>
          <cell r="Y1026">
            <v>1.7</v>
          </cell>
          <cell r="Z1026">
            <v>1.4</v>
          </cell>
          <cell r="AA1026">
            <v>1</v>
          </cell>
          <cell r="AB1026">
            <v>0</v>
          </cell>
        </row>
        <row r="1027">
          <cell r="A1027">
            <v>1026</v>
          </cell>
          <cell r="B1027" t="str">
            <v>蝉丸</v>
          </cell>
          <cell r="C1027">
            <v>4</v>
          </cell>
          <cell r="D1027" t="str">
            <v>red</v>
          </cell>
          <cell r="E1027">
            <v>1</v>
          </cell>
          <cell r="F1027">
            <v>1.02</v>
          </cell>
          <cell r="G1027">
            <v>1</v>
          </cell>
          <cell r="H1027" t="str">
            <v>attack</v>
          </cell>
          <cell r="I1027" t="str">
            <v>攻撃タイプ</v>
          </cell>
          <cell r="J1027">
            <v>1</v>
          </cell>
          <cell r="K1027">
            <v>1.33</v>
          </cell>
          <cell r="L1027">
            <v>1</v>
          </cell>
          <cell r="M1027" t="str">
            <v>human</v>
          </cell>
          <cell r="N1027" t="str">
            <v>ヒューマン</v>
          </cell>
          <cell r="O1027">
            <v>0.94</v>
          </cell>
          <cell r="P1027">
            <v>0.99</v>
          </cell>
          <cell r="Q1027">
            <v>1</v>
          </cell>
          <cell r="R1027" t="str">
            <v>Boss</v>
          </cell>
          <cell r="S1027">
            <v>5</v>
          </cell>
          <cell r="T1027">
            <v>1.3</v>
          </cell>
          <cell r="U1027">
            <v>0.8</v>
          </cell>
          <cell r="V1027">
            <v>3</v>
          </cell>
          <cell r="W1027">
            <v>1</v>
          </cell>
          <cell r="X1027">
            <v>30</v>
          </cell>
          <cell r="Y1027">
            <v>1.3</v>
          </cell>
          <cell r="Z1027">
            <v>1.3</v>
          </cell>
          <cell r="AA1027">
            <v>1.1000000000000001</v>
          </cell>
          <cell r="AB1027">
            <v>0</v>
          </cell>
        </row>
        <row r="1028">
          <cell r="A1028">
            <v>1027</v>
          </cell>
          <cell r="B1028" t="str">
            <v>弾丸多重奏 蝉丸</v>
          </cell>
          <cell r="C1028">
            <v>5</v>
          </cell>
          <cell r="D1028" t="str">
            <v>red</v>
          </cell>
          <cell r="E1028">
            <v>1</v>
          </cell>
          <cell r="F1028">
            <v>1.02</v>
          </cell>
          <cell r="G1028">
            <v>1</v>
          </cell>
          <cell r="H1028" t="str">
            <v>attack</v>
          </cell>
          <cell r="I1028" t="str">
            <v>攻撃タイプ</v>
          </cell>
          <cell r="J1028">
            <v>1</v>
          </cell>
          <cell r="K1028">
            <v>1.33</v>
          </cell>
          <cell r="L1028">
            <v>1</v>
          </cell>
          <cell r="M1028" t="str">
            <v>human</v>
          </cell>
          <cell r="N1028" t="str">
            <v>ヒューマン</v>
          </cell>
          <cell r="O1028">
            <v>0.94</v>
          </cell>
          <cell r="P1028">
            <v>0.99</v>
          </cell>
          <cell r="Q1028">
            <v>1</v>
          </cell>
          <cell r="R1028" t="str">
            <v>Boss</v>
          </cell>
          <cell r="S1028">
            <v>5</v>
          </cell>
          <cell r="T1028">
            <v>1.3</v>
          </cell>
          <cell r="U1028">
            <v>0.8</v>
          </cell>
          <cell r="V1028">
            <v>3</v>
          </cell>
          <cell r="W1028">
            <v>1</v>
          </cell>
          <cell r="X1028">
            <v>60</v>
          </cell>
          <cell r="Y1028">
            <v>1.7</v>
          </cell>
          <cell r="Z1028">
            <v>1.4</v>
          </cell>
          <cell r="AA1028">
            <v>1</v>
          </cell>
          <cell r="AB1028">
            <v>0</v>
          </cell>
        </row>
        <row r="1029">
          <cell r="A1029">
            <v>1028</v>
          </cell>
          <cell r="B1029" t="str">
            <v>牛若丸</v>
          </cell>
          <cell r="C1029">
            <v>5</v>
          </cell>
          <cell r="D1029" t="str">
            <v>green</v>
          </cell>
          <cell r="E1029">
            <v>1.02</v>
          </cell>
          <cell r="F1029">
            <v>0.98</v>
          </cell>
          <cell r="G1029">
            <v>1</v>
          </cell>
          <cell r="H1029" t="str">
            <v>balance</v>
          </cell>
          <cell r="I1029" t="str">
            <v>バランスタイプ</v>
          </cell>
          <cell r="J1029">
            <v>1</v>
          </cell>
          <cell r="K1029">
            <v>1</v>
          </cell>
          <cell r="L1029">
            <v>1</v>
          </cell>
          <cell r="M1029" t="str">
            <v>human</v>
          </cell>
          <cell r="N1029" t="str">
            <v>ヒューマン</v>
          </cell>
          <cell r="O1029">
            <v>0.94</v>
          </cell>
          <cell r="P1029">
            <v>0.99</v>
          </cell>
          <cell r="Q1029">
            <v>1</v>
          </cell>
          <cell r="R1029" t="str">
            <v>Boss</v>
          </cell>
          <cell r="S1029">
            <v>5</v>
          </cell>
          <cell r="T1029">
            <v>1.3</v>
          </cell>
          <cell r="U1029">
            <v>0.8</v>
          </cell>
          <cell r="V1029">
            <v>3</v>
          </cell>
          <cell r="W1029">
            <v>1</v>
          </cell>
          <cell r="X1029">
            <v>60</v>
          </cell>
          <cell r="Y1029">
            <v>1.7</v>
          </cell>
          <cell r="Z1029">
            <v>1.4</v>
          </cell>
          <cell r="AA1029">
            <v>1</v>
          </cell>
          <cell r="AB1029">
            <v>0</v>
          </cell>
        </row>
        <row r="1030">
          <cell r="A1030">
            <v>1029</v>
          </cell>
          <cell r="B1030" t="str">
            <v>天賦の軍才 牛若丸</v>
          </cell>
          <cell r="C1030">
            <v>6</v>
          </cell>
          <cell r="D1030" t="str">
            <v>green</v>
          </cell>
          <cell r="E1030">
            <v>1.02</v>
          </cell>
          <cell r="F1030">
            <v>0.98</v>
          </cell>
          <cell r="G1030">
            <v>1</v>
          </cell>
          <cell r="H1030" t="str">
            <v>balance</v>
          </cell>
          <cell r="I1030" t="str">
            <v>バランスタイプ</v>
          </cell>
          <cell r="J1030">
            <v>1</v>
          </cell>
          <cell r="K1030">
            <v>1</v>
          </cell>
          <cell r="L1030">
            <v>1</v>
          </cell>
          <cell r="M1030" t="str">
            <v>human</v>
          </cell>
          <cell r="N1030" t="str">
            <v>ヒューマン</v>
          </cell>
          <cell r="O1030">
            <v>0.94</v>
          </cell>
          <cell r="P1030">
            <v>0.99</v>
          </cell>
          <cell r="Q1030">
            <v>1</v>
          </cell>
          <cell r="R1030" t="str">
            <v>Boss</v>
          </cell>
          <cell r="S1030">
            <v>5</v>
          </cell>
          <cell r="T1030">
            <v>1.3</v>
          </cell>
          <cell r="U1030">
            <v>0.8</v>
          </cell>
          <cell r="V1030">
            <v>3</v>
          </cell>
          <cell r="W1030">
            <v>1</v>
          </cell>
          <cell r="X1030">
            <v>60</v>
          </cell>
          <cell r="Y1030">
            <v>1.7</v>
          </cell>
          <cell r="Z1030">
            <v>1.4</v>
          </cell>
          <cell r="AA1030">
            <v>1</v>
          </cell>
          <cell r="AB1030">
            <v>0</v>
          </cell>
        </row>
        <row r="1031">
          <cell r="A1031">
            <v>1030</v>
          </cell>
          <cell r="B1031" t="str">
            <v>百戦錬磨のカリスマ 源義経</v>
          </cell>
          <cell r="C1031">
            <v>6</v>
          </cell>
          <cell r="D1031" t="str">
            <v>green</v>
          </cell>
          <cell r="E1031">
            <v>1.02</v>
          </cell>
          <cell r="F1031">
            <v>0.98</v>
          </cell>
          <cell r="G1031">
            <v>1</v>
          </cell>
          <cell r="H1031" t="str">
            <v>balance</v>
          </cell>
          <cell r="I1031" t="str">
            <v>バランスタイプ</v>
          </cell>
          <cell r="J1031">
            <v>1</v>
          </cell>
          <cell r="K1031">
            <v>1</v>
          </cell>
          <cell r="L1031">
            <v>1</v>
          </cell>
          <cell r="M1031" t="str">
            <v>human</v>
          </cell>
          <cell r="N1031" t="str">
            <v>ヒューマン</v>
          </cell>
          <cell r="O1031">
            <v>0.94</v>
          </cell>
          <cell r="P1031">
            <v>0.99</v>
          </cell>
          <cell r="Q1031">
            <v>1</v>
          </cell>
          <cell r="R1031" t="str">
            <v>Boss</v>
          </cell>
          <cell r="S1031">
            <v>5</v>
          </cell>
          <cell r="T1031">
            <v>1.3</v>
          </cell>
          <cell r="U1031">
            <v>0.8</v>
          </cell>
          <cell r="V1031">
            <v>3</v>
          </cell>
          <cell r="W1031">
            <v>1</v>
          </cell>
          <cell r="X1031">
            <v>60</v>
          </cell>
          <cell r="Y1031">
            <v>1.7</v>
          </cell>
          <cell r="Z1031">
            <v>1.4</v>
          </cell>
          <cell r="AA1031">
            <v>1</v>
          </cell>
          <cell r="AB1031">
            <v>0</v>
          </cell>
        </row>
        <row r="1032">
          <cell r="A1032">
            <v>1031</v>
          </cell>
          <cell r="B1032" t="str">
            <v>紫式部</v>
          </cell>
          <cell r="C1032">
            <v>5</v>
          </cell>
          <cell r="D1032" t="str">
            <v>blue</v>
          </cell>
          <cell r="E1032">
            <v>1</v>
          </cell>
          <cell r="F1032">
            <v>0.98</v>
          </cell>
          <cell r="G1032">
            <v>1</v>
          </cell>
          <cell r="H1032" t="str">
            <v>technical</v>
          </cell>
          <cell r="I1032" t="str">
            <v>テクニカルタイプ</v>
          </cell>
          <cell r="J1032">
            <v>0.9</v>
          </cell>
          <cell r="K1032">
            <v>0.9</v>
          </cell>
          <cell r="L1032">
            <v>1</v>
          </cell>
          <cell r="M1032" t="str">
            <v>human</v>
          </cell>
          <cell r="N1032" t="str">
            <v>ヒューマン</v>
          </cell>
          <cell r="O1032">
            <v>0.94</v>
          </cell>
          <cell r="P1032">
            <v>0.99</v>
          </cell>
          <cell r="Q1032">
            <v>1</v>
          </cell>
          <cell r="R1032" t="str">
            <v>Boss</v>
          </cell>
          <cell r="S1032">
            <v>5</v>
          </cell>
          <cell r="T1032">
            <v>1.3</v>
          </cell>
          <cell r="U1032">
            <v>0.8</v>
          </cell>
          <cell r="V1032">
            <v>3</v>
          </cell>
          <cell r="W1032">
            <v>1</v>
          </cell>
          <cell r="X1032">
            <v>60</v>
          </cell>
          <cell r="Y1032">
            <v>1.7</v>
          </cell>
          <cell r="Z1032">
            <v>1.4</v>
          </cell>
          <cell r="AA1032">
            <v>1</v>
          </cell>
          <cell r="AB1032">
            <v>0</v>
          </cell>
        </row>
        <row r="1033">
          <cell r="A1033">
            <v>1032</v>
          </cell>
          <cell r="B1033" t="str">
            <v>彩気煥発の創作人 紫式部</v>
          </cell>
          <cell r="C1033">
            <v>6</v>
          </cell>
          <cell r="D1033" t="str">
            <v>blue</v>
          </cell>
          <cell r="E1033">
            <v>1</v>
          </cell>
          <cell r="F1033">
            <v>0.98</v>
          </cell>
          <cell r="G1033">
            <v>1</v>
          </cell>
          <cell r="H1033" t="str">
            <v>technical</v>
          </cell>
          <cell r="I1033" t="str">
            <v>テクニカルタイプ</v>
          </cell>
          <cell r="J1033">
            <v>0.9</v>
          </cell>
          <cell r="K1033">
            <v>0.9</v>
          </cell>
          <cell r="L1033">
            <v>1</v>
          </cell>
          <cell r="M1033" t="str">
            <v>human</v>
          </cell>
          <cell r="N1033" t="str">
            <v>ヒューマン</v>
          </cell>
          <cell r="O1033">
            <v>0.94</v>
          </cell>
          <cell r="P1033">
            <v>0.99</v>
          </cell>
          <cell r="Q1033">
            <v>1</v>
          </cell>
          <cell r="R1033" t="str">
            <v>Boss</v>
          </cell>
          <cell r="S1033">
            <v>5</v>
          </cell>
          <cell r="T1033">
            <v>1.3</v>
          </cell>
          <cell r="U1033">
            <v>0.8</v>
          </cell>
          <cell r="V1033">
            <v>3</v>
          </cell>
          <cell r="W1033">
            <v>1</v>
          </cell>
          <cell r="X1033">
            <v>60</v>
          </cell>
          <cell r="Y1033">
            <v>1.7</v>
          </cell>
          <cell r="Z1033">
            <v>1.4</v>
          </cell>
          <cell r="AA1033">
            <v>1</v>
          </cell>
          <cell r="AB1033">
            <v>0</v>
          </cell>
        </row>
        <row r="1034">
          <cell r="A1034">
            <v>1033</v>
          </cell>
          <cell r="B1034" t="str">
            <v>清少納言</v>
          </cell>
          <cell r="C1034">
            <v>5</v>
          </cell>
          <cell r="D1034" t="str">
            <v>yellow</v>
          </cell>
          <cell r="E1034">
            <v>0.98</v>
          </cell>
          <cell r="F1034">
            <v>1.01</v>
          </cell>
          <cell r="G1034">
            <v>1</v>
          </cell>
          <cell r="H1034" t="str">
            <v>heal</v>
          </cell>
          <cell r="I1034" t="str">
            <v>回復タイプ</v>
          </cell>
          <cell r="J1034">
            <v>0.8</v>
          </cell>
          <cell r="K1034">
            <v>0.78</v>
          </cell>
          <cell r="L1034">
            <v>1</v>
          </cell>
          <cell r="M1034" t="str">
            <v>human</v>
          </cell>
          <cell r="N1034" t="str">
            <v>ヒューマン</v>
          </cell>
          <cell r="O1034">
            <v>0.94</v>
          </cell>
          <cell r="P1034">
            <v>0.99</v>
          </cell>
          <cell r="Q1034">
            <v>1</v>
          </cell>
          <cell r="R1034" t="str">
            <v>Boss</v>
          </cell>
          <cell r="S1034">
            <v>5</v>
          </cell>
          <cell r="T1034">
            <v>1.3</v>
          </cell>
          <cell r="U1034">
            <v>0.8</v>
          </cell>
          <cell r="V1034">
            <v>3</v>
          </cell>
          <cell r="W1034">
            <v>1</v>
          </cell>
          <cell r="X1034">
            <v>60</v>
          </cell>
          <cell r="Y1034">
            <v>1.7</v>
          </cell>
          <cell r="Z1034">
            <v>1.4</v>
          </cell>
          <cell r="AA1034">
            <v>1</v>
          </cell>
          <cell r="AB1034">
            <v>0</v>
          </cell>
        </row>
        <row r="1035">
          <cell r="A1035">
            <v>1034</v>
          </cell>
          <cell r="B1035" t="str">
            <v>爛漫なる随筆家 清少納言</v>
          </cell>
          <cell r="C1035">
            <v>6</v>
          </cell>
          <cell r="D1035" t="str">
            <v>yellow</v>
          </cell>
          <cell r="E1035">
            <v>0.98</v>
          </cell>
          <cell r="F1035">
            <v>1.01</v>
          </cell>
          <cell r="G1035">
            <v>1</v>
          </cell>
          <cell r="H1035" t="str">
            <v>heal</v>
          </cell>
          <cell r="I1035" t="str">
            <v>回復タイプ</v>
          </cell>
          <cell r="J1035">
            <v>0.8</v>
          </cell>
          <cell r="K1035">
            <v>0.78</v>
          </cell>
          <cell r="L1035">
            <v>1</v>
          </cell>
          <cell r="M1035" t="str">
            <v>human</v>
          </cell>
          <cell r="N1035" t="str">
            <v>ヒューマン</v>
          </cell>
          <cell r="O1035">
            <v>0.94</v>
          </cell>
          <cell r="P1035">
            <v>0.99</v>
          </cell>
          <cell r="Q1035">
            <v>1</v>
          </cell>
          <cell r="R1035" t="str">
            <v>Boss</v>
          </cell>
          <cell r="S1035">
            <v>5</v>
          </cell>
          <cell r="T1035">
            <v>1.3</v>
          </cell>
          <cell r="U1035">
            <v>0.8</v>
          </cell>
          <cell r="V1035">
            <v>3</v>
          </cell>
          <cell r="W1035">
            <v>1</v>
          </cell>
          <cell r="X1035">
            <v>60</v>
          </cell>
          <cell r="Y1035">
            <v>1.7</v>
          </cell>
          <cell r="Z1035">
            <v>1.4</v>
          </cell>
          <cell r="AA1035">
            <v>1</v>
          </cell>
          <cell r="AB1035">
            <v>0</v>
          </cell>
        </row>
        <row r="1036">
          <cell r="A1036">
            <v>1035</v>
          </cell>
          <cell r="B1036" t="str">
            <v>ウザリーマン</v>
          </cell>
          <cell r="C1036">
            <v>5</v>
          </cell>
          <cell r="D1036" t="str">
            <v>yellow</v>
          </cell>
          <cell r="E1036">
            <v>0.98</v>
          </cell>
          <cell r="F1036">
            <v>1.01</v>
          </cell>
          <cell r="G1036">
            <v>1</v>
          </cell>
          <cell r="H1036" t="str">
            <v>technical</v>
          </cell>
          <cell r="I1036" t="str">
            <v>テクニカルタイプ</v>
          </cell>
          <cell r="J1036">
            <v>0.9</v>
          </cell>
          <cell r="K1036">
            <v>0.9</v>
          </cell>
          <cell r="L1036">
            <v>1</v>
          </cell>
          <cell r="M1036" t="str">
            <v>unknown</v>
          </cell>
          <cell r="N1036" t="str">
            <v>Unknown</v>
          </cell>
          <cell r="O1036">
            <v>1</v>
          </cell>
          <cell r="P1036">
            <v>1</v>
          </cell>
          <cell r="Q1036">
            <v>1</v>
          </cell>
          <cell r="R1036" t="str">
            <v>Boss</v>
          </cell>
          <cell r="S1036">
            <v>5</v>
          </cell>
          <cell r="T1036">
            <v>1.3</v>
          </cell>
          <cell r="U1036">
            <v>0.8</v>
          </cell>
          <cell r="V1036">
            <v>3</v>
          </cell>
          <cell r="W1036">
            <v>1</v>
          </cell>
          <cell r="X1036">
            <v>60</v>
          </cell>
          <cell r="Y1036">
            <v>1.7</v>
          </cell>
          <cell r="Z1036">
            <v>1.4</v>
          </cell>
          <cell r="AA1036">
            <v>1</v>
          </cell>
          <cell r="AB1036">
            <v>0</v>
          </cell>
        </row>
        <row r="1037">
          <cell r="A1037">
            <v>1036</v>
          </cell>
          <cell r="B1037" t="str">
            <v>ウザリーマン</v>
          </cell>
          <cell r="C1037">
            <v>6</v>
          </cell>
          <cell r="D1037" t="str">
            <v>yellow</v>
          </cell>
          <cell r="E1037">
            <v>0.98</v>
          </cell>
          <cell r="F1037">
            <v>1.01</v>
          </cell>
          <cell r="G1037">
            <v>1</v>
          </cell>
          <cell r="H1037" t="str">
            <v>technical</v>
          </cell>
          <cell r="I1037" t="str">
            <v>テクニカルタイプ</v>
          </cell>
          <cell r="J1037">
            <v>0.9</v>
          </cell>
          <cell r="K1037">
            <v>0.9</v>
          </cell>
          <cell r="L1037">
            <v>1</v>
          </cell>
          <cell r="M1037" t="str">
            <v>unknown</v>
          </cell>
          <cell r="N1037" t="str">
            <v>Unknown</v>
          </cell>
          <cell r="O1037">
            <v>1</v>
          </cell>
          <cell r="P1037">
            <v>1</v>
          </cell>
          <cell r="Q1037">
            <v>1</v>
          </cell>
          <cell r="R1037" t="str">
            <v>Boss</v>
          </cell>
          <cell r="S1037">
            <v>5</v>
          </cell>
          <cell r="T1037">
            <v>1.3</v>
          </cell>
          <cell r="U1037">
            <v>0.8</v>
          </cell>
          <cell r="V1037">
            <v>3</v>
          </cell>
          <cell r="W1037">
            <v>1</v>
          </cell>
          <cell r="X1037">
            <v>60</v>
          </cell>
          <cell r="Y1037">
            <v>1.7</v>
          </cell>
          <cell r="Z1037">
            <v>1.4</v>
          </cell>
          <cell r="AA1037">
            <v>1</v>
          </cell>
          <cell r="AB1037">
            <v>0</v>
          </cell>
        </row>
        <row r="1038">
          <cell r="A1038">
            <v>1037</v>
          </cell>
          <cell r="B1038" t="str">
            <v>ミューズ</v>
          </cell>
          <cell r="C1038">
            <v>5</v>
          </cell>
          <cell r="D1038" t="str">
            <v>yellow</v>
          </cell>
          <cell r="E1038">
            <v>0.98</v>
          </cell>
          <cell r="F1038">
            <v>1.01</v>
          </cell>
          <cell r="G1038">
            <v>1</v>
          </cell>
          <cell r="H1038" t="str">
            <v>balance</v>
          </cell>
          <cell r="I1038" t="str">
            <v>バランスタイプ</v>
          </cell>
          <cell r="J1038">
            <v>1</v>
          </cell>
          <cell r="K1038">
            <v>1</v>
          </cell>
          <cell r="L1038">
            <v>1</v>
          </cell>
          <cell r="M1038" t="str">
            <v>unknown</v>
          </cell>
          <cell r="N1038" t="str">
            <v>Unknown</v>
          </cell>
          <cell r="O1038">
            <v>1</v>
          </cell>
          <cell r="P1038">
            <v>1</v>
          </cell>
          <cell r="Q1038">
            <v>1</v>
          </cell>
          <cell r="R1038" t="str">
            <v>Boss</v>
          </cell>
          <cell r="S1038">
            <v>5</v>
          </cell>
          <cell r="T1038">
            <v>1.3</v>
          </cell>
          <cell r="U1038">
            <v>0.8</v>
          </cell>
          <cell r="V1038">
            <v>3</v>
          </cell>
          <cell r="W1038">
            <v>1</v>
          </cell>
          <cell r="X1038">
            <v>60</v>
          </cell>
          <cell r="Y1038">
            <v>1.7</v>
          </cell>
          <cell r="Z1038">
            <v>1.4</v>
          </cell>
          <cell r="AA1038">
            <v>1</v>
          </cell>
          <cell r="AB1038">
            <v>0</v>
          </cell>
        </row>
        <row r="1039">
          <cell r="A1039">
            <v>1038</v>
          </cell>
          <cell r="B1039" t="str">
            <v>歌音届ける楽愛神 ミューズ</v>
          </cell>
          <cell r="C1039">
            <v>6</v>
          </cell>
          <cell r="D1039" t="str">
            <v>yellow</v>
          </cell>
          <cell r="E1039">
            <v>0.98</v>
          </cell>
          <cell r="F1039">
            <v>1.01</v>
          </cell>
          <cell r="G1039">
            <v>1</v>
          </cell>
          <cell r="H1039" t="str">
            <v>balance</v>
          </cell>
          <cell r="I1039" t="str">
            <v>バランスタイプ</v>
          </cell>
          <cell r="J1039">
            <v>1</v>
          </cell>
          <cell r="K1039">
            <v>1</v>
          </cell>
          <cell r="L1039">
            <v>1</v>
          </cell>
          <cell r="M1039" t="str">
            <v>unknown</v>
          </cell>
          <cell r="N1039" t="str">
            <v>Unknown</v>
          </cell>
          <cell r="O1039">
            <v>1</v>
          </cell>
          <cell r="P1039">
            <v>1</v>
          </cell>
          <cell r="Q1039">
            <v>1</v>
          </cell>
          <cell r="R1039" t="str">
            <v>Boss</v>
          </cell>
          <cell r="S1039">
            <v>5</v>
          </cell>
          <cell r="T1039">
            <v>1.3</v>
          </cell>
          <cell r="U1039">
            <v>0.8</v>
          </cell>
          <cell r="V1039">
            <v>3</v>
          </cell>
          <cell r="W1039">
            <v>1</v>
          </cell>
          <cell r="X1039">
            <v>60</v>
          </cell>
          <cell r="Y1039">
            <v>1.7</v>
          </cell>
          <cell r="Z1039">
            <v>1.4</v>
          </cell>
          <cell r="AA1039">
            <v>1</v>
          </cell>
          <cell r="AB1039">
            <v>0</v>
          </cell>
        </row>
        <row r="1040">
          <cell r="A1040">
            <v>1039</v>
          </cell>
          <cell r="B1040" t="str">
            <v>ディラック</v>
          </cell>
          <cell r="C1040">
            <v>5</v>
          </cell>
          <cell r="D1040" t="str">
            <v>blue</v>
          </cell>
          <cell r="E1040">
            <v>1</v>
          </cell>
          <cell r="F1040">
            <v>0.98</v>
          </cell>
          <cell r="G1040">
            <v>1</v>
          </cell>
          <cell r="H1040" t="str">
            <v>technical</v>
          </cell>
          <cell r="I1040" t="str">
            <v>テクニカルタイプ</v>
          </cell>
          <cell r="J1040">
            <v>0.9</v>
          </cell>
          <cell r="K1040">
            <v>0.9</v>
          </cell>
          <cell r="L1040">
            <v>1</v>
          </cell>
          <cell r="M1040" t="str">
            <v>academia</v>
          </cell>
          <cell r="N1040" t="str">
            <v>アカデミア</v>
          </cell>
          <cell r="O1040">
            <v>1</v>
          </cell>
          <cell r="P1040">
            <v>1</v>
          </cell>
          <cell r="Q1040">
            <v>1</v>
          </cell>
          <cell r="R1040" t="str">
            <v>Boss</v>
          </cell>
          <cell r="S1040">
            <v>5</v>
          </cell>
          <cell r="T1040">
            <v>1.3</v>
          </cell>
          <cell r="U1040">
            <v>0.8</v>
          </cell>
          <cell r="V1040">
            <v>3</v>
          </cell>
          <cell r="W1040">
            <v>1</v>
          </cell>
          <cell r="X1040">
            <v>60</v>
          </cell>
          <cell r="Y1040">
            <v>1.7</v>
          </cell>
          <cell r="Z1040">
            <v>1.4</v>
          </cell>
          <cell r="AA1040">
            <v>1</v>
          </cell>
          <cell r="AB1040">
            <v>0</v>
          </cell>
        </row>
        <row r="1041">
          <cell r="A1041">
            <v>1040</v>
          </cell>
          <cell r="B1041" t="str">
            <v>蒼流の電磁団 ディラック</v>
          </cell>
          <cell r="C1041">
            <v>6</v>
          </cell>
          <cell r="D1041" t="str">
            <v>blue</v>
          </cell>
          <cell r="E1041">
            <v>1</v>
          </cell>
          <cell r="F1041">
            <v>0.98</v>
          </cell>
          <cell r="G1041">
            <v>1</v>
          </cell>
          <cell r="H1041" t="str">
            <v>technical</v>
          </cell>
          <cell r="I1041" t="str">
            <v>テクニカルタイプ</v>
          </cell>
          <cell r="J1041">
            <v>0.9</v>
          </cell>
          <cell r="K1041">
            <v>0.9</v>
          </cell>
          <cell r="L1041">
            <v>1</v>
          </cell>
          <cell r="M1041" t="str">
            <v>academia</v>
          </cell>
          <cell r="N1041" t="str">
            <v>アカデミア</v>
          </cell>
          <cell r="O1041">
            <v>1</v>
          </cell>
          <cell r="P1041">
            <v>1</v>
          </cell>
          <cell r="Q1041">
            <v>1</v>
          </cell>
          <cell r="R1041" t="str">
            <v>Boss</v>
          </cell>
          <cell r="S1041">
            <v>5</v>
          </cell>
          <cell r="T1041">
            <v>1.3</v>
          </cell>
          <cell r="U1041">
            <v>0.8</v>
          </cell>
          <cell r="V1041">
            <v>3</v>
          </cell>
          <cell r="W1041">
            <v>1</v>
          </cell>
          <cell r="X1041">
            <v>60</v>
          </cell>
          <cell r="Y1041">
            <v>1.7</v>
          </cell>
          <cell r="Z1041">
            <v>1.4</v>
          </cell>
          <cell r="AA1041">
            <v>1</v>
          </cell>
          <cell r="AB1041">
            <v>0</v>
          </cell>
        </row>
        <row r="1042">
          <cell r="A1042">
            <v>1041</v>
          </cell>
          <cell r="B1042" t="str">
            <v>織姫</v>
          </cell>
          <cell r="C1042">
            <v>5</v>
          </cell>
          <cell r="D1042" t="str">
            <v>red</v>
          </cell>
          <cell r="E1042">
            <v>1</v>
          </cell>
          <cell r="F1042">
            <v>1.02</v>
          </cell>
          <cell r="G1042">
            <v>1</v>
          </cell>
          <cell r="H1042" t="str">
            <v>attack</v>
          </cell>
          <cell r="I1042" t="str">
            <v>攻撃タイプ</v>
          </cell>
          <cell r="J1042">
            <v>1</v>
          </cell>
          <cell r="K1042">
            <v>1.33</v>
          </cell>
          <cell r="L1042">
            <v>1</v>
          </cell>
          <cell r="M1042" t="str">
            <v>god</v>
          </cell>
          <cell r="N1042" t="str">
            <v>ゴッド</v>
          </cell>
          <cell r="O1042">
            <v>0.96</v>
          </cell>
          <cell r="P1042">
            <v>1.02</v>
          </cell>
          <cell r="Q1042">
            <v>1</v>
          </cell>
          <cell r="R1042" t="str">
            <v>Boss</v>
          </cell>
          <cell r="S1042">
            <v>5</v>
          </cell>
          <cell r="T1042">
            <v>1.3</v>
          </cell>
          <cell r="U1042">
            <v>0.8</v>
          </cell>
          <cell r="V1042">
            <v>3</v>
          </cell>
          <cell r="W1042">
            <v>1</v>
          </cell>
          <cell r="X1042">
            <v>60</v>
          </cell>
          <cell r="Y1042">
            <v>1.7</v>
          </cell>
          <cell r="Z1042">
            <v>1.4</v>
          </cell>
          <cell r="AA1042">
            <v>1</v>
          </cell>
          <cell r="AB1042">
            <v>0</v>
          </cell>
        </row>
        <row r="1043">
          <cell r="A1043">
            <v>1042</v>
          </cell>
          <cell r="B1043" t="str">
            <v>希紡の天帝姫 織姫</v>
          </cell>
          <cell r="C1043">
            <v>6</v>
          </cell>
          <cell r="D1043" t="str">
            <v>red</v>
          </cell>
          <cell r="E1043">
            <v>1</v>
          </cell>
          <cell r="F1043">
            <v>1.02</v>
          </cell>
          <cell r="G1043">
            <v>1</v>
          </cell>
          <cell r="H1043" t="str">
            <v>attack</v>
          </cell>
          <cell r="I1043" t="str">
            <v>攻撃タイプ</v>
          </cell>
          <cell r="J1043">
            <v>1</v>
          </cell>
          <cell r="K1043">
            <v>1.33</v>
          </cell>
          <cell r="L1043">
            <v>1</v>
          </cell>
          <cell r="M1043" t="str">
            <v>god</v>
          </cell>
          <cell r="N1043" t="str">
            <v>ゴッド</v>
          </cell>
          <cell r="O1043">
            <v>0.96</v>
          </cell>
          <cell r="P1043">
            <v>1.02</v>
          </cell>
          <cell r="Q1043">
            <v>1</v>
          </cell>
          <cell r="R1043" t="str">
            <v>Boss</v>
          </cell>
          <cell r="S1043">
            <v>5</v>
          </cell>
          <cell r="T1043">
            <v>1.3</v>
          </cell>
          <cell r="U1043">
            <v>0.8</v>
          </cell>
          <cell r="V1043">
            <v>3</v>
          </cell>
          <cell r="W1043">
            <v>1</v>
          </cell>
          <cell r="X1043">
            <v>60</v>
          </cell>
          <cell r="Y1043">
            <v>1.7</v>
          </cell>
          <cell r="Z1043">
            <v>1.4</v>
          </cell>
          <cell r="AA1043">
            <v>1</v>
          </cell>
          <cell r="AB1043">
            <v>0</v>
          </cell>
        </row>
        <row r="1044">
          <cell r="A1044">
            <v>1043</v>
          </cell>
          <cell r="B1044" t="str">
            <v>彦星</v>
          </cell>
          <cell r="C1044">
            <v>5</v>
          </cell>
          <cell r="D1044" t="str">
            <v>green</v>
          </cell>
          <cell r="E1044">
            <v>1.02</v>
          </cell>
          <cell r="F1044">
            <v>0.98</v>
          </cell>
          <cell r="G1044">
            <v>1</v>
          </cell>
          <cell r="H1044" t="str">
            <v>technical</v>
          </cell>
          <cell r="I1044" t="str">
            <v>テクニカルタイプ</v>
          </cell>
          <cell r="J1044">
            <v>0.9</v>
          </cell>
          <cell r="K1044">
            <v>0.9</v>
          </cell>
          <cell r="L1044">
            <v>1</v>
          </cell>
          <cell r="M1044" t="str">
            <v>god</v>
          </cell>
          <cell r="N1044" t="str">
            <v>ゴッド</v>
          </cell>
          <cell r="O1044">
            <v>0.96</v>
          </cell>
          <cell r="P1044">
            <v>1.02</v>
          </cell>
          <cell r="Q1044">
            <v>1</v>
          </cell>
          <cell r="R1044" t="str">
            <v>Boss</v>
          </cell>
          <cell r="S1044">
            <v>5</v>
          </cell>
          <cell r="T1044">
            <v>1.3</v>
          </cell>
          <cell r="U1044">
            <v>0.8</v>
          </cell>
          <cell r="V1044">
            <v>3</v>
          </cell>
          <cell r="W1044">
            <v>1</v>
          </cell>
          <cell r="X1044">
            <v>60</v>
          </cell>
          <cell r="Y1044">
            <v>1.7</v>
          </cell>
          <cell r="Z1044">
            <v>1.4</v>
          </cell>
          <cell r="AA1044">
            <v>1</v>
          </cell>
          <cell r="AB1044">
            <v>0</v>
          </cell>
        </row>
        <row r="1045">
          <cell r="A1045">
            <v>1044</v>
          </cell>
          <cell r="B1045" t="str">
            <v>恋狩の色星主  彦星</v>
          </cell>
          <cell r="C1045">
            <v>6</v>
          </cell>
          <cell r="D1045" t="str">
            <v>green</v>
          </cell>
          <cell r="E1045">
            <v>1.02</v>
          </cell>
          <cell r="F1045">
            <v>0.98</v>
          </cell>
          <cell r="G1045">
            <v>1</v>
          </cell>
          <cell r="H1045" t="str">
            <v>technical</v>
          </cell>
          <cell r="I1045" t="str">
            <v>テクニカルタイプ</v>
          </cell>
          <cell r="J1045">
            <v>0.9</v>
          </cell>
          <cell r="K1045">
            <v>0.9</v>
          </cell>
          <cell r="L1045">
            <v>1</v>
          </cell>
          <cell r="M1045" t="str">
            <v>god</v>
          </cell>
          <cell r="N1045" t="str">
            <v>ゴッド</v>
          </cell>
          <cell r="O1045">
            <v>0.96</v>
          </cell>
          <cell r="P1045">
            <v>1.02</v>
          </cell>
          <cell r="Q1045">
            <v>1</v>
          </cell>
          <cell r="R1045" t="str">
            <v>Boss</v>
          </cell>
          <cell r="S1045">
            <v>5</v>
          </cell>
          <cell r="T1045">
            <v>1.3</v>
          </cell>
          <cell r="U1045">
            <v>0.8</v>
          </cell>
          <cell r="V1045">
            <v>3</v>
          </cell>
          <cell r="W1045">
            <v>1</v>
          </cell>
          <cell r="X1045">
            <v>60</v>
          </cell>
          <cell r="Y1045">
            <v>1.7</v>
          </cell>
          <cell r="Z1045">
            <v>1.4</v>
          </cell>
          <cell r="AA1045">
            <v>1</v>
          </cell>
          <cell r="AB1045">
            <v>0</v>
          </cell>
        </row>
        <row r="1046">
          <cell r="A1046">
            <v>1045</v>
          </cell>
          <cell r="B1046" t="str">
            <v>漂解の海原 シュレディンガー</v>
          </cell>
          <cell r="C1046">
            <v>6</v>
          </cell>
          <cell r="D1046" t="str">
            <v>red</v>
          </cell>
          <cell r="E1046">
            <v>1</v>
          </cell>
          <cell r="F1046">
            <v>1.02</v>
          </cell>
          <cell r="G1046">
            <v>1</v>
          </cell>
          <cell r="H1046" t="str">
            <v>balance</v>
          </cell>
          <cell r="I1046" t="str">
            <v>バランスタイプ</v>
          </cell>
          <cell r="J1046">
            <v>1</v>
          </cell>
          <cell r="K1046">
            <v>1</v>
          </cell>
          <cell r="L1046">
            <v>1</v>
          </cell>
          <cell r="M1046" t="str">
            <v>academia</v>
          </cell>
          <cell r="N1046" t="str">
            <v>アカデミア</v>
          </cell>
          <cell r="O1046">
            <v>1</v>
          </cell>
          <cell r="P1046">
            <v>1</v>
          </cell>
          <cell r="Q1046">
            <v>1</v>
          </cell>
          <cell r="R1046" t="str">
            <v>Boss</v>
          </cell>
          <cell r="S1046">
            <v>5</v>
          </cell>
          <cell r="T1046">
            <v>1.3</v>
          </cell>
          <cell r="U1046">
            <v>0.8</v>
          </cell>
          <cell r="V1046">
            <v>3</v>
          </cell>
          <cell r="W1046">
            <v>1</v>
          </cell>
          <cell r="X1046">
            <v>60</v>
          </cell>
          <cell r="Y1046">
            <v>1.7</v>
          </cell>
          <cell r="Z1046">
            <v>1.4</v>
          </cell>
          <cell r="AA1046">
            <v>1</v>
          </cell>
          <cell r="AB1046">
            <v>0</v>
          </cell>
        </row>
        <row r="1047">
          <cell r="A1047">
            <v>1046</v>
          </cell>
          <cell r="B1047" t="str">
            <v>涼求の炎狼 フェンリル</v>
          </cell>
          <cell r="C1047">
            <v>5</v>
          </cell>
          <cell r="D1047" t="str">
            <v>red</v>
          </cell>
          <cell r="E1047">
            <v>1</v>
          </cell>
          <cell r="F1047">
            <v>1.02</v>
          </cell>
          <cell r="G1047">
            <v>1</v>
          </cell>
          <cell r="H1047" t="str">
            <v>attack</v>
          </cell>
          <cell r="I1047" t="str">
            <v>攻撃タイプ</v>
          </cell>
          <cell r="J1047">
            <v>1</v>
          </cell>
          <cell r="K1047">
            <v>1.33</v>
          </cell>
          <cell r="L1047">
            <v>1</v>
          </cell>
          <cell r="M1047" t="str">
            <v>animal</v>
          </cell>
          <cell r="N1047" t="str">
            <v>アニマル</v>
          </cell>
          <cell r="O1047">
            <v>1</v>
          </cell>
          <cell r="P1047">
            <v>1.1000000000000001</v>
          </cell>
          <cell r="Q1047">
            <v>1</v>
          </cell>
          <cell r="R1047" t="str">
            <v>Boss</v>
          </cell>
          <cell r="S1047">
            <v>5</v>
          </cell>
          <cell r="T1047">
            <v>1.3</v>
          </cell>
          <cell r="U1047">
            <v>0.8</v>
          </cell>
          <cell r="V1047">
            <v>3</v>
          </cell>
          <cell r="W1047">
            <v>1</v>
          </cell>
          <cell r="X1047">
            <v>60</v>
          </cell>
          <cell r="Y1047">
            <v>1.7</v>
          </cell>
          <cell r="Z1047">
            <v>1.4</v>
          </cell>
          <cell r="AA1047">
            <v>1</v>
          </cell>
          <cell r="AB1047">
            <v>0</v>
          </cell>
        </row>
        <row r="1048">
          <cell r="A1048">
            <v>1047</v>
          </cell>
          <cell r="B1048" t="str">
            <v>波浪の夏閃 オイラー</v>
          </cell>
          <cell r="C1048">
            <v>6</v>
          </cell>
          <cell r="D1048" t="str">
            <v>green</v>
          </cell>
          <cell r="E1048">
            <v>1.02</v>
          </cell>
          <cell r="F1048">
            <v>0.98</v>
          </cell>
          <cell r="G1048">
            <v>1</v>
          </cell>
          <cell r="H1048" t="str">
            <v>balance</v>
          </cell>
          <cell r="I1048" t="str">
            <v>バランスタイプ</v>
          </cell>
          <cell r="J1048">
            <v>1</v>
          </cell>
          <cell r="K1048">
            <v>1</v>
          </cell>
          <cell r="L1048">
            <v>1</v>
          </cell>
          <cell r="M1048" t="str">
            <v>academia</v>
          </cell>
          <cell r="N1048" t="str">
            <v>アカデミア</v>
          </cell>
          <cell r="O1048">
            <v>1</v>
          </cell>
          <cell r="P1048">
            <v>1</v>
          </cell>
          <cell r="Q1048">
            <v>1</v>
          </cell>
          <cell r="R1048" t="str">
            <v>Boss</v>
          </cell>
          <cell r="S1048">
            <v>5</v>
          </cell>
          <cell r="T1048">
            <v>1.3</v>
          </cell>
          <cell r="U1048">
            <v>0.8</v>
          </cell>
          <cell r="V1048">
            <v>3</v>
          </cell>
          <cell r="W1048">
            <v>1</v>
          </cell>
          <cell r="X1048">
            <v>60</v>
          </cell>
          <cell r="Y1048">
            <v>1.7</v>
          </cell>
          <cell r="Z1048">
            <v>1.4</v>
          </cell>
          <cell r="AA1048">
            <v>1</v>
          </cell>
          <cell r="AB1048">
            <v>0</v>
          </cell>
        </row>
        <row r="1049">
          <cell r="A1049">
            <v>1048</v>
          </cell>
          <cell r="B1049" t="str">
            <v>砂上の城主竜 ケツァクアトル</v>
          </cell>
          <cell r="C1049">
            <v>5</v>
          </cell>
          <cell r="D1049" t="str">
            <v>green</v>
          </cell>
          <cell r="E1049">
            <v>1.02</v>
          </cell>
          <cell r="F1049">
            <v>0.98</v>
          </cell>
          <cell r="G1049">
            <v>1</v>
          </cell>
          <cell r="H1049" t="str">
            <v>hp</v>
          </cell>
          <cell r="I1049" t="str">
            <v>体力タイプ</v>
          </cell>
          <cell r="J1049">
            <v>1.45</v>
          </cell>
          <cell r="K1049">
            <v>0.85</v>
          </cell>
          <cell r="L1049">
            <v>1</v>
          </cell>
          <cell r="M1049" t="str">
            <v>dragon</v>
          </cell>
          <cell r="N1049" t="str">
            <v>ドラゴン</v>
          </cell>
          <cell r="O1049">
            <v>1.1499999999999999</v>
          </cell>
          <cell r="P1049">
            <v>1.1000000000000001</v>
          </cell>
          <cell r="Q1049">
            <v>1</v>
          </cell>
          <cell r="R1049" t="str">
            <v>Boss</v>
          </cell>
          <cell r="S1049">
            <v>5</v>
          </cell>
          <cell r="T1049">
            <v>1.3</v>
          </cell>
          <cell r="U1049">
            <v>0.8</v>
          </cell>
          <cell r="V1049">
            <v>3</v>
          </cell>
          <cell r="W1049">
            <v>1</v>
          </cell>
          <cell r="X1049">
            <v>60</v>
          </cell>
          <cell r="Y1049">
            <v>1.7</v>
          </cell>
          <cell r="Z1049">
            <v>1.4</v>
          </cell>
          <cell r="AA1049">
            <v>1</v>
          </cell>
          <cell r="AB1049">
            <v>0</v>
          </cell>
        </row>
        <row r="1050">
          <cell r="A1050">
            <v>1049</v>
          </cell>
          <cell r="B1050" t="str">
            <v>深秘の水宙 メビウス</v>
          </cell>
          <cell r="C1050">
            <v>6</v>
          </cell>
          <cell r="D1050" t="str">
            <v>blue</v>
          </cell>
          <cell r="E1050">
            <v>1</v>
          </cell>
          <cell r="F1050">
            <v>0.98</v>
          </cell>
          <cell r="G1050">
            <v>1</v>
          </cell>
          <cell r="H1050" t="str">
            <v>balance</v>
          </cell>
          <cell r="I1050" t="str">
            <v>バランスタイプ</v>
          </cell>
          <cell r="J1050">
            <v>1</v>
          </cell>
          <cell r="K1050">
            <v>1</v>
          </cell>
          <cell r="L1050">
            <v>1</v>
          </cell>
          <cell r="M1050" t="str">
            <v>academia</v>
          </cell>
          <cell r="N1050" t="str">
            <v>アカデミア</v>
          </cell>
          <cell r="O1050">
            <v>1</v>
          </cell>
          <cell r="P1050">
            <v>1</v>
          </cell>
          <cell r="Q1050">
            <v>1</v>
          </cell>
          <cell r="R1050" t="str">
            <v>Boss</v>
          </cell>
          <cell r="S1050">
            <v>5</v>
          </cell>
          <cell r="T1050">
            <v>1.3</v>
          </cell>
          <cell r="U1050">
            <v>0.8</v>
          </cell>
          <cell r="V1050">
            <v>3</v>
          </cell>
          <cell r="W1050">
            <v>1</v>
          </cell>
          <cell r="X1050">
            <v>60</v>
          </cell>
          <cell r="Y1050">
            <v>1.7</v>
          </cell>
          <cell r="Z1050">
            <v>1.4</v>
          </cell>
          <cell r="AA1050">
            <v>1</v>
          </cell>
          <cell r="AB1050">
            <v>0</v>
          </cell>
        </row>
        <row r="1051">
          <cell r="A1051">
            <v>1050</v>
          </cell>
          <cell r="B1051" t="str">
            <v>廻遊の水獣宰相 ルキフグス</v>
          </cell>
          <cell r="C1051">
            <v>5</v>
          </cell>
          <cell r="D1051" t="str">
            <v>blue</v>
          </cell>
          <cell r="E1051">
            <v>1</v>
          </cell>
          <cell r="F1051">
            <v>0.98</v>
          </cell>
          <cell r="G1051">
            <v>1</v>
          </cell>
          <cell r="H1051" t="str">
            <v>balance</v>
          </cell>
          <cell r="I1051" t="str">
            <v>バランスタイプ</v>
          </cell>
          <cell r="J1051">
            <v>1</v>
          </cell>
          <cell r="K1051">
            <v>1</v>
          </cell>
          <cell r="L1051">
            <v>1</v>
          </cell>
          <cell r="M1051" t="str">
            <v>god</v>
          </cell>
          <cell r="N1051" t="str">
            <v>ゴッド</v>
          </cell>
          <cell r="O1051">
            <v>0.96</v>
          </cell>
          <cell r="P1051">
            <v>1.02</v>
          </cell>
          <cell r="Q1051">
            <v>1</v>
          </cell>
          <cell r="R1051" t="str">
            <v>Boss</v>
          </cell>
          <cell r="S1051">
            <v>5</v>
          </cell>
          <cell r="T1051">
            <v>1.3</v>
          </cell>
          <cell r="U1051">
            <v>0.8</v>
          </cell>
          <cell r="V1051">
            <v>3</v>
          </cell>
          <cell r="W1051">
            <v>1</v>
          </cell>
          <cell r="X1051">
            <v>60</v>
          </cell>
          <cell r="Y1051">
            <v>1.7</v>
          </cell>
          <cell r="Z1051">
            <v>1.4</v>
          </cell>
          <cell r="AA1051">
            <v>1</v>
          </cell>
          <cell r="AB1051">
            <v>0</v>
          </cell>
        </row>
        <row r="1052">
          <cell r="A1052">
            <v>1051</v>
          </cell>
          <cell r="B1052" t="str">
            <v>嬌電の飛沫 ファラデー</v>
          </cell>
          <cell r="C1052">
            <v>6</v>
          </cell>
          <cell r="D1052" t="str">
            <v>yellow</v>
          </cell>
          <cell r="E1052">
            <v>0.98</v>
          </cell>
          <cell r="F1052">
            <v>1.01</v>
          </cell>
          <cell r="G1052">
            <v>1</v>
          </cell>
          <cell r="H1052" t="str">
            <v>balance</v>
          </cell>
          <cell r="I1052" t="str">
            <v>バランスタイプ</v>
          </cell>
          <cell r="J1052">
            <v>1</v>
          </cell>
          <cell r="K1052">
            <v>1</v>
          </cell>
          <cell r="L1052">
            <v>1</v>
          </cell>
          <cell r="M1052" t="str">
            <v>academia</v>
          </cell>
          <cell r="N1052" t="str">
            <v>アカデミア</v>
          </cell>
          <cell r="O1052">
            <v>1</v>
          </cell>
          <cell r="P1052">
            <v>1</v>
          </cell>
          <cell r="Q1052">
            <v>1</v>
          </cell>
          <cell r="R1052" t="str">
            <v>Boss</v>
          </cell>
          <cell r="S1052">
            <v>5</v>
          </cell>
          <cell r="T1052">
            <v>1.3</v>
          </cell>
          <cell r="U1052">
            <v>0.8</v>
          </cell>
          <cell r="V1052">
            <v>3</v>
          </cell>
          <cell r="W1052">
            <v>1</v>
          </cell>
          <cell r="X1052">
            <v>60</v>
          </cell>
          <cell r="Y1052">
            <v>1.7</v>
          </cell>
          <cell r="Z1052">
            <v>1.4</v>
          </cell>
          <cell r="AA1052">
            <v>1</v>
          </cell>
          <cell r="AB1052">
            <v>0</v>
          </cell>
        </row>
        <row r="1053">
          <cell r="A1053">
            <v>1052</v>
          </cell>
          <cell r="B1053" t="str">
            <v>戯魚群の潜光 バルドル</v>
          </cell>
          <cell r="C1053">
            <v>5</v>
          </cell>
          <cell r="D1053" t="str">
            <v>yellow</v>
          </cell>
          <cell r="E1053">
            <v>0.98</v>
          </cell>
          <cell r="F1053">
            <v>1.01</v>
          </cell>
          <cell r="G1053">
            <v>1</v>
          </cell>
          <cell r="H1053" t="str">
            <v>heal</v>
          </cell>
          <cell r="I1053" t="str">
            <v>回復タイプ</v>
          </cell>
          <cell r="J1053">
            <v>0.8</v>
          </cell>
          <cell r="K1053">
            <v>0.78</v>
          </cell>
          <cell r="L1053">
            <v>1</v>
          </cell>
          <cell r="M1053" t="str">
            <v>god</v>
          </cell>
          <cell r="N1053" t="str">
            <v>ゴッド</v>
          </cell>
          <cell r="O1053">
            <v>0.96</v>
          </cell>
          <cell r="P1053">
            <v>1.02</v>
          </cell>
          <cell r="Q1053">
            <v>1</v>
          </cell>
          <cell r="R1053" t="str">
            <v>Boss</v>
          </cell>
          <cell r="S1053">
            <v>5</v>
          </cell>
          <cell r="T1053">
            <v>1.3</v>
          </cell>
          <cell r="U1053">
            <v>0.8</v>
          </cell>
          <cell r="V1053">
            <v>3</v>
          </cell>
          <cell r="W1053">
            <v>1</v>
          </cell>
          <cell r="X1053">
            <v>60</v>
          </cell>
          <cell r="Y1053">
            <v>1.7</v>
          </cell>
          <cell r="Z1053">
            <v>1.4</v>
          </cell>
          <cell r="AA1053">
            <v>1</v>
          </cell>
          <cell r="AB1053">
            <v>0</v>
          </cell>
        </row>
        <row r="1054">
          <cell r="A1054">
            <v>1053</v>
          </cell>
          <cell r="B1054" t="str">
            <v>常夏の眩獣 麒麟</v>
          </cell>
          <cell r="C1054">
            <v>5</v>
          </cell>
          <cell r="D1054" t="str">
            <v>yellow</v>
          </cell>
          <cell r="E1054">
            <v>0.98</v>
          </cell>
          <cell r="F1054">
            <v>1.01</v>
          </cell>
          <cell r="G1054">
            <v>1</v>
          </cell>
          <cell r="H1054" t="str">
            <v>balance</v>
          </cell>
          <cell r="I1054" t="str">
            <v>バランスタイプ</v>
          </cell>
          <cell r="J1054">
            <v>1</v>
          </cell>
          <cell r="K1054">
            <v>1</v>
          </cell>
          <cell r="L1054">
            <v>1</v>
          </cell>
          <cell r="M1054" t="str">
            <v>god</v>
          </cell>
          <cell r="N1054" t="str">
            <v>ゴッド</v>
          </cell>
          <cell r="O1054">
            <v>0.96</v>
          </cell>
          <cell r="P1054">
            <v>1.02</v>
          </cell>
          <cell r="Q1054">
            <v>1</v>
          </cell>
          <cell r="R1054" t="str">
            <v>Boss</v>
          </cell>
          <cell r="S1054">
            <v>5</v>
          </cell>
          <cell r="T1054">
            <v>1.3</v>
          </cell>
          <cell r="U1054">
            <v>0.8</v>
          </cell>
          <cell r="V1054">
            <v>3</v>
          </cell>
          <cell r="W1054">
            <v>1</v>
          </cell>
          <cell r="X1054">
            <v>60</v>
          </cell>
          <cell r="Y1054">
            <v>1.7</v>
          </cell>
          <cell r="Z1054">
            <v>1.4</v>
          </cell>
          <cell r="AA1054">
            <v>1</v>
          </cell>
          <cell r="AB1054">
            <v>0</v>
          </cell>
        </row>
        <row r="1055">
          <cell r="A1055">
            <v>1054</v>
          </cell>
          <cell r="B1055" t="str">
            <v>炎陽の臨海 麒麟</v>
          </cell>
          <cell r="C1055">
            <v>6</v>
          </cell>
          <cell r="D1055" t="str">
            <v>yellow</v>
          </cell>
          <cell r="E1055">
            <v>0.98</v>
          </cell>
          <cell r="F1055">
            <v>1.01</v>
          </cell>
          <cell r="G1055">
            <v>1</v>
          </cell>
          <cell r="H1055" t="str">
            <v>balance</v>
          </cell>
          <cell r="I1055" t="str">
            <v>バランスタイプ</v>
          </cell>
          <cell r="J1055">
            <v>1</v>
          </cell>
          <cell r="K1055">
            <v>1</v>
          </cell>
          <cell r="L1055">
            <v>1</v>
          </cell>
          <cell r="M1055" t="str">
            <v>god</v>
          </cell>
          <cell r="N1055" t="str">
            <v>ゴッド</v>
          </cell>
          <cell r="O1055">
            <v>0.96</v>
          </cell>
          <cell r="P1055">
            <v>1.02</v>
          </cell>
          <cell r="Q1055">
            <v>1</v>
          </cell>
          <cell r="R1055" t="str">
            <v>Boss</v>
          </cell>
          <cell r="S1055">
            <v>5</v>
          </cell>
          <cell r="T1055">
            <v>1.3</v>
          </cell>
          <cell r="U1055">
            <v>0.8</v>
          </cell>
          <cell r="V1055">
            <v>3</v>
          </cell>
          <cell r="W1055">
            <v>1</v>
          </cell>
          <cell r="X1055">
            <v>60</v>
          </cell>
          <cell r="Y1055">
            <v>1.7</v>
          </cell>
          <cell r="Z1055">
            <v>1.4</v>
          </cell>
          <cell r="AA1055">
            <v>1</v>
          </cell>
          <cell r="AB1055">
            <v>0</v>
          </cell>
        </row>
        <row r="1056">
          <cell r="A1056">
            <v>1055</v>
          </cell>
          <cell r="B1056" t="str">
            <v>豪焔の轟暴聖 ベリアル</v>
          </cell>
          <cell r="C1056">
            <v>6</v>
          </cell>
          <cell r="D1056" t="str">
            <v>red</v>
          </cell>
          <cell r="E1056">
            <v>1</v>
          </cell>
          <cell r="F1056">
            <v>1.02</v>
          </cell>
          <cell r="G1056">
            <v>1</v>
          </cell>
          <cell r="H1056" t="str">
            <v>attack</v>
          </cell>
          <cell r="I1056" t="str">
            <v>攻撃タイプ</v>
          </cell>
          <cell r="J1056">
            <v>1</v>
          </cell>
          <cell r="K1056">
            <v>1.33</v>
          </cell>
          <cell r="L1056">
            <v>1</v>
          </cell>
          <cell r="M1056" t="str">
            <v>demon</v>
          </cell>
          <cell r="N1056" t="str">
            <v>デーモン</v>
          </cell>
          <cell r="O1056">
            <v>1</v>
          </cell>
          <cell r="P1056">
            <v>1</v>
          </cell>
          <cell r="Q1056">
            <v>1</v>
          </cell>
          <cell r="R1056" t="str">
            <v>Boss</v>
          </cell>
          <cell r="S1056">
            <v>5</v>
          </cell>
          <cell r="T1056">
            <v>1.3</v>
          </cell>
          <cell r="U1056">
            <v>0.8</v>
          </cell>
          <cell r="V1056">
            <v>3</v>
          </cell>
          <cell r="W1056">
            <v>1</v>
          </cell>
          <cell r="X1056">
            <v>60</v>
          </cell>
          <cell r="Y1056">
            <v>1.7</v>
          </cell>
          <cell r="Z1056">
            <v>1.4</v>
          </cell>
          <cell r="AA1056">
            <v>1</v>
          </cell>
          <cell r="AB1056">
            <v>0</v>
          </cell>
        </row>
        <row r="1057">
          <cell r="A1057">
            <v>1056</v>
          </cell>
          <cell r="B1057" t="str">
            <v>神解の預欺皇 オセ</v>
          </cell>
          <cell r="C1057">
            <v>6</v>
          </cell>
          <cell r="D1057" t="str">
            <v>green</v>
          </cell>
          <cell r="E1057">
            <v>1.02</v>
          </cell>
          <cell r="F1057">
            <v>0.98</v>
          </cell>
          <cell r="G1057">
            <v>1</v>
          </cell>
          <cell r="H1057" t="str">
            <v>attack</v>
          </cell>
          <cell r="I1057" t="str">
            <v>攻撃タイプ</v>
          </cell>
          <cell r="J1057">
            <v>1</v>
          </cell>
          <cell r="K1057">
            <v>1.33</v>
          </cell>
          <cell r="L1057">
            <v>1</v>
          </cell>
          <cell r="M1057" t="str">
            <v>demon</v>
          </cell>
          <cell r="N1057" t="str">
            <v>デーモン</v>
          </cell>
          <cell r="O1057">
            <v>1</v>
          </cell>
          <cell r="P1057">
            <v>1</v>
          </cell>
          <cell r="Q1057">
            <v>1</v>
          </cell>
          <cell r="R1057" t="str">
            <v>Boss</v>
          </cell>
          <cell r="S1057">
            <v>5</v>
          </cell>
          <cell r="T1057">
            <v>1.3</v>
          </cell>
          <cell r="U1057">
            <v>0.8</v>
          </cell>
          <cell r="V1057">
            <v>3</v>
          </cell>
          <cell r="W1057">
            <v>1</v>
          </cell>
          <cell r="X1057">
            <v>30</v>
          </cell>
          <cell r="Y1057">
            <v>1.7</v>
          </cell>
          <cell r="Z1057">
            <v>1.4</v>
          </cell>
          <cell r="AA1057">
            <v>1</v>
          </cell>
          <cell r="AB1057">
            <v>0</v>
          </cell>
        </row>
        <row r="1058">
          <cell r="A1058">
            <v>1057</v>
          </cell>
          <cell r="B1058" t="str">
            <v>疑愛の永遠公爵 フォルネウス</v>
          </cell>
          <cell r="C1058">
            <v>6</v>
          </cell>
          <cell r="D1058" t="str">
            <v>blue</v>
          </cell>
          <cell r="E1058">
            <v>1</v>
          </cell>
          <cell r="F1058">
            <v>0.98</v>
          </cell>
          <cell r="G1058">
            <v>1</v>
          </cell>
          <cell r="H1058" t="str">
            <v>attack</v>
          </cell>
          <cell r="I1058" t="str">
            <v>攻撃タイプ</v>
          </cell>
          <cell r="J1058">
            <v>1</v>
          </cell>
          <cell r="K1058">
            <v>1.33</v>
          </cell>
          <cell r="L1058">
            <v>1</v>
          </cell>
          <cell r="M1058" t="str">
            <v>demon</v>
          </cell>
          <cell r="N1058" t="str">
            <v>デーモン</v>
          </cell>
          <cell r="O1058">
            <v>1</v>
          </cell>
          <cell r="P1058">
            <v>1</v>
          </cell>
          <cell r="Q1058">
            <v>1</v>
          </cell>
          <cell r="R1058" t="str">
            <v>Boss</v>
          </cell>
          <cell r="S1058">
            <v>5</v>
          </cell>
          <cell r="T1058">
            <v>1.3</v>
          </cell>
          <cell r="U1058">
            <v>0.8</v>
          </cell>
          <cell r="V1058">
            <v>3</v>
          </cell>
          <cell r="W1058">
            <v>1</v>
          </cell>
          <cell r="X1058">
            <v>60</v>
          </cell>
          <cell r="Y1058">
            <v>1.7</v>
          </cell>
          <cell r="Z1058">
            <v>1.4</v>
          </cell>
          <cell r="AA1058">
            <v>1</v>
          </cell>
          <cell r="AB1058">
            <v>0</v>
          </cell>
        </row>
        <row r="1059">
          <cell r="A1059">
            <v>1058</v>
          </cell>
          <cell r="B1059" t="str">
            <v>黄泉守誘の命神母 イザナミ</v>
          </cell>
          <cell r="C1059">
            <v>6</v>
          </cell>
          <cell r="D1059" t="str">
            <v>yellow</v>
          </cell>
          <cell r="E1059">
            <v>0.98</v>
          </cell>
          <cell r="F1059">
            <v>1.01</v>
          </cell>
          <cell r="G1059">
            <v>1</v>
          </cell>
          <cell r="H1059" t="str">
            <v>attack</v>
          </cell>
          <cell r="I1059" t="str">
            <v>攻撃タイプ</v>
          </cell>
          <cell r="J1059">
            <v>1</v>
          </cell>
          <cell r="K1059">
            <v>1.33</v>
          </cell>
          <cell r="L1059">
            <v>1</v>
          </cell>
          <cell r="M1059" t="str">
            <v>god</v>
          </cell>
          <cell r="N1059" t="str">
            <v>ゴッド</v>
          </cell>
          <cell r="O1059">
            <v>0.96</v>
          </cell>
          <cell r="P1059">
            <v>1.02</v>
          </cell>
          <cell r="Q1059">
            <v>1</v>
          </cell>
          <cell r="R1059" t="str">
            <v>Boss</v>
          </cell>
          <cell r="S1059">
            <v>5</v>
          </cell>
          <cell r="T1059">
            <v>1.3</v>
          </cell>
          <cell r="U1059">
            <v>0.8</v>
          </cell>
          <cell r="V1059">
            <v>3</v>
          </cell>
          <cell r="W1059">
            <v>1</v>
          </cell>
          <cell r="X1059">
            <v>60</v>
          </cell>
          <cell r="Y1059">
            <v>1.7</v>
          </cell>
          <cell r="Z1059">
            <v>1.4</v>
          </cell>
          <cell r="AA1059">
            <v>1</v>
          </cell>
          <cell r="AB1059">
            <v>0</v>
          </cell>
        </row>
        <row r="1060">
          <cell r="A1060">
            <v>1059</v>
          </cell>
          <cell r="B1060" t="str">
            <v>パズズ</v>
          </cell>
          <cell r="C1060">
            <v>4</v>
          </cell>
          <cell r="D1060" t="str">
            <v>green</v>
          </cell>
          <cell r="E1060">
            <v>1.02</v>
          </cell>
          <cell r="F1060">
            <v>0.98</v>
          </cell>
          <cell r="G1060">
            <v>1</v>
          </cell>
          <cell r="H1060" t="str">
            <v>balance</v>
          </cell>
          <cell r="I1060" t="str">
            <v>バランスタイプ</v>
          </cell>
          <cell r="J1060">
            <v>1</v>
          </cell>
          <cell r="K1060">
            <v>1</v>
          </cell>
          <cell r="L1060">
            <v>1</v>
          </cell>
          <cell r="M1060" t="str">
            <v>god</v>
          </cell>
          <cell r="N1060" t="str">
            <v>ゴッド</v>
          </cell>
          <cell r="O1060">
            <v>0.96</v>
          </cell>
          <cell r="P1060">
            <v>1.02</v>
          </cell>
          <cell r="Q1060">
            <v>1</v>
          </cell>
          <cell r="R1060" t="str">
            <v>Boss</v>
          </cell>
          <cell r="S1060">
            <v>5</v>
          </cell>
          <cell r="T1060">
            <v>1.3</v>
          </cell>
          <cell r="U1060">
            <v>0.8</v>
          </cell>
          <cell r="V1060">
            <v>3</v>
          </cell>
          <cell r="W1060">
            <v>1</v>
          </cell>
          <cell r="X1060">
            <v>30</v>
          </cell>
          <cell r="Y1060">
            <v>1.3</v>
          </cell>
          <cell r="Z1060">
            <v>1.3</v>
          </cell>
          <cell r="AA1060">
            <v>1.1000000000000001</v>
          </cell>
          <cell r="AB1060">
            <v>0</v>
          </cell>
        </row>
        <row r="1061">
          <cell r="A1061">
            <v>1060</v>
          </cell>
          <cell r="B1061" t="str">
            <v>熱扇風の幼魔 パズズ</v>
          </cell>
          <cell r="C1061">
            <v>5</v>
          </cell>
          <cell r="D1061" t="str">
            <v>green</v>
          </cell>
          <cell r="E1061">
            <v>1.02</v>
          </cell>
          <cell r="F1061">
            <v>0.98</v>
          </cell>
          <cell r="G1061">
            <v>1</v>
          </cell>
          <cell r="H1061" t="str">
            <v>balance</v>
          </cell>
          <cell r="I1061" t="str">
            <v>バランスタイプ</v>
          </cell>
          <cell r="J1061">
            <v>1</v>
          </cell>
          <cell r="K1061">
            <v>1</v>
          </cell>
          <cell r="L1061">
            <v>1</v>
          </cell>
          <cell r="M1061" t="str">
            <v>god</v>
          </cell>
          <cell r="N1061" t="str">
            <v>ゴッド</v>
          </cell>
          <cell r="O1061">
            <v>0.96</v>
          </cell>
          <cell r="P1061">
            <v>1.02</v>
          </cell>
          <cell r="Q1061">
            <v>1</v>
          </cell>
          <cell r="R1061" t="str">
            <v>Boss</v>
          </cell>
          <cell r="S1061">
            <v>5</v>
          </cell>
          <cell r="T1061">
            <v>1.3</v>
          </cell>
          <cell r="U1061">
            <v>0.8</v>
          </cell>
          <cell r="V1061">
            <v>3</v>
          </cell>
          <cell r="W1061">
            <v>1</v>
          </cell>
          <cell r="X1061">
            <v>60</v>
          </cell>
          <cell r="Y1061">
            <v>1.7</v>
          </cell>
          <cell r="Z1061">
            <v>1.4</v>
          </cell>
          <cell r="AA1061">
            <v>1</v>
          </cell>
          <cell r="AB1061">
            <v>0</v>
          </cell>
        </row>
        <row r="1062">
          <cell r="A1062">
            <v>1061</v>
          </cell>
          <cell r="B1062" t="str">
            <v>フンババ</v>
          </cell>
          <cell r="C1062">
            <v>4</v>
          </cell>
          <cell r="D1062" t="str">
            <v>yellow</v>
          </cell>
          <cell r="E1062">
            <v>0.98</v>
          </cell>
          <cell r="F1062">
            <v>1.01</v>
          </cell>
          <cell r="G1062">
            <v>1</v>
          </cell>
          <cell r="H1062" t="str">
            <v>hp</v>
          </cell>
          <cell r="I1062" t="str">
            <v>体力タイプ</v>
          </cell>
          <cell r="J1062">
            <v>1.45</v>
          </cell>
          <cell r="K1062">
            <v>0.85</v>
          </cell>
          <cell r="L1062">
            <v>1</v>
          </cell>
          <cell r="M1062" t="str">
            <v>animal</v>
          </cell>
          <cell r="N1062" t="str">
            <v>アニマル</v>
          </cell>
          <cell r="O1062">
            <v>1</v>
          </cell>
          <cell r="P1062">
            <v>1.1000000000000001</v>
          </cell>
          <cell r="Q1062">
            <v>1</v>
          </cell>
          <cell r="R1062" t="str">
            <v>Boss</v>
          </cell>
          <cell r="S1062">
            <v>5</v>
          </cell>
          <cell r="T1062">
            <v>1.3</v>
          </cell>
          <cell r="U1062">
            <v>0.8</v>
          </cell>
          <cell r="V1062">
            <v>3</v>
          </cell>
          <cell r="W1062">
            <v>1</v>
          </cell>
          <cell r="X1062">
            <v>30</v>
          </cell>
          <cell r="Y1062">
            <v>1.3</v>
          </cell>
          <cell r="Z1062">
            <v>1.3</v>
          </cell>
          <cell r="AA1062">
            <v>1.1000000000000001</v>
          </cell>
          <cell r="AB1062">
            <v>0</v>
          </cell>
        </row>
        <row r="1063">
          <cell r="A1063">
            <v>1062</v>
          </cell>
          <cell r="B1063" t="str">
            <v>停止不能の蛮躯 フンババ</v>
          </cell>
          <cell r="C1063">
            <v>5</v>
          </cell>
          <cell r="D1063" t="str">
            <v>yellow</v>
          </cell>
          <cell r="E1063">
            <v>0.98</v>
          </cell>
          <cell r="F1063">
            <v>1.01</v>
          </cell>
          <cell r="G1063">
            <v>1</v>
          </cell>
          <cell r="H1063" t="str">
            <v>hp</v>
          </cell>
          <cell r="I1063" t="str">
            <v>体力タイプ</v>
          </cell>
          <cell r="J1063">
            <v>1.45</v>
          </cell>
          <cell r="K1063">
            <v>0.85</v>
          </cell>
          <cell r="L1063">
            <v>1</v>
          </cell>
          <cell r="M1063" t="str">
            <v>animal</v>
          </cell>
          <cell r="N1063" t="str">
            <v>アニマル</v>
          </cell>
          <cell r="O1063">
            <v>1</v>
          </cell>
          <cell r="P1063">
            <v>1.1000000000000001</v>
          </cell>
          <cell r="Q1063">
            <v>1</v>
          </cell>
          <cell r="R1063" t="str">
            <v>Boss</v>
          </cell>
          <cell r="S1063">
            <v>5</v>
          </cell>
          <cell r="T1063">
            <v>1.3</v>
          </cell>
          <cell r="U1063">
            <v>0.8</v>
          </cell>
          <cell r="V1063">
            <v>3</v>
          </cell>
          <cell r="W1063">
            <v>1</v>
          </cell>
          <cell r="X1063">
            <v>60</v>
          </cell>
          <cell r="Y1063">
            <v>1.7</v>
          </cell>
          <cell r="Z1063">
            <v>1.4</v>
          </cell>
          <cell r="AA1063">
            <v>1</v>
          </cell>
          <cell r="AB1063">
            <v>0</v>
          </cell>
        </row>
        <row r="1064">
          <cell r="A1064">
            <v>1063</v>
          </cell>
          <cell r="B1064" t="str">
            <v>ティアマト</v>
          </cell>
          <cell r="C1064">
            <v>5</v>
          </cell>
          <cell r="D1064" t="str">
            <v>blue</v>
          </cell>
          <cell r="E1064">
            <v>1</v>
          </cell>
          <cell r="F1064">
            <v>0.98</v>
          </cell>
          <cell r="G1064">
            <v>1</v>
          </cell>
          <cell r="H1064" t="str">
            <v>technical</v>
          </cell>
          <cell r="I1064" t="str">
            <v>テクニカルタイプ</v>
          </cell>
          <cell r="J1064">
            <v>0.9</v>
          </cell>
          <cell r="K1064">
            <v>0.9</v>
          </cell>
          <cell r="L1064">
            <v>1</v>
          </cell>
          <cell r="M1064" t="str">
            <v>god</v>
          </cell>
          <cell r="N1064" t="str">
            <v>ゴッド</v>
          </cell>
          <cell r="O1064">
            <v>0.96</v>
          </cell>
          <cell r="P1064">
            <v>1.02</v>
          </cell>
          <cell r="Q1064">
            <v>1</v>
          </cell>
          <cell r="R1064" t="str">
            <v>Boss</v>
          </cell>
          <cell r="S1064">
            <v>5</v>
          </cell>
          <cell r="T1064">
            <v>1.3</v>
          </cell>
          <cell r="U1064">
            <v>0.8</v>
          </cell>
          <cell r="V1064">
            <v>3</v>
          </cell>
          <cell r="W1064">
            <v>1</v>
          </cell>
          <cell r="X1064">
            <v>60</v>
          </cell>
          <cell r="Y1064">
            <v>1.7</v>
          </cell>
          <cell r="Z1064">
            <v>1.4</v>
          </cell>
          <cell r="AA1064">
            <v>1</v>
          </cell>
          <cell r="AB1064">
            <v>0</v>
          </cell>
        </row>
        <row r="1065">
          <cell r="A1065">
            <v>1064</v>
          </cell>
          <cell r="B1065" t="str">
            <v>混沌の猛飛沫 ティアマト</v>
          </cell>
          <cell r="C1065">
            <v>6</v>
          </cell>
          <cell r="D1065" t="str">
            <v>blue</v>
          </cell>
          <cell r="E1065">
            <v>1</v>
          </cell>
          <cell r="F1065">
            <v>0.98</v>
          </cell>
          <cell r="G1065">
            <v>1</v>
          </cell>
          <cell r="H1065" t="str">
            <v>technical</v>
          </cell>
          <cell r="I1065" t="str">
            <v>テクニカルタイプ</v>
          </cell>
          <cell r="J1065">
            <v>0.9</v>
          </cell>
          <cell r="K1065">
            <v>0.9</v>
          </cell>
          <cell r="L1065">
            <v>1</v>
          </cell>
          <cell r="M1065" t="str">
            <v>god</v>
          </cell>
          <cell r="N1065" t="str">
            <v>ゴッド</v>
          </cell>
          <cell r="O1065">
            <v>0.96</v>
          </cell>
          <cell r="P1065">
            <v>1.02</v>
          </cell>
          <cell r="Q1065">
            <v>1</v>
          </cell>
          <cell r="R1065" t="str">
            <v>Boss</v>
          </cell>
          <cell r="S1065">
            <v>5</v>
          </cell>
          <cell r="T1065">
            <v>1.3</v>
          </cell>
          <cell r="U1065">
            <v>0.8</v>
          </cell>
          <cell r="V1065">
            <v>3</v>
          </cell>
          <cell r="W1065">
            <v>1</v>
          </cell>
          <cell r="X1065">
            <v>60</v>
          </cell>
          <cell r="Y1065">
            <v>1.7</v>
          </cell>
          <cell r="Z1065">
            <v>1.4</v>
          </cell>
          <cell r="AA1065">
            <v>1</v>
          </cell>
          <cell r="AB1065">
            <v>0</v>
          </cell>
        </row>
        <row r="1066">
          <cell r="A1066">
            <v>1065</v>
          </cell>
          <cell r="B1066" t="str">
            <v>ギルガメッシュ</v>
          </cell>
          <cell r="C1066">
            <v>5</v>
          </cell>
          <cell r="D1066" t="str">
            <v>red</v>
          </cell>
          <cell r="E1066">
            <v>1</v>
          </cell>
          <cell r="F1066">
            <v>1.02</v>
          </cell>
          <cell r="G1066">
            <v>1</v>
          </cell>
          <cell r="H1066" t="str">
            <v>attack</v>
          </cell>
          <cell r="I1066" t="str">
            <v>攻撃タイプ</v>
          </cell>
          <cell r="J1066">
            <v>1</v>
          </cell>
          <cell r="K1066">
            <v>1.33</v>
          </cell>
          <cell r="L1066">
            <v>1</v>
          </cell>
          <cell r="M1066" t="str">
            <v>god</v>
          </cell>
          <cell r="N1066" t="str">
            <v>ゴッド</v>
          </cell>
          <cell r="O1066">
            <v>0.96</v>
          </cell>
          <cell r="P1066">
            <v>1.02</v>
          </cell>
          <cell r="Q1066">
            <v>1</v>
          </cell>
          <cell r="R1066" t="str">
            <v>Boss</v>
          </cell>
          <cell r="S1066">
            <v>5</v>
          </cell>
          <cell r="T1066">
            <v>1.3</v>
          </cell>
          <cell r="U1066">
            <v>0.8</v>
          </cell>
          <cell r="V1066">
            <v>3</v>
          </cell>
          <cell r="W1066">
            <v>1</v>
          </cell>
          <cell r="X1066">
            <v>60</v>
          </cell>
          <cell r="Y1066">
            <v>1.7</v>
          </cell>
          <cell r="Z1066">
            <v>1.4</v>
          </cell>
          <cell r="AA1066">
            <v>1</v>
          </cell>
          <cell r="AB1066">
            <v>0</v>
          </cell>
        </row>
        <row r="1067">
          <cell r="A1067">
            <v>1066</v>
          </cell>
          <cell r="B1067" t="str">
            <v>放縦の序獅子 ギルガメッシュ</v>
          </cell>
          <cell r="C1067">
            <v>6</v>
          </cell>
          <cell r="D1067" t="str">
            <v>red</v>
          </cell>
          <cell r="E1067">
            <v>1</v>
          </cell>
          <cell r="F1067">
            <v>1.02</v>
          </cell>
          <cell r="G1067">
            <v>1</v>
          </cell>
          <cell r="H1067" t="str">
            <v>attack</v>
          </cell>
          <cell r="I1067" t="str">
            <v>攻撃タイプ</v>
          </cell>
          <cell r="J1067">
            <v>1</v>
          </cell>
          <cell r="K1067">
            <v>1.33</v>
          </cell>
          <cell r="L1067">
            <v>1</v>
          </cell>
          <cell r="M1067" t="str">
            <v>god</v>
          </cell>
          <cell r="N1067" t="str">
            <v>ゴッド</v>
          </cell>
          <cell r="O1067">
            <v>0.96</v>
          </cell>
          <cell r="P1067">
            <v>1.02</v>
          </cell>
          <cell r="Q1067">
            <v>1</v>
          </cell>
          <cell r="R1067" t="str">
            <v>Boss</v>
          </cell>
          <cell r="S1067">
            <v>5</v>
          </cell>
          <cell r="T1067">
            <v>1.3</v>
          </cell>
          <cell r="U1067">
            <v>0.8</v>
          </cell>
          <cell r="V1067">
            <v>3</v>
          </cell>
          <cell r="W1067">
            <v>1</v>
          </cell>
          <cell r="X1067">
            <v>60</v>
          </cell>
          <cell r="Y1067">
            <v>1.7</v>
          </cell>
          <cell r="Z1067">
            <v>1.4</v>
          </cell>
          <cell r="AA1067">
            <v>1</v>
          </cell>
          <cell r="AB1067">
            <v>0</v>
          </cell>
        </row>
        <row r="1068">
          <cell r="A1068">
            <v>1067</v>
          </cell>
          <cell r="B1068" t="str">
            <v>ウシュムガル</v>
          </cell>
          <cell r="C1068">
            <v>4</v>
          </cell>
          <cell r="D1068" t="str">
            <v>red</v>
          </cell>
          <cell r="E1068">
            <v>1</v>
          </cell>
          <cell r="F1068">
            <v>1.02</v>
          </cell>
          <cell r="G1068">
            <v>1</v>
          </cell>
          <cell r="H1068" t="str">
            <v>balance</v>
          </cell>
          <cell r="I1068" t="str">
            <v>バランスタイプ</v>
          </cell>
          <cell r="J1068">
            <v>1</v>
          </cell>
          <cell r="K1068">
            <v>1</v>
          </cell>
          <cell r="L1068">
            <v>1</v>
          </cell>
          <cell r="M1068" t="str">
            <v>dragon</v>
          </cell>
          <cell r="N1068" t="str">
            <v>ドラゴン</v>
          </cell>
          <cell r="O1068">
            <v>1.1499999999999999</v>
          </cell>
          <cell r="P1068">
            <v>1.1000000000000001</v>
          </cell>
          <cell r="Q1068">
            <v>1</v>
          </cell>
          <cell r="R1068" t="str">
            <v>Boss</v>
          </cell>
          <cell r="S1068">
            <v>5</v>
          </cell>
          <cell r="T1068">
            <v>1.3</v>
          </cell>
          <cell r="U1068">
            <v>0.8</v>
          </cell>
          <cell r="V1068">
            <v>3</v>
          </cell>
          <cell r="W1068">
            <v>1</v>
          </cell>
          <cell r="X1068">
            <v>30</v>
          </cell>
          <cell r="Y1068">
            <v>1.3</v>
          </cell>
          <cell r="Z1068">
            <v>1.3</v>
          </cell>
          <cell r="AA1068">
            <v>1.1000000000000001</v>
          </cell>
          <cell r="AB1068">
            <v>0</v>
          </cell>
        </row>
        <row r="1069">
          <cell r="A1069">
            <v>1068</v>
          </cell>
          <cell r="B1069" t="str">
            <v>想母の羽龍 ウシュムガル</v>
          </cell>
          <cell r="C1069">
            <v>5</v>
          </cell>
          <cell r="D1069" t="str">
            <v>red</v>
          </cell>
          <cell r="E1069">
            <v>1</v>
          </cell>
          <cell r="F1069">
            <v>1.02</v>
          </cell>
          <cell r="G1069">
            <v>1</v>
          </cell>
          <cell r="H1069" t="str">
            <v>balance</v>
          </cell>
          <cell r="I1069" t="str">
            <v>バランスタイプ</v>
          </cell>
          <cell r="J1069">
            <v>1</v>
          </cell>
          <cell r="K1069">
            <v>1</v>
          </cell>
          <cell r="L1069">
            <v>1</v>
          </cell>
          <cell r="M1069" t="str">
            <v>dragon</v>
          </cell>
          <cell r="N1069" t="str">
            <v>ドラゴン</v>
          </cell>
          <cell r="O1069">
            <v>1.1499999999999999</v>
          </cell>
          <cell r="P1069">
            <v>1.1000000000000001</v>
          </cell>
          <cell r="Q1069">
            <v>1</v>
          </cell>
          <cell r="R1069" t="str">
            <v>Boss</v>
          </cell>
          <cell r="S1069">
            <v>5</v>
          </cell>
          <cell r="T1069">
            <v>1.3</v>
          </cell>
          <cell r="U1069">
            <v>0.8</v>
          </cell>
          <cell r="V1069">
            <v>3</v>
          </cell>
          <cell r="W1069">
            <v>1</v>
          </cell>
          <cell r="X1069">
            <v>60</v>
          </cell>
          <cell r="Y1069">
            <v>1.7</v>
          </cell>
          <cell r="Z1069">
            <v>1.4</v>
          </cell>
          <cell r="AA1069">
            <v>1</v>
          </cell>
          <cell r="AB1069">
            <v>0</v>
          </cell>
        </row>
        <row r="1070">
          <cell r="A1070">
            <v>1069</v>
          </cell>
          <cell r="B1070" t="str">
            <v>イシュタル</v>
          </cell>
          <cell r="C1070">
            <v>5</v>
          </cell>
          <cell r="D1070" t="str">
            <v>green</v>
          </cell>
          <cell r="E1070">
            <v>1.02</v>
          </cell>
          <cell r="F1070">
            <v>0.98</v>
          </cell>
          <cell r="G1070">
            <v>1</v>
          </cell>
          <cell r="H1070" t="str">
            <v>technical</v>
          </cell>
          <cell r="I1070" t="str">
            <v>テクニカルタイプ</v>
          </cell>
          <cell r="J1070">
            <v>0.9</v>
          </cell>
          <cell r="K1070">
            <v>0.9</v>
          </cell>
          <cell r="L1070">
            <v>1</v>
          </cell>
          <cell r="M1070" t="str">
            <v>god</v>
          </cell>
          <cell r="N1070" t="str">
            <v>ゴッド</v>
          </cell>
          <cell r="O1070">
            <v>0.96</v>
          </cell>
          <cell r="P1070">
            <v>1.02</v>
          </cell>
          <cell r="Q1070">
            <v>1</v>
          </cell>
          <cell r="R1070" t="str">
            <v>Boss</v>
          </cell>
          <cell r="S1070">
            <v>5</v>
          </cell>
          <cell r="T1070">
            <v>1.3</v>
          </cell>
          <cell r="U1070">
            <v>0.8</v>
          </cell>
          <cell r="V1070">
            <v>3</v>
          </cell>
          <cell r="W1070">
            <v>1</v>
          </cell>
          <cell r="X1070">
            <v>60</v>
          </cell>
          <cell r="Y1070">
            <v>1.7</v>
          </cell>
          <cell r="Z1070">
            <v>1.4</v>
          </cell>
          <cell r="AA1070">
            <v>1</v>
          </cell>
          <cell r="AB1070">
            <v>0</v>
          </cell>
        </row>
        <row r="1071">
          <cell r="A1071">
            <v>1070</v>
          </cell>
          <cell r="B1071" t="str">
            <v>駆脳する造愛 イシュタル</v>
          </cell>
          <cell r="C1071">
            <v>6</v>
          </cell>
          <cell r="D1071" t="str">
            <v>green</v>
          </cell>
          <cell r="E1071">
            <v>1.02</v>
          </cell>
          <cell r="F1071">
            <v>0.98</v>
          </cell>
          <cell r="G1071">
            <v>1</v>
          </cell>
          <cell r="H1071" t="str">
            <v>technical</v>
          </cell>
          <cell r="I1071" t="str">
            <v>テクニカルタイプ</v>
          </cell>
          <cell r="J1071">
            <v>0.9</v>
          </cell>
          <cell r="K1071">
            <v>0.9</v>
          </cell>
          <cell r="L1071">
            <v>1</v>
          </cell>
          <cell r="M1071" t="str">
            <v>god</v>
          </cell>
          <cell r="N1071" t="str">
            <v>ゴッド</v>
          </cell>
          <cell r="O1071">
            <v>0.96</v>
          </cell>
          <cell r="P1071">
            <v>1.02</v>
          </cell>
          <cell r="Q1071">
            <v>1</v>
          </cell>
          <cell r="R1071" t="str">
            <v>Boss</v>
          </cell>
          <cell r="S1071">
            <v>5</v>
          </cell>
          <cell r="T1071">
            <v>1.3</v>
          </cell>
          <cell r="U1071">
            <v>0.8</v>
          </cell>
          <cell r="V1071">
            <v>3</v>
          </cell>
          <cell r="W1071">
            <v>1</v>
          </cell>
          <cell r="X1071">
            <v>60</v>
          </cell>
          <cell r="Y1071">
            <v>1.7</v>
          </cell>
          <cell r="Z1071">
            <v>1.4</v>
          </cell>
          <cell r="AA1071">
            <v>1</v>
          </cell>
          <cell r="AB1071">
            <v>0</v>
          </cell>
        </row>
        <row r="1072">
          <cell r="A1072">
            <v>1071</v>
          </cell>
          <cell r="B1072" t="str">
            <v>イシュタル_分岐覚醒</v>
          </cell>
          <cell r="C1072">
            <v>6</v>
          </cell>
          <cell r="D1072" t="str">
            <v>green</v>
          </cell>
          <cell r="E1072">
            <v>1.02</v>
          </cell>
          <cell r="F1072">
            <v>0.98</v>
          </cell>
          <cell r="G1072">
            <v>1</v>
          </cell>
          <cell r="H1072" t="str">
            <v>attack</v>
          </cell>
          <cell r="I1072" t="str">
            <v>攻撃タイプ</v>
          </cell>
          <cell r="J1072">
            <v>1</v>
          </cell>
          <cell r="K1072">
            <v>1.33</v>
          </cell>
          <cell r="L1072">
            <v>1</v>
          </cell>
          <cell r="M1072" t="str">
            <v>god</v>
          </cell>
          <cell r="N1072" t="str">
            <v>ゴッド</v>
          </cell>
          <cell r="O1072">
            <v>0.96</v>
          </cell>
          <cell r="P1072">
            <v>1.02</v>
          </cell>
          <cell r="Q1072">
            <v>1</v>
          </cell>
          <cell r="R1072" t="str">
            <v>Boss</v>
          </cell>
          <cell r="S1072">
            <v>5</v>
          </cell>
          <cell r="T1072">
            <v>1.3</v>
          </cell>
          <cell r="U1072">
            <v>0.8</v>
          </cell>
          <cell r="V1072">
            <v>3</v>
          </cell>
          <cell r="W1072">
            <v>1</v>
          </cell>
          <cell r="X1072">
            <v>60</v>
          </cell>
          <cell r="Y1072">
            <v>1.7</v>
          </cell>
          <cell r="Z1072">
            <v>1.4</v>
          </cell>
          <cell r="AA1072">
            <v>1</v>
          </cell>
          <cell r="AB1072">
            <v>0</v>
          </cell>
        </row>
        <row r="1073">
          <cell r="A1073">
            <v>1072</v>
          </cell>
          <cell r="B1073" t="str">
            <v>エンキドゥ</v>
          </cell>
          <cell r="C1073">
            <v>5</v>
          </cell>
          <cell r="D1073" t="str">
            <v>blue</v>
          </cell>
          <cell r="E1073">
            <v>1</v>
          </cell>
          <cell r="F1073">
            <v>0.98</v>
          </cell>
          <cell r="G1073">
            <v>1</v>
          </cell>
          <cell r="H1073" t="str">
            <v>attack</v>
          </cell>
          <cell r="I1073" t="str">
            <v>攻撃タイプ</v>
          </cell>
          <cell r="J1073">
            <v>1</v>
          </cell>
          <cell r="K1073">
            <v>1.33</v>
          </cell>
          <cell r="L1073">
            <v>1</v>
          </cell>
          <cell r="M1073" t="str">
            <v>human</v>
          </cell>
          <cell r="N1073" t="str">
            <v>ヒューマン</v>
          </cell>
          <cell r="O1073">
            <v>0.94</v>
          </cell>
          <cell r="P1073">
            <v>0.99</v>
          </cell>
          <cell r="Q1073">
            <v>1</v>
          </cell>
          <cell r="R1073" t="str">
            <v>Boss</v>
          </cell>
          <cell r="S1073">
            <v>5</v>
          </cell>
          <cell r="T1073">
            <v>1.3</v>
          </cell>
          <cell r="U1073">
            <v>0.8</v>
          </cell>
          <cell r="V1073">
            <v>3</v>
          </cell>
          <cell r="W1073">
            <v>1</v>
          </cell>
          <cell r="X1073">
            <v>60</v>
          </cell>
          <cell r="Y1073">
            <v>1.7</v>
          </cell>
          <cell r="Z1073">
            <v>1.4</v>
          </cell>
          <cell r="AA1073">
            <v>1</v>
          </cell>
          <cell r="AB1073">
            <v>0</v>
          </cell>
        </row>
        <row r="1074">
          <cell r="A1074">
            <v>1073</v>
          </cell>
          <cell r="B1074" t="str">
            <v>静穏なる獣勇 エンキドゥ</v>
          </cell>
          <cell r="C1074">
            <v>6</v>
          </cell>
          <cell r="D1074" t="str">
            <v>blue</v>
          </cell>
          <cell r="E1074">
            <v>1</v>
          </cell>
          <cell r="F1074">
            <v>0.98</v>
          </cell>
          <cell r="G1074">
            <v>1</v>
          </cell>
          <cell r="H1074" t="str">
            <v>attack</v>
          </cell>
          <cell r="I1074" t="str">
            <v>攻撃タイプ</v>
          </cell>
          <cell r="J1074">
            <v>1</v>
          </cell>
          <cell r="K1074">
            <v>1.33</v>
          </cell>
          <cell r="L1074">
            <v>1</v>
          </cell>
          <cell r="M1074" t="str">
            <v>human</v>
          </cell>
          <cell r="N1074" t="str">
            <v>ヒューマン</v>
          </cell>
          <cell r="O1074">
            <v>0.94</v>
          </cell>
          <cell r="P1074">
            <v>0.99</v>
          </cell>
          <cell r="Q1074">
            <v>1</v>
          </cell>
          <cell r="R1074" t="str">
            <v>Boss</v>
          </cell>
          <cell r="S1074">
            <v>5</v>
          </cell>
          <cell r="T1074">
            <v>1.3</v>
          </cell>
          <cell r="U1074">
            <v>0.8</v>
          </cell>
          <cell r="V1074">
            <v>3</v>
          </cell>
          <cell r="W1074">
            <v>1</v>
          </cell>
          <cell r="X1074">
            <v>60</v>
          </cell>
          <cell r="Y1074">
            <v>1.7</v>
          </cell>
          <cell r="Z1074">
            <v>1.4</v>
          </cell>
          <cell r="AA1074">
            <v>1</v>
          </cell>
          <cell r="AB1074">
            <v>0</v>
          </cell>
        </row>
        <row r="1075">
          <cell r="A1075">
            <v>1074</v>
          </cell>
          <cell r="B1075" t="str">
            <v>マルドゥク</v>
          </cell>
          <cell r="C1075">
            <v>5</v>
          </cell>
          <cell r="D1075" t="str">
            <v>yellow</v>
          </cell>
          <cell r="E1075">
            <v>0.98</v>
          </cell>
          <cell r="F1075">
            <v>1.01</v>
          </cell>
          <cell r="G1075">
            <v>1</v>
          </cell>
          <cell r="H1075" t="str">
            <v>technical</v>
          </cell>
          <cell r="I1075" t="str">
            <v>テクニカルタイプ</v>
          </cell>
          <cell r="J1075">
            <v>0.9</v>
          </cell>
          <cell r="K1075">
            <v>0.9</v>
          </cell>
          <cell r="L1075">
            <v>1</v>
          </cell>
          <cell r="M1075" t="str">
            <v>god</v>
          </cell>
          <cell r="N1075" t="str">
            <v>ゴッド</v>
          </cell>
          <cell r="O1075">
            <v>0.96</v>
          </cell>
          <cell r="P1075">
            <v>1.02</v>
          </cell>
          <cell r="Q1075">
            <v>1</v>
          </cell>
          <cell r="R1075" t="str">
            <v>Boss</v>
          </cell>
          <cell r="S1075">
            <v>5</v>
          </cell>
          <cell r="T1075">
            <v>1.3</v>
          </cell>
          <cell r="U1075">
            <v>0.8</v>
          </cell>
          <cell r="V1075">
            <v>3</v>
          </cell>
          <cell r="W1075">
            <v>1</v>
          </cell>
          <cell r="X1075">
            <v>60</v>
          </cell>
          <cell r="Y1075">
            <v>1.7</v>
          </cell>
          <cell r="Z1075">
            <v>1.4</v>
          </cell>
          <cell r="AA1075">
            <v>1</v>
          </cell>
          <cell r="AB1075">
            <v>0</v>
          </cell>
        </row>
        <row r="1076">
          <cell r="A1076">
            <v>1075</v>
          </cell>
          <cell r="B1076" t="str">
            <v>虚塔の神王 マルドゥク</v>
          </cell>
          <cell r="C1076">
            <v>6</v>
          </cell>
          <cell r="D1076" t="str">
            <v>yellow</v>
          </cell>
          <cell r="E1076">
            <v>0.98</v>
          </cell>
          <cell r="F1076">
            <v>1.01</v>
          </cell>
          <cell r="G1076">
            <v>1</v>
          </cell>
          <cell r="H1076" t="str">
            <v>technical</v>
          </cell>
          <cell r="I1076" t="str">
            <v>テクニカルタイプ</v>
          </cell>
          <cell r="J1076">
            <v>0.9</v>
          </cell>
          <cell r="K1076">
            <v>0.9</v>
          </cell>
          <cell r="L1076">
            <v>1</v>
          </cell>
          <cell r="M1076" t="str">
            <v>god</v>
          </cell>
          <cell r="N1076" t="str">
            <v>ゴッド</v>
          </cell>
          <cell r="O1076">
            <v>0.96</v>
          </cell>
          <cell r="P1076">
            <v>1.02</v>
          </cell>
          <cell r="Q1076">
            <v>1</v>
          </cell>
          <cell r="R1076" t="str">
            <v>Boss</v>
          </cell>
          <cell r="S1076">
            <v>5</v>
          </cell>
          <cell r="T1076">
            <v>1.3</v>
          </cell>
          <cell r="U1076">
            <v>0.8</v>
          </cell>
          <cell r="V1076">
            <v>3</v>
          </cell>
          <cell r="W1076">
            <v>1</v>
          </cell>
          <cell r="X1076">
            <v>60</v>
          </cell>
          <cell r="Y1076">
            <v>1.7</v>
          </cell>
          <cell r="Z1076">
            <v>1.4</v>
          </cell>
          <cell r="AA1076">
            <v>1</v>
          </cell>
          <cell r="AB1076">
            <v>0</v>
          </cell>
        </row>
        <row r="1077">
          <cell r="A1077">
            <v>1076</v>
          </cell>
          <cell r="B1077" t="str">
            <v>パレート</v>
          </cell>
          <cell r="C1077">
            <v>5</v>
          </cell>
          <cell r="D1077" t="str">
            <v>green</v>
          </cell>
          <cell r="E1077">
            <v>1.02</v>
          </cell>
          <cell r="F1077">
            <v>0.98</v>
          </cell>
          <cell r="G1077">
            <v>1</v>
          </cell>
          <cell r="H1077" t="str">
            <v>balance</v>
          </cell>
          <cell r="I1077" t="str">
            <v>バランスタイプ</v>
          </cell>
          <cell r="J1077">
            <v>1</v>
          </cell>
          <cell r="K1077">
            <v>1</v>
          </cell>
          <cell r="L1077">
            <v>1</v>
          </cell>
          <cell r="M1077" t="str">
            <v>academia</v>
          </cell>
          <cell r="N1077" t="str">
            <v>アカデミア</v>
          </cell>
          <cell r="O1077">
            <v>1</v>
          </cell>
          <cell r="P1077">
            <v>1</v>
          </cell>
          <cell r="Q1077">
            <v>1</v>
          </cell>
          <cell r="R1077" t="str">
            <v>Boss</v>
          </cell>
          <cell r="S1077">
            <v>5</v>
          </cell>
          <cell r="T1077">
            <v>1.3</v>
          </cell>
          <cell r="U1077">
            <v>0.8</v>
          </cell>
          <cell r="V1077">
            <v>3</v>
          </cell>
          <cell r="W1077">
            <v>1</v>
          </cell>
          <cell r="X1077">
            <v>60</v>
          </cell>
          <cell r="Y1077">
            <v>1.7</v>
          </cell>
          <cell r="Z1077">
            <v>1.4</v>
          </cell>
          <cell r="AA1077">
            <v>1</v>
          </cell>
          <cell r="AB1077">
            <v>0</v>
          </cell>
        </row>
        <row r="1078">
          <cell r="A1078">
            <v>1077</v>
          </cell>
          <cell r="B1078" t="str">
            <v>彩適な幸詠隊 パレート</v>
          </cell>
          <cell r="C1078">
            <v>6</v>
          </cell>
          <cell r="D1078" t="str">
            <v>green</v>
          </cell>
          <cell r="E1078">
            <v>1.02</v>
          </cell>
          <cell r="F1078">
            <v>0.98</v>
          </cell>
          <cell r="G1078">
            <v>1</v>
          </cell>
          <cell r="H1078" t="str">
            <v>balance</v>
          </cell>
          <cell r="I1078" t="str">
            <v>バランスタイプ</v>
          </cell>
          <cell r="J1078">
            <v>1</v>
          </cell>
          <cell r="K1078">
            <v>1</v>
          </cell>
          <cell r="L1078">
            <v>1</v>
          </cell>
          <cell r="M1078" t="str">
            <v>academia</v>
          </cell>
          <cell r="N1078" t="str">
            <v>アカデミア</v>
          </cell>
          <cell r="O1078">
            <v>1</v>
          </cell>
          <cell r="P1078">
            <v>1</v>
          </cell>
          <cell r="Q1078">
            <v>1</v>
          </cell>
          <cell r="R1078" t="str">
            <v>Boss</v>
          </cell>
          <cell r="S1078">
            <v>5</v>
          </cell>
          <cell r="T1078">
            <v>1.3</v>
          </cell>
          <cell r="U1078">
            <v>0.8</v>
          </cell>
          <cell r="V1078">
            <v>3</v>
          </cell>
          <cell r="W1078">
            <v>1</v>
          </cell>
          <cell r="X1078">
            <v>60</v>
          </cell>
          <cell r="Y1078">
            <v>1.7</v>
          </cell>
          <cell r="Z1078">
            <v>1.4</v>
          </cell>
          <cell r="AA1078">
            <v>1</v>
          </cell>
          <cell r="AB1078">
            <v>0</v>
          </cell>
        </row>
        <row r="1079">
          <cell r="A1079">
            <v>1078</v>
          </cell>
          <cell r="B1079" t="str">
            <v>パレート_分岐覚醒</v>
          </cell>
          <cell r="C1079">
            <v>6</v>
          </cell>
          <cell r="D1079" t="str">
            <v>green</v>
          </cell>
          <cell r="E1079">
            <v>1.02</v>
          </cell>
          <cell r="F1079">
            <v>0.98</v>
          </cell>
          <cell r="G1079">
            <v>1</v>
          </cell>
          <cell r="H1079" t="str">
            <v>technical</v>
          </cell>
          <cell r="I1079" t="str">
            <v>テクニカルタイプ</v>
          </cell>
          <cell r="J1079">
            <v>0.9</v>
          </cell>
          <cell r="K1079">
            <v>0.9</v>
          </cell>
          <cell r="L1079">
            <v>1</v>
          </cell>
          <cell r="M1079" t="str">
            <v>academia</v>
          </cell>
          <cell r="N1079" t="str">
            <v>アカデミア</v>
          </cell>
          <cell r="O1079">
            <v>1</v>
          </cell>
          <cell r="P1079">
            <v>1</v>
          </cell>
          <cell r="Q1079">
            <v>1</v>
          </cell>
          <cell r="R1079" t="str">
            <v>Boss</v>
          </cell>
          <cell r="S1079">
            <v>5</v>
          </cell>
          <cell r="T1079">
            <v>1.3</v>
          </cell>
          <cell r="U1079">
            <v>0.8</v>
          </cell>
          <cell r="V1079">
            <v>3</v>
          </cell>
          <cell r="W1079">
            <v>1</v>
          </cell>
          <cell r="X1079">
            <v>60</v>
          </cell>
          <cell r="Y1079">
            <v>1.7</v>
          </cell>
          <cell r="Z1079">
            <v>1.4</v>
          </cell>
          <cell r="AA1079">
            <v>1</v>
          </cell>
          <cell r="AB1079">
            <v>0</v>
          </cell>
        </row>
        <row r="1080">
          <cell r="A1080">
            <v>1079</v>
          </cell>
          <cell r="B1080" t="str">
            <v>炎のアニバーサリーダック</v>
          </cell>
          <cell r="C1080">
            <v>6</v>
          </cell>
          <cell r="D1080" t="str">
            <v>red</v>
          </cell>
          <cell r="E1080">
            <v>1</v>
          </cell>
          <cell r="F1080">
            <v>1.02</v>
          </cell>
          <cell r="G1080">
            <v>1</v>
          </cell>
          <cell r="H1080" t="str">
            <v>exp</v>
          </cell>
          <cell r="I1080" t="str">
            <v>強化素材タイプ</v>
          </cell>
          <cell r="J1080">
            <v>0.1</v>
          </cell>
          <cell r="K1080">
            <v>0.05</v>
          </cell>
          <cell r="L1080">
            <v>1</v>
          </cell>
          <cell r="M1080" t="str">
            <v>unknown</v>
          </cell>
          <cell r="N1080" t="str">
            <v>Unknown</v>
          </cell>
          <cell r="O1080">
            <v>1</v>
          </cell>
          <cell r="P1080">
            <v>1</v>
          </cell>
          <cell r="Q1080">
            <v>1</v>
          </cell>
          <cell r="R1080" t="str">
            <v>Boss</v>
          </cell>
          <cell r="S1080">
            <v>5</v>
          </cell>
          <cell r="T1080">
            <v>1.3</v>
          </cell>
          <cell r="U1080">
            <v>0.8</v>
          </cell>
          <cell r="V1080">
            <v>3</v>
          </cell>
          <cell r="W1080">
            <v>1</v>
          </cell>
          <cell r="X1080">
            <v>20</v>
          </cell>
          <cell r="Y1080">
            <v>1.1000000000000001</v>
          </cell>
          <cell r="Z1080">
            <v>1.2</v>
          </cell>
          <cell r="AA1080">
            <v>1.2</v>
          </cell>
          <cell r="AB1080">
            <v>0</v>
          </cell>
        </row>
        <row r="1081">
          <cell r="A1081">
            <v>1080</v>
          </cell>
          <cell r="B1081" t="str">
            <v>森のアニバーサリーダック</v>
          </cell>
          <cell r="C1081">
            <v>6</v>
          </cell>
          <cell r="D1081" t="str">
            <v>green</v>
          </cell>
          <cell r="E1081">
            <v>1.02</v>
          </cell>
          <cell r="F1081">
            <v>0.98</v>
          </cell>
          <cell r="G1081">
            <v>1</v>
          </cell>
          <cell r="H1081" t="str">
            <v>exp</v>
          </cell>
          <cell r="I1081" t="str">
            <v>強化素材タイプ</v>
          </cell>
          <cell r="J1081">
            <v>0.1</v>
          </cell>
          <cell r="K1081">
            <v>0.05</v>
          </cell>
          <cell r="L1081">
            <v>1</v>
          </cell>
          <cell r="M1081" t="str">
            <v>unknown</v>
          </cell>
          <cell r="N1081" t="str">
            <v>Unknown</v>
          </cell>
          <cell r="O1081">
            <v>1</v>
          </cell>
          <cell r="P1081">
            <v>1</v>
          </cell>
          <cell r="Q1081">
            <v>1</v>
          </cell>
          <cell r="R1081" t="str">
            <v>Boss</v>
          </cell>
          <cell r="S1081">
            <v>5</v>
          </cell>
          <cell r="T1081">
            <v>1.3</v>
          </cell>
          <cell r="U1081">
            <v>0.8</v>
          </cell>
          <cell r="V1081">
            <v>3</v>
          </cell>
          <cell r="W1081">
            <v>1</v>
          </cell>
          <cell r="X1081">
            <v>20</v>
          </cell>
          <cell r="Y1081">
            <v>1.1000000000000001</v>
          </cell>
          <cell r="Z1081">
            <v>1.2</v>
          </cell>
          <cell r="AA1081">
            <v>1.2</v>
          </cell>
          <cell r="AB1081">
            <v>0</v>
          </cell>
        </row>
        <row r="1082">
          <cell r="A1082">
            <v>1081</v>
          </cell>
          <cell r="B1082" t="str">
            <v>水のアニバーサリーダック</v>
          </cell>
          <cell r="C1082">
            <v>6</v>
          </cell>
          <cell r="D1082" t="str">
            <v>blue</v>
          </cell>
          <cell r="E1082">
            <v>1</v>
          </cell>
          <cell r="F1082">
            <v>0.98</v>
          </cell>
          <cell r="G1082">
            <v>1</v>
          </cell>
          <cell r="H1082" t="str">
            <v>exp</v>
          </cell>
          <cell r="I1082" t="str">
            <v>強化素材タイプ</v>
          </cell>
          <cell r="J1082">
            <v>0.1</v>
          </cell>
          <cell r="K1082">
            <v>0.05</v>
          </cell>
          <cell r="L1082">
            <v>1</v>
          </cell>
          <cell r="M1082" t="str">
            <v>unknown</v>
          </cell>
          <cell r="N1082" t="str">
            <v>Unknown</v>
          </cell>
          <cell r="O1082">
            <v>1</v>
          </cell>
          <cell r="P1082">
            <v>1</v>
          </cell>
          <cell r="Q1082">
            <v>1</v>
          </cell>
          <cell r="R1082" t="str">
            <v>Boss</v>
          </cell>
          <cell r="S1082">
            <v>5</v>
          </cell>
          <cell r="T1082">
            <v>1.3</v>
          </cell>
          <cell r="U1082">
            <v>0.8</v>
          </cell>
          <cell r="V1082">
            <v>3</v>
          </cell>
          <cell r="W1082">
            <v>1</v>
          </cell>
          <cell r="X1082">
            <v>20</v>
          </cell>
          <cell r="Y1082">
            <v>1.1000000000000001</v>
          </cell>
          <cell r="Z1082">
            <v>1.2</v>
          </cell>
          <cell r="AA1082">
            <v>1.2</v>
          </cell>
          <cell r="AB1082">
            <v>0</v>
          </cell>
        </row>
        <row r="1083">
          <cell r="A1083">
            <v>1082</v>
          </cell>
          <cell r="B1083" t="str">
            <v>雷のアニバーサリーダック</v>
          </cell>
          <cell r="C1083">
            <v>6</v>
          </cell>
          <cell r="D1083" t="str">
            <v>yellow</v>
          </cell>
          <cell r="E1083">
            <v>0.98</v>
          </cell>
          <cell r="F1083">
            <v>1.01</v>
          </cell>
          <cell r="G1083">
            <v>1</v>
          </cell>
          <cell r="H1083" t="str">
            <v>exp</v>
          </cell>
          <cell r="I1083" t="str">
            <v>強化素材タイプ</v>
          </cell>
          <cell r="J1083">
            <v>0.1</v>
          </cell>
          <cell r="K1083">
            <v>0.05</v>
          </cell>
          <cell r="L1083">
            <v>1</v>
          </cell>
          <cell r="M1083" t="str">
            <v>unknown</v>
          </cell>
          <cell r="N1083" t="str">
            <v>Unknown</v>
          </cell>
          <cell r="O1083">
            <v>1</v>
          </cell>
          <cell r="P1083">
            <v>1</v>
          </cell>
          <cell r="Q1083">
            <v>1</v>
          </cell>
          <cell r="R1083" t="str">
            <v>Boss</v>
          </cell>
          <cell r="S1083">
            <v>5</v>
          </cell>
          <cell r="T1083">
            <v>1.3</v>
          </cell>
          <cell r="U1083">
            <v>0.8</v>
          </cell>
          <cell r="V1083">
            <v>3</v>
          </cell>
          <cell r="W1083">
            <v>1</v>
          </cell>
          <cell r="X1083">
            <v>20</v>
          </cell>
          <cell r="Y1083">
            <v>1.1000000000000001</v>
          </cell>
          <cell r="Z1083">
            <v>1.2</v>
          </cell>
          <cell r="AA1083">
            <v>1.2</v>
          </cell>
          <cell r="AB1083">
            <v>0</v>
          </cell>
        </row>
        <row r="1084">
          <cell r="A1084">
            <v>1083</v>
          </cell>
          <cell r="B1084" t="str">
            <v>マジシャン</v>
          </cell>
          <cell r="C1084">
            <v>5</v>
          </cell>
          <cell r="D1084" t="str">
            <v>yellow</v>
          </cell>
          <cell r="E1084">
            <v>0.98</v>
          </cell>
          <cell r="F1084">
            <v>1.01</v>
          </cell>
          <cell r="G1084">
            <v>1</v>
          </cell>
          <cell r="H1084" t="str">
            <v>technical</v>
          </cell>
          <cell r="I1084" t="str">
            <v>テクニカルタイプ</v>
          </cell>
          <cell r="J1084">
            <v>0.9</v>
          </cell>
          <cell r="K1084">
            <v>0.9</v>
          </cell>
          <cell r="L1084">
            <v>1</v>
          </cell>
          <cell r="M1084" t="str">
            <v>god</v>
          </cell>
          <cell r="N1084" t="str">
            <v>ゴッド</v>
          </cell>
          <cell r="O1084">
            <v>0.96</v>
          </cell>
          <cell r="P1084">
            <v>1.02</v>
          </cell>
          <cell r="Q1084">
            <v>1</v>
          </cell>
          <cell r="R1084" t="str">
            <v>Boss</v>
          </cell>
          <cell r="S1084">
            <v>5</v>
          </cell>
          <cell r="T1084">
            <v>1.3</v>
          </cell>
          <cell r="U1084">
            <v>0.8</v>
          </cell>
          <cell r="V1084">
            <v>3</v>
          </cell>
          <cell r="W1084">
            <v>1</v>
          </cell>
          <cell r="X1084">
            <v>60</v>
          </cell>
          <cell r="Y1084">
            <v>1.7</v>
          </cell>
          <cell r="Z1084">
            <v>1.4</v>
          </cell>
          <cell r="AA1084">
            <v>1</v>
          </cell>
          <cell r="AB1084">
            <v>0</v>
          </cell>
        </row>
        <row r="1085">
          <cell r="A1085">
            <v>1084</v>
          </cell>
          <cell r="B1085" t="str">
            <v>驚創する術想師  マジシャン</v>
          </cell>
          <cell r="C1085">
            <v>6</v>
          </cell>
          <cell r="D1085" t="str">
            <v>yellow</v>
          </cell>
          <cell r="E1085">
            <v>0.98</v>
          </cell>
          <cell r="F1085">
            <v>1.01</v>
          </cell>
          <cell r="G1085">
            <v>1</v>
          </cell>
          <cell r="H1085" t="str">
            <v>technical</v>
          </cell>
          <cell r="I1085" t="str">
            <v>テクニカルタイプ</v>
          </cell>
          <cell r="J1085">
            <v>0.9</v>
          </cell>
          <cell r="K1085">
            <v>0.9</v>
          </cell>
          <cell r="L1085">
            <v>1</v>
          </cell>
          <cell r="M1085" t="str">
            <v>god</v>
          </cell>
          <cell r="N1085" t="str">
            <v>ゴッド</v>
          </cell>
          <cell r="O1085">
            <v>0.96</v>
          </cell>
          <cell r="P1085">
            <v>1.02</v>
          </cell>
          <cell r="Q1085">
            <v>1</v>
          </cell>
          <cell r="R1085" t="str">
            <v>Boss</v>
          </cell>
          <cell r="S1085">
            <v>5</v>
          </cell>
          <cell r="T1085">
            <v>1.3</v>
          </cell>
          <cell r="U1085">
            <v>0.8</v>
          </cell>
          <cell r="V1085">
            <v>3</v>
          </cell>
          <cell r="W1085">
            <v>1</v>
          </cell>
          <cell r="X1085">
            <v>60</v>
          </cell>
          <cell r="Y1085">
            <v>1.7</v>
          </cell>
          <cell r="Z1085">
            <v>1.4</v>
          </cell>
          <cell r="AA1085">
            <v>1</v>
          </cell>
          <cell r="AB1085">
            <v>0</v>
          </cell>
        </row>
        <row r="1086">
          <cell r="A1086">
            <v>1085</v>
          </cell>
          <cell r="B1086" t="str">
            <v>ルメートル</v>
          </cell>
          <cell r="C1086">
            <v>5</v>
          </cell>
          <cell r="D1086" t="str">
            <v>green</v>
          </cell>
          <cell r="E1086">
            <v>1.02</v>
          </cell>
          <cell r="F1086">
            <v>0.98</v>
          </cell>
          <cell r="G1086">
            <v>1</v>
          </cell>
          <cell r="H1086" t="str">
            <v>technical</v>
          </cell>
          <cell r="I1086" t="str">
            <v>テクニカルタイプ</v>
          </cell>
          <cell r="J1086">
            <v>0.9</v>
          </cell>
          <cell r="K1086">
            <v>0.9</v>
          </cell>
          <cell r="L1086">
            <v>1</v>
          </cell>
          <cell r="M1086" t="str">
            <v>academia</v>
          </cell>
          <cell r="N1086" t="str">
            <v>アカデミア</v>
          </cell>
          <cell r="O1086">
            <v>1</v>
          </cell>
          <cell r="P1086">
            <v>1</v>
          </cell>
          <cell r="Q1086">
            <v>1</v>
          </cell>
          <cell r="R1086" t="str">
            <v>Boss</v>
          </cell>
          <cell r="S1086">
            <v>5</v>
          </cell>
          <cell r="T1086">
            <v>1.3</v>
          </cell>
          <cell r="U1086">
            <v>0.8</v>
          </cell>
          <cell r="V1086">
            <v>3</v>
          </cell>
          <cell r="W1086">
            <v>1</v>
          </cell>
          <cell r="X1086">
            <v>60</v>
          </cell>
          <cell r="Y1086">
            <v>1.7</v>
          </cell>
          <cell r="Z1086">
            <v>1.4</v>
          </cell>
          <cell r="AA1086">
            <v>1</v>
          </cell>
          <cell r="AB1086">
            <v>0</v>
          </cell>
        </row>
        <row r="1087">
          <cell r="A1087">
            <v>1086</v>
          </cell>
          <cell r="B1087" t="str">
            <v>宇宙の線術家 ルメートル</v>
          </cell>
          <cell r="C1087">
            <v>6</v>
          </cell>
          <cell r="D1087" t="str">
            <v>green</v>
          </cell>
          <cell r="E1087">
            <v>1.02</v>
          </cell>
          <cell r="F1087">
            <v>0.98</v>
          </cell>
          <cell r="G1087">
            <v>1</v>
          </cell>
          <cell r="H1087" t="str">
            <v>technical</v>
          </cell>
          <cell r="I1087" t="str">
            <v>テクニカルタイプ</v>
          </cell>
          <cell r="J1087">
            <v>0.9</v>
          </cell>
          <cell r="K1087">
            <v>0.9</v>
          </cell>
          <cell r="L1087">
            <v>1</v>
          </cell>
          <cell r="M1087" t="str">
            <v>academia</v>
          </cell>
          <cell r="N1087" t="str">
            <v>アカデミア</v>
          </cell>
          <cell r="O1087">
            <v>1</v>
          </cell>
          <cell r="P1087">
            <v>1</v>
          </cell>
          <cell r="Q1087">
            <v>1</v>
          </cell>
          <cell r="R1087" t="str">
            <v>Boss</v>
          </cell>
          <cell r="S1087">
            <v>5</v>
          </cell>
          <cell r="T1087">
            <v>1.3</v>
          </cell>
          <cell r="U1087">
            <v>0.8</v>
          </cell>
          <cell r="V1087">
            <v>3</v>
          </cell>
          <cell r="W1087">
            <v>1</v>
          </cell>
          <cell r="X1087">
            <v>60</v>
          </cell>
          <cell r="Y1087">
            <v>1.7</v>
          </cell>
          <cell r="Z1087">
            <v>1.4</v>
          </cell>
          <cell r="AA1087">
            <v>1</v>
          </cell>
          <cell r="AB1087">
            <v>0</v>
          </cell>
        </row>
        <row r="1088">
          <cell r="A1088">
            <v>1087</v>
          </cell>
          <cell r="B1088" t="str">
            <v>宇宙線の神業師 ルメートル</v>
          </cell>
          <cell r="C1088">
            <v>6</v>
          </cell>
          <cell r="D1088" t="str">
            <v>green</v>
          </cell>
          <cell r="E1088">
            <v>1.02</v>
          </cell>
          <cell r="F1088">
            <v>0.98</v>
          </cell>
          <cell r="G1088">
            <v>1</v>
          </cell>
          <cell r="H1088" t="str">
            <v>balance</v>
          </cell>
          <cell r="I1088" t="str">
            <v>バランスタイプ</v>
          </cell>
          <cell r="J1088">
            <v>1</v>
          </cell>
          <cell r="K1088">
            <v>1</v>
          </cell>
          <cell r="L1088">
            <v>1</v>
          </cell>
          <cell r="M1088" t="str">
            <v>academia</v>
          </cell>
          <cell r="N1088" t="str">
            <v>アカデミア</v>
          </cell>
          <cell r="O1088">
            <v>1</v>
          </cell>
          <cell r="P1088">
            <v>1</v>
          </cell>
          <cell r="Q1088">
            <v>1</v>
          </cell>
          <cell r="R1088" t="str">
            <v>Boss</v>
          </cell>
          <cell r="S1088">
            <v>5</v>
          </cell>
          <cell r="T1088">
            <v>1.3</v>
          </cell>
          <cell r="U1088">
            <v>0.8</v>
          </cell>
          <cell r="V1088">
            <v>3</v>
          </cell>
          <cell r="W1088">
            <v>1</v>
          </cell>
          <cell r="X1088">
            <v>60</v>
          </cell>
          <cell r="Y1088">
            <v>1.7</v>
          </cell>
          <cell r="Z1088">
            <v>1.4</v>
          </cell>
          <cell r="AA1088">
            <v>1</v>
          </cell>
          <cell r="AB1088">
            <v>0</v>
          </cell>
        </row>
        <row r="1089">
          <cell r="A1089">
            <v>1088</v>
          </cell>
          <cell r="B1089" t="str">
            <v>ミケランジェロ</v>
          </cell>
          <cell r="C1089">
            <v>5</v>
          </cell>
          <cell r="D1089" t="str">
            <v>green</v>
          </cell>
          <cell r="E1089">
            <v>1.02</v>
          </cell>
          <cell r="F1089">
            <v>0.98</v>
          </cell>
          <cell r="G1089">
            <v>1</v>
          </cell>
          <cell r="H1089" t="str">
            <v>technical</v>
          </cell>
          <cell r="I1089" t="str">
            <v>テクニカルタイプ</v>
          </cell>
          <cell r="J1089">
            <v>0.9</v>
          </cell>
          <cell r="K1089">
            <v>0.9</v>
          </cell>
          <cell r="L1089">
            <v>1</v>
          </cell>
          <cell r="M1089" t="str">
            <v>unknown</v>
          </cell>
          <cell r="N1089" t="str">
            <v>Unknown</v>
          </cell>
          <cell r="O1089">
            <v>1</v>
          </cell>
          <cell r="P1089">
            <v>1</v>
          </cell>
          <cell r="Q1089">
            <v>1</v>
          </cell>
          <cell r="R1089" t="str">
            <v>Boss</v>
          </cell>
          <cell r="S1089">
            <v>5</v>
          </cell>
          <cell r="T1089">
            <v>1.3</v>
          </cell>
          <cell r="U1089">
            <v>0.8</v>
          </cell>
          <cell r="V1089">
            <v>3</v>
          </cell>
          <cell r="W1089">
            <v>1</v>
          </cell>
          <cell r="X1089">
            <v>60</v>
          </cell>
          <cell r="Y1089">
            <v>1.7</v>
          </cell>
          <cell r="Z1089">
            <v>1.4</v>
          </cell>
          <cell r="AA1089">
            <v>1</v>
          </cell>
          <cell r="AB1089">
            <v>0</v>
          </cell>
        </row>
        <row r="1090">
          <cell r="A1090">
            <v>1089</v>
          </cell>
          <cell r="B1090" t="str">
            <v>破壊の発誕 ミケランジェロ</v>
          </cell>
          <cell r="C1090">
            <v>6</v>
          </cell>
          <cell r="D1090" t="str">
            <v>green</v>
          </cell>
          <cell r="E1090">
            <v>1.02</v>
          </cell>
          <cell r="F1090">
            <v>0.98</v>
          </cell>
          <cell r="G1090">
            <v>1</v>
          </cell>
          <cell r="H1090" t="str">
            <v>technical</v>
          </cell>
          <cell r="I1090" t="str">
            <v>テクニカルタイプ</v>
          </cell>
          <cell r="J1090">
            <v>0.9</v>
          </cell>
          <cell r="K1090">
            <v>0.9</v>
          </cell>
          <cell r="L1090">
            <v>1</v>
          </cell>
          <cell r="M1090" t="str">
            <v>unknown</v>
          </cell>
          <cell r="N1090" t="str">
            <v>Unknown</v>
          </cell>
          <cell r="O1090">
            <v>1</v>
          </cell>
          <cell r="P1090">
            <v>1</v>
          </cell>
          <cell r="Q1090">
            <v>1</v>
          </cell>
          <cell r="R1090" t="str">
            <v>Boss</v>
          </cell>
          <cell r="S1090">
            <v>5</v>
          </cell>
          <cell r="T1090">
            <v>1.3</v>
          </cell>
          <cell r="U1090">
            <v>0.8</v>
          </cell>
          <cell r="V1090">
            <v>3</v>
          </cell>
          <cell r="W1090">
            <v>1</v>
          </cell>
          <cell r="X1090">
            <v>60</v>
          </cell>
          <cell r="Y1090">
            <v>1.7</v>
          </cell>
          <cell r="Z1090">
            <v>1.4</v>
          </cell>
          <cell r="AA1090">
            <v>1</v>
          </cell>
          <cell r="AB1090">
            <v>0</v>
          </cell>
        </row>
        <row r="1091">
          <cell r="A1091">
            <v>1090</v>
          </cell>
          <cell r="B1091" t="str">
            <v>ラプラス</v>
          </cell>
          <cell r="C1091">
            <v>5</v>
          </cell>
          <cell r="D1091" t="str">
            <v>yellow</v>
          </cell>
          <cell r="E1091">
            <v>0.98</v>
          </cell>
          <cell r="F1091">
            <v>1.01</v>
          </cell>
          <cell r="G1091">
            <v>1</v>
          </cell>
          <cell r="H1091" t="str">
            <v>attack</v>
          </cell>
          <cell r="I1091" t="str">
            <v>攻撃タイプ</v>
          </cell>
          <cell r="J1091">
            <v>1</v>
          </cell>
          <cell r="K1091">
            <v>1.33</v>
          </cell>
          <cell r="L1091">
            <v>1</v>
          </cell>
          <cell r="M1091" t="str">
            <v>academia</v>
          </cell>
          <cell r="N1091" t="str">
            <v>アカデミア</v>
          </cell>
          <cell r="O1091">
            <v>1</v>
          </cell>
          <cell r="P1091">
            <v>1</v>
          </cell>
          <cell r="Q1091">
            <v>1</v>
          </cell>
          <cell r="R1091" t="str">
            <v>Boss</v>
          </cell>
          <cell r="S1091">
            <v>5</v>
          </cell>
          <cell r="T1091">
            <v>1.3</v>
          </cell>
          <cell r="U1091">
            <v>0.8</v>
          </cell>
          <cell r="V1091">
            <v>3</v>
          </cell>
          <cell r="W1091">
            <v>1</v>
          </cell>
          <cell r="X1091">
            <v>60</v>
          </cell>
          <cell r="Y1091">
            <v>1.7</v>
          </cell>
          <cell r="Z1091">
            <v>1.4</v>
          </cell>
          <cell r="AA1091">
            <v>1</v>
          </cell>
          <cell r="AB1091">
            <v>0</v>
          </cell>
        </row>
        <row r="1092">
          <cell r="A1092">
            <v>1091</v>
          </cell>
          <cell r="B1092" t="str">
            <v>予眼する魔姫 ラプラス</v>
          </cell>
          <cell r="C1092">
            <v>6</v>
          </cell>
          <cell r="D1092" t="str">
            <v>yellow</v>
          </cell>
          <cell r="E1092">
            <v>0.98</v>
          </cell>
          <cell r="F1092">
            <v>1.01</v>
          </cell>
          <cell r="G1092">
            <v>1</v>
          </cell>
          <cell r="H1092" t="str">
            <v>attack</v>
          </cell>
          <cell r="I1092" t="str">
            <v>攻撃タイプ</v>
          </cell>
          <cell r="J1092">
            <v>1</v>
          </cell>
          <cell r="K1092">
            <v>1.33</v>
          </cell>
          <cell r="L1092">
            <v>1</v>
          </cell>
          <cell r="M1092" t="str">
            <v>academia</v>
          </cell>
          <cell r="N1092" t="str">
            <v>アカデミア</v>
          </cell>
          <cell r="O1092">
            <v>1</v>
          </cell>
          <cell r="P1092">
            <v>1</v>
          </cell>
          <cell r="Q1092">
            <v>1</v>
          </cell>
          <cell r="R1092" t="str">
            <v>Boss</v>
          </cell>
          <cell r="S1092">
            <v>5</v>
          </cell>
          <cell r="T1092">
            <v>1.3</v>
          </cell>
          <cell r="U1092">
            <v>0.8</v>
          </cell>
          <cell r="V1092">
            <v>3</v>
          </cell>
          <cell r="W1092">
            <v>1</v>
          </cell>
          <cell r="X1092">
            <v>60</v>
          </cell>
          <cell r="Y1092">
            <v>1.7</v>
          </cell>
          <cell r="Z1092">
            <v>1.4</v>
          </cell>
          <cell r="AA1092">
            <v>1</v>
          </cell>
          <cell r="AB1092">
            <v>0</v>
          </cell>
        </row>
        <row r="1093">
          <cell r="A1093">
            <v>1092</v>
          </cell>
          <cell r="B1093" t="str">
            <v>究護の戦王子 レイヴン</v>
          </cell>
          <cell r="C1093">
            <v>6</v>
          </cell>
          <cell r="D1093" t="str">
            <v>green</v>
          </cell>
          <cell r="E1093">
            <v>1.02</v>
          </cell>
          <cell r="F1093">
            <v>0.98</v>
          </cell>
          <cell r="G1093">
            <v>1</v>
          </cell>
          <cell r="H1093" t="str">
            <v>attack</v>
          </cell>
          <cell r="I1093" t="str">
            <v>攻撃タイプ</v>
          </cell>
          <cell r="J1093">
            <v>1</v>
          </cell>
          <cell r="K1093">
            <v>1.33</v>
          </cell>
          <cell r="L1093">
            <v>1</v>
          </cell>
          <cell r="M1093" t="str">
            <v>human</v>
          </cell>
          <cell r="N1093" t="str">
            <v>ヒューマン</v>
          </cell>
          <cell r="O1093">
            <v>0.94</v>
          </cell>
          <cell r="P1093">
            <v>0.99</v>
          </cell>
          <cell r="Q1093">
            <v>1</v>
          </cell>
          <cell r="R1093" t="str">
            <v>Boss</v>
          </cell>
          <cell r="S1093">
            <v>5</v>
          </cell>
          <cell r="T1093">
            <v>1.3</v>
          </cell>
          <cell r="U1093">
            <v>0.8</v>
          </cell>
          <cell r="V1093">
            <v>3</v>
          </cell>
          <cell r="W1093">
            <v>1</v>
          </cell>
          <cell r="X1093">
            <v>60</v>
          </cell>
          <cell r="Y1093">
            <v>1.7</v>
          </cell>
          <cell r="Z1093">
            <v>1.4</v>
          </cell>
          <cell r="AA1093">
            <v>1</v>
          </cell>
          <cell r="AB1093">
            <v>0</v>
          </cell>
        </row>
        <row r="1094">
          <cell r="A1094">
            <v>1093</v>
          </cell>
          <cell r="B1094" t="str">
            <v>未定</v>
          </cell>
          <cell r="C1094">
            <v>6</v>
          </cell>
          <cell r="D1094" t="str">
            <v>yellow</v>
          </cell>
          <cell r="E1094">
            <v>0.98</v>
          </cell>
          <cell r="F1094">
            <v>1.01</v>
          </cell>
          <cell r="G1094">
            <v>1</v>
          </cell>
          <cell r="H1094" t="str">
            <v>attack</v>
          </cell>
          <cell r="I1094" t="str">
            <v>攻撃タイプ</v>
          </cell>
          <cell r="J1094">
            <v>1</v>
          </cell>
          <cell r="K1094">
            <v>1.33</v>
          </cell>
          <cell r="L1094">
            <v>1</v>
          </cell>
          <cell r="M1094" t="str">
            <v>unknown</v>
          </cell>
          <cell r="N1094" t="str">
            <v>Unknown</v>
          </cell>
          <cell r="O1094">
            <v>1</v>
          </cell>
          <cell r="P1094">
            <v>1</v>
          </cell>
          <cell r="Q1094">
            <v>1</v>
          </cell>
          <cell r="R1094" t="str">
            <v>Boss</v>
          </cell>
          <cell r="S1094">
            <v>5</v>
          </cell>
          <cell r="T1094">
            <v>1.3</v>
          </cell>
          <cell r="U1094">
            <v>0.8</v>
          </cell>
          <cell r="V1094">
            <v>3</v>
          </cell>
          <cell r="W1094">
            <v>1</v>
          </cell>
          <cell r="X1094">
            <v>60</v>
          </cell>
          <cell r="Y1094">
            <v>1.7</v>
          </cell>
          <cell r="Z1094">
            <v>1.4</v>
          </cell>
          <cell r="AA1094">
            <v>1</v>
          </cell>
          <cell r="AB1094">
            <v>0</v>
          </cell>
        </row>
        <row r="1095">
          <cell r="A1095">
            <v>1094</v>
          </cell>
          <cell r="B1095" t="str">
            <v>メルクシャ</v>
          </cell>
          <cell r="C1095">
            <v>4</v>
          </cell>
          <cell r="D1095" t="str">
            <v>blue</v>
          </cell>
          <cell r="E1095">
            <v>1</v>
          </cell>
          <cell r="F1095">
            <v>0.98</v>
          </cell>
          <cell r="G1095">
            <v>1</v>
          </cell>
          <cell r="H1095" t="str">
            <v>technical</v>
          </cell>
          <cell r="I1095" t="str">
            <v>テクニカルタイプ</v>
          </cell>
          <cell r="J1095">
            <v>0.9</v>
          </cell>
          <cell r="K1095">
            <v>0.9</v>
          </cell>
          <cell r="L1095">
            <v>1</v>
          </cell>
          <cell r="M1095" t="str">
            <v>animal</v>
          </cell>
          <cell r="N1095" t="str">
            <v>アニマル</v>
          </cell>
          <cell r="O1095">
            <v>1</v>
          </cell>
          <cell r="P1095">
            <v>1.1000000000000001</v>
          </cell>
          <cell r="Q1095">
            <v>1</v>
          </cell>
          <cell r="R1095" t="str">
            <v>Boss</v>
          </cell>
          <cell r="S1095">
            <v>5</v>
          </cell>
          <cell r="T1095">
            <v>1.3</v>
          </cell>
          <cell r="U1095">
            <v>0.8</v>
          </cell>
          <cell r="V1095">
            <v>3</v>
          </cell>
          <cell r="W1095">
            <v>1</v>
          </cell>
          <cell r="X1095">
            <v>30</v>
          </cell>
          <cell r="Y1095">
            <v>1.3</v>
          </cell>
          <cell r="Z1095">
            <v>1.3</v>
          </cell>
          <cell r="AA1095">
            <v>1.1000000000000001</v>
          </cell>
          <cell r="AB1095">
            <v>0</v>
          </cell>
        </row>
        <row r="1096">
          <cell r="A1096">
            <v>1095</v>
          </cell>
          <cell r="B1096" t="str">
            <v>誓愛の絵花 メルクシャ</v>
          </cell>
          <cell r="C1096">
            <v>5</v>
          </cell>
          <cell r="D1096" t="str">
            <v>blue</v>
          </cell>
          <cell r="E1096">
            <v>1</v>
          </cell>
          <cell r="F1096">
            <v>0.98</v>
          </cell>
          <cell r="G1096">
            <v>1</v>
          </cell>
          <cell r="H1096" t="str">
            <v>technical</v>
          </cell>
          <cell r="I1096" t="str">
            <v>テクニカルタイプ</v>
          </cell>
          <cell r="J1096">
            <v>0.9</v>
          </cell>
          <cell r="K1096">
            <v>0.9</v>
          </cell>
          <cell r="L1096">
            <v>1</v>
          </cell>
          <cell r="M1096" t="str">
            <v>animal</v>
          </cell>
          <cell r="N1096" t="str">
            <v>アニマル</v>
          </cell>
          <cell r="O1096">
            <v>1</v>
          </cell>
          <cell r="P1096">
            <v>1.1000000000000001</v>
          </cell>
          <cell r="Q1096">
            <v>1</v>
          </cell>
          <cell r="R1096" t="str">
            <v>Boss</v>
          </cell>
          <cell r="S1096">
            <v>5</v>
          </cell>
          <cell r="T1096">
            <v>1.3</v>
          </cell>
          <cell r="U1096">
            <v>0.8</v>
          </cell>
          <cell r="V1096">
            <v>3</v>
          </cell>
          <cell r="W1096">
            <v>1</v>
          </cell>
          <cell r="X1096">
            <v>60</v>
          </cell>
          <cell r="Y1096">
            <v>1.7</v>
          </cell>
          <cell r="Z1096">
            <v>1.4</v>
          </cell>
          <cell r="AA1096">
            <v>1</v>
          </cell>
          <cell r="AB1096">
            <v>0</v>
          </cell>
        </row>
        <row r="1097">
          <cell r="A1097">
            <v>1096</v>
          </cell>
          <cell r="B1097" t="str">
            <v>ジャ・リダルサ</v>
          </cell>
          <cell r="C1097">
            <v>4</v>
          </cell>
          <cell r="D1097" t="str">
            <v>red</v>
          </cell>
          <cell r="E1097">
            <v>1</v>
          </cell>
          <cell r="F1097">
            <v>1.02</v>
          </cell>
          <cell r="G1097">
            <v>1</v>
          </cell>
          <cell r="H1097" t="str">
            <v>technical</v>
          </cell>
          <cell r="I1097" t="str">
            <v>テクニカルタイプ</v>
          </cell>
          <cell r="J1097">
            <v>0.9</v>
          </cell>
          <cell r="K1097">
            <v>0.9</v>
          </cell>
          <cell r="L1097">
            <v>1</v>
          </cell>
          <cell r="M1097" t="str">
            <v>unknown</v>
          </cell>
          <cell r="N1097" t="str">
            <v>Unknown</v>
          </cell>
          <cell r="O1097">
            <v>1</v>
          </cell>
          <cell r="P1097">
            <v>1</v>
          </cell>
          <cell r="Q1097">
            <v>1</v>
          </cell>
          <cell r="R1097" t="str">
            <v>Boss</v>
          </cell>
          <cell r="S1097">
            <v>5</v>
          </cell>
          <cell r="T1097">
            <v>1.3</v>
          </cell>
          <cell r="U1097">
            <v>0.8</v>
          </cell>
          <cell r="V1097">
            <v>3</v>
          </cell>
          <cell r="W1097">
            <v>1</v>
          </cell>
          <cell r="X1097">
            <v>30</v>
          </cell>
          <cell r="Y1097">
            <v>1.3</v>
          </cell>
          <cell r="Z1097">
            <v>1.3</v>
          </cell>
          <cell r="AA1097">
            <v>1.1000000000000001</v>
          </cell>
          <cell r="AB1097">
            <v>0</v>
          </cell>
        </row>
        <row r="1098">
          <cell r="A1098">
            <v>1097</v>
          </cell>
          <cell r="B1098" t="str">
            <v>超現実才奇 ジャ・リダルサ</v>
          </cell>
          <cell r="C1098">
            <v>5</v>
          </cell>
          <cell r="D1098" t="str">
            <v>red</v>
          </cell>
          <cell r="E1098">
            <v>1</v>
          </cell>
          <cell r="F1098">
            <v>1.02</v>
          </cell>
          <cell r="G1098">
            <v>1</v>
          </cell>
          <cell r="H1098" t="str">
            <v>technical</v>
          </cell>
          <cell r="I1098" t="str">
            <v>テクニカルタイプ</v>
          </cell>
          <cell r="J1098">
            <v>0.9</v>
          </cell>
          <cell r="K1098">
            <v>0.9</v>
          </cell>
          <cell r="L1098">
            <v>1</v>
          </cell>
          <cell r="M1098" t="str">
            <v>unknown</v>
          </cell>
          <cell r="N1098" t="str">
            <v>Unknown</v>
          </cell>
          <cell r="O1098">
            <v>1</v>
          </cell>
          <cell r="P1098">
            <v>1</v>
          </cell>
          <cell r="Q1098">
            <v>1</v>
          </cell>
          <cell r="R1098" t="str">
            <v>Boss</v>
          </cell>
          <cell r="S1098">
            <v>5</v>
          </cell>
          <cell r="T1098">
            <v>1.3</v>
          </cell>
          <cell r="U1098">
            <v>0.8</v>
          </cell>
          <cell r="V1098">
            <v>3</v>
          </cell>
          <cell r="W1098">
            <v>1</v>
          </cell>
          <cell r="X1098">
            <v>60</v>
          </cell>
          <cell r="Y1098">
            <v>1.7</v>
          </cell>
          <cell r="Z1098">
            <v>1.4</v>
          </cell>
          <cell r="AA1098">
            <v>1</v>
          </cell>
          <cell r="AB1098">
            <v>0</v>
          </cell>
        </row>
        <row r="1099">
          <cell r="A1099">
            <v>1098</v>
          </cell>
          <cell r="B1099" t="str">
            <v>ルピカ</v>
          </cell>
          <cell r="C1099">
            <v>5</v>
          </cell>
          <cell r="D1099" t="str">
            <v>yellow</v>
          </cell>
          <cell r="E1099">
            <v>0.98</v>
          </cell>
          <cell r="F1099">
            <v>1.01</v>
          </cell>
          <cell r="G1099">
            <v>1</v>
          </cell>
          <cell r="H1099" t="str">
            <v>technical</v>
          </cell>
          <cell r="I1099" t="str">
            <v>テクニカルタイプ</v>
          </cell>
          <cell r="J1099">
            <v>0.9</v>
          </cell>
          <cell r="K1099">
            <v>0.9</v>
          </cell>
          <cell r="L1099">
            <v>1</v>
          </cell>
          <cell r="M1099" t="str">
            <v>human</v>
          </cell>
          <cell r="N1099" t="str">
            <v>ヒューマン</v>
          </cell>
          <cell r="O1099">
            <v>0.94</v>
          </cell>
          <cell r="P1099">
            <v>0.99</v>
          </cell>
          <cell r="Q1099">
            <v>1</v>
          </cell>
          <cell r="R1099" t="str">
            <v>Boss</v>
          </cell>
          <cell r="S1099">
            <v>5</v>
          </cell>
          <cell r="T1099">
            <v>1.3</v>
          </cell>
          <cell r="U1099">
            <v>0.8</v>
          </cell>
          <cell r="V1099">
            <v>3</v>
          </cell>
          <cell r="W1099">
            <v>1</v>
          </cell>
          <cell r="X1099">
            <v>60</v>
          </cell>
          <cell r="Y1099">
            <v>1.7</v>
          </cell>
          <cell r="Z1099">
            <v>1.4</v>
          </cell>
          <cell r="AA1099">
            <v>1</v>
          </cell>
          <cell r="AB1099">
            <v>0</v>
          </cell>
        </row>
        <row r="1100">
          <cell r="A1100">
            <v>1099</v>
          </cell>
          <cell r="B1100" t="str">
            <v>破築の連創 ルピカ</v>
          </cell>
          <cell r="C1100">
            <v>6</v>
          </cell>
          <cell r="D1100" t="str">
            <v>yellow</v>
          </cell>
          <cell r="E1100">
            <v>0.98</v>
          </cell>
          <cell r="F1100">
            <v>1.01</v>
          </cell>
          <cell r="G1100">
            <v>1</v>
          </cell>
          <cell r="H1100" t="str">
            <v>technical</v>
          </cell>
          <cell r="I1100" t="str">
            <v>テクニカルタイプ</v>
          </cell>
          <cell r="J1100">
            <v>0.9</v>
          </cell>
          <cell r="K1100">
            <v>0.9</v>
          </cell>
          <cell r="L1100">
            <v>1</v>
          </cell>
          <cell r="M1100" t="str">
            <v>human</v>
          </cell>
          <cell r="N1100" t="str">
            <v>ヒューマン</v>
          </cell>
          <cell r="O1100">
            <v>0.94</v>
          </cell>
          <cell r="P1100">
            <v>0.99</v>
          </cell>
          <cell r="Q1100">
            <v>1</v>
          </cell>
          <cell r="R1100" t="str">
            <v>Boss</v>
          </cell>
          <cell r="S1100">
            <v>5</v>
          </cell>
          <cell r="T1100">
            <v>1.3</v>
          </cell>
          <cell r="U1100">
            <v>0.8</v>
          </cell>
          <cell r="V1100">
            <v>3</v>
          </cell>
          <cell r="W1100">
            <v>1</v>
          </cell>
          <cell r="X1100">
            <v>60</v>
          </cell>
          <cell r="Y1100">
            <v>1.7</v>
          </cell>
          <cell r="Z1100">
            <v>1.4</v>
          </cell>
          <cell r="AA1100">
            <v>1</v>
          </cell>
          <cell r="AB1100">
            <v>0</v>
          </cell>
        </row>
        <row r="1101">
          <cell r="A1101">
            <v>1100</v>
          </cell>
          <cell r="B1101" t="str">
            <v>北斎</v>
          </cell>
          <cell r="C1101">
            <v>5</v>
          </cell>
          <cell r="D1101" t="str">
            <v>red</v>
          </cell>
          <cell r="E1101">
            <v>1</v>
          </cell>
          <cell r="F1101">
            <v>1.02</v>
          </cell>
          <cell r="G1101">
            <v>1</v>
          </cell>
          <cell r="H1101" t="str">
            <v>attack</v>
          </cell>
          <cell r="I1101" t="str">
            <v>攻撃タイプ</v>
          </cell>
          <cell r="J1101">
            <v>1</v>
          </cell>
          <cell r="K1101">
            <v>1.33</v>
          </cell>
          <cell r="L1101">
            <v>1</v>
          </cell>
          <cell r="M1101" t="str">
            <v>human</v>
          </cell>
          <cell r="N1101" t="str">
            <v>ヒューマン</v>
          </cell>
          <cell r="O1101">
            <v>0.94</v>
          </cell>
          <cell r="P1101">
            <v>0.99</v>
          </cell>
          <cell r="Q1101">
            <v>1</v>
          </cell>
          <cell r="R1101" t="str">
            <v>Boss</v>
          </cell>
          <cell r="S1101">
            <v>5</v>
          </cell>
          <cell r="T1101">
            <v>1.3</v>
          </cell>
          <cell r="U1101">
            <v>0.8</v>
          </cell>
          <cell r="V1101">
            <v>3</v>
          </cell>
          <cell r="W1101">
            <v>1</v>
          </cell>
          <cell r="X1101">
            <v>60</v>
          </cell>
          <cell r="Y1101">
            <v>1.7</v>
          </cell>
          <cell r="Z1101">
            <v>1.4</v>
          </cell>
          <cell r="AA1101">
            <v>1</v>
          </cell>
          <cell r="AB1101">
            <v>0</v>
          </cell>
        </row>
        <row r="1102">
          <cell r="A1102">
            <v>1101</v>
          </cell>
          <cell r="B1102" t="str">
            <v>浮世万物の筆刻者 北斎</v>
          </cell>
          <cell r="C1102">
            <v>6</v>
          </cell>
          <cell r="D1102" t="str">
            <v>red</v>
          </cell>
          <cell r="E1102">
            <v>1</v>
          </cell>
          <cell r="F1102">
            <v>1.02</v>
          </cell>
          <cell r="G1102">
            <v>1</v>
          </cell>
          <cell r="H1102" t="str">
            <v>attack</v>
          </cell>
          <cell r="I1102" t="str">
            <v>攻撃タイプ</v>
          </cell>
          <cell r="J1102">
            <v>1</v>
          </cell>
          <cell r="K1102">
            <v>1.33</v>
          </cell>
          <cell r="L1102">
            <v>1</v>
          </cell>
          <cell r="M1102" t="str">
            <v>human</v>
          </cell>
          <cell r="N1102" t="str">
            <v>ヒューマン</v>
          </cell>
          <cell r="O1102">
            <v>0.94</v>
          </cell>
          <cell r="P1102">
            <v>0.99</v>
          </cell>
          <cell r="Q1102">
            <v>1</v>
          </cell>
          <cell r="R1102" t="str">
            <v>Boss</v>
          </cell>
          <cell r="S1102">
            <v>5</v>
          </cell>
          <cell r="T1102">
            <v>1.3</v>
          </cell>
          <cell r="U1102">
            <v>0.8</v>
          </cell>
          <cell r="V1102">
            <v>3</v>
          </cell>
          <cell r="W1102">
            <v>1</v>
          </cell>
          <cell r="X1102">
            <v>60</v>
          </cell>
          <cell r="Y1102">
            <v>1.7</v>
          </cell>
          <cell r="Z1102">
            <v>1.4</v>
          </cell>
          <cell r="AA1102">
            <v>1</v>
          </cell>
          <cell r="AB1102">
            <v>0</v>
          </cell>
        </row>
        <row r="1103">
          <cell r="A1103">
            <v>1102</v>
          </cell>
          <cell r="B1103" t="str">
            <v>ドガ</v>
          </cell>
          <cell r="C1103">
            <v>5</v>
          </cell>
          <cell r="D1103" t="str">
            <v>green</v>
          </cell>
          <cell r="E1103">
            <v>1.02</v>
          </cell>
          <cell r="F1103">
            <v>0.98</v>
          </cell>
          <cell r="G1103">
            <v>1</v>
          </cell>
          <cell r="H1103" t="str">
            <v>balance</v>
          </cell>
          <cell r="I1103" t="str">
            <v>バランスタイプ</v>
          </cell>
          <cell r="J1103">
            <v>1</v>
          </cell>
          <cell r="K1103">
            <v>1</v>
          </cell>
          <cell r="L1103">
            <v>1</v>
          </cell>
          <cell r="M1103" t="str">
            <v>animal</v>
          </cell>
          <cell r="N1103" t="str">
            <v>アニマル</v>
          </cell>
          <cell r="O1103">
            <v>1</v>
          </cell>
          <cell r="P1103">
            <v>1.1000000000000001</v>
          </cell>
          <cell r="Q1103">
            <v>1</v>
          </cell>
          <cell r="R1103" t="str">
            <v>Boss</v>
          </cell>
          <cell r="S1103">
            <v>5</v>
          </cell>
          <cell r="T1103">
            <v>1.3</v>
          </cell>
          <cell r="U1103">
            <v>0.8</v>
          </cell>
          <cell r="V1103">
            <v>3</v>
          </cell>
          <cell r="W1103">
            <v>1</v>
          </cell>
          <cell r="X1103">
            <v>60</v>
          </cell>
          <cell r="Y1103">
            <v>1.7</v>
          </cell>
          <cell r="Z1103">
            <v>1.4</v>
          </cell>
          <cell r="AA1103">
            <v>1</v>
          </cell>
          <cell r="AB1103">
            <v>0</v>
          </cell>
        </row>
        <row r="1104">
          <cell r="A1104">
            <v>1103</v>
          </cell>
          <cell r="B1104" t="str">
            <v>舞台裏の鼠展 ドガ</v>
          </cell>
          <cell r="C1104">
            <v>6</v>
          </cell>
          <cell r="D1104" t="str">
            <v>green</v>
          </cell>
          <cell r="E1104">
            <v>1.02</v>
          </cell>
          <cell r="F1104">
            <v>0.98</v>
          </cell>
          <cell r="G1104">
            <v>1</v>
          </cell>
          <cell r="H1104" t="str">
            <v>balance</v>
          </cell>
          <cell r="I1104" t="str">
            <v>バランスタイプ</v>
          </cell>
          <cell r="J1104">
            <v>1</v>
          </cell>
          <cell r="K1104">
            <v>1</v>
          </cell>
          <cell r="L1104">
            <v>1</v>
          </cell>
          <cell r="M1104" t="str">
            <v>animal</v>
          </cell>
          <cell r="N1104" t="str">
            <v>アニマル</v>
          </cell>
          <cell r="O1104">
            <v>1</v>
          </cell>
          <cell r="P1104">
            <v>1.1000000000000001</v>
          </cell>
          <cell r="Q1104">
            <v>1</v>
          </cell>
          <cell r="R1104" t="str">
            <v>Boss</v>
          </cell>
          <cell r="S1104">
            <v>5</v>
          </cell>
          <cell r="T1104">
            <v>1.3</v>
          </cell>
          <cell r="U1104">
            <v>0.8</v>
          </cell>
          <cell r="V1104">
            <v>3</v>
          </cell>
          <cell r="W1104">
            <v>1</v>
          </cell>
          <cell r="X1104">
            <v>60</v>
          </cell>
          <cell r="Y1104">
            <v>1.7</v>
          </cell>
          <cell r="Z1104">
            <v>1.4</v>
          </cell>
          <cell r="AA1104">
            <v>1</v>
          </cell>
          <cell r="AB1104">
            <v>0</v>
          </cell>
        </row>
        <row r="1105">
          <cell r="A1105">
            <v>1104</v>
          </cell>
          <cell r="B1105" t="str">
            <v>クリムト</v>
          </cell>
          <cell r="C1105">
            <v>4</v>
          </cell>
          <cell r="D1105" t="str">
            <v>blue</v>
          </cell>
          <cell r="E1105">
            <v>1</v>
          </cell>
          <cell r="F1105">
            <v>0.98</v>
          </cell>
          <cell r="G1105">
            <v>1</v>
          </cell>
          <cell r="H1105" t="str">
            <v>technical</v>
          </cell>
          <cell r="I1105" t="str">
            <v>テクニカルタイプ</v>
          </cell>
          <cell r="J1105">
            <v>0.9</v>
          </cell>
          <cell r="K1105">
            <v>0.9</v>
          </cell>
          <cell r="L1105">
            <v>1</v>
          </cell>
          <cell r="M1105" t="str">
            <v>human</v>
          </cell>
          <cell r="N1105" t="str">
            <v>ヒューマン</v>
          </cell>
          <cell r="O1105">
            <v>0.94</v>
          </cell>
          <cell r="P1105">
            <v>0.99</v>
          </cell>
          <cell r="Q1105">
            <v>1</v>
          </cell>
          <cell r="R1105" t="str">
            <v>Boss</v>
          </cell>
          <cell r="S1105">
            <v>5</v>
          </cell>
          <cell r="T1105">
            <v>1.3</v>
          </cell>
          <cell r="U1105">
            <v>0.8</v>
          </cell>
          <cell r="V1105">
            <v>3</v>
          </cell>
          <cell r="W1105">
            <v>1</v>
          </cell>
          <cell r="X1105">
            <v>30</v>
          </cell>
          <cell r="Y1105">
            <v>1.3</v>
          </cell>
          <cell r="Z1105">
            <v>1.3</v>
          </cell>
          <cell r="AA1105">
            <v>1.1000000000000001</v>
          </cell>
          <cell r="AB1105">
            <v>0</v>
          </cell>
        </row>
        <row r="1106">
          <cell r="A1106">
            <v>1105</v>
          </cell>
          <cell r="B1106" t="str">
            <v>甘美なる背徳 クリムト</v>
          </cell>
          <cell r="C1106">
            <v>5</v>
          </cell>
          <cell r="D1106" t="str">
            <v>blue</v>
          </cell>
          <cell r="E1106">
            <v>1</v>
          </cell>
          <cell r="F1106">
            <v>0.98</v>
          </cell>
          <cell r="G1106">
            <v>1</v>
          </cell>
          <cell r="H1106" t="str">
            <v>technical</v>
          </cell>
          <cell r="I1106" t="str">
            <v>テクニカルタイプ</v>
          </cell>
          <cell r="J1106">
            <v>0.9</v>
          </cell>
          <cell r="K1106">
            <v>0.9</v>
          </cell>
          <cell r="L1106">
            <v>1</v>
          </cell>
          <cell r="M1106" t="str">
            <v>human</v>
          </cell>
          <cell r="N1106" t="str">
            <v>ヒューマン</v>
          </cell>
          <cell r="O1106">
            <v>0.94</v>
          </cell>
          <cell r="P1106">
            <v>0.99</v>
          </cell>
          <cell r="Q1106">
            <v>1</v>
          </cell>
          <cell r="R1106" t="str">
            <v>Boss</v>
          </cell>
          <cell r="S1106">
            <v>5</v>
          </cell>
          <cell r="T1106">
            <v>1.3</v>
          </cell>
          <cell r="U1106">
            <v>0.8</v>
          </cell>
          <cell r="V1106">
            <v>3</v>
          </cell>
          <cell r="W1106">
            <v>1</v>
          </cell>
          <cell r="X1106">
            <v>60</v>
          </cell>
          <cell r="Y1106">
            <v>1.7</v>
          </cell>
          <cell r="Z1106">
            <v>1.4</v>
          </cell>
          <cell r="AA1106">
            <v>1</v>
          </cell>
          <cell r="AB1106">
            <v>0</v>
          </cell>
        </row>
        <row r="1107">
          <cell r="A1107">
            <v>1106</v>
          </cell>
          <cell r="B1107" t="str">
            <v>ラファエロ</v>
          </cell>
          <cell r="C1107">
            <v>5</v>
          </cell>
          <cell r="D1107" t="str">
            <v>yellow</v>
          </cell>
          <cell r="E1107">
            <v>0.98</v>
          </cell>
          <cell r="F1107">
            <v>1.01</v>
          </cell>
          <cell r="G1107">
            <v>1</v>
          </cell>
          <cell r="H1107" t="str">
            <v>attack</v>
          </cell>
          <cell r="I1107" t="str">
            <v>攻撃タイプ</v>
          </cell>
          <cell r="J1107">
            <v>1</v>
          </cell>
          <cell r="K1107">
            <v>1.33</v>
          </cell>
          <cell r="L1107">
            <v>1</v>
          </cell>
          <cell r="M1107" t="str">
            <v>human</v>
          </cell>
          <cell r="N1107" t="str">
            <v>ヒューマン</v>
          </cell>
          <cell r="O1107">
            <v>0.94</v>
          </cell>
          <cell r="P1107">
            <v>0.99</v>
          </cell>
          <cell r="Q1107">
            <v>1</v>
          </cell>
          <cell r="R1107" t="str">
            <v>Boss</v>
          </cell>
          <cell r="S1107">
            <v>5</v>
          </cell>
          <cell r="T1107">
            <v>1.3</v>
          </cell>
          <cell r="U1107">
            <v>0.8</v>
          </cell>
          <cell r="V1107">
            <v>3</v>
          </cell>
          <cell r="W1107">
            <v>1</v>
          </cell>
          <cell r="X1107">
            <v>60</v>
          </cell>
          <cell r="Y1107">
            <v>1.7</v>
          </cell>
          <cell r="Z1107">
            <v>1.4</v>
          </cell>
          <cell r="AA1107">
            <v>1</v>
          </cell>
          <cell r="AB1107">
            <v>0</v>
          </cell>
        </row>
        <row r="1108">
          <cell r="A1108">
            <v>1107</v>
          </cell>
          <cell r="B1108" t="str">
            <v>天浄の鮮風 ラファエロ</v>
          </cell>
          <cell r="C1108">
            <v>6</v>
          </cell>
          <cell r="D1108" t="str">
            <v>yellow</v>
          </cell>
          <cell r="E1108">
            <v>0.98</v>
          </cell>
          <cell r="F1108">
            <v>1.01</v>
          </cell>
          <cell r="G1108">
            <v>1</v>
          </cell>
          <cell r="H1108" t="str">
            <v>attack</v>
          </cell>
          <cell r="I1108" t="str">
            <v>攻撃タイプ</v>
          </cell>
          <cell r="J1108">
            <v>1</v>
          </cell>
          <cell r="K1108">
            <v>1.33</v>
          </cell>
          <cell r="L1108">
            <v>1</v>
          </cell>
          <cell r="M1108" t="str">
            <v>human</v>
          </cell>
          <cell r="N1108" t="str">
            <v>ヒューマン</v>
          </cell>
          <cell r="O1108">
            <v>0.94</v>
          </cell>
          <cell r="P1108">
            <v>0.99</v>
          </cell>
          <cell r="Q1108">
            <v>1</v>
          </cell>
          <cell r="R1108" t="str">
            <v>Boss</v>
          </cell>
          <cell r="S1108">
            <v>5</v>
          </cell>
          <cell r="T1108">
            <v>1.3</v>
          </cell>
          <cell r="U1108">
            <v>0.8</v>
          </cell>
          <cell r="V1108">
            <v>3</v>
          </cell>
          <cell r="W1108">
            <v>1</v>
          </cell>
          <cell r="X1108">
            <v>60</v>
          </cell>
          <cell r="Y1108">
            <v>1.7</v>
          </cell>
          <cell r="Z1108">
            <v>1.4</v>
          </cell>
          <cell r="AA1108">
            <v>1</v>
          </cell>
          <cell r="AB1108">
            <v>0</v>
          </cell>
        </row>
        <row r="1109">
          <cell r="A1109">
            <v>1108</v>
          </cell>
          <cell r="B1109" t="str">
            <v>交鏡の光波 フレネル</v>
          </cell>
          <cell r="C1109">
            <v>6</v>
          </cell>
          <cell r="D1109" t="str">
            <v>yellow</v>
          </cell>
          <cell r="E1109">
            <v>0.98</v>
          </cell>
          <cell r="F1109">
            <v>1.01</v>
          </cell>
          <cell r="G1109">
            <v>1</v>
          </cell>
          <cell r="H1109" t="str">
            <v>attack</v>
          </cell>
          <cell r="I1109" t="str">
            <v>攻撃タイプ</v>
          </cell>
          <cell r="J1109">
            <v>1</v>
          </cell>
          <cell r="K1109">
            <v>1.33</v>
          </cell>
          <cell r="L1109">
            <v>1</v>
          </cell>
          <cell r="M1109" t="str">
            <v>academia</v>
          </cell>
          <cell r="N1109" t="str">
            <v>アカデミア</v>
          </cell>
          <cell r="O1109">
            <v>1</v>
          </cell>
          <cell r="P1109">
            <v>1</v>
          </cell>
          <cell r="Q1109">
            <v>1</v>
          </cell>
          <cell r="R1109" t="str">
            <v>Boss</v>
          </cell>
          <cell r="S1109">
            <v>5</v>
          </cell>
          <cell r="T1109">
            <v>1.3</v>
          </cell>
          <cell r="U1109">
            <v>0.8</v>
          </cell>
          <cell r="V1109">
            <v>3</v>
          </cell>
          <cell r="W1109">
            <v>1</v>
          </cell>
          <cell r="X1109">
            <v>60</v>
          </cell>
          <cell r="Y1109">
            <v>1.7</v>
          </cell>
          <cell r="Z1109">
            <v>1.4</v>
          </cell>
          <cell r="AA1109">
            <v>1</v>
          </cell>
          <cell r="AB1109">
            <v>0</v>
          </cell>
        </row>
        <row r="1110">
          <cell r="A1110">
            <v>1109</v>
          </cell>
          <cell r="B1110" t="str">
            <v>セキ</v>
          </cell>
          <cell r="C1110">
            <v>5</v>
          </cell>
          <cell r="D1110" t="str">
            <v>red</v>
          </cell>
          <cell r="E1110">
            <v>1</v>
          </cell>
          <cell r="F1110">
            <v>1.02</v>
          </cell>
          <cell r="G1110">
            <v>1</v>
          </cell>
          <cell r="H1110" t="str">
            <v>technical</v>
          </cell>
          <cell r="I1110" t="str">
            <v>テクニカルタイプ</v>
          </cell>
          <cell r="J1110">
            <v>0.9</v>
          </cell>
          <cell r="K1110">
            <v>0.9</v>
          </cell>
          <cell r="L1110">
            <v>1</v>
          </cell>
          <cell r="M1110" t="str">
            <v>academia</v>
          </cell>
          <cell r="N1110" t="str">
            <v>アカデミア</v>
          </cell>
          <cell r="O1110">
            <v>1</v>
          </cell>
          <cell r="P1110">
            <v>1</v>
          </cell>
          <cell r="Q1110">
            <v>1</v>
          </cell>
          <cell r="R1110" t="str">
            <v>Boss</v>
          </cell>
          <cell r="S1110">
            <v>5</v>
          </cell>
          <cell r="T1110">
            <v>1.3</v>
          </cell>
          <cell r="U1110">
            <v>0.8</v>
          </cell>
          <cell r="V1110">
            <v>3</v>
          </cell>
          <cell r="W1110">
            <v>1</v>
          </cell>
          <cell r="X1110">
            <v>60</v>
          </cell>
          <cell r="Y1110">
            <v>1.7</v>
          </cell>
          <cell r="Z1110">
            <v>1.4</v>
          </cell>
          <cell r="AA1110">
            <v>1</v>
          </cell>
          <cell r="AB1110">
            <v>0</v>
          </cell>
        </row>
        <row r="1111">
          <cell r="A1111">
            <v>1110</v>
          </cell>
          <cell r="B1111" t="str">
            <v>天竄の炎斬式 セキ</v>
          </cell>
          <cell r="C1111">
            <v>6</v>
          </cell>
          <cell r="D1111" t="str">
            <v>red</v>
          </cell>
          <cell r="E1111">
            <v>1</v>
          </cell>
          <cell r="F1111">
            <v>1.02</v>
          </cell>
          <cell r="G1111">
            <v>1</v>
          </cell>
          <cell r="H1111" t="str">
            <v>technical</v>
          </cell>
          <cell r="I1111" t="str">
            <v>テクニカルタイプ</v>
          </cell>
          <cell r="J1111">
            <v>0.9</v>
          </cell>
          <cell r="K1111">
            <v>0.9</v>
          </cell>
          <cell r="L1111">
            <v>1</v>
          </cell>
          <cell r="M1111" t="str">
            <v>academia</v>
          </cell>
          <cell r="N1111" t="str">
            <v>アカデミア</v>
          </cell>
          <cell r="O1111">
            <v>1</v>
          </cell>
          <cell r="P1111">
            <v>1</v>
          </cell>
          <cell r="Q1111">
            <v>1</v>
          </cell>
          <cell r="R1111" t="str">
            <v>Boss</v>
          </cell>
          <cell r="S1111">
            <v>5</v>
          </cell>
          <cell r="T1111">
            <v>1.3</v>
          </cell>
          <cell r="U1111">
            <v>0.8</v>
          </cell>
          <cell r="V1111">
            <v>3</v>
          </cell>
          <cell r="W1111">
            <v>1</v>
          </cell>
          <cell r="X1111">
            <v>60</v>
          </cell>
          <cell r="Y1111">
            <v>1.7</v>
          </cell>
          <cell r="Z1111">
            <v>1.4</v>
          </cell>
          <cell r="AA1111">
            <v>1</v>
          </cell>
          <cell r="AB1111">
            <v>0</v>
          </cell>
        </row>
        <row r="1112">
          <cell r="A1112">
            <v>1111</v>
          </cell>
          <cell r="B1112" t="str">
            <v>ウィグナー</v>
          </cell>
          <cell r="C1112">
            <v>5</v>
          </cell>
          <cell r="D1112" t="str">
            <v>blue</v>
          </cell>
          <cell r="E1112">
            <v>1</v>
          </cell>
          <cell r="F1112">
            <v>0.98</v>
          </cell>
          <cell r="G1112">
            <v>1</v>
          </cell>
          <cell r="H1112" t="str">
            <v>attack</v>
          </cell>
          <cell r="I1112" t="str">
            <v>攻撃タイプ</v>
          </cell>
          <cell r="J1112">
            <v>1</v>
          </cell>
          <cell r="K1112">
            <v>1.33</v>
          </cell>
          <cell r="L1112">
            <v>1</v>
          </cell>
          <cell r="M1112" t="str">
            <v>academia</v>
          </cell>
          <cell r="N1112" t="str">
            <v>アカデミア</v>
          </cell>
          <cell r="O1112">
            <v>1</v>
          </cell>
          <cell r="P1112">
            <v>1</v>
          </cell>
          <cell r="Q1112">
            <v>1</v>
          </cell>
          <cell r="R1112" t="str">
            <v>Boss</v>
          </cell>
          <cell r="S1112">
            <v>5</v>
          </cell>
          <cell r="T1112">
            <v>1.3</v>
          </cell>
          <cell r="U1112">
            <v>0.8</v>
          </cell>
          <cell r="V1112">
            <v>3</v>
          </cell>
          <cell r="W1112">
            <v>1</v>
          </cell>
          <cell r="X1112">
            <v>60</v>
          </cell>
          <cell r="Y1112">
            <v>1.7</v>
          </cell>
          <cell r="Z1112">
            <v>1.4</v>
          </cell>
          <cell r="AA1112">
            <v>1</v>
          </cell>
          <cell r="AB1112">
            <v>0</v>
          </cell>
        </row>
        <row r="1113">
          <cell r="A1113">
            <v>1112</v>
          </cell>
          <cell r="B1113" t="str">
            <v>正統なる傑晶 ウィグナー</v>
          </cell>
          <cell r="C1113">
            <v>6</v>
          </cell>
          <cell r="D1113" t="str">
            <v>blue</v>
          </cell>
          <cell r="E1113">
            <v>1</v>
          </cell>
          <cell r="F1113">
            <v>0.98</v>
          </cell>
          <cell r="G1113">
            <v>1</v>
          </cell>
          <cell r="H1113" t="str">
            <v>attack</v>
          </cell>
          <cell r="I1113" t="str">
            <v>攻撃タイプ</v>
          </cell>
          <cell r="J1113">
            <v>1</v>
          </cell>
          <cell r="K1113">
            <v>1.33</v>
          </cell>
          <cell r="L1113">
            <v>1</v>
          </cell>
          <cell r="M1113" t="str">
            <v>academia</v>
          </cell>
          <cell r="N1113" t="str">
            <v>アカデミア</v>
          </cell>
          <cell r="O1113">
            <v>1</v>
          </cell>
          <cell r="P1113">
            <v>1</v>
          </cell>
          <cell r="Q1113">
            <v>1</v>
          </cell>
          <cell r="R1113" t="str">
            <v>Boss</v>
          </cell>
          <cell r="S1113">
            <v>5</v>
          </cell>
          <cell r="T1113">
            <v>1.3</v>
          </cell>
          <cell r="U1113">
            <v>0.8</v>
          </cell>
          <cell r="V1113">
            <v>3</v>
          </cell>
          <cell r="W1113">
            <v>1</v>
          </cell>
          <cell r="X1113">
            <v>60</v>
          </cell>
          <cell r="Y1113">
            <v>1.7</v>
          </cell>
          <cell r="Z1113">
            <v>1.4</v>
          </cell>
          <cell r="AA1113">
            <v>1</v>
          </cell>
          <cell r="AB1113">
            <v>0</v>
          </cell>
        </row>
        <row r="1114">
          <cell r="A1114">
            <v>1113</v>
          </cell>
          <cell r="B1114" t="str">
            <v>聖結たる輝晶獣 ウィグナー</v>
          </cell>
          <cell r="C1114">
            <v>6</v>
          </cell>
          <cell r="D1114" t="str">
            <v>blue</v>
          </cell>
          <cell r="E1114">
            <v>1</v>
          </cell>
          <cell r="F1114">
            <v>0.98</v>
          </cell>
          <cell r="G1114">
            <v>1</v>
          </cell>
          <cell r="H1114" t="str">
            <v>balance</v>
          </cell>
          <cell r="I1114" t="str">
            <v>バランスタイプ</v>
          </cell>
          <cell r="J1114">
            <v>1</v>
          </cell>
          <cell r="K1114">
            <v>1</v>
          </cell>
          <cell r="L1114">
            <v>1</v>
          </cell>
          <cell r="M1114" t="str">
            <v>academia</v>
          </cell>
          <cell r="N1114" t="str">
            <v>アカデミア</v>
          </cell>
          <cell r="O1114">
            <v>1</v>
          </cell>
          <cell r="P1114">
            <v>1</v>
          </cell>
          <cell r="Q1114">
            <v>1</v>
          </cell>
          <cell r="R1114" t="str">
            <v>Boss</v>
          </cell>
          <cell r="S1114">
            <v>5</v>
          </cell>
          <cell r="T1114">
            <v>1.3</v>
          </cell>
          <cell r="U1114">
            <v>0.8</v>
          </cell>
          <cell r="V1114">
            <v>3</v>
          </cell>
          <cell r="W1114">
            <v>1</v>
          </cell>
          <cell r="X1114">
            <v>60</v>
          </cell>
          <cell r="Y1114">
            <v>1.7</v>
          </cell>
          <cell r="Z1114">
            <v>1.4</v>
          </cell>
          <cell r="AA1114">
            <v>1</v>
          </cell>
          <cell r="AB1114">
            <v>0</v>
          </cell>
        </row>
        <row r="1115">
          <cell r="A1115">
            <v>1114</v>
          </cell>
          <cell r="B1115" t="str">
            <v>ボナンザ</v>
          </cell>
          <cell r="C1115">
            <v>5</v>
          </cell>
          <cell r="D1115" t="str">
            <v>green</v>
          </cell>
          <cell r="E1115">
            <v>1.02</v>
          </cell>
          <cell r="F1115">
            <v>0.98</v>
          </cell>
          <cell r="G1115">
            <v>1</v>
          </cell>
          <cell r="H1115" t="str">
            <v>technical</v>
          </cell>
          <cell r="I1115" t="str">
            <v>テクニカルタイプ</v>
          </cell>
          <cell r="J1115">
            <v>0.9</v>
          </cell>
          <cell r="K1115">
            <v>0.9</v>
          </cell>
          <cell r="L1115">
            <v>1</v>
          </cell>
          <cell r="M1115" t="str">
            <v>animal</v>
          </cell>
          <cell r="N1115" t="str">
            <v>アニマル</v>
          </cell>
          <cell r="O1115">
            <v>1</v>
          </cell>
          <cell r="P1115">
            <v>1.1000000000000001</v>
          </cell>
          <cell r="Q1115">
            <v>1</v>
          </cell>
          <cell r="R1115" t="str">
            <v>Boss</v>
          </cell>
          <cell r="S1115">
            <v>5</v>
          </cell>
          <cell r="T1115">
            <v>1.3</v>
          </cell>
          <cell r="U1115">
            <v>0.8</v>
          </cell>
          <cell r="V1115">
            <v>3</v>
          </cell>
          <cell r="W1115">
            <v>1</v>
          </cell>
          <cell r="X1115">
            <v>60</v>
          </cell>
          <cell r="Y1115">
            <v>1.7</v>
          </cell>
          <cell r="Z1115">
            <v>1.4</v>
          </cell>
          <cell r="AA1115">
            <v>1</v>
          </cell>
          <cell r="AB1115">
            <v>0</v>
          </cell>
        </row>
        <row r="1116">
          <cell r="A1116">
            <v>1115</v>
          </cell>
          <cell r="B1116" t="str">
            <v>アヴァルシアの女王 ボナンザ</v>
          </cell>
          <cell r="C1116">
            <v>6</v>
          </cell>
          <cell r="D1116" t="str">
            <v>green</v>
          </cell>
          <cell r="E1116">
            <v>1.02</v>
          </cell>
          <cell r="F1116">
            <v>0.98</v>
          </cell>
          <cell r="G1116">
            <v>1</v>
          </cell>
          <cell r="H1116" t="str">
            <v>technical</v>
          </cell>
          <cell r="I1116" t="str">
            <v>テクニカルタイプ</v>
          </cell>
          <cell r="J1116">
            <v>0.9</v>
          </cell>
          <cell r="K1116">
            <v>0.9</v>
          </cell>
          <cell r="L1116">
            <v>1</v>
          </cell>
          <cell r="M1116" t="str">
            <v>animal</v>
          </cell>
          <cell r="N1116" t="str">
            <v>アニマル</v>
          </cell>
          <cell r="O1116">
            <v>1</v>
          </cell>
          <cell r="P1116">
            <v>1.1000000000000001</v>
          </cell>
          <cell r="Q1116">
            <v>1</v>
          </cell>
          <cell r="R1116" t="str">
            <v>Boss</v>
          </cell>
          <cell r="S1116">
            <v>5</v>
          </cell>
          <cell r="T1116">
            <v>1.3</v>
          </cell>
          <cell r="U1116">
            <v>0.8</v>
          </cell>
          <cell r="V1116">
            <v>3</v>
          </cell>
          <cell r="W1116">
            <v>1</v>
          </cell>
          <cell r="X1116">
            <v>60</v>
          </cell>
          <cell r="Y1116">
            <v>1.7</v>
          </cell>
          <cell r="Z1116">
            <v>1.4</v>
          </cell>
          <cell r="AA1116">
            <v>1</v>
          </cell>
          <cell r="AB1116">
            <v>0</v>
          </cell>
        </row>
        <row r="1117">
          <cell r="A1117">
            <v>1116</v>
          </cell>
          <cell r="B1117" t="str">
            <v>天檄総氏神 アマテラス</v>
          </cell>
          <cell r="C1117">
            <v>6</v>
          </cell>
          <cell r="D1117" t="str">
            <v>red</v>
          </cell>
          <cell r="E1117">
            <v>1</v>
          </cell>
          <cell r="F1117">
            <v>1.02</v>
          </cell>
          <cell r="G1117">
            <v>1</v>
          </cell>
          <cell r="H1117" t="str">
            <v>attack</v>
          </cell>
          <cell r="I1117" t="str">
            <v>攻撃タイプ</v>
          </cell>
          <cell r="J1117">
            <v>1</v>
          </cell>
          <cell r="K1117">
            <v>1.33</v>
          </cell>
          <cell r="L1117">
            <v>1</v>
          </cell>
          <cell r="M1117" t="str">
            <v>god</v>
          </cell>
          <cell r="N1117" t="str">
            <v>ゴッド</v>
          </cell>
          <cell r="O1117">
            <v>0.96</v>
          </cell>
          <cell r="P1117">
            <v>1.02</v>
          </cell>
          <cell r="Q1117">
            <v>1</v>
          </cell>
          <cell r="R1117" t="str">
            <v>Boss</v>
          </cell>
          <cell r="S1117">
            <v>5</v>
          </cell>
          <cell r="T1117">
            <v>1.3</v>
          </cell>
          <cell r="U1117">
            <v>0.8</v>
          </cell>
          <cell r="V1117">
            <v>3</v>
          </cell>
          <cell r="W1117">
            <v>1</v>
          </cell>
          <cell r="X1117">
            <v>60</v>
          </cell>
          <cell r="Y1117">
            <v>1.7</v>
          </cell>
          <cell r="Z1117">
            <v>1.4</v>
          </cell>
          <cell r="AA1117">
            <v>1</v>
          </cell>
          <cell r="AB1117">
            <v>0</v>
          </cell>
        </row>
        <row r="1118">
          <cell r="A1118">
            <v>1117</v>
          </cell>
          <cell r="B1118" t="str">
            <v>凶天慟地の覇腕 アザゼル</v>
          </cell>
          <cell r="C1118">
            <v>6</v>
          </cell>
          <cell r="D1118" t="str">
            <v>green</v>
          </cell>
          <cell r="E1118">
            <v>1.02</v>
          </cell>
          <cell r="F1118">
            <v>0.98</v>
          </cell>
          <cell r="G1118">
            <v>1</v>
          </cell>
          <cell r="H1118" t="str">
            <v>technical</v>
          </cell>
          <cell r="I1118" t="str">
            <v>テクニカルタイプ</v>
          </cell>
          <cell r="J1118">
            <v>0.9</v>
          </cell>
          <cell r="K1118">
            <v>0.9</v>
          </cell>
          <cell r="L1118">
            <v>1</v>
          </cell>
          <cell r="M1118" t="str">
            <v>demon</v>
          </cell>
          <cell r="N1118" t="str">
            <v>デーモン</v>
          </cell>
          <cell r="O1118">
            <v>1</v>
          </cell>
          <cell r="P1118">
            <v>1</v>
          </cell>
          <cell r="Q1118">
            <v>1</v>
          </cell>
          <cell r="R1118" t="str">
            <v>Boss</v>
          </cell>
          <cell r="S1118">
            <v>5</v>
          </cell>
          <cell r="T1118">
            <v>1.3</v>
          </cell>
          <cell r="U1118">
            <v>0.8</v>
          </cell>
          <cell r="V1118">
            <v>3</v>
          </cell>
          <cell r="W1118">
            <v>1</v>
          </cell>
          <cell r="X1118">
            <v>60</v>
          </cell>
          <cell r="Y1118">
            <v>1.7</v>
          </cell>
          <cell r="Z1118">
            <v>1.4</v>
          </cell>
          <cell r="AA1118">
            <v>1</v>
          </cell>
          <cell r="AB1118">
            <v>0</v>
          </cell>
        </row>
        <row r="1119">
          <cell r="A1119">
            <v>1118</v>
          </cell>
          <cell r="B1119" t="str">
            <v>超過速路の閃導者 ジャンヌ</v>
          </cell>
          <cell r="C1119">
            <v>6</v>
          </cell>
          <cell r="D1119" t="str">
            <v>blue</v>
          </cell>
          <cell r="E1119">
            <v>1</v>
          </cell>
          <cell r="F1119">
            <v>0.98</v>
          </cell>
          <cell r="G1119">
            <v>1</v>
          </cell>
          <cell r="H1119" t="str">
            <v>heal</v>
          </cell>
          <cell r="I1119" t="str">
            <v>回復タイプ</v>
          </cell>
          <cell r="J1119">
            <v>0.8</v>
          </cell>
          <cell r="K1119">
            <v>0.78</v>
          </cell>
          <cell r="L1119">
            <v>1</v>
          </cell>
          <cell r="M1119" t="str">
            <v>human</v>
          </cell>
          <cell r="N1119" t="str">
            <v>ヒューマン</v>
          </cell>
          <cell r="O1119">
            <v>0.94</v>
          </cell>
          <cell r="P1119">
            <v>0.99</v>
          </cell>
          <cell r="Q1119">
            <v>1</v>
          </cell>
          <cell r="R1119" t="str">
            <v>Boss</v>
          </cell>
          <cell r="S1119">
            <v>5</v>
          </cell>
          <cell r="T1119">
            <v>1.3</v>
          </cell>
          <cell r="U1119">
            <v>0.8</v>
          </cell>
          <cell r="V1119">
            <v>3</v>
          </cell>
          <cell r="W1119">
            <v>1</v>
          </cell>
          <cell r="X1119">
            <v>60</v>
          </cell>
          <cell r="Y1119">
            <v>1.7</v>
          </cell>
          <cell r="Z1119">
            <v>1.4</v>
          </cell>
          <cell r="AA1119">
            <v>1</v>
          </cell>
          <cell r="AB1119">
            <v>0</v>
          </cell>
        </row>
        <row r="1120">
          <cell r="A1120">
            <v>1119</v>
          </cell>
          <cell r="B1120" t="str">
            <v>刹・廻天一流 宮本武蔵</v>
          </cell>
          <cell r="C1120">
            <v>6</v>
          </cell>
          <cell r="D1120" t="str">
            <v>yellow</v>
          </cell>
          <cell r="E1120">
            <v>0.98</v>
          </cell>
          <cell r="F1120">
            <v>1.01</v>
          </cell>
          <cell r="G1120">
            <v>1</v>
          </cell>
          <cell r="H1120" t="str">
            <v>attack</v>
          </cell>
          <cell r="I1120" t="str">
            <v>攻撃タイプ</v>
          </cell>
          <cell r="J1120">
            <v>1</v>
          </cell>
          <cell r="K1120">
            <v>1.33</v>
          </cell>
          <cell r="L1120">
            <v>1</v>
          </cell>
          <cell r="M1120" t="str">
            <v>human</v>
          </cell>
          <cell r="N1120" t="str">
            <v>ヒューマン</v>
          </cell>
          <cell r="O1120">
            <v>0.94</v>
          </cell>
          <cell r="P1120">
            <v>0.99</v>
          </cell>
          <cell r="Q1120">
            <v>1</v>
          </cell>
          <cell r="R1120" t="str">
            <v>Boss</v>
          </cell>
          <cell r="S1120">
            <v>5</v>
          </cell>
          <cell r="T1120">
            <v>1.3</v>
          </cell>
          <cell r="U1120">
            <v>0.8</v>
          </cell>
          <cell r="V1120">
            <v>3</v>
          </cell>
          <cell r="W1120">
            <v>1</v>
          </cell>
          <cell r="X1120">
            <v>60</v>
          </cell>
          <cell r="Y1120">
            <v>1.7</v>
          </cell>
          <cell r="Z1120">
            <v>1.4</v>
          </cell>
          <cell r="AA1120">
            <v>1</v>
          </cell>
          <cell r="AB1120">
            <v>0</v>
          </cell>
        </row>
        <row r="1121">
          <cell r="A1121">
            <v>1120</v>
          </cell>
          <cell r="B1121" t="str">
            <v>四聖猛煌の皇獣 麒麟</v>
          </cell>
          <cell r="C1121">
            <v>6</v>
          </cell>
          <cell r="D1121" t="str">
            <v>yellow</v>
          </cell>
          <cell r="E1121">
            <v>0.98</v>
          </cell>
          <cell r="F1121">
            <v>1.01</v>
          </cell>
          <cell r="G1121">
            <v>1</v>
          </cell>
          <cell r="H1121" t="str">
            <v>attack</v>
          </cell>
          <cell r="I1121" t="str">
            <v>攻撃タイプ</v>
          </cell>
          <cell r="J1121">
            <v>1</v>
          </cell>
          <cell r="K1121">
            <v>1.33</v>
          </cell>
          <cell r="L1121">
            <v>1</v>
          </cell>
          <cell r="M1121" t="str">
            <v>god</v>
          </cell>
          <cell r="N1121" t="str">
            <v>ゴッド</v>
          </cell>
          <cell r="O1121">
            <v>0.96</v>
          </cell>
          <cell r="P1121">
            <v>1.02</v>
          </cell>
          <cell r="Q1121">
            <v>1</v>
          </cell>
          <cell r="R1121" t="str">
            <v>Boss</v>
          </cell>
          <cell r="S1121">
            <v>5</v>
          </cell>
          <cell r="T1121">
            <v>1.3</v>
          </cell>
          <cell r="U1121">
            <v>0.8</v>
          </cell>
          <cell r="V1121">
            <v>3</v>
          </cell>
          <cell r="W1121">
            <v>1</v>
          </cell>
          <cell r="X1121">
            <v>60</v>
          </cell>
          <cell r="Y1121">
            <v>1.7</v>
          </cell>
          <cell r="Z1121">
            <v>1.4</v>
          </cell>
          <cell r="AA1121">
            <v>1</v>
          </cell>
          <cell r="AB1121">
            <v>0</v>
          </cell>
        </row>
        <row r="1122">
          <cell r="A1122">
            <v>1121</v>
          </cell>
          <cell r="B1122" t="str">
            <v>逆燦の機閃刃 オイラー</v>
          </cell>
          <cell r="C1122">
            <v>6</v>
          </cell>
          <cell r="D1122" t="str">
            <v>green</v>
          </cell>
          <cell r="E1122">
            <v>1.02</v>
          </cell>
          <cell r="F1122">
            <v>0.98</v>
          </cell>
          <cell r="G1122">
            <v>1</v>
          </cell>
          <cell r="H1122" t="str">
            <v>balance</v>
          </cell>
          <cell r="I1122" t="str">
            <v>バランスタイプ</v>
          </cell>
          <cell r="J1122">
            <v>1</v>
          </cell>
          <cell r="K1122">
            <v>1</v>
          </cell>
          <cell r="L1122">
            <v>1</v>
          </cell>
          <cell r="M1122" t="str">
            <v>academia</v>
          </cell>
          <cell r="N1122" t="str">
            <v>アカデミア</v>
          </cell>
          <cell r="O1122">
            <v>1</v>
          </cell>
          <cell r="P1122">
            <v>1</v>
          </cell>
          <cell r="Q1122">
            <v>1</v>
          </cell>
          <cell r="R1122" t="str">
            <v>Boss</v>
          </cell>
          <cell r="S1122">
            <v>5</v>
          </cell>
          <cell r="T1122">
            <v>1.3</v>
          </cell>
          <cell r="U1122">
            <v>0.8</v>
          </cell>
          <cell r="V1122">
            <v>3</v>
          </cell>
          <cell r="W1122">
            <v>1</v>
          </cell>
          <cell r="X1122">
            <v>60</v>
          </cell>
          <cell r="Y1122">
            <v>1.7</v>
          </cell>
          <cell r="Z1122">
            <v>1.4</v>
          </cell>
          <cell r="AA1122">
            <v>1</v>
          </cell>
          <cell r="AB1122">
            <v>0</v>
          </cell>
        </row>
        <row r="1123">
          <cell r="A1123">
            <v>1122</v>
          </cell>
          <cell r="B1123" t="str">
            <v>不可能性の現翼 メビウス</v>
          </cell>
          <cell r="C1123">
            <v>6</v>
          </cell>
          <cell r="D1123" t="str">
            <v>blue</v>
          </cell>
          <cell r="E1123">
            <v>1</v>
          </cell>
          <cell r="F1123">
            <v>0.98</v>
          </cell>
          <cell r="G1123">
            <v>1</v>
          </cell>
          <cell r="H1123" t="str">
            <v>balance</v>
          </cell>
          <cell r="I1123" t="str">
            <v>バランスタイプ</v>
          </cell>
          <cell r="J1123">
            <v>1</v>
          </cell>
          <cell r="K1123">
            <v>1</v>
          </cell>
          <cell r="L1123">
            <v>1</v>
          </cell>
          <cell r="M1123" t="str">
            <v>academia</v>
          </cell>
          <cell r="N1123" t="str">
            <v>アカデミア</v>
          </cell>
          <cell r="O1123">
            <v>1</v>
          </cell>
          <cell r="P1123">
            <v>1</v>
          </cell>
          <cell r="Q1123">
            <v>1</v>
          </cell>
          <cell r="R1123" t="str">
            <v>Boss</v>
          </cell>
          <cell r="S1123">
            <v>5</v>
          </cell>
          <cell r="T1123">
            <v>1.3</v>
          </cell>
          <cell r="U1123">
            <v>0.8</v>
          </cell>
          <cell r="V1123">
            <v>3</v>
          </cell>
          <cell r="W1123">
            <v>1</v>
          </cell>
          <cell r="X1123">
            <v>60</v>
          </cell>
          <cell r="Y1123">
            <v>1.7</v>
          </cell>
          <cell r="Z1123">
            <v>1.4</v>
          </cell>
          <cell r="AA1123">
            <v>1</v>
          </cell>
          <cell r="AB1123">
            <v>0</v>
          </cell>
        </row>
        <row r="1124">
          <cell r="A1124">
            <v>1123</v>
          </cell>
          <cell r="B1124" t="str">
            <v>舞降りし綺鏡羽 ブール</v>
          </cell>
          <cell r="C1124">
            <v>6</v>
          </cell>
          <cell r="D1124" t="str">
            <v>blue</v>
          </cell>
          <cell r="E1124">
            <v>1</v>
          </cell>
          <cell r="F1124">
            <v>0.98</v>
          </cell>
          <cell r="G1124">
            <v>1</v>
          </cell>
          <cell r="H1124" t="str">
            <v>balance</v>
          </cell>
          <cell r="I1124" t="str">
            <v>バランスタイプ</v>
          </cell>
          <cell r="J1124">
            <v>1</v>
          </cell>
          <cell r="K1124">
            <v>1</v>
          </cell>
          <cell r="L1124">
            <v>1</v>
          </cell>
          <cell r="M1124" t="str">
            <v>academia</v>
          </cell>
          <cell r="N1124" t="str">
            <v>アカデミア</v>
          </cell>
          <cell r="O1124">
            <v>1</v>
          </cell>
          <cell r="P1124">
            <v>1</v>
          </cell>
          <cell r="Q1124">
            <v>1</v>
          </cell>
          <cell r="R1124" t="str">
            <v>Boss</v>
          </cell>
          <cell r="S1124">
            <v>5</v>
          </cell>
          <cell r="T1124">
            <v>1.3</v>
          </cell>
          <cell r="U1124">
            <v>0.8</v>
          </cell>
          <cell r="V1124">
            <v>3</v>
          </cell>
          <cell r="W1124">
            <v>1</v>
          </cell>
          <cell r="X1124">
            <v>60</v>
          </cell>
          <cell r="Y1124">
            <v>1.7</v>
          </cell>
          <cell r="Z1124">
            <v>1.4</v>
          </cell>
          <cell r="AA1124">
            <v>1</v>
          </cell>
          <cell r="AB1124">
            <v>0</v>
          </cell>
        </row>
        <row r="1125">
          <cell r="A1125">
            <v>1124</v>
          </cell>
          <cell r="B1125" t="str">
            <v>超絶界析 ラグランジュ</v>
          </cell>
          <cell r="C1125">
            <v>6</v>
          </cell>
          <cell r="D1125" t="str">
            <v>red</v>
          </cell>
          <cell r="E1125">
            <v>1</v>
          </cell>
          <cell r="F1125">
            <v>1.02</v>
          </cell>
          <cell r="G1125">
            <v>1</v>
          </cell>
          <cell r="H1125" t="str">
            <v>technical</v>
          </cell>
          <cell r="I1125" t="str">
            <v>テクニカルタイプ</v>
          </cell>
          <cell r="J1125">
            <v>0.9</v>
          </cell>
          <cell r="K1125">
            <v>0.9</v>
          </cell>
          <cell r="L1125">
            <v>1</v>
          </cell>
          <cell r="M1125" t="str">
            <v>academia</v>
          </cell>
          <cell r="N1125" t="str">
            <v>アカデミア</v>
          </cell>
          <cell r="O1125">
            <v>1</v>
          </cell>
          <cell r="P1125">
            <v>1</v>
          </cell>
          <cell r="Q1125">
            <v>1</v>
          </cell>
          <cell r="R1125" t="str">
            <v>Boss</v>
          </cell>
          <cell r="S1125">
            <v>5</v>
          </cell>
          <cell r="T1125">
            <v>1.3</v>
          </cell>
          <cell r="U1125">
            <v>0.8</v>
          </cell>
          <cell r="V1125">
            <v>3</v>
          </cell>
          <cell r="W1125">
            <v>1</v>
          </cell>
          <cell r="X1125">
            <v>60</v>
          </cell>
          <cell r="Y1125">
            <v>1.7</v>
          </cell>
          <cell r="Z1125">
            <v>1.4</v>
          </cell>
          <cell r="AA1125">
            <v>1</v>
          </cell>
          <cell r="AB1125">
            <v>0</v>
          </cell>
        </row>
        <row r="1126">
          <cell r="A1126">
            <v>1125</v>
          </cell>
          <cell r="B1126" t="str">
            <v>累々たる世解 シュレディンガー</v>
          </cell>
          <cell r="C1126">
            <v>6</v>
          </cell>
          <cell r="D1126" t="str">
            <v>red</v>
          </cell>
          <cell r="E1126">
            <v>1</v>
          </cell>
          <cell r="F1126">
            <v>1.02</v>
          </cell>
          <cell r="G1126">
            <v>1</v>
          </cell>
          <cell r="H1126" t="str">
            <v>technical</v>
          </cell>
          <cell r="I1126" t="str">
            <v>テクニカルタイプ</v>
          </cell>
          <cell r="J1126">
            <v>0.9</v>
          </cell>
          <cell r="K1126">
            <v>0.9</v>
          </cell>
          <cell r="L1126">
            <v>1</v>
          </cell>
          <cell r="M1126" t="str">
            <v>academia</v>
          </cell>
          <cell r="N1126" t="str">
            <v>アカデミア</v>
          </cell>
          <cell r="O1126">
            <v>1</v>
          </cell>
          <cell r="P1126">
            <v>1</v>
          </cell>
          <cell r="Q1126">
            <v>1</v>
          </cell>
          <cell r="R1126" t="str">
            <v>Boss</v>
          </cell>
          <cell r="S1126">
            <v>5</v>
          </cell>
          <cell r="T1126">
            <v>1.3</v>
          </cell>
          <cell r="U1126">
            <v>0.8</v>
          </cell>
          <cell r="V1126">
            <v>3</v>
          </cell>
          <cell r="W1126">
            <v>1</v>
          </cell>
          <cell r="X1126">
            <v>60</v>
          </cell>
          <cell r="Y1126">
            <v>1.7</v>
          </cell>
          <cell r="Z1126">
            <v>1.4</v>
          </cell>
          <cell r="AA1126">
            <v>1</v>
          </cell>
          <cell r="AB1126">
            <v>0</v>
          </cell>
        </row>
        <row r="1127">
          <cell r="A1127">
            <v>1126</v>
          </cell>
          <cell r="B1127" t="str">
            <v>最終焉算の鋼砲 チューリング</v>
          </cell>
          <cell r="C1127">
            <v>6</v>
          </cell>
          <cell r="D1127" t="str">
            <v>green</v>
          </cell>
          <cell r="E1127">
            <v>1.02</v>
          </cell>
          <cell r="F1127">
            <v>0.98</v>
          </cell>
          <cell r="G1127">
            <v>1</v>
          </cell>
          <cell r="H1127" t="str">
            <v>hp</v>
          </cell>
          <cell r="I1127" t="str">
            <v>体力タイプ</v>
          </cell>
          <cell r="J1127">
            <v>1.45</v>
          </cell>
          <cell r="K1127">
            <v>0.85</v>
          </cell>
          <cell r="L1127">
            <v>1</v>
          </cell>
          <cell r="M1127" t="str">
            <v>academia</v>
          </cell>
          <cell r="N1127" t="str">
            <v>アカデミア</v>
          </cell>
          <cell r="O1127">
            <v>1</v>
          </cell>
          <cell r="P1127">
            <v>1</v>
          </cell>
          <cell r="Q1127">
            <v>1</v>
          </cell>
          <cell r="R1127" t="str">
            <v>Boss</v>
          </cell>
          <cell r="S1127">
            <v>5</v>
          </cell>
          <cell r="T1127">
            <v>1.3</v>
          </cell>
          <cell r="U1127">
            <v>0.8</v>
          </cell>
          <cell r="V1127">
            <v>3</v>
          </cell>
          <cell r="W1127">
            <v>1</v>
          </cell>
          <cell r="X1127">
            <v>60</v>
          </cell>
          <cell r="Y1127">
            <v>1.7</v>
          </cell>
          <cell r="Z1127">
            <v>1.4</v>
          </cell>
          <cell r="AA1127">
            <v>1</v>
          </cell>
          <cell r="AB1127">
            <v>0</v>
          </cell>
        </row>
        <row r="1128">
          <cell r="A1128">
            <v>1127</v>
          </cell>
          <cell r="B1128" t="str">
            <v>真蒼導く対偶 ヘンペル</v>
          </cell>
          <cell r="C1128">
            <v>6</v>
          </cell>
          <cell r="D1128" t="str">
            <v>blue</v>
          </cell>
          <cell r="E1128">
            <v>1</v>
          </cell>
          <cell r="F1128">
            <v>0.98</v>
          </cell>
          <cell r="G1128">
            <v>1</v>
          </cell>
          <cell r="H1128" t="str">
            <v>attack</v>
          </cell>
          <cell r="I1128" t="str">
            <v>攻撃タイプ</v>
          </cell>
          <cell r="J1128">
            <v>1</v>
          </cell>
          <cell r="K1128">
            <v>1.33</v>
          </cell>
          <cell r="L1128">
            <v>1</v>
          </cell>
          <cell r="M1128" t="str">
            <v>academia</v>
          </cell>
          <cell r="N1128" t="str">
            <v>アカデミア</v>
          </cell>
          <cell r="O1128">
            <v>1</v>
          </cell>
          <cell r="P1128">
            <v>1</v>
          </cell>
          <cell r="Q1128">
            <v>1</v>
          </cell>
          <cell r="R1128" t="str">
            <v>Boss</v>
          </cell>
          <cell r="S1128">
            <v>5</v>
          </cell>
          <cell r="T1128">
            <v>1.3</v>
          </cell>
          <cell r="U1128">
            <v>0.8</v>
          </cell>
          <cell r="V1128">
            <v>3</v>
          </cell>
          <cell r="W1128">
            <v>1</v>
          </cell>
          <cell r="X1128">
            <v>60</v>
          </cell>
          <cell r="Y1128">
            <v>1.7</v>
          </cell>
          <cell r="Z1128">
            <v>1.4</v>
          </cell>
          <cell r="AA1128">
            <v>1</v>
          </cell>
          <cell r="AB1128">
            <v>0</v>
          </cell>
        </row>
        <row r="1129">
          <cell r="A1129">
            <v>1128</v>
          </cell>
          <cell r="B1129" t="str">
            <v>宇宙天紡の星明 ハップル</v>
          </cell>
          <cell r="C1129">
            <v>6</v>
          </cell>
          <cell r="D1129" t="str">
            <v>yellow</v>
          </cell>
          <cell r="E1129">
            <v>0.98</v>
          </cell>
          <cell r="F1129">
            <v>1.01</v>
          </cell>
          <cell r="G1129">
            <v>1</v>
          </cell>
          <cell r="H1129" t="str">
            <v>technical</v>
          </cell>
          <cell r="I1129" t="str">
            <v>テクニカルタイプ</v>
          </cell>
          <cell r="J1129">
            <v>0.9</v>
          </cell>
          <cell r="K1129">
            <v>0.9</v>
          </cell>
          <cell r="L1129">
            <v>1</v>
          </cell>
          <cell r="M1129" t="str">
            <v>academia</v>
          </cell>
          <cell r="N1129" t="str">
            <v>アカデミア</v>
          </cell>
          <cell r="O1129">
            <v>1</v>
          </cell>
          <cell r="P1129">
            <v>1</v>
          </cell>
          <cell r="Q1129">
            <v>1</v>
          </cell>
          <cell r="R1129" t="str">
            <v>Boss</v>
          </cell>
          <cell r="S1129">
            <v>5</v>
          </cell>
          <cell r="T1129">
            <v>1.3</v>
          </cell>
          <cell r="U1129">
            <v>0.8</v>
          </cell>
          <cell r="V1129">
            <v>3</v>
          </cell>
          <cell r="W1129">
            <v>1</v>
          </cell>
          <cell r="X1129">
            <v>60</v>
          </cell>
          <cell r="Y1129">
            <v>1.7</v>
          </cell>
          <cell r="Z1129">
            <v>1.4</v>
          </cell>
          <cell r="AA1129">
            <v>1</v>
          </cell>
          <cell r="AB1129">
            <v>0</v>
          </cell>
        </row>
        <row r="1130">
          <cell r="A1130">
            <v>1129</v>
          </cell>
          <cell r="B1130" t="str">
            <v>赤兎馬</v>
          </cell>
          <cell r="C1130">
            <v>5</v>
          </cell>
          <cell r="D1130" t="str">
            <v>red</v>
          </cell>
          <cell r="E1130">
            <v>1</v>
          </cell>
          <cell r="F1130">
            <v>1.02</v>
          </cell>
          <cell r="G1130">
            <v>1</v>
          </cell>
          <cell r="H1130" t="str">
            <v>balance</v>
          </cell>
          <cell r="I1130" t="str">
            <v>バランスタイプ</v>
          </cell>
          <cell r="J1130">
            <v>1</v>
          </cell>
          <cell r="K1130">
            <v>1</v>
          </cell>
          <cell r="L1130">
            <v>1</v>
          </cell>
          <cell r="M1130" t="str">
            <v>animal</v>
          </cell>
          <cell r="N1130" t="str">
            <v>アニマル</v>
          </cell>
          <cell r="O1130">
            <v>1</v>
          </cell>
          <cell r="P1130">
            <v>1.1000000000000001</v>
          </cell>
          <cell r="Q1130">
            <v>1</v>
          </cell>
          <cell r="R1130" t="str">
            <v>Boss</v>
          </cell>
          <cell r="S1130">
            <v>5</v>
          </cell>
          <cell r="T1130">
            <v>1.3</v>
          </cell>
          <cell r="U1130">
            <v>0.8</v>
          </cell>
          <cell r="V1130">
            <v>3</v>
          </cell>
          <cell r="W1130">
            <v>1</v>
          </cell>
          <cell r="X1130">
            <v>30</v>
          </cell>
          <cell r="Y1130">
            <v>1.7</v>
          </cell>
          <cell r="Z1130">
            <v>1.4</v>
          </cell>
          <cell r="AA1130">
            <v>1</v>
          </cell>
          <cell r="AB1130">
            <v>0</v>
          </cell>
        </row>
        <row r="1131">
          <cell r="A1131">
            <v>1130</v>
          </cell>
          <cell r="B1131" t="str">
            <v>紅鋼の疾躁獣 赤兎馬</v>
          </cell>
          <cell r="C1131">
            <v>5</v>
          </cell>
          <cell r="D1131" t="str">
            <v>red</v>
          </cell>
          <cell r="E1131">
            <v>1</v>
          </cell>
          <cell r="F1131">
            <v>1.02</v>
          </cell>
          <cell r="G1131">
            <v>1</v>
          </cell>
          <cell r="H1131" t="str">
            <v>balance</v>
          </cell>
          <cell r="I1131" t="str">
            <v>バランスタイプ</v>
          </cell>
          <cell r="J1131">
            <v>1</v>
          </cell>
          <cell r="K1131">
            <v>1</v>
          </cell>
          <cell r="L1131">
            <v>1</v>
          </cell>
          <cell r="M1131" t="str">
            <v>animal</v>
          </cell>
          <cell r="N1131" t="str">
            <v>アニマル</v>
          </cell>
          <cell r="O1131">
            <v>1</v>
          </cell>
          <cell r="P1131">
            <v>1.1000000000000001</v>
          </cell>
          <cell r="Q1131">
            <v>1</v>
          </cell>
          <cell r="R1131" t="str">
            <v>Boss</v>
          </cell>
          <cell r="S1131">
            <v>5</v>
          </cell>
          <cell r="T1131">
            <v>1.3</v>
          </cell>
          <cell r="U1131">
            <v>0.8</v>
          </cell>
          <cell r="V1131">
            <v>3</v>
          </cell>
          <cell r="W1131">
            <v>1</v>
          </cell>
          <cell r="X1131">
            <v>60</v>
          </cell>
          <cell r="Y1131">
            <v>1.7</v>
          </cell>
          <cell r="Z1131">
            <v>1.4</v>
          </cell>
          <cell r="AA1131">
            <v>1</v>
          </cell>
          <cell r="AB1131">
            <v>0</v>
          </cell>
        </row>
        <row r="1132">
          <cell r="A1132">
            <v>1131</v>
          </cell>
          <cell r="B1132" t="str">
            <v>董卓</v>
          </cell>
          <cell r="C1132">
            <v>5</v>
          </cell>
          <cell r="D1132" t="str">
            <v>green</v>
          </cell>
          <cell r="E1132">
            <v>1.02</v>
          </cell>
          <cell r="F1132">
            <v>0.98</v>
          </cell>
          <cell r="G1132">
            <v>1</v>
          </cell>
          <cell r="H1132" t="str">
            <v>technical</v>
          </cell>
          <cell r="I1132" t="str">
            <v>テクニカルタイプ</v>
          </cell>
          <cell r="J1132">
            <v>0.9</v>
          </cell>
          <cell r="K1132">
            <v>0.9</v>
          </cell>
          <cell r="L1132">
            <v>1</v>
          </cell>
          <cell r="M1132" t="str">
            <v>samurai</v>
          </cell>
          <cell r="N1132" t="str">
            <v>サムライ</v>
          </cell>
          <cell r="O1132">
            <v>1</v>
          </cell>
          <cell r="P1132">
            <v>1</v>
          </cell>
          <cell r="Q1132">
            <v>1</v>
          </cell>
          <cell r="R1132" t="str">
            <v>Boss</v>
          </cell>
          <cell r="S1132">
            <v>5</v>
          </cell>
          <cell r="T1132">
            <v>1.3</v>
          </cell>
          <cell r="U1132">
            <v>0.8</v>
          </cell>
          <cell r="V1132">
            <v>3</v>
          </cell>
          <cell r="W1132">
            <v>1</v>
          </cell>
          <cell r="X1132">
            <v>60</v>
          </cell>
          <cell r="Y1132">
            <v>1.7</v>
          </cell>
          <cell r="Z1132">
            <v>1.4</v>
          </cell>
          <cell r="AA1132">
            <v>1</v>
          </cell>
          <cell r="AB1132">
            <v>0</v>
          </cell>
        </row>
        <row r="1133">
          <cell r="A1133">
            <v>1132</v>
          </cell>
          <cell r="B1133" t="str">
            <v>偏執なる狂騒君 董卓</v>
          </cell>
          <cell r="C1133">
            <v>6</v>
          </cell>
          <cell r="D1133" t="str">
            <v>green</v>
          </cell>
          <cell r="E1133">
            <v>1.02</v>
          </cell>
          <cell r="F1133">
            <v>0.98</v>
          </cell>
          <cell r="G1133">
            <v>1</v>
          </cell>
          <cell r="H1133" t="str">
            <v>technical</v>
          </cell>
          <cell r="I1133" t="str">
            <v>テクニカルタイプ</v>
          </cell>
          <cell r="J1133">
            <v>0.9</v>
          </cell>
          <cell r="K1133">
            <v>0.9</v>
          </cell>
          <cell r="L1133">
            <v>1</v>
          </cell>
          <cell r="M1133" t="str">
            <v>samurai</v>
          </cell>
          <cell r="N1133" t="str">
            <v>サムライ</v>
          </cell>
          <cell r="O1133">
            <v>1</v>
          </cell>
          <cell r="P1133">
            <v>1</v>
          </cell>
          <cell r="Q1133">
            <v>1</v>
          </cell>
          <cell r="R1133" t="str">
            <v>Boss</v>
          </cell>
          <cell r="S1133">
            <v>5</v>
          </cell>
          <cell r="T1133">
            <v>1.3</v>
          </cell>
          <cell r="U1133">
            <v>0.8</v>
          </cell>
          <cell r="V1133">
            <v>3</v>
          </cell>
          <cell r="W1133">
            <v>1</v>
          </cell>
          <cell r="X1133">
            <v>60</v>
          </cell>
          <cell r="Y1133">
            <v>1.7</v>
          </cell>
          <cell r="Z1133">
            <v>1.4</v>
          </cell>
          <cell r="AA1133">
            <v>1</v>
          </cell>
          <cell r="AB1133">
            <v>0</v>
          </cell>
        </row>
        <row r="1134">
          <cell r="A1134">
            <v>1133</v>
          </cell>
          <cell r="B1134" t="str">
            <v>貂蝉</v>
          </cell>
          <cell r="C1134">
            <v>5</v>
          </cell>
          <cell r="D1134" t="str">
            <v>yellow</v>
          </cell>
          <cell r="E1134">
            <v>0.98</v>
          </cell>
          <cell r="F1134">
            <v>1.01</v>
          </cell>
          <cell r="G1134">
            <v>1</v>
          </cell>
          <cell r="H1134" t="str">
            <v>attack</v>
          </cell>
          <cell r="I1134" t="str">
            <v>攻撃タイプ</v>
          </cell>
          <cell r="J1134">
            <v>1</v>
          </cell>
          <cell r="K1134">
            <v>1.33</v>
          </cell>
          <cell r="L1134">
            <v>1</v>
          </cell>
          <cell r="M1134" t="str">
            <v>human</v>
          </cell>
          <cell r="N1134" t="str">
            <v>ヒューマン</v>
          </cell>
          <cell r="O1134">
            <v>0.94</v>
          </cell>
          <cell r="P1134">
            <v>0.99</v>
          </cell>
          <cell r="Q1134">
            <v>1</v>
          </cell>
          <cell r="R1134" t="str">
            <v>Boss</v>
          </cell>
          <cell r="S1134">
            <v>5</v>
          </cell>
          <cell r="T1134">
            <v>1.3</v>
          </cell>
          <cell r="U1134">
            <v>0.8</v>
          </cell>
          <cell r="V1134">
            <v>3</v>
          </cell>
          <cell r="W1134">
            <v>1</v>
          </cell>
          <cell r="X1134">
            <v>60</v>
          </cell>
          <cell r="Y1134">
            <v>1.7</v>
          </cell>
          <cell r="Z1134">
            <v>1.4</v>
          </cell>
          <cell r="AA1134">
            <v>1</v>
          </cell>
          <cell r="AB1134">
            <v>0</v>
          </cell>
        </row>
        <row r="1135">
          <cell r="A1135">
            <v>1134</v>
          </cell>
          <cell r="B1135" t="str">
            <v>月隠れの美麗酔 貂蝉</v>
          </cell>
          <cell r="C1135">
            <v>6</v>
          </cell>
          <cell r="D1135" t="str">
            <v>yellow</v>
          </cell>
          <cell r="E1135">
            <v>0.98</v>
          </cell>
          <cell r="F1135">
            <v>1.01</v>
          </cell>
          <cell r="G1135">
            <v>1</v>
          </cell>
          <cell r="H1135" t="str">
            <v>attack</v>
          </cell>
          <cell r="I1135" t="str">
            <v>攻撃タイプ</v>
          </cell>
          <cell r="J1135">
            <v>1</v>
          </cell>
          <cell r="K1135">
            <v>1.33</v>
          </cell>
          <cell r="L1135">
            <v>1</v>
          </cell>
          <cell r="M1135" t="str">
            <v>human</v>
          </cell>
          <cell r="N1135" t="str">
            <v>ヒューマン</v>
          </cell>
          <cell r="O1135">
            <v>0.94</v>
          </cell>
          <cell r="P1135">
            <v>0.99</v>
          </cell>
          <cell r="Q1135">
            <v>1</v>
          </cell>
          <cell r="R1135" t="str">
            <v>Boss</v>
          </cell>
          <cell r="S1135">
            <v>5</v>
          </cell>
          <cell r="T1135">
            <v>1.3</v>
          </cell>
          <cell r="U1135">
            <v>0.8</v>
          </cell>
          <cell r="V1135">
            <v>3</v>
          </cell>
          <cell r="W1135">
            <v>1</v>
          </cell>
          <cell r="X1135">
            <v>60</v>
          </cell>
          <cell r="Y1135">
            <v>1.7</v>
          </cell>
          <cell r="Z1135">
            <v>1.4</v>
          </cell>
          <cell r="AA1135">
            <v>1</v>
          </cell>
          <cell r="AB1135">
            <v>0</v>
          </cell>
        </row>
        <row r="1136">
          <cell r="A1136">
            <v>1135</v>
          </cell>
          <cell r="B1136" t="str">
            <v>呂布</v>
          </cell>
          <cell r="C1136">
            <v>5</v>
          </cell>
          <cell r="D1136" t="str">
            <v>green</v>
          </cell>
          <cell r="E1136">
            <v>1.02</v>
          </cell>
          <cell r="F1136">
            <v>0.98</v>
          </cell>
          <cell r="G1136">
            <v>1</v>
          </cell>
          <cell r="H1136" t="str">
            <v>attack</v>
          </cell>
          <cell r="I1136" t="str">
            <v>攻撃タイプ</v>
          </cell>
          <cell r="J1136">
            <v>1</v>
          </cell>
          <cell r="K1136">
            <v>1.33</v>
          </cell>
          <cell r="L1136">
            <v>1</v>
          </cell>
          <cell r="M1136" t="str">
            <v>samurai</v>
          </cell>
          <cell r="N1136" t="str">
            <v>サムライ</v>
          </cell>
          <cell r="O1136">
            <v>1</v>
          </cell>
          <cell r="P1136">
            <v>1</v>
          </cell>
          <cell r="Q1136">
            <v>1</v>
          </cell>
          <cell r="R1136" t="str">
            <v>Boss</v>
          </cell>
          <cell r="S1136">
            <v>5</v>
          </cell>
          <cell r="T1136">
            <v>1.3</v>
          </cell>
          <cell r="U1136">
            <v>0.8</v>
          </cell>
          <cell r="V1136">
            <v>3</v>
          </cell>
          <cell r="W1136">
            <v>1</v>
          </cell>
          <cell r="X1136">
            <v>60</v>
          </cell>
          <cell r="Y1136">
            <v>1.7</v>
          </cell>
          <cell r="Z1136">
            <v>1.4</v>
          </cell>
          <cell r="AA1136">
            <v>1</v>
          </cell>
          <cell r="AB1136">
            <v>0</v>
          </cell>
        </row>
        <row r="1137">
          <cell r="A1137">
            <v>1136</v>
          </cell>
          <cell r="B1137" t="str">
            <v>豪拳烈創の激将 呂布</v>
          </cell>
          <cell r="C1137">
            <v>6</v>
          </cell>
          <cell r="D1137" t="str">
            <v>green</v>
          </cell>
          <cell r="E1137">
            <v>1.02</v>
          </cell>
          <cell r="F1137">
            <v>0.98</v>
          </cell>
          <cell r="G1137">
            <v>1</v>
          </cell>
          <cell r="H1137" t="str">
            <v>attack</v>
          </cell>
          <cell r="I1137" t="str">
            <v>攻撃タイプ</v>
          </cell>
          <cell r="J1137">
            <v>1</v>
          </cell>
          <cell r="K1137">
            <v>1.33</v>
          </cell>
          <cell r="L1137">
            <v>1</v>
          </cell>
          <cell r="M1137" t="str">
            <v>samurai</v>
          </cell>
          <cell r="N1137" t="str">
            <v>サムライ</v>
          </cell>
          <cell r="O1137">
            <v>1</v>
          </cell>
          <cell r="P1137">
            <v>1</v>
          </cell>
          <cell r="Q1137">
            <v>1</v>
          </cell>
          <cell r="R1137" t="str">
            <v>Boss</v>
          </cell>
          <cell r="S1137">
            <v>5</v>
          </cell>
          <cell r="T1137">
            <v>1.3</v>
          </cell>
          <cell r="U1137">
            <v>0.8</v>
          </cell>
          <cell r="V1137">
            <v>3</v>
          </cell>
          <cell r="W1137">
            <v>1</v>
          </cell>
          <cell r="X1137">
            <v>60</v>
          </cell>
          <cell r="Y1137">
            <v>1.7</v>
          </cell>
          <cell r="Z1137">
            <v>1.4</v>
          </cell>
          <cell r="AA1137">
            <v>1</v>
          </cell>
          <cell r="AB1137">
            <v>0</v>
          </cell>
        </row>
        <row r="1138">
          <cell r="A1138">
            <v>1137</v>
          </cell>
          <cell r="B1138" t="str">
            <v>諸葛亮</v>
          </cell>
          <cell r="C1138">
            <v>5</v>
          </cell>
          <cell r="D1138" t="str">
            <v>red</v>
          </cell>
          <cell r="E1138">
            <v>1</v>
          </cell>
          <cell r="F1138">
            <v>1.02</v>
          </cell>
          <cell r="G1138">
            <v>1</v>
          </cell>
          <cell r="H1138" t="str">
            <v>technical</v>
          </cell>
          <cell r="I1138" t="str">
            <v>テクニカルタイプ</v>
          </cell>
          <cell r="J1138">
            <v>0.9</v>
          </cell>
          <cell r="K1138">
            <v>0.9</v>
          </cell>
          <cell r="L1138">
            <v>1</v>
          </cell>
          <cell r="M1138" t="str">
            <v>samurai</v>
          </cell>
          <cell r="N1138" t="str">
            <v>サムライ</v>
          </cell>
          <cell r="O1138">
            <v>1</v>
          </cell>
          <cell r="P1138">
            <v>1</v>
          </cell>
          <cell r="Q1138">
            <v>1</v>
          </cell>
          <cell r="R1138" t="str">
            <v>Boss</v>
          </cell>
          <cell r="S1138">
            <v>5</v>
          </cell>
          <cell r="T1138">
            <v>1.3</v>
          </cell>
          <cell r="U1138">
            <v>0.8</v>
          </cell>
          <cell r="V1138">
            <v>3</v>
          </cell>
          <cell r="W1138">
            <v>1</v>
          </cell>
          <cell r="X1138">
            <v>60</v>
          </cell>
          <cell r="Y1138">
            <v>1.7</v>
          </cell>
          <cell r="Z1138">
            <v>1.4</v>
          </cell>
          <cell r="AA1138">
            <v>1</v>
          </cell>
          <cell r="AB1138">
            <v>0</v>
          </cell>
        </row>
        <row r="1139">
          <cell r="A1139">
            <v>1138</v>
          </cell>
          <cell r="B1139" t="str">
            <v>神算鬼謀の宰相 諸葛亮</v>
          </cell>
          <cell r="C1139">
            <v>6</v>
          </cell>
          <cell r="D1139" t="str">
            <v>red</v>
          </cell>
          <cell r="E1139">
            <v>1</v>
          </cell>
          <cell r="F1139">
            <v>1.02</v>
          </cell>
          <cell r="G1139">
            <v>1</v>
          </cell>
          <cell r="H1139" t="str">
            <v>technical</v>
          </cell>
          <cell r="I1139" t="str">
            <v>テクニカルタイプ</v>
          </cell>
          <cell r="J1139">
            <v>0.9</v>
          </cell>
          <cell r="K1139">
            <v>0.9</v>
          </cell>
          <cell r="L1139">
            <v>1</v>
          </cell>
          <cell r="M1139" t="str">
            <v>samurai</v>
          </cell>
          <cell r="N1139" t="str">
            <v>サムライ</v>
          </cell>
          <cell r="O1139">
            <v>1</v>
          </cell>
          <cell r="P1139">
            <v>1</v>
          </cell>
          <cell r="Q1139">
            <v>1</v>
          </cell>
          <cell r="R1139" t="str">
            <v>Boss</v>
          </cell>
          <cell r="S1139">
            <v>5</v>
          </cell>
          <cell r="T1139">
            <v>1.3</v>
          </cell>
          <cell r="U1139">
            <v>0.8</v>
          </cell>
          <cell r="V1139">
            <v>3</v>
          </cell>
          <cell r="W1139">
            <v>1</v>
          </cell>
          <cell r="X1139">
            <v>60</v>
          </cell>
          <cell r="Y1139">
            <v>1.7</v>
          </cell>
          <cell r="Z1139">
            <v>1.4</v>
          </cell>
          <cell r="AA1139">
            <v>1</v>
          </cell>
          <cell r="AB1139">
            <v>0</v>
          </cell>
        </row>
        <row r="1140">
          <cell r="A1140">
            <v>1139</v>
          </cell>
          <cell r="B1140" t="str">
            <v>趙雲</v>
          </cell>
          <cell r="C1140">
            <v>5</v>
          </cell>
          <cell r="D1140" t="str">
            <v>green</v>
          </cell>
          <cell r="E1140">
            <v>1.02</v>
          </cell>
          <cell r="F1140">
            <v>0.98</v>
          </cell>
          <cell r="G1140">
            <v>1</v>
          </cell>
          <cell r="H1140" t="str">
            <v>balance</v>
          </cell>
          <cell r="I1140" t="str">
            <v>バランスタイプ</v>
          </cell>
          <cell r="J1140">
            <v>1</v>
          </cell>
          <cell r="K1140">
            <v>1</v>
          </cell>
          <cell r="L1140">
            <v>1</v>
          </cell>
          <cell r="M1140" t="str">
            <v>samurai</v>
          </cell>
          <cell r="N1140" t="str">
            <v>サムライ</v>
          </cell>
          <cell r="O1140">
            <v>1</v>
          </cell>
          <cell r="P1140">
            <v>1</v>
          </cell>
          <cell r="Q1140">
            <v>1</v>
          </cell>
          <cell r="R1140" t="str">
            <v>Boss</v>
          </cell>
          <cell r="S1140">
            <v>5</v>
          </cell>
          <cell r="T1140">
            <v>1.3</v>
          </cell>
          <cell r="U1140">
            <v>0.8</v>
          </cell>
          <cell r="V1140">
            <v>3</v>
          </cell>
          <cell r="W1140">
            <v>1</v>
          </cell>
          <cell r="X1140">
            <v>60</v>
          </cell>
          <cell r="Y1140">
            <v>1.7</v>
          </cell>
          <cell r="Z1140">
            <v>1.4</v>
          </cell>
          <cell r="AA1140">
            <v>1</v>
          </cell>
          <cell r="AB1140">
            <v>0</v>
          </cell>
        </row>
        <row r="1141">
          <cell r="A1141">
            <v>1140</v>
          </cell>
          <cell r="B1141" t="str">
            <v>綱紀粛正の傑璧 趙雲</v>
          </cell>
          <cell r="C1141">
            <v>6</v>
          </cell>
          <cell r="D1141" t="str">
            <v>green</v>
          </cell>
          <cell r="E1141">
            <v>1.02</v>
          </cell>
          <cell r="F1141">
            <v>0.98</v>
          </cell>
          <cell r="G1141">
            <v>1</v>
          </cell>
          <cell r="H1141" t="str">
            <v>balance</v>
          </cell>
          <cell r="I1141" t="str">
            <v>バランスタイプ</v>
          </cell>
          <cell r="J1141">
            <v>1</v>
          </cell>
          <cell r="K1141">
            <v>1</v>
          </cell>
          <cell r="L1141">
            <v>1</v>
          </cell>
          <cell r="M1141" t="str">
            <v>samurai</v>
          </cell>
          <cell r="N1141" t="str">
            <v>サムライ</v>
          </cell>
          <cell r="O1141">
            <v>1</v>
          </cell>
          <cell r="P1141">
            <v>1</v>
          </cell>
          <cell r="Q1141">
            <v>1</v>
          </cell>
          <cell r="R1141" t="str">
            <v>Boss</v>
          </cell>
          <cell r="S1141">
            <v>5</v>
          </cell>
          <cell r="T1141">
            <v>1.3</v>
          </cell>
          <cell r="U1141">
            <v>0.8</v>
          </cell>
          <cell r="V1141">
            <v>3</v>
          </cell>
          <cell r="W1141">
            <v>1</v>
          </cell>
          <cell r="X1141">
            <v>60</v>
          </cell>
          <cell r="Y1141">
            <v>1.7</v>
          </cell>
          <cell r="Z1141">
            <v>1.4</v>
          </cell>
          <cell r="AA1141">
            <v>1</v>
          </cell>
          <cell r="AB1141">
            <v>0</v>
          </cell>
        </row>
        <row r="1142">
          <cell r="A1142">
            <v>1141</v>
          </cell>
          <cell r="B1142" t="str">
            <v>月英</v>
          </cell>
          <cell r="C1142">
            <v>5</v>
          </cell>
          <cell r="D1142" t="str">
            <v>blue</v>
          </cell>
          <cell r="E1142">
            <v>1</v>
          </cell>
          <cell r="F1142">
            <v>0.98</v>
          </cell>
          <cell r="G1142">
            <v>1</v>
          </cell>
          <cell r="H1142" t="str">
            <v>balance</v>
          </cell>
          <cell r="I1142" t="str">
            <v>バランスタイプ</v>
          </cell>
          <cell r="J1142">
            <v>1</v>
          </cell>
          <cell r="K1142">
            <v>1</v>
          </cell>
          <cell r="L1142">
            <v>1</v>
          </cell>
          <cell r="M1142" t="str">
            <v>human</v>
          </cell>
          <cell r="N1142" t="str">
            <v>ヒューマン</v>
          </cell>
          <cell r="O1142">
            <v>0.94</v>
          </cell>
          <cell r="P1142">
            <v>0.99</v>
          </cell>
          <cell r="Q1142">
            <v>1</v>
          </cell>
          <cell r="R1142" t="str">
            <v>Boss</v>
          </cell>
          <cell r="S1142">
            <v>5</v>
          </cell>
          <cell r="T1142">
            <v>1.3</v>
          </cell>
          <cell r="U1142">
            <v>0.8</v>
          </cell>
          <cell r="V1142">
            <v>3</v>
          </cell>
          <cell r="W1142">
            <v>1</v>
          </cell>
          <cell r="X1142">
            <v>60</v>
          </cell>
          <cell r="Y1142">
            <v>1.7</v>
          </cell>
          <cell r="Z1142">
            <v>1.4</v>
          </cell>
          <cell r="AA1142">
            <v>1</v>
          </cell>
          <cell r="AB1142">
            <v>0</v>
          </cell>
        </row>
        <row r="1143">
          <cell r="A1143">
            <v>1142</v>
          </cell>
          <cell r="B1143" t="str">
            <v>蒼明な機鋼士 月英</v>
          </cell>
          <cell r="C1143">
            <v>6</v>
          </cell>
          <cell r="D1143" t="str">
            <v>blue</v>
          </cell>
          <cell r="E1143">
            <v>1</v>
          </cell>
          <cell r="F1143">
            <v>0.98</v>
          </cell>
          <cell r="G1143">
            <v>1</v>
          </cell>
          <cell r="H1143" t="str">
            <v>balance</v>
          </cell>
          <cell r="I1143" t="str">
            <v>バランスタイプ</v>
          </cell>
          <cell r="J1143">
            <v>1</v>
          </cell>
          <cell r="K1143">
            <v>1</v>
          </cell>
          <cell r="L1143">
            <v>1</v>
          </cell>
          <cell r="M1143" t="str">
            <v>human</v>
          </cell>
          <cell r="N1143" t="str">
            <v>ヒューマン</v>
          </cell>
          <cell r="O1143">
            <v>0.94</v>
          </cell>
          <cell r="P1143">
            <v>0.99</v>
          </cell>
          <cell r="Q1143">
            <v>1</v>
          </cell>
          <cell r="R1143" t="str">
            <v>Boss</v>
          </cell>
          <cell r="S1143">
            <v>5</v>
          </cell>
          <cell r="T1143">
            <v>1.3</v>
          </cell>
          <cell r="U1143">
            <v>0.8</v>
          </cell>
          <cell r="V1143">
            <v>3</v>
          </cell>
          <cell r="W1143">
            <v>1</v>
          </cell>
          <cell r="X1143">
            <v>60</v>
          </cell>
          <cell r="Y1143">
            <v>1.7</v>
          </cell>
          <cell r="Z1143">
            <v>1.4</v>
          </cell>
          <cell r="AA1143">
            <v>1</v>
          </cell>
          <cell r="AB1143">
            <v>0</v>
          </cell>
        </row>
        <row r="1144">
          <cell r="A1144">
            <v>1143</v>
          </cell>
          <cell r="B1144" t="str">
            <v>黄忠</v>
          </cell>
          <cell r="C1144">
            <v>4</v>
          </cell>
          <cell r="D1144" t="str">
            <v>yellow</v>
          </cell>
          <cell r="E1144">
            <v>0.98</v>
          </cell>
          <cell r="F1144">
            <v>1.01</v>
          </cell>
          <cell r="G1144">
            <v>1</v>
          </cell>
          <cell r="H1144" t="str">
            <v>technical</v>
          </cell>
          <cell r="I1144" t="str">
            <v>テクニカルタイプ</v>
          </cell>
          <cell r="J1144">
            <v>0.9</v>
          </cell>
          <cell r="K1144">
            <v>0.9</v>
          </cell>
          <cell r="L1144">
            <v>1</v>
          </cell>
          <cell r="M1144" t="str">
            <v>samurai</v>
          </cell>
          <cell r="N1144" t="str">
            <v>サムライ</v>
          </cell>
          <cell r="O1144">
            <v>1</v>
          </cell>
          <cell r="P1144">
            <v>1</v>
          </cell>
          <cell r="Q1144">
            <v>1</v>
          </cell>
          <cell r="R1144" t="str">
            <v>Boss</v>
          </cell>
          <cell r="S1144">
            <v>5</v>
          </cell>
          <cell r="T1144">
            <v>1.3</v>
          </cell>
          <cell r="U1144">
            <v>0.8</v>
          </cell>
          <cell r="V1144">
            <v>3</v>
          </cell>
          <cell r="W1144">
            <v>1</v>
          </cell>
          <cell r="X1144">
            <v>30</v>
          </cell>
          <cell r="Y1144">
            <v>1.3</v>
          </cell>
          <cell r="Z1144">
            <v>1.3</v>
          </cell>
          <cell r="AA1144">
            <v>1.1000000000000001</v>
          </cell>
          <cell r="AB1144">
            <v>0</v>
          </cell>
        </row>
        <row r="1145">
          <cell r="A1145">
            <v>1144</v>
          </cell>
          <cell r="B1145" t="str">
            <v>白星を射る老将 黄忠</v>
          </cell>
          <cell r="C1145">
            <v>5</v>
          </cell>
          <cell r="D1145" t="str">
            <v>yellow</v>
          </cell>
          <cell r="E1145">
            <v>0.98</v>
          </cell>
          <cell r="F1145">
            <v>1.01</v>
          </cell>
          <cell r="G1145">
            <v>1</v>
          </cell>
          <cell r="H1145" t="str">
            <v>technical</v>
          </cell>
          <cell r="I1145" t="str">
            <v>テクニカルタイプ</v>
          </cell>
          <cell r="J1145">
            <v>0.9</v>
          </cell>
          <cell r="K1145">
            <v>0.9</v>
          </cell>
          <cell r="L1145">
            <v>1</v>
          </cell>
          <cell r="M1145" t="str">
            <v>samurai</v>
          </cell>
          <cell r="N1145" t="str">
            <v>サムライ</v>
          </cell>
          <cell r="O1145">
            <v>1</v>
          </cell>
          <cell r="P1145">
            <v>1</v>
          </cell>
          <cell r="Q1145">
            <v>1</v>
          </cell>
          <cell r="R1145" t="str">
            <v>Boss</v>
          </cell>
          <cell r="S1145">
            <v>5</v>
          </cell>
          <cell r="T1145">
            <v>1.3</v>
          </cell>
          <cell r="U1145">
            <v>0.8</v>
          </cell>
          <cell r="V1145">
            <v>3</v>
          </cell>
          <cell r="W1145">
            <v>1</v>
          </cell>
          <cell r="X1145">
            <v>60</v>
          </cell>
          <cell r="Y1145">
            <v>1.7</v>
          </cell>
          <cell r="Z1145">
            <v>1.4</v>
          </cell>
          <cell r="AA1145">
            <v>1</v>
          </cell>
          <cell r="AB1145">
            <v>0</v>
          </cell>
        </row>
        <row r="1146">
          <cell r="A1146">
            <v>1145</v>
          </cell>
          <cell r="B1146" t="str">
            <v>ヴリトラ</v>
          </cell>
          <cell r="C1146">
            <v>4</v>
          </cell>
          <cell r="D1146" t="str">
            <v>yellow</v>
          </cell>
          <cell r="E1146">
            <v>0.98</v>
          </cell>
          <cell r="F1146">
            <v>1.01</v>
          </cell>
          <cell r="G1146">
            <v>1</v>
          </cell>
          <cell r="H1146" t="str">
            <v>hp</v>
          </cell>
          <cell r="I1146" t="str">
            <v>体力タイプ</v>
          </cell>
          <cell r="J1146">
            <v>1.45</v>
          </cell>
          <cell r="K1146">
            <v>0.85</v>
          </cell>
          <cell r="L1146">
            <v>1</v>
          </cell>
          <cell r="M1146" t="str">
            <v>dragon</v>
          </cell>
          <cell r="N1146" t="str">
            <v>ドラゴン</v>
          </cell>
          <cell r="O1146">
            <v>1.1499999999999999</v>
          </cell>
          <cell r="P1146">
            <v>1.1000000000000001</v>
          </cell>
          <cell r="Q1146">
            <v>1</v>
          </cell>
          <cell r="R1146" t="str">
            <v>Boss</v>
          </cell>
          <cell r="S1146">
            <v>5</v>
          </cell>
          <cell r="T1146">
            <v>1.3</v>
          </cell>
          <cell r="U1146">
            <v>0.8</v>
          </cell>
          <cell r="V1146">
            <v>3</v>
          </cell>
          <cell r="W1146">
            <v>1</v>
          </cell>
          <cell r="X1146">
            <v>30</v>
          </cell>
          <cell r="Y1146">
            <v>1.3</v>
          </cell>
          <cell r="Z1146">
            <v>1.3</v>
          </cell>
          <cell r="AA1146">
            <v>1.1000000000000001</v>
          </cell>
          <cell r="AB1146">
            <v>0</v>
          </cell>
        </row>
        <row r="1147">
          <cell r="A1147">
            <v>1146</v>
          </cell>
          <cell r="B1147" t="str">
            <v>宙覆す破魃竜 ヴリトラ</v>
          </cell>
          <cell r="C1147">
            <v>5</v>
          </cell>
          <cell r="D1147" t="str">
            <v>yellow</v>
          </cell>
          <cell r="E1147">
            <v>0.98</v>
          </cell>
          <cell r="F1147">
            <v>1.01</v>
          </cell>
          <cell r="G1147">
            <v>1</v>
          </cell>
          <cell r="H1147" t="str">
            <v>hp</v>
          </cell>
          <cell r="I1147" t="str">
            <v>体力タイプ</v>
          </cell>
          <cell r="J1147">
            <v>1.45</v>
          </cell>
          <cell r="K1147">
            <v>0.85</v>
          </cell>
          <cell r="L1147">
            <v>1</v>
          </cell>
          <cell r="M1147" t="str">
            <v>dragon</v>
          </cell>
          <cell r="N1147" t="str">
            <v>ドラゴン</v>
          </cell>
          <cell r="O1147">
            <v>1.1499999999999999</v>
          </cell>
          <cell r="P1147">
            <v>1.1000000000000001</v>
          </cell>
          <cell r="Q1147">
            <v>1</v>
          </cell>
          <cell r="R1147" t="str">
            <v>Boss</v>
          </cell>
          <cell r="S1147">
            <v>5</v>
          </cell>
          <cell r="T1147">
            <v>1.3</v>
          </cell>
          <cell r="U1147">
            <v>0.8</v>
          </cell>
          <cell r="V1147">
            <v>3</v>
          </cell>
          <cell r="W1147">
            <v>1</v>
          </cell>
          <cell r="X1147">
            <v>60</v>
          </cell>
          <cell r="Y1147">
            <v>1.7</v>
          </cell>
          <cell r="Z1147">
            <v>1.4</v>
          </cell>
          <cell r="AA1147">
            <v>1</v>
          </cell>
          <cell r="AB1147">
            <v>0</v>
          </cell>
        </row>
        <row r="1148">
          <cell r="A1148">
            <v>1147</v>
          </cell>
          <cell r="B1148" t="str">
            <v>カーリー</v>
          </cell>
          <cell r="C1148">
            <v>5</v>
          </cell>
          <cell r="D1148" t="str">
            <v>red</v>
          </cell>
          <cell r="E1148">
            <v>1</v>
          </cell>
          <cell r="F1148">
            <v>1.02</v>
          </cell>
          <cell r="G1148">
            <v>1</v>
          </cell>
          <cell r="H1148" t="str">
            <v>technical</v>
          </cell>
          <cell r="I1148" t="str">
            <v>テクニカルタイプ</v>
          </cell>
          <cell r="J1148">
            <v>0.9</v>
          </cell>
          <cell r="K1148">
            <v>0.9</v>
          </cell>
          <cell r="L1148">
            <v>1</v>
          </cell>
          <cell r="M1148" t="str">
            <v>god</v>
          </cell>
          <cell r="N1148" t="str">
            <v>ゴッド</v>
          </cell>
          <cell r="O1148">
            <v>0.96</v>
          </cell>
          <cell r="P1148">
            <v>1.02</v>
          </cell>
          <cell r="Q1148">
            <v>1</v>
          </cell>
          <cell r="R1148" t="str">
            <v>Boss</v>
          </cell>
          <cell r="S1148">
            <v>5</v>
          </cell>
          <cell r="T1148">
            <v>1.3</v>
          </cell>
          <cell r="U1148">
            <v>0.8</v>
          </cell>
          <cell r="V1148">
            <v>3</v>
          </cell>
          <cell r="W1148">
            <v>1</v>
          </cell>
          <cell r="X1148">
            <v>60</v>
          </cell>
          <cell r="Y1148">
            <v>1.7</v>
          </cell>
          <cell r="Z1148">
            <v>1.4</v>
          </cell>
          <cell r="AA1148">
            <v>1</v>
          </cell>
          <cell r="AB1148">
            <v>0</v>
          </cell>
        </row>
        <row r="1149">
          <cell r="A1149">
            <v>1148</v>
          </cell>
          <cell r="B1149" t="str">
            <v>嫉神の黎き滅意 カーリー</v>
          </cell>
          <cell r="C1149">
            <v>6</v>
          </cell>
          <cell r="D1149" t="str">
            <v>red</v>
          </cell>
          <cell r="E1149">
            <v>1</v>
          </cell>
          <cell r="F1149">
            <v>1.02</v>
          </cell>
          <cell r="G1149">
            <v>1</v>
          </cell>
          <cell r="H1149" t="str">
            <v>technical</v>
          </cell>
          <cell r="I1149" t="str">
            <v>テクニカルタイプ</v>
          </cell>
          <cell r="J1149">
            <v>0.9</v>
          </cell>
          <cell r="K1149">
            <v>0.9</v>
          </cell>
          <cell r="L1149">
            <v>1</v>
          </cell>
          <cell r="M1149" t="str">
            <v>god</v>
          </cell>
          <cell r="N1149" t="str">
            <v>ゴッド</v>
          </cell>
          <cell r="O1149">
            <v>0.96</v>
          </cell>
          <cell r="P1149">
            <v>1.02</v>
          </cell>
          <cell r="Q1149">
            <v>1</v>
          </cell>
          <cell r="R1149" t="str">
            <v>Boss</v>
          </cell>
          <cell r="S1149">
            <v>5</v>
          </cell>
          <cell r="T1149">
            <v>1.3</v>
          </cell>
          <cell r="U1149">
            <v>0.8</v>
          </cell>
          <cell r="V1149">
            <v>3</v>
          </cell>
          <cell r="W1149">
            <v>1</v>
          </cell>
          <cell r="X1149">
            <v>60</v>
          </cell>
          <cell r="Y1149">
            <v>1.7</v>
          </cell>
          <cell r="Z1149">
            <v>1.4</v>
          </cell>
          <cell r="AA1149">
            <v>1</v>
          </cell>
          <cell r="AB1149">
            <v>0</v>
          </cell>
        </row>
        <row r="1150">
          <cell r="A1150">
            <v>1149</v>
          </cell>
          <cell r="B1150" t="str">
            <v>ブラフマー</v>
          </cell>
          <cell r="C1150">
            <v>5</v>
          </cell>
          <cell r="D1150" t="str">
            <v>blue</v>
          </cell>
          <cell r="E1150">
            <v>1</v>
          </cell>
          <cell r="F1150">
            <v>0.98</v>
          </cell>
          <cell r="G1150">
            <v>1</v>
          </cell>
          <cell r="H1150" t="str">
            <v>technical</v>
          </cell>
          <cell r="I1150" t="str">
            <v>テクニカルタイプ</v>
          </cell>
          <cell r="J1150">
            <v>0.9</v>
          </cell>
          <cell r="K1150">
            <v>0.9</v>
          </cell>
          <cell r="L1150">
            <v>1</v>
          </cell>
          <cell r="M1150" t="str">
            <v>god</v>
          </cell>
          <cell r="N1150" t="str">
            <v>ゴッド</v>
          </cell>
          <cell r="O1150">
            <v>0.96</v>
          </cell>
          <cell r="P1150">
            <v>1.02</v>
          </cell>
          <cell r="Q1150">
            <v>1</v>
          </cell>
          <cell r="R1150" t="str">
            <v>Boss</v>
          </cell>
          <cell r="S1150">
            <v>5</v>
          </cell>
          <cell r="T1150">
            <v>1.3</v>
          </cell>
          <cell r="U1150">
            <v>0.8</v>
          </cell>
          <cell r="V1150">
            <v>3</v>
          </cell>
          <cell r="W1150">
            <v>1</v>
          </cell>
          <cell r="X1150">
            <v>60</v>
          </cell>
          <cell r="Y1150">
            <v>1.7</v>
          </cell>
          <cell r="Z1150">
            <v>1.4</v>
          </cell>
          <cell r="AA1150">
            <v>1</v>
          </cell>
          <cell r="AB1150">
            <v>0</v>
          </cell>
        </row>
        <row r="1151">
          <cell r="A1151">
            <v>1150</v>
          </cell>
          <cell r="B1151" t="str">
            <v>封智の元創神 ブラフマー</v>
          </cell>
          <cell r="C1151">
            <v>6</v>
          </cell>
          <cell r="D1151" t="str">
            <v>blue</v>
          </cell>
          <cell r="E1151">
            <v>1</v>
          </cell>
          <cell r="F1151">
            <v>0.98</v>
          </cell>
          <cell r="G1151">
            <v>1</v>
          </cell>
          <cell r="H1151" t="str">
            <v>technical</v>
          </cell>
          <cell r="I1151" t="str">
            <v>テクニカルタイプ</v>
          </cell>
          <cell r="J1151">
            <v>0.9</v>
          </cell>
          <cell r="K1151">
            <v>0.9</v>
          </cell>
          <cell r="L1151">
            <v>1</v>
          </cell>
          <cell r="M1151" t="str">
            <v>god</v>
          </cell>
          <cell r="N1151" t="str">
            <v>ゴッド</v>
          </cell>
          <cell r="O1151">
            <v>0.96</v>
          </cell>
          <cell r="P1151">
            <v>1.02</v>
          </cell>
          <cell r="Q1151">
            <v>1</v>
          </cell>
          <cell r="R1151" t="str">
            <v>Boss</v>
          </cell>
          <cell r="S1151">
            <v>5</v>
          </cell>
          <cell r="T1151">
            <v>1.3</v>
          </cell>
          <cell r="U1151">
            <v>0.8</v>
          </cell>
          <cell r="V1151">
            <v>3</v>
          </cell>
          <cell r="W1151">
            <v>1</v>
          </cell>
          <cell r="X1151">
            <v>60</v>
          </cell>
          <cell r="Y1151">
            <v>1.7</v>
          </cell>
          <cell r="Z1151">
            <v>1.4</v>
          </cell>
          <cell r="AA1151">
            <v>1</v>
          </cell>
          <cell r="AB1151">
            <v>0</v>
          </cell>
        </row>
        <row r="1152">
          <cell r="A1152">
            <v>1151</v>
          </cell>
          <cell r="B1152" t="str">
            <v>ガネーシャ</v>
          </cell>
          <cell r="C1152">
            <v>4</v>
          </cell>
          <cell r="D1152" t="str">
            <v>red</v>
          </cell>
          <cell r="E1152">
            <v>1</v>
          </cell>
          <cell r="F1152">
            <v>1.02</v>
          </cell>
          <cell r="G1152">
            <v>1</v>
          </cell>
          <cell r="H1152" t="str">
            <v>heal</v>
          </cell>
          <cell r="I1152" t="str">
            <v>回復タイプ</v>
          </cell>
          <cell r="J1152">
            <v>0.8</v>
          </cell>
          <cell r="K1152">
            <v>0.78</v>
          </cell>
          <cell r="L1152">
            <v>1</v>
          </cell>
          <cell r="M1152" t="str">
            <v>god</v>
          </cell>
          <cell r="N1152" t="str">
            <v>ゴッド</v>
          </cell>
          <cell r="O1152">
            <v>0.96</v>
          </cell>
          <cell r="P1152">
            <v>1.02</v>
          </cell>
          <cell r="Q1152">
            <v>1</v>
          </cell>
          <cell r="R1152" t="str">
            <v>Boss</v>
          </cell>
          <cell r="S1152">
            <v>5</v>
          </cell>
          <cell r="T1152">
            <v>1.3</v>
          </cell>
          <cell r="U1152">
            <v>0.8</v>
          </cell>
          <cell r="V1152">
            <v>3</v>
          </cell>
          <cell r="W1152">
            <v>1</v>
          </cell>
          <cell r="X1152">
            <v>30</v>
          </cell>
          <cell r="Y1152">
            <v>1.3</v>
          </cell>
          <cell r="Z1152">
            <v>1.3</v>
          </cell>
          <cell r="AA1152">
            <v>1.1000000000000001</v>
          </cell>
          <cell r="AB1152">
            <v>0</v>
          </cell>
        </row>
        <row r="1153">
          <cell r="A1153">
            <v>1152</v>
          </cell>
          <cell r="B1153" t="str">
            <v>衆知の富益神 ガネーシャ</v>
          </cell>
          <cell r="C1153">
            <v>5</v>
          </cell>
          <cell r="D1153" t="str">
            <v>red</v>
          </cell>
          <cell r="E1153">
            <v>1</v>
          </cell>
          <cell r="F1153">
            <v>1.02</v>
          </cell>
          <cell r="G1153">
            <v>1</v>
          </cell>
          <cell r="H1153" t="str">
            <v>heal</v>
          </cell>
          <cell r="I1153" t="str">
            <v>回復タイプ</v>
          </cell>
          <cell r="J1153">
            <v>0.8</v>
          </cell>
          <cell r="K1153">
            <v>0.78</v>
          </cell>
          <cell r="L1153">
            <v>1</v>
          </cell>
          <cell r="M1153" t="str">
            <v>god</v>
          </cell>
          <cell r="N1153" t="str">
            <v>ゴッド</v>
          </cell>
          <cell r="O1153">
            <v>0.96</v>
          </cell>
          <cell r="P1153">
            <v>1.02</v>
          </cell>
          <cell r="Q1153">
            <v>1</v>
          </cell>
          <cell r="R1153" t="str">
            <v>Boss</v>
          </cell>
          <cell r="S1153">
            <v>5</v>
          </cell>
          <cell r="T1153">
            <v>1.3</v>
          </cell>
          <cell r="U1153">
            <v>0.8</v>
          </cell>
          <cell r="V1153">
            <v>3</v>
          </cell>
          <cell r="W1153">
            <v>1</v>
          </cell>
          <cell r="X1153">
            <v>60</v>
          </cell>
          <cell r="Y1153">
            <v>1.7</v>
          </cell>
          <cell r="Z1153">
            <v>1.4</v>
          </cell>
          <cell r="AA1153">
            <v>1</v>
          </cell>
          <cell r="AB1153">
            <v>0</v>
          </cell>
        </row>
        <row r="1154">
          <cell r="A1154">
            <v>1153</v>
          </cell>
          <cell r="B1154" t="str">
            <v>ラクシュミー</v>
          </cell>
          <cell r="C1154">
            <v>5</v>
          </cell>
          <cell r="D1154" t="str">
            <v>green</v>
          </cell>
          <cell r="E1154">
            <v>1.02</v>
          </cell>
          <cell r="F1154">
            <v>0.98</v>
          </cell>
          <cell r="G1154">
            <v>1</v>
          </cell>
          <cell r="H1154" t="str">
            <v>hp</v>
          </cell>
          <cell r="I1154" t="str">
            <v>体力タイプ</v>
          </cell>
          <cell r="J1154">
            <v>1.45</v>
          </cell>
          <cell r="K1154">
            <v>0.85</v>
          </cell>
          <cell r="L1154">
            <v>1</v>
          </cell>
          <cell r="M1154" t="str">
            <v>god</v>
          </cell>
          <cell r="N1154" t="str">
            <v>ゴッド</v>
          </cell>
          <cell r="O1154">
            <v>0.96</v>
          </cell>
          <cell r="P1154">
            <v>1.02</v>
          </cell>
          <cell r="Q1154">
            <v>1</v>
          </cell>
          <cell r="R1154" t="str">
            <v>Boss</v>
          </cell>
          <cell r="S1154">
            <v>5</v>
          </cell>
          <cell r="T1154">
            <v>1.3</v>
          </cell>
          <cell r="U1154">
            <v>0.8</v>
          </cell>
          <cell r="V1154">
            <v>3</v>
          </cell>
          <cell r="W1154">
            <v>1</v>
          </cell>
          <cell r="X1154">
            <v>60</v>
          </cell>
          <cell r="Y1154">
            <v>1.7</v>
          </cell>
          <cell r="Z1154">
            <v>1.4</v>
          </cell>
          <cell r="AA1154">
            <v>1</v>
          </cell>
          <cell r="AB1154">
            <v>0</v>
          </cell>
        </row>
        <row r="1155">
          <cell r="A1155">
            <v>1154</v>
          </cell>
          <cell r="B1155" t="str">
            <v>幸吹の蓮華粧 ラクシュミー</v>
          </cell>
          <cell r="C1155">
            <v>6</v>
          </cell>
          <cell r="D1155" t="str">
            <v>green</v>
          </cell>
          <cell r="E1155">
            <v>1.02</v>
          </cell>
          <cell r="F1155">
            <v>0.98</v>
          </cell>
          <cell r="G1155">
            <v>1</v>
          </cell>
          <cell r="H1155" t="str">
            <v>hp</v>
          </cell>
          <cell r="I1155" t="str">
            <v>体力タイプ</v>
          </cell>
          <cell r="J1155">
            <v>1.45</v>
          </cell>
          <cell r="K1155">
            <v>0.85</v>
          </cell>
          <cell r="L1155">
            <v>1</v>
          </cell>
          <cell r="M1155" t="str">
            <v>god</v>
          </cell>
          <cell r="N1155" t="str">
            <v>ゴッド</v>
          </cell>
          <cell r="O1155">
            <v>0.96</v>
          </cell>
          <cell r="P1155">
            <v>1.02</v>
          </cell>
          <cell r="Q1155">
            <v>1</v>
          </cell>
          <cell r="R1155" t="str">
            <v>Boss</v>
          </cell>
          <cell r="S1155">
            <v>5</v>
          </cell>
          <cell r="T1155">
            <v>1.3</v>
          </cell>
          <cell r="U1155">
            <v>0.8</v>
          </cell>
          <cell r="V1155">
            <v>3</v>
          </cell>
          <cell r="W1155">
            <v>1</v>
          </cell>
          <cell r="X1155">
            <v>60</v>
          </cell>
          <cell r="Y1155">
            <v>1.7</v>
          </cell>
          <cell r="Z1155">
            <v>1.4</v>
          </cell>
          <cell r="AA1155">
            <v>1</v>
          </cell>
          <cell r="AB1155">
            <v>0</v>
          </cell>
        </row>
        <row r="1156">
          <cell r="A1156">
            <v>1155</v>
          </cell>
          <cell r="B1156" t="str">
            <v>ドゥルガー</v>
          </cell>
          <cell r="C1156">
            <v>5</v>
          </cell>
          <cell r="D1156" t="str">
            <v>blue</v>
          </cell>
          <cell r="E1156">
            <v>1</v>
          </cell>
          <cell r="F1156">
            <v>0.98</v>
          </cell>
          <cell r="G1156">
            <v>1</v>
          </cell>
          <cell r="H1156" t="str">
            <v>balance</v>
          </cell>
          <cell r="I1156" t="str">
            <v>バランスタイプ</v>
          </cell>
          <cell r="J1156">
            <v>1</v>
          </cell>
          <cell r="K1156">
            <v>1</v>
          </cell>
          <cell r="L1156">
            <v>1</v>
          </cell>
          <cell r="M1156" t="str">
            <v>god</v>
          </cell>
          <cell r="N1156" t="str">
            <v>ゴッド</v>
          </cell>
          <cell r="O1156">
            <v>0.96</v>
          </cell>
          <cell r="P1156">
            <v>1.02</v>
          </cell>
          <cell r="Q1156">
            <v>1</v>
          </cell>
          <cell r="R1156" t="str">
            <v>Boss</v>
          </cell>
          <cell r="S1156">
            <v>5</v>
          </cell>
          <cell r="T1156">
            <v>1.3</v>
          </cell>
          <cell r="U1156">
            <v>0.8</v>
          </cell>
          <cell r="V1156">
            <v>3</v>
          </cell>
          <cell r="W1156">
            <v>1</v>
          </cell>
          <cell r="X1156">
            <v>60</v>
          </cell>
          <cell r="Y1156">
            <v>1.7</v>
          </cell>
          <cell r="Z1156">
            <v>1.4</v>
          </cell>
          <cell r="AA1156">
            <v>1</v>
          </cell>
          <cell r="AB1156">
            <v>0</v>
          </cell>
        </row>
        <row r="1157">
          <cell r="A1157">
            <v>1156</v>
          </cell>
          <cell r="B1157" t="str">
            <v>麗逆の武操神 ドゥルガー</v>
          </cell>
          <cell r="C1157">
            <v>6</v>
          </cell>
          <cell r="D1157" t="str">
            <v>blue</v>
          </cell>
          <cell r="E1157">
            <v>1</v>
          </cell>
          <cell r="F1157">
            <v>0.98</v>
          </cell>
          <cell r="G1157">
            <v>1</v>
          </cell>
          <cell r="H1157" t="str">
            <v>balance</v>
          </cell>
          <cell r="I1157" t="str">
            <v>バランスタイプ</v>
          </cell>
          <cell r="J1157">
            <v>1</v>
          </cell>
          <cell r="K1157">
            <v>1</v>
          </cell>
          <cell r="L1157">
            <v>1</v>
          </cell>
          <cell r="M1157" t="str">
            <v>god</v>
          </cell>
          <cell r="N1157" t="str">
            <v>ゴッド</v>
          </cell>
          <cell r="O1157">
            <v>0.96</v>
          </cell>
          <cell r="P1157">
            <v>1.02</v>
          </cell>
          <cell r="Q1157">
            <v>1</v>
          </cell>
          <cell r="R1157" t="str">
            <v>Boss</v>
          </cell>
          <cell r="S1157">
            <v>5</v>
          </cell>
          <cell r="T1157">
            <v>1.3</v>
          </cell>
          <cell r="U1157">
            <v>0.8</v>
          </cell>
          <cell r="V1157">
            <v>3</v>
          </cell>
          <cell r="W1157">
            <v>1</v>
          </cell>
          <cell r="X1157">
            <v>60</v>
          </cell>
          <cell r="Y1157">
            <v>1.7</v>
          </cell>
          <cell r="Z1157">
            <v>1.4</v>
          </cell>
          <cell r="AA1157">
            <v>1</v>
          </cell>
          <cell r="AB1157">
            <v>0</v>
          </cell>
        </row>
        <row r="1158">
          <cell r="A1158">
            <v>1157</v>
          </cell>
          <cell r="B1158" t="str">
            <v>インドラ</v>
          </cell>
          <cell r="C1158">
            <v>5</v>
          </cell>
          <cell r="D1158" t="str">
            <v>yellow</v>
          </cell>
          <cell r="E1158">
            <v>0.98</v>
          </cell>
          <cell r="F1158">
            <v>1.01</v>
          </cell>
          <cell r="G1158">
            <v>1</v>
          </cell>
          <cell r="H1158" t="str">
            <v>attack</v>
          </cell>
          <cell r="I1158" t="str">
            <v>攻撃タイプ</v>
          </cell>
          <cell r="J1158">
            <v>1</v>
          </cell>
          <cell r="K1158">
            <v>1.33</v>
          </cell>
          <cell r="L1158">
            <v>1</v>
          </cell>
          <cell r="M1158" t="str">
            <v>god</v>
          </cell>
          <cell r="N1158" t="str">
            <v>ゴッド</v>
          </cell>
          <cell r="O1158">
            <v>0.96</v>
          </cell>
          <cell r="P1158">
            <v>1.02</v>
          </cell>
          <cell r="Q1158">
            <v>1</v>
          </cell>
          <cell r="R1158" t="str">
            <v>Boss</v>
          </cell>
          <cell r="S1158">
            <v>5</v>
          </cell>
          <cell r="T1158">
            <v>1.3</v>
          </cell>
          <cell r="U1158">
            <v>0.8</v>
          </cell>
          <cell r="V1158">
            <v>3</v>
          </cell>
          <cell r="W1158">
            <v>1</v>
          </cell>
          <cell r="X1158">
            <v>60</v>
          </cell>
          <cell r="Y1158">
            <v>1.7</v>
          </cell>
          <cell r="Z1158">
            <v>1.4</v>
          </cell>
          <cell r="AA1158">
            <v>1</v>
          </cell>
          <cell r="AB1158">
            <v>0</v>
          </cell>
        </row>
        <row r="1159">
          <cell r="A1159">
            <v>1158</v>
          </cell>
          <cell r="B1159" t="str">
            <v>天英の雷霆神 インドラ</v>
          </cell>
          <cell r="C1159">
            <v>6</v>
          </cell>
          <cell r="D1159" t="str">
            <v>yellow</v>
          </cell>
          <cell r="E1159">
            <v>0.98</v>
          </cell>
          <cell r="F1159">
            <v>1.01</v>
          </cell>
          <cell r="G1159">
            <v>1</v>
          </cell>
          <cell r="H1159" t="str">
            <v>attack</v>
          </cell>
          <cell r="I1159" t="str">
            <v>攻撃タイプ</v>
          </cell>
          <cell r="J1159">
            <v>1</v>
          </cell>
          <cell r="K1159">
            <v>1.33</v>
          </cell>
          <cell r="L1159">
            <v>1</v>
          </cell>
          <cell r="M1159" t="str">
            <v>god</v>
          </cell>
          <cell r="N1159" t="str">
            <v>ゴッド</v>
          </cell>
          <cell r="O1159">
            <v>0.96</v>
          </cell>
          <cell r="P1159">
            <v>1.02</v>
          </cell>
          <cell r="Q1159">
            <v>1</v>
          </cell>
          <cell r="R1159" t="str">
            <v>Boss</v>
          </cell>
          <cell r="S1159">
            <v>5</v>
          </cell>
          <cell r="T1159">
            <v>1.3</v>
          </cell>
          <cell r="U1159">
            <v>0.8</v>
          </cell>
          <cell r="V1159">
            <v>3</v>
          </cell>
          <cell r="W1159">
            <v>1</v>
          </cell>
          <cell r="X1159">
            <v>60</v>
          </cell>
          <cell r="Y1159">
            <v>1.7</v>
          </cell>
          <cell r="Z1159">
            <v>1.4</v>
          </cell>
          <cell r="AA1159">
            <v>1</v>
          </cell>
          <cell r="AB1159">
            <v>0</v>
          </cell>
        </row>
        <row r="1160">
          <cell r="A1160">
            <v>1159</v>
          </cell>
          <cell r="B1160" t="str">
            <v>ガロア</v>
          </cell>
          <cell r="C1160">
            <v>5</v>
          </cell>
          <cell r="D1160" t="str">
            <v>green</v>
          </cell>
          <cell r="E1160">
            <v>1.02</v>
          </cell>
          <cell r="F1160">
            <v>0.98</v>
          </cell>
          <cell r="G1160">
            <v>1</v>
          </cell>
          <cell r="H1160" t="str">
            <v>attack</v>
          </cell>
          <cell r="I1160" t="str">
            <v>攻撃タイプ</v>
          </cell>
          <cell r="J1160">
            <v>1</v>
          </cell>
          <cell r="K1160">
            <v>1.33</v>
          </cell>
          <cell r="L1160">
            <v>1</v>
          </cell>
          <cell r="M1160" t="str">
            <v>academia</v>
          </cell>
          <cell r="N1160" t="str">
            <v>アカデミア</v>
          </cell>
          <cell r="O1160">
            <v>1</v>
          </cell>
          <cell r="P1160">
            <v>1</v>
          </cell>
          <cell r="Q1160">
            <v>1</v>
          </cell>
          <cell r="R1160" t="str">
            <v>Boss</v>
          </cell>
          <cell r="S1160">
            <v>5</v>
          </cell>
          <cell r="T1160">
            <v>1.3</v>
          </cell>
          <cell r="U1160">
            <v>0.8</v>
          </cell>
          <cell r="V1160">
            <v>3</v>
          </cell>
          <cell r="W1160">
            <v>1</v>
          </cell>
          <cell r="X1160">
            <v>60</v>
          </cell>
          <cell r="Y1160">
            <v>1.7</v>
          </cell>
          <cell r="Z1160">
            <v>1.4</v>
          </cell>
          <cell r="AA1160">
            <v>1</v>
          </cell>
          <cell r="AB1160">
            <v>0</v>
          </cell>
        </row>
        <row r="1161">
          <cell r="A1161">
            <v>1160</v>
          </cell>
          <cell r="B1161" t="str">
            <v>拡命の大群論 ガロア</v>
          </cell>
          <cell r="C1161">
            <v>6</v>
          </cell>
          <cell r="D1161" t="str">
            <v>green</v>
          </cell>
          <cell r="E1161">
            <v>1.02</v>
          </cell>
          <cell r="F1161">
            <v>0.98</v>
          </cell>
          <cell r="G1161">
            <v>1</v>
          </cell>
          <cell r="H1161" t="str">
            <v>attack</v>
          </cell>
          <cell r="I1161" t="str">
            <v>攻撃タイプ</v>
          </cell>
          <cell r="J1161">
            <v>1</v>
          </cell>
          <cell r="K1161">
            <v>1.33</v>
          </cell>
          <cell r="L1161">
            <v>1</v>
          </cell>
          <cell r="M1161" t="str">
            <v>academia</v>
          </cell>
          <cell r="N1161" t="str">
            <v>アカデミア</v>
          </cell>
          <cell r="O1161">
            <v>1</v>
          </cell>
          <cell r="P1161">
            <v>1</v>
          </cell>
          <cell r="Q1161">
            <v>1</v>
          </cell>
          <cell r="R1161" t="str">
            <v>Boss</v>
          </cell>
          <cell r="S1161">
            <v>5</v>
          </cell>
          <cell r="T1161">
            <v>1.3</v>
          </cell>
          <cell r="U1161">
            <v>0.8</v>
          </cell>
          <cell r="V1161">
            <v>3</v>
          </cell>
          <cell r="W1161">
            <v>1</v>
          </cell>
          <cell r="X1161">
            <v>60</v>
          </cell>
          <cell r="Y1161">
            <v>1.7</v>
          </cell>
          <cell r="Z1161">
            <v>1.4</v>
          </cell>
          <cell r="AA1161">
            <v>1</v>
          </cell>
          <cell r="AB1161">
            <v>0</v>
          </cell>
        </row>
        <row r="1162">
          <cell r="A1162">
            <v>1161</v>
          </cell>
          <cell r="B1162" t="str">
            <v>ヒルベルト</v>
          </cell>
          <cell r="C1162">
            <v>5</v>
          </cell>
          <cell r="D1162" t="str">
            <v>yellow</v>
          </cell>
          <cell r="E1162">
            <v>0.98</v>
          </cell>
          <cell r="F1162">
            <v>1.01</v>
          </cell>
          <cell r="G1162">
            <v>1</v>
          </cell>
          <cell r="H1162" t="str">
            <v>attack</v>
          </cell>
          <cell r="I1162" t="str">
            <v>攻撃タイプ</v>
          </cell>
          <cell r="J1162">
            <v>1</v>
          </cell>
          <cell r="K1162">
            <v>1.33</v>
          </cell>
          <cell r="L1162">
            <v>1</v>
          </cell>
          <cell r="M1162" t="str">
            <v>academia</v>
          </cell>
          <cell r="N1162" t="str">
            <v>アカデミア</v>
          </cell>
          <cell r="O1162">
            <v>1</v>
          </cell>
          <cell r="P1162">
            <v>1</v>
          </cell>
          <cell r="Q1162">
            <v>1</v>
          </cell>
          <cell r="R1162" t="str">
            <v>Boss</v>
          </cell>
          <cell r="S1162">
            <v>5</v>
          </cell>
          <cell r="T1162">
            <v>1.3</v>
          </cell>
          <cell r="U1162">
            <v>0.8</v>
          </cell>
          <cell r="V1162">
            <v>3</v>
          </cell>
          <cell r="W1162">
            <v>1</v>
          </cell>
          <cell r="X1162">
            <v>60</v>
          </cell>
          <cell r="Y1162">
            <v>1.7</v>
          </cell>
          <cell r="Z1162">
            <v>1.4</v>
          </cell>
          <cell r="AA1162">
            <v>1</v>
          </cell>
          <cell r="AB1162">
            <v>0</v>
          </cell>
        </row>
        <row r="1163">
          <cell r="A1163">
            <v>1162</v>
          </cell>
          <cell r="B1163" t="str">
            <v>夢験次元の抽唱 ヒルベルト</v>
          </cell>
          <cell r="C1163">
            <v>6</v>
          </cell>
          <cell r="D1163" t="str">
            <v>yellow</v>
          </cell>
          <cell r="E1163">
            <v>0.98</v>
          </cell>
          <cell r="F1163">
            <v>1.01</v>
          </cell>
          <cell r="G1163">
            <v>1</v>
          </cell>
          <cell r="H1163" t="str">
            <v>attack</v>
          </cell>
          <cell r="I1163" t="str">
            <v>攻撃タイプ</v>
          </cell>
          <cell r="J1163">
            <v>1</v>
          </cell>
          <cell r="K1163">
            <v>1.33</v>
          </cell>
          <cell r="L1163">
            <v>1</v>
          </cell>
          <cell r="M1163" t="str">
            <v>academia</v>
          </cell>
          <cell r="N1163" t="str">
            <v>アカデミア</v>
          </cell>
          <cell r="O1163">
            <v>1</v>
          </cell>
          <cell r="P1163">
            <v>1</v>
          </cell>
          <cell r="Q1163">
            <v>1</v>
          </cell>
          <cell r="R1163" t="str">
            <v>Boss</v>
          </cell>
          <cell r="S1163">
            <v>5</v>
          </cell>
          <cell r="T1163">
            <v>1.3</v>
          </cell>
          <cell r="U1163">
            <v>0.8</v>
          </cell>
          <cell r="V1163">
            <v>3</v>
          </cell>
          <cell r="W1163">
            <v>1</v>
          </cell>
          <cell r="X1163">
            <v>60</v>
          </cell>
          <cell r="Y1163">
            <v>1.7</v>
          </cell>
          <cell r="Z1163">
            <v>1.4</v>
          </cell>
          <cell r="AA1163">
            <v>1</v>
          </cell>
          <cell r="AB1163">
            <v>0</v>
          </cell>
        </row>
        <row r="1164">
          <cell r="A1164">
            <v>1163</v>
          </cell>
          <cell r="B1164" t="str">
            <v>命題唱鳴計画 ヒルベルト</v>
          </cell>
          <cell r="C1164">
            <v>6</v>
          </cell>
          <cell r="D1164" t="str">
            <v>yellow</v>
          </cell>
          <cell r="E1164">
            <v>0.98</v>
          </cell>
          <cell r="F1164">
            <v>1.01</v>
          </cell>
          <cell r="G1164">
            <v>1</v>
          </cell>
          <cell r="H1164" t="str">
            <v>attack</v>
          </cell>
          <cell r="I1164" t="str">
            <v>攻撃タイプ</v>
          </cell>
          <cell r="J1164">
            <v>1</v>
          </cell>
          <cell r="K1164">
            <v>1.33</v>
          </cell>
          <cell r="L1164">
            <v>1</v>
          </cell>
          <cell r="M1164" t="str">
            <v>academia</v>
          </cell>
          <cell r="N1164" t="str">
            <v>アカデミア</v>
          </cell>
          <cell r="O1164">
            <v>1</v>
          </cell>
          <cell r="P1164">
            <v>1</v>
          </cell>
          <cell r="Q1164">
            <v>1</v>
          </cell>
          <cell r="R1164" t="str">
            <v>Boss</v>
          </cell>
          <cell r="S1164">
            <v>5</v>
          </cell>
          <cell r="T1164">
            <v>1.3</v>
          </cell>
          <cell r="U1164">
            <v>0.8</v>
          </cell>
          <cell r="V1164">
            <v>3</v>
          </cell>
          <cell r="W1164">
            <v>1</v>
          </cell>
          <cell r="X1164">
            <v>60</v>
          </cell>
          <cell r="Y1164">
            <v>1.7</v>
          </cell>
          <cell r="Z1164">
            <v>1.4</v>
          </cell>
          <cell r="AA1164">
            <v>1</v>
          </cell>
          <cell r="AB1164">
            <v>0</v>
          </cell>
        </row>
        <row r="1165">
          <cell r="A1165">
            <v>1164</v>
          </cell>
          <cell r="B1165" t="str">
            <v>ガンバンテイン</v>
          </cell>
          <cell r="C1165">
            <v>5</v>
          </cell>
          <cell r="D1165" t="str">
            <v>red</v>
          </cell>
          <cell r="E1165">
            <v>1</v>
          </cell>
          <cell r="F1165">
            <v>1.02</v>
          </cell>
          <cell r="G1165">
            <v>1</v>
          </cell>
          <cell r="H1165" t="str">
            <v>heal</v>
          </cell>
          <cell r="I1165" t="str">
            <v>回復タイプ</v>
          </cell>
          <cell r="J1165">
            <v>0.8</v>
          </cell>
          <cell r="K1165">
            <v>0.78</v>
          </cell>
          <cell r="L1165">
            <v>1</v>
          </cell>
          <cell r="M1165" t="str">
            <v>weapon</v>
          </cell>
          <cell r="N1165" t="str">
            <v>ウェポン</v>
          </cell>
          <cell r="O1165">
            <v>1</v>
          </cell>
          <cell r="P1165">
            <v>1</v>
          </cell>
          <cell r="Q1165">
            <v>1</v>
          </cell>
          <cell r="R1165" t="str">
            <v>Boss</v>
          </cell>
          <cell r="S1165">
            <v>5</v>
          </cell>
          <cell r="T1165">
            <v>1.3</v>
          </cell>
          <cell r="U1165">
            <v>0.8</v>
          </cell>
          <cell r="V1165">
            <v>3</v>
          </cell>
          <cell r="W1165">
            <v>1</v>
          </cell>
          <cell r="X1165">
            <v>60</v>
          </cell>
          <cell r="Y1165">
            <v>1.7</v>
          </cell>
          <cell r="Z1165">
            <v>1.4</v>
          </cell>
          <cell r="AA1165">
            <v>1</v>
          </cell>
          <cell r="AB1165">
            <v>0</v>
          </cell>
        </row>
        <row r="1166">
          <cell r="A1166">
            <v>1165</v>
          </cell>
          <cell r="B1166" t="str">
            <v>夢香華の耀杖 ガンバンテイン</v>
          </cell>
          <cell r="C1166">
            <v>6</v>
          </cell>
          <cell r="D1166" t="str">
            <v>red</v>
          </cell>
          <cell r="E1166">
            <v>1</v>
          </cell>
          <cell r="F1166">
            <v>1.02</v>
          </cell>
          <cell r="G1166">
            <v>1</v>
          </cell>
          <cell r="H1166" t="str">
            <v>heal</v>
          </cell>
          <cell r="I1166" t="str">
            <v>回復タイプ</v>
          </cell>
          <cell r="J1166">
            <v>0.8</v>
          </cell>
          <cell r="K1166">
            <v>0.78</v>
          </cell>
          <cell r="L1166">
            <v>1</v>
          </cell>
          <cell r="M1166" t="str">
            <v>weapon</v>
          </cell>
          <cell r="N1166" t="str">
            <v>ウェポン</v>
          </cell>
          <cell r="O1166">
            <v>1</v>
          </cell>
          <cell r="P1166">
            <v>1</v>
          </cell>
          <cell r="Q1166">
            <v>1</v>
          </cell>
          <cell r="R1166" t="str">
            <v>Boss</v>
          </cell>
          <cell r="S1166">
            <v>5</v>
          </cell>
          <cell r="T1166">
            <v>1.3</v>
          </cell>
          <cell r="U1166">
            <v>0.8</v>
          </cell>
          <cell r="V1166">
            <v>3</v>
          </cell>
          <cell r="W1166">
            <v>1</v>
          </cell>
          <cell r="X1166">
            <v>60</v>
          </cell>
          <cell r="Y1166">
            <v>1.7</v>
          </cell>
          <cell r="Z1166">
            <v>1.4</v>
          </cell>
          <cell r="AA1166">
            <v>1</v>
          </cell>
          <cell r="AB1166">
            <v>0</v>
          </cell>
        </row>
        <row r="1167">
          <cell r="A1167">
            <v>1166</v>
          </cell>
          <cell r="B1167" t="str">
            <v>降魔宝杖</v>
          </cell>
          <cell r="C1167">
            <v>5</v>
          </cell>
          <cell r="D1167" t="str">
            <v>blue</v>
          </cell>
          <cell r="E1167">
            <v>1</v>
          </cell>
          <cell r="F1167">
            <v>0.98</v>
          </cell>
          <cell r="G1167">
            <v>1</v>
          </cell>
          <cell r="H1167" t="str">
            <v>attack</v>
          </cell>
          <cell r="I1167" t="str">
            <v>攻撃タイプ</v>
          </cell>
          <cell r="J1167">
            <v>1</v>
          </cell>
          <cell r="K1167">
            <v>1.33</v>
          </cell>
          <cell r="L1167">
            <v>1</v>
          </cell>
          <cell r="M1167" t="str">
            <v>weapon</v>
          </cell>
          <cell r="N1167" t="str">
            <v>ウェポン</v>
          </cell>
          <cell r="O1167">
            <v>1</v>
          </cell>
          <cell r="P1167">
            <v>1</v>
          </cell>
          <cell r="Q1167">
            <v>1</v>
          </cell>
          <cell r="R1167" t="str">
            <v>Boss</v>
          </cell>
          <cell r="S1167">
            <v>5</v>
          </cell>
          <cell r="T1167">
            <v>1.3</v>
          </cell>
          <cell r="U1167">
            <v>0.8</v>
          </cell>
          <cell r="V1167">
            <v>3</v>
          </cell>
          <cell r="W1167">
            <v>1</v>
          </cell>
          <cell r="X1167">
            <v>60</v>
          </cell>
          <cell r="Y1167">
            <v>1.7</v>
          </cell>
          <cell r="Z1167">
            <v>1.4</v>
          </cell>
          <cell r="AA1167">
            <v>1</v>
          </cell>
          <cell r="AB1167">
            <v>0</v>
          </cell>
        </row>
        <row r="1168">
          <cell r="A1168">
            <v>1167</v>
          </cell>
          <cell r="B1168" t="str">
            <v>月河の黄金器 降魔宝杖</v>
          </cell>
          <cell r="C1168">
            <v>6</v>
          </cell>
          <cell r="D1168" t="str">
            <v>blue</v>
          </cell>
          <cell r="E1168">
            <v>1</v>
          </cell>
          <cell r="F1168">
            <v>0.98</v>
          </cell>
          <cell r="G1168">
            <v>1</v>
          </cell>
          <cell r="H1168" t="str">
            <v>attack</v>
          </cell>
          <cell r="I1168" t="str">
            <v>攻撃タイプ</v>
          </cell>
          <cell r="J1168">
            <v>1</v>
          </cell>
          <cell r="K1168">
            <v>1.33</v>
          </cell>
          <cell r="L1168">
            <v>1</v>
          </cell>
          <cell r="M1168" t="str">
            <v>weapon</v>
          </cell>
          <cell r="N1168" t="str">
            <v>ウェポン</v>
          </cell>
          <cell r="O1168">
            <v>1</v>
          </cell>
          <cell r="P1168">
            <v>1</v>
          </cell>
          <cell r="Q1168">
            <v>1</v>
          </cell>
          <cell r="R1168" t="str">
            <v>Boss</v>
          </cell>
          <cell r="S1168">
            <v>5</v>
          </cell>
          <cell r="T1168">
            <v>1.3</v>
          </cell>
          <cell r="U1168">
            <v>0.8</v>
          </cell>
          <cell r="V1168">
            <v>3</v>
          </cell>
          <cell r="W1168">
            <v>1</v>
          </cell>
          <cell r="X1168">
            <v>60</v>
          </cell>
          <cell r="Y1168">
            <v>1.7</v>
          </cell>
          <cell r="Z1168">
            <v>1.4</v>
          </cell>
          <cell r="AA1168">
            <v>1</v>
          </cell>
          <cell r="AB1168">
            <v>0</v>
          </cell>
        </row>
        <row r="1169">
          <cell r="A1169">
            <v>1168</v>
          </cell>
          <cell r="B1169" t="str">
            <v>カドゥケウス</v>
          </cell>
          <cell r="C1169">
            <v>5</v>
          </cell>
          <cell r="D1169" t="str">
            <v>yellow</v>
          </cell>
          <cell r="E1169">
            <v>0.98</v>
          </cell>
          <cell r="F1169">
            <v>1.01</v>
          </cell>
          <cell r="G1169">
            <v>1</v>
          </cell>
          <cell r="H1169" t="str">
            <v>technical</v>
          </cell>
          <cell r="I1169" t="str">
            <v>テクニカルタイプ</v>
          </cell>
          <cell r="J1169">
            <v>0.9</v>
          </cell>
          <cell r="K1169">
            <v>0.9</v>
          </cell>
          <cell r="L1169">
            <v>1</v>
          </cell>
          <cell r="M1169" t="str">
            <v>weapon</v>
          </cell>
          <cell r="N1169" t="str">
            <v>ウェポン</v>
          </cell>
          <cell r="O1169">
            <v>1</v>
          </cell>
          <cell r="P1169">
            <v>1</v>
          </cell>
          <cell r="Q1169">
            <v>1</v>
          </cell>
          <cell r="R1169" t="str">
            <v>Boss</v>
          </cell>
          <cell r="S1169">
            <v>5</v>
          </cell>
          <cell r="T1169">
            <v>1.3</v>
          </cell>
          <cell r="U1169">
            <v>0.8</v>
          </cell>
          <cell r="V1169">
            <v>3</v>
          </cell>
          <cell r="W1169">
            <v>1</v>
          </cell>
          <cell r="X1169">
            <v>60</v>
          </cell>
          <cell r="Y1169">
            <v>1.7</v>
          </cell>
          <cell r="Z1169">
            <v>1.4</v>
          </cell>
          <cell r="AA1169">
            <v>1</v>
          </cell>
          <cell r="AB1169">
            <v>0</v>
          </cell>
        </row>
        <row r="1170">
          <cell r="A1170">
            <v>1169</v>
          </cell>
          <cell r="B1170" t="str">
            <v>睡醒の令杖 カドゥケウス</v>
          </cell>
          <cell r="C1170">
            <v>6</v>
          </cell>
          <cell r="D1170" t="str">
            <v>yellow</v>
          </cell>
          <cell r="E1170">
            <v>0.98</v>
          </cell>
          <cell r="F1170">
            <v>1.01</v>
          </cell>
          <cell r="G1170">
            <v>1</v>
          </cell>
          <cell r="H1170" t="str">
            <v>technical</v>
          </cell>
          <cell r="I1170" t="str">
            <v>テクニカルタイプ</v>
          </cell>
          <cell r="J1170">
            <v>0.9</v>
          </cell>
          <cell r="K1170">
            <v>0.9</v>
          </cell>
          <cell r="L1170">
            <v>1</v>
          </cell>
          <cell r="M1170" t="str">
            <v>weapon</v>
          </cell>
          <cell r="N1170" t="str">
            <v>ウェポン</v>
          </cell>
          <cell r="O1170">
            <v>1</v>
          </cell>
          <cell r="P1170">
            <v>1</v>
          </cell>
          <cell r="Q1170">
            <v>1</v>
          </cell>
          <cell r="R1170" t="str">
            <v>Boss</v>
          </cell>
          <cell r="S1170">
            <v>5</v>
          </cell>
          <cell r="T1170">
            <v>1.3</v>
          </cell>
          <cell r="U1170">
            <v>0.8</v>
          </cell>
          <cell r="V1170">
            <v>3</v>
          </cell>
          <cell r="W1170">
            <v>1</v>
          </cell>
          <cell r="X1170">
            <v>60</v>
          </cell>
          <cell r="Y1170">
            <v>1.7</v>
          </cell>
          <cell r="Z1170">
            <v>1.4</v>
          </cell>
          <cell r="AA1170">
            <v>1</v>
          </cell>
          <cell r="AB1170">
            <v>0</v>
          </cell>
        </row>
        <row r="1171">
          <cell r="A1171">
            <v>1170</v>
          </cell>
          <cell r="B1171" t="str">
            <v>極彩龍筆 ヘイウェイ</v>
          </cell>
          <cell r="C1171">
            <v>6</v>
          </cell>
          <cell r="D1171" t="str">
            <v>red</v>
          </cell>
          <cell r="E1171">
            <v>1</v>
          </cell>
          <cell r="F1171">
            <v>1.02</v>
          </cell>
          <cell r="G1171">
            <v>1</v>
          </cell>
          <cell r="H1171" t="str">
            <v>technical</v>
          </cell>
          <cell r="I1171" t="str">
            <v>テクニカルタイプ</v>
          </cell>
          <cell r="J1171">
            <v>0.9</v>
          </cell>
          <cell r="K1171">
            <v>0.9</v>
          </cell>
          <cell r="L1171">
            <v>1</v>
          </cell>
          <cell r="M1171" t="str">
            <v>dragon</v>
          </cell>
          <cell r="N1171" t="str">
            <v>ドラゴン</v>
          </cell>
          <cell r="O1171">
            <v>1.1499999999999999</v>
          </cell>
          <cell r="P1171">
            <v>1.1000000000000001</v>
          </cell>
          <cell r="Q1171">
            <v>1</v>
          </cell>
          <cell r="R1171" t="str">
            <v>Boss</v>
          </cell>
          <cell r="S1171">
            <v>5</v>
          </cell>
          <cell r="T1171">
            <v>1.3</v>
          </cell>
          <cell r="U1171">
            <v>0.8</v>
          </cell>
          <cell r="V1171">
            <v>3</v>
          </cell>
          <cell r="W1171">
            <v>1</v>
          </cell>
          <cell r="X1171">
            <v>60</v>
          </cell>
          <cell r="Y1171">
            <v>1.7</v>
          </cell>
          <cell r="Z1171">
            <v>1.4</v>
          </cell>
          <cell r="AA1171">
            <v>1</v>
          </cell>
          <cell r="AB1171">
            <v>0</v>
          </cell>
        </row>
        <row r="1172">
          <cell r="A1172">
            <v>1171</v>
          </cell>
          <cell r="B1172" t="str">
            <v>解匣する交率 ポアソン</v>
          </cell>
          <cell r="C1172">
            <v>6</v>
          </cell>
          <cell r="D1172" t="str">
            <v>green</v>
          </cell>
          <cell r="E1172">
            <v>1.02</v>
          </cell>
          <cell r="F1172">
            <v>0.98</v>
          </cell>
          <cell r="G1172">
            <v>1</v>
          </cell>
          <cell r="H1172" t="str">
            <v>balance</v>
          </cell>
          <cell r="I1172" t="str">
            <v>バランスタイプ</v>
          </cell>
          <cell r="J1172">
            <v>1</v>
          </cell>
          <cell r="K1172">
            <v>1</v>
          </cell>
          <cell r="L1172">
            <v>1</v>
          </cell>
          <cell r="M1172" t="str">
            <v>academia</v>
          </cell>
          <cell r="N1172" t="str">
            <v>アカデミア</v>
          </cell>
          <cell r="O1172">
            <v>1</v>
          </cell>
          <cell r="P1172">
            <v>1</v>
          </cell>
          <cell r="Q1172">
            <v>1</v>
          </cell>
          <cell r="R1172" t="str">
            <v>Boss</v>
          </cell>
          <cell r="S1172">
            <v>5</v>
          </cell>
          <cell r="T1172">
            <v>1.3</v>
          </cell>
          <cell r="U1172">
            <v>0.8</v>
          </cell>
          <cell r="V1172">
            <v>3</v>
          </cell>
          <cell r="W1172">
            <v>1</v>
          </cell>
          <cell r="X1172">
            <v>60</v>
          </cell>
          <cell r="Y1172">
            <v>1.7</v>
          </cell>
          <cell r="Z1172">
            <v>1.4</v>
          </cell>
          <cell r="AA1172">
            <v>1</v>
          </cell>
          <cell r="AB1172">
            <v>0</v>
          </cell>
        </row>
        <row r="1173">
          <cell r="A1173">
            <v>1172</v>
          </cell>
          <cell r="B1173" t="str">
            <v>極限解析の讃嬢 クロネッカー</v>
          </cell>
          <cell r="C1173">
            <v>6</v>
          </cell>
          <cell r="D1173" t="str">
            <v>yellow</v>
          </cell>
          <cell r="E1173">
            <v>0.98</v>
          </cell>
          <cell r="F1173">
            <v>1.01</v>
          </cell>
          <cell r="G1173">
            <v>1</v>
          </cell>
          <cell r="H1173" t="str">
            <v>balance</v>
          </cell>
          <cell r="I1173" t="str">
            <v>バランスタイプ</v>
          </cell>
          <cell r="J1173">
            <v>1</v>
          </cell>
          <cell r="K1173">
            <v>1</v>
          </cell>
          <cell r="L1173">
            <v>1</v>
          </cell>
          <cell r="M1173" t="str">
            <v>academia</v>
          </cell>
          <cell r="N1173" t="str">
            <v>アカデミア</v>
          </cell>
          <cell r="O1173">
            <v>1</v>
          </cell>
          <cell r="P1173">
            <v>1</v>
          </cell>
          <cell r="Q1173">
            <v>1</v>
          </cell>
          <cell r="R1173" t="str">
            <v>Boss</v>
          </cell>
          <cell r="S1173">
            <v>5</v>
          </cell>
          <cell r="T1173">
            <v>1.3</v>
          </cell>
          <cell r="U1173">
            <v>0.8</v>
          </cell>
          <cell r="V1173">
            <v>3</v>
          </cell>
          <cell r="W1173">
            <v>1</v>
          </cell>
          <cell r="X1173">
            <v>60</v>
          </cell>
          <cell r="Y1173">
            <v>1.7</v>
          </cell>
          <cell r="Z1173">
            <v>1.4</v>
          </cell>
          <cell r="AA1173">
            <v>1</v>
          </cell>
          <cell r="AB1173">
            <v>0</v>
          </cell>
        </row>
        <row r="1174">
          <cell r="A1174">
            <v>1173</v>
          </cell>
          <cell r="B1174" t="str">
            <v>愛を咲かせる春羽妖精 ファータ</v>
          </cell>
          <cell r="C1174">
            <v>6</v>
          </cell>
          <cell r="D1174" t="str">
            <v>green</v>
          </cell>
          <cell r="E1174">
            <v>1.02</v>
          </cell>
          <cell r="F1174">
            <v>0.98</v>
          </cell>
          <cell r="G1174">
            <v>1</v>
          </cell>
          <cell r="H1174" t="str">
            <v>heal</v>
          </cell>
          <cell r="I1174" t="str">
            <v>回復タイプ</v>
          </cell>
          <cell r="J1174">
            <v>0.8</v>
          </cell>
          <cell r="K1174">
            <v>0.78</v>
          </cell>
          <cell r="L1174">
            <v>1</v>
          </cell>
          <cell r="M1174" t="str">
            <v>unknown</v>
          </cell>
          <cell r="N1174" t="str">
            <v>Unknown</v>
          </cell>
          <cell r="O1174">
            <v>1</v>
          </cell>
          <cell r="P1174">
            <v>1</v>
          </cell>
          <cell r="Q1174">
            <v>1</v>
          </cell>
          <cell r="R1174" t="str">
            <v>Boss</v>
          </cell>
          <cell r="S1174">
            <v>5</v>
          </cell>
          <cell r="T1174">
            <v>1.3</v>
          </cell>
          <cell r="U1174">
            <v>0.8</v>
          </cell>
          <cell r="V1174">
            <v>3</v>
          </cell>
          <cell r="W1174">
            <v>1</v>
          </cell>
          <cell r="X1174">
            <v>60</v>
          </cell>
          <cell r="Y1174">
            <v>1.7</v>
          </cell>
          <cell r="Z1174">
            <v>1.4</v>
          </cell>
          <cell r="AA1174">
            <v>1</v>
          </cell>
          <cell r="AB1174">
            <v>0</v>
          </cell>
        </row>
        <row r="1175">
          <cell r="A1175">
            <v>1174</v>
          </cell>
          <cell r="B1175" t="str">
            <v>護翼の望詠光 バルドル</v>
          </cell>
          <cell r="C1175">
            <v>6</v>
          </cell>
          <cell r="D1175" t="str">
            <v>yellow</v>
          </cell>
          <cell r="E1175">
            <v>0.98</v>
          </cell>
          <cell r="F1175">
            <v>1.01</v>
          </cell>
          <cell r="G1175">
            <v>1</v>
          </cell>
          <cell r="H1175" t="str">
            <v>heal</v>
          </cell>
          <cell r="I1175" t="str">
            <v>回復タイプ</v>
          </cell>
          <cell r="J1175">
            <v>0.8</v>
          </cell>
          <cell r="K1175">
            <v>0.78</v>
          </cell>
          <cell r="L1175">
            <v>1</v>
          </cell>
          <cell r="M1175" t="str">
            <v>god</v>
          </cell>
          <cell r="N1175" t="str">
            <v>ゴッド</v>
          </cell>
          <cell r="O1175">
            <v>0.96</v>
          </cell>
          <cell r="P1175">
            <v>1.02</v>
          </cell>
          <cell r="Q1175">
            <v>1</v>
          </cell>
          <cell r="R1175" t="str">
            <v>Boss</v>
          </cell>
          <cell r="S1175">
            <v>5</v>
          </cell>
          <cell r="T1175">
            <v>1.3</v>
          </cell>
          <cell r="U1175">
            <v>0.8</v>
          </cell>
          <cell r="V1175">
            <v>3</v>
          </cell>
          <cell r="W1175">
            <v>1</v>
          </cell>
          <cell r="X1175">
            <v>60</v>
          </cell>
          <cell r="Y1175">
            <v>1.7</v>
          </cell>
          <cell r="Z1175">
            <v>1.4</v>
          </cell>
          <cell r="AA1175">
            <v>1</v>
          </cell>
          <cell r="AB1175">
            <v>0</v>
          </cell>
        </row>
        <row r="1176">
          <cell r="A1176">
            <v>1175</v>
          </cell>
          <cell r="B1176" t="str">
            <v>蘇尊の誓聖義 アーサー</v>
          </cell>
          <cell r="C1176">
            <v>6</v>
          </cell>
          <cell r="D1176" t="str">
            <v>red</v>
          </cell>
          <cell r="E1176">
            <v>1</v>
          </cell>
          <cell r="F1176">
            <v>1.02</v>
          </cell>
          <cell r="G1176">
            <v>1</v>
          </cell>
          <cell r="H1176" t="str">
            <v>balance</v>
          </cell>
          <cell r="I1176" t="str">
            <v>バランスタイプ</v>
          </cell>
          <cell r="J1176">
            <v>1</v>
          </cell>
          <cell r="K1176">
            <v>1</v>
          </cell>
          <cell r="L1176">
            <v>1</v>
          </cell>
          <cell r="M1176" t="str">
            <v>human</v>
          </cell>
          <cell r="N1176" t="str">
            <v>ヒューマン</v>
          </cell>
          <cell r="O1176">
            <v>0.94</v>
          </cell>
          <cell r="P1176">
            <v>0.99</v>
          </cell>
          <cell r="Q1176">
            <v>1</v>
          </cell>
          <cell r="R1176" t="str">
            <v>Boss</v>
          </cell>
          <cell r="S1176">
            <v>5</v>
          </cell>
          <cell r="T1176">
            <v>1.3</v>
          </cell>
          <cell r="U1176">
            <v>0.8</v>
          </cell>
          <cell r="V1176">
            <v>3</v>
          </cell>
          <cell r="W1176">
            <v>1</v>
          </cell>
          <cell r="X1176">
            <v>60</v>
          </cell>
          <cell r="Y1176">
            <v>1.7</v>
          </cell>
          <cell r="Z1176">
            <v>1.4</v>
          </cell>
          <cell r="AA1176">
            <v>1</v>
          </cell>
          <cell r="AB1176">
            <v>0</v>
          </cell>
        </row>
        <row r="1177">
          <cell r="A1177">
            <v>1176</v>
          </cell>
          <cell r="B1177" t="str">
            <v>夢二夢斬の遊猟 フロイト</v>
          </cell>
          <cell r="C1177">
            <v>6</v>
          </cell>
          <cell r="D1177" t="str">
            <v>red</v>
          </cell>
          <cell r="E1177">
            <v>1</v>
          </cell>
          <cell r="F1177">
            <v>1.02</v>
          </cell>
          <cell r="G1177">
            <v>1</v>
          </cell>
          <cell r="H1177" t="str">
            <v>balance</v>
          </cell>
          <cell r="I1177" t="str">
            <v>バランスタイプ</v>
          </cell>
          <cell r="J1177">
            <v>1</v>
          </cell>
          <cell r="K1177">
            <v>1</v>
          </cell>
          <cell r="L1177">
            <v>1</v>
          </cell>
          <cell r="M1177" t="str">
            <v>academia</v>
          </cell>
          <cell r="N1177" t="str">
            <v>アカデミア</v>
          </cell>
          <cell r="O1177">
            <v>1</v>
          </cell>
          <cell r="P1177">
            <v>1</v>
          </cell>
          <cell r="Q1177">
            <v>1</v>
          </cell>
          <cell r="R1177" t="str">
            <v>Boss</v>
          </cell>
          <cell r="S1177">
            <v>5</v>
          </cell>
          <cell r="T1177">
            <v>1.3</v>
          </cell>
          <cell r="U1177">
            <v>0.8</v>
          </cell>
          <cell r="V1177">
            <v>3</v>
          </cell>
          <cell r="W1177">
            <v>1</v>
          </cell>
          <cell r="X1177">
            <v>60</v>
          </cell>
          <cell r="Y1177">
            <v>1.7</v>
          </cell>
          <cell r="Z1177">
            <v>1.4</v>
          </cell>
          <cell r="AA1177">
            <v>1</v>
          </cell>
          <cell r="AB1177">
            <v>0</v>
          </cell>
        </row>
        <row r="1178">
          <cell r="A1178">
            <v>1177</v>
          </cell>
          <cell r="B1178" t="str">
            <v>虚閃を弄する豪輪 オズ</v>
          </cell>
          <cell r="C1178">
            <v>6</v>
          </cell>
          <cell r="D1178" t="str">
            <v>green</v>
          </cell>
          <cell r="E1178">
            <v>1.02</v>
          </cell>
          <cell r="F1178">
            <v>0.98</v>
          </cell>
          <cell r="G1178">
            <v>1</v>
          </cell>
          <cell r="H1178" t="str">
            <v>balance</v>
          </cell>
          <cell r="I1178" t="str">
            <v>バランスタイプ</v>
          </cell>
          <cell r="J1178">
            <v>1</v>
          </cell>
          <cell r="K1178">
            <v>1</v>
          </cell>
          <cell r="L1178">
            <v>1</v>
          </cell>
          <cell r="M1178" t="str">
            <v>human</v>
          </cell>
          <cell r="N1178" t="str">
            <v>ヒューマン</v>
          </cell>
          <cell r="O1178">
            <v>0.94</v>
          </cell>
          <cell r="P1178">
            <v>0.99</v>
          </cell>
          <cell r="Q1178">
            <v>1</v>
          </cell>
          <cell r="R1178" t="str">
            <v>Boss</v>
          </cell>
          <cell r="S1178">
            <v>5</v>
          </cell>
          <cell r="T1178">
            <v>1.3</v>
          </cell>
          <cell r="U1178">
            <v>0.8</v>
          </cell>
          <cell r="V1178">
            <v>3</v>
          </cell>
          <cell r="W1178">
            <v>1</v>
          </cell>
          <cell r="X1178">
            <v>60</v>
          </cell>
          <cell r="Y1178">
            <v>1.7</v>
          </cell>
          <cell r="Z1178">
            <v>1.4</v>
          </cell>
          <cell r="AA1178">
            <v>1</v>
          </cell>
          <cell r="AB1178">
            <v>0</v>
          </cell>
        </row>
        <row r="1179">
          <cell r="A1179">
            <v>1178</v>
          </cell>
          <cell r="B1179" t="str">
            <v>グリム_超覚醒</v>
          </cell>
          <cell r="C1179">
            <v>6</v>
          </cell>
          <cell r="D1179" t="str">
            <v>green</v>
          </cell>
          <cell r="E1179">
            <v>1.02</v>
          </cell>
          <cell r="F1179">
            <v>0.98</v>
          </cell>
          <cell r="G1179">
            <v>1</v>
          </cell>
          <cell r="H1179" t="str">
            <v>hp</v>
          </cell>
          <cell r="I1179" t="str">
            <v>体力タイプ</v>
          </cell>
          <cell r="J1179">
            <v>1.45</v>
          </cell>
          <cell r="K1179">
            <v>0.85</v>
          </cell>
          <cell r="L1179">
            <v>1</v>
          </cell>
          <cell r="M1179" t="str">
            <v>human</v>
          </cell>
          <cell r="N1179" t="str">
            <v>ヒューマン</v>
          </cell>
          <cell r="O1179">
            <v>0.94</v>
          </cell>
          <cell r="P1179">
            <v>0.99</v>
          </cell>
          <cell r="Q1179">
            <v>1</v>
          </cell>
          <cell r="R1179" t="str">
            <v>Boss</v>
          </cell>
          <cell r="S1179">
            <v>5</v>
          </cell>
          <cell r="T1179">
            <v>1.3</v>
          </cell>
          <cell r="U1179">
            <v>0.8</v>
          </cell>
          <cell r="V1179">
            <v>3</v>
          </cell>
          <cell r="W1179">
            <v>1</v>
          </cell>
          <cell r="X1179">
            <v>60</v>
          </cell>
          <cell r="Y1179">
            <v>1.7</v>
          </cell>
          <cell r="Z1179">
            <v>1.4</v>
          </cell>
          <cell r="AA1179">
            <v>1</v>
          </cell>
          <cell r="AB1179">
            <v>0</v>
          </cell>
        </row>
        <row r="1180">
          <cell r="A1180">
            <v>1179</v>
          </cell>
          <cell r="B1180" t="str">
            <v>厳核なる巨大炉 ハイゼンベルク</v>
          </cell>
          <cell r="C1180">
            <v>6</v>
          </cell>
          <cell r="D1180" t="str">
            <v>green</v>
          </cell>
          <cell r="E1180">
            <v>1.02</v>
          </cell>
          <cell r="F1180">
            <v>0.98</v>
          </cell>
          <cell r="G1180">
            <v>1</v>
          </cell>
          <cell r="H1180" t="str">
            <v>attack</v>
          </cell>
          <cell r="I1180" t="str">
            <v>攻撃タイプ</v>
          </cell>
          <cell r="J1180">
            <v>1</v>
          </cell>
          <cell r="K1180">
            <v>1.33</v>
          </cell>
          <cell r="L1180">
            <v>1</v>
          </cell>
          <cell r="M1180" t="str">
            <v>academia</v>
          </cell>
          <cell r="N1180" t="str">
            <v>アカデミア</v>
          </cell>
          <cell r="O1180">
            <v>1</v>
          </cell>
          <cell r="P1180">
            <v>1</v>
          </cell>
          <cell r="Q1180">
            <v>1</v>
          </cell>
          <cell r="R1180" t="str">
            <v>Boss</v>
          </cell>
          <cell r="S1180">
            <v>5</v>
          </cell>
          <cell r="T1180">
            <v>1.3</v>
          </cell>
          <cell r="U1180">
            <v>0.8</v>
          </cell>
          <cell r="V1180">
            <v>3</v>
          </cell>
          <cell r="W1180">
            <v>1</v>
          </cell>
          <cell r="X1180">
            <v>60</v>
          </cell>
          <cell r="Y1180">
            <v>1.7</v>
          </cell>
          <cell r="Z1180">
            <v>1.4</v>
          </cell>
          <cell r="AA1180">
            <v>1</v>
          </cell>
          <cell r="AB1180">
            <v>0</v>
          </cell>
        </row>
        <row r="1181">
          <cell r="A1181">
            <v>1180</v>
          </cell>
          <cell r="B1181" t="str">
            <v>毅戦たる蒼機神 オーディン</v>
          </cell>
          <cell r="C1181">
            <v>6</v>
          </cell>
          <cell r="D1181" t="str">
            <v>blue</v>
          </cell>
          <cell r="E1181">
            <v>1</v>
          </cell>
          <cell r="F1181">
            <v>0.98</v>
          </cell>
          <cell r="G1181">
            <v>1</v>
          </cell>
          <cell r="H1181" t="str">
            <v>hp</v>
          </cell>
          <cell r="I1181" t="str">
            <v>体力タイプ</v>
          </cell>
          <cell r="J1181">
            <v>1.45</v>
          </cell>
          <cell r="K1181">
            <v>0.85</v>
          </cell>
          <cell r="L1181">
            <v>1</v>
          </cell>
          <cell r="M1181" t="str">
            <v>machine</v>
          </cell>
          <cell r="N1181" t="str">
            <v>マシン</v>
          </cell>
          <cell r="O1181">
            <v>1</v>
          </cell>
          <cell r="P1181">
            <v>1</v>
          </cell>
          <cell r="Q1181">
            <v>1</v>
          </cell>
          <cell r="R1181" t="str">
            <v>Boss</v>
          </cell>
          <cell r="S1181">
            <v>5</v>
          </cell>
          <cell r="T1181">
            <v>1.3</v>
          </cell>
          <cell r="U1181">
            <v>0.8</v>
          </cell>
          <cell r="V1181">
            <v>3</v>
          </cell>
          <cell r="W1181">
            <v>1</v>
          </cell>
          <cell r="X1181">
            <v>60</v>
          </cell>
          <cell r="Y1181">
            <v>1.7</v>
          </cell>
          <cell r="Z1181">
            <v>1.4</v>
          </cell>
          <cell r="AA1181">
            <v>1</v>
          </cell>
          <cell r="AB1181">
            <v>0</v>
          </cell>
        </row>
        <row r="1182">
          <cell r="A1182">
            <v>1181</v>
          </cell>
          <cell r="B1182" t="str">
            <v>永存の究極論 ユークリッド</v>
          </cell>
          <cell r="C1182">
            <v>6</v>
          </cell>
          <cell r="D1182" t="str">
            <v>blue</v>
          </cell>
          <cell r="E1182">
            <v>1</v>
          </cell>
          <cell r="F1182">
            <v>0.98</v>
          </cell>
          <cell r="G1182">
            <v>1</v>
          </cell>
          <cell r="H1182" t="str">
            <v>balance</v>
          </cell>
          <cell r="I1182" t="str">
            <v>バランスタイプ</v>
          </cell>
          <cell r="J1182">
            <v>1</v>
          </cell>
          <cell r="K1182">
            <v>1</v>
          </cell>
          <cell r="L1182">
            <v>1</v>
          </cell>
          <cell r="M1182" t="str">
            <v>academia</v>
          </cell>
          <cell r="N1182" t="str">
            <v>アカデミア</v>
          </cell>
          <cell r="O1182">
            <v>1</v>
          </cell>
          <cell r="P1182">
            <v>1</v>
          </cell>
          <cell r="Q1182">
            <v>1</v>
          </cell>
          <cell r="R1182" t="str">
            <v>Boss</v>
          </cell>
          <cell r="S1182">
            <v>5</v>
          </cell>
          <cell r="T1182">
            <v>1.3</v>
          </cell>
          <cell r="U1182">
            <v>0.8</v>
          </cell>
          <cell r="V1182">
            <v>3</v>
          </cell>
          <cell r="W1182">
            <v>1</v>
          </cell>
          <cell r="X1182">
            <v>60</v>
          </cell>
          <cell r="Y1182">
            <v>1.7</v>
          </cell>
          <cell r="Z1182">
            <v>1.4</v>
          </cell>
          <cell r="AA1182">
            <v>1</v>
          </cell>
          <cell r="AB1182">
            <v>0</v>
          </cell>
        </row>
        <row r="1183">
          <cell r="A1183">
            <v>1182</v>
          </cell>
          <cell r="B1183" t="str">
            <v>黄金螺旋の閃鋼機 フィボナッチ</v>
          </cell>
          <cell r="C1183">
            <v>6</v>
          </cell>
          <cell r="D1183" t="str">
            <v>blue</v>
          </cell>
          <cell r="E1183">
            <v>1</v>
          </cell>
          <cell r="F1183">
            <v>0.98</v>
          </cell>
          <cell r="G1183">
            <v>1</v>
          </cell>
          <cell r="H1183" t="str">
            <v>balance</v>
          </cell>
          <cell r="I1183" t="str">
            <v>バランスタイプ</v>
          </cell>
          <cell r="J1183">
            <v>1</v>
          </cell>
          <cell r="K1183">
            <v>1</v>
          </cell>
          <cell r="L1183">
            <v>1</v>
          </cell>
          <cell r="M1183" t="str">
            <v>academia</v>
          </cell>
          <cell r="N1183" t="str">
            <v>アカデミア</v>
          </cell>
          <cell r="O1183">
            <v>1</v>
          </cell>
          <cell r="P1183">
            <v>1</v>
          </cell>
          <cell r="Q1183">
            <v>1</v>
          </cell>
          <cell r="R1183" t="str">
            <v>Boss</v>
          </cell>
          <cell r="S1183">
            <v>5</v>
          </cell>
          <cell r="T1183">
            <v>1.3</v>
          </cell>
          <cell r="U1183">
            <v>0.8</v>
          </cell>
          <cell r="V1183">
            <v>3</v>
          </cell>
          <cell r="W1183">
            <v>1</v>
          </cell>
          <cell r="X1183">
            <v>60</v>
          </cell>
          <cell r="Y1183">
            <v>1.7</v>
          </cell>
          <cell r="Z1183">
            <v>1.4</v>
          </cell>
          <cell r="AA1183">
            <v>1</v>
          </cell>
          <cell r="AB1183">
            <v>0</v>
          </cell>
        </row>
        <row r="1184">
          <cell r="A1184">
            <v>1183</v>
          </cell>
          <cell r="B1184" t="str">
            <v>Gスターチルドレン(旧子供)_超覚醒</v>
          </cell>
          <cell r="C1184">
            <v>6</v>
          </cell>
          <cell r="D1184" t="str">
            <v>yellow</v>
          </cell>
          <cell r="E1184">
            <v>0.98</v>
          </cell>
          <cell r="F1184">
            <v>1.01</v>
          </cell>
          <cell r="G1184">
            <v>1</v>
          </cell>
          <cell r="H1184" t="str">
            <v>technical</v>
          </cell>
          <cell r="I1184" t="str">
            <v>テクニカルタイプ</v>
          </cell>
          <cell r="J1184">
            <v>0.9</v>
          </cell>
          <cell r="K1184">
            <v>0.9</v>
          </cell>
          <cell r="L1184">
            <v>1</v>
          </cell>
          <cell r="M1184" t="str">
            <v>unknown</v>
          </cell>
          <cell r="N1184" t="str">
            <v>Unknown</v>
          </cell>
          <cell r="O1184">
            <v>1</v>
          </cell>
          <cell r="P1184">
            <v>1</v>
          </cell>
          <cell r="Q1184">
            <v>1</v>
          </cell>
          <cell r="R1184" t="str">
            <v>Boss</v>
          </cell>
          <cell r="S1184">
            <v>5</v>
          </cell>
          <cell r="T1184">
            <v>1.3</v>
          </cell>
          <cell r="U1184">
            <v>0.8</v>
          </cell>
          <cell r="V1184">
            <v>3</v>
          </cell>
          <cell r="W1184">
            <v>1</v>
          </cell>
          <cell r="X1184">
            <v>60</v>
          </cell>
          <cell r="Y1184">
            <v>1.7</v>
          </cell>
          <cell r="Z1184">
            <v>1.4</v>
          </cell>
          <cell r="AA1184">
            <v>1</v>
          </cell>
          <cell r="AB1184">
            <v>0</v>
          </cell>
        </row>
        <row r="1185">
          <cell r="A1185">
            <v>1184</v>
          </cell>
          <cell r="B1185" t="str">
            <v>電装の烙雷芯 ファラデー</v>
          </cell>
          <cell r="C1185">
            <v>6</v>
          </cell>
          <cell r="D1185" t="str">
            <v>yellow</v>
          </cell>
          <cell r="E1185">
            <v>0.98</v>
          </cell>
          <cell r="F1185">
            <v>1.01</v>
          </cell>
          <cell r="G1185">
            <v>1</v>
          </cell>
          <cell r="H1185" t="str">
            <v>attack</v>
          </cell>
          <cell r="I1185" t="str">
            <v>攻撃タイプ</v>
          </cell>
          <cell r="J1185">
            <v>1</v>
          </cell>
          <cell r="K1185">
            <v>1.33</v>
          </cell>
          <cell r="L1185">
            <v>1</v>
          </cell>
          <cell r="M1185" t="str">
            <v>academia</v>
          </cell>
          <cell r="N1185" t="str">
            <v>アカデミア</v>
          </cell>
          <cell r="O1185">
            <v>1</v>
          </cell>
          <cell r="P1185">
            <v>1</v>
          </cell>
          <cell r="Q1185">
            <v>1</v>
          </cell>
          <cell r="R1185" t="str">
            <v>Boss</v>
          </cell>
          <cell r="S1185">
            <v>5</v>
          </cell>
          <cell r="T1185">
            <v>1.3</v>
          </cell>
          <cell r="U1185">
            <v>0.8</v>
          </cell>
          <cell r="V1185">
            <v>3</v>
          </cell>
          <cell r="W1185">
            <v>1</v>
          </cell>
          <cell r="X1185">
            <v>60</v>
          </cell>
          <cell r="Y1185">
            <v>1.7</v>
          </cell>
          <cell r="Z1185">
            <v>1.4</v>
          </cell>
          <cell r="AA1185">
            <v>1</v>
          </cell>
          <cell r="AB1185">
            <v>0</v>
          </cell>
        </row>
        <row r="1186">
          <cell r="A1186">
            <v>1185</v>
          </cell>
          <cell r="B1186" t="str">
            <v>兆銀河団の星観者 ハーシェル</v>
          </cell>
          <cell r="C1186">
            <v>6</v>
          </cell>
          <cell r="D1186" t="str">
            <v>yellow</v>
          </cell>
          <cell r="E1186">
            <v>0.98</v>
          </cell>
          <cell r="F1186">
            <v>1.01</v>
          </cell>
          <cell r="G1186">
            <v>1</v>
          </cell>
          <cell r="H1186" t="str">
            <v>heal</v>
          </cell>
          <cell r="I1186" t="str">
            <v>回復タイプ</v>
          </cell>
          <cell r="J1186">
            <v>0.8</v>
          </cell>
          <cell r="K1186">
            <v>0.78</v>
          </cell>
          <cell r="L1186">
            <v>1</v>
          </cell>
          <cell r="M1186" t="str">
            <v>academia</v>
          </cell>
          <cell r="N1186" t="str">
            <v>アカデミア</v>
          </cell>
          <cell r="O1186">
            <v>1</v>
          </cell>
          <cell r="P1186">
            <v>1</v>
          </cell>
          <cell r="Q1186">
            <v>1</v>
          </cell>
          <cell r="R1186" t="str">
            <v>Boss</v>
          </cell>
          <cell r="S1186">
            <v>5</v>
          </cell>
          <cell r="T1186">
            <v>1.3</v>
          </cell>
          <cell r="U1186">
            <v>0.8</v>
          </cell>
          <cell r="V1186">
            <v>3</v>
          </cell>
          <cell r="W1186">
            <v>1</v>
          </cell>
          <cell r="X1186">
            <v>60</v>
          </cell>
          <cell r="Y1186">
            <v>1.7</v>
          </cell>
          <cell r="Z1186">
            <v>1.4</v>
          </cell>
          <cell r="AA1186">
            <v>1</v>
          </cell>
          <cell r="AB1186">
            <v>0</v>
          </cell>
        </row>
        <row r="1187">
          <cell r="A1187">
            <v>1186</v>
          </cell>
          <cell r="B1187" t="str">
            <v>超疾の最理者 フェルマー</v>
          </cell>
          <cell r="C1187">
            <v>6</v>
          </cell>
          <cell r="D1187" t="str">
            <v>yellow</v>
          </cell>
          <cell r="E1187">
            <v>0.98</v>
          </cell>
          <cell r="F1187">
            <v>1.01</v>
          </cell>
          <cell r="G1187">
            <v>1</v>
          </cell>
          <cell r="H1187" t="str">
            <v>balance</v>
          </cell>
          <cell r="I1187" t="str">
            <v>バランスタイプ</v>
          </cell>
          <cell r="J1187">
            <v>1</v>
          </cell>
          <cell r="K1187">
            <v>1</v>
          </cell>
          <cell r="L1187">
            <v>1</v>
          </cell>
          <cell r="M1187" t="str">
            <v>academia</v>
          </cell>
          <cell r="N1187" t="str">
            <v>アカデミア</v>
          </cell>
          <cell r="O1187">
            <v>1</v>
          </cell>
          <cell r="P1187">
            <v>1</v>
          </cell>
          <cell r="Q1187">
            <v>1</v>
          </cell>
          <cell r="R1187" t="str">
            <v>Boss</v>
          </cell>
          <cell r="S1187">
            <v>5</v>
          </cell>
          <cell r="T1187">
            <v>1.3</v>
          </cell>
          <cell r="U1187">
            <v>0.8</v>
          </cell>
          <cell r="V1187">
            <v>3</v>
          </cell>
          <cell r="W1187">
            <v>1</v>
          </cell>
          <cell r="X1187">
            <v>60</v>
          </cell>
          <cell r="Y1187">
            <v>1.7</v>
          </cell>
          <cell r="Z1187">
            <v>1.4</v>
          </cell>
          <cell r="AA1187">
            <v>1</v>
          </cell>
          <cell r="AB1187">
            <v>0</v>
          </cell>
        </row>
        <row r="1188">
          <cell r="A1188">
            <v>1187</v>
          </cell>
          <cell r="B1188" t="str">
            <v>ハッピーハロウィン ポチ</v>
          </cell>
          <cell r="C1188">
            <v>1</v>
          </cell>
          <cell r="D1188" t="str">
            <v>red</v>
          </cell>
          <cell r="E1188">
            <v>1</v>
          </cell>
          <cell r="F1188">
            <v>1.02</v>
          </cell>
          <cell r="G1188">
            <v>1</v>
          </cell>
          <cell r="H1188" t="str">
            <v>attack</v>
          </cell>
          <cell r="I1188" t="str">
            <v>攻撃タイプ</v>
          </cell>
          <cell r="J1188">
            <v>1</v>
          </cell>
          <cell r="K1188">
            <v>1.33</v>
          </cell>
          <cell r="L1188">
            <v>1</v>
          </cell>
          <cell r="M1188" t="str">
            <v>unknown</v>
          </cell>
          <cell r="N1188" t="str">
            <v>Unknown</v>
          </cell>
          <cell r="O1188">
            <v>1</v>
          </cell>
          <cell r="P1188">
            <v>1</v>
          </cell>
          <cell r="Q1188">
            <v>1</v>
          </cell>
          <cell r="R1188" t="str">
            <v>Boss</v>
          </cell>
          <cell r="S1188">
            <v>5</v>
          </cell>
          <cell r="T1188">
            <v>1.3</v>
          </cell>
          <cell r="U1188">
            <v>0.8</v>
          </cell>
          <cell r="V1188">
            <v>3</v>
          </cell>
          <cell r="W1188">
            <v>1</v>
          </cell>
          <cell r="X1188">
            <v>15</v>
          </cell>
          <cell r="Y1188">
            <v>1</v>
          </cell>
          <cell r="Z1188">
            <v>1</v>
          </cell>
          <cell r="AA1188">
            <v>1</v>
          </cell>
          <cell r="AB1188">
            <v>0</v>
          </cell>
        </row>
        <row r="1189">
          <cell r="A1189">
            <v>1188</v>
          </cell>
          <cell r="B1189" t="str">
            <v>ハッピーハロウィン ジョー</v>
          </cell>
          <cell r="C1189">
            <v>1</v>
          </cell>
          <cell r="D1189" t="str">
            <v>green</v>
          </cell>
          <cell r="E1189">
            <v>1.02</v>
          </cell>
          <cell r="F1189">
            <v>0.98</v>
          </cell>
          <cell r="G1189">
            <v>1</v>
          </cell>
          <cell r="H1189" t="str">
            <v>balance</v>
          </cell>
          <cell r="I1189" t="str">
            <v>バランスタイプ</v>
          </cell>
          <cell r="J1189">
            <v>1</v>
          </cell>
          <cell r="K1189">
            <v>1</v>
          </cell>
          <cell r="L1189">
            <v>1</v>
          </cell>
          <cell r="M1189" t="str">
            <v>unknown</v>
          </cell>
          <cell r="N1189" t="str">
            <v>Unknown</v>
          </cell>
          <cell r="O1189">
            <v>1</v>
          </cell>
          <cell r="P1189">
            <v>1</v>
          </cell>
          <cell r="Q1189">
            <v>1</v>
          </cell>
          <cell r="R1189" t="str">
            <v>Boss</v>
          </cell>
          <cell r="S1189">
            <v>5</v>
          </cell>
          <cell r="T1189">
            <v>1.3</v>
          </cell>
          <cell r="U1189">
            <v>0.8</v>
          </cell>
          <cell r="V1189">
            <v>3</v>
          </cell>
          <cell r="W1189">
            <v>1</v>
          </cell>
          <cell r="X1189">
            <v>15</v>
          </cell>
          <cell r="Y1189">
            <v>1</v>
          </cell>
          <cell r="Z1189">
            <v>1</v>
          </cell>
          <cell r="AA1189">
            <v>1</v>
          </cell>
          <cell r="AB1189">
            <v>0</v>
          </cell>
        </row>
        <row r="1190">
          <cell r="A1190">
            <v>1189</v>
          </cell>
          <cell r="B1190" t="str">
            <v>ハッピーハロウィン ジェリー</v>
          </cell>
          <cell r="C1190">
            <v>1</v>
          </cell>
          <cell r="D1190" t="str">
            <v>blue</v>
          </cell>
          <cell r="E1190">
            <v>1</v>
          </cell>
          <cell r="F1190">
            <v>0.98</v>
          </cell>
          <cell r="G1190">
            <v>1</v>
          </cell>
          <cell r="H1190" t="str">
            <v>heal</v>
          </cell>
          <cell r="I1190" t="str">
            <v>回復タイプ</v>
          </cell>
          <cell r="J1190">
            <v>0.8</v>
          </cell>
          <cell r="K1190">
            <v>0.78</v>
          </cell>
          <cell r="L1190">
            <v>1</v>
          </cell>
          <cell r="M1190" t="str">
            <v>unknown</v>
          </cell>
          <cell r="N1190" t="str">
            <v>Unknown</v>
          </cell>
          <cell r="O1190">
            <v>1</v>
          </cell>
          <cell r="P1190">
            <v>1</v>
          </cell>
          <cell r="Q1190">
            <v>1</v>
          </cell>
          <cell r="R1190" t="str">
            <v>Boss</v>
          </cell>
          <cell r="S1190">
            <v>5</v>
          </cell>
          <cell r="T1190">
            <v>1.3</v>
          </cell>
          <cell r="U1190">
            <v>0.8</v>
          </cell>
          <cell r="V1190">
            <v>3</v>
          </cell>
          <cell r="W1190">
            <v>1</v>
          </cell>
          <cell r="X1190">
            <v>15</v>
          </cell>
          <cell r="Y1190">
            <v>1</v>
          </cell>
          <cell r="Z1190">
            <v>1</v>
          </cell>
          <cell r="AA1190">
            <v>1</v>
          </cell>
          <cell r="AB1190">
            <v>0</v>
          </cell>
        </row>
        <row r="1191">
          <cell r="A1191">
            <v>1190</v>
          </cell>
          <cell r="B1191" t="str">
            <v>ハッピーハロウィン エレキポット</v>
          </cell>
          <cell r="C1191">
            <v>1</v>
          </cell>
          <cell r="D1191" t="str">
            <v>yellow</v>
          </cell>
          <cell r="E1191">
            <v>0.98</v>
          </cell>
          <cell r="F1191">
            <v>1.01</v>
          </cell>
          <cell r="G1191">
            <v>1</v>
          </cell>
          <cell r="H1191" t="str">
            <v>attack</v>
          </cell>
          <cell r="I1191" t="str">
            <v>攻撃タイプ</v>
          </cell>
          <cell r="J1191">
            <v>1</v>
          </cell>
          <cell r="K1191">
            <v>1.33</v>
          </cell>
          <cell r="L1191">
            <v>1</v>
          </cell>
          <cell r="M1191" t="str">
            <v>unknown</v>
          </cell>
          <cell r="N1191" t="str">
            <v>Unknown</v>
          </cell>
          <cell r="O1191">
            <v>1</v>
          </cell>
          <cell r="P1191">
            <v>1</v>
          </cell>
          <cell r="Q1191">
            <v>1</v>
          </cell>
          <cell r="R1191" t="str">
            <v>Boss</v>
          </cell>
          <cell r="S1191">
            <v>5</v>
          </cell>
          <cell r="T1191">
            <v>1.3</v>
          </cell>
          <cell r="U1191">
            <v>0.8</v>
          </cell>
          <cell r="V1191">
            <v>3</v>
          </cell>
          <cell r="W1191">
            <v>1</v>
          </cell>
          <cell r="X1191">
            <v>15</v>
          </cell>
          <cell r="Y1191">
            <v>1</v>
          </cell>
          <cell r="Z1191">
            <v>1</v>
          </cell>
          <cell r="AA1191">
            <v>1</v>
          </cell>
          <cell r="AB1191">
            <v>0</v>
          </cell>
        </row>
        <row r="1192">
          <cell r="A1192">
            <v>1191</v>
          </cell>
          <cell r="B1192" t="str">
            <v>ドルチェ</v>
          </cell>
          <cell r="C1192">
            <v>5</v>
          </cell>
          <cell r="D1192" t="str">
            <v>yellow</v>
          </cell>
          <cell r="E1192">
            <v>0.98</v>
          </cell>
          <cell r="F1192">
            <v>1.01</v>
          </cell>
          <cell r="G1192">
            <v>1</v>
          </cell>
          <cell r="H1192" t="str">
            <v>technical</v>
          </cell>
          <cell r="I1192" t="str">
            <v>テクニカルタイプ</v>
          </cell>
          <cell r="J1192">
            <v>0.9</v>
          </cell>
          <cell r="K1192">
            <v>0.9</v>
          </cell>
          <cell r="L1192">
            <v>1</v>
          </cell>
          <cell r="M1192" t="str">
            <v>unknown</v>
          </cell>
          <cell r="N1192" t="str">
            <v>Unknown</v>
          </cell>
          <cell r="O1192">
            <v>1</v>
          </cell>
          <cell r="P1192">
            <v>1</v>
          </cell>
          <cell r="Q1192">
            <v>1</v>
          </cell>
          <cell r="R1192" t="str">
            <v>Boss</v>
          </cell>
          <cell r="S1192">
            <v>5</v>
          </cell>
          <cell r="T1192">
            <v>1.3</v>
          </cell>
          <cell r="U1192">
            <v>0.8</v>
          </cell>
          <cell r="V1192">
            <v>3</v>
          </cell>
          <cell r="W1192">
            <v>1</v>
          </cell>
          <cell r="X1192">
            <v>60</v>
          </cell>
          <cell r="Y1192">
            <v>1.7</v>
          </cell>
          <cell r="Z1192">
            <v>1.4</v>
          </cell>
          <cell r="AA1192">
            <v>1</v>
          </cell>
          <cell r="AB1192">
            <v>0</v>
          </cell>
        </row>
        <row r="1193">
          <cell r="A1193">
            <v>1192</v>
          </cell>
          <cell r="B1193" t="str">
            <v>徹宵悪戯の甘美魔 ドルチェ</v>
          </cell>
          <cell r="C1193">
            <v>6</v>
          </cell>
          <cell r="D1193" t="str">
            <v>yellow</v>
          </cell>
          <cell r="E1193">
            <v>0.98</v>
          </cell>
          <cell r="F1193">
            <v>1.01</v>
          </cell>
          <cell r="G1193">
            <v>1</v>
          </cell>
          <cell r="H1193" t="str">
            <v>balance</v>
          </cell>
          <cell r="I1193" t="str">
            <v>バランスタイプ</v>
          </cell>
          <cell r="J1193">
            <v>1</v>
          </cell>
          <cell r="K1193">
            <v>1</v>
          </cell>
          <cell r="L1193">
            <v>1</v>
          </cell>
          <cell r="M1193" t="str">
            <v>unknown</v>
          </cell>
          <cell r="N1193" t="str">
            <v>Unknown</v>
          </cell>
          <cell r="O1193">
            <v>1</v>
          </cell>
          <cell r="P1193">
            <v>1</v>
          </cell>
          <cell r="Q1193">
            <v>1</v>
          </cell>
          <cell r="R1193" t="str">
            <v>Boss</v>
          </cell>
          <cell r="S1193">
            <v>5</v>
          </cell>
          <cell r="T1193">
            <v>1.3</v>
          </cell>
          <cell r="U1193">
            <v>0.8</v>
          </cell>
          <cell r="V1193">
            <v>3</v>
          </cell>
          <cell r="W1193">
            <v>1</v>
          </cell>
          <cell r="X1193">
            <v>60</v>
          </cell>
          <cell r="Y1193">
            <v>1.7</v>
          </cell>
          <cell r="Z1193">
            <v>1.4</v>
          </cell>
          <cell r="AA1193">
            <v>1</v>
          </cell>
          <cell r="AB1193">
            <v>0</v>
          </cell>
        </row>
        <row r="1194">
          <cell r="A1194">
            <v>1193</v>
          </cell>
          <cell r="B1194" t="str">
            <v>血飢なる夜想卿 ランスロット</v>
          </cell>
          <cell r="C1194">
            <v>6</v>
          </cell>
          <cell r="D1194" t="str">
            <v>red</v>
          </cell>
          <cell r="E1194">
            <v>1</v>
          </cell>
          <cell r="F1194">
            <v>1.02</v>
          </cell>
          <cell r="G1194">
            <v>1</v>
          </cell>
          <cell r="H1194" t="str">
            <v>attack</v>
          </cell>
          <cell r="I1194" t="str">
            <v>攻撃タイプ</v>
          </cell>
          <cell r="J1194">
            <v>1</v>
          </cell>
          <cell r="K1194">
            <v>1.33</v>
          </cell>
          <cell r="L1194">
            <v>1</v>
          </cell>
          <cell r="M1194" t="str">
            <v>human</v>
          </cell>
          <cell r="N1194" t="str">
            <v>ヒューマン</v>
          </cell>
          <cell r="O1194">
            <v>0.94</v>
          </cell>
          <cell r="P1194">
            <v>0.99</v>
          </cell>
          <cell r="Q1194">
            <v>1</v>
          </cell>
          <cell r="R1194" t="str">
            <v>Boss</v>
          </cell>
          <cell r="S1194">
            <v>5</v>
          </cell>
          <cell r="T1194">
            <v>1.3</v>
          </cell>
          <cell r="U1194">
            <v>0.8</v>
          </cell>
          <cell r="V1194">
            <v>3</v>
          </cell>
          <cell r="W1194">
            <v>1</v>
          </cell>
          <cell r="X1194">
            <v>60</v>
          </cell>
          <cell r="Y1194">
            <v>1.7</v>
          </cell>
          <cell r="Z1194">
            <v>1.4</v>
          </cell>
          <cell r="AA1194">
            <v>1</v>
          </cell>
          <cell r="AB1194">
            <v>0</v>
          </cell>
        </row>
        <row r="1195">
          <cell r="A1195">
            <v>1194</v>
          </cell>
          <cell r="B1195" t="str">
            <v>ハーヴェスト</v>
          </cell>
          <cell r="C1195">
            <v>5</v>
          </cell>
          <cell r="D1195" t="str">
            <v>green</v>
          </cell>
          <cell r="E1195">
            <v>1.02</v>
          </cell>
          <cell r="F1195">
            <v>0.98</v>
          </cell>
          <cell r="G1195">
            <v>1</v>
          </cell>
          <cell r="H1195" t="str">
            <v>balance</v>
          </cell>
          <cell r="I1195" t="str">
            <v>バランスタイプ</v>
          </cell>
          <cell r="J1195">
            <v>1</v>
          </cell>
          <cell r="K1195">
            <v>1</v>
          </cell>
          <cell r="L1195">
            <v>1</v>
          </cell>
          <cell r="M1195" t="str">
            <v>unknown</v>
          </cell>
          <cell r="N1195" t="str">
            <v>Unknown</v>
          </cell>
          <cell r="O1195">
            <v>1</v>
          </cell>
          <cell r="P1195">
            <v>1</v>
          </cell>
          <cell r="Q1195">
            <v>1</v>
          </cell>
          <cell r="R1195" t="str">
            <v>Boss</v>
          </cell>
          <cell r="S1195">
            <v>5</v>
          </cell>
          <cell r="T1195">
            <v>1.3</v>
          </cell>
          <cell r="U1195">
            <v>0.8</v>
          </cell>
          <cell r="V1195">
            <v>3</v>
          </cell>
          <cell r="W1195">
            <v>1</v>
          </cell>
          <cell r="X1195">
            <v>60</v>
          </cell>
          <cell r="Y1195">
            <v>1.7</v>
          </cell>
          <cell r="Z1195">
            <v>1.4</v>
          </cell>
          <cell r="AA1195">
            <v>1</v>
          </cell>
          <cell r="AB1195">
            <v>0</v>
          </cell>
        </row>
        <row r="1196">
          <cell r="A1196">
            <v>1195</v>
          </cell>
          <cell r="B1196" t="str">
            <v>賑夜の幼魔 ハーヴェスト</v>
          </cell>
          <cell r="C1196">
            <v>6</v>
          </cell>
          <cell r="D1196" t="str">
            <v>green</v>
          </cell>
          <cell r="E1196">
            <v>1.02</v>
          </cell>
          <cell r="F1196">
            <v>0.98</v>
          </cell>
          <cell r="G1196">
            <v>1</v>
          </cell>
          <cell r="H1196" t="str">
            <v>balance</v>
          </cell>
          <cell r="I1196" t="str">
            <v>バランスタイプ</v>
          </cell>
          <cell r="J1196">
            <v>1</v>
          </cell>
          <cell r="K1196">
            <v>1</v>
          </cell>
          <cell r="L1196">
            <v>1</v>
          </cell>
          <cell r="M1196" t="str">
            <v>unknown</v>
          </cell>
          <cell r="N1196" t="str">
            <v>Unknown</v>
          </cell>
          <cell r="O1196">
            <v>1</v>
          </cell>
          <cell r="P1196">
            <v>1</v>
          </cell>
          <cell r="Q1196">
            <v>1</v>
          </cell>
          <cell r="R1196" t="str">
            <v>Boss</v>
          </cell>
          <cell r="S1196">
            <v>5</v>
          </cell>
          <cell r="T1196">
            <v>1.3</v>
          </cell>
          <cell r="U1196">
            <v>0.8</v>
          </cell>
          <cell r="V1196">
            <v>3</v>
          </cell>
          <cell r="W1196">
            <v>1</v>
          </cell>
          <cell r="X1196">
            <v>60</v>
          </cell>
          <cell r="Y1196">
            <v>1.7</v>
          </cell>
          <cell r="Z1196">
            <v>1.4</v>
          </cell>
          <cell r="AA1196">
            <v>1</v>
          </cell>
          <cell r="AB1196">
            <v>0</v>
          </cell>
        </row>
        <row r="1197">
          <cell r="A1197">
            <v>1196</v>
          </cell>
          <cell r="B1197" t="str">
            <v>華装の闇鋏 ラプンツェル</v>
          </cell>
          <cell r="C1197">
            <v>6</v>
          </cell>
          <cell r="D1197" t="str">
            <v>green</v>
          </cell>
          <cell r="E1197">
            <v>1.02</v>
          </cell>
          <cell r="F1197">
            <v>0.98</v>
          </cell>
          <cell r="G1197">
            <v>1</v>
          </cell>
          <cell r="H1197" t="str">
            <v>balance</v>
          </cell>
          <cell r="I1197" t="str">
            <v>バランスタイプ</v>
          </cell>
          <cell r="J1197">
            <v>1</v>
          </cell>
          <cell r="K1197">
            <v>1</v>
          </cell>
          <cell r="L1197">
            <v>1</v>
          </cell>
          <cell r="M1197" t="str">
            <v>human</v>
          </cell>
          <cell r="N1197" t="str">
            <v>ヒューマン</v>
          </cell>
          <cell r="O1197">
            <v>0.94</v>
          </cell>
          <cell r="P1197">
            <v>0.99</v>
          </cell>
          <cell r="Q1197">
            <v>1</v>
          </cell>
          <cell r="R1197" t="str">
            <v>Boss</v>
          </cell>
          <cell r="S1197">
            <v>5</v>
          </cell>
          <cell r="T1197">
            <v>1.3</v>
          </cell>
          <cell r="U1197">
            <v>0.8</v>
          </cell>
          <cell r="V1197">
            <v>3</v>
          </cell>
          <cell r="W1197">
            <v>1</v>
          </cell>
          <cell r="X1197">
            <v>60</v>
          </cell>
          <cell r="Y1197">
            <v>1.7</v>
          </cell>
          <cell r="Z1197">
            <v>1.4</v>
          </cell>
          <cell r="AA1197">
            <v>1</v>
          </cell>
          <cell r="AB1197">
            <v>0</v>
          </cell>
        </row>
        <row r="1198">
          <cell r="A1198">
            <v>1197</v>
          </cell>
          <cell r="B1198" t="str">
            <v>冥装の闇黒魔 バフォメット</v>
          </cell>
          <cell r="C1198">
            <v>5</v>
          </cell>
          <cell r="D1198" t="str">
            <v>green</v>
          </cell>
          <cell r="E1198">
            <v>1.02</v>
          </cell>
          <cell r="F1198">
            <v>0.98</v>
          </cell>
          <cell r="G1198">
            <v>1</v>
          </cell>
          <cell r="H1198" t="str">
            <v>balance</v>
          </cell>
          <cell r="I1198" t="str">
            <v>バランスタイプ</v>
          </cell>
          <cell r="J1198">
            <v>1</v>
          </cell>
          <cell r="K1198">
            <v>1</v>
          </cell>
          <cell r="L1198">
            <v>1</v>
          </cell>
          <cell r="M1198" t="str">
            <v>demon</v>
          </cell>
          <cell r="N1198" t="str">
            <v>デーモン</v>
          </cell>
          <cell r="O1198">
            <v>1</v>
          </cell>
          <cell r="P1198">
            <v>1</v>
          </cell>
          <cell r="Q1198">
            <v>1</v>
          </cell>
          <cell r="R1198" t="str">
            <v>Boss</v>
          </cell>
          <cell r="S1198">
            <v>5</v>
          </cell>
          <cell r="T1198">
            <v>1.3</v>
          </cell>
          <cell r="U1198">
            <v>0.8</v>
          </cell>
          <cell r="V1198">
            <v>3</v>
          </cell>
          <cell r="W1198">
            <v>1</v>
          </cell>
          <cell r="X1198">
            <v>60</v>
          </cell>
          <cell r="Y1198">
            <v>1.7</v>
          </cell>
          <cell r="Z1198">
            <v>1.4</v>
          </cell>
          <cell r="AA1198">
            <v>1</v>
          </cell>
          <cell r="AB1198">
            <v>0</v>
          </cell>
        </row>
        <row r="1199">
          <cell r="A1199">
            <v>1198</v>
          </cell>
          <cell r="B1199" t="str">
            <v>幽縛の霊線 ピノキオ</v>
          </cell>
          <cell r="C1199">
            <v>5</v>
          </cell>
          <cell r="D1199" t="str">
            <v>blue</v>
          </cell>
          <cell r="E1199">
            <v>1</v>
          </cell>
          <cell r="F1199">
            <v>0.98</v>
          </cell>
          <cell r="G1199">
            <v>1</v>
          </cell>
          <cell r="H1199" t="str">
            <v>attack</v>
          </cell>
          <cell r="I1199" t="str">
            <v>攻撃タイプ</v>
          </cell>
          <cell r="J1199">
            <v>1</v>
          </cell>
          <cell r="K1199">
            <v>1.33</v>
          </cell>
          <cell r="L1199">
            <v>1</v>
          </cell>
          <cell r="M1199" t="str">
            <v>machine</v>
          </cell>
          <cell r="N1199" t="str">
            <v>マシン</v>
          </cell>
          <cell r="O1199">
            <v>1</v>
          </cell>
          <cell r="P1199">
            <v>1</v>
          </cell>
          <cell r="Q1199">
            <v>1</v>
          </cell>
          <cell r="R1199" t="str">
            <v>Boss</v>
          </cell>
          <cell r="S1199">
            <v>5</v>
          </cell>
          <cell r="T1199">
            <v>1.3</v>
          </cell>
          <cell r="U1199">
            <v>0.8</v>
          </cell>
          <cell r="V1199">
            <v>3</v>
          </cell>
          <cell r="W1199">
            <v>1</v>
          </cell>
          <cell r="X1199">
            <v>60</v>
          </cell>
          <cell r="Y1199">
            <v>1.7</v>
          </cell>
          <cell r="Z1199">
            <v>1.4</v>
          </cell>
          <cell r="AA1199">
            <v>1</v>
          </cell>
          <cell r="AB1199">
            <v>0</v>
          </cell>
        </row>
        <row r="1200">
          <cell r="A1200">
            <v>1199</v>
          </cell>
          <cell r="B1200" t="str">
            <v>看装の巡回者 ケルベロス</v>
          </cell>
          <cell r="C1200">
            <v>5</v>
          </cell>
          <cell r="D1200" t="str">
            <v>yellow</v>
          </cell>
          <cell r="E1200">
            <v>0.98</v>
          </cell>
          <cell r="F1200">
            <v>1.01</v>
          </cell>
          <cell r="G1200">
            <v>1</v>
          </cell>
          <cell r="H1200" t="str">
            <v>heal</v>
          </cell>
          <cell r="I1200" t="str">
            <v>回復タイプ</v>
          </cell>
          <cell r="J1200">
            <v>0.8</v>
          </cell>
          <cell r="K1200">
            <v>0.78</v>
          </cell>
          <cell r="L1200">
            <v>1</v>
          </cell>
          <cell r="M1200" t="str">
            <v>animal</v>
          </cell>
          <cell r="N1200" t="str">
            <v>アニマル</v>
          </cell>
          <cell r="O1200">
            <v>1</v>
          </cell>
          <cell r="P1200">
            <v>1.1000000000000001</v>
          </cell>
          <cell r="Q1200">
            <v>1</v>
          </cell>
          <cell r="R1200" t="str">
            <v>Boss</v>
          </cell>
          <cell r="S1200">
            <v>5</v>
          </cell>
          <cell r="T1200">
            <v>1.3</v>
          </cell>
          <cell r="U1200">
            <v>0.8</v>
          </cell>
          <cell r="V1200">
            <v>3</v>
          </cell>
          <cell r="W1200">
            <v>1</v>
          </cell>
          <cell r="X1200">
            <v>60</v>
          </cell>
          <cell r="Y1200">
            <v>1.7</v>
          </cell>
          <cell r="Z1200">
            <v>1.4</v>
          </cell>
          <cell r="AA1200">
            <v>1</v>
          </cell>
          <cell r="AB1200">
            <v>0</v>
          </cell>
        </row>
        <row r="1201">
          <cell r="A1201">
            <v>1200</v>
          </cell>
          <cell r="B1201" t="str">
            <v>サイクロプス</v>
          </cell>
          <cell r="C1201">
            <v>4</v>
          </cell>
          <cell r="D1201" t="str">
            <v>blue</v>
          </cell>
          <cell r="E1201">
            <v>1</v>
          </cell>
          <cell r="F1201">
            <v>0.98</v>
          </cell>
          <cell r="G1201">
            <v>1</v>
          </cell>
          <cell r="H1201" t="str">
            <v>technical</v>
          </cell>
          <cell r="I1201" t="str">
            <v>テクニカルタイプ</v>
          </cell>
          <cell r="J1201">
            <v>0.9</v>
          </cell>
          <cell r="K1201">
            <v>0.9</v>
          </cell>
          <cell r="L1201">
            <v>1</v>
          </cell>
          <cell r="M1201" t="str">
            <v>unknown</v>
          </cell>
          <cell r="N1201" t="str">
            <v>Unknown</v>
          </cell>
          <cell r="O1201">
            <v>1</v>
          </cell>
          <cell r="P1201">
            <v>1</v>
          </cell>
          <cell r="Q1201">
            <v>1</v>
          </cell>
          <cell r="R1201" t="str">
            <v>Boss</v>
          </cell>
          <cell r="S1201">
            <v>5</v>
          </cell>
          <cell r="T1201">
            <v>1.3</v>
          </cell>
          <cell r="U1201">
            <v>0.8</v>
          </cell>
          <cell r="V1201">
            <v>3</v>
          </cell>
          <cell r="W1201">
            <v>1</v>
          </cell>
          <cell r="X1201">
            <v>30</v>
          </cell>
          <cell r="Y1201">
            <v>1.3</v>
          </cell>
          <cell r="Z1201">
            <v>1.3</v>
          </cell>
          <cell r="AA1201">
            <v>1.1000000000000001</v>
          </cell>
          <cell r="AB1201">
            <v>0</v>
          </cell>
        </row>
        <row r="1202">
          <cell r="A1202">
            <v>1201</v>
          </cell>
          <cell r="B1202" t="str">
            <v>器装の眼囚徒 サイクロプス</v>
          </cell>
          <cell r="C1202">
            <v>5</v>
          </cell>
          <cell r="D1202" t="str">
            <v>blue</v>
          </cell>
          <cell r="E1202">
            <v>1</v>
          </cell>
          <cell r="F1202">
            <v>0.98</v>
          </cell>
          <cell r="G1202">
            <v>1</v>
          </cell>
          <cell r="H1202" t="str">
            <v>technical</v>
          </cell>
          <cell r="I1202" t="str">
            <v>テクニカルタイプ</v>
          </cell>
          <cell r="J1202">
            <v>0.9</v>
          </cell>
          <cell r="K1202">
            <v>0.9</v>
          </cell>
          <cell r="L1202">
            <v>1</v>
          </cell>
          <cell r="M1202" t="str">
            <v>unknown</v>
          </cell>
          <cell r="N1202" t="str">
            <v>Unknown</v>
          </cell>
          <cell r="O1202">
            <v>1</v>
          </cell>
          <cell r="P1202">
            <v>1</v>
          </cell>
          <cell r="Q1202">
            <v>1</v>
          </cell>
          <cell r="R1202" t="str">
            <v>Boss</v>
          </cell>
          <cell r="S1202">
            <v>5</v>
          </cell>
          <cell r="T1202">
            <v>1.3</v>
          </cell>
          <cell r="U1202">
            <v>0.8</v>
          </cell>
          <cell r="V1202">
            <v>3</v>
          </cell>
          <cell r="W1202">
            <v>1</v>
          </cell>
          <cell r="X1202">
            <v>60</v>
          </cell>
          <cell r="Y1202">
            <v>1.7</v>
          </cell>
          <cell r="Z1202">
            <v>1.4</v>
          </cell>
          <cell r="AA1202">
            <v>1</v>
          </cell>
          <cell r="AB1202">
            <v>0</v>
          </cell>
        </row>
        <row r="1203">
          <cell r="A1203">
            <v>1202</v>
          </cell>
          <cell r="B1203" t="str">
            <v>ウラヌス</v>
          </cell>
          <cell r="C1203">
            <v>5</v>
          </cell>
          <cell r="D1203" t="str">
            <v>red</v>
          </cell>
          <cell r="E1203">
            <v>1</v>
          </cell>
          <cell r="F1203">
            <v>1.02</v>
          </cell>
          <cell r="G1203">
            <v>1</v>
          </cell>
          <cell r="H1203" t="str">
            <v>technical</v>
          </cell>
          <cell r="I1203" t="str">
            <v>テクニカルタイプ</v>
          </cell>
          <cell r="J1203">
            <v>0.9</v>
          </cell>
          <cell r="K1203">
            <v>0.9</v>
          </cell>
          <cell r="L1203">
            <v>1</v>
          </cell>
          <cell r="M1203" t="str">
            <v>god</v>
          </cell>
          <cell r="N1203" t="str">
            <v>ゴッド</v>
          </cell>
          <cell r="O1203">
            <v>0.96</v>
          </cell>
          <cell r="P1203">
            <v>1.02</v>
          </cell>
          <cell r="Q1203">
            <v>1</v>
          </cell>
          <cell r="R1203" t="str">
            <v>Boss</v>
          </cell>
          <cell r="S1203">
            <v>5</v>
          </cell>
          <cell r="T1203">
            <v>1.3</v>
          </cell>
          <cell r="U1203">
            <v>0.8</v>
          </cell>
          <cell r="V1203">
            <v>3</v>
          </cell>
          <cell r="W1203">
            <v>1</v>
          </cell>
          <cell r="X1203">
            <v>60</v>
          </cell>
          <cell r="Y1203">
            <v>1.7</v>
          </cell>
          <cell r="Z1203">
            <v>1.4</v>
          </cell>
          <cell r="AA1203">
            <v>1</v>
          </cell>
          <cell r="AB1203">
            <v>0</v>
          </cell>
        </row>
        <row r="1204">
          <cell r="A1204">
            <v>1203</v>
          </cell>
          <cell r="B1204" t="str">
            <v>掌星の原天神 ウラヌス</v>
          </cell>
          <cell r="C1204">
            <v>6</v>
          </cell>
          <cell r="D1204" t="str">
            <v>red</v>
          </cell>
          <cell r="E1204">
            <v>1</v>
          </cell>
          <cell r="F1204">
            <v>1.02</v>
          </cell>
          <cell r="G1204">
            <v>1</v>
          </cell>
          <cell r="H1204" t="str">
            <v>technical</v>
          </cell>
          <cell r="I1204" t="str">
            <v>テクニカルタイプ</v>
          </cell>
          <cell r="J1204">
            <v>0.9</v>
          </cell>
          <cell r="K1204">
            <v>0.9</v>
          </cell>
          <cell r="L1204">
            <v>1</v>
          </cell>
          <cell r="M1204" t="str">
            <v>god</v>
          </cell>
          <cell r="N1204" t="str">
            <v>ゴッド</v>
          </cell>
          <cell r="O1204">
            <v>0.96</v>
          </cell>
          <cell r="P1204">
            <v>1.02</v>
          </cell>
          <cell r="Q1204">
            <v>1</v>
          </cell>
          <cell r="R1204" t="str">
            <v>Boss</v>
          </cell>
          <cell r="S1204">
            <v>5</v>
          </cell>
          <cell r="T1204">
            <v>1.3</v>
          </cell>
          <cell r="U1204">
            <v>0.8</v>
          </cell>
          <cell r="V1204">
            <v>3</v>
          </cell>
          <cell r="W1204">
            <v>1</v>
          </cell>
          <cell r="X1204">
            <v>60</v>
          </cell>
          <cell r="Y1204">
            <v>1.7</v>
          </cell>
          <cell r="Z1204">
            <v>1.4</v>
          </cell>
          <cell r="AA1204">
            <v>1</v>
          </cell>
          <cell r="AB1204">
            <v>0</v>
          </cell>
        </row>
        <row r="1205">
          <cell r="A1205">
            <v>1204</v>
          </cell>
          <cell r="B1205" t="str">
            <v>デルピュネー</v>
          </cell>
          <cell r="C1205">
            <v>5</v>
          </cell>
          <cell r="D1205" t="str">
            <v>green</v>
          </cell>
          <cell r="E1205">
            <v>1.02</v>
          </cell>
          <cell r="F1205">
            <v>0.98</v>
          </cell>
          <cell r="G1205">
            <v>1</v>
          </cell>
          <cell r="H1205" t="str">
            <v>attack</v>
          </cell>
          <cell r="I1205" t="str">
            <v>攻撃タイプ</v>
          </cell>
          <cell r="J1205">
            <v>1</v>
          </cell>
          <cell r="K1205">
            <v>1.33</v>
          </cell>
          <cell r="L1205">
            <v>1</v>
          </cell>
          <cell r="M1205" t="str">
            <v>god</v>
          </cell>
          <cell r="N1205" t="str">
            <v>ゴッド</v>
          </cell>
          <cell r="O1205">
            <v>0.96</v>
          </cell>
          <cell r="P1205">
            <v>1.02</v>
          </cell>
          <cell r="Q1205">
            <v>1</v>
          </cell>
          <cell r="R1205" t="str">
            <v>Boss</v>
          </cell>
          <cell r="S1205">
            <v>5</v>
          </cell>
          <cell r="T1205">
            <v>1.3</v>
          </cell>
          <cell r="U1205">
            <v>0.8</v>
          </cell>
          <cell r="V1205">
            <v>3</v>
          </cell>
          <cell r="W1205">
            <v>1</v>
          </cell>
          <cell r="X1205">
            <v>60</v>
          </cell>
          <cell r="Y1205">
            <v>1.7</v>
          </cell>
          <cell r="Z1205">
            <v>1.4</v>
          </cell>
          <cell r="AA1205">
            <v>1</v>
          </cell>
          <cell r="AB1205">
            <v>0</v>
          </cell>
        </row>
        <row r="1206">
          <cell r="A1206">
            <v>1205</v>
          </cell>
          <cell r="B1206" t="str">
            <v>襲奪の竜鱗姫 デルピュネー</v>
          </cell>
          <cell r="C1206">
            <v>6</v>
          </cell>
          <cell r="D1206" t="str">
            <v>green</v>
          </cell>
          <cell r="E1206">
            <v>1.02</v>
          </cell>
          <cell r="F1206">
            <v>0.98</v>
          </cell>
          <cell r="G1206">
            <v>1</v>
          </cell>
          <cell r="H1206" t="str">
            <v>attack</v>
          </cell>
          <cell r="I1206" t="str">
            <v>攻撃タイプ</v>
          </cell>
          <cell r="J1206">
            <v>1</v>
          </cell>
          <cell r="K1206">
            <v>1.33</v>
          </cell>
          <cell r="L1206">
            <v>1</v>
          </cell>
          <cell r="M1206" t="str">
            <v>god</v>
          </cell>
          <cell r="N1206" t="str">
            <v>ゴッド</v>
          </cell>
          <cell r="O1206">
            <v>0.96</v>
          </cell>
          <cell r="P1206">
            <v>1.02</v>
          </cell>
          <cell r="Q1206">
            <v>1</v>
          </cell>
          <cell r="R1206" t="str">
            <v>Boss</v>
          </cell>
          <cell r="S1206">
            <v>5</v>
          </cell>
          <cell r="T1206">
            <v>1.3</v>
          </cell>
          <cell r="U1206">
            <v>0.8</v>
          </cell>
          <cell r="V1206">
            <v>3</v>
          </cell>
          <cell r="W1206">
            <v>1</v>
          </cell>
          <cell r="X1206">
            <v>60</v>
          </cell>
          <cell r="Y1206">
            <v>1.7</v>
          </cell>
          <cell r="Z1206">
            <v>1.4</v>
          </cell>
          <cell r="AA1206">
            <v>1</v>
          </cell>
          <cell r="AB1206">
            <v>0</v>
          </cell>
        </row>
        <row r="1207">
          <cell r="A1207">
            <v>1206</v>
          </cell>
          <cell r="B1207" t="str">
            <v>ヘラ</v>
          </cell>
          <cell r="C1207">
            <v>5</v>
          </cell>
          <cell r="D1207" t="str">
            <v>yellow</v>
          </cell>
          <cell r="E1207">
            <v>0.98</v>
          </cell>
          <cell r="F1207">
            <v>1.01</v>
          </cell>
          <cell r="G1207">
            <v>1</v>
          </cell>
          <cell r="H1207" t="str">
            <v>technical</v>
          </cell>
          <cell r="I1207" t="str">
            <v>テクニカルタイプ</v>
          </cell>
          <cell r="J1207">
            <v>0.9</v>
          </cell>
          <cell r="K1207">
            <v>0.9</v>
          </cell>
          <cell r="L1207">
            <v>1</v>
          </cell>
          <cell r="M1207" t="str">
            <v>god</v>
          </cell>
          <cell r="N1207" t="str">
            <v>ゴッド</v>
          </cell>
          <cell r="O1207">
            <v>0.96</v>
          </cell>
          <cell r="P1207">
            <v>1.02</v>
          </cell>
          <cell r="Q1207">
            <v>1</v>
          </cell>
          <cell r="R1207" t="str">
            <v>Boss</v>
          </cell>
          <cell r="S1207">
            <v>5</v>
          </cell>
          <cell r="T1207">
            <v>1.3</v>
          </cell>
          <cell r="U1207">
            <v>0.8</v>
          </cell>
          <cell r="V1207">
            <v>3</v>
          </cell>
          <cell r="W1207">
            <v>1</v>
          </cell>
          <cell r="X1207">
            <v>60</v>
          </cell>
          <cell r="Y1207">
            <v>1.7</v>
          </cell>
          <cell r="Z1207">
            <v>1.4</v>
          </cell>
          <cell r="AA1207">
            <v>1</v>
          </cell>
          <cell r="AB1207">
            <v>0</v>
          </cell>
        </row>
        <row r="1208">
          <cell r="A1208">
            <v>1207</v>
          </cell>
          <cell r="B1208" t="str">
            <v>典麗なる悋気神 ヘラ</v>
          </cell>
          <cell r="C1208">
            <v>6</v>
          </cell>
          <cell r="D1208" t="str">
            <v>yellow</v>
          </cell>
          <cell r="E1208">
            <v>0.98</v>
          </cell>
          <cell r="F1208">
            <v>1.01</v>
          </cell>
          <cell r="G1208">
            <v>1</v>
          </cell>
          <cell r="H1208" t="str">
            <v>technical</v>
          </cell>
          <cell r="I1208" t="str">
            <v>テクニカルタイプ</v>
          </cell>
          <cell r="J1208">
            <v>0.9</v>
          </cell>
          <cell r="K1208">
            <v>0.9</v>
          </cell>
          <cell r="L1208">
            <v>1</v>
          </cell>
          <cell r="M1208" t="str">
            <v>god</v>
          </cell>
          <cell r="N1208" t="str">
            <v>ゴッド</v>
          </cell>
          <cell r="O1208">
            <v>0.96</v>
          </cell>
          <cell r="P1208">
            <v>1.02</v>
          </cell>
          <cell r="Q1208">
            <v>1</v>
          </cell>
          <cell r="R1208" t="str">
            <v>Boss</v>
          </cell>
          <cell r="S1208">
            <v>5</v>
          </cell>
          <cell r="T1208">
            <v>1.3</v>
          </cell>
          <cell r="U1208">
            <v>0.8</v>
          </cell>
          <cell r="V1208">
            <v>3</v>
          </cell>
          <cell r="W1208">
            <v>1</v>
          </cell>
          <cell r="X1208">
            <v>60</v>
          </cell>
          <cell r="Y1208">
            <v>1.7</v>
          </cell>
          <cell r="Z1208">
            <v>1.4</v>
          </cell>
          <cell r="AA1208">
            <v>1</v>
          </cell>
          <cell r="AB1208">
            <v>0</v>
          </cell>
        </row>
        <row r="1209">
          <cell r="A1209">
            <v>1208</v>
          </cell>
          <cell r="B1209" t="str">
            <v>ネメシス</v>
          </cell>
          <cell r="C1209">
            <v>5</v>
          </cell>
          <cell r="D1209" t="str">
            <v>red</v>
          </cell>
          <cell r="E1209">
            <v>1</v>
          </cell>
          <cell r="F1209">
            <v>1.02</v>
          </cell>
          <cell r="G1209">
            <v>1</v>
          </cell>
          <cell r="H1209" t="str">
            <v>hp</v>
          </cell>
          <cell r="I1209" t="str">
            <v>体力タイプ</v>
          </cell>
          <cell r="J1209">
            <v>1.45</v>
          </cell>
          <cell r="K1209">
            <v>0.85</v>
          </cell>
          <cell r="L1209">
            <v>1</v>
          </cell>
          <cell r="M1209" t="str">
            <v>god</v>
          </cell>
          <cell r="N1209" t="str">
            <v>ゴッド</v>
          </cell>
          <cell r="O1209">
            <v>0.96</v>
          </cell>
          <cell r="P1209">
            <v>1.02</v>
          </cell>
          <cell r="Q1209">
            <v>1</v>
          </cell>
          <cell r="R1209" t="str">
            <v>Boss</v>
          </cell>
          <cell r="S1209">
            <v>5</v>
          </cell>
          <cell r="T1209">
            <v>1.3</v>
          </cell>
          <cell r="U1209">
            <v>0.8</v>
          </cell>
          <cell r="V1209">
            <v>3</v>
          </cell>
          <cell r="W1209">
            <v>1</v>
          </cell>
          <cell r="X1209">
            <v>60</v>
          </cell>
          <cell r="Y1209">
            <v>1.7</v>
          </cell>
          <cell r="Z1209">
            <v>1.4</v>
          </cell>
          <cell r="AA1209">
            <v>1</v>
          </cell>
          <cell r="AB1209">
            <v>0</v>
          </cell>
        </row>
        <row r="1210">
          <cell r="A1210">
            <v>1209</v>
          </cell>
          <cell r="B1210" t="str">
            <v>刹那の過罰神 ネメシス</v>
          </cell>
          <cell r="C1210">
            <v>6</v>
          </cell>
          <cell r="D1210" t="str">
            <v>red</v>
          </cell>
          <cell r="E1210">
            <v>1</v>
          </cell>
          <cell r="F1210">
            <v>1.02</v>
          </cell>
          <cell r="G1210">
            <v>1</v>
          </cell>
          <cell r="H1210" t="str">
            <v>hp</v>
          </cell>
          <cell r="I1210" t="str">
            <v>体力タイプ</v>
          </cell>
          <cell r="J1210">
            <v>1.45</v>
          </cell>
          <cell r="K1210">
            <v>0.85</v>
          </cell>
          <cell r="L1210">
            <v>1</v>
          </cell>
          <cell r="M1210" t="str">
            <v>god</v>
          </cell>
          <cell r="N1210" t="str">
            <v>ゴッド</v>
          </cell>
          <cell r="O1210">
            <v>0.96</v>
          </cell>
          <cell r="P1210">
            <v>1.02</v>
          </cell>
          <cell r="Q1210">
            <v>1</v>
          </cell>
          <cell r="R1210" t="str">
            <v>Boss</v>
          </cell>
          <cell r="S1210">
            <v>5</v>
          </cell>
          <cell r="T1210">
            <v>1.3</v>
          </cell>
          <cell r="U1210">
            <v>0.8</v>
          </cell>
          <cell r="V1210">
            <v>3</v>
          </cell>
          <cell r="W1210">
            <v>1</v>
          </cell>
          <cell r="X1210">
            <v>60</v>
          </cell>
          <cell r="Y1210">
            <v>1.7</v>
          </cell>
          <cell r="Z1210">
            <v>1.4</v>
          </cell>
          <cell r="AA1210">
            <v>1</v>
          </cell>
          <cell r="AB1210">
            <v>0</v>
          </cell>
        </row>
        <row r="1211">
          <cell r="A1211">
            <v>1210</v>
          </cell>
          <cell r="B1211" t="str">
            <v>ケンタウロス</v>
          </cell>
          <cell r="C1211">
            <v>4</v>
          </cell>
          <cell r="D1211" t="str">
            <v>green</v>
          </cell>
          <cell r="E1211">
            <v>1.02</v>
          </cell>
          <cell r="F1211">
            <v>0.98</v>
          </cell>
          <cell r="G1211">
            <v>1</v>
          </cell>
          <cell r="H1211" t="str">
            <v>attack</v>
          </cell>
          <cell r="I1211" t="str">
            <v>攻撃タイプ</v>
          </cell>
          <cell r="J1211">
            <v>1</v>
          </cell>
          <cell r="K1211">
            <v>1.33</v>
          </cell>
          <cell r="L1211">
            <v>1</v>
          </cell>
          <cell r="M1211" t="str">
            <v>god</v>
          </cell>
          <cell r="N1211" t="str">
            <v>ゴッド</v>
          </cell>
          <cell r="O1211">
            <v>0.96</v>
          </cell>
          <cell r="P1211">
            <v>1.02</v>
          </cell>
          <cell r="Q1211">
            <v>1</v>
          </cell>
          <cell r="R1211" t="str">
            <v>Boss</v>
          </cell>
          <cell r="S1211">
            <v>5</v>
          </cell>
          <cell r="T1211">
            <v>1.3</v>
          </cell>
          <cell r="U1211">
            <v>0.8</v>
          </cell>
          <cell r="V1211">
            <v>3</v>
          </cell>
          <cell r="W1211">
            <v>1</v>
          </cell>
          <cell r="X1211">
            <v>30</v>
          </cell>
          <cell r="Y1211">
            <v>1.3</v>
          </cell>
          <cell r="Z1211">
            <v>1.3</v>
          </cell>
          <cell r="AA1211">
            <v>1.1000000000000001</v>
          </cell>
          <cell r="AB1211">
            <v>0</v>
          </cell>
        </row>
        <row r="1212">
          <cell r="A1212">
            <v>1211</v>
          </cell>
          <cell r="B1212" t="str">
            <v>奏駆の翻騎 ケンタウロス</v>
          </cell>
          <cell r="C1212">
            <v>5</v>
          </cell>
          <cell r="D1212" t="str">
            <v>green</v>
          </cell>
          <cell r="E1212">
            <v>1.02</v>
          </cell>
          <cell r="F1212">
            <v>0.98</v>
          </cell>
          <cell r="G1212">
            <v>1</v>
          </cell>
          <cell r="H1212" t="str">
            <v>attack</v>
          </cell>
          <cell r="I1212" t="str">
            <v>攻撃タイプ</v>
          </cell>
          <cell r="J1212">
            <v>1</v>
          </cell>
          <cell r="K1212">
            <v>1.33</v>
          </cell>
          <cell r="L1212">
            <v>1</v>
          </cell>
          <cell r="M1212" t="str">
            <v>god</v>
          </cell>
          <cell r="N1212" t="str">
            <v>ゴッド</v>
          </cell>
          <cell r="O1212">
            <v>0.96</v>
          </cell>
          <cell r="P1212">
            <v>1.02</v>
          </cell>
          <cell r="Q1212">
            <v>1</v>
          </cell>
          <cell r="R1212" t="str">
            <v>Boss</v>
          </cell>
          <cell r="S1212">
            <v>5</v>
          </cell>
          <cell r="T1212">
            <v>1.3</v>
          </cell>
          <cell r="U1212">
            <v>0.8</v>
          </cell>
          <cell r="V1212">
            <v>3</v>
          </cell>
          <cell r="W1212">
            <v>1</v>
          </cell>
          <cell r="X1212">
            <v>60</v>
          </cell>
          <cell r="Y1212">
            <v>1.7</v>
          </cell>
          <cell r="Z1212">
            <v>1.4</v>
          </cell>
          <cell r="AA1212">
            <v>1</v>
          </cell>
          <cell r="AB1212">
            <v>0</v>
          </cell>
        </row>
        <row r="1213">
          <cell r="A1213">
            <v>1212</v>
          </cell>
          <cell r="B1213" t="str">
            <v>クロノス</v>
          </cell>
          <cell r="C1213">
            <v>5</v>
          </cell>
          <cell r="D1213" t="str">
            <v>blue</v>
          </cell>
          <cell r="E1213">
            <v>1</v>
          </cell>
          <cell r="F1213">
            <v>0.98</v>
          </cell>
          <cell r="G1213">
            <v>1</v>
          </cell>
          <cell r="H1213" t="str">
            <v>technical</v>
          </cell>
          <cell r="I1213" t="str">
            <v>テクニカルタイプ</v>
          </cell>
          <cell r="J1213">
            <v>0.9</v>
          </cell>
          <cell r="K1213">
            <v>0.9</v>
          </cell>
          <cell r="L1213">
            <v>1</v>
          </cell>
          <cell r="M1213" t="str">
            <v>god</v>
          </cell>
          <cell r="N1213" t="str">
            <v>ゴッド</v>
          </cell>
          <cell r="O1213">
            <v>0.96</v>
          </cell>
          <cell r="P1213">
            <v>1.02</v>
          </cell>
          <cell r="Q1213">
            <v>1</v>
          </cell>
          <cell r="R1213" t="str">
            <v>Boss</v>
          </cell>
          <cell r="S1213">
            <v>5</v>
          </cell>
          <cell r="T1213">
            <v>1.3</v>
          </cell>
          <cell r="U1213">
            <v>0.8</v>
          </cell>
          <cell r="V1213">
            <v>3</v>
          </cell>
          <cell r="W1213">
            <v>1</v>
          </cell>
          <cell r="X1213">
            <v>60</v>
          </cell>
          <cell r="Y1213">
            <v>1.7</v>
          </cell>
          <cell r="Z1213">
            <v>1.4</v>
          </cell>
          <cell r="AA1213">
            <v>1</v>
          </cell>
          <cell r="AB1213">
            <v>0</v>
          </cell>
        </row>
        <row r="1214">
          <cell r="A1214">
            <v>1213</v>
          </cell>
          <cell r="B1214" t="str">
            <v>能洪の永地神 クロノス</v>
          </cell>
          <cell r="C1214">
            <v>6</v>
          </cell>
          <cell r="D1214" t="str">
            <v>blue</v>
          </cell>
          <cell r="E1214">
            <v>1</v>
          </cell>
          <cell r="F1214">
            <v>0.98</v>
          </cell>
          <cell r="G1214">
            <v>1</v>
          </cell>
          <cell r="H1214" t="str">
            <v>technical</v>
          </cell>
          <cell r="I1214" t="str">
            <v>テクニカルタイプ</v>
          </cell>
          <cell r="J1214">
            <v>0.9</v>
          </cell>
          <cell r="K1214">
            <v>0.9</v>
          </cell>
          <cell r="L1214">
            <v>1</v>
          </cell>
          <cell r="M1214" t="str">
            <v>god</v>
          </cell>
          <cell r="N1214" t="str">
            <v>ゴッド</v>
          </cell>
          <cell r="O1214">
            <v>0.96</v>
          </cell>
          <cell r="P1214">
            <v>1.02</v>
          </cell>
          <cell r="Q1214">
            <v>1</v>
          </cell>
          <cell r="R1214" t="str">
            <v>Boss</v>
          </cell>
          <cell r="S1214">
            <v>5</v>
          </cell>
          <cell r="T1214">
            <v>1.3</v>
          </cell>
          <cell r="U1214">
            <v>0.8</v>
          </cell>
          <cell r="V1214">
            <v>3</v>
          </cell>
          <cell r="W1214">
            <v>1</v>
          </cell>
          <cell r="X1214">
            <v>60</v>
          </cell>
          <cell r="Y1214">
            <v>1.7</v>
          </cell>
          <cell r="Z1214">
            <v>1.4</v>
          </cell>
          <cell r="AA1214">
            <v>1</v>
          </cell>
          <cell r="AB1214">
            <v>0</v>
          </cell>
        </row>
        <row r="1215">
          <cell r="A1215">
            <v>1214</v>
          </cell>
          <cell r="B1215" t="str">
            <v>アルテミス</v>
          </cell>
          <cell r="C1215">
            <v>5</v>
          </cell>
          <cell r="D1215" t="str">
            <v>yellow</v>
          </cell>
          <cell r="E1215">
            <v>0.98</v>
          </cell>
          <cell r="F1215">
            <v>1.01</v>
          </cell>
          <cell r="G1215">
            <v>1</v>
          </cell>
          <cell r="H1215" t="str">
            <v>balance</v>
          </cell>
          <cell r="I1215" t="str">
            <v>バランスタイプ</v>
          </cell>
          <cell r="J1215">
            <v>1</v>
          </cell>
          <cell r="K1215">
            <v>1</v>
          </cell>
          <cell r="L1215">
            <v>1</v>
          </cell>
          <cell r="M1215" t="str">
            <v>god</v>
          </cell>
          <cell r="N1215" t="str">
            <v>ゴッド</v>
          </cell>
          <cell r="O1215">
            <v>0.96</v>
          </cell>
          <cell r="P1215">
            <v>1.02</v>
          </cell>
          <cell r="Q1215">
            <v>1</v>
          </cell>
          <cell r="R1215" t="str">
            <v>Boss</v>
          </cell>
          <cell r="S1215">
            <v>5</v>
          </cell>
          <cell r="T1215">
            <v>1.3</v>
          </cell>
          <cell r="U1215">
            <v>0.8</v>
          </cell>
          <cell r="V1215">
            <v>3</v>
          </cell>
          <cell r="W1215">
            <v>1</v>
          </cell>
          <cell r="X1215">
            <v>60</v>
          </cell>
          <cell r="Y1215">
            <v>1.7</v>
          </cell>
          <cell r="Z1215">
            <v>1.4</v>
          </cell>
          <cell r="AA1215">
            <v>1</v>
          </cell>
          <cell r="AB1215">
            <v>0</v>
          </cell>
        </row>
        <row r="1216">
          <cell r="A1216">
            <v>1215</v>
          </cell>
          <cell r="B1216" t="str">
            <v>穿潮の雷月神 アルテミス</v>
          </cell>
          <cell r="C1216">
            <v>6</v>
          </cell>
          <cell r="D1216" t="str">
            <v>yellow</v>
          </cell>
          <cell r="E1216">
            <v>0.98</v>
          </cell>
          <cell r="F1216">
            <v>1.01</v>
          </cell>
          <cell r="G1216">
            <v>1</v>
          </cell>
          <cell r="H1216" t="str">
            <v>balance</v>
          </cell>
          <cell r="I1216" t="str">
            <v>バランスタイプ</v>
          </cell>
          <cell r="J1216">
            <v>1</v>
          </cell>
          <cell r="K1216">
            <v>1</v>
          </cell>
          <cell r="L1216">
            <v>1</v>
          </cell>
          <cell r="M1216" t="str">
            <v>god</v>
          </cell>
          <cell r="N1216" t="str">
            <v>ゴッド</v>
          </cell>
          <cell r="O1216">
            <v>0.96</v>
          </cell>
          <cell r="P1216">
            <v>1.02</v>
          </cell>
          <cell r="Q1216">
            <v>1</v>
          </cell>
          <cell r="R1216" t="str">
            <v>Boss</v>
          </cell>
          <cell r="S1216">
            <v>5</v>
          </cell>
          <cell r="T1216">
            <v>1.3</v>
          </cell>
          <cell r="U1216">
            <v>0.8</v>
          </cell>
          <cell r="V1216">
            <v>3</v>
          </cell>
          <cell r="W1216">
            <v>1</v>
          </cell>
          <cell r="X1216">
            <v>60</v>
          </cell>
          <cell r="Y1216">
            <v>1.7</v>
          </cell>
          <cell r="Z1216">
            <v>1.4</v>
          </cell>
          <cell r="AA1216">
            <v>1</v>
          </cell>
          <cell r="AB1216">
            <v>0</v>
          </cell>
        </row>
        <row r="1217">
          <cell r="A1217">
            <v>1216</v>
          </cell>
          <cell r="B1217" t="str">
            <v>梶井基次郎</v>
          </cell>
          <cell r="C1217">
            <v>4</v>
          </cell>
          <cell r="D1217" t="str">
            <v>green</v>
          </cell>
          <cell r="E1217">
            <v>1.02</v>
          </cell>
          <cell r="F1217">
            <v>0.98</v>
          </cell>
          <cell r="G1217">
            <v>1</v>
          </cell>
          <cell r="H1217" t="str">
            <v>attack</v>
          </cell>
          <cell r="I1217" t="str">
            <v>攻撃タイプ</v>
          </cell>
          <cell r="J1217">
            <v>1</v>
          </cell>
          <cell r="K1217">
            <v>1.33</v>
          </cell>
          <cell r="L1217">
            <v>1</v>
          </cell>
          <cell r="M1217" t="str">
            <v>human</v>
          </cell>
          <cell r="N1217" t="str">
            <v>ヒューマン</v>
          </cell>
          <cell r="O1217">
            <v>0.94</v>
          </cell>
          <cell r="P1217">
            <v>0.99</v>
          </cell>
          <cell r="Q1217">
            <v>1</v>
          </cell>
          <cell r="R1217" t="str">
            <v>Boss</v>
          </cell>
          <cell r="S1217">
            <v>5</v>
          </cell>
          <cell r="T1217">
            <v>1.3</v>
          </cell>
          <cell r="U1217">
            <v>0.8</v>
          </cell>
          <cell r="V1217">
            <v>3</v>
          </cell>
          <cell r="W1217">
            <v>1</v>
          </cell>
          <cell r="X1217">
            <v>30</v>
          </cell>
          <cell r="Y1217">
            <v>1.3</v>
          </cell>
          <cell r="Z1217">
            <v>1.3</v>
          </cell>
          <cell r="AA1217">
            <v>1.1000000000000001</v>
          </cell>
          <cell r="AB1217">
            <v>0</v>
          </cell>
        </row>
        <row r="1218">
          <cell r="A1218">
            <v>1217</v>
          </cell>
          <cell r="B1218" t="str">
            <v>鮮彩の鬱情 梶井基次郎</v>
          </cell>
          <cell r="C1218">
            <v>5</v>
          </cell>
          <cell r="D1218" t="str">
            <v>green</v>
          </cell>
          <cell r="E1218">
            <v>1.02</v>
          </cell>
          <cell r="F1218">
            <v>0.98</v>
          </cell>
          <cell r="G1218">
            <v>1</v>
          </cell>
          <cell r="H1218" t="str">
            <v>attack</v>
          </cell>
          <cell r="I1218" t="str">
            <v>攻撃タイプ</v>
          </cell>
          <cell r="J1218">
            <v>1</v>
          </cell>
          <cell r="K1218">
            <v>1.33</v>
          </cell>
          <cell r="L1218">
            <v>1</v>
          </cell>
          <cell r="M1218" t="str">
            <v>human</v>
          </cell>
          <cell r="N1218" t="str">
            <v>ヒューマン</v>
          </cell>
          <cell r="O1218">
            <v>0.94</v>
          </cell>
          <cell r="P1218">
            <v>0.99</v>
          </cell>
          <cell r="Q1218">
            <v>1</v>
          </cell>
          <cell r="R1218" t="str">
            <v>Boss</v>
          </cell>
          <cell r="S1218">
            <v>5</v>
          </cell>
          <cell r="T1218">
            <v>1.3</v>
          </cell>
          <cell r="U1218">
            <v>0.8</v>
          </cell>
          <cell r="V1218">
            <v>3</v>
          </cell>
          <cell r="W1218">
            <v>1</v>
          </cell>
          <cell r="X1218">
            <v>60</v>
          </cell>
          <cell r="Y1218">
            <v>1.7</v>
          </cell>
          <cell r="Z1218">
            <v>1.4</v>
          </cell>
          <cell r="AA1218">
            <v>1</v>
          </cell>
          <cell r="AB1218">
            <v>0</v>
          </cell>
        </row>
        <row r="1219">
          <cell r="A1219">
            <v>1218</v>
          </cell>
          <cell r="B1219" t="str">
            <v>太宰治</v>
          </cell>
          <cell r="C1219">
            <v>5</v>
          </cell>
          <cell r="D1219" t="str">
            <v>blue</v>
          </cell>
          <cell r="E1219">
            <v>1</v>
          </cell>
          <cell r="F1219">
            <v>0.98</v>
          </cell>
          <cell r="G1219">
            <v>1</v>
          </cell>
          <cell r="H1219" t="str">
            <v>hp</v>
          </cell>
          <cell r="I1219" t="str">
            <v>体力タイプ</v>
          </cell>
          <cell r="J1219">
            <v>1.45</v>
          </cell>
          <cell r="K1219">
            <v>0.85</v>
          </cell>
          <cell r="L1219">
            <v>1</v>
          </cell>
          <cell r="M1219" t="str">
            <v>human</v>
          </cell>
          <cell r="N1219" t="str">
            <v>ヒューマン</v>
          </cell>
          <cell r="O1219">
            <v>0.94</v>
          </cell>
          <cell r="P1219">
            <v>0.99</v>
          </cell>
          <cell r="Q1219">
            <v>1</v>
          </cell>
          <cell r="R1219" t="str">
            <v>Boss</v>
          </cell>
          <cell r="S1219">
            <v>5</v>
          </cell>
          <cell r="T1219">
            <v>1.3</v>
          </cell>
          <cell r="U1219">
            <v>0.8</v>
          </cell>
          <cell r="V1219">
            <v>3</v>
          </cell>
          <cell r="W1219">
            <v>1</v>
          </cell>
          <cell r="X1219">
            <v>60</v>
          </cell>
          <cell r="Y1219">
            <v>1.7</v>
          </cell>
          <cell r="Z1219">
            <v>1.4</v>
          </cell>
          <cell r="AA1219">
            <v>1</v>
          </cell>
          <cell r="AB1219">
            <v>0</v>
          </cell>
        </row>
        <row r="1220">
          <cell r="A1220">
            <v>1219</v>
          </cell>
          <cell r="B1220" t="str">
            <v>世絶の失格者 太宰治</v>
          </cell>
          <cell r="C1220">
            <v>6</v>
          </cell>
          <cell r="D1220" t="str">
            <v>blue</v>
          </cell>
          <cell r="E1220">
            <v>1</v>
          </cell>
          <cell r="F1220">
            <v>0.98</v>
          </cell>
          <cell r="G1220">
            <v>1</v>
          </cell>
          <cell r="H1220" t="str">
            <v>hp</v>
          </cell>
          <cell r="I1220" t="str">
            <v>体力タイプ</v>
          </cell>
          <cell r="J1220">
            <v>1.45</v>
          </cell>
          <cell r="K1220">
            <v>0.85</v>
          </cell>
          <cell r="L1220">
            <v>1</v>
          </cell>
          <cell r="M1220" t="str">
            <v>human</v>
          </cell>
          <cell r="N1220" t="str">
            <v>ヒューマン</v>
          </cell>
          <cell r="O1220">
            <v>0.94</v>
          </cell>
          <cell r="P1220">
            <v>0.99</v>
          </cell>
          <cell r="Q1220">
            <v>1</v>
          </cell>
          <cell r="R1220" t="str">
            <v>Boss</v>
          </cell>
          <cell r="S1220">
            <v>5</v>
          </cell>
          <cell r="T1220">
            <v>1.3</v>
          </cell>
          <cell r="U1220">
            <v>0.8</v>
          </cell>
          <cell r="V1220">
            <v>3</v>
          </cell>
          <cell r="W1220">
            <v>1</v>
          </cell>
          <cell r="X1220">
            <v>60</v>
          </cell>
          <cell r="Y1220">
            <v>1.7</v>
          </cell>
          <cell r="Z1220">
            <v>1.4</v>
          </cell>
          <cell r="AA1220">
            <v>1</v>
          </cell>
          <cell r="AB1220">
            <v>0</v>
          </cell>
        </row>
        <row r="1221">
          <cell r="A1221">
            <v>1220</v>
          </cell>
          <cell r="B1221" t="str">
            <v>シェイクスピア</v>
          </cell>
          <cell r="C1221">
            <v>5</v>
          </cell>
          <cell r="D1221" t="str">
            <v>yellow</v>
          </cell>
          <cell r="E1221">
            <v>0.98</v>
          </cell>
          <cell r="F1221">
            <v>1.01</v>
          </cell>
          <cell r="G1221">
            <v>1</v>
          </cell>
          <cell r="H1221" t="str">
            <v>balance</v>
          </cell>
          <cell r="I1221" t="str">
            <v>バランスタイプ</v>
          </cell>
          <cell r="J1221">
            <v>1</v>
          </cell>
          <cell r="K1221">
            <v>1</v>
          </cell>
          <cell r="L1221">
            <v>1</v>
          </cell>
          <cell r="M1221" t="str">
            <v>human</v>
          </cell>
          <cell r="N1221" t="str">
            <v>ヒューマン</v>
          </cell>
          <cell r="O1221">
            <v>0.94</v>
          </cell>
          <cell r="P1221">
            <v>0.99</v>
          </cell>
          <cell r="Q1221">
            <v>1</v>
          </cell>
          <cell r="R1221" t="str">
            <v>Boss</v>
          </cell>
          <cell r="S1221">
            <v>5</v>
          </cell>
          <cell r="T1221">
            <v>1.3</v>
          </cell>
          <cell r="U1221">
            <v>0.8</v>
          </cell>
          <cell r="V1221">
            <v>3</v>
          </cell>
          <cell r="W1221">
            <v>1</v>
          </cell>
          <cell r="X1221">
            <v>60</v>
          </cell>
          <cell r="Y1221">
            <v>1.7</v>
          </cell>
          <cell r="Z1221">
            <v>1.4</v>
          </cell>
          <cell r="AA1221">
            <v>1</v>
          </cell>
          <cell r="AB1221">
            <v>0</v>
          </cell>
        </row>
        <row r="1222">
          <cell r="A1222">
            <v>1221</v>
          </cell>
          <cell r="B1222" t="str">
            <v>命愛の恋劇家 シェイクスピア</v>
          </cell>
          <cell r="C1222">
            <v>6</v>
          </cell>
          <cell r="D1222" t="str">
            <v>yellow</v>
          </cell>
          <cell r="E1222">
            <v>0.98</v>
          </cell>
          <cell r="F1222">
            <v>1.01</v>
          </cell>
          <cell r="G1222">
            <v>1</v>
          </cell>
          <cell r="H1222" t="str">
            <v>balance</v>
          </cell>
          <cell r="I1222" t="str">
            <v>バランスタイプ</v>
          </cell>
          <cell r="J1222">
            <v>1</v>
          </cell>
          <cell r="K1222">
            <v>1</v>
          </cell>
          <cell r="L1222">
            <v>1</v>
          </cell>
          <cell r="M1222" t="str">
            <v>human</v>
          </cell>
          <cell r="N1222" t="str">
            <v>ヒューマン</v>
          </cell>
          <cell r="O1222">
            <v>0.94</v>
          </cell>
          <cell r="P1222">
            <v>0.99</v>
          </cell>
          <cell r="Q1222">
            <v>1</v>
          </cell>
          <cell r="R1222" t="str">
            <v>Boss</v>
          </cell>
          <cell r="S1222">
            <v>5</v>
          </cell>
          <cell r="T1222">
            <v>1.3</v>
          </cell>
          <cell r="U1222">
            <v>0.8</v>
          </cell>
          <cell r="V1222">
            <v>3</v>
          </cell>
          <cell r="W1222">
            <v>1</v>
          </cell>
          <cell r="X1222">
            <v>60</v>
          </cell>
          <cell r="Y1222">
            <v>1.7</v>
          </cell>
          <cell r="Z1222">
            <v>1.4</v>
          </cell>
          <cell r="AA1222">
            <v>1</v>
          </cell>
          <cell r="AB1222">
            <v>0</v>
          </cell>
        </row>
        <row r="1223">
          <cell r="A1223">
            <v>1222</v>
          </cell>
          <cell r="B1223" t="str">
            <v>カフカ</v>
          </cell>
          <cell r="C1223">
            <v>5</v>
          </cell>
          <cell r="D1223" t="str">
            <v>blue</v>
          </cell>
          <cell r="E1223">
            <v>1</v>
          </cell>
          <cell r="F1223">
            <v>0.98</v>
          </cell>
          <cell r="G1223">
            <v>1</v>
          </cell>
          <cell r="H1223" t="str">
            <v>technical</v>
          </cell>
          <cell r="I1223" t="str">
            <v>テクニカルタイプ</v>
          </cell>
          <cell r="J1223">
            <v>0.9</v>
          </cell>
          <cell r="K1223">
            <v>0.9</v>
          </cell>
          <cell r="L1223">
            <v>1</v>
          </cell>
          <cell r="M1223" t="str">
            <v>human</v>
          </cell>
          <cell r="N1223" t="str">
            <v>ヒューマン</v>
          </cell>
          <cell r="O1223">
            <v>0.94</v>
          </cell>
          <cell r="P1223">
            <v>0.99</v>
          </cell>
          <cell r="Q1223">
            <v>1</v>
          </cell>
          <cell r="R1223" t="str">
            <v>Boss</v>
          </cell>
          <cell r="S1223">
            <v>5</v>
          </cell>
          <cell r="T1223">
            <v>1.3</v>
          </cell>
          <cell r="U1223">
            <v>0.8</v>
          </cell>
          <cell r="V1223">
            <v>3</v>
          </cell>
          <cell r="W1223">
            <v>1</v>
          </cell>
          <cell r="X1223">
            <v>60</v>
          </cell>
          <cell r="Y1223">
            <v>1.7</v>
          </cell>
          <cell r="Z1223">
            <v>1.4</v>
          </cell>
          <cell r="AA1223">
            <v>1</v>
          </cell>
          <cell r="AB1223">
            <v>0</v>
          </cell>
        </row>
        <row r="1224">
          <cell r="A1224">
            <v>1223</v>
          </cell>
          <cell r="B1224" t="str">
            <v>凌蛾の変身 カフカ</v>
          </cell>
          <cell r="C1224">
            <v>6</v>
          </cell>
          <cell r="D1224" t="str">
            <v>blue</v>
          </cell>
          <cell r="E1224">
            <v>1</v>
          </cell>
          <cell r="F1224">
            <v>0.98</v>
          </cell>
          <cell r="G1224">
            <v>1</v>
          </cell>
          <cell r="H1224" t="str">
            <v>technical</v>
          </cell>
          <cell r="I1224" t="str">
            <v>テクニカルタイプ</v>
          </cell>
          <cell r="J1224">
            <v>0.9</v>
          </cell>
          <cell r="K1224">
            <v>0.9</v>
          </cell>
          <cell r="L1224">
            <v>1</v>
          </cell>
          <cell r="M1224" t="str">
            <v>human</v>
          </cell>
          <cell r="N1224" t="str">
            <v>ヒューマン</v>
          </cell>
          <cell r="O1224">
            <v>0.94</v>
          </cell>
          <cell r="P1224">
            <v>0.99</v>
          </cell>
          <cell r="Q1224">
            <v>1</v>
          </cell>
          <cell r="R1224" t="str">
            <v>Boss</v>
          </cell>
          <cell r="S1224">
            <v>5</v>
          </cell>
          <cell r="T1224">
            <v>1.3</v>
          </cell>
          <cell r="U1224">
            <v>0.8</v>
          </cell>
          <cell r="V1224">
            <v>3</v>
          </cell>
          <cell r="W1224">
            <v>1</v>
          </cell>
          <cell r="X1224">
            <v>60</v>
          </cell>
          <cell r="Y1224">
            <v>1.7</v>
          </cell>
          <cell r="Z1224">
            <v>1.4</v>
          </cell>
          <cell r="AA1224">
            <v>1</v>
          </cell>
          <cell r="AB1224">
            <v>0</v>
          </cell>
        </row>
        <row r="1225">
          <cell r="A1225">
            <v>1224</v>
          </cell>
          <cell r="B1225" t="str">
            <v>セルバンテス</v>
          </cell>
          <cell r="C1225">
            <v>4</v>
          </cell>
          <cell r="D1225" t="str">
            <v>red</v>
          </cell>
          <cell r="E1225">
            <v>1</v>
          </cell>
          <cell r="F1225">
            <v>1.02</v>
          </cell>
          <cell r="G1225">
            <v>1</v>
          </cell>
          <cell r="H1225" t="str">
            <v>attack</v>
          </cell>
          <cell r="I1225" t="str">
            <v>攻撃タイプ</v>
          </cell>
          <cell r="J1225">
            <v>1</v>
          </cell>
          <cell r="K1225">
            <v>1.33</v>
          </cell>
          <cell r="L1225">
            <v>1</v>
          </cell>
          <cell r="M1225" t="str">
            <v>human</v>
          </cell>
          <cell r="N1225" t="str">
            <v>ヒューマン</v>
          </cell>
          <cell r="O1225">
            <v>0.94</v>
          </cell>
          <cell r="P1225">
            <v>0.99</v>
          </cell>
          <cell r="Q1225">
            <v>1</v>
          </cell>
          <cell r="R1225" t="str">
            <v>Boss</v>
          </cell>
          <cell r="S1225">
            <v>5</v>
          </cell>
          <cell r="T1225">
            <v>1.3</v>
          </cell>
          <cell r="U1225">
            <v>0.8</v>
          </cell>
          <cell r="V1225">
            <v>3</v>
          </cell>
          <cell r="W1225">
            <v>1</v>
          </cell>
          <cell r="X1225">
            <v>30</v>
          </cell>
          <cell r="Y1225">
            <v>1.3</v>
          </cell>
          <cell r="Z1225">
            <v>1.3</v>
          </cell>
          <cell r="AA1225">
            <v>1.1000000000000001</v>
          </cell>
          <cell r="AB1225">
            <v>0</v>
          </cell>
        </row>
        <row r="1226">
          <cell r="A1226">
            <v>1225</v>
          </cell>
          <cell r="B1226" t="str">
            <v>優柔なる風断者 セルバンテス</v>
          </cell>
          <cell r="C1226">
            <v>5</v>
          </cell>
          <cell r="D1226" t="str">
            <v>red</v>
          </cell>
          <cell r="E1226">
            <v>1</v>
          </cell>
          <cell r="F1226">
            <v>1.02</v>
          </cell>
          <cell r="G1226">
            <v>1</v>
          </cell>
          <cell r="H1226" t="str">
            <v>attack</v>
          </cell>
          <cell r="I1226" t="str">
            <v>攻撃タイプ</v>
          </cell>
          <cell r="J1226">
            <v>1</v>
          </cell>
          <cell r="K1226">
            <v>1.33</v>
          </cell>
          <cell r="L1226">
            <v>1</v>
          </cell>
          <cell r="M1226" t="str">
            <v>human</v>
          </cell>
          <cell r="N1226" t="str">
            <v>ヒューマン</v>
          </cell>
          <cell r="O1226">
            <v>0.94</v>
          </cell>
          <cell r="P1226">
            <v>0.99</v>
          </cell>
          <cell r="Q1226">
            <v>1</v>
          </cell>
          <cell r="R1226" t="str">
            <v>Boss</v>
          </cell>
          <cell r="S1226">
            <v>5</v>
          </cell>
          <cell r="T1226">
            <v>1.3</v>
          </cell>
          <cell r="U1226">
            <v>0.8</v>
          </cell>
          <cell r="V1226">
            <v>3</v>
          </cell>
          <cell r="W1226">
            <v>1</v>
          </cell>
          <cell r="X1226">
            <v>60</v>
          </cell>
          <cell r="Y1226">
            <v>1.7</v>
          </cell>
          <cell r="Z1226">
            <v>1.4</v>
          </cell>
          <cell r="AA1226">
            <v>1</v>
          </cell>
          <cell r="AB1226">
            <v>0</v>
          </cell>
        </row>
        <row r="1227">
          <cell r="A1227">
            <v>1226</v>
          </cell>
          <cell r="B1227" t="str">
            <v>トルストイ</v>
          </cell>
          <cell r="C1227">
            <v>5</v>
          </cell>
          <cell r="D1227" t="str">
            <v>green</v>
          </cell>
          <cell r="E1227">
            <v>1.02</v>
          </cell>
          <cell r="F1227">
            <v>0.98</v>
          </cell>
          <cell r="G1227">
            <v>1</v>
          </cell>
          <cell r="H1227" t="str">
            <v>attack</v>
          </cell>
          <cell r="I1227" t="str">
            <v>攻撃タイプ</v>
          </cell>
          <cell r="J1227">
            <v>1</v>
          </cell>
          <cell r="K1227">
            <v>1.33</v>
          </cell>
          <cell r="L1227">
            <v>1</v>
          </cell>
          <cell r="M1227" t="str">
            <v>human</v>
          </cell>
          <cell r="N1227" t="str">
            <v>ヒューマン</v>
          </cell>
          <cell r="O1227">
            <v>0.94</v>
          </cell>
          <cell r="P1227">
            <v>0.99</v>
          </cell>
          <cell r="Q1227">
            <v>1</v>
          </cell>
          <cell r="R1227" t="str">
            <v>Boss</v>
          </cell>
          <cell r="S1227">
            <v>5</v>
          </cell>
          <cell r="T1227">
            <v>1.3</v>
          </cell>
          <cell r="U1227">
            <v>0.8</v>
          </cell>
          <cell r="V1227">
            <v>3</v>
          </cell>
          <cell r="W1227">
            <v>1</v>
          </cell>
          <cell r="X1227">
            <v>60</v>
          </cell>
          <cell r="Y1227">
            <v>1.7</v>
          </cell>
          <cell r="Z1227">
            <v>1.4</v>
          </cell>
          <cell r="AA1227">
            <v>1</v>
          </cell>
          <cell r="AB1227">
            <v>0</v>
          </cell>
        </row>
        <row r="1228">
          <cell r="A1228">
            <v>1227</v>
          </cell>
          <cell r="B1228" t="str">
            <v>欲望の占猟者 トルストイ</v>
          </cell>
          <cell r="C1228">
            <v>6</v>
          </cell>
          <cell r="D1228" t="str">
            <v>green</v>
          </cell>
          <cell r="E1228">
            <v>1.02</v>
          </cell>
          <cell r="F1228">
            <v>0.98</v>
          </cell>
          <cell r="G1228">
            <v>1</v>
          </cell>
          <cell r="H1228" t="str">
            <v>attack</v>
          </cell>
          <cell r="I1228" t="str">
            <v>攻撃タイプ</v>
          </cell>
          <cell r="J1228">
            <v>1</v>
          </cell>
          <cell r="K1228">
            <v>1.33</v>
          </cell>
          <cell r="L1228">
            <v>1</v>
          </cell>
          <cell r="M1228" t="str">
            <v>human</v>
          </cell>
          <cell r="N1228" t="str">
            <v>ヒューマン</v>
          </cell>
          <cell r="O1228">
            <v>0.94</v>
          </cell>
          <cell r="P1228">
            <v>0.99</v>
          </cell>
          <cell r="Q1228">
            <v>1</v>
          </cell>
          <cell r="R1228" t="str">
            <v>Boss</v>
          </cell>
          <cell r="S1228">
            <v>5</v>
          </cell>
          <cell r="T1228">
            <v>1.3</v>
          </cell>
          <cell r="U1228">
            <v>0.8</v>
          </cell>
          <cell r="V1228">
            <v>3</v>
          </cell>
          <cell r="W1228">
            <v>1</v>
          </cell>
          <cell r="X1228">
            <v>60</v>
          </cell>
          <cell r="Y1228">
            <v>1.7</v>
          </cell>
          <cell r="Z1228">
            <v>1.4</v>
          </cell>
          <cell r="AA1228">
            <v>1</v>
          </cell>
          <cell r="AB1228">
            <v>0</v>
          </cell>
        </row>
        <row r="1229">
          <cell r="A1229">
            <v>1228</v>
          </cell>
          <cell r="B1229" t="str">
            <v>芥川龍之介</v>
          </cell>
          <cell r="C1229">
            <v>5</v>
          </cell>
          <cell r="D1229" t="str">
            <v>blue</v>
          </cell>
          <cell r="E1229">
            <v>1</v>
          </cell>
          <cell r="F1229">
            <v>0.98</v>
          </cell>
          <cell r="G1229">
            <v>1</v>
          </cell>
          <cell r="H1229" t="str">
            <v>attack</v>
          </cell>
          <cell r="I1229" t="str">
            <v>攻撃タイプ</v>
          </cell>
          <cell r="J1229">
            <v>1</v>
          </cell>
          <cell r="K1229">
            <v>1.33</v>
          </cell>
          <cell r="L1229">
            <v>1</v>
          </cell>
          <cell r="M1229" t="str">
            <v>human</v>
          </cell>
          <cell r="N1229" t="str">
            <v>ヒューマン</v>
          </cell>
          <cell r="O1229">
            <v>0.94</v>
          </cell>
          <cell r="P1229">
            <v>0.99</v>
          </cell>
          <cell r="Q1229">
            <v>1</v>
          </cell>
          <cell r="R1229" t="str">
            <v>Boss</v>
          </cell>
          <cell r="S1229">
            <v>5</v>
          </cell>
          <cell r="T1229">
            <v>1.3</v>
          </cell>
          <cell r="U1229">
            <v>0.8</v>
          </cell>
          <cell r="V1229">
            <v>3</v>
          </cell>
          <cell r="W1229">
            <v>1</v>
          </cell>
          <cell r="X1229">
            <v>60</v>
          </cell>
          <cell r="Y1229">
            <v>1.7</v>
          </cell>
          <cell r="Z1229">
            <v>1.4</v>
          </cell>
          <cell r="AA1229">
            <v>1</v>
          </cell>
          <cell r="AB1229">
            <v>0</v>
          </cell>
        </row>
        <row r="1230">
          <cell r="A1230">
            <v>1229</v>
          </cell>
          <cell r="B1230" t="str">
            <v>羅生の鬼我 芥川龍之介</v>
          </cell>
          <cell r="C1230">
            <v>6</v>
          </cell>
          <cell r="D1230" t="str">
            <v>blue</v>
          </cell>
          <cell r="E1230">
            <v>1</v>
          </cell>
          <cell r="F1230">
            <v>0.98</v>
          </cell>
          <cell r="G1230">
            <v>1</v>
          </cell>
          <cell r="H1230" t="str">
            <v>attack</v>
          </cell>
          <cell r="I1230" t="str">
            <v>攻撃タイプ</v>
          </cell>
          <cell r="J1230">
            <v>1</v>
          </cell>
          <cell r="K1230">
            <v>1.33</v>
          </cell>
          <cell r="L1230">
            <v>1</v>
          </cell>
          <cell r="M1230" t="str">
            <v>human</v>
          </cell>
          <cell r="N1230" t="str">
            <v>ヒューマン</v>
          </cell>
          <cell r="O1230">
            <v>0.94</v>
          </cell>
          <cell r="P1230">
            <v>0.99</v>
          </cell>
          <cell r="Q1230">
            <v>1</v>
          </cell>
          <cell r="R1230" t="str">
            <v>Boss</v>
          </cell>
          <cell r="S1230">
            <v>5</v>
          </cell>
          <cell r="T1230">
            <v>1.3</v>
          </cell>
          <cell r="U1230">
            <v>0.8</v>
          </cell>
          <cell r="V1230">
            <v>3</v>
          </cell>
          <cell r="W1230">
            <v>1</v>
          </cell>
          <cell r="X1230">
            <v>60</v>
          </cell>
          <cell r="Y1230">
            <v>1.7</v>
          </cell>
          <cell r="Z1230">
            <v>1.4</v>
          </cell>
          <cell r="AA1230">
            <v>1</v>
          </cell>
          <cell r="AB1230">
            <v>0</v>
          </cell>
        </row>
        <row r="1231">
          <cell r="A1231">
            <v>1230</v>
          </cell>
          <cell r="B1231" t="str">
            <v>夏目漱石</v>
          </cell>
          <cell r="C1231">
            <v>5</v>
          </cell>
          <cell r="D1231" t="str">
            <v>yellow</v>
          </cell>
          <cell r="E1231">
            <v>0.98</v>
          </cell>
          <cell r="F1231">
            <v>1.01</v>
          </cell>
          <cell r="G1231">
            <v>1</v>
          </cell>
          <cell r="H1231" t="str">
            <v>heal</v>
          </cell>
          <cell r="I1231" t="str">
            <v>回復タイプ</v>
          </cell>
          <cell r="J1231">
            <v>0.8</v>
          </cell>
          <cell r="K1231">
            <v>0.78</v>
          </cell>
          <cell r="L1231">
            <v>1</v>
          </cell>
          <cell r="M1231" t="str">
            <v>animal</v>
          </cell>
          <cell r="N1231" t="str">
            <v>アニマル</v>
          </cell>
          <cell r="O1231">
            <v>1</v>
          </cell>
          <cell r="P1231">
            <v>1.1000000000000001</v>
          </cell>
          <cell r="Q1231">
            <v>1</v>
          </cell>
          <cell r="R1231" t="str">
            <v>Boss</v>
          </cell>
          <cell r="S1231">
            <v>5</v>
          </cell>
          <cell r="T1231">
            <v>1.3</v>
          </cell>
          <cell r="U1231">
            <v>0.8</v>
          </cell>
          <cell r="V1231">
            <v>3</v>
          </cell>
          <cell r="W1231">
            <v>1</v>
          </cell>
          <cell r="X1231">
            <v>60</v>
          </cell>
          <cell r="Y1231">
            <v>1.7</v>
          </cell>
          <cell r="Z1231">
            <v>1.4</v>
          </cell>
          <cell r="AA1231">
            <v>1</v>
          </cell>
          <cell r="AB1231">
            <v>0</v>
          </cell>
        </row>
        <row r="1232">
          <cell r="A1232">
            <v>1231</v>
          </cell>
          <cell r="B1232" t="str">
            <v>思索する愛猫 夏目漱石</v>
          </cell>
          <cell r="C1232">
            <v>6</v>
          </cell>
          <cell r="D1232" t="str">
            <v>yellow</v>
          </cell>
          <cell r="E1232">
            <v>0.98</v>
          </cell>
          <cell r="F1232">
            <v>1.01</v>
          </cell>
          <cell r="G1232">
            <v>1</v>
          </cell>
          <cell r="H1232" t="str">
            <v>heal</v>
          </cell>
          <cell r="I1232" t="str">
            <v>回復タイプ</v>
          </cell>
          <cell r="J1232">
            <v>0.8</v>
          </cell>
          <cell r="K1232">
            <v>0.78</v>
          </cell>
          <cell r="L1232">
            <v>1</v>
          </cell>
          <cell r="M1232" t="str">
            <v>animal</v>
          </cell>
          <cell r="N1232" t="str">
            <v>アニマル</v>
          </cell>
          <cell r="O1232">
            <v>1</v>
          </cell>
          <cell r="P1232">
            <v>1.1000000000000001</v>
          </cell>
          <cell r="Q1232">
            <v>1</v>
          </cell>
          <cell r="R1232" t="str">
            <v>Boss</v>
          </cell>
          <cell r="S1232">
            <v>5</v>
          </cell>
          <cell r="T1232">
            <v>1.3</v>
          </cell>
          <cell r="U1232">
            <v>0.8</v>
          </cell>
          <cell r="V1232">
            <v>3</v>
          </cell>
          <cell r="W1232">
            <v>1</v>
          </cell>
          <cell r="X1232">
            <v>60</v>
          </cell>
          <cell r="Y1232">
            <v>1.7</v>
          </cell>
          <cell r="Z1232">
            <v>1.4</v>
          </cell>
          <cell r="AA1232">
            <v>1</v>
          </cell>
          <cell r="AB1232">
            <v>0</v>
          </cell>
        </row>
        <row r="1233">
          <cell r="A1233">
            <v>1232</v>
          </cell>
          <cell r="B1233" t="str">
            <v>ケプラー</v>
          </cell>
          <cell r="C1233">
            <v>5</v>
          </cell>
          <cell r="D1233" t="str">
            <v>yellow</v>
          </cell>
          <cell r="E1233">
            <v>0.98</v>
          </cell>
          <cell r="F1233">
            <v>1.01</v>
          </cell>
          <cell r="G1233">
            <v>1</v>
          </cell>
          <cell r="H1233" t="str">
            <v>attack</v>
          </cell>
          <cell r="I1233" t="str">
            <v>攻撃タイプ</v>
          </cell>
          <cell r="J1233">
            <v>1</v>
          </cell>
          <cell r="K1233">
            <v>1.33</v>
          </cell>
          <cell r="L1233">
            <v>1</v>
          </cell>
          <cell r="M1233" t="str">
            <v>academia</v>
          </cell>
          <cell r="N1233" t="str">
            <v>アカデミア</v>
          </cell>
          <cell r="O1233">
            <v>1</v>
          </cell>
          <cell r="P1233">
            <v>1</v>
          </cell>
          <cell r="Q1233">
            <v>1</v>
          </cell>
          <cell r="R1233" t="str">
            <v>Boss</v>
          </cell>
          <cell r="S1233">
            <v>5</v>
          </cell>
          <cell r="T1233">
            <v>1.3</v>
          </cell>
          <cell r="U1233">
            <v>0.8</v>
          </cell>
          <cell r="V1233">
            <v>3</v>
          </cell>
          <cell r="W1233">
            <v>1</v>
          </cell>
          <cell r="X1233">
            <v>60</v>
          </cell>
          <cell r="Y1233">
            <v>1.7</v>
          </cell>
          <cell r="Z1233">
            <v>1.4</v>
          </cell>
          <cell r="AA1233">
            <v>1</v>
          </cell>
          <cell r="AB1233">
            <v>0</v>
          </cell>
        </row>
        <row r="1234">
          <cell r="A1234">
            <v>1233</v>
          </cell>
          <cell r="B1234" t="str">
            <v>天体の大砲速 ケプラー</v>
          </cell>
          <cell r="C1234">
            <v>6</v>
          </cell>
          <cell r="D1234" t="str">
            <v>yellow</v>
          </cell>
          <cell r="E1234">
            <v>0.98</v>
          </cell>
          <cell r="F1234">
            <v>1.01</v>
          </cell>
          <cell r="G1234">
            <v>1</v>
          </cell>
          <cell r="H1234" t="str">
            <v>attack</v>
          </cell>
          <cell r="I1234" t="str">
            <v>攻撃タイプ</v>
          </cell>
          <cell r="J1234">
            <v>1</v>
          </cell>
          <cell r="K1234">
            <v>1.33</v>
          </cell>
          <cell r="L1234">
            <v>1</v>
          </cell>
          <cell r="M1234" t="str">
            <v>academia</v>
          </cell>
          <cell r="N1234" t="str">
            <v>アカデミア</v>
          </cell>
          <cell r="O1234">
            <v>1</v>
          </cell>
          <cell r="P1234">
            <v>1</v>
          </cell>
          <cell r="Q1234">
            <v>1</v>
          </cell>
          <cell r="R1234" t="str">
            <v>Boss</v>
          </cell>
          <cell r="S1234">
            <v>5</v>
          </cell>
          <cell r="T1234">
            <v>1.3</v>
          </cell>
          <cell r="U1234">
            <v>0.8</v>
          </cell>
          <cell r="V1234">
            <v>3</v>
          </cell>
          <cell r="W1234">
            <v>1</v>
          </cell>
          <cell r="X1234">
            <v>60</v>
          </cell>
          <cell r="Y1234">
            <v>1.7</v>
          </cell>
          <cell r="Z1234">
            <v>1.4</v>
          </cell>
          <cell r="AA1234">
            <v>1</v>
          </cell>
          <cell r="AB1234">
            <v>0</v>
          </cell>
        </row>
        <row r="1235">
          <cell r="A1235">
            <v>1234</v>
          </cell>
          <cell r="B1235" t="str">
            <v>ボーア</v>
          </cell>
          <cell r="C1235">
            <v>5</v>
          </cell>
          <cell r="D1235" t="str">
            <v>red</v>
          </cell>
          <cell r="E1235">
            <v>1</v>
          </cell>
          <cell r="F1235">
            <v>1.02</v>
          </cell>
          <cell r="G1235">
            <v>1</v>
          </cell>
          <cell r="H1235" t="str">
            <v>attack</v>
          </cell>
          <cell r="I1235" t="str">
            <v>攻撃タイプ</v>
          </cell>
          <cell r="J1235">
            <v>1</v>
          </cell>
          <cell r="K1235">
            <v>1.33</v>
          </cell>
          <cell r="L1235">
            <v>1</v>
          </cell>
          <cell r="M1235" t="str">
            <v>academia</v>
          </cell>
          <cell r="N1235" t="str">
            <v>アカデミア</v>
          </cell>
          <cell r="O1235">
            <v>1</v>
          </cell>
          <cell r="P1235">
            <v>1</v>
          </cell>
          <cell r="Q1235">
            <v>1</v>
          </cell>
          <cell r="R1235" t="str">
            <v>Boss</v>
          </cell>
          <cell r="S1235">
            <v>5</v>
          </cell>
          <cell r="T1235">
            <v>1.3</v>
          </cell>
          <cell r="U1235">
            <v>0.8</v>
          </cell>
          <cell r="V1235">
            <v>3</v>
          </cell>
          <cell r="W1235">
            <v>1</v>
          </cell>
          <cell r="X1235">
            <v>60</v>
          </cell>
          <cell r="Y1235">
            <v>1.7</v>
          </cell>
          <cell r="Z1235">
            <v>1.4</v>
          </cell>
          <cell r="AA1235">
            <v>1</v>
          </cell>
          <cell r="AB1235">
            <v>0</v>
          </cell>
        </row>
        <row r="1236">
          <cell r="A1236">
            <v>1235</v>
          </cell>
          <cell r="B1236" t="str">
            <v>哲壁の育護者 ボーア</v>
          </cell>
          <cell r="C1236">
            <v>6</v>
          </cell>
          <cell r="D1236" t="str">
            <v>red</v>
          </cell>
          <cell r="E1236">
            <v>1</v>
          </cell>
          <cell r="F1236">
            <v>1.02</v>
          </cell>
          <cell r="G1236">
            <v>1</v>
          </cell>
          <cell r="H1236" t="str">
            <v>attack</v>
          </cell>
          <cell r="I1236" t="str">
            <v>攻撃タイプ</v>
          </cell>
          <cell r="J1236">
            <v>1</v>
          </cell>
          <cell r="K1236">
            <v>1.33</v>
          </cell>
          <cell r="L1236">
            <v>1</v>
          </cell>
          <cell r="M1236" t="str">
            <v>academia</v>
          </cell>
          <cell r="N1236" t="str">
            <v>アカデミア</v>
          </cell>
          <cell r="O1236">
            <v>1</v>
          </cell>
          <cell r="P1236">
            <v>1</v>
          </cell>
          <cell r="Q1236">
            <v>1</v>
          </cell>
          <cell r="R1236" t="str">
            <v>Boss</v>
          </cell>
          <cell r="S1236">
            <v>5</v>
          </cell>
          <cell r="T1236">
            <v>1.3</v>
          </cell>
          <cell r="U1236">
            <v>0.8</v>
          </cell>
          <cell r="V1236">
            <v>3</v>
          </cell>
          <cell r="W1236">
            <v>1</v>
          </cell>
          <cell r="X1236">
            <v>60</v>
          </cell>
          <cell r="Y1236">
            <v>1.7</v>
          </cell>
          <cell r="Z1236">
            <v>1.4</v>
          </cell>
          <cell r="AA1236">
            <v>1</v>
          </cell>
          <cell r="AB1236">
            <v>0</v>
          </cell>
        </row>
        <row r="1237">
          <cell r="A1237">
            <v>1236</v>
          </cell>
          <cell r="B1237" t="str">
            <v>千利休</v>
          </cell>
          <cell r="C1237">
            <v>4</v>
          </cell>
          <cell r="D1237" t="str">
            <v>yellow</v>
          </cell>
          <cell r="E1237">
            <v>0.98</v>
          </cell>
          <cell r="F1237">
            <v>1.01</v>
          </cell>
          <cell r="G1237">
            <v>1</v>
          </cell>
          <cell r="H1237" t="str">
            <v>balance</v>
          </cell>
          <cell r="I1237" t="str">
            <v>バランスタイプ</v>
          </cell>
          <cell r="J1237">
            <v>1</v>
          </cell>
          <cell r="K1237">
            <v>1</v>
          </cell>
          <cell r="L1237">
            <v>1</v>
          </cell>
          <cell r="M1237" t="str">
            <v>unknown</v>
          </cell>
          <cell r="N1237" t="str">
            <v>Unknown</v>
          </cell>
          <cell r="O1237">
            <v>1</v>
          </cell>
          <cell r="P1237">
            <v>1</v>
          </cell>
          <cell r="Q1237">
            <v>1</v>
          </cell>
          <cell r="R1237" t="str">
            <v>Boss</v>
          </cell>
          <cell r="S1237">
            <v>5</v>
          </cell>
          <cell r="T1237">
            <v>1.3</v>
          </cell>
          <cell r="U1237">
            <v>0.8</v>
          </cell>
          <cell r="V1237">
            <v>3</v>
          </cell>
          <cell r="W1237">
            <v>1</v>
          </cell>
          <cell r="X1237">
            <v>30</v>
          </cell>
          <cell r="Y1237">
            <v>1.3</v>
          </cell>
          <cell r="Z1237">
            <v>1.3</v>
          </cell>
          <cell r="AA1237">
            <v>1.1000000000000001</v>
          </cell>
          <cell r="AB1237">
            <v>0</v>
          </cell>
        </row>
        <row r="1238">
          <cell r="A1238">
            <v>1237</v>
          </cell>
          <cell r="B1238" t="str">
            <v>夢茶の目付役 千利休</v>
          </cell>
          <cell r="C1238">
            <v>5</v>
          </cell>
          <cell r="D1238" t="str">
            <v>yellow</v>
          </cell>
          <cell r="E1238">
            <v>0.98</v>
          </cell>
          <cell r="F1238">
            <v>1.01</v>
          </cell>
          <cell r="G1238">
            <v>1</v>
          </cell>
          <cell r="H1238" t="str">
            <v>balance</v>
          </cell>
          <cell r="I1238" t="str">
            <v>バランスタイプ</v>
          </cell>
          <cell r="J1238">
            <v>1</v>
          </cell>
          <cell r="K1238">
            <v>1</v>
          </cell>
          <cell r="L1238">
            <v>1</v>
          </cell>
          <cell r="M1238" t="str">
            <v>unknown</v>
          </cell>
          <cell r="N1238" t="str">
            <v>Unknown</v>
          </cell>
          <cell r="O1238">
            <v>1</v>
          </cell>
          <cell r="P1238">
            <v>1</v>
          </cell>
          <cell r="Q1238">
            <v>1</v>
          </cell>
          <cell r="R1238" t="str">
            <v>Boss</v>
          </cell>
          <cell r="S1238">
            <v>5</v>
          </cell>
          <cell r="T1238">
            <v>1.3</v>
          </cell>
          <cell r="U1238">
            <v>0.8</v>
          </cell>
          <cell r="V1238">
            <v>3</v>
          </cell>
          <cell r="W1238">
            <v>1</v>
          </cell>
          <cell r="X1238">
            <v>60</v>
          </cell>
          <cell r="Y1238">
            <v>1.7</v>
          </cell>
          <cell r="Z1238">
            <v>1.4</v>
          </cell>
          <cell r="AA1238">
            <v>1</v>
          </cell>
          <cell r="AB1238">
            <v>0</v>
          </cell>
        </row>
        <row r="1239">
          <cell r="A1239">
            <v>1238</v>
          </cell>
          <cell r="B1239" t="str">
            <v>服部半蔵</v>
          </cell>
          <cell r="C1239">
            <v>5</v>
          </cell>
          <cell r="D1239" t="str">
            <v>green</v>
          </cell>
          <cell r="E1239">
            <v>1.02</v>
          </cell>
          <cell r="F1239">
            <v>0.98</v>
          </cell>
          <cell r="G1239">
            <v>1</v>
          </cell>
          <cell r="H1239" t="str">
            <v>hp</v>
          </cell>
          <cell r="I1239" t="str">
            <v>体力タイプ</v>
          </cell>
          <cell r="J1239">
            <v>1.45</v>
          </cell>
          <cell r="K1239">
            <v>0.85</v>
          </cell>
          <cell r="L1239">
            <v>1</v>
          </cell>
          <cell r="M1239" t="str">
            <v>human</v>
          </cell>
          <cell r="N1239" t="str">
            <v>ヒューマン</v>
          </cell>
          <cell r="O1239">
            <v>0.94</v>
          </cell>
          <cell r="P1239">
            <v>0.99</v>
          </cell>
          <cell r="Q1239">
            <v>1</v>
          </cell>
          <cell r="R1239" t="str">
            <v>Boss</v>
          </cell>
          <cell r="S1239">
            <v>5</v>
          </cell>
          <cell r="T1239">
            <v>1.3</v>
          </cell>
          <cell r="U1239">
            <v>0.8</v>
          </cell>
          <cell r="V1239">
            <v>3</v>
          </cell>
          <cell r="W1239">
            <v>1</v>
          </cell>
          <cell r="X1239">
            <v>60</v>
          </cell>
          <cell r="Y1239">
            <v>1.7</v>
          </cell>
          <cell r="Z1239">
            <v>1.4</v>
          </cell>
          <cell r="AA1239">
            <v>1</v>
          </cell>
          <cell r="AB1239">
            <v>0</v>
          </cell>
        </row>
        <row r="1240">
          <cell r="A1240">
            <v>1239</v>
          </cell>
          <cell r="B1240" t="str">
            <v>音無の機密忍 服部半蔵</v>
          </cell>
          <cell r="C1240">
            <v>6</v>
          </cell>
          <cell r="D1240" t="str">
            <v>green</v>
          </cell>
          <cell r="E1240">
            <v>1.02</v>
          </cell>
          <cell r="F1240">
            <v>0.98</v>
          </cell>
          <cell r="G1240">
            <v>1</v>
          </cell>
          <cell r="H1240" t="str">
            <v>hp</v>
          </cell>
          <cell r="I1240" t="str">
            <v>体力タイプ</v>
          </cell>
          <cell r="J1240">
            <v>1.45</v>
          </cell>
          <cell r="K1240">
            <v>0.85</v>
          </cell>
          <cell r="L1240">
            <v>1</v>
          </cell>
          <cell r="M1240" t="str">
            <v>human</v>
          </cell>
          <cell r="N1240" t="str">
            <v>ヒューマン</v>
          </cell>
          <cell r="O1240">
            <v>0.94</v>
          </cell>
          <cell r="P1240">
            <v>0.99</v>
          </cell>
          <cell r="Q1240">
            <v>1</v>
          </cell>
          <cell r="R1240" t="str">
            <v>Boss</v>
          </cell>
          <cell r="S1240">
            <v>5</v>
          </cell>
          <cell r="T1240">
            <v>1.3</v>
          </cell>
          <cell r="U1240">
            <v>0.8</v>
          </cell>
          <cell r="V1240">
            <v>3</v>
          </cell>
          <cell r="W1240">
            <v>1</v>
          </cell>
          <cell r="X1240">
            <v>60</v>
          </cell>
          <cell r="Y1240">
            <v>1.7</v>
          </cell>
          <cell r="Z1240">
            <v>1.4</v>
          </cell>
          <cell r="AA1240">
            <v>1</v>
          </cell>
          <cell r="AB1240">
            <v>0</v>
          </cell>
        </row>
        <row r="1241">
          <cell r="A1241">
            <v>1240</v>
          </cell>
          <cell r="B1241" t="str">
            <v>竹中半兵衛</v>
          </cell>
          <cell r="C1241">
            <v>5</v>
          </cell>
          <cell r="D1241" t="str">
            <v>blue</v>
          </cell>
          <cell r="E1241">
            <v>1</v>
          </cell>
          <cell r="F1241">
            <v>0.98</v>
          </cell>
          <cell r="G1241">
            <v>1</v>
          </cell>
          <cell r="H1241" t="str">
            <v>hp</v>
          </cell>
          <cell r="I1241" t="str">
            <v>体力タイプ</v>
          </cell>
          <cell r="J1241">
            <v>1.45</v>
          </cell>
          <cell r="K1241">
            <v>0.85</v>
          </cell>
          <cell r="L1241">
            <v>1</v>
          </cell>
          <cell r="M1241" t="str">
            <v>human</v>
          </cell>
          <cell r="N1241" t="str">
            <v>ヒューマン</v>
          </cell>
          <cell r="O1241">
            <v>0.94</v>
          </cell>
          <cell r="P1241">
            <v>0.99</v>
          </cell>
          <cell r="Q1241">
            <v>1</v>
          </cell>
          <cell r="R1241" t="str">
            <v>Boss</v>
          </cell>
          <cell r="S1241">
            <v>5</v>
          </cell>
          <cell r="T1241">
            <v>1.3</v>
          </cell>
          <cell r="U1241">
            <v>0.8</v>
          </cell>
          <cell r="V1241">
            <v>3</v>
          </cell>
          <cell r="W1241">
            <v>1</v>
          </cell>
          <cell r="X1241">
            <v>60</v>
          </cell>
          <cell r="Y1241">
            <v>1.7</v>
          </cell>
          <cell r="Z1241">
            <v>1.4</v>
          </cell>
          <cell r="AA1241">
            <v>1</v>
          </cell>
          <cell r="AB1241">
            <v>0</v>
          </cell>
        </row>
        <row r="1242">
          <cell r="A1242">
            <v>1241</v>
          </cell>
          <cell r="B1242" t="str">
            <v>巧妙なる嬢舌 竹中半兵衛</v>
          </cell>
          <cell r="C1242">
            <v>6</v>
          </cell>
          <cell r="D1242" t="str">
            <v>blue</v>
          </cell>
          <cell r="E1242">
            <v>1</v>
          </cell>
          <cell r="F1242">
            <v>0.98</v>
          </cell>
          <cell r="G1242">
            <v>1</v>
          </cell>
          <cell r="H1242" t="str">
            <v>hp</v>
          </cell>
          <cell r="I1242" t="str">
            <v>体力タイプ</v>
          </cell>
          <cell r="J1242">
            <v>1.45</v>
          </cell>
          <cell r="K1242">
            <v>0.85</v>
          </cell>
          <cell r="L1242">
            <v>1</v>
          </cell>
          <cell r="M1242" t="str">
            <v>human</v>
          </cell>
          <cell r="N1242" t="str">
            <v>ヒューマン</v>
          </cell>
          <cell r="O1242">
            <v>0.94</v>
          </cell>
          <cell r="P1242">
            <v>0.99</v>
          </cell>
          <cell r="Q1242">
            <v>1</v>
          </cell>
          <cell r="R1242" t="str">
            <v>Boss</v>
          </cell>
          <cell r="S1242">
            <v>5</v>
          </cell>
          <cell r="T1242">
            <v>1.3</v>
          </cell>
          <cell r="U1242">
            <v>0.8</v>
          </cell>
          <cell r="V1242">
            <v>3</v>
          </cell>
          <cell r="W1242">
            <v>1</v>
          </cell>
          <cell r="X1242">
            <v>60</v>
          </cell>
          <cell r="Y1242">
            <v>1.7</v>
          </cell>
          <cell r="Z1242">
            <v>1.4</v>
          </cell>
          <cell r="AA1242">
            <v>1</v>
          </cell>
          <cell r="AB1242">
            <v>0</v>
          </cell>
        </row>
        <row r="1243">
          <cell r="A1243">
            <v>1242</v>
          </cell>
          <cell r="B1243" t="str">
            <v>豊臣秀吉</v>
          </cell>
          <cell r="C1243">
            <v>5</v>
          </cell>
          <cell r="D1243" t="str">
            <v>red</v>
          </cell>
          <cell r="E1243">
            <v>1</v>
          </cell>
          <cell r="F1243">
            <v>1.02</v>
          </cell>
          <cell r="G1243">
            <v>1</v>
          </cell>
          <cell r="H1243" t="str">
            <v>balance</v>
          </cell>
          <cell r="I1243" t="str">
            <v>バランスタイプ</v>
          </cell>
          <cell r="J1243">
            <v>1</v>
          </cell>
          <cell r="K1243">
            <v>1</v>
          </cell>
          <cell r="L1243">
            <v>1</v>
          </cell>
          <cell r="M1243" t="str">
            <v>human</v>
          </cell>
          <cell r="N1243" t="str">
            <v>ヒューマン</v>
          </cell>
          <cell r="O1243">
            <v>0.94</v>
          </cell>
          <cell r="P1243">
            <v>0.99</v>
          </cell>
          <cell r="Q1243">
            <v>1</v>
          </cell>
          <cell r="R1243" t="str">
            <v>Boss</v>
          </cell>
          <cell r="S1243">
            <v>5</v>
          </cell>
          <cell r="T1243">
            <v>1.3</v>
          </cell>
          <cell r="U1243">
            <v>0.8</v>
          </cell>
          <cell r="V1243">
            <v>3</v>
          </cell>
          <cell r="W1243">
            <v>1</v>
          </cell>
          <cell r="X1243">
            <v>60</v>
          </cell>
          <cell r="Y1243">
            <v>1.7</v>
          </cell>
          <cell r="Z1243">
            <v>1.4</v>
          </cell>
          <cell r="AA1243">
            <v>1</v>
          </cell>
          <cell r="AB1243">
            <v>0</v>
          </cell>
        </row>
        <row r="1244">
          <cell r="A1244">
            <v>1243</v>
          </cell>
          <cell r="B1244" t="str">
            <v>新世覇の昇竜 豊臣秀吉</v>
          </cell>
          <cell r="C1244">
            <v>6</v>
          </cell>
          <cell r="D1244" t="str">
            <v>red</v>
          </cell>
          <cell r="E1244">
            <v>1</v>
          </cell>
          <cell r="F1244">
            <v>1.02</v>
          </cell>
          <cell r="G1244">
            <v>1</v>
          </cell>
          <cell r="H1244" t="str">
            <v>balance</v>
          </cell>
          <cell r="I1244" t="str">
            <v>バランスタイプ</v>
          </cell>
          <cell r="J1244">
            <v>1</v>
          </cell>
          <cell r="K1244">
            <v>1</v>
          </cell>
          <cell r="L1244">
            <v>1</v>
          </cell>
          <cell r="M1244" t="str">
            <v>human</v>
          </cell>
          <cell r="N1244" t="str">
            <v>ヒューマン</v>
          </cell>
          <cell r="O1244">
            <v>0.94</v>
          </cell>
          <cell r="P1244">
            <v>0.99</v>
          </cell>
          <cell r="Q1244">
            <v>1</v>
          </cell>
          <cell r="R1244" t="str">
            <v>Boss</v>
          </cell>
          <cell r="S1244">
            <v>5</v>
          </cell>
          <cell r="T1244">
            <v>1.3</v>
          </cell>
          <cell r="U1244">
            <v>0.8</v>
          </cell>
          <cell r="V1244">
            <v>3</v>
          </cell>
          <cell r="W1244">
            <v>1</v>
          </cell>
          <cell r="X1244">
            <v>60</v>
          </cell>
          <cell r="Y1244">
            <v>1.7</v>
          </cell>
          <cell r="Z1244">
            <v>1.4</v>
          </cell>
          <cell r="AA1244">
            <v>1</v>
          </cell>
          <cell r="AB1244">
            <v>0</v>
          </cell>
        </row>
        <row r="1245">
          <cell r="A1245">
            <v>1244</v>
          </cell>
          <cell r="B1245" t="str">
            <v>猿飛佐助</v>
          </cell>
          <cell r="C1245">
            <v>5</v>
          </cell>
          <cell r="D1245" t="str">
            <v>red</v>
          </cell>
          <cell r="E1245">
            <v>1</v>
          </cell>
          <cell r="F1245">
            <v>1.02</v>
          </cell>
          <cell r="G1245">
            <v>1</v>
          </cell>
          <cell r="H1245" t="str">
            <v>attack</v>
          </cell>
          <cell r="I1245" t="str">
            <v>攻撃タイプ</v>
          </cell>
          <cell r="J1245">
            <v>1</v>
          </cell>
          <cell r="K1245">
            <v>1.33</v>
          </cell>
          <cell r="L1245">
            <v>1</v>
          </cell>
          <cell r="M1245" t="str">
            <v>human</v>
          </cell>
          <cell r="N1245" t="str">
            <v>ヒューマン</v>
          </cell>
          <cell r="O1245">
            <v>0.94</v>
          </cell>
          <cell r="P1245">
            <v>0.99</v>
          </cell>
          <cell r="Q1245">
            <v>1</v>
          </cell>
          <cell r="R1245" t="str">
            <v>Boss</v>
          </cell>
          <cell r="S1245">
            <v>5</v>
          </cell>
          <cell r="T1245">
            <v>1.3</v>
          </cell>
          <cell r="U1245">
            <v>0.8</v>
          </cell>
          <cell r="V1245">
            <v>3</v>
          </cell>
          <cell r="W1245">
            <v>1</v>
          </cell>
          <cell r="X1245">
            <v>60</v>
          </cell>
          <cell r="Y1245">
            <v>1.7</v>
          </cell>
          <cell r="Z1245">
            <v>1.4</v>
          </cell>
          <cell r="AA1245">
            <v>1</v>
          </cell>
          <cell r="AB1245">
            <v>0</v>
          </cell>
        </row>
        <row r="1246">
          <cell r="A1246">
            <v>1245</v>
          </cell>
          <cell r="B1246" t="str">
            <v>甲火の特殊忍 猿飛佐助</v>
          </cell>
          <cell r="C1246">
            <v>6</v>
          </cell>
          <cell r="D1246" t="str">
            <v>red</v>
          </cell>
          <cell r="E1246">
            <v>1</v>
          </cell>
          <cell r="F1246">
            <v>1.02</v>
          </cell>
          <cell r="G1246">
            <v>1</v>
          </cell>
          <cell r="H1246" t="str">
            <v>attack</v>
          </cell>
          <cell r="I1246" t="str">
            <v>攻撃タイプ</v>
          </cell>
          <cell r="J1246">
            <v>1</v>
          </cell>
          <cell r="K1246">
            <v>1.33</v>
          </cell>
          <cell r="L1246">
            <v>1</v>
          </cell>
          <cell r="M1246" t="str">
            <v>human</v>
          </cell>
          <cell r="N1246" t="str">
            <v>ヒューマン</v>
          </cell>
          <cell r="O1246">
            <v>0.94</v>
          </cell>
          <cell r="P1246">
            <v>0.99</v>
          </cell>
          <cell r="Q1246">
            <v>1</v>
          </cell>
          <cell r="R1246" t="str">
            <v>Boss</v>
          </cell>
          <cell r="S1246">
            <v>5</v>
          </cell>
          <cell r="T1246">
            <v>1.3</v>
          </cell>
          <cell r="U1246">
            <v>0.8</v>
          </cell>
          <cell r="V1246">
            <v>3</v>
          </cell>
          <cell r="W1246">
            <v>1</v>
          </cell>
          <cell r="X1246">
            <v>60</v>
          </cell>
          <cell r="Y1246">
            <v>1.7</v>
          </cell>
          <cell r="Z1246">
            <v>1.4</v>
          </cell>
          <cell r="AA1246">
            <v>1</v>
          </cell>
          <cell r="AB1246">
            <v>0</v>
          </cell>
        </row>
        <row r="1247">
          <cell r="A1247">
            <v>1246</v>
          </cell>
          <cell r="B1247" t="str">
            <v>望月千代女</v>
          </cell>
          <cell r="C1247">
            <v>5</v>
          </cell>
          <cell r="D1247" t="str">
            <v>green</v>
          </cell>
          <cell r="E1247">
            <v>1.02</v>
          </cell>
          <cell r="F1247">
            <v>0.98</v>
          </cell>
          <cell r="G1247">
            <v>1</v>
          </cell>
          <cell r="H1247" t="str">
            <v>heal</v>
          </cell>
          <cell r="I1247" t="str">
            <v>回復タイプ</v>
          </cell>
          <cell r="J1247">
            <v>0.8</v>
          </cell>
          <cell r="K1247">
            <v>0.78</v>
          </cell>
          <cell r="L1247">
            <v>1</v>
          </cell>
          <cell r="M1247" t="str">
            <v>human</v>
          </cell>
          <cell r="N1247" t="str">
            <v>ヒューマン</v>
          </cell>
          <cell r="O1247">
            <v>0.94</v>
          </cell>
          <cell r="P1247">
            <v>0.99</v>
          </cell>
          <cell r="Q1247">
            <v>1</v>
          </cell>
          <cell r="R1247" t="str">
            <v>Boss</v>
          </cell>
          <cell r="S1247">
            <v>5</v>
          </cell>
          <cell r="T1247">
            <v>1.3</v>
          </cell>
          <cell r="U1247">
            <v>0.8</v>
          </cell>
          <cell r="V1247">
            <v>3</v>
          </cell>
          <cell r="W1247">
            <v>1</v>
          </cell>
          <cell r="X1247">
            <v>60</v>
          </cell>
          <cell r="Y1247">
            <v>1.7</v>
          </cell>
          <cell r="Z1247">
            <v>1.4</v>
          </cell>
          <cell r="AA1247">
            <v>1</v>
          </cell>
          <cell r="AB1247">
            <v>0</v>
          </cell>
        </row>
        <row r="1248">
          <cell r="A1248">
            <v>1247</v>
          </cell>
          <cell r="B1248" t="str">
            <v>潜情のくノ一 望月千代女</v>
          </cell>
          <cell r="C1248">
            <v>6</v>
          </cell>
          <cell r="D1248" t="str">
            <v>green</v>
          </cell>
          <cell r="E1248">
            <v>1.02</v>
          </cell>
          <cell r="F1248">
            <v>0.98</v>
          </cell>
          <cell r="G1248">
            <v>1</v>
          </cell>
          <cell r="H1248" t="str">
            <v>heal</v>
          </cell>
          <cell r="I1248" t="str">
            <v>回復タイプ</v>
          </cell>
          <cell r="J1248">
            <v>0.8</v>
          </cell>
          <cell r="K1248">
            <v>0.78</v>
          </cell>
          <cell r="L1248">
            <v>1</v>
          </cell>
          <cell r="M1248" t="str">
            <v>human</v>
          </cell>
          <cell r="N1248" t="str">
            <v>ヒューマン</v>
          </cell>
          <cell r="O1248">
            <v>0.94</v>
          </cell>
          <cell r="P1248">
            <v>0.99</v>
          </cell>
          <cell r="Q1248">
            <v>1</v>
          </cell>
          <cell r="R1248" t="str">
            <v>Boss</v>
          </cell>
          <cell r="S1248">
            <v>5</v>
          </cell>
          <cell r="T1248">
            <v>1.3</v>
          </cell>
          <cell r="U1248">
            <v>0.8</v>
          </cell>
          <cell r="V1248">
            <v>3</v>
          </cell>
          <cell r="W1248">
            <v>1</v>
          </cell>
          <cell r="X1248">
            <v>60</v>
          </cell>
          <cell r="Y1248">
            <v>1.7</v>
          </cell>
          <cell r="Z1248">
            <v>1.4</v>
          </cell>
          <cell r="AA1248">
            <v>1</v>
          </cell>
          <cell r="AB1248">
            <v>0</v>
          </cell>
        </row>
        <row r="1249">
          <cell r="A1249">
            <v>1248</v>
          </cell>
          <cell r="B1249" t="str">
            <v>寧々</v>
          </cell>
          <cell r="C1249">
            <v>4</v>
          </cell>
          <cell r="D1249" t="str">
            <v>blue</v>
          </cell>
          <cell r="E1249">
            <v>1</v>
          </cell>
          <cell r="F1249">
            <v>0.98</v>
          </cell>
          <cell r="G1249">
            <v>1</v>
          </cell>
          <cell r="H1249" t="str">
            <v>heal</v>
          </cell>
          <cell r="I1249" t="str">
            <v>回復タイプ</v>
          </cell>
          <cell r="J1249">
            <v>0.8</v>
          </cell>
          <cell r="K1249">
            <v>0.78</v>
          </cell>
          <cell r="L1249">
            <v>1</v>
          </cell>
          <cell r="M1249" t="str">
            <v>human</v>
          </cell>
          <cell r="N1249" t="str">
            <v>ヒューマン</v>
          </cell>
          <cell r="O1249">
            <v>0.94</v>
          </cell>
          <cell r="P1249">
            <v>0.99</v>
          </cell>
          <cell r="Q1249">
            <v>1</v>
          </cell>
          <cell r="R1249" t="str">
            <v>Boss</v>
          </cell>
          <cell r="S1249">
            <v>5</v>
          </cell>
          <cell r="T1249">
            <v>1.3</v>
          </cell>
          <cell r="U1249">
            <v>0.8</v>
          </cell>
          <cell r="V1249">
            <v>3</v>
          </cell>
          <cell r="W1249">
            <v>1</v>
          </cell>
          <cell r="X1249">
            <v>30</v>
          </cell>
          <cell r="Y1249">
            <v>1.3</v>
          </cell>
          <cell r="Z1249">
            <v>1.3</v>
          </cell>
          <cell r="AA1249">
            <v>1.1000000000000001</v>
          </cell>
          <cell r="AB1249">
            <v>0</v>
          </cell>
        </row>
        <row r="1250">
          <cell r="A1250">
            <v>1249</v>
          </cell>
          <cell r="B1250" t="str">
            <v>君臨する姐御様 寧々</v>
          </cell>
          <cell r="C1250">
            <v>5</v>
          </cell>
          <cell r="D1250" t="str">
            <v>blue</v>
          </cell>
          <cell r="E1250">
            <v>1</v>
          </cell>
          <cell r="F1250">
            <v>0.98</v>
          </cell>
          <cell r="G1250">
            <v>1</v>
          </cell>
          <cell r="H1250" t="str">
            <v>heal</v>
          </cell>
          <cell r="I1250" t="str">
            <v>回復タイプ</v>
          </cell>
          <cell r="J1250">
            <v>0.8</v>
          </cell>
          <cell r="K1250">
            <v>0.78</v>
          </cell>
          <cell r="L1250">
            <v>1</v>
          </cell>
          <cell r="M1250" t="str">
            <v>human</v>
          </cell>
          <cell r="N1250" t="str">
            <v>ヒューマン</v>
          </cell>
          <cell r="O1250">
            <v>0.94</v>
          </cell>
          <cell r="P1250">
            <v>0.99</v>
          </cell>
          <cell r="Q1250">
            <v>1</v>
          </cell>
          <cell r="R1250" t="str">
            <v>Boss</v>
          </cell>
          <cell r="S1250">
            <v>5</v>
          </cell>
          <cell r="T1250">
            <v>1.3</v>
          </cell>
          <cell r="U1250">
            <v>0.8</v>
          </cell>
          <cell r="V1250">
            <v>3</v>
          </cell>
          <cell r="W1250">
            <v>1</v>
          </cell>
          <cell r="X1250">
            <v>60</v>
          </cell>
          <cell r="Y1250">
            <v>1.7</v>
          </cell>
          <cell r="Z1250">
            <v>1.4</v>
          </cell>
          <cell r="AA1250">
            <v>1</v>
          </cell>
          <cell r="AB1250">
            <v>0</v>
          </cell>
        </row>
        <row r="1251">
          <cell r="A1251">
            <v>1250</v>
          </cell>
          <cell r="B1251" t="str">
            <v>真田幸村</v>
          </cell>
          <cell r="C1251">
            <v>5</v>
          </cell>
          <cell r="D1251" t="str">
            <v>yellow</v>
          </cell>
          <cell r="E1251">
            <v>0.98</v>
          </cell>
          <cell r="F1251">
            <v>1.01</v>
          </cell>
          <cell r="G1251">
            <v>1</v>
          </cell>
          <cell r="H1251" t="str">
            <v>attack</v>
          </cell>
          <cell r="I1251" t="str">
            <v>攻撃タイプ</v>
          </cell>
          <cell r="J1251">
            <v>1</v>
          </cell>
          <cell r="K1251">
            <v>1.33</v>
          </cell>
          <cell r="L1251">
            <v>1</v>
          </cell>
          <cell r="M1251" t="str">
            <v>human</v>
          </cell>
          <cell r="N1251" t="str">
            <v>ヒューマン</v>
          </cell>
          <cell r="O1251">
            <v>0.94</v>
          </cell>
          <cell r="P1251">
            <v>0.99</v>
          </cell>
          <cell r="Q1251">
            <v>1</v>
          </cell>
          <cell r="R1251" t="str">
            <v>Boss</v>
          </cell>
          <cell r="S1251">
            <v>5</v>
          </cell>
          <cell r="T1251">
            <v>1.3</v>
          </cell>
          <cell r="U1251">
            <v>0.8</v>
          </cell>
          <cell r="V1251">
            <v>3</v>
          </cell>
          <cell r="W1251">
            <v>1</v>
          </cell>
          <cell r="X1251">
            <v>60</v>
          </cell>
          <cell r="Y1251">
            <v>1.7</v>
          </cell>
          <cell r="Z1251">
            <v>1.4</v>
          </cell>
          <cell r="AA1251">
            <v>1</v>
          </cell>
          <cell r="AB1251">
            <v>0</v>
          </cell>
        </row>
        <row r="1252">
          <cell r="A1252">
            <v>1251</v>
          </cell>
          <cell r="B1252" t="str">
            <v>錯槍の英勇 真田幸村</v>
          </cell>
          <cell r="C1252">
            <v>6</v>
          </cell>
          <cell r="D1252" t="str">
            <v>yellow</v>
          </cell>
          <cell r="E1252">
            <v>0.98</v>
          </cell>
          <cell r="F1252">
            <v>1.01</v>
          </cell>
          <cell r="G1252">
            <v>1</v>
          </cell>
          <cell r="H1252" t="str">
            <v>attack</v>
          </cell>
          <cell r="I1252" t="str">
            <v>攻撃タイプ</v>
          </cell>
          <cell r="J1252">
            <v>1</v>
          </cell>
          <cell r="K1252">
            <v>1.33</v>
          </cell>
          <cell r="L1252">
            <v>1</v>
          </cell>
          <cell r="M1252" t="str">
            <v>human</v>
          </cell>
          <cell r="N1252" t="str">
            <v>ヒューマン</v>
          </cell>
          <cell r="O1252">
            <v>0.94</v>
          </cell>
          <cell r="P1252">
            <v>0.99</v>
          </cell>
          <cell r="Q1252">
            <v>1</v>
          </cell>
          <cell r="R1252" t="str">
            <v>Boss</v>
          </cell>
          <cell r="S1252">
            <v>5</v>
          </cell>
          <cell r="T1252">
            <v>1.3</v>
          </cell>
          <cell r="U1252">
            <v>0.8</v>
          </cell>
          <cell r="V1252">
            <v>3</v>
          </cell>
          <cell r="W1252">
            <v>1</v>
          </cell>
          <cell r="X1252">
            <v>60</v>
          </cell>
          <cell r="Y1252">
            <v>1.7</v>
          </cell>
          <cell r="Z1252">
            <v>1.4</v>
          </cell>
          <cell r="AA1252">
            <v>1</v>
          </cell>
          <cell r="AB1252">
            <v>0</v>
          </cell>
        </row>
        <row r="1253">
          <cell r="A1253">
            <v>1252</v>
          </cell>
          <cell r="B1253" t="str">
            <v>ギャラルホルン</v>
          </cell>
          <cell r="C1253">
            <v>4</v>
          </cell>
          <cell r="D1253" t="str">
            <v>blue</v>
          </cell>
          <cell r="E1253">
            <v>1</v>
          </cell>
          <cell r="F1253">
            <v>0.98</v>
          </cell>
          <cell r="G1253">
            <v>1</v>
          </cell>
          <cell r="H1253" t="str">
            <v>attack</v>
          </cell>
          <cell r="I1253" t="str">
            <v>攻撃タイプ</v>
          </cell>
          <cell r="J1253">
            <v>1</v>
          </cell>
          <cell r="K1253">
            <v>1.33</v>
          </cell>
          <cell r="L1253">
            <v>1</v>
          </cell>
          <cell r="M1253" t="str">
            <v>god</v>
          </cell>
          <cell r="N1253" t="str">
            <v>ゴッド</v>
          </cell>
          <cell r="O1253">
            <v>0.96</v>
          </cell>
          <cell r="P1253">
            <v>1.02</v>
          </cell>
          <cell r="Q1253">
            <v>1</v>
          </cell>
          <cell r="R1253" t="str">
            <v>Boss</v>
          </cell>
          <cell r="S1253">
            <v>5</v>
          </cell>
          <cell r="T1253">
            <v>1.3</v>
          </cell>
          <cell r="U1253">
            <v>0.8</v>
          </cell>
          <cell r="V1253">
            <v>3</v>
          </cell>
          <cell r="W1253">
            <v>1</v>
          </cell>
          <cell r="X1253">
            <v>30</v>
          </cell>
          <cell r="Y1253">
            <v>1.3</v>
          </cell>
          <cell r="Z1253">
            <v>1.3</v>
          </cell>
          <cell r="AA1253">
            <v>1.1000000000000001</v>
          </cell>
          <cell r="AB1253">
            <v>0</v>
          </cell>
        </row>
        <row r="1254">
          <cell r="A1254">
            <v>1253</v>
          </cell>
          <cell r="B1254" t="str">
            <v>吹聴する廃徊者 ギャラルホルン</v>
          </cell>
          <cell r="C1254">
            <v>5</v>
          </cell>
          <cell r="D1254" t="str">
            <v>blue</v>
          </cell>
          <cell r="E1254">
            <v>1</v>
          </cell>
          <cell r="F1254">
            <v>0.98</v>
          </cell>
          <cell r="G1254">
            <v>1</v>
          </cell>
          <cell r="H1254" t="str">
            <v>attack</v>
          </cell>
          <cell r="I1254" t="str">
            <v>攻撃タイプ</v>
          </cell>
          <cell r="J1254">
            <v>1</v>
          </cell>
          <cell r="K1254">
            <v>1.33</v>
          </cell>
          <cell r="L1254">
            <v>1</v>
          </cell>
          <cell r="M1254" t="str">
            <v>god</v>
          </cell>
          <cell r="N1254" t="str">
            <v>ゴッド</v>
          </cell>
          <cell r="O1254">
            <v>0.96</v>
          </cell>
          <cell r="P1254">
            <v>1.02</v>
          </cell>
          <cell r="Q1254">
            <v>1</v>
          </cell>
          <cell r="R1254" t="str">
            <v>Boss</v>
          </cell>
          <cell r="S1254">
            <v>5</v>
          </cell>
          <cell r="T1254">
            <v>1.3</v>
          </cell>
          <cell r="U1254">
            <v>0.8</v>
          </cell>
          <cell r="V1254">
            <v>3</v>
          </cell>
          <cell r="W1254">
            <v>1</v>
          </cell>
          <cell r="X1254">
            <v>60</v>
          </cell>
          <cell r="Y1254">
            <v>1.7</v>
          </cell>
          <cell r="Z1254">
            <v>1.4</v>
          </cell>
          <cell r="AA1254">
            <v>1</v>
          </cell>
          <cell r="AB1254">
            <v>0</v>
          </cell>
        </row>
        <row r="1255">
          <cell r="A1255">
            <v>1254</v>
          </cell>
          <cell r="B1255" t="str">
            <v>スリュム</v>
          </cell>
          <cell r="C1255">
            <v>5</v>
          </cell>
          <cell r="D1255" t="str">
            <v>green</v>
          </cell>
          <cell r="E1255">
            <v>1.02</v>
          </cell>
          <cell r="F1255">
            <v>0.98</v>
          </cell>
          <cell r="G1255">
            <v>1</v>
          </cell>
          <cell r="H1255" t="str">
            <v>attack</v>
          </cell>
          <cell r="I1255" t="str">
            <v>攻撃タイプ</v>
          </cell>
          <cell r="J1255">
            <v>1</v>
          </cell>
          <cell r="K1255">
            <v>1.33</v>
          </cell>
          <cell r="L1255">
            <v>1</v>
          </cell>
          <cell r="M1255" t="str">
            <v>god</v>
          </cell>
          <cell r="N1255" t="str">
            <v>ゴッド</v>
          </cell>
          <cell r="O1255">
            <v>0.96</v>
          </cell>
          <cell r="P1255">
            <v>1.02</v>
          </cell>
          <cell r="Q1255">
            <v>1</v>
          </cell>
          <cell r="R1255" t="str">
            <v>Boss</v>
          </cell>
          <cell r="S1255">
            <v>5</v>
          </cell>
          <cell r="T1255">
            <v>1.3</v>
          </cell>
          <cell r="U1255">
            <v>0.8</v>
          </cell>
          <cell r="V1255">
            <v>3</v>
          </cell>
          <cell r="W1255">
            <v>1</v>
          </cell>
          <cell r="X1255">
            <v>60</v>
          </cell>
          <cell r="Y1255">
            <v>1.7</v>
          </cell>
          <cell r="Z1255">
            <v>1.4</v>
          </cell>
          <cell r="AA1255">
            <v>1</v>
          </cell>
          <cell r="AB1255">
            <v>0</v>
          </cell>
        </row>
        <row r="1256">
          <cell r="A1256">
            <v>1255</v>
          </cell>
          <cell r="B1256" t="str">
            <v>驕奢の神犯 スリュム</v>
          </cell>
          <cell r="C1256">
            <v>6</v>
          </cell>
          <cell r="D1256" t="str">
            <v>green</v>
          </cell>
          <cell r="E1256">
            <v>1.02</v>
          </cell>
          <cell r="F1256">
            <v>0.98</v>
          </cell>
          <cell r="G1256">
            <v>1</v>
          </cell>
          <cell r="H1256" t="str">
            <v>attack</v>
          </cell>
          <cell r="I1256" t="str">
            <v>攻撃タイプ</v>
          </cell>
          <cell r="J1256">
            <v>1</v>
          </cell>
          <cell r="K1256">
            <v>1.33</v>
          </cell>
          <cell r="L1256">
            <v>1</v>
          </cell>
          <cell r="M1256" t="str">
            <v>god</v>
          </cell>
          <cell r="N1256" t="str">
            <v>ゴッド</v>
          </cell>
          <cell r="O1256">
            <v>0.96</v>
          </cell>
          <cell r="P1256">
            <v>1.02</v>
          </cell>
          <cell r="Q1256">
            <v>1</v>
          </cell>
          <cell r="R1256" t="str">
            <v>Boss</v>
          </cell>
          <cell r="S1256">
            <v>5</v>
          </cell>
          <cell r="T1256">
            <v>1.3</v>
          </cell>
          <cell r="U1256">
            <v>0.8</v>
          </cell>
          <cell r="V1256">
            <v>3</v>
          </cell>
          <cell r="W1256">
            <v>1</v>
          </cell>
          <cell r="X1256">
            <v>60</v>
          </cell>
          <cell r="Y1256">
            <v>1.7</v>
          </cell>
          <cell r="Z1256">
            <v>1.4</v>
          </cell>
          <cell r="AA1256">
            <v>1</v>
          </cell>
          <cell r="AB1256">
            <v>0</v>
          </cell>
        </row>
        <row r="1257">
          <cell r="A1257">
            <v>1256</v>
          </cell>
          <cell r="B1257" t="str">
            <v>ヘル</v>
          </cell>
          <cell r="C1257">
            <v>5</v>
          </cell>
          <cell r="D1257" t="str">
            <v>yellow</v>
          </cell>
          <cell r="E1257">
            <v>0.98</v>
          </cell>
          <cell r="F1257">
            <v>1.01</v>
          </cell>
          <cell r="G1257">
            <v>1</v>
          </cell>
          <cell r="H1257" t="str">
            <v>attack</v>
          </cell>
          <cell r="I1257" t="str">
            <v>攻撃タイプ</v>
          </cell>
          <cell r="J1257">
            <v>1</v>
          </cell>
          <cell r="K1257">
            <v>1.33</v>
          </cell>
          <cell r="L1257">
            <v>1</v>
          </cell>
          <cell r="M1257" t="str">
            <v>god</v>
          </cell>
          <cell r="N1257" t="str">
            <v>ゴッド</v>
          </cell>
          <cell r="O1257">
            <v>0.96</v>
          </cell>
          <cell r="P1257">
            <v>1.02</v>
          </cell>
          <cell r="Q1257">
            <v>1</v>
          </cell>
          <cell r="R1257" t="str">
            <v>Boss</v>
          </cell>
          <cell r="S1257">
            <v>5</v>
          </cell>
          <cell r="T1257">
            <v>1.3</v>
          </cell>
          <cell r="U1257">
            <v>0.8</v>
          </cell>
          <cell r="V1257">
            <v>3</v>
          </cell>
          <cell r="W1257">
            <v>1</v>
          </cell>
          <cell r="X1257">
            <v>60</v>
          </cell>
          <cell r="Y1257">
            <v>1.7</v>
          </cell>
          <cell r="Z1257">
            <v>1.4</v>
          </cell>
          <cell r="AA1257">
            <v>1</v>
          </cell>
          <cell r="AB1257">
            <v>0</v>
          </cell>
        </row>
        <row r="1258">
          <cell r="A1258">
            <v>1257</v>
          </cell>
          <cell r="B1258" t="str">
            <v>危能の幼魔神 ヘル</v>
          </cell>
          <cell r="C1258">
            <v>6</v>
          </cell>
          <cell r="D1258" t="str">
            <v>yellow</v>
          </cell>
          <cell r="E1258">
            <v>0.98</v>
          </cell>
          <cell r="F1258">
            <v>1.01</v>
          </cell>
          <cell r="G1258">
            <v>1</v>
          </cell>
          <cell r="H1258" t="str">
            <v>attack</v>
          </cell>
          <cell r="I1258" t="str">
            <v>攻撃タイプ</v>
          </cell>
          <cell r="J1258">
            <v>1</v>
          </cell>
          <cell r="K1258">
            <v>1.33</v>
          </cell>
          <cell r="L1258">
            <v>1</v>
          </cell>
          <cell r="M1258" t="str">
            <v>god</v>
          </cell>
          <cell r="N1258" t="str">
            <v>ゴッド</v>
          </cell>
          <cell r="O1258">
            <v>0.96</v>
          </cell>
          <cell r="P1258">
            <v>1.02</v>
          </cell>
          <cell r="Q1258">
            <v>1</v>
          </cell>
          <cell r="R1258" t="str">
            <v>Boss</v>
          </cell>
          <cell r="S1258">
            <v>5</v>
          </cell>
          <cell r="T1258">
            <v>1.3</v>
          </cell>
          <cell r="U1258">
            <v>0.8</v>
          </cell>
          <cell r="V1258">
            <v>3</v>
          </cell>
          <cell r="W1258">
            <v>1</v>
          </cell>
          <cell r="X1258">
            <v>60</v>
          </cell>
          <cell r="Y1258">
            <v>1.7</v>
          </cell>
          <cell r="Z1258">
            <v>1.4</v>
          </cell>
          <cell r="AA1258">
            <v>1</v>
          </cell>
          <cell r="AB1258">
            <v>0</v>
          </cell>
        </row>
        <row r="1259">
          <cell r="A1259">
            <v>1258</v>
          </cell>
          <cell r="B1259" t="str">
            <v>ロキ</v>
          </cell>
          <cell r="C1259">
            <v>5</v>
          </cell>
          <cell r="D1259" t="str">
            <v>green</v>
          </cell>
          <cell r="E1259">
            <v>1.02</v>
          </cell>
          <cell r="F1259">
            <v>0.98</v>
          </cell>
          <cell r="G1259">
            <v>1</v>
          </cell>
          <cell r="H1259" t="str">
            <v>attack</v>
          </cell>
          <cell r="I1259" t="str">
            <v>攻撃タイプ</v>
          </cell>
          <cell r="J1259">
            <v>1</v>
          </cell>
          <cell r="K1259">
            <v>1.33</v>
          </cell>
          <cell r="L1259">
            <v>1</v>
          </cell>
          <cell r="M1259" t="str">
            <v>god</v>
          </cell>
          <cell r="N1259" t="str">
            <v>ゴッド</v>
          </cell>
          <cell r="O1259">
            <v>0.96</v>
          </cell>
          <cell r="P1259">
            <v>1.02</v>
          </cell>
          <cell r="Q1259">
            <v>1</v>
          </cell>
          <cell r="R1259" t="str">
            <v>Boss</v>
          </cell>
          <cell r="S1259">
            <v>5</v>
          </cell>
          <cell r="T1259">
            <v>1.3</v>
          </cell>
          <cell r="U1259">
            <v>0.8</v>
          </cell>
          <cell r="V1259">
            <v>3</v>
          </cell>
          <cell r="W1259">
            <v>1</v>
          </cell>
          <cell r="X1259">
            <v>60</v>
          </cell>
          <cell r="Y1259">
            <v>1.7</v>
          </cell>
          <cell r="Z1259">
            <v>1.4</v>
          </cell>
          <cell r="AA1259">
            <v>1</v>
          </cell>
          <cell r="AB1259">
            <v>0</v>
          </cell>
        </row>
        <row r="1260">
          <cell r="A1260">
            <v>1259</v>
          </cell>
          <cell r="B1260" t="str">
            <v>崩世を叫ぶ悪戯 ロキ</v>
          </cell>
          <cell r="C1260">
            <v>6</v>
          </cell>
          <cell r="D1260" t="str">
            <v>green</v>
          </cell>
          <cell r="E1260">
            <v>1.02</v>
          </cell>
          <cell r="F1260">
            <v>0.98</v>
          </cell>
          <cell r="G1260">
            <v>1</v>
          </cell>
          <cell r="H1260" t="str">
            <v>attack</v>
          </cell>
          <cell r="I1260" t="str">
            <v>攻撃タイプ</v>
          </cell>
          <cell r="J1260">
            <v>1</v>
          </cell>
          <cell r="K1260">
            <v>1.33</v>
          </cell>
          <cell r="L1260">
            <v>1</v>
          </cell>
          <cell r="M1260" t="str">
            <v>god</v>
          </cell>
          <cell r="N1260" t="str">
            <v>ゴッド</v>
          </cell>
          <cell r="O1260">
            <v>0.96</v>
          </cell>
          <cell r="P1260">
            <v>1.02</v>
          </cell>
          <cell r="Q1260">
            <v>1</v>
          </cell>
          <cell r="R1260" t="str">
            <v>Boss</v>
          </cell>
          <cell r="S1260">
            <v>5</v>
          </cell>
          <cell r="T1260">
            <v>1.3</v>
          </cell>
          <cell r="U1260">
            <v>0.8</v>
          </cell>
          <cell r="V1260">
            <v>3</v>
          </cell>
          <cell r="W1260">
            <v>1</v>
          </cell>
          <cell r="X1260">
            <v>60</v>
          </cell>
          <cell r="Y1260">
            <v>1.7</v>
          </cell>
          <cell r="Z1260">
            <v>1.4</v>
          </cell>
          <cell r="AA1260">
            <v>1</v>
          </cell>
          <cell r="AB1260">
            <v>0</v>
          </cell>
        </row>
        <row r="1261">
          <cell r="A1261">
            <v>1260</v>
          </cell>
          <cell r="B1261" t="str">
            <v>トール</v>
          </cell>
          <cell r="C1261">
            <v>5</v>
          </cell>
          <cell r="D1261" t="str">
            <v>red</v>
          </cell>
          <cell r="E1261">
            <v>1</v>
          </cell>
          <cell r="F1261">
            <v>1.02</v>
          </cell>
          <cell r="G1261">
            <v>1</v>
          </cell>
          <cell r="H1261" t="str">
            <v>attack</v>
          </cell>
          <cell r="I1261" t="str">
            <v>攻撃タイプ</v>
          </cell>
          <cell r="J1261">
            <v>1</v>
          </cell>
          <cell r="K1261">
            <v>1.33</v>
          </cell>
          <cell r="L1261">
            <v>1</v>
          </cell>
          <cell r="M1261" t="str">
            <v>god</v>
          </cell>
          <cell r="N1261" t="str">
            <v>ゴッド</v>
          </cell>
          <cell r="O1261">
            <v>0.96</v>
          </cell>
          <cell r="P1261">
            <v>1.02</v>
          </cell>
          <cell r="Q1261">
            <v>1</v>
          </cell>
          <cell r="R1261" t="str">
            <v>Boss</v>
          </cell>
          <cell r="S1261">
            <v>5</v>
          </cell>
          <cell r="T1261">
            <v>1.3</v>
          </cell>
          <cell r="U1261">
            <v>0.8</v>
          </cell>
          <cell r="V1261">
            <v>3</v>
          </cell>
          <cell r="W1261">
            <v>1</v>
          </cell>
          <cell r="X1261">
            <v>60</v>
          </cell>
          <cell r="Y1261">
            <v>1.7</v>
          </cell>
          <cell r="Z1261">
            <v>1.4</v>
          </cell>
          <cell r="AA1261">
            <v>1</v>
          </cell>
          <cell r="AB1261">
            <v>0</v>
          </cell>
        </row>
        <row r="1262">
          <cell r="A1262">
            <v>1261</v>
          </cell>
          <cell r="B1262" t="str">
            <v>燃雷の鎚撃 トール</v>
          </cell>
          <cell r="C1262">
            <v>6</v>
          </cell>
          <cell r="D1262" t="str">
            <v>red</v>
          </cell>
          <cell r="E1262">
            <v>1</v>
          </cell>
          <cell r="F1262">
            <v>1.02</v>
          </cell>
          <cell r="G1262">
            <v>1</v>
          </cell>
          <cell r="H1262" t="str">
            <v>attack</v>
          </cell>
          <cell r="I1262" t="str">
            <v>攻撃タイプ</v>
          </cell>
          <cell r="J1262">
            <v>1</v>
          </cell>
          <cell r="K1262">
            <v>1.33</v>
          </cell>
          <cell r="L1262">
            <v>1</v>
          </cell>
          <cell r="M1262" t="str">
            <v>god</v>
          </cell>
          <cell r="N1262" t="str">
            <v>ゴッド</v>
          </cell>
          <cell r="O1262">
            <v>0.96</v>
          </cell>
          <cell r="P1262">
            <v>1.02</v>
          </cell>
          <cell r="Q1262">
            <v>1</v>
          </cell>
          <cell r="R1262" t="str">
            <v>Boss</v>
          </cell>
          <cell r="S1262">
            <v>5</v>
          </cell>
          <cell r="T1262">
            <v>1.3</v>
          </cell>
          <cell r="U1262">
            <v>0.8</v>
          </cell>
          <cell r="V1262">
            <v>3</v>
          </cell>
          <cell r="W1262">
            <v>1</v>
          </cell>
          <cell r="X1262">
            <v>60</v>
          </cell>
          <cell r="Y1262">
            <v>1.7</v>
          </cell>
          <cell r="Z1262">
            <v>1.4</v>
          </cell>
          <cell r="AA1262">
            <v>1</v>
          </cell>
          <cell r="AB1262">
            <v>0</v>
          </cell>
        </row>
        <row r="1263">
          <cell r="A1263">
            <v>1262</v>
          </cell>
          <cell r="B1263" t="str">
            <v>イズン</v>
          </cell>
          <cell r="C1263">
            <v>5</v>
          </cell>
          <cell r="D1263" t="str">
            <v>green</v>
          </cell>
          <cell r="E1263">
            <v>1.02</v>
          </cell>
          <cell r="F1263">
            <v>0.98</v>
          </cell>
          <cell r="G1263">
            <v>1</v>
          </cell>
          <cell r="H1263" t="str">
            <v>attack</v>
          </cell>
          <cell r="I1263" t="str">
            <v>攻撃タイプ</v>
          </cell>
          <cell r="J1263">
            <v>1</v>
          </cell>
          <cell r="K1263">
            <v>1.33</v>
          </cell>
          <cell r="L1263">
            <v>1</v>
          </cell>
          <cell r="M1263" t="str">
            <v>god</v>
          </cell>
          <cell r="N1263" t="str">
            <v>ゴッド</v>
          </cell>
          <cell r="O1263">
            <v>0.96</v>
          </cell>
          <cell r="P1263">
            <v>1.02</v>
          </cell>
          <cell r="Q1263">
            <v>1</v>
          </cell>
          <cell r="R1263" t="str">
            <v>Boss</v>
          </cell>
          <cell r="S1263">
            <v>5</v>
          </cell>
          <cell r="T1263">
            <v>1.3</v>
          </cell>
          <cell r="U1263">
            <v>0.8</v>
          </cell>
          <cell r="V1263">
            <v>3</v>
          </cell>
          <cell r="W1263">
            <v>1</v>
          </cell>
          <cell r="X1263">
            <v>60</v>
          </cell>
          <cell r="Y1263">
            <v>1.7</v>
          </cell>
          <cell r="Z1263">
            <v>1.4</v>
          </cell>
          <cell r="AA1263">
            <v>1</v>
          </cell>
          <cell r="AB1263">
            <v>0</v>
          </cell>
        </row>
        <row r="1264">
          <cell r="A1264">
            <v>1263</v>
          </cell>
          <cell r="B1264" t="str">
            <v>純朴なる檻理人 イズン</v>
          </cell>
          <cell r="C1264">
            <v>6</v>
          </cell>
          <cell r="D1264" t="str">
            <v>green</v>
          </cell>
          <cell r="E1264">
            <v>1.02</v>
          </cell>
          <cell r="F1264">
            <v>0.98</v>
          </cell>
          <cell r="G1264">
            <v>1</v>
          </cell>
          <cell r="H1264" t="str">
            <v>attack</v>
          </cell>
          <cell r="I1264" t="str">
            <v>攻撃タイプ</v>
          </cell>
          <cell r="J1264">
            <v>1</v>
          </cell>
          <cell r="K1264">
            <v>1.33</v>
          </cell>
          <cell r="L1264">
            <v>1</v>
          </cell>
          <cell r="M1264" t="str">
            <v>god</v>
          </cell>
          <cell r="N1264" t="str">
            <v>ゴッド</v>
          </cell>
          <cell r="O1264">
            <v>0.96</v>
          </cell>
          <cell r="P1264">
            <v>1.02</v>
          </cell>
          <cell r="Q1264">
            <v>1</v>
          </cell>
          <cell r="R1264" t="str">
            <v>Boss</v>
          </cell>
          <cell r="S1264">
            <v>5</v>
          </cell>
          <cell r="T1264">
            <v>1.3</v>
          </cell>
          <cell r="U1264">
            <v>0.8</v>
          </cell>
          <cell r="V1264">
            <v>3</v>
          </cell>
          <cell r="W1264">
            <v>1</v>
          </cell>
          <cell r="X1264">
            <v>60</v>
          </cell>
          <cell r="Y1264">
            <v>1.7</v>
          </cell>
          <cell r="Z1264">
            <v>1.4</v>
          </cell>
          <cell r="AA1264">
            <v>1</v>
          </cell>
          <cell r="AB1264">
            <v>0</v>
          </cell>
        </row>
        <row r="1265">
          <cell r="A1265">
            <v>1264</v>
          </cell>
          <cell r="B1265" t="str">
            <v>ウルズ</v>
          </cell>
          <cell r="C1265">
            <v>5</v>
          </cell>
          <cell r="D1265" t="str">
            <v>blue</v>
          </cell>
          <cell r="E1265">
            <v>1</v>
          </cell>
          <cell r="F1265">
            <v>0.98</v>
          </cell>
          <cell r="G1265">
            <v>1</v>
          </cell>
          <cell r="H1265" t="str">
            <v>attack</v>
          </cell>
          <cell r="I1265" t="str">
            <v>攻撃タイプ</v>
          </cell>
          <cell r="J1265">
            <v>1</v>
          </cell>
          <cell r="K1265">
            <v>1.33</v>
          </cell>
          <cell r="L1265">
            <v>1</v>
          </cell>
          <cell r="M1265" t="str">
            <v>god</v>
          </cell>
          <cell r="N1265" t="str">
            <v>ゴッド</v>
          </cell>
          <cell r="O1265">
            <v>0.96</v>
          </cell>
          <cell r="P1265">
            <v>1.02</v>
          </cell>
          <cell r="Q1265">
            <v>1</v>
          </cell>
          <cell r="R1265" t="str">
            <v>Boss</v>
          </cell>
          <cell r="S1265">
            <v>5</v>
          </cell>
          <cell r="T1265">
            <v>1.3</v>
          </cell>
          <cell r="U1265">
            <v>0.8</v>
          </cell>
          <cell r="V1265">
            <v>3</v>
          </cell>
          <cell r="W1265">
            <v>1</v>
          </cell>
          <cell r="X1265">
            <v>60</v>
          </cell>
          <cell r="Y1265">
            <v>1.7</v>
          </cell>
          <cell r="Z1265">
            <v>1.4</v>
          </cell>
          <cell r="AA1265">
            <v>1</v>
          </cell>
          <cell r="AB1265">
            <v>0</v>
          </cell>
        </row>
        <row r="1266">
          <cell r="A1266">
            <v>1265</v>
          </cell>
          <cell r="B1266" t="str">
            <v>静観する世限者 ウルズ</v>
          </cell>
          <cell r="C1266">
            <v>6</v>
          </cell>
          <cell r="D1266" t="str">
            <v>blue</v>
          </cell>
          <cell r="E1266">
            <v>1</v>
          </cell>
          <cell r="F1266">
            <v>0.98</v>
          </cell>
          <cell r="G1266">
            <v>1</v>
          </cell>
          <cell r="H1266" t="str">
            <v>attack</v>
          </cell>
          <cell r="I1266" t="str">
            <v>攻撃タイプ</v>
          </cell>
          <cell r="J1266">
            <v>1</v>
          </cell>
          <cell r="K1266">
            <v>1.33</v>
          </cell>
          <cell r="L1266">
            <v>1</v>
          </cell>
          <cell r="M1266" t="str">
            <v>god</v>
          </cell>
          <cell r="N1266" t="str">
            <v>ゴッド</v>
          </cell>
          <cell r="O1266">
            <v>0.96</v>
          </cell>
          <cell r="P1266">
            <v>1.02</v>
          </cell>
          <cell r="Q1266">
            <v>1</v>
          </cell>
          <cell r="R1266" t="str">
            <v>Boss</v>
          </cell>
          <cell r="S1266">
            <v>5</v>
          </cell>
          <cell r="T1266">
            <v>1.3</v>
          </cell>
          <cell r="U1266">
            <v>0.8</v>
          </cell>
          <cell r="V1266">
            <v>3</v>
          </cell>
          <cell r="W1266">
            <v>1</v>
          </cell>
          <cell r="X1266">
            <v>60</v>
          </cell>
          <cell r="Y1266">
            <v>1.7</v>
          </cell>
          <cell r="Z1266">
            <v>1.4</v>
          </cell>
          <cell r="AA1266">
            <v>1</v>
          </cell>
          <cell r="AB1266">
            <v>0</v>
          </cell>
        </row>
        <row r="1267">
          <cell r="A1267">
            <v>1266</v>
          </cell>
          <cell r="B1267" t="str">
            <v>ガルム</v>
          </cell>
          <cell r="C1267">
            <v>4</v>
          </cell>
          <cell r="D1267" t="str">
            <v>yellow</v>
          </cell>
          <cell r="E1267">
            <v>0.98</v>
          </cell>
          <cell r="F1267">
            <v>1.01</v>
          </cell>
          <cell r="G1267">
            <v>1</v>
          </cell>
          <cell r="H1267" t="str">
            <v>attack</v>
          </cell>
          <cell r="I1267" t="str">
            <v>攻撃タイプ</v>
          </cell>
          <cell r="J1267">
            <v>1</v>
          </cell>
          <cell r="K1267">
            <v>1.33</v>
          </cell>
          <cell r="L1267">
            <v>1</v>
          </cell>
          <cell r="M1267" t="str">
            <v>god</v>
          </cell>
          <cell r="N1267" t="str">
            <v>ゴッド</v>
          </cell>
          <cell r="O1267">
            <v>0.96</v>
          </cell>
          <cell r="P1267">
            <v>1.02</v>
          </cell>
          <cell r="Q1267">
            <v>1</v>
          </cell>
          <cell r="R1267" t="str">
            <v>Boss</v>
          </cell>
          <cell r="S1267">
            <v>5</v>
          </cell>
          <cell r="T1267">
            <v>1.3</v>
          </cell>
          <cell r="U1267">
            <v>0.8</v>
          </cell>
          <cell r="V1267">
            <v>3</v>
          </cell>
          <cell r="W1267">
            <v>1</v>
          </cell>
          <cell r="X1267">
            <v>30</v>
          </cell>
          <cell r="Y1267">
            <v>1.3</v>
          </cell>
          <cell r="Z1267">
            <v>1.3</v>
          </cell>
          <cell r="AA1267">
            <v>1.1000000000000001</v>
          </cell>
          <cell r="AB1267">
            <v>0</v>
          </cell>
        </row>
        <row r="1268">
          <cell r="A1268">
            <v>1267</v>
          </cell>
          <cell r="B1268" t="str">
            <v>不遜の冥番犬 ガルム</v>
          </cell>
          <cell r="C1268">
            <v>5</v>
          </cell>
          <cell r="D1268" t="str">
            <v>yellow</v>
          </cell>
          <cell r="E1268">
            <v>0.98</v>
          </cell>
          <cell r="F1268">
            <v>1.01</v>
          </cell>
          <cell r="G1268">
            <v>1</v>
          </cell>
          <cell r="H1268" t="str">
            <v>attack</v>
          </cell>
          <cell r="I1268" t="str">
            <v>攻撃タイプ</v>
          </cell>
          <cell r="J1268">
            <v>1</v>
          </cell>
          <cell r="K1268">
            <v>1.33</v>
          </cell>
          <cell r="L1268">
            <v>1</v>
          </cell>
          <cell r="M1268" t="str">
            <v>god</v>
          </cell>
          <cell r="N1268" t="str">
            <v>ゴッド</v>
          </cell>
          <cell r="O1268">
            <v>0.96</v>
          </cell>
          <cell r="P1268">
            <v>1.02</v>
          </cell>
          <cell r="Q1268">
            <v>1</v>
          </cell>
          <cell r="R1268" t="str">
            <v>Boss</v>
          </cell>
          <cell r="S1268">
            <v>5</v>
          </cell>
          <cell r="T1268">
            <v>1.3</v>
          </cell>
          <cell r="U1268">
            <v>0.8</v>
          </cell>
          <cell r="V1268">
            <v>3</v>
          </cell>
          <cell r="W1268">
            <v>1</v>
          </cell>
          <cell r="X1268">
            <v>60</v>
          </cell>
          <cell r="Y1268">
            <v>1.7</v>
          </cell>
          <cell r="Z1268">
            <v>1.4</v>
          </cell>
          <cell r="AA1268">
            <v>1</v>
          </cell>
          <cell r="AB1268">
            <v>0</v>
          </cell>
        </row>
        <row r="1269">
          <cell r="A1269">
            <v>1268</v>
          </cell>
          <cell r="B1269" t="str">
            <v>コードレッド</v>
          </cell>
          <cell r="C1269">
            <v>6</v>
          </cell>
          <cell r="D1269" t="str">
            <v>red</v>
          </cell>
          <cell r="E1269">
            <v>1</v>
          </cell>
          <cell r="F1269">
            <v>1.02</v>
          </cell>
          <cell r="G1269">
            <v>1</v>
          </cell>
          <cell r="H1269" t="str">
            <v>attack</v>
          </cell>
          <cell r="I1269" t="str">
            <v>攻撃タイプ</v>
          </cell>
          <cell r="J1269">
            <v>1</v>
          </cell>
          <cell r="K1269">
            <v>1.33</v>
          </cell>
          <cell r="L1269">
            <v>1</v>
          </cell>
          <cell r="M1269" t="str">
            <v>queen</v>
          </cell>
          <cell r="N1269" t="str">
            <v>QUEEN</v>
          </cell>
          <cell r="O1269">
            <v>1</v>
          </cell>
          <cell r="P1269">
            <v>1</v>
          </cell>
          <cell r="Q1269">
            <v>1</v>
          </cell>
          <cell r="R1269" t="str">
            <v>Boss</v>
          </cell>
          <cell r="S1269">
            <v>5</v>
          </cell>
          <cell r="T1269">
            <v>1.3</v>
          </cell>
          <cell r="U1269">
            <v>0.8</v>
          </cell>
          <cell r="V1269">
            <v>3</v>
          </cell>
          <cell r="W1269">
            <v>1</v>
          </cell>
          <cell r="X1269">
            <v>60</v>
          </cell>
          <cell r="Y1269">
            <v>1.7</v>
          </cell>
          <cell r="Z1269">
            <v>1.4</v>
          </cell>
          <cell r="AA1269">
            <v>1</v>
          </cell>
          <cell r="AB1269">
            <v>0</v>
          </cell>
        </row>
        <row r="1270">
          <cell r="A1270">
            <v>1269</v>
          </cell>
          <cell r="B1270" t="str">
            <v>コードレッド</v>
          </cell>
          <cell r="C1270">
            <v>6</v>
          </cell>
          <cell r="D1270" t="str">
            <v>red</v>
          </cell>
          <cell r="E1270">
            <v>1</v>
          </cell>
          <cell r="F1270">
            <v>1.02</v>
          </cell>
          <cell r="G1270">
            <v>1</v>
          </cell>
          <cell r="H1270" t="str">
            <v>attack</v>
          </cell>
          <cell r="I1270" t="str">
            <v>攻撃タイプ</v>
          </cell>
          <cell r="J1270">
            <v>1</v>
          </cell>
          <cell r="K1270">
            <v>1.33</v>
          </cell>
          <cell r="L1270">
            <v>1</v>
          </cell>
          <cell r="M1270" t="str">
            <v>queen</v>
          </cell>
          <cell r="N1270" t="str">
            <v>QUEEN</v>
          </cell>
          <cell r="O1270">
            <v>1</v>
          </cell>
          <cell r="P1270">
            <v>1</v>
          </cell>
          <cell r="Q1270">
            <v>1</v>
          </cell>
          <cell r="R1270" t="str">
            <v>Boss</v>
          </cell>
          <cell r="S1270">
            <v>5</v>
          </cell>
          <cell r="T1270">
            <v>1.3</v>
          </cell>
          <cell r="U1270">
            <v>0.8</v>
          </cell>
          <cell r="V1270">
            <v>3</v>
          </cell>
          <cell r="W1270">
            <v>1</v>
          </cell>
          <cell r="X1270">
            <v>60</v>
          </cell>
          <cell r="Y1270">
            <v>1.7</v>
          </cell>
          <cell r="Z1270">
            <v>1.4</v>
          </cell>
          <cell r="AA1270">
            <v>1</v>
          </cell>
          <cell r="AB1270">
            <v>0</v>
          </cell>
        </row>
        <row r="1271">
          <cell r="A1271">
            <v>1270</v>
          </cell>
          <cell r="B1271" t="str">
            <v>コードレッド超覚醒</v>
          </cell>
          <cell r="C1271">
            <v>6</v>
          </cell>
          <cell r="D1271" t="str">
            <v>red</v>
          </cell>
          <cell r="E1271">
            <v>1</v>
          </cell>
          <cell r="F1271">
            <v>1.02</v>
          </cell>
          <cell r="G1271">
            <v>1</v>
          </cell>
          <cell r="H1271" t="str">
            <v>attack</v>
          </cell>
          <cell r="I1271" t="str">
            <v>攻撃タイプ</v>
          </cell>
          <cell r="J1271">
            <v>1</v>
          </cell>
          <cell r="K1271">
            <v>1.33</v>
          </cell>
          <cell r="L1271">
            <v>1</v>
          </cell>
          <cell r="M1271" t="str">
            <v>queen</v>
          </cell>
          <cell r="N1271" t="str">
            <v>QUEEN</v>
          </cell>
          <cell r="O1271">
            <v>1</v>
          </cell>
          <cell r="P1271">
            <v>1</v>
          </cell>
          <cell r="Q1271">
            <v>1</v>
          </cell>
          <cell r="R1271" t="str">
            <v>Boss</v>
          </cell>
          <cell r="S1271">
            <v>5</v>
          </cell>
          <cell r="T1271">
            <v>1.3</v>
          </cell>
          <cell r="U1271">
            <v>0.8</v>
          </cell>
          <cell r="V1271">
            <v>3</v>
          </cell>
          <cell r="W1271">
            <v>1</v>
          </cell>
          <cell r="X1271">
            <v>60</v>
          </cell>
          <cell r="Y1271">
            <v>1.7</v>
          </cell>
          <cell r="Z1271">
            <v>1.4</v>
          </cell>
          <cell r="AA1271">
            <v>1</v>
          </cell>
          <cell r="AB1271">
            <v>0</v>
          </cell>
        </row>
        <row r="1272">
          <cell r="A1272">
            <v>1271</v>
          </cell>
          <cell r="B1272" t="str">
            <v>沖田</v>
          </cell>
          <cell r="C1272">
            <v>6</v>
          </cell>
          <cell r="D1272" t="str">
            <v>blue</v>
          </cell>
          <cell r="E1272">
            <v>1</v>
          </cell>
          <cell r="F1272">
            <v>0.98</v>
          </cell>
          <cell r="G1272">
            <v>1</v>
          </cell>
          <cell r="H1272" t="str">
            <v>attack</v>
          </cell>
          <cell r="I1272" t="str">
            <v>攻撃タイプ</v>
          </cell>
          <cell r="J1272">
            <v>1</v>
          </cell>
          <cell r="K1272">
            <v>1.33</v>
          </cell>
          <cell r="L1272">
            <v>1</v>
          </cell>
          <cell r="M1272" t="str">
            <v>human</v>
          </cell>
          <cell r="N1272" t="str">
            <v>ヒューマン</v>
          </cell>
          <cell r="O1272">
            <v>0.94</v>
          </cell>
          <cell r="P1272">
            <v>0.99</v>
          </cell>
          <cell r="Q1272">
            <v>1</v>
          </cell>
          <cell r="R1272" t="str">
            <v>Boss</v>
          </cell>
          <cell r="S1272">
            <v>5</v>
          </cell>
          <cell r="T1272">
            <v>1.3</v>
          </cell>
          <cell r="U1272">
            <v>0.8</v>
          </cell>
          <cell r="V1272">
            <v>3</v>
          </cell>
          <cell r="W1272">
            <v>1</v>
          </cell>
          <cell r="X1272">
            <v>60</v>
          </cell>
          <cell r="Y1272">
            <v>1.7</v>
          </cell>
          <cell r="Z1272">
            <v>1.4</v>
          </cell>
          <cell r="AA1272">
            <v>1</v>
          </cell>
          <cell r="AB1272">
            <v>0</v>
          </cell>
        </row>
        <row r="1273">
          <cell r="A1273">
            <v>1272</v>
          </cell>
          <cell r="B1273" t="str">
            <v>親指</v>
          </cell>
          <cell r="C1273">
            <v>6</v>
          </cell>
          <cell r="D1273" t="str">
            <v>red</v>
          </cell>
          <cell r="E1273">
            <v>1</v>
          </cell>
          <cell r="F1273">
            <v>1.02</v>
          </cell>
          <cell r="G1273">
            <v>1</v>
          </cell>
          <cell r="H1273" t="str">
            <v>attack</v>
          </cell>
          <cell r="I1273" t="str">
            <v>攻撃タイプ</v>
          </cell>
          <cell r="J1273">
            <v>1</v>
          </cell>
          <cell r="K1273">
            <v>1.33</v>
          </cell>
          <cell r="L1273">
            <v>1</v>
          </cell>
          <cell r="M1273" t="str">
            <v>human</v>
          </cell>
          <cell r="N1273" t="str">
            <v>ヒューマン</v>
          </cell>
          <cell r="O1273">
            <v>0.94</v>
          </cell>
          <cell r="P1273">
            <v>0.99</v>
          </cell>
          <cell r="Q1273">
            <v>1</v>
          </cell>
          <cell r="R1273" t="str">
            <v>Boss</v>
          </cell>
          <cell r="S1273">
            <v>5</v>
          </cell>
          <cell r="T1273">
            <v>1.3</v>
          </cell>
          <cell r="U1273">
            <v>0.8</v>
          </cell>
          <cell r="V1273">
            <v>3</v>
          </cell>
          <cell r="W1273">
            <v>1</v>
          </cell>
          <cell r="X1273">
            <v>60</v>
          </cell>
          <cell r="Y1273">
            <v>1.7</v>
          </cell>
          <cell r="Z1273">
            <v>1.4</v>
          </cell>
          <cell r="AA1273">
            <v>1</v>
          </cell>
          <cell r="AB1273">
            <v>0</v>
          </cell>
        </row>
        <row r="1274">
          <cell r="A1274">
            <v>1273</v>
          </cell>
          <cell r="B1274" t="str">
            <v>炎影纏う征討者 織田信長</v>
          </cell>
          <cell r="C1274">
            <v>6</v>
          </cell>
          <cell r="D1274" t="str">
            <v>red</v>
          </cell>
          <cell r="E1274">
            <v>1</v>
          </cell>
          <cell r="F1274">
            <v>1.02</v>
          </cell>
          <cell r="G1274">
            <v>1</v>
          </cell>
          <cell r="H1274" t="str">
            <v>balance</v>
          </cell>
          <cell r="I1274" t="str">
            <v>バランスタイプ</v>
          </cell>
          <cell r="J1274">
            <v>1</v>
          </cell>
          <cell r="K1274">
            <v>1</v>
          </cell>
          <cell r="L1274">
            <v>1</v>
          </cell>
          <cell r="M1274" t="str">
            <v>human</v>
          </cell>
          <cell r="N1274" t="str">
            <v>ヒューマン</v>
          </cell>
          <cell r="O1274">
            <v>0.94</v>
          </cell>
          <cell r="P1274">
            <v>0.99</v>
          </cell>
          <cell r="Q1274">
            <v>1</v>
          </cell>
          <cell r="R1274" t="str">
            <v>Boss</v>
          </cell>
          <cell r="S1274">
            <v>5</v>
          </cell>
          <cell r="T1274">
            <v>1.3</v>
          </cell>
          <cell r="U1274">
            <v>0.8</v>
          </cell>
          <cell r="V1274">
            <v>3</v>
          </cell>
          <cell r="W1274">
            <v>1</v>
          </cell>
          <cell r="X1274">
            <v>60</v>
          </cell>
          <cell r="Y1274">
            <v>1.7</v>
          </cell>
          <cell r="Z1274">
            <v>1.4</v>
          </cell>
          <cell r="AA1274">
            <v>1</v>
          </cell>
          <cell r="AB1274">
            <v>0</v>
          </cell>
        </row>
        <row r="1275">
          <cell r="A1275">
            <v>1274</v>
          </cell>
          <cell r="B1275" t="str">
            <v>神雪と戯れる聖母 マリア</v>
          </cell>
          <cell r="C1275">
            <v>6</v>
          </cell>
          <cell r="D1275" t="str">
            <v>blue</v>
          </cell>
          <cell r="E1275">
            <v>1</v>
          </cell>
          <cell r="F1275">
            <v>0.98</v>
          </cell>
          <cell r="G1275">
            <v>1</v>
          </cell>
          <cell r="H1275" t="str">
            <v>heal</v>
          </cell>
          <cell r="I1275" t="str">
            <v>回復タイプ</v>
          </cell>
          <cell r="J1275">
            <v>0.8</v>
          </cell>
          <cell r="K1275">
            <v>0.78</v>
          </cell>
          <cell r="L1275">
            <v>1</v>
          </cell>
          <cell r="M1275" t="str">
            <v>human</v>
          </cell>
          <cell r="N1275" t="str">
            <v>ヒューマン</v>
          </cell>
          <cell r="O1275">
            <v>0.94</v>
          </cell>
          <cell r="P1275">
            <v>0.99</v>
          </cell>
          <cell r="Q1275">
            <v>1</v>
          </cell>
          <cell r="R1275" t="str">
            <v>Boss</v>
          </cell>
          <cell r="S1275">
            <v>5</v>
          </cell>
          <cell r="T1275">
            <v>1.3</v>
          </cell>
          <cell r="U1275">
            <v>0.8</v>
          </cell>
          <cell r="V1275">
            <v>3</v>
          </cell>
          <cell r="W1275">
            <v>1</v>
          </cell>
          <cell r="X1275">
            <v>60</v>
          </cell>
          <cell r="Y1275">
            <v>1.7</v>
          </cell>
          <cell r="Z1275">
            <v>1.4</v>
          </cell>
          <cell r="AA1275">
            <v>1</v>
          </cell>
          <cell r="AB1275">
            <v>0</v>
          </cell>
        </row>
        <row r="1276">
          <cell r="A1276">
            <v>1275</v>
          </cell>
          <cell r="B1276" t="str">
            <v>聖進の贈炎 クリスマス・ベリアル</v>
          </cell>
          <cell r="C1276">
            <v>6</v>
          </cell>
          <cell r="D1276" t="str">
            <v>red</v>
          </cell>
          <cell r="E1276">
            <v>1</v>
          </cell>
          <cell r="F1276">
            <v>1.02</v>
          </cell>
          <cell r="G1276">
            <v>1</v>
          </cell>
          <cell r="H1276" t="str">
            <v>attack</v>
          </cell>
          <cell r="I1276" t="str">
            <v>攻撃タイプ</v>
          </cell>
          <cell r="J1276">
            <v>1</v>
          </cell>
          <cell r="K1276">
            <v>1.33</v>
          </cell>
          <cell r="L1276">
            <v>1</v>
          </cell>
          <cell r="M1276" t="str">
            <v>god</v>
          </cell>
          <cell r="N1276" t="str">
            <v>ゴッド</v>
          </cell>
          <cell r="O1276">
            <v>0.96</v>
          </cell>
          <cell r="P1276">
            <v>1.02</v>
          </cell>
          <cell r="Q1276">
            <v>1</v>
          </cell>
          <cell r="R1276" t="str">
            <v>Boss</v>
          </cell>
          <cell r="S1276">
            <v>5</v>
          </cell>
          <cell r="T1276">
            <v>1.3</v>
          </cell>
          <cell r="U1276">
            <v>0.8</v>
          </cell>
          <cell r="V1276">
            <v>3</v>
          </cell>
          <cell r="W1276">
            <v>1</v>
          </cell>
          <cell r="X1276">
            <v>60</v>
          </cell>
          <cell r="Y1276">
            <v>1.7</v>
          </cell>
          <cell r="Z1276">
            <v>1.4</v>
          </cell>
          <cell r="AA1276">
            <v>1</v>
          </cell>
          <cell r="AB1276">
            <v>0</v>
          </cell>
        </row>
        <row r="1277">
          <cell r="A1277">
            <v>1276</v>
          </cell>
          <cell r="B1277" t="str">
            <v>聖宴の主彩 サンタクロース・オセ</v>
          </cell>
          <cell r="C1277">
            <v>6</v>
          </cell>
          <cell r="D1277" t="str">
            <v>green</v>
          </cell>
          <cell r="E1277">
            <v>1.02</v>
          </cell>
          <cell r="F1277">
            <v>0.98</v>
          </cell>
          <cell r="G1277">
            <v>1</v>
          </cell>
          <cell r="H1277" t="str">
            <v>attack</v>
          </cell>
          <cell r="I1277" t="str">
            <v>攻撃タイプ</v>
          </cell>
          <cell r="J1277">
            <v>1</v>
          </cell>
          <cell r="K1277">
            <v>1.33</v>
          </cell>
          <cell r="L1277">
            <v>1</v>
          </cell>
          <cell r="M1277" t="str">
            <v>god</v>
          </cell>
          <cell r="N1277" t="str">
            <v>ゴッド</v>
          </cell>
          <cell r="O1277">
            <v>0.96</v>
          </cell>
          <cell r="P1277">
            <v>1.02</v>
          </cell>
          <cell r="Q1277">
            <v>1</v>
          </cell>
          <cell r="R1277" t="str">
            <v>Boss</v>
          </cell>
          <cell r="S1277">
            <v>5</v>
          </cell>
          <cell r="T1277">
            <v>1.3</v>
          </cell>
          <cell r="U1277">
            <v>0.8</v>
          </cell>
          <cell r="V1277">
            <v>3</v>
          </cell>
          <cell r="W1277">
            <v>1</v>
          </cell>
          <cell r="X1277">
            <v>60</v>
          </cell>
          <cell r="Y1277">
            <v>1.7</v>
          </cell>
          <cell r="Z1277">
            <v>1.4</v>
          </cell>
          <cell r="AA1277">
            <v>1</v>
          </cell>
          <cell r="AB1277">
            <v>0</v>
          </cell>
        </row>
        <row r="1278">
          <cell r="A1278">
            <v>1277</v>
          </cell>
          <cell r="B1278" t="str">
            <v>彩鈴鳴らす聖天使 ミカエル・イヴ</v>
          </cell>
          <cell r="C1278">
            <v>6</v>
          </cell>
          <cell r="D1278" t="str">
            <v>yellow</v>
          </cell>
          <cell r="E1278">
            <v>0.98</v>
          </cell>
          <cell r="F1278">
            <v>1.01</v>
          </cell>
          <cell r="G1278">
            <v>1</v>
          </cell>
          <cell r="H1278" t="str">
            <v>attack</v>
          </cell>
          <cell r="I1278" t="str">
            <v>攻撃タイプ</v>
          </cell>
          <cell r="J1278">
            <v>1</v>
          </cell>
          <cell r="K1278">
            <v>1.33</v>
          </cell>
          <cell r="L1278">
            <v>1</v>
          </cell>
          <cell r="M1278" t="str">
            <v>god</v>
          </cell>
          <cell r="N1278" t="str">
            <v>ゴッド</v>
          </cell>
          <cell r="O1278">
            <v>0.96</v>
          </cell>
          <cell r="P1278">
            <v>1.02</v>
          </cell>
          <cell r="Q1278">
            <v>1</v>
          </cell>
          <cell r="R1278" t="str">
            <v>Boss</v>
          </cell>
          <cell r="S1278">
            <v>5</v>
          </cell>
          <cell r="T1278">
            <v>1.3</v>
          </cell>
          <cell r="U1278">
            <v>0.8</v>
          </cell>
          <cell r="V1278">
            <v>3</v>
          </cell>
          <cell r="W1278">
            <v>1</v>
          </cell>
          <cell r="X1278">
            <v>60</v>
          </cell>
          <cell r="Y1278">
            <v>1.7</v>
          </cell>
          <cell r="Z1278">
            <v>1.4</v>
          </cell>
          <cell r="AA1278">
            <v>1</v>
          </cell>
          <cell r="AB1278">
            <v>0</v>
          </cell>
        </row>
        <row r="1279">
          <cell r="A1279">
            <v>1278</v>
          </cell>
          <cell r="B1279" t="str">
            <v>ラチカ</v>
          </cell>
          <cell r="C1279">
            <v>5</v>
          </cell>
          <cell r="D1279" t="str">
            <v>yellow</v>
          </cell>
          <cell r="E1279">
            <v>0.98</v>
          </cell>
          <cell r="F1279">
            <v>1.01</v>
          </cell>
          <cell r="G1279">
            <v>1</v>
          </cell>
          <cell r="H1279" t="str">
            <v>hp</v>
          </cell>
          <cell r="I1279" t="str">
            <v>体力タイプ</v>
          </cell>
          <cell r="J1279">
            <v>1.45</v>
          </cell>
          <cell r="K1279">
            <v>0.85</v>
          </cell>
          <cell r="L1279">
            <v>1</v>
          </cell>
          <cell r="M1279" t="str">
            <v>unknown</v>
          </cell>
          <cell r="N1279" t="str">
            <v>Unknown</v>
          </cell>
          <cell r="O1279">
            <v>1</v>
          </cell>
          <cell r="P1279">
            <v>1</v>
          </cell>
          <cell r="Q1279">
            <v>1</v>
          </cell>
          <cell r="R1279" t="str">
            <v>Boss</v>
          </cell>
          <cell r="S1279">
            <v>5</v>
          </cell>
          <cell r="T1279">
            <v>1.3</v>
          </cell>
          <cell r="U1279">
            <v>0.8</v>
          </cell>
          <cell r="V1279">
            <v>3</v>
          </cell>
          <cell r="W1279">
            <v>1</v>
          </cell>
          <cell r="X1279">
            <v>60</v>
          </cell>
          <cell r="Y1279">
            <v>1.7</v>
          </cell>
          <cell r="Z1279">
            <v>1.4</v>
          </cell>
          <cell r="AA1279">
            <v>1</v>
          </cell>
          <cell r="AB1279">
            <v>0</v>
          </cell>
        </row>
        <row r="1280">
          <cell r="A1280">
            <v>1279</v>
          </cell>
          <cell r="B1280" t="str">
            <v>霜聖の雪姫 ラチカ</v>
          </cell>
          <cell r="C1280">
            <v>6</v>
          </cell>
          <cell r="D1280" t="str">
            <v>yellow</v>
          </cell>
          <cell r="E1280">
            <v>0.98</v>
          </cell>
          <cell r="F1280">
            <v>1.01</v>
          </cell>
          <cell r="G1280">
            <v>1</v>
          </cell>
          <cell r="H1280" t="str">
            <v>hp</v>
          </cell>
          <cell r="I1280" t="str">
            <v>体力タイプ</v>
          </cell>
          <cell r="J1280">
            <v>1.45</v>
          </cell>
          <cell r="K1280">
            <v>0.85</v>
          </cell>
          <cell r="L1280">
            <v>1</v>
          </cell>
          <cell r="M1280" t="str">
            <v>unknown</v>
          </cell>
          <cell r="N1280" t="str">
            <v>Unknown</v>
          </cell>
          <cell r="O1280">
            <v>1</v>
          </cell>
          <cell r="P1280">
            <v>1</v>
          </cell>
          <cell r="Q1280">
            <v>1</v>
          </cell>
          <cell r="R1280" t="str">
            <v>Boss</v>
          </cell>
          <cell r="S1280">
            <v>5</v>
          </cell>
          <cell r="T1280">
            <v>1.3</v>
          </cell>
          <cell r="U1280">
            <v>0.8</v>
          </cell>
          <cell r="V1280">
            <v>3</v>
          </cell>
          <cell r="W1280">
            <v>1</v>
          </cell>
          <cell r="X1280">
            <v>60</v>
          </cell>
          <cell r="Y1280">
            <v>1.7</v>
          </cell>
          <cell r="Z1280">
            <v>1.4</v>
          </cell>
          <cell r="AA1280">
            <v>1</v>
          </cell>
          <cell r="AB1280">
            <v>0</v>
          </cell>
        </row>
        <row r="1281">
          <cell r="A1281">
            <v>1280</v>
          </cell>
          <cell r="B1281" t="str">
            <v>聖装の始祖帝 クリスマス卑弥呼</v>
          </cell>
          <cell r="C1281">
            <v>5</v>
          </cell>
          <cell r="D1281" t="str">
            <v>blue</v>
          </cell>
          <cell r="E1281">
            <v>1</v>
          </cell>
          <cell r="F1281">
            <v>0.98</v>
          </cell>
          <cell r="G1281">
            <v>1</v>
          </cell>
          <cell r="H1281" t="str">
            <v>balance</v>
          </cell>
          <cell r="I1281" t="str">
            <v>バランスタイプ</v>
          </cell>
          <cell r="J1281">
            <v>1</v>
          </cell>
          <cell r="K1281">
            <v>1</v>
          </cell>
          <cell r="L1281">
            <v>1</v>
          </cell>
          <cell r="M1281" t="str">
            <v>human</v>
          </cell>
          <cell r="N1281" t="str">
            <v>ヒューマン</v>
          </cell>
          <cell r="O1281">
            <v>0.94</v>
          </cell>
          <cell r="P1281">
            <v>0.99</v>
          </cell>
          <cell r="Q1281">
            <v>1</v>
          </cell>
          <cell r="R1281" t="str">
            <v>Boss</v>
          </cell>
          <cell r="S1281">
            <v>5</v>
          </cell>
          <cell r="T1281">
            <v>1.3</v>
          </cell>
          <cell r="U1281">
            <v>0.8</v>
          </cell>
          <cell r="V1281">
            <v>3</v>
          </cell>
          <cell r="W1281">
            <v>1</v>
          </cell>
          <cell r="X1281">
            <v>60</v>
          </cell>
          <cell r="Y1281">
            <v>1.7</v>
          </cell>
          <cell r="Z1281">
            <v>1.4</v>
          </cell>
          <cell r="AA1281">
            <v>1</v>
          </cell>
          <cell r="AB1281">
            <v>0</v>
          </cell>
        </row>
        <row r="1282">
          <cell r="A1282">
            <v>1281</v>
          </cell>
          <cell r="B1282" t="str">
            <v>愛贈の白魔 ノエル・エスタブ</v>
          </cell>
          <cell r="C1282">
            <v>5</v>
          </cell>
          <cell r="D1282" t="str">
            <v>green</v>
          </cell>
          <cell r="E1282">
            <v>1.02</v>
          </cell>
          <cell r="F1282">
            <v>0.98</v>
          </cell>
          <cell r="G1282">
            <v>1</v>
          </cell>
          <cell r="H1282" t="str">
            <v>attack</v>
          </cell>
          <cell r="I1282" t="str">
            <v>攻撃タイプ</v>
          </cell>
          <cell r="J1282">
            <v>1</v>
          </cell>
          <cell r="K1282">
            <v>1.33</v>
          </cell>
          <cell r="L1282">
            <v>1</v>
          </cell>
          <cell r="M1282" t="str">
            <v>human</v>
          </cell>
          <cell r="N1282" t="str">
            <v>ヒューマン</v>
          </cell>
          <cell r="O1282">
            <v>0.94</v>
          </cell>
          <cell r="P1282">
            <v>0.99</v>
          </cell>
          <cell r="Q1282">
            <v>1</v>
          </cell>
          <cell r="R1282" t="str">
            <v>Boss</v>
          </cell>
          <cell r="S1282">
            <v>5</v>
          </cell>
          <cell r="T1282">
            <v>1.3</v>
          </cell>
          <cell r="U1282">
            <v>0.8</v>
          </cell>
          <cell r="V1282">
            <v>3</v>
          </cell>
          <cell r="W1282">
            <v>1</v>
          </cell>
          <cell r="X1282">
            <v>60</v>
          </cell>
          <cell r="Y1282">
            <v>1.7</v>
          </cell>
          <cell r="Z1282">
            <v>1.4</v>
          </cell>
          <cell r="AA1282">
            <v>1</v>
          </cell>
          <cell r="AB1282">
            <v>0</v>
          </cell>
        </row>
        <row r="1283">
          <cell r="A1283">
            <v>1282</v>
          </cell>
          <cell r="B1283" t="str">
            <v>ポーラとダニー</v>
          </cell>
          <cell r="C1283">
            <v>5</v>
          </cell>
          <cell r="D1283" t="str">
            <v>red</v>
          </cell>
          <cell r="E1283">
            <v>1</v>
          </cell>
          <cell r="F1283">
            <v>1.02</v>
          </cell>
          <cell r="G1283">
            <v>1</v>
          </cell>
          <cell r="H1283" t="str">
            <v>technical</v>
          </cell>
          <cell r="I1283" t="str">
            <v>テクニカルタイプ</v>
          </cell>
          <cell r="J1283">
            <v>0.9</v>
          </cell>
          <cell r="K1283">
            <v>0.9</v>
          </cell>
          <cell r="L1283">
            <v>1</v>
          </cell>
          <cell r="M1283" t="str">
            <v>unknown</v>
          </cell>
          <cell r="N1283" t="str">
            <v>Unknown</v>
          </cell>
          <cell r="O1283">
            <v>1</v>
          </cell>
          <cell r="P1283">
            <v>1</v>
          </cell>
          <cell r="Q1283">
            <v>1</v>
          </cell>
          <cell r="R1283" t="str">
            <v>Boss</v>
          </cell>
          <cell r="S1283">
            <v>5</v>
          </cell>
          <cell r="T1283">
            <v>1.3</v>
          </cell>
          <cell r="U1283">
            <v>0.8</v>
          </cell>
          <cell r="V1283">
            <v>3</v>
          </cell>
          <cell r="W1283">
            <v>1</v>
          </cell>
          <cell r="X1283">
            <v>60</v>
          </cell>
          <cell r="Y1283">
            <v>1.7</v>
          </cell>
          <cell r="Z1283">
            <v>1.4</v>
          </cell>
          <cell r="AA1283">
            <v>1</v>
          </cell>
          <cell r="AB1283">
            <v>0</v>
          </cell>
        </row>
        <row r="1284">
          <cell r="A1284">
            <v>1283</v>
          </cell>
          <cell r="B1284" t="str">
            <v>連極の機関砲 ポーラとダニー</v>
          </cell>
          <cell r="C1284">
            <v>6</v>
          </cell>
          <cell r="D1284" t="str">
            <v>red</v>
          </cell>
          <cell r="E1284">
            <v>1</v>
          </cell>
          <cell r="F1284">
            <v>1.02</v>
          </cell>
          <cell r="G1284">
            <v>1</v>
          </cell>
          <cell r="H1284" t="str">
            <v>technical</v>
          </cell>
          <cell r="I1284" t="str">
            <v>テクニカルタイプ</v>
          </cell>
          <cell r="J1284">
            <v>0.9</v>
          </cell>
          <cell r="K1284">
            <v>0.9</v>
          </cell>
          <cell r="L1284">
            <v>1</v>
          </cell>
          <cell r="M1284" t="str">
            <v>unknown</v>
          </cell>
          <cell r="N1284" t="str">
            <v>Unknown</v>
          </cell>
          <cell r="O1284">
            <v>1</v>
          </cell>
          <cell r="P1284">
            <v>1</v>
          </cell>
          <cell r="Q1284">
            <v>1</v>
          </cell>
          <cell r="R1284" t="str">
            <v>Boss</v>
          </cell>
          <cell r="S1284">
            <v>5</v>
          </cell>
          <cell r="T1284">
            <v>1.3</v>
          </cell>
          <cell r="U1284">
            <v>0.8</v>
          </cell>
          <cell r="V1284">
            <v>3</v>
          </cell>
          <cell r="W1284">
            <v>1</v>
          </cell>
          <cell r="X1284">
            <v>60</v>
          </cell>
          <cell r="Y1284">
            <v>1.7</v>
          </cell>
          <cell r="Z1284">
            <v>1.4</v>
          </cell>
          <cell r="AA1284">
            <v>1</v>
          </cell>
          <cell r="AB1284">
            <v>0</v>
          </cell>
        </row>
        <row r="1285">
          <cell r="A1285">
            <v>1284</v>
          </cell>
          <cell r="B1285" t="str">
            <v>マシン・シュプール</v>
          </cell>
          <cell r="C1285">
            <v>5</v>
          </cell>
          <cell r="D1285" t="str">
            <v>blue</v>
          </cell>
          <cell r="E1285">
            <v>1</v>
          </cell>
          <cell r="F1285">
            <v>0.98</v>
          </cell>
          <cell r="G1285">
            <v>1</v>
          </cell>
          <cell r="H1285" t="str">
            <v>hp</v>
          </cell>
          <cell r="I1285" t="str">
            <v>体力タイプ</v>
          </cell>
          <cell r="J1285">
            <v>1.45</v>
          </cell>
          <cell r="K1285">
            <v>0.85</v>
          </cell>
          <cell r="L1285">
            <v>1</v>
          </cell>
          <cell r="M1285" t="str">
            <v>unknown</v>
          </cell>
          <cell r="N1285" t="str">
            <v>Unknown</v>
          </cell>
          <cell r="O1285">
            <v>1</v>
          </cell>
          <cell r="P1285">
            <v>1</v>
          </cell>
          <cell r="Q1285">
            <v>1</v>
          </cell>
          <cell r="R1285" t="str">
            <v>Boss</v>
          </cell>
          <cell r="S1285">
            <v>5</v>
          </cell>
          <cell r="T1285">
            <v>1.3</v>
          </cell>
          <cell r="U1285">
            <v>0.8</v>
          </cell>
          <cell r="V1285">
            <v>3</v>
          </cell>
          <cell r="W1285">
            <v>1</v>
          </cell>
          <cell r="X1285">
            <v>60</v>
          </cell>
          <cell r="Y1285">
            <v>1.7</v>
          </cell>
          <cell r="Z1285">
            <v>1.4</v>
          </cell>
          <cell r="AA1285">
            <v>1</v>
          </cell>
          <cell r="AB1285">
            <v>0</v>
          </cell>
        </row>
        <row r="1286">
          <cell r="A1286">
            <v>1285</v>
          </cell>
          <cell r="B1286" t="str">
            <v>災氷の魔導 シュプール</v>
          </cell>
          <cell r="C1286">
            <v>6</v>
          </cell>
          <cell r="D1286" t="str">
            <v>blue</v>
          </cell>
          <cell r="E1286">
            <v>1</v>
          </cell>
          <cell r="F1286">
            <v>0.98</v>
          </cell>
          <cell r="G1286">
            <v>1</v>
          </cell>
          <cell r="H1286" t="str">
            <v>hp</v>
          </cell>
          <cell r="I1286" t="str">
            <v>体力タイプ</v>
          </cell>
          <cell r="J1286">
            <v>1.45</v>
          </cell>
          <cell r="K1286">
            <v>0.85</v>
          </cell>
          <cell r="L1286">
            <v>1</v>
          </cell>
          <cell r="M1286" t="str">
            <v>unknown</v>
          </cell>
          <cell r="N1286" t="str">
            <v>Unknown</v>
          </cell>
          <cell r="O1286">
            <v>1</v>
          </cell>
          <cell r="P1286">
            <v>1</v>
          </cell>
          <cell r="Q1286">
            <v>1</v>
          </cell>
          <cell r="R1286" t="str">
            <v>Boss</v>
          </cell>
          <cell r="S1286">
            <v>5</v>
          </cell>
          <cell r="T1286">
            <v>1.3</v>
          </cell>
          <cell r="U1286">
            <v>0.8</v>
          </cell>
          <cell r="V1286">
            <v>3</v>
          </cell>
          <cell r="W1286">
            <v>1</v>
          </cell>
          <cell r="X1286">
            <v>60</v>
          </cell>
          <cell r="Y1286">
            <v>1.7</v>
          </cell>
          <cell r="Z1286">
            <v>1.4</v>
          </cell>
          <cell r="AA1286">
            <v>1</v>
          </cell>
          <cell r="AB1286">
            <v>0</v>
          </cell>
        </row>
        <row r="1287">
          <cell r="A1287">
            <v>1286</v>
          </cell>
          <cell r="B1287" t="str">
            <v>ニコラ</v>
          </cell>
          <cell r="C1287">
            <v>5</v>
          </cell>
          <cell r="D1287" t="str">
            <v>yellow</v>
          </cell>
          <cell r="E1287">
            <v>0.98</v>
          </cell>
          <cell r="F1287">
            <v>1.01</v>
          </cell>
          <cell r="G1287">
            <v>1</v>
          </cell>
          <cell r="H1287" t="str">
            <v>hp</v>
          </cell>
          <cell r="I1287" t="str">
            <v>体力タイプ</v>
          </cell>
          <cell r="J1287">
            <v>1.45</v>
          </cell>
          <cell r="K1287">
            <v>0.85</v>
          </cell>
          <cell r="L1287">
            <v>1</v>
          </cell>
          <cell r="M1287" t="str">
            <v>human</v>
          </cell>
          <cell r="N1287" t="str">
            <v>ヒューマン</v>
          </cell>
          <cell r="O1287">
            <v>0.94</v>
          </cell>
          <cell r="P1287">
            <v>0.99</v>
          </cell>
          <cell r="Q1287">
            <v>1</v>
          </cell>
          <cell r="R1287" t="str">
            <v>Boss</v>
          </cell>
          <cell r="S1287">
            <v>5</v>
          </cell>
          <cell r="T1287">
            <v>1.3</v>
          </cell>
          <cell r="U1287">
            <v>0.8</v>
          </cell>
          <cell r="V1287">
            <v>3</v>
          </cell>
          <cell r="W1287">
            <v>1</v>
          </cell>
          <cell r="X1287">
            <v>60</v>
          </cell>
          <cell r="Y1287">
            <v>1.7</v>
          </cell>
          <cell r="Z1287">
            <v>1.4</v>
          </cell>
          <cell r="AA1287">
            <v>1</v>
          </cell>
          <cell r="AB1287">
            <v>0</v>
          </cell>
        </row>
        <row r="1288">
          <cell r="A1288">
            <v>1287</v>
          </cell>
          <cell r="B1288" t="str">
            <v>奇蹟呼ぶ聖砲 ニコラ</v>
          </cell>
          <cell r="C1288">
            <v>6</v>
          </cell>
          <cell r="D1288" t="str">
            <v>yellow</v>
          </cell>
          <cell r="E1288">
            <v>0.98</v>
          </cell>
          <cell r="F1288">
            <v>1.01</v>
          </cell>
          <cell r="G1288">
            <v>1</v>
          </cell>
          <cell r="H1288" t="str">
            <v>hp</v>
          </cell>
          <cell r="I1288" t="str">
            <v>体力タイプ</v>
          </cell>
          <cell r="J1288">
            <v>1.45</v>
          </cell>
          <cell r="K1288">
            <v>0.85</v>
          </cell>
          <cell r="L1288">
            <v>1</v>
          </cell>
          <cell r="M1288" t="str">
            <v>human</v>
          </cell>
          <cell r="N1288" t="str">
            <v>ヒューマン</v>
          </cell>
          <cell r="O1288">
            <v>0.94</v>
          </cell>
          <cell r="P1288">
            <v>0.99</v>
          </cell>
          <cell r="Q1288">
            <v>1</v>
          </cell>
          <cell r="R1288" t="str">
            <v>Boss</v>
          </cell>
          <cell r="S1288">
            <v>5</v>
          </cell>
          <cell r="T1288">
            <v>1.3</v>
          </cell>
          <cell r="U1288">
            <v>0.8</v>
          </cell>
          <cell r="V1288">
            <v>3</v>
          </cell>
          <cell r="W1288">
            <v>1</v>
          </cell>
          <cell r="X1288">
            <v>60</v>
          </cell>
          <cell r="Y1288">
            <v>1.7</v>
          </cell>
          <cell r="Z1288">
            <v>1.4</v>
          </cell>
          <cell r="AA1288">
            <v>1</v>
          </cell>
          <cell r="AB1288">
            <v>0</v>
          </cell>
        </row>
        <row r="1289">
          <cell r="A1289">
            <v>1288</v>
          </cell>
          <cell r="B1289" t="str">
            <v>聖伝の大主教 セント・ニコラ</v>
          </cell>
          <cell r="C1289">
            <v>6</v>
          </cell>
          <cell r="D1289" t="str">
            <v>yellow</v>
          </cell>
          <cell r="E1289">
            <v>0.98</v>
          </cell>
          <cell r="F1289">
            <v>1.01</v>
          </cell>
          <cell r="G1289">
            <v>1</v>
          </cell>
          <cell r="H1289" t="str">
            <v>hp</v>
          </cell>
          <cell r="I1289" t="str">
            <v>体力タイプ</v>
          </cell>
          <cell r="J1289">
            <v>1.45</v>
          </cell>
          <cell r="K1289">
            <v>0.85</v>
          </cell>
          <cell r="L1289">
            <v>1</v>
          </cell>
          <cell r="M1289" t="str">
            <v>human</v>
          </cell>
          <cell r="N1289" t="str">
            <v>ヒューマン</v>
          </cell>
          <cell r="O1289">
            <v>0.94</v>
          </cell>
          <cell r="P1289">
            <v>0.99</v>
          </cell>
          <cell r="Q1289">
            <v>1</v>
          </cell>
          <cell r="R1289" t="str">
            <v>Boss</v>
          </cell>
          <cell r="S1289">
            <v>5</v>
          </cell>
          <cell r="T1289">
            <v>1.3</v>
          </cell>
          <cell r="U1289">
            <v>0.8</v>
          </cell>
          <cell r="V1289">
            <v>3</v>
          </cell>
          <cell r="W1289">
            <v>1</v>
          </cell>
          <cell r="X1289">
            <v>60</v>
          </cell>
          <cell r="Y1289">
            <v>1.7</v>
          </cell>
          <cell r="Z1289">
            <v>1.4</v>
          </cell>
          <cell r="AA1289">
            <v>1</v>
          </cell>
          <cell r="AB1289">
            <v>0</v>
          </cell>
        </row>
        <row r="1290">
          <cell r="A1290">
            <v>1289</v>
          </cell>
          <cell r="B1290" t="str">
            <v>聖封の褒装 ベルベット</v>
          </cell>
          <cell r="C1290">
            <v>6</v>
          </cell>
          <cell r="D1290" t="str">
            <v>blue</v>
          </cell>
          <cell r="E1290">
            <v>1</v>
          </cell>
          <cell r="F1290">
            <v>0.98</v>
          </cell>
          <cell r="G1290">
            <v>1</v>
          </cell>
          <cell r="H1290" t="str">
            <v>heal</v>
          </cell>
          <cell r="I1290" t="str">
            <v>回復タイプ</v>
          </cell>
          <cell r="J1290">
            <v>0.8</v>
          </cell>
          <cell r="K1290">
            <v>0.78</v>
          </cell>
          <cell r="L1290">
            <v>1</v>
          </cell>
          <cell r="M1290" t="str">
            <v>unknown</v>
          </cell>
          <cell r="N1290" t="str">
            <v>Unknown</v>
          </cell>
          <cell r="O1290">
            <v>1</v>
          </cell>
          <cell r="P1290">
            <v>1</v>
          </cell>
          <cell r="Q1290">
            <v>1</v>
          </cell>
          <cell r="R1290" t="str">
            <v>Boss</v>
          </cell>
          <cell r="S1290">
            <v>5</v>
          </cell>
          <cell r="T1290">
            <v>1.3</v>
          </cell>
          <cell r="U1290">
            <v>0.8</v>
          </cell>
          <cell r="V1290">
            <v>3</v>
          </cell>
          <cell r="W1290">
            <v>1</v>
          </cell>
          <cell r="X1290">
            <v>60</v>
          </cell>
          <cell r="Y1290">
            <v>1.7</v>
          </cell>
          <cell r="Z1290">
            <v>1.4</v>
          </cell>
          <cell r="AA1290">
            <v>1</v>
          </cell>
          <cell r="AB1290">
            <v>0</v>
          </cell>
        </row>
        <row r="1291">
          <cell r="A1291">
            <v>1290</v>
          </cell>
          <cell r="B1291" t="str">
            <v>想飾の響鐘 リンジー</v>
          </cell>
          <cell r="C1291">
            <v>6</v>
          </cell>
          <cell r="D1291" t="str">
            <v>blue</v>
          </cell>
          <cell r="E1291">
            <v>1</v>
          </cell>
          <cell r="F1291">
            <v>0.98</v>
          </cell>
          <cell r="G1291">
            <v>1</v>
          </cell>
          <cell r="H1291" t="str">
            <v>hp</v>
          </cell>
          <cell r="I1291" t="str">
            <v>体力タイプ</v>
          </cell>
          <cell r="J1291">
            <v>1.45</v>
          </cell>
          <cell r="K1291">
            <v>0.85</v>
          </cell>
          <cell r="L1291">
            <v>1</v>
          </cell>
          <cell r="M1291" t="str">
            <v>unknown</v>
          </cell>
          <cell r="N1291" t="str">
            <v>Unknown</v>
          </cell>
          <cell r="O1291">
            <v>1</v>
          </cell>
          <cell r="P1291">
            <v>1</v>
          </cell>
          <cell r="Q1291">
            <v>1</v>
          </cell>
          <cell r="R1291" t="str">
            <v>Boss</v>
          </cell>
          <cell r="S1291">
            <v>5</v>
          </cell>
          <cell r="T1291">
            <v>1.3</v>
          </cell>
          <cell r="U1291">
            <v>0.8</v>
          </cell>
          <cell r="V1291">
            <v>3</v>
          </cell>
          <cell r="W1291">
            <v>1</v>
          </cell>
          <cell r="X1291">
            <v>60</v>
          </cell>
          <cell r="Y1291">
            <v>1.7</v>
          </cell>
          <cell r="Z1291">
            <v>1.4</v>
          </cell>
          <cell r="AA1291">
            <v>1</v>
          </cell>
          <cell r="AB1291">
            <v>0</v>
          </cell>
        </row>
        <row r="1292">
          <cell r="A1292">
            <v>1291</v>
          </cell>
          <cell r="B1292" t="str">
            <v>望雅の煌明鹿剣 勘兵衛</v>
          </cell>
          <cell r="C1292">
            <v>5</v>
          </cell>
          <cell r="D1292" t="str">
            <v>yellow</v>
          </cell>
          <cell r="E1292">
            <v>0.98</v>
          </cell>
          <cell r="F1292">
            <v>1.01</v>
          </cell>
          <cell r="G1292">
            <v>1</v>
          </cell>
          <cell r="H1292" t="str">
            <v>technical</v>
          </cell>
          <cell r="I1292" t="str">
            <v>テクニカルタイプ</v>
          </cell>
          <cell r="J1292">
            <v>0.9</v>
          </cell>
          <cell r="K1292">
            <v>0.9</v>
          </cell>
          <cell r="L1292">
            <v>1</v>
          </cell>
          <cell r="M1292" t="str">
            <v>animal</v>
          </cell>
          <cell r="N1292" t="str">
            <v>アニマル</v>
          </cell>
          <cell r="O1292">
            <v>1</v>
          </cell>
          <cell r="P1292">
            <v>1.1000000000000001</v>
          </cell>
          <cell r="Q1292">
            <v>1</v>
          </cell>
          <cell r="R1292" t="str">
            <v>Boss</v>
          </cell>
          <cell r="S1292">
            <v>5</v>
          </cell>
          <cell r="T1292">
            <v>1.3</v>
          </cell>
          <cell r="U1292">
            <v>0.8</v>
          </cell>
          <cell r="V1292">
            <v>3</v>
          </cell>
          <cell r="W1292">
            <v>1</v>
          </cell>
          <cell r="X1292">
            <v>60</v>
          </cell>
          <cell r="Y1292">
            <v>1.7</v>
          </cell>
          <cell r="Z1292">
            <v>1.4</v>
          </cell>
          <cell r="AA1292">
            <v>1</v>
          </cell>
          <cell r="AB1292">
            <v>0</v>
          </cell>
        </row>
        <row r="1293">
          <cell r="A1293">
            <v>1292</v>
          </cell>
          <cell r="B1293" t="str">
            <v>風光明媚の雅鹿剣 勘兵衛</v>
          </cell>
          <cell r="C1293">
            <v>6</v>
          </cell>
          <cell r="D1293" t="str">
            <v>yellow</v>
          </cell>
          <cell r="E1293">
            <v>0.98</v>
          </cell>
          <cell r="F1293">
            <v>1.01</v>
          </cell>
          <cell r="G1293">
            <v>1</v>
          </cell>
          <cell r="H1293" t="str">
            <v>technical</v>
          </cell>
          <cell r="I1293" t="str">
            <v>テクニカルタイプ</v>
          </cell>
          <cell r="J1293">
            <v>0.9</v>
          </cell>
          <cell r="K1293">
            <v>0.9</v>
          </cell>
          <cell r="L1293">
            <v>1</v>
          </cell>
          <cell r="M1293" t="str">
            <v>animal</v>
          </cell>
          <cell r="N1293" t="str">
            <v>アニマル</v>
          </cell>
          <cell r="O1293">
            <v>1</v>
          </cell>
          <cell r="P1293">
            <v>1.1000000000000001</v>
          </cell>
          <cell r="Q1293">
            <v>1</v>
          </cell>
          <cell r="R1293" t="str">
            <v>Boss</v>
          </cell>
          <cell r="S1293">
            <v>5</v>
          </cell>
          <cell r="T1293">
            <v>1.3</v>
          </cell>
          <cell r="U1293">
            <v>0.8</v>
          </cell>
          <cell r="V1293">
            <v>3</v>
          </cell>
          <cell r="W1293">
            <v>1</v>
          </cell>
          <cell r="X1293">
            <v>60</v>
          </cell>
          <cell r="Y1293">
            <v>1.7</v>
          </cell>
          <cell r="Z1293">
            <v>1.4</v>
          </cell>
          <cell r="AA1293">
            <v>1</v>
          </cell>
          <cell r="AB1293">
            <v>0</v>
          </cell>
        </row>
        <row r="1294">
          <cell r="A1294">
            <v>1293</v>
          </cell>
          <cell r="B1294" t="str">
            <v>トトリ</v>
          </cell>
          <cell r="C1294">
            <v>5</v>
          </cell>
          <cell r="D1294" t="str">
            <v>red</v>
          </cell>
          <cell r="E1294">
            <v>1</v>
          </cell>
          <cell r="F1294">
            <v>1.02</v>
          </cell>
          <cell r="G1294">
            <v>1</v>
          </cell>
          <cell r="H1294" t="str">
            <v>attack</v>
          </cell>
          <cell r="I1294" t="str">
            <v>攻撃タイプ</v>
          </cell>
          <cell r="J1294">
            <v>1</v>
          </cell>
          <cell r="K1294">
            <v>1.33</v>
          </cell>
          <cell r="L1294">
            <v>1</v>
          </cell>
          <cell r="M1294" t="str">
            <v>human</v>
          </cell>
          <cell r="N1294" t="str">
            <v>ヒューマン</v>
          </cell>
          <cell r="O1294">
            <v>0.94</v>
          </cell>
          <cell r="P1294">
            <v>0.99</v>
          </cell>
          <cell r="Q1294">
            <v>1</v>
          </cell>
          <cell r="R1294" t="str">
            <v>Boss</v>
          </cell>
          <cell r="S1294">
            <v>5</v>
          </cell>
          <cell r="T1294">
            <v>1.3</v>
          </cell>
          <cell r="U1294">
            <v>0.8</v>
          </cell>
          <cell r="V1294">
            <v>3</v>
          </cell>
          <cell r="W1294">
            <v>1</v>
          </cell>
          <cell r="X1294">
            <v>60</v>
          </cell>
          <cell r="Y1294">
            <v>1.7</v>
          </cell>
          <cell r="Z1294">
            <v>1.4</v>
          </cell>
          <cell r="AA1294">
            <v>1</v>
          </cell>
          <cell r="AB1294">
            <v>0</v>
          </cell>
        </row>
        <row r="1295">
          <cell r="A1295">
            <v>1294</v>
          </cell>
          <cell r="B1295" t="str">
            <v>酉賀なる初飛翔 トトリ</v>
          </cell>
          <cell r="C1295">
            <v>6</v>
          </cell>
          <cell r="D1295" t="str">
            <v>red</v>
          </cell>
          <cell r="E1295">
            <v>1</v>
          </cell>
          <cell r="F1295">
            <v>1.02</v>
          </cell>
          <cell r="G1295">
            <v>1</v>
          </cell>
          <cell r="H1295" t="str">
            <v>attack</v>
          </cell>
          <cell r="I1295" t="str">
            <v>攻撃タイプ</v>
          </cell>
          <cell r="J1295">
            <v>1</v>
          </cell>
          <cell r="K1295">
            <v>1.33</v>
          </cell>
          <cell r="L1295">
            <v>1</v>
          </cell>
          <cell r="M1295" t="str">
            <v>human</v>
          </cell>
          <cell r="N1295" t="str">
            <v>ヒューマン</v>
          </cell>
          <cell r="O1295">
            <v>0.94</v>
          </cell>
          <cell r="P1295">
            <v>0.99</v>
          </cell>
          <cell r="Q1295">
            <v>1</v>
          </cell>
          <cell r="R1295" t="str">
            <v>Boss</v>
          </cell>
          <cell r="S1295">
            <v>5</v>
          </cell>
          <cell r="T1295">
            <v>1.3</v>
          </cell>
          <cell r="U1295">
            <v>0.8</v>
          </cell>
          <cell r="V1295">
            <v>3</v>
          </cell>
          <cell r="W1295">
            <v>1</v>
          </cell>
          <cell r="X1295">
            <v>60</v>
          </cell>
          <cell r="Y1295">
            <v>1.7</v>
          </cell>
          <cell r="Z1295">
            <v>1.4</v>
          </cell>
          <cell r="AA1295">
            <v>1</v>
          </cell>
          <cell r="AB1295">
            <v>0</v>
          </cell>
        </row>
        <row r="1296">
          <cell r="A1296">
            <v>1297</v>
          </cell>
          <cell r="B1296" t="str">
            <v>雪ミク2017</v>
          </cell>
          <cell r="C1296">
            <v>5</v>
          </cell>
          <cell r="D1296" t="str">
            <v>green</v>
          </cell>
          <cell r="E1296">
            <v>1.02</v>
          </cell>
          <cell r="F1296">
            <v>0.98</v>
          </cell>
          <cell r="G1296">
            <v>1</v>
          </cell>
          <cell r="H1296" t="str">
            <v>heal</v>
          </cell>
          <cell r="I1296" t="str">
            <v>回復タイプ</v>
          </cell>
          <cell r="J1296">
            <v>0.8</v>
          </cell>
          <cell r="K1296">
            <v>0.78</v>
          </cell>
          <cell r="L1296">
            <v>1</v>
          </cell>
          <cell r="M1296" t="str">
            <v>unknown</v>
          </cell>
          <cell r="N1296" t="str">
            <v>Unknown</v>
          </cell>
          <cell r="O1296">
            <v>1</v>
          </cell>
          <cell r="P1296">
            <v>1</v>
          </cell>
          <cell r="Q1296">
            <v>1</v>
          </cell>
          <cell r="R1296" t="str">
            <v>Boss</v>
          </cell>
          <cell r="S1296">
            <v>5</v>
          </cell>
          <cell r="T1296">
            <v>1.3</v>
          </cell>
          <cell r="U1296">
            <v>0.8</v>
          </cell>
          <cell r="V1296">
            <v>3</v>
          </cell>
          <cell r="W1296">
            <v>1</v>
          </cell>
          <cell r="X1296">
            <v>60</v>
          </cell>
          <cell r="Y1296">
            <v>1.7</v>
          </cell>
          <cell r="Z1296">
            <v>1.4</v>
          </cell>
          <cell r="AA1296">
            <v>1</v>
          </cell>
          <cell r="AB1296">
            <v>0</v>
          </cell>
        </row>
        <row r="1297">
          <cell r="A1297">
            <v>1298</v>
          </cell>
          <cell r="B1297" t="str">
            <v>星空の歌姫 雪ミク2017</v>
          </cell>
          <cell r="C1297">
            <v>6</v>
          </cell>
          <cell r="D1297" t="str">
            <v>green</v>
          </cell>
          <cell r="E1297">
            <v>1.02</v>
          </cell>
          <cell r="F1297">
            <v>0.98</v>
          </cell>
          <cell r="G1297">
            <v>1</v>
          </cell>
          <cell r="H1297" t="str">
            <v>heal</v>
          </cell>
          <cell r="I1297" t="str">
            <v>回復タイプ</v>
          </cell>
          <cell r="J1297">
            <v>0.8</v>
          </cell>
          <cell r="K1297">
            <v>0.78</v>
          </cell>
          <cell r="L1297">
            <v>1</v>
          </cell>
          <cell r="M1297" t="str">
            <v>unknown</v>
          </cell>
          <cell r="N1297" t="str">
            <v>Unknown</v>
          </cell>
          <cell r="O1297">
            <v>1</v>
          </cell>
          <cell r="P1297">
            <v>1</v>
          </cell>
          <cell r="Q1297">
            <v>1</v>
          </cell>
          <cell r="R1297" t="str">
            <v>Boss</v>
          </cell>
          <cell r="S1297">
            <v>5</v>
          </cell>
          <cell r="T1297">
            <v>1.3</v>
          </cell>
          <cell r="U1297">
            <v>0.8</v>
          </cell>
          <cell r="V1297">
            <v>3</v>
          </cell>
          <cell r="W1297">
            <v>1</v>
          </cell>
          <cell r="X1297">
            <v>60</v>
          </cell>
          <cell r="Y1297">
            <v>1.7</v>
          </cell>
          <cell r="Z1297">
            <v>1.4</v>
          </cell>
          <cell r="AA1297">
            <v>1</v>
          </cell>
          <cell r="AB1297">
            <v>0</v>
          </cell>
        </row>
        <row r="1298">
          <cell r="A1298">
            <v>1299</v>
          </cell>
          <cell r="B1298" t="str">
            <v>覚世の楽聖姫 初音ミクV3</v>
          </cell>
          <cell r="C1298">
            <v>6</v>
          </cell>
          <cell r="D1298" t="str">
            <v>yellow</v>
          </cell>
          <cell r="E1298">
            <v>0.98</v>
          </cell>
          <cell r="F1298">
            <v>1.01</v>
          </cell>
          <cell r="G1298">
            <v>1</v>
          </cell>
          <cell r="H1298" t="str">
            <v>balance</v>
          </cell>
          <cell r="I1298" t="str">
            <v>バランスタイプ</v>
          </cell>
          <cell r="J1298">
            <v>1</v>
          </cell>
          <cell r="K1298">
            <v>1</v>
          </cell>
          <cell r="L1298">
            <v>1</v>
          </cell>
          <cell r="M1298" t="str">
            <v>unknown</v>
          </cell>
          <cell r="N1298" t="str">
            <v>Unknown</v>
          </cell>
          <cell r="O1298">
            <v>1</v>
          </cell>
          <cell r="P1298">
            <v>1</v>
          </cell>
          <cell r="Q1298">
            <v>1</v>
          </cell>
          <cell r="R1298" t="str">
            <v>Boss</v>
          </cell>
          <cell r="S1298">
            <v>5</v>
          </cell>
          <cell r="T1298">
            <v>1.3</v>
          </cell>
          <cell r="U1298">
            <v>0.8</v>
          </cell>
          <cell r="V1298">
            <v>3</v>
          </cell>
          <cell r="W1298">
            <v>1</v>
          </cell>
          <cell r="X1298">
            <v>60</v>
          </cell>
          <cell r="Y1298">
            <v>1.7</v>
          </cell>
          <cell r="Z1298">
            <v>1.4</v>
          </cell>
          <cell r="AA1298">
            <v>1</v>
          </cell>
          <cell r="AB1298">
            <v>0</v>
          </cell>
        </row>
        <row r="1299">
          <cell r="A1299">
            <v>1300</v>
          </cell>
          <cell r="B1299" t="str">
            <v>歌装の彩唱 紫式部</v>
          </cell>
          <cell r="C1299">
            <v>5</v>
          </cell>
          <cell r="D1299" t="str">
            <v>green</v>
          </cell>
          <cell r="E1299">
            <v>1.02</v>
          </cell>
          <cell r="F1299">
            <v>0.98</v>
          </cell>
          <cell r="G1299">
            <v>1</v>
          </cell>
          <cell r="H1299" t="str">
            <v>technical</v>
          </cell>
          <cell r="I1299" t="str">
            <v>テクニカルタイプ</v>
          </cell>
          <cell r="J1299">
            <v>0.9</v>
          </cell>
          <cell r="K1299">
            <v>0.9</v>
          </cell>
          <cell r="L1299">
            <v>1</v>
          </cell>
          <cell r="M1299" t="str">
            <v>unknown</v>
          </cell>
          <cell r="N1299" t="str">
            <v>Unknown</v>
          </cell>
          <cell r="O1299">
            <v>1</v>
          </cell>
          <cell r="P1299">
            <v>1</v>
          </cell>
          <cell r="Q1299">
            <v>1</v>
          </cell>
          <cell r="R1299" t="str">
            <v>Boss</v>
          </cell>
          <cell r="S1299">
            <v>5</v>
          </cell>
          <cell r="T1299">
            <v>1.3</v>
          </cell>
          <cell r="U1299">
            <v>0.8</v>
          </cell>
          <cell r="V1299">
            <v>3</v>
          </cell>
          <cell r="W1299">
            <v>1</v>
          </cell>
          <cell r="X1299">
            <v>60</v>
          </cell>
          <cell r="Y1299">
            <v>1.7</v>
          </cell>
          <cell r="Z1299">
            <v>1.4</v>
          </cell>
          <cell r="AA1299">
            <v>1</v>
          </cell>
          <cell r="AB1299">
            <v>0</v>
          </cell>
        </row>
        <row r="1300">
          <cell r="A1300">
            <v>1301</v>
          </cell>
          <cell r="B1300" t="str">
            <v>歌装の萌響女 紫式部</v>
          </cell>
          <cell r="C1300">
            <v>6</v>
          </cell>
          <cell r="D1300" t="str">
            <v>green</v>
          </cell>
          <cell r="E1300">
            <v>1.02</v>
          </cell>
          <cell r="F1300">
            <v>0.98</v>
          </cell>
          <cell r="G1300">
            <v>1</v>
          </cell>
          <cell r="H1300" t="str">
            <v>technical</v>
          </cell>
          <cell r="I1300" t="str">
            <v>テクニカルタイプ</v>
          </cell>
          <cell r="J1300">
            <v>0.9</v>
          </cell>
          <cell r="K1300">
            <v>0.9</v>
          </cell>
          <cell r="L1300">
            <v>1</v>
          </cell>
          <cell r="M1300" t="str">
            <v>unknown</v>
          </cell>
          <cell r="N1300" t="str">
            <v>Unknown</v>
          </cell>
          <cell r="O1300">
            <v>1</v>
          </cell>
          <cell r="P1300">
            <v>1</v>
          </cell>
          <cell r="Q1300">
            <v>1</v>
          </cell>
          <cell r="R1300" t="str">
            <v>Boss</v>
          </cell>
          <cell r="S1300">
            <v>5</v>
          </cell>
          <cell r="T1300">
            <v>1.3</v>
          </cell>
          <cell r="U1300">
            <v>0.8</v>
          </cell>
          <cell r="V1300">
            <v>3</v>
          </cell>
          <cell r="W1300">
            <v>1</v>
          </cell>
          <cell r="X1300">
            <v>60</v>
          </cell>
          <cell r="Y1300">
            <v>1.7</v>
          </cell>
          <cell r="Z1300">
            <v>1.4</v>
          </cell>
          <cell r="AA1300">
            <v>1</v>
          </cell>
          <cell r="AB1300">
            <v>0</v>
          </cell>
        </row>
        <row r="1301">
          <cell r="A1301">
            <v>1302</v>
          </cell>
          <cell r="B1301" t="str">
            <v>超天突符 イナバ</v>
          </cell>
          <cell r="C1301">
            <v>5</v>
          </cell>
          <cell r="D1301" t="str">
            <v>yellow</v>
          </cell>
          <cell r="E1301">
            <v>0.98</v>
          </cell>
          <cell r="F1301">
            <v>1.01</v>
          </cell>
          <cell r="G1301">
            <v>1</v>
          </cell>
          <cell r="H1301" t="str">
            <v>balance</v>
          </cell>
          <cell r="I1301" t="str">
            <v>バランスタイプ</v>
          </cell>
          <cell r="J1301">
            <v>1</v>
          </cell>
          <cell r="K1301">
            <v>1</v>
          </cell>
          <cell r="L1301">
            <v>1</v>
          </cell>
          <cell r="M1301" t="str">
            <v>unknown</v>
          </cell>
          <cell r="N1301" t="str">
            <v>Unknown</v>
          </cell>
          <cell r="O1301">
            <v>1</v>
          </cell>
          <cell r="P1301">
            <v>1</v>
          </cell>
          <cell r="Q1301">
            <v>1</v>
          </cell>
          <cell r="R1301" t="str">
            <v>Boss</v>
          </cell>
          <cell r="S1301">
            <v>5</v>
          </cell>
          <cell r="T1301">
            <v>1.3</v>
          </cell>
          <cell r="U1301">
            <v>0.8</v>
          </cell>
          <cell r="V1301">
            <v>3</v>
          </cell>
          <cell r="W1301">
            <v>1</v>
          </cell>
          <cell r="X1301">
            <v>60</v>
          </cell>
          <cell r="Y1301">
            <v>1.7</v>
          </cell>
          <cell r="Z1301">
            <v>1.4</v>
          </cell>
          <cell r="AA1301">
            <v>1</v>
          </cell>
          <cell r="AB1301">
            <v>0</v>
          </cell>
        </row>
        <row r="1302">
          <cell r="A1302">
            <v>1303</v>
          </cell>
          <cell r="B1302" t="str">
            <v>転調･超天突符 イナバ</v>
          </cell>
          <cell r="C1302">
            <v>6</v>
          </cell>
          <cell r="D1302" t="str">
            <v>yellow</v>
          </cell>
          <cell r="E1302">
            <v>0.98</v>
          </cell>
          <cell r="F1302">
            <v>1.01</v>
          </cell>
          <cell r="G1302">
            <v>1</v>
          </cell>
          <cell r="H1302" t="str">
            <v>balance</v>
          </cell>
          <cell r="I1302" t="str">
            <v>バランスタイプ</v>
          </cell>
          <cell r="J1302">
            <v>1</v>
          </cell>
          <cell r="K1302">
            <v>1</v>
          </cell>
          <cell r="L1302">
            <v>1</v>
          </cell>
          <cell r="M1302" t="str">
            <v>unknown</v>
          </cell>
          <cell r="N1302" t="str">
            <v>Unknown</v>
          </cell>
          <cell r="O1302">
            <v>1</v>
          </cell>
          <cell r="P1302">
            <v>1</v>
          </cell>
          <cell r="Q1302">
            <v>1</v>
          </cell>
          <cell r="R1302" t="str">
            <v>Boss</v>
          </cell>
          <cell r="S1302">
            <v>5</v>
          </cell>
          <cell r="T1302">
            <v>1.3</v>
          </cell>
          <cell r="U1302">
            <v>0.8</v>
          </cell>
          <cell r="V1302">
            <v>3</v>
          </cell>
          <cell r="W1302">
            <v>1</v>
          </cell>
          <cell r="X1302">
            <v>60</v>
          </cell>
          <cell r="Y1302">
            <v>1.7</v>
          </cell>
          <cell r="Z1302">
            <v>1.4</v>
          </cell>
          <cell r="AA1302">
            <v>1</v>
          </cell>
          <cell r="AB1302">
            <v>0</v>
          </cell>
        </row>
        <row r="1303">
          <cell r="A1303">
            <v>1304</v>
          </cell>
          <cell r="B1303" t="str">
            <v>演鼠の響笛音 ハーメルン</v>
          </cell>
          <cell r="C1303">
            <v>5</v>
          </cell>
          <cell r="D1303" t="str">
            <v>blue</v>
          </cell>
          <cell r="E1303">
            <v>1</v>
          </cell>
          <cell r="F1303">
            <v>0.98</v>
          </cell>
          <cell r="G1303">
            <v>1</v>
          </cell>
          <cell r="H1303" t="str">
            <v>technical</v>
          </cell>
          <cell r="I1303" t="str">
            <v>テクニカルタイプ</v>
          </cell>
          <cell r="J1303">
            <v>0.9</v>
          </cell>
          <cell r="K1303">
            <v>0.9</v>
          </cell>
          <cell r="L1303">
            <v>1</v>
          </cell>
          <cell r="M1303" t="str">
            <v>unknown</v>
          </cell>
          <cell r="N1303" t="str">
            <v>Unknown</v>
          </cell>
          <cell r="O1303">
            <v>1</v>
          </cell>
          <cell r="P1303">
            <v>1</v>
          </cell>
          <cell r="Q1303">
            <v>1</v>
          </cell>
          <cell r="R1303" t="str">
            <v>Boss</v>
          </cell>
          <cell r="S1303">
            <v>5</v>
          </cell>
          <cell r="T1303">
            <v>1.3</v>
          </cell>
          <cell r="U1303">
            <v>0.8</v>
          </cell>
          <cell r="V1303">
            <v>3</v>
          </cell>
          <cell r="W1303">
            <v>1</v>
          </cell>
          <cell r="X1303">
            <v>60</v>
          </cell>
          <cell r="Y1303">
            <v>1.7</v>
          </cell>
          <cell r="Z1303">
            <v>1.4</v>
          </cell>
          <cell r="AA1303">
            <v>1</v>
          </cell>
          <cell r="AB1303">
            <v>0</v>
          </cell>
        </row>
        <row r="1304">
          <cell r="A1304">
            <v>1305</v>
          </cell>
          <cell r="B1304" t="str">
            <v>響界廻る睡鼠楽 ハーメルン</v>
          </cell>
          <cell r="C1304">
            <v>6</v>
          </cell>
          <cell r="D1304" t="str">
            <v>blue</v>
          </cell>
          <cell r="E1304">
            <v>1</v>
          </cell>
          <cell r="F1304">
            <v>0.98</v>
          </cell>
          <cell r="G1304">
            <v>1</v>
          </cell>
          <cell r="H1304" t="str">
            <v>technical</v>
          </cell>
          <cell r="I1304" t="str">
            <v>テクニカルタイプ</v>
          </cell>
          <cell r="J1304">
            <v>0.9</v>
          </cell>
          <cell r="K1304">
            <v>0.9</v>
          </cell>
          <cell r="L1304">
            <v>1</v>
          </cell>
          <cell r="M1304" t="str">
            <v>unknown</v>
          </cell>
          <cell r="N1304" t="str">
            <v>Unknown</v>
          </cell>
          <cell r="O1304">
            <v>1</v>
          </cell>
          <cell r="P1304">
            <v>1</v>
          </cell>
          <cell r="Q1304">
            <v>1</v>
          </cell>
          <cell r="R1304" t="str">
            <v>Boss</v>
          </cell>
          <cell r="S1304">
            <v>5</v>
          </cell>
          <cell r="T1304">
            <v>1.3</v>
          </cell>
          <cell r="U1304">
            <v>0.8</v>
          </cell>
          <cell r="V1304">
            <v>3</v>
          </cell>
          <cell r="W1304">
            <v>1</v>
          </cell>
          <cell r="X1304">
            <v>60</v>
          </cell>
          <cell r="Y1304">
            <v>1.7</v>
          </cell>
          <cell r="Z1304">
            <v>1.4</v>
          </cell>
          <cell r="AA1304">
            <v>1</v>
          </cell>
          <cell r="AB1304">
            <v>0</v>
          </cell>
        </row>
        <row r="1305">
          <cell r="A1305">
            <v>1306</v>
          </cell>
          <cell r="B1305" t="str">
            <v>玉響の唱天 ルシファー</v>
          </cell>
          <cell r="C1305">
            <v>5</v>
          </cell>
          <cell r="D1305" t="str">
            <v>yellow</v>
          </cell>
          <cell r="E1305">
            <v>0.98</v>
          </cell>
          <cell r="F1305">
            <v>1.01</v>
          </cell>
          <cell r="G1305">
            <v>1</v>
          </cell>
          <cell r="H1305" t="str">
            <v>attack</v>
          </cell>
          <cell r="I1305" t="str">
            <v>攻撃タイプ</v>
          </cell>
          <cell r="J1305">
            <v>1</v>
          </cell>
          <cell r="K1305">
            <v>1.33</v>
          </cell>
          <cell r="L1305">
            <v>1</v>
          </cell>
          <cell r="M1305" t="str">
            <v>unknown</v>
          </cell>
          <cell r="N1305" t="str">
            <v>Unknown</v>
          </cell>
          <cell r="O1305">
            <v>1</v>
          </cell>
          <cell r="P1305">
            <v>1</v>
          </cell>
          <cell r="Q1305">
            <v>1</v>
          </cell>
          <cell r="R1305" t="str">
            <v>Boss</v>
          </cell>
          <cell r="S1305">
            <v>5</v>
          </cell>
          <cell r="T1305">
            <v>1.3</v>
          </cell>
          <cell r="U1305">
            <v>0.8</v>
          </cell>
          <cell r="V1305">
            <v>3</v>
          </cell>
          <cell r="W1305">
            <v>1</v>
          </cell>
          <cell r="X1305">
            <v>60</v>
          </cell>
          <cell r="Y1305">
            <v>1.7</v>
          </cell>
          <cell r="Z1305">
            <v>1.4</v>
          </cell>
          <cell r="AA1305">
            <v>1</v>
          </cell>
          <cell r="AB1305">
            <v>0</v>
          </cell>
        </row>
        <row r="1306">
          <cell r="A1306">
            <v>1307</v>
          </cell>
          <cell r="B1306" t="str">
            <v>彩翼の唱天史 ルシファー</v>
          </cell>
          <cell r="C1306">
            <v>6</v>
          </cell>
          <cell r="D1306" t="str">
            <v>yellow</v>
          </cell>
          <cell r="E1306">
            <v>0.98</v>
          </cell>
          <cell r="F1306">
            <v>1.01</v>
          </cell>
          <cell r="G1306">
            <v>1</v>
          </cell>
          <cell r="H1306" t="str">
            <v>attack</v>
          </cell>
          <cell r="I1306" t="str">
            <v>攻撃タイプ</v>
          </cell>
          <cell r="J1306">
            <v>1</v>
          </cell>
          <cell r="K1306">
            <v>1.33</v>
          </cell>
          <cell r="L1306">
            <v>1</v>
          </cell>
          <cell r="M1306" t="str">
            <v>unknown</v>
          </cell>
          <cell r="N1306" t="str">
            <v>Unknown</v>
          </cell>
          <cell r="O1306">
            <v>1</v>
          </cell>
          <cell r="P1306">
            <v>1</v>
          </cell>
          <cell r="Q1306">
            <v>1</v>
          </cell>
          <cell r="R1306" t="str">
            <v>Boss</v>
          </cell>
          <cell r="S1306">
            <v>5</v>
          </cell>
          <cell r="T1306">
            <v>1.3</v>
          </cell>
          <cell r="U1306">
            <v>0.8</v>
          </cell>
          <cell r="V1306">
            <v>3</v>
          </cell>
          <cell r="W1306">
            <v>1</v>
          </cell>
          <cell r="X1306">
            <v>60</v>
          </cell>
          <cell r="Y1306">
            <v>1.7</v>
          </cell>
          <cell r="Z1306">
            <v>1.4</v>
          </cell>
          <cell r="AA1306">
            <v>1</v>
          </cell>
          <cell r="AB1306">
            <v>0</v>
          </cell>
        </row>
        <row r="1307">
          <cell r="A1307">
            <v>1324</v>
          </cell>
          <cell r="B1307" t="str">
            <v>アウリ</v>
          </cell>
          <cell r="C1307">
            <v>4</v>
          </cell>
          <cell r="D1307" t="str">
            <v>green</v>
          </cell>
          <cell r="E1307">
            <v>1.02</v>
          </cell>
          <cell r="F1307">
            <v>0.98</v>
          </cell>
          <cell r="G1307">
            <v>1</v>
          </cell>
          <cell r="H1307" t="str">
            <v>balance</v>
          </cell>
          <cell r="I1307" t="str">
            <v>バランスタイプ</v>
          </cell>
          <cell r="J1307">
            <v>1</v>
          </cell>
          <cell r="K1307">
            <v>1</v>
          </cell>
          <cell r="L1307">
            <v>1</v>
          </cell>
          <cell r="M1307" t="str">
            <v>animal</v>
          </cell>
          <cell r="N1307" t="str">
            <v>アニマル</v>
          </cell>
          <cell r="O1307">
            <v>1</v>
          </cell>
          <cell r="P1307">
            <v>1.1000000000000001</v>
          </cell>
          <cell r="Q1307">
            <v>1</v>
          </cell>
          <cell r="R1307" t="str">
            <v>Boss</v>
          </cell>
          <cell r="S1307">
            <v>5</v>
          </cell>
          <cell r="T1307">
            <v>1.3</v>
          </cell>
          <cell r="U1307">
            <v>0.8</v>
          </cell>
          <cell r="V1307">
            <v>3</v>
          </cell>
          <cell r="W1307">
            <v>1</v>
          </cell>
          <cell r="X1307">
            <v>30</v>
          </cell>
          <cell r="Y1307">
            <v>1.3</v>
          </cell>
          <cell r="Z1307">
            <v>1.3</v>
          </cell>
          <cell r="AA1307">
            <v>1.1000000000000001</v>
          </cell>
          <cell r="AB1307">
            <v>0</v>
          </cell>
        </row>
        <row r="1308">
          <cell r="A1308">
            <v>1325</v>
          </cell>
          <cell r="B1308" t="str">
            <v>阿吽の神護犬 アウリ</v>
          </cell>
          <cell r="C1308">
            <v>5</v>
          </cell>
          <cell r="D1308" t="str">
            <v>green</v>
          </cell>
          <cell r="E1308">
            <v>1.02</v>
          </cell>
          <cell r="F1308">
            <v>0.98</v>
          </cell>
          <cell r="G1308">
            <v>1</v>
          </cell>
          <cell r="H1308" t="str">
            <v>balance</v>
          </cell>
          <cell r="I1308" t="str">
            <v>バランスタイプ</v>
          </cell>
          <cell r="J1308">
            <v>1</v>
          </cell>
          <cell r="K1308">
            <v>1</v>
          </cell>
          <cell r="L1308">
            <v>1</v>
          </cell>
          <cell r="M1308" t="str">
            <v>animal</v>
          </cell>
          <cell r="N1308" t="str">
            <v>アニマル</v>
          </cell>
          <cell r="O1308">
            <v>1</v>
          </cell>
          <cell r="P1308">
            <v>1.1000000000000001</v>
          </cell>
          <cell r="Q1308">
            <v>1</v>
          </cell>
          <cell r="R1308" t="str">
            <v>Boss</v>
          </cell>
          <cell r="S1308">
            <v>5</v>
          </cell>
          <cell r="T1308">
            <v>1.3</v>
          </cell>
          <cell r="U1308">
            <v>0.8</v>
          </cell>
          <cell r="V1308">
            <v>3</v>
          </cell>
          <cell r="W1308">
            <v>1</v>
          </cell>
          <cell r="X1308">
            <v>60</v>
          </cell>
          <cell r="Y1308">
            <v>1.7</v>
          </cell>
          <cell r="Z1308">
            <v>1.4</v>
          </cell>
          <cell r="AA1308">
            <v>1</v>
          </cell>
          <cell r="AB1308">
            <v>0</v>
          </cell>
        </row>
        <row r="1309">
          <cell r="A1309">
            <v>1326</v>
          </cell>
          <cell r="B1309" t="str">
            <v>ワカヒルメ</v>
          </cell>
          <cell r="C1309">
            <v>5</v>
          </cell>
          <cell r="D1309" t="str">
            <v>green</v>
          </cell>
          <cell r="E1309">
            <v>1.02</v>
          </cell>
          <cell r="F1309">
            <v>0.98</v>
          </cell>
          <cell r="G1309">
            <v>1</v>
          </cell>
          <cell r="H1309" t="str">
            <v>hp</v>
          </cell>
          <cell r="I1309" t="str">
            <v>体力タイプ</v>
          </cell>
          <cell r="J1309">
            <v>1.45</v>
          </cell>
          <cell r="K1309">
            <v>0.85</v>
          </cell>
          <cell r="L1309">
            <v>1</v>
          </cell>
          <cell r="M1309" t="str">
            <v>god</v>
          </cell>
          <cell r="N1309" t="str">
            <v>ゴッド</v>
          </cell>
          <cell r="O1309">
            <v>0.96</v>
          </cell>
          <cell r="P1309">
            <v>1.02</v>
          </cell>
          <cell r="Q1309">
            <v>1</v>
          </cell>
          <cell r="R1309" t="str">
            <v>Boss</v>
          </cell>
          <cell r="S1309">
            <v>5</v>
          </cell>
          <cell r="T1309">
            <v>1.3</v>
          </cell>
          <cell r="U1309">
            <v>0.8</v>
          </cell>
          <cell r="V1309">
            <v>3</v>
          </cell>
          <cell r="W1309">
            <v>1</v>
          </cell>
          <cell r="X1309">
            <v>60</v>
          </cell>
          <cell r="Y1309">
            <v>1.7</v>
          </cell>
          <cell r="Z1309">
            <v>1.4</v>
          </cell>
          <cell r="AA1309">
            <v>1</v>
          </cell>
          <cell r="AB1309">
            <v>0</v>
          </cell>
        </row>
        <row r="1310">
          <cell r="A1310">
            <v>1327</v>
          </cell>
          <cell r="B1310" t="str">
            <v>織神衣の幼神 ワカヒルメ</v>
          </cell>
          <cell r="C1310">
            <v>6</v>
          </cell>
          <cell r="D1310" t="str">
            <v>green</v>
          </cell>
          <cell r="E1310">
            <v>1.02</v>
          </cell>
          <cell r="F1310">
            <v>0.98</v>
          </cell>
          <cell r="G1310">
            <v>1</v>
          </cell>
          <cell r="H1310" t="str">
            <v>hp</v>
          </cell>
          <cell r="I1310" t="str">
            <v>体力タイプ</v>
          </cell>
          <cell r="J1310">
            <v>1.45</v>
          </cell>
          <cell r="K1310">
            <v>0.85</v>
          </cell>
          <cell r="L1310">
            <v>1</v>
          </cell>
          <cell r="M1310" t="str">
            <v>god</v>
          </cell>
          <cell r="N1310" t="str">
            <v>ゴッド</v>
          </cell>
          <cell r="O1310">
            <v>0.96</v>
          </cell>
          <cell r="P1310">
            <v>1.02</v>
          </cell>
          <cell r="Q1310">
            <v>1</v>
          </cell>
          <cell r="R1310" t="str">
            <v>Boss</v>
          </cell>
          <cell r="S1310">
            <v>5</v>
          </cell>
          <cell r="T1310">
            <v>1.3</v>
          </cell>
          <cell r="U1310">
            <v>0.8</v>
          </cell>
          <cell r="V1310">
            <v>3</v>
          </cell>
          <cell r="W1310">
            <v>1</v>
          </cell>
          <cell r="X1310">
            <v>60</v>
          </cell>
          <cell r="Y1310">
            <v>1.7</v>
          </cell>
          <cell r="Z1310">
            <v>1.4</v>
          </cell>
          <cell r="AA1310">
            <v>1</v>
          </cell>
          <cell r="AB1310">
            <v>0</v>
          </cell>
        </row>
        <row r="1311">
          <cell r="A1311">
            <v>1328</v>
          </cell>
          <cell r="B1311" t="str">
            <v>ヒノカグツチ</v>
          </cell>
          <cell r="C1311">
            <v>5</v>
          </cell>
          <cell r="D1311" t="str">
            <v>red</v>
          </cell>
          <cell r="E1311">
            <v>1</v>
          </cell>
          <cell r="F1311">
            <v>1.02</v>
          </cell>
          <cell r="G1311">
            <v>1</v>
          </cell>
          <cell r="H1311" t="str">
            <v>attack</v>
          </cell>
          <cell r="I1311" t="str">
            <v>攻撃タイプ</v>
          </cell>
          <cell r="J1311">
            <v>1</v>
          </cell>
          <cell r="K1311">
            <v>1.33</v>
          </cell>
          <cell r="L1311">
            <v>1</v>
          </cell>
          <cell r="M1311" t="str">
            <v>god</v>
          </cell>
          <cell r="N1311" t="str">
            <v>ゴッド</v>
          </cell>
          <cell r="O1311">
            <v>0.96</v>
          </cell>
          <cell r="P1311">
            <v>1.02</v>
          </cell>
          <cell r="Q1311">
            <v>1</v>
          </cell>
          <cell r="R1311" t="str">
            <v>Boss</v>
          </cell>
          <cell r="S1311">
            <v>5</v>
          </cell>
          <cell r="T1311">
            <v>1.3</v>
          </cell>
          <cell r="U1311">
            <v>0.8</v>
          </cell>
          <cell r="V1311">
            <v>3</v>
          </cell>
          <cell r="W1311">
            <v>1</v>
          </cell>
          <cell r="X1311">
            <v>60</v>
          </cell>
          <cell r="Y1311">
            <v>1.7</v>
          </cell>
          <cell r="Z1311">
            <v>1.4</v>
          </cell>
          <cell r="AA1311">
            <v>1</v>
          </cell>
          <cell r="AB1311">
            <v>0</v>
          </cell>
        </row>
        <row r="1312">
          <cell r="A1312">
            <v>1329</v>
          </cell>
          <cell r="B1312" t="str">
            <v>神抗の火産霊 ヒノカグツチ</v>
          </cell>
          <cell r="C1312">
            <v>6</v>
          </cell>
          <cell r="D1312" t="str">
            <v>red</v>
          </cell>
          <cell r="E1312">
            <v>1</v>
          </cell>
          <cell r="F1312">
            <v>1.02</v>
          </cell>
          <cell r="G1312">
            <v>1</v>
          </cell>
          <cell r="H1312" t="str">
            <v>attack</v>
          </cell>
          <cell r="I1312" t="str">
            <v>攻撃タイプ</v>
          </cell>
          <cell r="J1312">
            <v>1</v>
          </cell>
          <cell r="K1312">
            <v>1.33</v>
          </cell>
          <cell r="L1312">
            <v>1</v>
          </cell>
          <cell r="M1312" t="str">
            <v>god</v>
          </cell>
          <cell r="N1312" t="str">
            <v>ゴッド</v>
          </cell>
          <cell r="O1312">
            <v>0.96</v>
          </cell>
          <cell r="P1312">
            <v>1.02</v>
          </cell>
          <cell r="Q1312">
            <v>1</v>
          </cell>
          <cell r="R1312" t="str">
            <v>Boss</v>
          </cell>
          <cell r="S1312">
            <v>5</v>
          </cell>
          <cell r="T1312">
            <v>1.3</v>
          </cell>
          <cell r="U1312">
            <v>0.8</v>
          </cell>
          <cell r="V1312">
            <v>3</v>
          </cell>
          <cell r="W1312">
            <v>1</v>
          </cell>
          <cell r="X1312">
            <v>60</v>
          </cell>
          <cell r="Y1312">
            <v>1.7</v>
          </cell>
          <cell r="Z1312">
            <v>1.4</v>
          </cell>
          <cell r="AA1312">
            <v>1</v>
          </cell>
          <cell r="AB1312">
            <v>0</v>
          </cell>
        </row>
        <row r="1313">
          <cell r="A1313">
            <v>1330</v>
          </cell>
          <cell r="B1313" t="str">
            <v>スサノオ</v>
          </cell>
          <cell r="C1313">
            <v>5</v>
          </cell>
          <cell r="D1313" t="str">
            <v>yellow</v>
          </cell>
          <cell r="E1313">
            <v>0.98</v>
          </cell>
          <cell r="F1313">
            <v>1.01</v>
          </cell>
          <cell r="G1313">
            <v>1</v>
          </cell>
          <cell r="H1313" t="str">
            <v>balance</v>
          </cell>
          <cell r="I1313" t="str">
            <v>バランスタイプ</v>
          </cell>
          <cell r="J1313">
            <v>1</v>
          </cell>
          <cell r="K1313">
            <v>1</v>
          </cell>
          <cell r="L1313">
            <v>1</v>
          </cell>
          <cell r="M1313" t="str">
            <v>hero</v>
          </cell>
          <cell r="N1313" t="str">
            <v>ヒーロー</v>
          </cell>
          <cell r="O1313">
            <v>1</v>
          </cell>
          <cell r="P1313">
            <v>1</v>
          </cell>
          <cell r="Q1313">
            <v>1</v>
          </cell>
          <cell r="R1313" t="str">
            <v>Boss</v>
          </cell>
          <cell r="S1313">
            <v>5</v>
          </cell>
          <cell r="T1313">
            <v>1.3</v>
          </cell>
          <cell r="U1313">
            <v>0.8</v>
          </cell>
          <cell r="V1313">
            <v>3</v>
          </cell>
          <cell r="W1313">
            <v>1</v>
          </cell>
          <cell r="X1313">
            <v>60</v>
          </cell>
          <cell r="Y1313">
            <v>1.7</v>
          </cell>
          <cell r="Z1313">
            <v>1.4</v>
          </cell>
          <cell r="AA1313">
            <v>1</v>
          </cell>
          <cell r="AB1313">
            <v>0</v>
          </cell>
        </row>
        <row r="1314">
          <cell r="A1314">
            <v>1331</v>
          </cell>
          <cell r="B1314" t="str">
            <v>傑戦の大強神 スサノオ</v>
          </cell>
          <cell r="C1314">
            <v>6</v>
          </cell>
          <cell r="D1314" t="str">
            <v>yellow</v>
          </cell>
          <cell r="E1314">
            <v>0.98</v>
          </cell>
          <cell r="F1314">
            <v>1.01</v>
          </cell>
          <cell r="G1314">
            <v>1</v>
          </cell>
          <cell r="H1314" t="str">
            <v>balance</v>
          </cell>
          <cell r="I1314" t="str">
            <v>バランスタイプ</v>
          </cell>
          <cell r="J1314">
            <v>1</v>
          </cell>
          <cell r="K1314">
            <v>1</v>
          </cell>
          <cell r="L1314">
            <v>1</v>
          </cell>
          <cell r="M1314" t="str">
            <v>hero</v>
          </cell>
          <cell r="N1314" t="str">
            <v>ヒーロー</v>
          </cell>
          <cell r="O1314">
            <v>1</v>
          </cell>
          <cell r="P1314">
            <v>1</v>
          </cell>
          <cell r="Q1314">
            <v>1</v>
          </cell>
          <cell r="R1314" t="str">
            <v>Boss</v>
          </cell>
          <cell r="S1314">
            <v>5</v>
          </cell>
          <cell r="T1314">
            <v>1.3</v>
          </cell>
          <cell r="U1314">
            <v>0.8</v>
          </cell>
          <cell r="V1314">
            <v>3</v>
          </cell>
          <cell r="W1314">
            <v>1</v>
          </cell>
          <cell r="X1314">
            <v>60</v>
          </cell>
          <cell r="Y1314">
            <v>1.7</v>
          </cell>
          <cell r="Z1314">
            <v>1.4</v>
          </cell>
          <cell r="AA1314">
            <v>1</v>
          </cell>
          <cell r="AB1314">
            <v>0</v>
          </cell>
        </row>
        <row r="1315">
          <cell r="A1315">
            <v>1332</v>
          </cell>
          <cell r="B1315" t="str">
            <v>クシナダヒメ</v>
          </cell>
          <cell r="C1315">
            <v>5</v>
          </cell>
          <cell r="D1315" t="str">
            <v>red</v>
          </cell>
          <cell r="E1315">
            <v>1</v>
          </cell>
          <cell r="F1315">
            <v>1.02</v>
          </cell>
          <cell r="G1315">
            <v>1</v>
          </cell>
          <cell r="H1315" t="str">
            <v>hp</v>
          </cell>
          <cell r="I1315" t="str">
            <v>体力タイプ</v>
          </cell>
          <cell r="J1315">
            <v>1.45</v>
          </cell>
          <cell r="K1315">
            <v>0.85</v>
          </cell>
          <cell r="L1315">
            <v>1</v>
          </cell>
          <cell r="M1315" t="str">
            <v>god</v>
          </cell>
          <cell r="N1315" t="str">
            <v>ゴッド</v>
          </cell>
          <cell r="O1315">
            <v>0.96</v>
          </cell>
          <cell r="P1315">
            <v>1.02</v>
          </cell>
          <cell r="Q1315">
            <v>1</v>
          </cell>
          <cell r="R1315" t="str">
            <v>Boss</v>
          </cell>
          <cell r="S1315">
            <v>5</v>
          </cell>
          <cell r="T1315">
            <v>1.3</v>
          </cell>
          <cell r="U1315">
            <v>0.8</v>
          </cell>
          <cell r="V1315">
            <v>3</v>
          </cell>
          <cell r="W1315">
            <v>1</v>
          </cell>
          <cell r="X1315">
            <v>60</v>
          </cell>
          <cell r="Y1315">
            <v>1.7</v>
          </cell>
          <cell r="Z1315">
            <v>1.4</v>
          </cell>
          <cell r="AA1315">
            <v>1</v>
          </cell>
          <cell r="AB1315">
            <v>0</v>
          </cell>
        </row>
        <row r="1316">
          <cell r="A1316">
            <v>1333</v>
          </cell>
          <cell r="B1316" t="str">
            <v>神心を射る穂神 クシナダヒメ</v>
          </cell>
          <cell r="C1316">
            <v>6</v>
          </cell>
          <cell r="D1316" t="str">
            <v>red</v>
          </cell>
          <cell r="E1316">
            <v>1</v>
          </cell>
          <cell r="F1316">
            <v>1.02</v>
          </cell>
          <cell r="G1316">
            <v>1</v>
          </cell>
          <cell r="H1316" t="str">
            <v>hp</v>
          </cell>
          <cell r="I1316" t="str">
            <v>体力タイプ</v>
          </cell>
          <cell r="J1316">
            <v>1.45</v>
          </cell>
          <cell r="K1316">
            <v>0.85</v>
          </cell>
          <cell r="L1316">
            <v>1</v>
          </cell>
          <cell r="M1316" t="str">
            <v>god</v>
          </cell>
          <cell r="N1316" t="str">
            <v>ゴッド</v>
          </cell>
          <cell r="O1316">
            <v>0.96</v>
          </cell>
          <cell r="P1316">
            <v>1.02</v>
          </cell>
          <cell r="Q1316">
            <v>1</v>
          </cell>
          <cell r="R1316" t="str">
            <v>Boss</v>
          </cell>
          <cell r="S1316">
            <v>5</v>
          </cell>
          <cell r="T1316">
            <v>1.3</v>
          </cell>
          <cell r="U1316">
            <v>0.8</v>
          </cell>
          <cell r="V1316">
            <v>3</v>
          </cell>
          <cell r="W1316">
            <v>1</v>
          </cell>
          <cell r="X1316">
            <v>60</v>
          </cell>
          <cell r="Y1316">
            <v>1.7</v>
          </cell>
          <cell r="Z1316">
            <v>1.4</v>
          </cell>
          <cell r="AA1316">
            <v>1</v>
          </cell>
          <cell r="AB1316">
            <v>0</v>
          </cell>
        </row>
        <row r="1317">
          <cell r="A1317">
            <v>1334</v>
          </cell>
          <cell r="B1317" t="str">
            <v>タマヨリヒメ</v>
          </cell>
          <cell r="C1317">
            <v>4</v>
          </cell>
          <cell r="D1317" t="str">
            <v>green</v>
          </cell>
          <cell r="E1317">
            <v>1.02</v>
          </cell>
          <cell r="F1317">
            <v>0.98</v>
          </cell>
          <cell r="G1317">
            <v>1</v>
          </cell>
          <cell r="H1317" t="str">
            <v>heal</v>
          </cell>
          <cell r="I1317" t="str">
            <v>回復タイプ</v>
          </cell>
          <cell r="J1317">
            <v>0.8</v>
          </cell>
          <cell r="K1317">
            <v>0.78</v>
          </cell>
          <cell r="L1317">
            <v>1</v>
          </cell>
          <cell r="M1317" t="str">
            <v>god</v>
          </cell>
          <cell r="N1317" t="str">
            <v>ゴッド</v>
          </cell>
          <cell r="O1317">
            <v>0.96</v>
          </cell>
          <cell r="P1317">
            <v>1.02</v>
          </cell>
          <cell r="Q1317">
            <v>1</v>
          </cell>
          <cell r="R1317" t="str">
            <v>Boss</v>
          </cell>
          <cell r="S1317">
            <v>5</v>
          </cell>
          <cell r="T1317">
            <v>1.3</v>
          </cell>
          <cell r="U1317">
            <v>0.8</v>
          </cell>
          <cell r="V1317">
            <v>3</v>
          </cell>
          <cell r="W1317">
            <v>1</v>
          </cell>
          <cell r="X1317">
            <v>30</v>
          </cell>
          <cell r="Y1317">
            <v>1.3</v>
          </cell>
          <cell r="Z1317">
            <v>1.3</v>
          </cell>
          <cell r="AA1317">
            <v>1.1000000000000001</v>
          </cell>
          <cell r="AB1317">
            <v>0</v>
          </cell>
        </row>
        <row r="1318">
          <cell r="A1318">
            <v>1335</v>
          </cell>
          <cell r="B1318" t="str">
            <v>霊司の神憑 タマヨリヒメ</v>
          </cell>
          <cell r="C1318">
            <v>5</v>
          </cell>
          <cell r="D1318" t="str">
            <v>green</v>
          </cell>
          <cell r="E1318">
            <v>1.02</v>
          </cell>
          <cell r="F1318">
            <v>0.98</v>
          </cell>
          <cell r="G1318">
            <v>1</v>
          </cell>
          <cell r="H1318" t="str">
            <v>heal</v>
          </cell>
          <cell r="I1318" t="str">
            <v>回復タイプ</v>
          </cell>
          <cell r="J1318">
            <v>0.8</v>
          </cell>
          <cell r="K1318">
            <v>0.78</v>
          </cell>
          <cell r="L1318">
            <v>1</v>
          </cell>
          <cell r="M1318" t="str">
            <v>god</v>
          </cell>
          <cell r="N1318" t="str">
            <v>ゴッド</v>
          </cell>
          <cell r="O1318">
            <v>0.96</v>
          </cell>
          <cell r="P1318">
            <v>1.02</v>
          </cell>
          <cell r="Q1318">
            <v>1</v>
          </cell>
          <cell r="R1318" t="str">
            <v>Boss</v>
          </cell>
          <cell r="S1318">
            <v>5</v>
          </cell>
          <cell r="T1318">
            <v>1.3</v>
          </cell>
          <cell r="U1318">
            <v>0.8</v>
          </cell>
          <cell r="V1318">
            <v>3</v>
          </cell>
          <cell r="W1318">
            <v>1</v>
          </cell>
          <cell r="X1318">
            <v>60</v>
          </cell>
          <cell r="Y1318">
            <v>1.7</v>
          </cell>
          <cell r="Z1318">
            <v>1.4</v>
          </cell>
          <cell r="AA1318">
            <v>1</v>
          </cell>
          <cell r="AB1318">
            <v>0</v>
          </cell>
        </row>
        <row r="1319">
          <cell r="A1319">
            <v>1336</v>
          </cell>
          <cell r="B1319" t="str">
            <v>イザナギ</v>
          </cell>
          <cell r="C1319">
            <v>5</v>
          </cell>
          <cell r="D1319" t="str">
            <v>blue</v>
          </cell>
          <cell r="E1319">
            <v>1</v>
          </cell>
          <cell r="F1319">
            <v>0.98</v>
          </cell>
          <cell r="G1319">
            <v>1</v>
          </cell>
          <cell r="H1319" t="str">
            <v>technical</v>
          </cell>
          <cell r="I1319" t="str">
            <v>テクニカルタイプ</v>
          </cell>
          <cell r="J1319">
            <v>0.9</v>
          </cell>
          <cell r="K1319">
            <v>0.9</v>
          </cell>
          <cell r="L1319">
            <v>1</v>
          </cell>
          <cell r="M1319" t="str">
            <v>god</v>
          </cell>
          <cell r="N1319" t="str">
            <v>ゴッド</v>
          </cell>
          <cell r="O1319">
            <v>0.96</v>
          </cell>
          <cell r="P1319">
            <v>1.02</v>
          </cell>
          <cell r="Q1319">
            <v>1</v>
          </cell>
          <cell r="R1319" t="str">
            <v>Boss</v>
          </cell>
          <cell r="S1319">
            <v>5</v>
          </cell>
          <cell r="T1319">
            <v>1.3</v>
          </cell>
          <cell r="U1319">
            <v>0.8</v>
          </cell>
          <cell r="V1319">
            <v>3</v>
          </cell>
          <cell r="W1319">
            <v>1</v>
          </cell>
          <cell r="X1319">
            <v>60</v>
          </cell>
          <cell r="Y1319">
            <v>1.7</v>
          </cell>
          <cell r="Z1319">
            <v>1.4</v>
          </cell>
          <cell r="AA1319">
            <v>1</v>
          </cell>
          <cell r="AB1319">
            <v>0</v>
          </cell>
        </row>
        <row r="1320">
          <cell r="A1320">
            <v>1337</v>
          </cell>
          <cell r="B1320" t="str">
            <v>成命の綜父神 イザナギ</v>
          </cell>
          <cell r="C1320">
            <v>6</v>
          </cell>
          <cell r="D1320" t="str">
            <v>blue</v>
          </cell>
          <cell r="E1320">
            <v>1</v>
          </cell>
          <cell r="F1320">
            <v>0.98</v>
          </cell>
          <cell r="G1320">
            <v>1</v>
          </cell>
          <cell r="H1320" t="str">
            <v>technical</v>
          </cell>
          <cell r="I1320" t="str">
            <v>テクニカルタイプ</v>
          </cell>
          <cell r="J1320">
            <v>0.9</v>
          </cell>
          <cell r="K1320">
            <v>0.9</v>
          </cell>
          <cell r="L1320">
            <v>1</v>
          </cell>
          <cell r="M1320" t="str">
            <v>god</v>
          </cell>
          <cell r="N1320" t="str">
            <v>ゴッド</v>
          </cell>
          <cell r="O1320">
            <v>0.96</v>
          </cell>
          <cell r="P1320">
            <v>1.02</v>
          </cell>
          <cell r="Q1320">
            <v>1</v>
          </cell>
          <cell r="R1320" t="str">
            <v>Boss</v>
          </cell>
          <cell r="S1320">
            <v>5</v>
          </cell>
          <cell r="T1320">
            <v>1.3</v>
          </cell>
          <cell r="U1320">
            <v>0.8</v>
          </cell>
          <cell r="V1320">
            <v>3</v>
          </cell>
          <cell r="W1320">
            <v>1</v>
          </cell>
          <cell r="X1320">
            <v>60</v>
          </cell>
          <cell r="Y1320">
            <v>1.7</v>
          </cell>
          <cell r="Z1320">
            <v>1.4</v>
          </cell>
          <cell r="AA1320">
            <v>1</v>
          </cell>
          <cell r="AB1320">
            <v>0</v>
          </cell>
        </row>
        <row r="1321">
          <cell r="A1321">
            <v>1338</v>
          </cell>
          <cell r="B1321" t="str">
            <v>アメノウズメ</v>
          </cell>
          <cell r="C1321">
            <v>5</v>
          </cell>
          <cell r="D1321" t="str">
            <v>yellow</v>
          </cell>
          <cell r="E1321">
            <v>0.98</v>
          </cell>
          <cell r="F1321">
            <v>1.01</v>
          </cell>
          <cell r="G1321">
            <v>1</v>
          </cell>
          <cell r="H1321" t="str">
            <v>attack</v>
          </cell>
          <cell r="I1321" t="str">
            <v>攻撃タイプ</v>
          </cell>
          <cell r="J1321">
            <v>1</v>
          </cell>
          <cell r="K1321">
            <v>1.33</v>
          </cell>
          <cell r="L1321">
            <v>1</v>
          </cell>
          <cell r="M1321" t="str">
            <v>god</v>
          </cell>
          <cell r="N1321" t="str">
            <v>ゴッド</v>
          </cell>
          <cell r="O1321">
            <v>0.96</v>
          </cell>
          <cell r="P1321">
            <v>1.02</v>
          </cell>
          <cell r="Q1321">
            <v>1</v>
          </cell>
          <cell r="R1321" t="str">
            <v>Boss</v>
          </cell>
          <cell r="S1321">
            <v>5</v>
          </cell>
          <cell r="T1321">
            <v>1.3</v>
          </cell>
          <cell r="U1321">
            <v>0.8</v>
          </cell>
          <cell r="V1321">
            <v>3</v>
          </cell>
          <cell r="W1321">
            <v>1</v>
          </cell>
          <cell r="X1321">
            <v>60</v>
          </cell>
          <cell r="Y1321">
            <v>1.7</v>
          </cell>
          <cell r="Z1321">
            <v>1.4</v>
          </cell>
          <cell r="AA1321">
            <v>1</v>
          </cell>
          <cell r="AB1321">
            <v>0</v>
          </cell>
        </row>
        <row r="1322">
          <cell r="A1322">
            <v>1339</v>
          </cell>
          <cell r="B1322" t="str">
            <v>復古の舞芸神 アメノウズメ</v>
          </cell>
          <cell r="C1322">
            <v>6</v>
          </cell>
          <cell r="D1322" t="str">
            <v>yellow</v>
          </cell>
          <cell r="E1322">
            <v>0.98</v>
          </cell>
          <cell r="F1322">
            <v>1.01</v>
          </cell>
          <cell r="G1322">
            <v>1</v>
          </cell>
          <cell r="H1322" t="str">
            <v>attack</v>
          </cell>
          <cell r="I1322" t="str">
            <v>攻撃タイプ</v>
          </cell>
          <cell r="J1322">
            <v>1</v>
          </cell>
          <cell r="K1322">
            <v>1.33</v>
          </cell>
          <cell r="L1322">
            <v>1</v>
          </cell>
          <cell r="M1322" t="str">
            <v>god</v>
          </cell>
          <cell r="N1322" t="str">
            <v>ゴッド</v>
          </cell>
          <cell r="O1322">
            <v>0.96</v>
          </cell>
          <cell r="P1322">
            <v>1.02</v>
          </cell>
          <cell r="Q1322">
            <v>1</v>
          </cell>
          <cell r="R1322" t="str">
            <v>Boss</v>
          </cell>
          <cell r="S1322">
            <v>5</v>
          </cell>
          <cell r="T1322">
            <v>1.3</v>
          </cell>
          <cell r="U1322">
            <v>0.8</v>
          </cell>
          <cell r="V1322">
            <v>3</v>
          </cell>
          <cell r="W1322">
            <v>1</v>
          </cell>
          <cell r="X1322">
            <v>60</v>
          </cell>
          <cell r="Y1322">
            <v>1.7</v>
          </cell>
          <cell r="Z1322">
            <v>1.4</v>
          </cell>
          <cell r="AA1322">
            <v>1</v>
          </cell>
          <cell r="AB1322">
            <v>0</v>
          </cell>
        </row>
        <row r="1323">
          <cell r="A1323">
            <v>1351</v>
          </cell>
          <cell r="B1323" t="str">
            <v>甘頬の魔糖菓 プラリーヌ</v>
          </cell>
          <cell r="C1323">
            <v>6</v>
          </cell>
          <cell r="D1323" t="str">
            <v>red</v>
          </cell>
          <cell r="E1323">
            <v>1</v>
          </cell>
          <cell r="F1323">
            <v>1.02</v>
          </cell>
          <cell r="G1323">
            <v>1</v>
          </cell>
          <cell r="H1323" t="str">
            <v>technical</v>
          </cell>
          <cell r="I1323" t="str">
            <v>テクニカルタイプ</v>
          </cell>
          <cell r="J1323">
            <v>0.9</v>
          </cell>
          <cell r="K1323">
            <v>0.9</v>
          </cell>
          <cell r="L1323">
            <v>1</v>
          </cell>
          <cell r="M1323" t="str">
            <v>human</v>
          </cell>
          <cell r="N1323" t="str">
            <v>ヒューマン</v>
          </cell>
          <cell r="O1323">
            <v>0.94</v>
          </cell>
          <cell r="P1323">
            <v>0.99</v>
          </cell>
          <cell r="Q1323">
            <v>1</v>
          </cell>
          <cell r="R1323" t="str">
            <v>Boss</v>
          </cell>
          <cell r="S1323">
            <v>5</v>
          </cell>
          <cell r="T1323">
            <v>1.3</v>
          </cell>
          <cell r="U1323">
            <v>0.8</v>
          </cell>
          <cell r="V1323">
            <v>3</v>
          </cell>
          <cell r="W1323">
            <v>1</v>
          </cell>
          <cell r="X1323">
            <v>60</v>
          </cell>
          <cell r="Y1323">
            <v>1.7</v>
          </cell>
          <cell r="Z1323">
            <v>1.4</v>
          </cell>
          <cell r="AA1323">
            <v>1</v>
          </cell>
          <cell r="AB1323">
            <v>0</v>
          </cell>
        </row>
        <row r="1324">
          <cell r="A1324">
            <v>1352</v>
          </cell>
          <cell r="B1324" t="str">
            <v>トウカ</v>
          </cell>
          <cell r="C1324">
            <v>5</v>
          </cell>
          <cell r="D1324" t="str">
            <v>blue</v>
          </cell>
          <cell r="E1324">
            <v>1</v>
          </cell>
          <cell r="F1324">
            <v>0.98</v>
          </cell>
          <cell r="G1324">
            <v>1</v>
          </cell>
          <cell r="H1324" t="str">
            <v>technical</v>
          </cell>
          <cell r="I1324" t="str">
            <v>テクニカルタイプ</v>
          </cell>
          <cell r="J1324">
            <v>0.9</v>
          </cell>
          <cell r="K1324">
            <v>0.9</v>
          </cell>
          <cell r="L1324">
            <v>1</v>
          </cell>
          <cell r="M1324" t="str">
            <v>human</v>
          </cell>
          <cell r="N1324" t="str">
            <v>ヒューマン</v>
          </cell>
          <cell r="O1324">
            <v>0.94</v>
          </cell>
          <cell r="P1324">
            <v>0.99</v>
          </cell>
          <cell r="Q1324">
            <v>1</v>
          </cell>
          <cell r="R1324" t="str">
            <v>Boss</v>
          </cell>
          <cell r="S1324">
            <v>5</v>
          </cell>
          <cell r="T1324">
            <v>1.3</v>
          </cell>
          <cell r="U1324">
            <v>0.8</v>
          </cell>
          <cell r="V1324">
            <v>3</v>
          </cell>
          <cell r="W1324">
            <v>1</v>
          </cell>
          <cell r="X1324">
            <v>60</v>
          </cell>
          <cell r="Y1324">
            <v>1.7</v>
          </cell>
          <cell r="Z1324">
            <v>1.4</v>
          </cell>
          <cell r="AA1324">
            <v>1</v>
          </cell>
          <cell r="AB1324">
            <v>0</v>
          </cell>
        </row>
        <row r="1325">
          <cell r="A1325">
            <v>1353</v>
          </cell>
          <cell r="B1325" t="str">
            <v>恋待つ帰り道 トウカ</v>
          </cell>
          <cell r="C1325">
            <v>6</v>
          </cell>
          <cell r="D1325" t="str">
            <v>blue</v>
          </cell>
          <cell r="E1325">
            <v>1</v>
          </cell>
          <cell r="F1325">
            <v>0.98</v>
          </cell>
          <cell r="G1325">
            <v>1</v>
          </cell>
          <cell r="H1325" t="str">
            <v>technical</v>
          </cell>
          <cell r="I1325" t="str">
            <v>テクニカルタイプ</v>
          </cell>
          <cell r="J1325">
            <v>0.9</v>
          </cell>
          <cell r="K1325">
            <v>0.9</v>
          </cell>
          <cell r="L1325">
            <v>1</v>
          </cell>
          <cell r="M1325" t="str">
            <v>human</v>
          </cell>
          <cell r="N1325" t="str">
            <v>ヒューマン</v>
          </cell>
          <cell r="O1325">
            <v>0.94</v>
          </cell>
          <cell r="P1325">
            <v>0.99</v>
          </cell>
          <cell r="Q1325">
            <v>1</v>
          </cell>
          <cell r="R1325" t="str">
            <v>Boss</v>
          </cell>
          <cell r="S1325">
            <v>5</v>
          </cell>
          <cell r="T1325">
            <v>1.3</v>
          </cell>
          <cell r="U1325">
            <v>0.8</v>
          </cell>
          <cell r="V1325">
            <v>3</v>
          </cell>
          <cell r="W1325">
            <v>1</v>
          </cell>
          <cell r="X1325">
            <v>60</v>
          </cell>
          <cell r="Y1325">
            <v>1.7</v>
          </cell>
          <cell r="Z1325">
            <v>1.4</v>
          </cell>
          <cell r="AA1325">
            <v>1</v>
          </cell>
          <cell r="AB1325">
            <v>0</v>
          </cell>
        </row>
        <row r="1326">
          <cell r="A1326">
            <v>1354</v>
          </cell>
          <cell r="B1326" t="str">
            <v>放課後の恋妃神 フレイヤ</v>
          </cell>
          <cell r="C1326">
            <v>6</v>
          </cell>
          <cell r="D1326" t="str">
            <v>green</v>
          </cell>
          <cell r="E1326">
            <v>1.02</v>
          </cell>
          <cell r="F1326">
            <v>0.98</v>
          </cell>
          <cell r="G1326">
            <v>1</v>
          </cell>
          <cell r="H1326" t="str">
            <v>heal</v>
          </cell>
          <cell r="I1326" t="str">
            <v>回復タイプ</v>
          </cell>
          <cell r="J1326">
            <v>0.8</v>
          </cell>
          <cell r="K1326">
            <v>0.78</v>
          </cell>
          <cell r="L1326">
            <v>1</v>
          </cell>
          <cell r="M1326" t="str">
            <v>animal</v>
          </cell>
          <cell r="N1326" t="str">
            <v>アニマル</v>
          </cell>
          <cell r="O1326">
            <v>1</v>
          </cell>
          <cell r="P1326">
            <v>1.1000000000000001</v>
          </cell>
          <cell r="Q1326">
            <v>1</v>
          </cell>
          <cell r="R1326" t="str">
            <v>Boss</v>
          </cell>
          <cell r="S1326">
            <v>5</v>
          </cell>
          <cell r="T1326">
            <v>1.3</v>
          </cell>
          <cell r="U1326">
            <v>0.8</v>
          </cell>
          <cell r="V1326">
            <v>3</v>
          </cell>
          <cell r="W1326">
            <v>1</v>
          </cell>
          <cell r="X1326">
            <v>60</v>
          </cell>
          <cell r="Y1326">
            <v>1.7</v>
          </cell>
          <cell r="Z1326">
            <v>1.4</v>
          </cell>
          <cell r="AA1326">
            <v>1</v>
          </cell>
          <cell r="AB1326">
            <v>0</v>
          </cell>
        </row>
        <row r="1327">
          <cell r="A1327">
            <v>1355</v>
          </cell>
          <cell r="B1327" t="str">
            <v>恋する燦天使 メタトロン・エモ</v>
          </cell>
          <cell r="C1327">
            <v>6</v>
          </cell>
          <cell r="D1327" t="str">
            <v>yellow</v>
          </cell>
          <cell r="E1327">
            <v>0.98</v>
          </cell>
          <cell r="F1327">
            <v>1.01</v>
          </cell>
          <cell r="G1327">
            <v>1</v>
          </cell>
          <cell r="H1327" t="str">
            <v>balance</v>
          </cell>
          <cell r="I1327" t="str">
            <v>バランスタイプ</v>
          </cell>
          <cell r="J1327">
            <v>1</v>
          </cell>
          <cell r="K1327">
            <v>1</v>
          </cell>
          <cell r="L1327">
            <v>1</v>
          </cell>
          <cell r="M1327" t="str">
            <v>god</v>
          </cell>
          <cell r="N1327" t="str">
            <v>ゴッド</v>
          </cell>
          <cell r="O1327">
            <v>0.96</v>
          </cell>
          <cell r="P1327">
            <v>1.02</v>
          </cell>
          <cell r="Q1327">
            <v>1</v>
          </cell>
          <cell r="R1327" t="str">
            <v>Boss</v>
          </cell>
          <cell r="S1327">
            <v>5</v>
          </cell>
          <cell r="T1327">
            <v>1.3</v>
          </cell>
          <cell r="U1327">
            <v>0.8</v>
          </cell>
          <cell r="V1327">
            <v>3</v>
          </cell>
          <cell r="W1327">
            <v>1</v>
          </cell>
          <cell r="X1327">
            <v>60</v>
          </cell>
          <cell r="Y1327">
            <v>1.7</v>
          </cell>
          <cell r="Z1327">
            <v>1.4</v>
          </cell>
          <cell r="AA1327">
            <v>1</v>
          </cell>
          <cell r="AB1327">
            <v>0</v>
          </cell>
        </row>
        <row r="1328">
          <cell r="A1328">
            <v>1356</v>
          </cell>
          <cell r="B1328" t="str">
            <v>恋狐の甘味振舞 タマモ</v>
          </cell>
          <cell r="C1328">
            <v>5</v>
          </cell>
          <cell r="D1328" t="str">
            <v>red</v>
          </cell>
          <cell r="E1328">
            <v>1</v>
          </cell>
          <cell r="F1328">
            <v>1.02</v>
          </cell>
          <cell r="G1328">
            <v>1</v>
          </cell>
          <cell r="H1328" t="str">
            <v>balance</v>
          </cell>
          <cell r="I1328" t="str">
            <v>バランスタイプ</v>
          </cell>
          <cell r="J1328">
            <v>1</v>
          </cell>
          <cell r="K1328">
            <v>1</v>
          </cell>
          <cell r="L1328">
            <v>1</v>
          </cell>
          <cell r="M1328" t="str">
            <v>animal</v>
          </cell>
          <cell r="N1328" t="str">
            <v>アニマル</v>
          </cell>
          <cell r="O1328">
            <v>1</v>
          </cell>
          <cell r="P1328">
            <v>1.1000000000000001</v>
          </cell>
          <cell r="Q1328">
            <v>1</v>
          </cell>
          <cell r="R1328" t="str">
            <v>Boss</v>
          </cell>
          <cell r="S1328">
            <v>5</v>
          </cell>
          <cell r="T1328">
            <v>1.3</v>
          </cell>
          <cell r="U1328">
            <v>0.8</v>
          </cell>
          <cell r="V1328">
            <v>3</v>
          </cell>
          <cell r="W1328">
            <v>1</v>
          </cell>
          <cell r="X1328">
            <v>60</v>
          </cell>
          <cell r="Y1328">
            <v>1.7</v>
          </cell>
          <cell r="Z1328">
            <v>1.4</v>
          </cell>
          <cell r="AA1328">
            <v>1</v>
          </cell>
          <cell r="AB1328">
            <v>0</v>
          </cell>
        </row>
        <row r="1329">
          <cell r="A1329">
            <v>1357</v>
          </cell>
          <cell r="B1329" t="str">
            <v>甘美なる想導司書 アズラエル</v>
          </cell>
          <cell r="C1329">
            <v>5</v>
          </cell>
          <cell r="D1329" t="str">
            <v>blue</v>
          </cell>
          <cell r="E1329">
            <v>1</v>
          </cell>
          <cell r="F1329">
            <v>0.98</v>
          </cell>
          <cell r="G1329">
            <v>1</v>
          </cell>
          <cell r="H1329" t="str">
            <v>balance</v>
          </cell>
          <cell r="I1329" t="str">
            <v>バランスタイプ</v>
          </cell>
          <cell r="J1329">
            <v>1</v>
          </cell>
          <cell r="K1329">
            <v>1</v>
          </cell>
          <cell r="L1329">
            <v>1</v>
          </cell>
          <cell r="M1329" t="str">
            <v>god</v>
          </cell>
          <cell r="N1329" t="str">
            <v>ゴッド</v>
          </cell>
          <cell r="O1329">
            <v>0.96</v>
          </cell>
          <cell r="P1329">
            <v>1.02</v>
          </cell>
          <cell r="Q1329">
            <v>1</v>
          </cell>
          <cell r="R1329" t="str">
            <v>Boss</v>
          </cell>
          <cell r="S1329">
            <v>5</v>
          </cell>
          <cell r="T1329">
            <v>1.3</v>
          </cell>
          <cell r="U1329">
            <v>0.8</v>
          </cell>
          <cell r="V1329">
            <v>3</v>
          </cell>
          <cell r="W1329">
            <v>1</v>
          </cell>
          <cell r="X1329">
            <v>60</v>
          </cell>
          <cell r="Y1329">
            <v>1.7</v>
          </cell>
          <cell r="Z1329">
            <v>1.4</v>
          </cell>
          <cell r="AA1329">
            <v>1</v>
          </cell>
          <cell r="AB1329">
            <v>0</v>
          </cell>
        </row>
        <row r="1330">
          <cell r="A1330">
            <v>1358</v>
          </cell>
          <cell r="B1330" t="str">
            <v>暴走する恋激火 バハムート</v>
          </cell>
          <cell r="C1330">
            <v>5</v>
          </cell>
          <cell r="D1330" t="str">
            <v>yellow</v>
          </cell>
          <cell r="E1330">
            <v>0.98</v>
          </cell>
          <cell r="F1330">
            <v>1.01</v>
          </cell>
          <cell r="G1330">
            <v>1</v>
          </cell>
          <cell r="H1330" t="str">
            <v>heal</v>
          </cell>
          <cell r="I1330" t="str">
            <v>回復タイプ</v>
          </cell>
          <cell r="J1330">
            <v>0.8</v>
          </cell>
          <cell r="K1330">
            <v>0.78</v>
          </cell>
          <cell r="L1330">
            <v>1</v>
          </cell>
          <cell r="M1330" t="str">
            <v>dragon</v>
          </cell>
          <cell r="N1330" t="str">
            <v>ドラゴン</v>
          </cell>
          <cell r="O1330">
            <v>1.1499999999999999</v>
          </cell>
          <cell r="P1330">
            <v>1.1000000000000001</v>
          </cell>
          <cell r="Q1330">
            <v>1</v>
          </cell>
          <cell r="R1330" t="str">
            <v>Boss</v>
          </cell>
          <cell r="S1330">
            <v>5</v>
          </cell>
          <cell r="T1330">
            <v>1.3</v>
          </cell>
          <cell r="U1330">
            <v>0.8</v>
          </cell>
          <cell r="V1330">
            <v>3</v>
          </cell>
          <cell r="W1330">
            <v>1</v>
          </cell>
          <cell r="X1330">
            <v>60</v>
          </cell>
          <cell r="Y1330">
            <v>1.7</v>
          </cell>
          <cell r="Z1330">
            <v>1.4</v>
          </cell>
          <cell r="AA1330">
            <v>1</v>
          </cell>
          <cell r="AB1330">
            <v>0</v>
          </cell>
        </row>
        <row r="1331">
          <cell r="A1331">
            <v>1359</v>
          </cell>
          <cell r="B1331" t="str">
            <v>コルネ</v>
          </cell>
          <cell r="C1331">
            <v>5</v>
          </cell>
          <cell r="D1331" t="str">
            <v>red</v>
          </cell>
          <cell r="E1331">
            <v>1</v>
          </cell>
          <cell r="F1331">
            <v>1.02</v>
          </cell>
          <cell r="G1331">
            <v>1</v>
          </cell>
          <cell r="H1331" t="str">
            <v>balance</v>
          </cell>
          <cell r="I1331" t="str">
            <v>バランスタイプ</v>
          </cell>
          <cell r="J1331">
            <v>1</v>
          </cell>
          <cell r="K1331">
            <v>1</v>
          </cell>
          <cell r="L1331">
            <v>1</v>
          </cell>
          <cell r="M1331" t="str">
            <v>human</v>
          </cell>
          <cell r="N1331" t="str">
            <v>ヒューマン</v>
          </cell>
          <cell r="O1331">
            <v>0.94</v>
          </cell>
          <cell r="P1331">
            <v>0.99</v>
          </cell>
          <cell r="Q1331">
            <v>1</v>
          </cell>
          <cell r="R1331" t="str">
            <v>Boss</v>
          </cell>
          <cell r="S1331">
            <v>5</v>
          </cell>
          <cell r="T1331">
            <v>1.3</v>
          </cell>
          <cell r="U1331">
            <v>0.8</v>
          </cell>
          <cell r="V1331">
            <v>3</v>
          </cell>
          <cell r="W1331">
            <v>1</v>
          </cell>
          <cell r="X1331">
            <v>60</v>
          </cell>
          <cell r="Y1331">
            <v>1.7</v>
          </cell>
          <cell r="Z1331">
            <v>1.4</v>
          </cell>
          <cell r="AA1331">
            <v>1</v>
          </cell>
          <cell r="AB1331">
            <v>0</v>
          </cell>
        </row>
        <row r="1332">
          <cell r="A1332">
            <v>1360</v>
          </cell>
          <cell r="B1332" t="str">
            <v>恋話の散弾 コルネ</v>
          </cell>
          <cell r="C1332">
            <v>6</v>
          </cell>
          <cell r="D1332" t="str">
            <v>red</v>
          </cell>
          <cell r="E1332">
            <v>1</v>
          </cell>
          <cell r="F1332">
            <v>1.02</v>
          </cell>
          <cell r="G1332">
            <v>1</v>
          </cell>
          <cell r="H1332" t="str">
            <v>balance</v>
          </cell>
          <cell r="I1332" t="str">
            <v>バランスタイプ</v>
          </cell>
          <cell r="J1332">
            <v>1</v>
          </cell>
          <cell r="K1332">
            <v>1</v>
          </cell>
          <cell r="L1332">
            <v>1</v>
          </cell>
          <cell r="M1332" t="str">
            <v>human</v>
          </cell>
          <cell r="N1332" t="str">
            <v>ヒューマン</v>
          </cell>
          <cell r="O1332">
            <v>0.94</v>
          </cell>
          <cell r="P1332">
            <v>0.99</v>
          </cell>
          <cell r="Q1332">
            <v>1</v>
          </cell>
          <cell r="R1332" t="str">
            <v>Boss</v>
          </cell>
          <cell r="S1332">
            <v>5</v>
          </cell>
          <cell r="T1332">
            <v>1.3</v>
          </cell>
          <cell r="U1332">
            <v>0.8</v>
          </cell>
          <cell r="V1332">
            <v>3</v>
          </cell>
          <cell r="W1332">
            <v>1</v>
          </cell>
          <cell r="X1332">
            <v>60</v>
          </cell>
          <cell r="Y1332">
            <v>1.7</v>
          </cell>
          <cell r="Z1332">
            <v>1.4</v>
          </cell>
          <cell r="AA1332">
            <v>1</v>
          </cell>
          <cell r="AB1332">
            <v>0</v>
          </cell>
        </row>
        <row r="1333">
          <cell r="A1333">
            <v>1362</v>
          </cell>
          <cell r="B1333" t="str">
            <v>刺撃する尖甘槍 フォンデュ</v>
          </cell>
          <cell r="C1333">
            <v>6</v>
          </cell>
          <cell r="D1333" t="str">
            <v>red</v>
          </cell>
          <cell r="E1333">
            <v>1</v>
          </cell>
          <cell r="F1333">
            <v>1.02</v>
          </cell>
          <cell r="G1333">
            <v>1</v>
          </cell>
          <cell r="H1333" t="str">
            <v>heal</v>
          </cell>
          <cell r="I1333" t="str">
            <v>回復タイプ</v>
          </cell>
          <cell r="J1333">
            <v>0.8</v>
          </cell>
          <cell r="K1333">
            <v>0.78</v>
          </cell>
          <cell r="L1333">
            <v>1</v>
          </cell>
          <cell r="M1333" t="str">
            <v>human</v>
          </cell>
          <cell r="N1333" t="str">
            <v>ヒューマン</v>
          </cell>
          <cell r="O1333">
            <v>0.94</v>
          </cell>
          <cell r="P1333">
            <v>0.99</v>
          </cell>
          <cell r="Q1333">
            <v>1</v>
          </cell>
          <cell r="R1333" t="str">
            <v>Boss</v>
          </cell>
          <cell r="S1333">
            <v>5</v>
          </cell>
          <cell r="T1333">
            <v>1.3</v>
          </cell>
          <cell r="U1333">
            <v>0.8</v>
          </cell>
          <cell r="V1333">
            <v>3</v>
          </cell>
          <cell r="W1333">
            <v>1</v>
          </cell>
          <cell r="X1333">
            <v>60</v>
          </cell>
          <cell r="Y1333">
            <v>1.7</v>
          </cell>
          <cell r="Z1333">
            <v>1.4</v>
          </cell>
          <cell r="AA1333">
            <v>1</v>
          </cell>
          <cell r="AB1333">
            <v>0</v>
          </cell>
        </row>
        <row r="1334">
          <cell r="A1334">
            <v>1363</v>
          </cell>
          <cell r="B1334" t="str">
            <v>聖白の夢菓子 ヴァニレ</v>
          </cell>
          <cell r="C1334">
            <v>6</v>
          </cell>
          <cell r="D1334" t="str">
            <v>blue</v>
          </cell>
          <cell r="E1334">
            <v>1</v>
          </cell>
          <cell r="F1334">
            <v>0.98</v>
          </cell>
          <cell r="G1334">
            <v>1</v>
          </cell>
          <cell r="H1334" t="str">
            <v>attack</v>
          </cell>
          <cell r="I1334" t="str">
            <v>攻撃タイプ</v>
          </cell>
          <cell r="J1334">
            <v>1</v>
          </cell>
          <cell r="K1334">
            <v>1.33</v>
          </cell>
          <cell r="L1334">
            <v>1</v>
          </cell>
          <cell r="M1334" t="str">
            <v>human</v>
          </cell>
          <cell r="N1334" t="str">
            <v>ヒューマン</v>
          </cell>
          <cell r="O1334">
            <v>0.94</v>
          </cell>
          <cell r="P1334">
            <v>0.99</v>
          </cell>
          <cell r="Q1334">
            <v>1</v>
          </cell>
          <cell r="R1334" t="str">
            <v>Boss</v>
          </cell>
          <cell r="S1334">
            <v>5</v>
          </cell>
          <cell r="T1334">
            <v>1.3</v>
          </cell>
          <cell r="U1334">
            <v>0.8</v>
          </cell>
          <cell r="V1334">
            <v>3</v>
          </cell>
          <cell r="W1334">
            <v>1</v>
          </cell>
          <cell r="X1334">
            <v>60</v>
          </cell>
          <cell r="Y1334">
            <v>1.7</v>
          </cell>
          <cell r="Z1334">
            <v>1.4</v>
          </cell>
          <cell r="AA1334">
            <v>1</v>
          </cell>
          <cell r="AB1334">
            <v>0</v>
          </cell>
        </row>
        <row r="1335">
          <cell r="A1335">
            <v>1364</v>
          </cell>
          <cell r="B1335" t="str">
            <v>百菓の甘味家 パティ</v>
          </cell>
          <cell r="C1335">
            <v>6</v>
          </cell>
          <cell r="D1335" t="str">
            <v>green</v>
          </cell>
          <cell r="E1335">
            <v>1.02</v>
          </cell>
          <cell r="F1335">
            <v>0.98</v>
          </cell>
          <cell r="G1335">
            <v>1</v>
          </cell>
          <cell r="H1335" t="str">
            <v>balance</v>
          </cell>
          <cell r="I1335" t="str">
            <v>バランスタイプ</v>
          </cell>
          <cell r="J1335">
            <v>1</v>
          </cell>
          <cell r="K1335">
            <v>1</v>
          </cell>
          <cell r="L1335">
            <v>1</v>
          </cell>
          <cell r="M1335" t="str">
            <v>human</v>
          </cell>
          <cell r="N1335" t="str">
            <v>ヒューマン</v>
          </cell>
          <cell r="O1335">
            <v>0.94</v>
          </cell>
          <cell r="P1335">
            <v>0.99</v>
          </cell>
          <cell r="Q1335">
            <v>1</v>
          </cell>
          <cell r="R1335" t="str">
            <v>Boss</v>
          </cell>
          <cell r="S1335">
            <v>5</v>
          </cell>
          <cell r="T1335">
            <v>1.3</v>
          </cell>
          <cell r="U1335">
            <v>0.8</v>
          </cell>
          <cell r="V1335">
            <v>3</v>
          </cell>
          <cell r="W1335">
            <v>1</v>
          </cell>
          <cell r="X1335">
            <v>60</v>
          </cell>
          <cell r="Y1335">
            <v>1.7</v>
          </cell>
          <cell r="Z1335">
            <v>1.4</v>
          </cell>
          <cell r="AA1335">
            <v>1</v>
          </cell>
          <cell r="AB1335">
            <v>0</v>
          </cell>
        </row>
        <row r="1336">
          <cell r="A1336">
            <v>1407</v>
          </cell>
          <cell r="B1336" t="str">
            <v>グリム・ザ・ダンディ</v>
          </cell>
          <cell r="C1336">
            <v>5</v>
          </cell>
          <cell r="D1336" t="str">
            <v>yellow</v>
          </cell>
          <cell r="E1336">
            <v>0.98</v>
          </cell>
          <cell r="F1336">
            <v>1.01</v>
          </cell>
          <cell r="G1336">
            <v>1</v>
          </cell>
          <cell r="H1336" t="str">
            <v>balance</v>
          </cell>
          <cell r="I1336" t="str">
            <v>バランスタイプ</v>
          </cell>
          <cell r="J1336">
            <v>1</v>
          </cell>
          <cell r="K1336">
            <v>1</v>
          </cell>
          <cell r="L1336">
            <v>1</v>
          </cell>
          <cell r="M1336" t="str">
            <v>human</v>
          </cell>
          <cell r="N1336" t="str">
            <v>ヒューマン</v>
          </cell>
          <cell r="O1336">
            <v>0.94</v>
          </cell>
          <cell r="P1336">
            <v>0.99</v>
          </cell>
          <cell r="Q1336">
            <v>1</v>
          </cell>
          <cell r="R1336" t="str">
            <v>Boss</v>
          </cell>
          <cell r="S1336">
            <v>5</v>
          </cell>
          <cell r="T1336">
            <v>1.3</v>
          </cell>
          <cell r="U1336">
            <v>0.8</v>
          </cell>
          <cell r="V1336">
            <v>3</v>
          </cell>
          <cell r="W1336">
            <v>1</v>
          </cell>
          <cell r="X1336">
            <v>60</v>
          </cell>
          <cell r="Y1336">
            <v>1.7</v>
          </cell>
          <cell r="Z1336">
            <v>1.4</v>
          </cell>
          <cell r="AA1336">
            <v>1</v>
          </cell>
          <cell r="AB1336">
            <v>0</v>
          </cell>
        </row>
        <row r="1337">
          <cell r="A1337">
            <v>1408</v>
          </cell>
          <cell r="B1337" t="str">
            <v>爽愛の求魂 グリム・ザ・ダンディ</v>
          </cell>
          <cell r="C1337">
            <v>6</v>
          </cell>
          <cell r="D1337" t="str">
            <v>yellow</v>
          </cell>
          <cell r="E1337">
            <v>0.98</v>
          </cell>
          <cell r="F1337">
            <v>1.01</v>
          </cell>
          <cell r="G1337">
            <v>1</v>
          </cell>
          <cell r="H1337" t="str">
            <v>balance</v>
          </cell>
          <cell r="I1337" t="str">
            <v>バランスタイプ</v>
          </cell>
          <cell r="J1337">
            <v>1</v>
          </cell>
          <cell r="K1337">
            <v>1</v>
          </cell>
          <cell r="L1337">
            <v>1</v>
          </cell>
          <cell r="M1337" t="str">
            <v>human</v>
          </cell>
          <cell r="N1337" t="str">
            <v>ヒューマン</v>
          </cell>
          <cell r="O1337">
            <v>0.94</v>
          </cell>
          <cell r="P1337">
            <v>0.99</v>
          </cell>
          <cell r="Q1337">
            <v>1</v>
          </cell>
          <cell r="R1337" t="str">
            <v>Boss</v>
          </cell>
          <cell r="S1337">
            <v>5</v>
          </cell>
          <cell r="T1337">
            <v>1.3</v>
          </cell>
          <cell r="U1337">
            <v>0.8</v>
          </cell>
          <cell r="V1337">
            <v>3</v>
          </cell>
          <cell r="W1337">
            <v>1</v>
          </cell>
          <cell r="X1337">
            <v>60</v>
          </cell>
          <cell r="Y1337">
            <v>1.7</v>
          </cell>
          <cell r="Z1337">
            <v>1.4</v>
          </cell>
          <cell r="AA1337">
            <v>1</v>
          </cell>
          <cell r="AB1337">
            <v>0</v>
          </cell>
        </row>
        <row r="1338">
          <cell r="A1338">
            <v>1409</v>
          </cell>
          <cell r="B1338" t="str">
            <v>マシロ</v>
          </cell>
          <cell r="C1338">
            <v>5</v>
          </cell>
          <cell r="D1338" t="str">
            <v>green</v>
          </cell>
          <cell r="E1338">
            <v>1.02</v>
          </cell>
          <cell r="F1338">
            <v>0.98</v>
          </cell>
          <cell r="G1338">
            <v>1</v>
          </cell>
          <cell r="H1338" t="str">
            <v>heal</v>
          </cell>
          <cell r="I1338" t="str">
            <v>回復タイプ</v>
          </cell>
          <cell r="J1338">
            <v>0.8</v>
          </cell>
          <cell r="K1338">
            <v>0.78</v>
          </cell>
          <cell r="L1338">
            <v>1</v>
          </cell>
          <cell r="M1338" t="str">
            <v>human</v>
          </cell>
          <cell r="N1338" t="str">
            <v>ヒューマン</v>
          </cell>
          <cell r="O1338">
            <v>0.94</v>
          </cell>
          <cell r="P1338">
            <v>0.99</v>
          </cell>
          <cell r="Q1338">
            <v>1</v>
          </cell>
          <cell r="R1338" t="str">
            <v>Boss</v>
          </cell>
          <cell r="S1338">
            <v>5</v>
          </cell>
          <cell r="T1338">
            <v>1.3</v>
          </cell>
          <cell r="U1338">
            <v>0.8</v>
          </cell>
          <cell r="V1338">
            <v>3</v>
          </cell>
          <cell r="W1338">
            <v>1</v>
          </cell>
          <cell r="X1338">
            <v>60</v>
          </cell>
          <cell r="Y1338">
            <v>1.7</v>
          </cell>
          <cell r="Z1338">
            <v>1.4</v>
          </cell>
          <cell r="AA1338">
            <v>1</v>
          </cell>
          <cell r="AB1338">
            <v>0</v>
          </cell>
        </row>
        <row r="1339">
          <cell r="A1339">
            <v>1410</v>
          </cell>
          <cell r="B1339" t="str">
            <v>浮遊する白恋 マシロ</v>
          </cell>
          <cell r="C1339">
            <v>6</v>
          </cell>
          <cell r="D1339" t="str">
            <v>green</v>
          </cell>
          <cell r="E1339">
            <v>1.02</v>
          </cell>
          <cell r="F1339">
            <v>0.98</v>
          </cell>
          <cell r="G1339">
            <v>1</v>
          </cell>
          <cell r="H1339" t="str">
            <v>heal</v>
          </cell>
          <cell r="I1339" t="str">
            <v>回復タイプ</v>
          </cell>
          <cell r="J1339">
            <v>0.8</v>
          </cell>
          <cell r="K1339">
            <v>0.78</v>
          </cell>
          <cell r="L1339">
            <v>1</v>
          </cell>
          <cell r="M1339" t="str">
            <v>human</v>
          </cell>
          <cell r="N1339" t="str">
            <v>ヒューマン</v>
          </cell>
          <cell r="O1339">
            <v>0.94</v>
          </cell>
          <cell r="P1339">
            <v>0.99</v>
          </cell>
          <cell r="Q1339">
            <v>1</v>
          </cell>
          <cell r="R1339" t="str">
            <v>Boss</v>
          </cell>
          <cell r="S1339">
            <v>5</v>
          </cell>
          <cell r="T1339">
            <v>1.3</v>
          </cell>
          <cell r="U1339">
            <v>0.8</v>
          </cell>
          <cell r="V1339">
            <v>3</v>
          </cell>
          <cell r="W1339">
            <v>1</v>
          </cell>
          <cell r="X1339">
            <v>60</v>
          </cell>
          <cell r="Y1339">
            <v>1.7</v>
          </cell>
          <cell r="Z1339">
            <v>1.4</v>
          </cell>
          <cell r="AA1339">
            <v>1</v>
          </cell>
          <cell r="AB1339">
            <v>0</v>
          </cell>
        </row>
        <row r="1340">
          <cell r="A1340">
            <v>1504</v>
          </cell>
          <cell r="B1340" t="str">
            <v>magenta01</v>
          </cell>
          <cell r="C1340">
            <v>1</v>
          </cell>
          <cell r="D1340" t="str">
            <v>red</v>
          </cell>
          <cell r="E1340">
            <v>1</v>
          </cell>
          <cell r="F1340">
            <v>1.02</v>
          </cell>
          <cell r="G1340">
            <v>1</v>
          </cell>
          <cell r="H1340" t="str">
            <v>balance</v>
          </cell>
          <cell r="I1340" t="str">
            <v>バランスタイプ</v>
          </cell>
          <cell r="J1340">
            <v>1</v>
          </cell>
          <cell r="K1340">
            <v>1</v>
          </cell>
          <cell r="L1340">
            <v>1</v>
          </cell>
          <cell r="M1340" t="str">
            <v>unknown</v>
          </cell>
          <cell r="N1340" t="str">
            <v>Unknown</v>
          </cell>
          <cell r="O1340">
            <v>1</v>
          </cell>
          <cell r="P1340">
            <v>1</v>
          </cell>
          <cell r="Q1340">
            <v>1</v>
          </cell>
          <cell r="R1340" t="str">
            <v>Boss</v>
          </cell>
          <cell r="S1340">
            <v>5</v>
          </cell>
          <cell r="T1340">
            <v>1.3</v>
          </cell>
          <cell r="U1340">
            <v>0.8</v>
          </cell>
          <cell r="V1340">
            <v>3</v>
          </cell>
          <cell r="W1340">
            <v>1</v>
          </cell>
          <cell r="X1340">
            <v>15</v>
          </cell>
          <cell r="Y1340">
            <v>1</v>
          </cell>
          <cell r="Z1340">
            <v>1</v>
          </cell>
          <cell r="AA1340">
            <v>1</v>
          </cell>
          <cell r="AB1340">
            <v>0</v>
          </cell>
        </row>
        <row r="1341">
          <cell r="A1341">
            <v>1505</v>
          </cell>
          <cell r="B1341" t="str">
            <v>amber01</v>
          </cell>
          <cell r="C1341">
            <v>1</v>
          </cell>
          <cell r="D1341" t="str">
            <v>green</v>
          </cell>
          <cell r="E1341">
            <v>1.02</v>
          </cell>
          <cell r="F1341">
            <v>0.98</v>
          </cell>
          <cell r="G1341">
            <v>1</v>
          </cell>
          <cell r="H1341" t="str">
            <v>hp</v>
          </cell>
          <cell r="I1341" t="str">
            <v>体力タイプ</v>
          </cell>
          <cell r="J1341">
            <v>1.45</v>
          </cell>
          <cell r="K1341">
            <v>0.85</v>
          </cell>
          <cell r="L1341">
            <v>1</v>
          </cell>
          <cell r="M1341" t="str">
            <v>unknown</v>
          </cell>
          <cell r="N1341" t="str">
            <v>Unknown</v>
          </cell>
          <cell r="O1341">
            <v>1</v>
          </cell>
          <cell r="P1341">
            <v>1</v>
          </cell>
          <cell r="Q1341">
            <v>1</v>
          </cell>
          <cell r="R1341" t="str">
            <v>Boss</v>
          </cell>
          <cell r="S1341">
            <v>5</v>
          </cell>
          <cell r="T1341">
            <v>1.3</v>
          </cell>
          <cell r="U1341">
            <v>0.8</v>
          </cell>
          <cell r="V1341">
            <v>3</v>
          </cell>
          <cell r="W1341">
            <v>1</v>
          </cell>
          <cell r="X1341">
            <v>15</v>
          </cell>
          <cell r="Y1341">
            <v>1</v>
          </cell>
          <cell r="Z1341">
            <v>1</v>
          </cell>
          <cell r="AA1341">
            <v>1</v>
          </cell>
          <cell r="AB1341">
            <v>0</v>
          </cell>
        </row>
        <row r="1342">
          <cell r="A1342">
            <v>1506</v>
          </cell>
          <cell r="B1342" t="str">
            <v>pumpkin01</v>
          </cell>
          <cell r="C1342">
            <v>2</v>
          </cell>
          <cell r="D1342" t="str">
            <v>yellow</v>
          </cell>
          <cell r="E1342">
            <v>0.98</v>
          </cell>
          <cell r="F1342">
            <v>1.01</v>
          </cell>
          <cell r="G1342">
            <v>1</v>
          </cell>
          <cell r="H1342" t="str">
            <v>attack</v>
          </cell>
          <cell r="I1342" t="str">
            <v>攻撃タイプ</v>
          </cell>
          <cell r="J1342">
            <v>1</v>
          </cell>
          <cell r="K1342">
            <v>1.33</v>
          </cell>
          <cell r="L1342">
            <v>1</v>
          </cell>
          <cell r="M1342" t="str">
            <v>unknown</v>
          </cell>
          <cell r="N1342" t="str">
            <v>Unknown</v>
          </cell>
          <cell r="O1342">
            <v>1</v>
          </cell>
          <cell r="P1342">
            <v>1</v>
          </cell>
          <cell r="Q1342">
            <v>1</v>
          </cell>
          <cell r="R1342" t="str">
            <v>Boss</v>
          </cell>
          <cell r="S1342">
            <v>5</v>
          </cell>
          <cell r="T1342">
            <v>1.3</v>
          </cell>
          <cell r="U1342">
            <v>0.8</v>
          </cell>
          <cell r="V1342">
            <v>3</v>
          </cell>
          <cell r="W1342">
            <v>1</v>
          </cell>
          <cell r="X1342">
            <v>15</v>
          </cell>
          <cell r="Y1342">
            <v>1</v>
          </cell>
          <cell r="Z1342">
            <v>1</v>
          </cell>
          <cell r="AA1342">
            <v>1</v>
          </cell>
          <cell r="AB1342">
            <v>0</v>
          </cell>
        </row>
        <row r="1343">
          <cell r="A1343">
            <v>1507</v>
          </cell>
          <cell r="B1343" t="str">
            <v>rose01</v>
          </cell>
          <cell r="C1343">
            <v>3</v>
          </cell>
          <cell r="D1343" t="str">
            <v>blue</v>
          </cell>
          <cell r="E1343">
            <v>1</v>
          </cell>
          <cell r="F1343">
            <v>0.98</v>
          </cell>
          <cell r="G1343">
            <v>1</v>
          </cell>
          <cell r="H1343" t="str">
            <v>technical</v>
          </cell>
          <cell r="I1343" t="str">
            <v>テクニカルタイプ</v>
          </cell>
          <cell r="J1343">
            <v>0.9</v>
          </cell>
          <cell r="K1343">
            <v>0.9</v>
          </cell>
          <cell r="L1343">
            <v>1</v>
          </cell>
          <cell r="M1343" t="str">
            <v>unknown</v>
          </cell>
          <cell r="N1343" t="str">
            <v>Unknown</v>
          </cell>
          <cell r="O1343">
            <v>1</v>
          </cell>
          <cell r="P1343">
            <v>1</v>
          </cell>
          <cell r="Q1343">
            <v>1</v>
          </cell>
          <cell r="R1343" t="str">
            <v>Boss</v>
          </cell>
          <cell r="S1343">
            <v>5</v>
          </cell>
          <cell r="T1343">
            <v>1.3</v>
          </cell>
          <cell r="U1343">
            <v>0.8</v>
          </cell>
          <cell r="V1343">
            <v>3</v>
          </cell>
          <cell r="W1343">
            <v>1</v>
          </cell>
          <cell r="X1343">
            <v>25</v>
          </cell>
          <cell r="Y1343">
            <v>1.2</v>
          </cell>
          <cell r="Z1343">
            <v>1.25</v>
          </cell>
          <cell r="AA1343">
            <v>1.1499999999999999</v>
          </cell>
          <cell r="AB1343">
            <v>0</v>
          </cell>
        </row>
        <row r="1344">
          <cell r="A1344">
            <v>1508</v>
          </cell>
          <cell r="B1344" t="str">
            <v>burgundy01</v>
          </cell>
          <cell r="C1344">
            <v>4</v>
          </cell>
          <cell r="D1344" t="str">
            <v>red</v>
          </cell>
          <cell r="E1344">
            <v>1</v>
          </cell>
          <cell r="F1344">
            <v>1.02</v>
          </cell>
          <cell r="G1344">
            <v>1</v>
          </cell>
          <cell r="H1344" t="str">
            <v>balance</v>
          </cell>
          <cell r="I1344" t="str">
            <v>バランスタイプ</v>
          </cell>
          <cell r="J1344">
            <v>1</v>
          </cell>
          <cell r="K1344">
            <v>1</v>
          </cell>
          <cell r="L1344">
            <v>1</v>
          </cell>
          <cell r="M1344" t="str">
            <v>unknown</v>
          </cell>
          <cell r="N1344" t="str">
            <v>Unknown</v>
          </cell>
          <cell r="O1344">
            <v>1</v>
          </cell>
          <cell r="P1344">
            <v>1</v>
          </cell>
          <cell r="Q1344">
            <v>1</v>
          </cell>
          <cell r="R1344" t="str">
            <v>Boss</v>
          </cell>
          <cell r="S1344">
            <v>5</v>
          </cell>
          <cell r="T1344">
            <v>1.3</v>
          </cell>
          <cell r="U1344">
            <v>0.8</v>
          </cell>
          <cell r="V1344">
            <v>3</v>
          </cell>
          <cell r="W1344">
            <v>1</v>
          </cell>
          <cell r="X1344">
            <v>30</v>
          </cell>
          <cell r="Y1344">
            <v>1.3</v>
          </cell>
          <cell r="Z1344">
            <v>1.3</v>
          </cell>
          <cell r="AA1344">
            <v>1.1000000000000001</v>
          </cell>
          <cell r="AB1344">
            <v>0</v>
          </cell>
        </row>
        <row r="1345">
          <cell r="A1345">
            <v>1509</v>
          </cell>
          <cell r="B1345" t="str">
            <v>cyan01</v>
          </cell>
          <cell r="C1345">
            <v>5</v>
          </cell>
          <cell r="D1345" t="str">
            <v>green</v>
          </cell>
          <cell r="E1345">
            <v>1.02</v>
          </cell>
          <cell r="F1345">
            <v>0.98</v>
          </cell>
          <cell r="G1345">
            <v>1</v>
          </cell>
          <cell r="H1345" t="str">
            <v>hp</v>
          </cell>
          <cell r="I1345" t="str">
            <v>体力タイプ</v>
          </cell>
          <cell r="J1345">
            <v>1.45</v>
          </cell>
          <cell r="K1345">
            <v>0.85</v>
          </cell>
          <cell r="L1345">
            <v>1</v>
          </cell>
          <cell r="M1345" t="str">
            <v>god</v>
          </cell>
          <cell r="N1345" t="str">
            <v>ゴッド</v>
          </cell>
          <cell r="O1345">
            <v>0.96</v>
          </cell>
          <cell r="P1345">
            <v>1.02</v>
          </cell>
          <cell r="Q1345">
            <v>1</v>
          </cell>
          <cell r="R1345" t="str">
            <v>Boss</v>
          </cell>
          <cell r="S1345">
            <v>5</v>
          </cell>
          <cell r="T1345">
            <v>1.3</v>
          </cell>
          <cell r="U1345">
            <v>0.8</v>
          </cell>
          <cell r="V1345">
            <v>3</v>
          </cell>
          <cell r="W1345">
            <v>1</v>
          </cell>
          <cell r="X1345">
            <v>60</v>
          </cell>
          <cell r="Y1345">
            <v>1.7</v>
          </cell>
          <cell r="Z1345">
            <v>1.4</v>
          </cell>
          <cell r="AA1345">
            <v>1</v>
          </cell>
          <cell r="AB1345">
            <v>0</v>
          </cell>
        </row>
        <row r="1346">
          <cell r="A1346">
            <v>1510</v>
          </cell>
          <cell r="B1346" t="str">
            <v>scarlet01</v>
          </cell>
          <cell r="C1346">
            <v>4</v>
          </cell>
          <cell r="D1346" t="str">
            <v>yellow</v>
          </cell>
          <cell r="E1346">
            <v>0.98</v>
          </cell>
          <cell r="F1346">
            <v>1.01</v>
          </cell>
          <cell r="G1346">
            <v>1</v>
          </cell>
          <cell r="H1346" t="str">
            <v>balance</v>
          </cell>
          <cell r="I1346" t="str">
            <v>バランスタイプ</v>
          </cell>
          <cell r="J1346">
            <v>1</v>
          </cell>
          <cell r="K1346">
            <v>1</v>
          </cell>
          <cell r="L1346">
            <v>1</v>
          </cell>
          <cell r="M1346" t="str">
            <v>god</v>
          </cell>
          <cell r="N1346" t="str">
            <v>ゴッド</v>
          </cell>
          <cell r="O1346">
            <v>0.96</v>
          </cell>
          <cell r="P1346">
            <v>1.02</v>
          </cell>
          <cell r="Q1346">
            <v>1</v>
          </cell>
          <cell r="R1346" t="str">
            <v>Boss</v>
          </cell>
          <cell r="S1346">
            <v>5</v>
          </cell>
          <cell r="T1346">
            <v>1.3</v>
          </cell>
          <cell r="U1346">
            <v>0.8</v>
          </cell>
          <cell r="V1346">
            <v>3</v>
          </cell>
          <cell r="W1346">
            <v>1</v>
          </cell>
          <cell r="X1346">
            <v>30</v>
          </cell>
          <cell r="Y1346">
            <v>1.3</v>
          </cell>
          <cell r="Z1346">
            <v>1.3</v>
          </cell>
          <cell r="AA1346">
            <v>1.1000000000000001</v>
          </cell>
          <cell r="AB1346">
            <v>0</v>
          </cell>
        </row>
        <row r="1347">
          <cell r="A1347">
            <v>1511</v>
          </cell>
          <cell r="B1347" t="str">
            <v>scarlet02</v>
          </cell>
          <cell r="C1347">
            <v>5</v>
          </cell>
          <cell r="D1347" t="str">
            <v>yellow</v>
          </cell>
          <cell r="E1347">
            <v>0.98</v>
          </cell>
          <cell r="F1347">
            <v>1.01</v>
          </cell>
          <cell r="G1347">
            <v>1</v>
          </cell>
          <cell r="H1347" t="str">
            <v>balance</v>
          </cell>
          <cell r="I1347" t="str">
            <v>バランスタイプ</v>
          </cell>
          <cell r="J1347">
            <v>1</v>
          </cell>
          <cell r="K1347">
            <v>1</v>
          </cell>
          <cell r="L1347">
            <v>1</v>
          </cell>
          <cell r="M1347" t="str">
            <v>god</v>
          </cell>
          <cell r="N1347" t="str">
            <v>ゴッド</v>
          </cell>
          <cell r="O1347">
            <v>0.96</v>
          </cell>
          <cell r="P1347">
            <v>1.02</v>
          </cell>
          <cell r="Q1347">
            <v>1</v>
          </cell>
          <cell r="R1347" t="str">
            <v>Boss</v>
          </cell>
          <cell r="S1347">
            <v>5</v>
          </cell>
          <cell r="T1347">
            <v>1.3</v>
          </cell>
          <cell r="U1347">
            <v>0.8</v>
          </cell>
          <cell r="V1347">
            <v>3</v>
          </cell>
          <cell r="W1347">
            <v>1</v>
          </cell>
          <cell r="X1347">
            <v>60</v>
          </cell>
          <cell r="Y1347">
            <v>1.7</v>
          </cell>
          <cell r="Z1347">
            <v>1.4</v>
          </cell>
          <cell r="AA1347">
            <v>1</v>
          </cell>
          <cell r="AB1347">
            <v>0</v>
          </cell>
        </row>
        <row r="1348">
          <cell r="A1348">
            <v>1512</v>
          </cell>
          <cell r="B1348" t="str">
            <v>scarlet03</v>
          </cell>
          <cell r="C1348">
            <v>6</v>
          </cell>
          <cell r="D1348" t="str">
            <v>yellow</v>
          </cell>
          <cell r="E1348">
            <v>0.98</v>
          </cell>
          <cell r="F1348">
            <v>1.01</v>
          </cell>
          <cell r="G1348">
            <v>1</v>
          </cell>
          <cell r="H1348" t="str">
            <v>balance</v>
          </cell>
          <cell r="I1348" t="str">
            <v>バランスタイプ</v>
          </cell>
          <cell r="J1348">
            <v>1</v>
          </cell>
          <cell r="K1348">
            <v>1</v>
          </cell>
          <cell r="L1348">
            <v>1</v>
          </cell>
          <cell r="M1348" t="str">
            <v>god</v>
          </cell>
          <cell r="N1348" t="str">
            <v>ゴッド</v>
          </cell>
          <cell r="O1348">
            <v>0.96</v>
          </cell>
          <cell r="P1348">
            <v>1.02</v>
          </cell>
          <cell r="Q1348">
            <v>1</v>
          </cell>
          <cell r="R1348" t="str">
            <v>Boss</v>
          </cell>
          <cell r="S1348">
            <v>5</v>
          </cell>
          <cell r="T1348">
            <v>1.3</v>
          </cell>
          <cell r="U1348">
            <v>0.8</v>
          </cell>
          <cell r="V1348">
            <v>3</v>
          </cell>
          <cell r="W1348">
            <v>1</v>
          </cell>
          <cell r="X1348">
            <v>60</v>
          </cell>
          <cell r="Y1348">
            <v>1.7</v>
          </cell>
          <cell r="Z1348">
            <v>1.4</v>
          </cell>
          <cell r="AA1348">
            <v>1</v>
          </cell>
          <cell r="AB1348">
            <v>0</v>
          </cell>
        </row>
        <row r="1349">
          <cell r="A1349">
            <v>1523</v>
          </cell>
          <cell r="B1349" t="str">
            <v>olive01</v>
          </cell>
          <cell r="C1349">
            <v>5</v>
          </cell>
          <cell r="D1349" t="str">
            <v>blue</v>
          </cell>
          <cell r="E1349">
            <v>1</v>
          </cell>
          <cell r="F1349">
            <v>0.98</v>
          </cell>
          <cell r="G1349">
            <v>1</v>
          </cell>
          <cell r="H1349" t="str">
            <v>technical</v>
          </cell>
          <cell r="I1349" t="str">
            <v>テクニカルタイプ</v>
          </cell>
          <cell r="J1349">
            <v>0.9</v>
          </cell>
          <cell r="K1349">
            <v>0.9</v>
          </cell>
          <cell r="L1349">
            <v>1</v>
          </cell>
          <cell r="M1349" t="str">
            <v>animal</v>
          </cell>
          <cell r="N1349" t="str">
            <v>アニマル</v>
          </cell>
          <cell r="O1349">
            <v>1</v>
          </cell>
          <cell r="P1349">
            <v>1.1000000000000001</v>
          </cell>
          <cell r="Q1349">
            <v>1</v>
          </cell>
          <cell r="R1349" t="str">
            <v>Boss</v>
          </cell>
          <cell r="S1349">
            <v>5</v>
          </cell>
          <cell r="T1349">
            <v>1.3</v>
          </cell>
          <cell r="U1349">
            <v>0.8</v>
          </cell>
          <cell r="V1349">
            <v>3</v>
          </cell>
          <cell r="W1349">
            <v>1</v>
          </cell>
          <cell r="X1349">
            <v>60</v>
          </cell>
          <cell r="Y1349">
            <v>1.7</v>
          </cell>
          <cell r="Z1349">
            <v>1.4</v>
          </cell>
          <cell r="AA1349">
            <v>1</v>
          </cell>
          <cell r="AB1349">
            <v>0</v>
          </cell>
        </row>
        <row r="1350">
          <cell r="A1350">
            <v>1524</v>
          </cell>
          <cell r="B1350" t="str">
            <v>olive02</v>
          </cell>
          <cell r="C1350">
            <v>6</v>
          </cell>
          <cell r="D1350" t="str">
            <v>blue</v>
          </cell>
          <cell r="E1350">
            <v>1</v>
          </cell>
          <cell r="F1350">
            <v>0.98</v>
          </cell>
          <cell r="G1350">
            <v>1</v>
          </cell>
          <cell r="H1350" t="str">
            <v>technical</v>
          </cell>
          <cell r="I1350" t="str">
            <v>テクニカルタイプ</v>
          </cell>
          <cell r="J1350">
            <v>0.9</v>
          </cell>
          <cell r="K1350">
            <v>0.9</v>
          </cell>
          <cell r="L1350">
            <v>1</v>
          </cell>
          <cell r="M1350" t="str">
            <v>animal</v>
          </cell>
          <cell r="N1350" t="str">
            <v>アニマル</v>
          </cell>
          <cell r="O1350">
            <v>1</v>
          </cell>
          <cell r="P1350">
            <v>1.1000000000000001</v>
          </cell>
          <cell r="Q1350">
            <v>1</v>
          </cell>
          <cell r="R1350" t="str">
            <v>Boss</v>
          </cell>
          <cell r="S1350">
            <v>5</v>
          </cell>
          <cell r="T1350">
            <v>1.3</v>
          </cell>
          <cell r="U1350">
            <v>0.8</v>
          </cell>
          <cell r="V1350">
            <v>3</v>
          </cell>
          <cell r="W1350">
            <v>1</v>
          </cell>
          <cell r="X1350">
            <v>60</v>
          </cell>
          <cell r="Y1350">
            <v>1.7</v>
          </cell>
          <cell r="Z1350">
            <v>1.4</v>
          </cell>
          <cell r="AA1350">
            <v>1</v>
          </cell>
          <cell r="AB1350">
            <v>0</v>
          </cell>
        </row>
        <row r="1351">
          <cell r="A1351">
            <v>1525</v>
          </cell>
          <cell r="B1351" t="str">
            <v>white01</v>
          </cell>
          <cell r="C1351">
            <v>5</v>
          </cell>
          <cell r="D1351" t="str">
            <v>red</v>
          </cell>
          <cell r="E1351">
            <v>1</v>
          </cell>
          <cell r="F1351">
            <v>1.02</v>
          </cell>
          <cell r="G1351">
            <v>1</v>
          </cell>
          <cell r="H1351" t="str">
            <v>attack</v>
          </cell>
          <cell r="I1351" t="str">
            <v>攻撃タイプ</v>
          </cell>
          <cell r="J1351">
            <v>1</v>
          </cell>
          <cell r="K1351">
            <v>1.33</v>
          </cell>
          <cell r="L1351">
            <v>1</v>
          </cell>
          <cell r="M1351" t="str">
            <v>animal</v>
          </cell>
          <cell r="N1351" t="str">
            <v>アニマル</v>
          </cell>
          <cell r="O1351">
            <v>1</v>
          </cell>
          <cell r="P1351">
            <v>1.1000000000000001</v>
          </cell>
          <cell r="Q1351">
            <v>1</v>
          </cell>
          <cell r="R1351" t="str">
            <v>Boss</v>
          </cell>
          <cell r="S1351">
            <v>5</v>
          </cell>
          <cell r="T1351">
            <v>1.3</v>
          </cell>
          <cell r="U1351">
            <v>0.8</v>
          </cell>
          <cell r="V1351">
            <v>3</v>
          </cell>
          <cell r="W1351">
            <v>1</v>
          </cell>
          <cell r="X1351">
            <v>60</v>
          </cell>
          <cell r="Y1351">
            <v>1.7</v>
          </cell>
          <cell r="Z1351">
            <v>1.4</v>
          </cell>
          <cell r="AA1351">
            <v>1</v>
          </cell>
          <cell r="AB1351">
            <v>0</v>
          </cell>
        </row>
        <row r="1352">
          <cell r="A1352">
            <v>1526</v>
          </cell>
          <cell r="B1352" t="str">
            <v>white02</v>
          </cell>
          <cell r="C1352">
            <v>6</v>
          </cell>
          <cell r="D1352" t="str">
            <v>red</v>
          </cell>
          <cell r="E1352">
            <v>1</v>
          </cell>
          <cell r="F1352">
            <v>1.02</v>
          </cell>
          <cell r="G1352">
            <v>1</v>
          </cell>
          <cell r="H1352" t="str">
            <v>attack</v>
          </cell>
          <cell r="I1352" t="str">
            <v>攻撃タイプ</v>
          </cell>
          <cell r="J1352">
            <v>1</v>
          </cell>
          <cell r="K1352">
            <v>1.33</v>
          </cell>
          <cell r="L1352">
            <v>1</v>
          </cell>
          <cell r="M1352" t="str">
            <v>animal</v>
          </cell>
          <cell r="N1352" t="str">
            <v>アニマル</v>
          </cell>
          <cell r="O1352">
            <v>1</v>
          </cell>
          <cell r="P1352">
            <v>1.1000000000000001</v>
          </cell>
          <cell r="Q1352">
            <v>1</v>
          </cell>
          <cell r="R1352" t="str">
            <v>Boss</v>
          </cell>
          <cell r="S1352">
            <v>5</v>
          </cell>
          <cell r="T1352">
            <v>1.3</v>
          </cell>
          <cell r="U1352">
            <v>0.8</v>
          </cell>
          <cell r="V1352">
            <v>3</v>
          </cell>
          <cell r="W1352">
            <v>1</v>
          </cell>
          <cell r="X1352">
            <v>60</v>
          </cell>
          <cell r="Y1352">
            <v>1.7</v>
          </cell>
          <cell r="Z1352">
            <v>1.4</v>
          </cell>
          <cell r="AA1352">
            <v>1</v>
          </cell>
          <cell r="AB1352">
            <v>0</v>
          </cell>
        </row>
        <row r="1353">
          <cell r="A1353">
            <v>5001</v>
          </cell>
          <cell r="B1353" t="str">
            <v>ガルーダ</v>
          </cell>
          <cell r="C1353">
            <v>5</v>
          </cell>
          <cell r="D1353" t="str">
            <v>red</v>
          </cell>
          <cell r="E1353">
            <v>1</v>
          </cell>
          <cell r="F1353">
            <v>1.02</v>
          </cell>
          <cell r="G1353">
            <v>1</v>
          </cell>
          <cell r="H1353" t="str">
            <v>attack</v>
          </cell>
          <cell r="I1353" t="str">
            <v>攻撃タイプ</v>
          </cell>
          <cell r="J1353">
            <v>1</v>
          </cell>
          <cell r="K1353">
            <v>1.33</v>
          </cell>
          <cell r="L1353">
            <v>1</v>
          </cell>
          <cell r="M1353" t="str">
            <v>god</v>
          </cell>
          <cell r="N1353" t="str">
            <v>ゴッド</v>
          </cell>
          <cell r="O1353">
            <v>0.96</v>
          </cell>
          <cell r="P1353">
            <v>1.02</v>
          </cell>
          <cell r="Q1353">
            <v>1</v>
          </cell>
          <cell r="R1353" t="str">
            <v>Boss</v>
          </cell>
          <cell r="S1353">
            <v>5</v>
          </cell>
          <cell r="T1353">
            <v>1.3</v>
          </cell>
          <cell r="U1353">
            <v>0.8</v>
          </cell>
          <cell r="V1353">
            <v>3</v>
          </cell>
          <cell r="W1353">
            <v>1</v>
          </cell>
          <cell r="X1353">
            <v>60</v>
          </cell>
          <cell r="Y1353">
            <v>1.7</v>
          </cell>
          <cell r="Z1353">
            <v>1.4</v>
          </cell>
          <cell r="AA1353">
            <v>1</v>
          </cell>
          <cell r="AB1353">
            <v>0</v>
          </cell>
        </row>
        <row r="1354">
          <cell r="A1354">
            <v>5002</v>
          </cell>
          <cell r="B1354" t="str">
            <v>ガルーダ★６</v>
          </cell>
          <cell r="C1354">
            <v>6</v>
          </cell>
          <cell r="D1354" t="str">
            <v>red</v>
          </cell>
          <cell r="E1354">
            <v>1</v>
          </cell>
          <cell r="F1354">
            <v>1.02</v>
          </cell>
          <cell r="G1354">
            <v>1</v>
          </cell>
          <cell r="H1354" t="str">
            <v>attack</v>
          </cell>
          <cell r="I1354" t="str">
            <v>攻撃タイプ</v>
          </cell>
          <cell r="J1354">
            <v>1</v>
          </cell>
          <cell r="K1354">
            <v>1.33</v>
          </cell>
          <cell r="L1354">
            <v>1</v>
          </cell>
          <cell r="M1354" t="str">
            <v>god</v>
          </cell>
          <cell r="N1354" t="str">
            <v>ゴッド</v>
          </cell>
          <cell r="O1354">
            <v>0.96</v>
          </cell>
          <cell r="P1354">
            <v>1.02</v>
          </cell>
          <cell r="Q1354">
            <v>1</v>
          </cell>
          <cell r="R1354" t="str">
            <v>Boss</v>
          </cell>
          <cell r="S1354">
            <v>5</v>
          </cell>
          <cell r="T1354">
            <v>1.3</v>
          </cell>
          <cell r="U1354">
            <v>0.8</v>
          </cell>
          <cell r="V1354">
            <v>3</v>
          </cell>
          <cell r="W1354">
            <v>1</v>
          </cell>
          <cell r="X1354">
            <v>60</v>
          </cell>
          <cell r="Y1354">
            <v>1.7</v>
          </cell>
          <cell r="Z1354">
            <v>1.4</v>
          </cell>
          <cell r="AA1354">
            <v>1</v>
          </cell>
          <cell r="AB1354">
            <v>0</v>
          </cell>
        </row>
        <row r="1355">
          <cell r="A1355">
            <v>5003</v>
          </cell>
          <cell r="B1355" t="str">
            <v>ナーガ</v>
          </cell>
          <cell r="C1355">
            <v>5</v>
          </cell>
          <cell r="D1355" t="str">
            <v>green</v>
          </cell>
          <cell r="E1355">
            <v>1.02</v>
          </cell>
          <cell r="F1355">
            <v>0.98</v>
          </cell>
          <cell r="G1355">
            <v>1</v>
          </cell>
          <cell r="H1355" t="str">
            <v>technical</v>
          </cell>
          <cell r="I1355" t="str">
            <v>テクニカルタイプ</v>
          </cell>
          <cell r="J1355">
            <v>0.9</v>
          </cell>
          <cell r="K1355">
            <v>0.9</v>
          </cell>
          <cell r="L1355">
            <v>1</v>
          </cell>
          <cell r="M1355" t="str">
            <v>animal</v>
          </cell>
          <cell r="N1355" t="str">
            <v>アニマル</v>
          </cell>
          <cell r="O1355">
            <v>1</v>
          </cell>
          <cell r="P1355">
            <v>1.1000000000000001</v>
          </cell>
          <cell r="Q1355">
            <v>1</v>
          </cell>
          <cell r="R1355" t="str">
            <v>Boss</v>
          </cell>
          <cell r="S1355">
            <v>5</v>
          </cell>
          <cell r="T1355">
            <v>1.3</v>
          </cell>
          <cell r="U1355">
            <v>0.8</v>
          </cell>
          <cell r="V1355">
            <v>3</v>
          </cell>
          <cell r="W1355">
            <v>1</v>
          </cell>
          <cell r="X1355">
            <v>60</v>
          </cell>
          <cell r="Y1355">
            <v>1.7</v>
          </cell>
          <cell r="Z1355">
            <v>1.4</v>
          </cell>
          <cell r="AA1355">
            <v>1</v>
          </cell>
          <cell r="AB1355">
            <v>0</v>
          </cell>
        </row>
        <row r="1356">
          <cell r="A1356">
            <v>5004</v>
          </cell>
          <cell r="B1356" t="str">
            <v>ナーガ★６</v>
          </cell>
          <cell r="C1356">
            <v>6</v>
          </cell>
          <cell r="D1356" t="str">
            <v>green</v>
          </cell>
          <cell r="E1356">
            <v>1.02</v>
          </cell>
          <cell r="F1356">
            <v>0.98</v>
          </cell>
          <cell r="G1356">
            <v>1</v>
          </cell>
          <cell r="H1356" t="str">
            <v>technical</v>
          </cell>
          <cell r="I1356" t="str">
            <v>テクニカルタイプ</v>
          </cell>
          <cell r="J1356">
            <v>0.9</v>
          </cell>
          <cell r="K1356">
            <v>0.9</v>
          </cell>
          <cell r="L1356">
            <v>1</v>
          </cell>
          <cell r="M1356" t="str">
            <v>animal</v>
          </cell>
          <cell r="N1356" t="str">
            <v>アニマル</v>
          </cell>
          <cell r="O1356">
            <v>1</v>
          </cell>
          <cell r="P1356">
            <v>1.1000000000000001</v>
          </cell>
          <cell r="Q1356">
            <v>1</v>
          </cell>
          <cell r="R1356" t="str">
            <v>Boss</v>
          </cell>
          <cell r="S1356">
            <v>5</v>
          </cell>
          <cell r="T1356">
            <v>1.3</v>
          </cell>
          <cell r="U1356">
            <v>0.8</v>
          </cell>
          <cell r="V1356">
            <v>3</v>
          </cell>
          <cell r="W1356">
            <v>1</v>
          </cell>
          <cell r="X1356">
            <v>60</v>
          </cell>
          <cell r="Y1356">
            <v>1.7</v>
          </cell>
          <cell r="Z1356">
            <v>1.4</v>
          </cell>
          <cell r="AA1356">
            <v>1</v>
          </cell>
          <cell r="AB1356">
            <v>0</v>
          </cell>
        </row>
        <row r="1357">
          <cell r="A1357">
            <v>5005</v>
          </cell>
          <cell r="B1357" t="str">
            <v>カーミラ</v>
          </cell>
          <cell r="C1357">
            <v>5</v>
          </cell>
          <cell r="D1357" t="str">
            <v>green</v>
          </cell>
          <cell r="E1357">
            <v>1.02</v>
          </cell>
          <cell r="F1357">
            <v>0.98</v>
          </cell>
          <cell r="G1357">
            <v>1</v>
          </cell>
          <cell r="H1357" t="str">
            <v>balance</v>
          </cell>
          <cell r="I1357" t="str">
            <v>バランスタイプ</v>
          </cell>
          <cell r="J1357">
            <v>1</v>
          </cell>
          <cell r="K1357">
            <v>1</v>
          </cell>
          <cell r="L1357">
            <v>1</v>
          </cell>
          <cell r="M1357" t="str">
            <v>demon</v>
          </cell>
          <cell r="N1357" t="str">
            <v>デーモン</v>
          </cell>
          <cell r="O1357">
            <v>1</v>
          </cell>
          <cell r="P1357">
            <v>1</v>
          </cell>
          <cell r="Q1357">
            <v>1</v>
          </cell>
          <cell r="R1357" t="str">
            <v>Boss</v>
          </cell>
          <cell r="S1357">
            <v>5</v>
          </cell>
          <cell r="T1357">
            <v>1.3</v>
          </cell>
          <cell r="U1357">
            <v>0.8</v>
          </cell>
          <cell r="V1357">
            <v>3</v>
          </cell>
          <cell r="W1357">
            <v>1</v>
          </cell>
          <cell r="X1357">
            <v>60</v>
          </cell>
          <cell r="Y1357">
            <v>1.7</v>
          </cell>
          <cell r="Z1357">
            <v>1.4</v>
          </cell>
          <cell r="AA1357">
            <v>1</v>
          </cell>
          <cell r="AB1357">
            <v>0</v>
          </cell>
        </row>
        <row r="1358">
          <cell r="A1358">
            <v>5006</v>
          </cell>
          <cell r="B1358" t="str">
            <v>カーミラ★６</v>
          </cell>
          <cell r="C1358">
            <v>6</v>
          </cell>
          <cell r="D1358" t="str">
            <v>green</v>
          </cell>
          <cell r="E1358">
            <v>1.02</v>
          </cell>
          <cell r="F1358">
            <v>0.98</v>
          </cell>
          <cell r="G1358">
            <v>1</v>
          </cell>
          <cell r="H1358" t="str">
            <v>balance</v>
          </cell>
          <cell r="I1358" t="str">
            <v>バランスタイプ</v>
          </cell>
          <cell r="J1358">
            <v>1</v>
          </cell>
          <cell r="K1358">
            <v>1</v>
          </cell>
          <cell r="L1358">
            <v>1</v>
          </cell>
          <cell r="M1358" t="str">
            <v>demon</v>
          </cell>
          <cell r="N1358" t="str">
            <v>デーモン</v>
          </cell>
          <cell r="O1358">
            <v>1</v>
          </cell>
          <cell r="P1358">
            <v>1</v>
          </cell>
          <cell r="Q1358">
            <v>1</v>
          </cell>
          <cell r="R1358" t="str">
            <v>Boss</v>
          </cell>
          <cell r="S1358">
            <v>5</v>
          </cell>
          <cell r="T1358">
            <v>1.3</v>
          </cell>
          <cell r="U1358">
            <v>0.8</v>
          </cell>
          <cell r="V1358">
            <v>3</v>
          </cell>
          <cell r="W1358">
            <v>1</v>
          </cell>
          <cell r="X1358">
            <v>60</v>
          </cell>
          <cell r="Y1358">
            <v>1.7</v>
          </cell>
          <cell r="Z1358">
            <v>1.4</v>
          </cell>
          <cell r="AA1358">
            <v>1</v>
          </cell>
          <cell r="AB1358">
            <v>0</v>
          </cell>
        </row>
        <row r="1359">
          <cell r="A1359">
            <v>5007</v>
          </cell>
          <cell r="B1359" t="str">
            <v>ヘルシング</v>
          </cell>
          <cell r="C1359">
            <v>5</v>
          </cell>
          <cell r="D1359" t="str">
            <v>yellow</v>
          </cell>
          <cell r="E1359">
            <v>0.98</v>
          </cell>
          <cell r="F1359">
            <v>1.01</v>
          </cell>
          <cell r="G1359">
            <v>1</v>
          </cell>
          <cell r="H1359" t="str">
            <v>technical</v>
          </cell>
          <cell r="I1359" t="str">
            <v>テクニカルタイプ</v>
          </cell>
          <cell r="J1359">
            <v>0.9</v>
          </cell>
          <cell r="K1359">
            <v>0.9</v>
          </cell>
          <cell r="L1359">
            <v>1</v>
          </cell>
          <cell r="M1359" t="str">
            <v>human</v>
          </cell>
          <cell r="N1359" t="str">
            <v>ヒューマン</v>
          </cell>
          <cell r="O1359">
            <v>0.94</v>
          </cell>
          <cell r="P1359">
            <v>0.99</v>
          </cell>
          <cell r="Q1359">
            <v>1</v>
          </cell>
          <cell r="R1359" t="str">
            <v>Boss</v>
          </cell>
          <cell r="S1359">
            <v>5</v>
          </cell>
          <cell r="T1359">
            <v>1.3</v>
          </cell>
          <cell r="U1359">
            <v>0.8</v>
          </cell>
          <cell r="V1359">
            <v>3</v>
          </cell>
          <cell r="W1359">
            <v>1</v>
          </cell>
          <cell r="X1359">
            <v>60</v>
          </cell>
          <cell r="Y1359">
            <v>1.7</v>
          </cell>
          <cell r="Z1359">
            <v>1.4</v>
          </cell>
          <cell r="AA1359">
            <v>1</v>
          </cell>
          <cell r="AB1359">
            <v>0</v>
          </cell>
        </row>
        <row r="1360">
          <cell r="A1360">
            <v>5008</v>
          </cell>
          <cell r="B1360" t="str">
            <v>ヘルシング★６</v>
          </cell>
          <cell r="C1360">
            <v>6</v>
          </cell>
          <cell r="D1360" t="str">
            <v>yellow</v>
          </cell>
          <cell r="E1360">
            <v>0.98</v>
          </cell>
          <cell r="F1360">
            <v>1.01</v>
          </cell>
          <cell r="G1360">
            <v>1</v>
          </cell>
          <cell r="H1360" t="str">
            <v>technical</v>
          </cell>
          <cell r="I1360" t="str">
            <v>テクニカルタイプ</v>
          </cell>
          <cell r="J1360">
            <v>0.9</v>
          </cell>
          <cell r="K1360">
            <v>0.9</v>
          </cell>
          <cell r="L1360">
            <v>1</v>
          </cell>
          <cell r="M1360" t="str">
            <v>human</v>
          </cell>
          <cell r="N1360" t="str">
            <v>ヒューマン</v>
          </cell>
          <cell r="O1360">
            <v>0.94</v>
          </cell>
          <cell r="P1360">
            <v>0.99</v>
          </cell>
          <cell r="Q1360">
            <v>1</v>
          </cell>
          <cell r="R1360" t="str">
            <v>Boss</v>
          </cell>
          <cell r="S1360">
            <v>5</v>
          </cell>
          <cell r="T1360">
            <v>1.3</v>
          </cell>
          <cell r="U1360">
            <v>0.8</v>
          </cell>
          <cell r="V1360">
            <v>3</v>
          </cell>
          <cell r="W1360">
            <v>1</v>
          </cell>
          <cell r="X1360">
            <v>60</v>
          </cell>
          <cell r="Y1360">
            <v>1.7</v>
          </cell>
          <cell r="Z1360">
            <v>1.4</v>
          </cell>
          <cell r="AA1360">
            <v>1</v>
          </cell>
          <cell r="AB1360">
            <v>0</v>
          </cell>
        </row>
        <row r="1361">
          <cell r="A1361">
            <v>6001</v>
          </cell>
          <cell r="B1361" t="str">
            <v>ジェリー</v>
          </cell>
          <cell r="C1361">
            <v>1</v>
          </cell>
          <cell r="D1361" t="str">
            <v>red</v>
          </cell>
          <cell r="E1361">
            <v>1</v>
          </cell>
          <cell r="F1361">
            <v>1.02</v>
          </cell>
          <cell r="G1361">
            <v>1</v>
          </cell>
          <cell r="H1361" t="str">
            <v>ra</v>
          </cell>
          <cell r="I1361" t="str">
            <v>ラグランジュチャレンジ</v>
          </cell>
          <cell r="J1361">
            <v>1</v>
          </cell>
          <cell r="K1361">
            <v>1</v>
          </cell>
          <cell r="L1361">
            <v>1</v>
          </cell>
          <cell r="M1361" t="str">
            <v>unknown</v>
          </cell>
          <cell r="N1361" t="str">
            <v>Unknown</v>
          </cell>
          <cell r="O1361">
            <v>1</v>
          </cell>
          <cell r="P1361">
            <v>1</v>
          </cell>
          <cell r="Q1361">
            <v>1</v>
          </cell>
          <cell r="R1361" t="str">
            <v>Boss</v>
          </cell>
          <cell r="S1361">
            <v>5</v>
          </cell>
          <cell r="T1361">
            <v>1.3</v>
          </cell>
          <cell r="U1361">
            <v>0.8</v>
          </cell>
          <cell r="V1361">
            <v>3</v>
          </cell>
          <cell r="W1361">
            <v>1</v>
          </cell>
          <cell r="X1361">
            <v>15</v>
          </cell>
          <cell r="Y1361">
            <v>1</v>
          </cell>
          <cell r="Z1361">
            <v>1</v>
          </cell>
          <cell r="AA1361">
            <v>1</v>
          </cell>
          <cell r="AB1361">
            <v>0</v>
          </cell>
        </row>
        <row r="1362">
          <cell r="A1362">
            <v>6002</v>
          </cell>
          <cell r="B1362" t="str">
            <v>ヨシタカ</v>
          </cell>
          <cell r="C1362">
            <v>2</v>
          </cell>
          <cell r="D1362" t="str">
            <v>red</v>
          </cell>
          <cell r="E1362">
            <v>1</v>
          </cell>
          <cell r="F1362">
            <v>1.02</v>
          </cell>
          <cell r="G1362">
            <v>1</v>
          </cell>
          <cell r="H1362" t="str">
            <v>ra</v>
          </cell>
          <cell r="I1362" t="str">
            <v>ラグランジュチャレンジ</v>
          </cell>
          <cell r="J1362">
            <v>1</v>
          </cell>
          <cell r="K1362">
            <v>1</v>
          </cell>
          <cell r="L1362">
            <v>1</v>
          </cell>
          <cell r="M1362" t="str">
            <v>human</v>
          </cell>
          <cell r="N1362" t="str">
            <v>ヒューマン</v>
          </cell>
          <cell r="O1362">
            <v>0.94</v>
          </cell>
          <cell r="P1362">
            <v>0.99</v>
          </cell>
          <cell r="Q1362">
            <v>1</v>
          </cell>
          <cell r="R1362" t="str">
            <v>Boss</v>
          </cell>
          <cell r="S1362">
            <v>5</v>
          </cell>
          <cell r="T1362">
            <v>1.3</v>
          </cell>
          <cell r="U1362">
            <v>0.8</v>
          </cell>
          <cell r="V1362">
            <v>3</v>
          </cell>
          <cell r="W1362">
            <v>1</v>
          </cell>
          <cell r="X1362">
            <v>15</v>
          </cell>
          <cell r="Y1362">
            <v>1</v>
          </cell>
          <cell r="Z1362">
            <v>1</v>
          </cell>
          <cell r="AA1362">
            <v>1</v>
          </cell>
          <cell r="AB1362">
            <v>0</v>
          </cell>
        </row>
        <row r="1363">
          <cell r="A1363">
            <v>6003</v>
          </cell>
          <cell r="B1363" t="str">
            <v>朱雀</v>
          </cell>
          <cell r="C1363">
            <v>3</v>
          </cell>
          <cell r="D1363" t="str">
            <v>red</v>
          </cell>
          <cell r="E1363">
            <v>1</v>
          </cell>
          <cell r="F1363">
            <v>1.02</v>
          </cell>
          <cell r="G1363">
            <v>1</v>
          </cell>
          <cell r="H1363" t="str">
            <v>ra</v>
          </cell>
          <cell r="I1363" t="str">
            <v>ラグランジュチャレンジ</v>
          </cell>
          <cell r="J1363">
            <v>1</v>
          </cell>
          <cell r="K1363">
            <v>1</v>
          </cell>
          <cell r="L1363">
            <v>1</v>
          </cell>
          <cell r="M1363" t="str">
            <v>animal</v>
          </cell>
          <cell r="N1363" t="str">
            <v>アニマル</v>
          </cell>
          <cell r="O1363">
            <v>1</v>
          </cell>
          <cell r="P1363">
            <v>1.1000000000000001</v>
          </cell>
          <cell r="Q1363">
            <v>1</v>
          </cell>
          <cell r="R1363" t="str">
            <v>Boss</v>
          </cell>
          <cell r="S1363">
            <v>5</v>
          </cell>
          <cell r="T1363">
            <v>1.3</v>
          </cell>
          <cell r="U1363">
            <v>0.8</v>
          </cell>
          <cell r="V1363">
            <v>3</v>
          </cell>
          <cell r="W1363">
            <v>1</v>
          </cell>
          <cell r="X1363">
            <v>25</v>
          </cell>
          <cell r="Y1363">
            <v>1.2</v>
          </cell>
          <cell r="Z1363">
            <v>1.25</v>
          </cell>
          <cell r="AA1363">
            <v>1.1499999999999999</v>
          </cell>
          <cell r="AB1363">
            <v>0</v>
          </cell>
        </row>
        <row r="1364">
          <cell r="A1364">
            <v>6004</v>
          </cell>
          <cell r="B1364" t="str">
            <v>ブレット</v>
          </cell>
          <cell r="C1364">
            <v>1</v>
          </cell>
          <cell r="D1364" t="str">
            <v>red</v>
          </cell>
          <cell r="E1364">
            <v>1</v>
          </cell>
          <cell r="F1364">
            <v>1.02</v>
          </cell>
          <cell r="G1364">
            <v>1</v>
          </cell>
          <cell r="H1364" t="str">
            <v>ra</v>
          </cell>
          <cell r="I1364" t="str">
            <v>ラグランジュチャレンジ</v>
          </cell>
          <cell r="J1364">
            <v>1</v>
          </cell>
          <cell r="K1364">
            <v>1</v>
          </cell>
          <cell r="L1364">
            <v>1</v>
          </cell>
          <cell r="M1364" t="str">
            <v>animal</v>
          </cell>
          <cell r="N1364" t="str">
            <v>アニマル</v>
          </cell>
          <cell r="O1364">
            <v>1</v>
          </cell>
          <cell r="P1364">
            <v>1.1000000000000001</v>
          </cell>
          <cell r="Q1364">
            <v>1</v>
          </cell>
          <cell r="R1364" t="str">
            <v>Boss</v>
          </cell>
          <cell r="S1364">
            <v>5</v>
          </cell>
          <cell r="T1364">
            <v>1.3</v>
          </cell>
          <cell r="U1364">
            <v>0.8</v>
          </cell>
          <cell r="V1364">
            <v>3</v>
          </cell>
          <cell r="W1364">
            <v>1</v>
          </cell>
          <cell r="X1364">
            <v>15</v>
          </cell>
          <cell r="Y1364">
            <v>1</v>
          </cell>
          <cell r="Z1364">
            <v>1</v>
          </cell>
          <cell r="AA1364">
            <v>1</v>
          </cell>
          <cell r="AB1364">
            <v>0</v>
          </cell>
        </row>
        <row r="1365">
          <cell r="A1365">
            <v>6005</v>
          </cell>
          <cell r="B1365" t="str">
            <v>孤神 テティス</v>
          </cell>
          <cell r="C1365">
            <v>4</v>
          </cell>
          <cell r="D1365" t="str">
            <v>blue</v>
          </cell>
          <cell r="E1365">
            <v>1</v>
          </cell>
          <cell r="F1365">
            <v>0.98</v>
          </cell>
          <cell r="G1365">
            <v>1</v>
          </cell>
          <cell r="H1365" t="str">
            <v>ra</v>
          </cell>
          <cell r="I1365" t="str">
            <v>ラグランジュチャレンジ</v>
          </cell>
          <cell r="J1365">
            <v>1</v>
          </cell>
          <cell r="K1365">
            <v>1</v>
          </cell>
          <cell r="L1365">
            <v>1</v>
          </cell>
          <cell r="M1365" t="str">
            <v>god</v>
          </cell>
          <cell r="N1365" t="str">
            <v>ゴッド</v>
          </cell>
          <cell r="O1365">
            <v>0.96</v>
          </cell>
          <cell r="P1365">
            <v>1.02</v>
          </cell>
          <cell r="Q1365">
            <v>1</v>
          </cell>
          <cell r="R1365" t="str">
            <v>Boss</v>
          </cell>
          <cell r="S1365">
            <v>5</v>
          </cell>
          <cell r="T1365">
            <v>1.3</v>
          </cell>
          <cell r="U1365">
            <v>0.8</v>
          </cell>
          <cell r="V1365">
            <v>3</v>
          </cell>
          <cell r="W1365">
            <v>1</v>
          </cell>
          <cell r="X1365">
            <v>30</v>
          </cell>
          <cell r="Y1365">
            <v>1.3</v>
          </cell>
          <cell r="Z1365">
            <v>1.3</v>
          </cell>
          <cell r="AA1365">
            <v>1.1000000000000001</v>
          </cell>
          <cell r="AB1365">
            <v>0</v>
          </cell>
        </row>
        <row r="1366">
          <cell r="A1366">
            <v>6006</v>
          </cell>
          <cell r="B1366" t="str">
            <v>海底の孤高神 テティス</v>
          </cell>
          <cell r="C1366">
            <v>5</v>
          </cell>
          <cell r="D1366" t="str">
            <v>blue</v>
          </cell>
          <cell r="E1366">
            <v>1</v>
          </cell>
          <cell r="F1366">
            <v>0.98</v>
          </cell>
          <cell r="G1366">
            <v>1</v>
          </cell>
          <cell r="H1366" t="str">
            <v>ra</v>
          </cell>
          <cell r="I1366" t="str">
            <v>ラグランジュチャレンジ</v>
          </cell>
          <cell r="J1366">
            <v>1</v>
          </cell>
          <cell r="K1366">
            <v>1</v>
          </cell>
          <cell r="L1366">
            <v>1</v>
          </cell>
          <cell r="M1366" t="str">
            <v>god</v>
          </cell>
          <cell r="N1366" t="str">
            <v>ゴッド</v>
          </cell>
          <cell r="O1366">
            <v>0.96</v>
          </cell>
          <cell r="P1366">
            <v>1.02</v>
          </cell>
          <cell r="Q1366">
            <v>1</v>
          </cell>
          <cell r="R1366" t="str">
            <v>Boss</v>
          </cell>
          <cell r="S1366">
            <v>5</v>
          </cell>
          <cell r="T1366">
            <v>1.3</v>
          </cell>
          <cell r="U1366">
            <v>0.8</v>
          </cell>
          <cell r="V1366">
            <v>3</v>
          </cell>
          <cell r="W1366">
            <v>1</v>
          </cell>
          <cell r="X1366">
            <v>60</v>
          </cell>
          <cell r="Y1366">
            <v>1.7</v>
          </cell>
          <cell r="Z1366">
            <v>1.4</v>
          </cell>
          <cell r="AA1366">
            <v>1</v>
          </cell>
          <cell r="AB1366">
            <v>0</v>
          </cell>
        </row>
        <row r="1367">
          <cell r="A1367">
            <v>6007</v>
          </cell>
          <cell r="B1367" t="str">
            <v>番犬 ケルベロス</v>
          </cell>
          <cell r="C1367">
            <v>4</v>
          </cell>
          <cell r="D1367" t="str">
            <v>red</v>
          </cell>
          <cell r="E1367">
            <v>1</v>
          </cell>
          <cell r="F1367">
            <v>1.02</v>
          </cell>
          <cell r="G1367">
            <v>1</v>
          </cell>
          <cell r="H1367" t="str">
            <v>ra</v>
          </cell>
          <cell r="I1367" t="str">
            <v>ラグランジュチャレンジ</v>
          </cell>
          <cell r="J1367">
            <v>1</v>
          </cell>
          <cell r="K1367">
            <v>1</v>
          </cell>
          <cell r="L1367">
            <v>1</v>
          </cell>
          <cell r="M1367" t="str">
            <v>animal</v>
          </cell>
          <cell r="N1367" t="str">
            <v>アニマル</v>
          </cell>
          <cell r="O1367">
            <v>1</v>
          </cell>
          <cell r="P1367">
            <v>1.1000000000000001</v>
          </cell>
          <cell r="Q1367">
            <v>1</v>
          </cell>
          <cell r="R1367" t="str">
            <v>Boss</v>
          </cell>
          <cell r="S1367">
            <v>5</v>
          </cell>
          <cell r="T1367">
            <v>1.3</v>
          </cell>
          <cell r="U1367">
            <v>0.8</v>
          </cell>
          <cell r="V1367">
            <v>3</v>
          </cell>
          <cell r="W1367">
            <v>1</v>
          </cell>
          <cell r="X1367">
            <v>30</v>
          </cell>
          <cell r="Y1367">
            <v>1.3</v>
          </cell>
          <cell r="Z1367">
            <v>1.3</v>
          </cell>
          <cell r="AA1367">
            <v>1.1000000000000001</v>
          </cell>
          <cell r="AB1367">
            <v>0</v>
          </cell>
        </row>
        <row r="1368">
          <cell r="A1368">
            <v>6008</v>
          </cell>
          <cell r="B1368" t="str">
            <v>焔神 プロメテウス</v>
          </cell>
          <cell r="C1368">
            <v>4</v>
          </cell>
          <cell r="D1368" t="str">
            <v>red</v>
          </cell>
          <cell r="E1368">
            <v>1</v>
          </cell>
          <cell r="F1368">
            <v>1.02</v>
          </cell>
          <cell r="G1368">
            <v>1</v>
          </cell>
          <cell r="H1368" t="str">
            <v>ra</v>
          </cell>
          <cell r="I1368" t="str">
            <v>ラグランジュチャレンジ</v>
          </cell>
          <cell r="J1368">
            <v>1</v>
          </cell>
          <cell r="K1368">
            <v>1</v>
          </cell>
          <cell r="L1368">
            <v>1</v>
          </cell>
          <cell r="M1368" t="str">
            <v>god</v>
          </cell>
          <cell r="N1368" t="str">
            <v>ゴッド</v>
          </cell>
          <cell r="O1368">
            <v>0.96</v>
          </cell>
          <cell r="P1368">
            <v>1.02</v>
          </cell>
          <cell r="Q1368">
            <v>1</v>
          </cell>
          <cell r="R1368" t="str">
            <v>Boss</v>
          </cell>
          <cell r="S1368">
            <v>5</v>
          </cell>
          <cell r="T1368">
            <v>1.3</v>
          </cell>
          <cell r="U1368">
            <v>0.8</v>
          </cell>
          <cell r="V1368">
            <v>3</v>
          </cell>
          <cell r="W1368">
            <v>1</v>
          </cell>
          <cell r="X1368">
            <v>30</v>
          </cell>
          <cell r="Y1368">
            <v>1.3</v>
          </cell>
          <cell r="Z1368">
            <v>1.3</v>
          </cell>
          <cell r="AA1368">
            <v>1.1000000000000001</v>
          </cell>
          <cell r="AB1368">
            <v>0</v>
          </cell>
        </row>
        <row r="1369">
          <cell r="A1369">
            <v>6009</v>
          </cell>
          <cell r="B1369" t="str">
            <v>超越自我 ラグランジュ</v>
          </cell>
          <cell r="C1369">
            <v>5</v>
          </cell>
          <cell r="D1369" t="str">
            <v>red</v>
          </cell>
          <cell r="E1369">
            <v>1</v>
          </cell>
          <cell r="F1369">
            <v>1.02</v>
          </cell>
          <cell r="G1369">
            <v>1</v>
          </cell>
          <cell r="H1369" t="str">
            <v>ra</v>
          </cell>
          <cell r="I1369" t="str">
            <v>ラグランジュチャレンジ</v>
          </cell>
          <cell r="J1369">
            <v>1</v>
          </cell>
          <cell r="K1369">
            <v>1</v>
          </cell>
          <cell r="L1369">
            <v>1</v>
          </cell>
          <cell r="M1369" t="str">
            <v>human</v>
          </cell>
          <cell r="N1369" t="str">
            <v>ヒューマン</v>
          </cell>
          <cell r="O1369">
            <v>0.94</v>
          </cell>
          <cell r="P1369">
            <v>0.99</v>
          </cell>
          <cell r="Q1369">
            <v>1</v>
          </cell>
          <cell r="R1369" t="str">
            <v>Boss</v>
          </cell>
          <cell r="S1369">
            <v>5</v>
          </cell>
          <cell r="T1369">
            <v>1.3</v>
          </cell>
          <cell r="U1369">
            <v>0.8</v>
          </cell>
          <cell r="V1369">
            <v>3</v>
          </cell>
          <cell r="W1369">
            <v>1</v>
          </cell>
          <cell r="X1369">
            <v>60</v>
          </cell>
          <cell r="Y1369">
            <v>1.7</v>
          </cell>
          <cell r="Z1369">
            <v>1.4</v>
          </cell>
          <cell r="AA1369">
            <v>1</v>
          </cell>
          <cell r="AB1369">
            <v>0</v>
          </cell>
        </row>
        <row r="1370">
          <cell r="A1370">
            <v>6010</v>
          </cell>
          <cell r="B1370" t="str">
            <v>超越凌駕 ラグランジュ</v>
          </cell>
          <cell r="C1370">
            <v>6</v>
          </cell>
          <cell r="D1370" t="str">
            <v>red</v>
          </cell>
          <cell r="E1370">
            <v>1</v>
          </cell>
          <cell r="F1370">
            <v>1.02</v>
          </cell>
          <cell r="G1370">
            <v>1</v>
          </cell>
          <cell r="H1370" t="str">
            <v>ra</v>
          </cell>
          <cell r="I1370" t="str">
            <v>ラグランジュチャレンジ</v>
          </cell>
          <cell r="J1370">
            <v>1</v>
          </cell>
          <cell r="K1370">
            <v>1</v>
          </cell>
          <cell r="L1370">
            <v>1</v>
          </cell>
          <cell r="M1370" t="str">
            <v>human</v>
          </cell>
          <cell r="N1370" t="str">
            <v>ヒューマン</v>
          </cell>
          <cell r="O1370">
            <v>0.94</v>
          </cell>
          <cell r="P1370">
            <v>0.99</v>
          </cell>
          <cell r="Q1370">
            <v>1</v>
          </cell>
          <cell r="R1370" t="str">
            <v>Boss</v>
          </cell>
          <cell r="S1370">
            <v>5</v>
          </cell>
          <cell r="T1370">
            <v>1.3</v>
          </cell>
          <cell r="U1370">
            <v>0.8</v>
          </cell>
          <cell r="V1370">
            <v>3</v>
          </cell>
          <cell r="W1370">
            <v>1</v>
          </cell>
          <cell r="X1370">
            <v>60</v>
          </cell>
          <cell r="Y1370">
            <v>1.7</v>
          </cell>
          <cell r="Z1370">
            <v>1.4</v>
          </cell>
          <cell r="AA1370">
            <v>1</v>
          </cell>
          <cell r="AB1370">
            <v>0</v>
          </cell>
        </row>
        <row r="1371">
          <cell r="A1371">
            <v>6011</v>
          </cell>
          <cell r="B1371" t="str">
            <v>パトドッグリーダー ポチ</v>
          </cell>
          <cell r="C1371">
            <v>2</v>
          </cell>
          <cell r="D1371" t="str">
            <v>blue</v>
          </cell>
          <cell r="E1371">
            <v>1</v>
          </cell>
          <cell r="F1371">
            <v>0.98</v>
          </cell>
          <cell r="G1371">
            <v>1</v>
          </cell>
          <cell r="H1371" t="str">
            <v>ra002</v>
          </cell>
          <cell r="I1371" t="str">
            <v>ユークリッドチャレンジ</v>
          </cell>
          <cell r="J1371">
            <v>1</v>
          </cell>
          <cell r="K1371">
            <v>1</v>
          </cell>
          <cell r="L1371">
            <v>1</v>
          </cell>
          <cell r="M1371" t="str">
            <v>unknown</v>
          </cell>
          <cell r="N1371" t="str">
            <v>Unknown</v>
          </cell>
          <cell r="O1371">
            <v>1</v>
          </cell>
          <cell r="P1371">
            <v>1</v>
          </cell>
          <cell r="Q1371">
            <v>1</v>
          </cell>
          <cell r="R1371" t="str">
            <v>Boss</v>
          </cell>
          <cell r="S1371">
            <v>5</v>
          </cell>
          <cell r="T1371">
            <v>1.3</v>
          </cell>
          <cell r="U1371">
            <v>0.8</v>
          </cell>
          <cell r="V1371">
            <v>3</v>
          </cell>
          <cell r="W1371">
            <v>1</v>
          </cell>
          <cell r="X1371">
            <v>15</v>
          </cell>
          <cell r="Y1371">
            <v>1</v>
          </cell>
          <cell r="Z1371">
            <v>1</v>
          </cell>
          <cell r="AA1371">
            <v>1</v>
          </cell>
          <cell r="AB1371">
            <v>0</v>
          </cell>
        </row>
        <row r="1372">
          <cell r="A1372">
            <v>6012</v>
          </cell>
          <cell r="B1372" t="str">
            <v>ミミ</v>
          </cell>
          <cell r="C1372">
            <v>1</v>
          </cell>
          <cell r="D1372" t="str">
            <v>yellow</v>
          </cell>
          <cell r="E1372">
            <v>0.98</v>
          </cell>
          <cell r="F1372">
            <v>1.01</v>
          </cell>
          <cell r="G1372">
            <v>1</v>
          </cell>
          <cell r="H1372" t="str">
            <v>ra002</v>
          </cell>
          <cell r="I1372" t="str">
            <v>ユークリッドチャレンジ</v>
          </cell>
          <cell r="J1372">
            <v>1</v>
          </cell>
          <cell r="K1372">
            <v>1</v>
          </cell>
          <cell r="L1372">
            <v>1</v>
          </cell>
          <cell r="M1372" t="str">
            <v>animal</v>
          </cell>
          <cell r="N1372" t="str">
            <v>アニマル</v>
          </cell>
          <cell r="O1372">
            <v>1</v>
          </cell>
          <cell r="P1372">
            <v>1.1000000000000001</v>
          </cell>
          <cell r="Q1372">
            <v>1</v>
          </cell>
          <cell r="R1372" t="str">
            <v>Boss</v>
          </cell>
          <cell r="S1372">
            <v>5</v>
          </cell>
          <cell r="T1372">
            <v>1.3</v>
          </cell>
          <cell r="U1372">
            <v>0.8</v>
          </cell>
          <cell r="V1372">
            <v>3</v>
          </cell>
          <cell r="W1372">
            <v>1</v>
          </cell>
          <cell r="X1372">
            <v>15</v>
          </cell>
          <cell r="Y1372">
            <v>1</v>
          </cell>
          <cell r="Z1372">
            <v>1</v>
          </cell>
          <cell r="AA1372">
            <v>1</v>
          </cell>
          <cell r="AB1372">
            <v>0</v>
          </cell>
        </row>
        <row r="1373">
          <cell r="A1373">
            <v>6013</v>
          </cell>
          <cell r="B1373" t="str">
            <v>護衛機人 スケアクロウ</v>
          </cell>
          <cell r="C1373">
            <v>2</v>
          </cell>
          <cell r="D1373" t="str">
            <v>blue</v>
          </cell>
          <cell r="E1373">
            <v>1</v>
          </cell>
          <cell r="F1373">
            <v>0.98</v>
          </cell>
          <cell r="G1373">
            <v>1</v>
          </cell>
          <cell r="H1373" t="str">
            <v>ra002</v>
          </cell>
          <cell r="I1373" t="str">
            <v>ユークリッドチャレンジ</v>
          </cell>
          <cell r="J1373">
            <v>1</v>
          </cell>
          <cell r="K1373">
            <v>1</v>
          </cell>
          <cell r="L1373">
            <v>1</v>
          </cell>
          <cell r="M1373" t="str">
            <v>machine</v>
          </cell>
          <cell r="N1373" t="str">
            <v>マシン</v>
          </cell>
          <cell r="O1373">
            <v>1</v>
          </cell>
          <cell r="P1373">
            <v>1</v>
          </cell>
          <cell r="Q1373">
            <v>1</v>
          </cell>
          <cell r="R1373" t="str">
            <v>Boss</v>
          </cell>
          <cell r="S1373">
            <v>5</v>
          </cell>
          <cell r="T1373">
            <v>1.3</v>
          </cell>
          <cell r="U1373">
            <v>0.8</v>
          </cell>
          <cell r="V1373">
            <v>3</v>
          </cell>
          <cell r="W1373">
            <v>1</v>
          </cell>
          <cell r="X1373">
            <v>15</v>
          </cell>
          <cell r="Y1373">
            <v>1</v>
          </cell>
          <cell r="Z1373">
            <v>1</v>
          </cell>
          <cell r="AA1373">
            <v>1</v>
          </cell>
          <cell r="AB1373">
            <v>0</v>
          </cell>
        </row>
        <row r="1374">
          <cell r="A1374">
            <v>6014</v>
          </cell>
          <cell r="B1374" t="str">
            <v>月下の人狼 ローレンス</v>
          </cell>
          <cell r="C1374">
            <v>4</v>
          </cell>
          <cell r="D1374" t="str">
            <v>blue</v>
          </cell>
          <cell r="E1374">
            <v>1</v>
          </cell>
          <cell r="F1374">
            <v>0.98</v>
          </cell>
          <cell r="G1374">
            <v>1</v>
          </cell>
          <cell r="H1374" t="str">
            <v>ra002</v>
          </cell>
          <cell r="I1374" t="str">
            <v>ユークリッドチャレンジ</v>
          </cell>
          <cell r="J1374">
            <v>1</v>
          </cell>
          <cell r="K1374">
            <v>1</v>
          </cell>
          <cell r="L1374">
            <v>1</v>
          </cell>
          <cell r="M1374" t="str">
            <v>animal</v>
          </cell>
          <cell r="N1374" t="str">
            <v>アニマル</v>
          </cell>
          <cell r="O1374">
            <v>1</v>
          </cell>
          <cell r="P1374">
            <v>1.1000000000000001</v>
          </cell>
          <cell r="Q1374">
            <v>1</v>
          </cell>
          <cell r="R1374" t="str">
            <v>Boss</v>
          </cell>
          <cell r="S1374">
            <v>5</v>
          </cell>
          <cell r="T1374">
            <v>1.3</v>
          </cell>
          <cell r="U1374">
            <v>0.8</v>
          </cell>
          <cell r="V1374">
            <v>3</v>
          </cell>
          <cell r="W1374">
            <v>1</v>
          </cell>
          <cell r="X1374">
            <v>30</v>
          </cell>
          <cell r="Y1374">
            <v>1.3</v>
          </cell>
          <cell r="Z1374">
            <v>1.3</v>
          </cell>
          <cell r="AA1374">
            <v>1.1000000000000001</v>
          </cell>
          <cell r="AB1374">
            <v>0</v>
          </cell>
        </row>
        <row r="1375">
          <cell r="A1375">
            <v>6015</v>
          </cell>
          <cell r="B1375" t="str">
            <v>フレイヤ</v>
          </cell>
          <cell r="C1375">
            <v>4</v>
          </cell>
          <cell r="D1375" t="str">
            <v>blue</v>
          </cell>
          <cell r="E1375">
            <v>1</v>
          </cell>
          <cell r="F1375">
            <v>0.98</v>
          </cell>
          <cell r="G1375">
            <v>1</v>
          </cell>
          <cell r="H1375" t="str">
            <v>ra002</v>
          </cell>
          <cell r="I1375" t="str">
            <v>ユークリッドチャレンジ</v>
          </cell>
          <cell r="J1375">
            <v>1</v>
          </cell>
          <cell r="K1375">
            <v>1</v>
          </cell>
          <cell r="L1375">
            <v>1</v>
          </cell>
          <cell r="M1375" t="str">
            <v>animal</v>
          </cell>
          <cell r="N1375" t="str">
            <v>アニマル</v>
          </cell>
          <cell r="O1375">
            <v>1</v>
          </cell>
          <cell r="P1375">
            <v>1.1000000000000001</v>
          </cell>
          <cell r="Q1375">
            <v>1</v>
          </cell>
          <cell r="R1375" t="str">
            <v>Boss</v>
          </cell>
          <cell r="S1375">
            <v>5</v>
          </cell>
          <cell r="T1375">
            <v>1.3</v>
          </cell>
          <cell r="U1375">
            <v>0.8</v>
          </cell>
          <cell r="V1375">
            <v>3</v>
          </cell>
          <cell r="W1375">
            <v>1</v>
          </cell>
          <cell r="X1375">
            <v>30</v>
          </cell>
          <cell r="Y1375">
            <v>1.3</v>
          </cell>
          <cell r="Z1375">
            <v>1.3</v>
          </cell>
          <cell r="AA1375">
            <v>1.1000000000000001</v>
          </cell>
          <cell r="AB1375">
            <v>0</v>
          </cell>
        </row>
        <row r="1376">
          <cell r="A1376">
            <v>6016</v>
          </cell>
          <cell r="B1376" t="str">
            <v>根原論理 ユークリッド</v>
          </cell>
          <cell r="C1376">
            <v>5</v>
          </cell>
          <cell r="D1376" t="str">
            <v>blue</v>
          </cell>
          <cell r="E1376">
            <v>1</v>
          </cell>
          <cell r="F1376">
            <v>0.98</v>
          </cell>
          <cell r="G1376">
            <v>1</v>
          </cell>
          <cell r="H1376" t="str">
            <v>ra002</v>
          </cell>
          <cell r="I1376" t="str">
            <v>ユークリッドチャレンジ</v>
          </cell>
          <cell r="J1376">
            <v>1</v>
          </cell>
          <cell r="K1376">
            <v>1</v>
          </cell>
          <cell r="L1376">
            <v>1</v>
          </cell>
          <cell r="M1376" t="str">
            <v>human</v>
          </cell>
          <cell r="N1376" t="str">
            <v>ヒューマン</v>
          </cell>
          <cell r="O1376">
            <v>0.94</v>
          </cell>
          <cell r="P1376">
            <v>0.99</v>
          </cell>
          <cell r="Q1376">
            <v>1</v>
          </cell>
          <cell r="R1376" t="str">
            <v>Boss</v>
          </cell>
          <cell r="S1376">
            <v>5</v>
          </cell>
          <cell r="T1376">
            <v>1.3</v>
          </cell>
          <cell r="U1376">
            <v>0.8</v>
          </cell>
          <cell r="V1376">
            <v>3</v>
          </cell>
          <cell r="W1376">
            <v>1</v>
          </cell>
          <cell r="X1376">
            <v>60</v>
          </cell>
          <cell r="Y1376">
            <v>1.7</v>
          </cell>
          <cell r="Z1376">
            <v>1.4</v>
          </cell>
          <cell r="AA1376">
            <v>1</v>
          </cell>
          <cell r="AB1376">
            <v>0</v>
          </cell>
        </row>
        <row r="1377">
          <cell r="A1377">
            <v>6017</v>
          </cell>
          <cell r="B1377" t="str">
            <v>不朽の極論 ユークリッド</v>
          </cell>
          <cell r="C1377">
            <v>6</v>
          </cell>
          <cell r="D1377" t="str">
            <v>blue</v>
          </cell>
          <cell r="E1377">
            <v>1</v>
          </cell>
          <cell r="F1377">
            <v>0.98</v>
          </cell>
          <cell r="G1377">
            <v>1</v>
          </cell>
          <cell r="H1377" t="str">
            <v>ra002</v>
          </cell>
          <cell r="I1377" t="str">
            <v>ユークリッドチャレンジ</v>
          </cell>
          <cell r="J1377">
            <v>1</v>
          </cell>
          <cell r="K1377">
            <v>1</v>
          </cell>
          <cell r="L1377">
            <v>1</v>
          </cell>
          <cell r="M1377" t="str">
            <v>human</v>
          </cell>
          <cell r="N1377" t="str">
            <v>ヒューマン</v>
          </cell>
          <cell r="O1377">
            <v>0.94</v>
          </cell>
          <cell r="P1377">
            <v>0.99</v>
          </cell>
          <cell r="Q1377">
            <v>1</v>
          </cell>
          <cell r="R1377" t="str">
            <v>Boss</v>
          </cell>
          <cell r="S1377">
            <v>5</v>
          </cell>
          <cell r="T1377">
            <v>1.3</v>
          </cell>
          <cell r="U1377">
            <v>0.8</v>
          </cell>
          <cell r="V1377">
            <v>3</v>
          </cell>
          <cell r="W1377">
            <v>1</v>
          </cell>
          <cell r="X1377">
            <v>60</v>
          </cell>
          <cell r="Y1377">
            <v>1.7</v>
          </cell>
          <cell r="Z1377">
            <v>1.4</v>
          </cell>
          <cell r="AA1377">
            <v>1</v>
          </cell>
          <cell r="AB1377">
            <v>0</v>
          </cell>
        </row>
        <row r="1378">
          <cell r="A1378">
            <v>6018</v>
          </cell>
          <cell r="B1378" t="str">
            <v>ハヅル</v>
          </cell>
          <cell r="C1378">
            <v>4</v>
          </cell>
          <cell r="D1378" t="str">
            <v>red</v>
          </cell>
          <cell r="E1378">
            <v>1</v>
          </cell>
          <cell r="F1378">
            <v>1.02</v>
          </cell>
          <cell r="G1378">
            <v>1</v>
          </cell>
          <cell r="H1378" t="str">
            <v>ra002</v>
          </cell>
          <cell r="I1378" t="str">
            <v>ユークリッドチャレンジ</v>
          </cell>
          <cell r="J1378">
            <v>1</v>
          </cell>
          <cell r="K1378">
            <v>1</v>
          </cell>
          <cell r="L1378">
            <v>1</v>
          </cell>
          <cell r="M1378" t="str">
            <v>animal</v>
          </cell>
          <cell r="N1378" t="str">
            <v>アニマル</v>
          </cell>
          <cell r="O1378">
            <v>1</v>
          </cell>
          <cell r="P1378">
            <v>1.1000000000000001</v>
          </cell>
          <cell r="Q1378">
            <v>1</v>
          </cell>
          <cell r="R1378" t="str">
            <v>Boss</v>
          </cell>
          <cell r="S1378">
            <v>5</v>
          </cell>
          <cell r="T1378">
            <v>1.3</v>
          </cell>
          <cell r="U1378">
            <v>0.8</v>
          </cell>
          <cell r="V1378">
            <v>3</v>
          </cell>
          <cell r="W1378">
            <v>1</v>
          </cell>
          <cell r="X1378">
            <v>30</v>
          </cell>
          <cell r="Y1378">
            <v>1.3</v>
          </cell>
          <cell r="Z1378">
            <v>1.3</v>
          </cell>
          <cell r="AA1378">
            <v>1.1000000000000001</v>
          </cell>
          <cell r="AB1378">
            <v>0</v>
          </cell>
        </row>
        <row r="1379">
          <cell r="A1379">
            <v>6019</v>
          </cell>
          <cell r="B1379" t="str">
            <v>天織羽鶴 ハヅル</v>
          </cell>
          <cell r="C1379">
            <v>5</v>
          </cell>
          <cell r="D1379" t="str">
            <v>red</v>
          </cell>
          <cell r="E1379">
            <v>1</v>
          </cell>
          <cell r="F1379">
            <v>1.02</v>
          </cell>
          <cell r="G1379">
            <v>1</v>
          </cell>
          <cell r="H1379" t="str">
            <v>ra002</v>
          </cell>
          <cell r="I1379" t="str">
            <v>ユークリッドチャレンジ</v>
          </cell>
          <cell r="J1379">
            <v>1</v>
          </cell>
          <cell r="K1379">
            <v>1</v>
          </cell>
          <cell r="L1379">
            <v>1</v>
          </cell>
          <cell r="M1379" t="str">
            <v>animal</v>
          </cell>
          <cell r="N1379" t="str">
            <v>アニマル</v>
          </cell>
          <cell r="O1379">
            <v>1</v>
          </cell>
          <cell r="P1379">
            <v>1.1000000000000001</v>
          </cell>
          <cell r="Q1379">
            <v>1</v>
          </cell>
          <cell r="R1379" t="str">
            <v>Boss</v>
          </cell>
          <cell r="S1379">
            <v>5</v>
          </cell>
          <cell r="T1379">
            <v>1.3</v>
          </cell>
          <cell r="U1379">
            <v>0.8</v>
          </cell>
          <cell r="V1379">
            <v>3</v>
          </cell>
          <cell r="W1379">
            <v>1</v>
          </cell>
          <cell r="X1379">
            <v>60</v>
          </cell>
          <cell r="Y1379">
            <v>1.7</v>
          </cell>
          <cell r="Z1379">
            <v>1.4</v>
          </cell>
          <cell r="AA1379">
            <v>1</v>
          </cell>
          <cell r="AB1379">
            <v>0</v>
          </cell>
        </row>
        <row r="1380">
          <cell r="A1380">
            <v>6020</v>
          </cell>
          <cell r="B1380" t="str">
            <v>ミズチ</v>
          </cell>
          <cell r="C1380">
            <v>4</v>
          </cell>
          <cell r="D1380" t="str">
            <v>blue</v>
          </cell>
          <cell r="E1380">
            <v>1</v>
          </cell>
          <cell r="F1380">
            <v>0.98</v>
          </cell>
          <cell r="G1380">
            <v>1</v>
          </cell>
          <cell r="H1380" t="str">
            <v>ra002</v>
          </cell>
          <cell r="I1380" t="str">
            <v>ユークリッドチャレンジ</v>
          </cell>
          <cell r="J1380">
            <v>1</v>
          </cell>
          <cell r="K1380">
            <v>1</v>
          </cell>
          <cell r="L1380">
            <v>1</v>
          </cell>
          <cell r="M1380" t="str">
            <v>dragon</v>
          </cell>
          <cell r="N1380" t="str">
            <v>ドラゴン</v>
          </cell>
          <cell r="O1380">
            <v>1.1499999999999999</v>
          </cell>
          <cell r="P1380">
            <v>1.1000000000000001</v>
          </cell>
          <cell r="Q1380">
            <v>1</v>
          </cell>
          <cell r="R1380" t="str">
            <v>Boss</v>
          </cell>
          <cell r="S1380">
            <v>5</v>
          </cell>
          <cell r="T1380">
            <v>1.3</v>
          </cell>
          <cell r="U1380">
            <v>0.8</v>
          </cell>
          <cell r="V1380">
            <v>3</v>
          </cell>
          <cell r="W1380">
            <v>1</v>
          </cell>
          <cell r="X1380">
            <v>30</v>
          </cell>
          <cell r="Y1380">
            <v>1.3</v>
          </cell>
          <cell r="Z1380">
            <v>1.3</v>
          </cell>
          <cell r="AA1380">
            <v>1.1000000000000001</v>
          </cell>
          <cell r="AB1380">
            <v>0</v>
          </cell>
        </row>
        <row r="1381">
          <cell r="A1381">
            <v>8001</v>
          </cell>
          <cell r="B1381" t="str">
            <v>媽祖</v>
          </cell>
          <cell r="C1381">
            <v>5</v>
          </cell>
          <cell r="D1381" t="str">
            <v>yellow</v>
          </cell>
          <cell r="E1381">
            <v>0.98</v>
          </cell>
          <cell r="F1381">
            <v>1.01</v>
          </cell>
          <cell r="G1381">
            <v>1</v>
          </cell>
          <cell r="H1381" t="str">
            <v>attack</v>
          </cell>
          <cell r="I1381" t="str">
            <v>攻撃タイプ</v>
          </cell>
          <cell r="J1381">
            <v>1</v>
          </cell>
          <cell r="K1381">
            <v>1.33</v>
          </cell>
          <cell r="L1381">
            <v>1</v>
          </cell>
          <cell r="M1381" t="str">
            <v>god</v>
          </cell>
          <cell r="N1381" t="str">
            <v>ゴッド</v>
          </cell>
          <cell r="O1381">
            <v>0.96</v>
          </cell>
          <cell r="P1381">
            <v>1.02</v>
          </cell>
          <cell r="Q1381">
            <v>1</v>
          </cell>
          <cell r="R1381" t="str">
            <v>Boss</v>
          </cell>
          <cell r="S1381">
            <v>5</v>
          </cell>
          <cell r="T1381">
            <v>1.3</v>
          </cell>
          <cell r="U1381">
            <v>0.8</v>
          </cell>
          <cell r="V1381">
            <v>3</v>
          </cell>
          <cell r="W1381">
            <v>1</v>
          </cell>
          <cell r="X1381">
            <v>60</v>
          </cell>
          <cell r="Y1381">
            <v>1.1000000000000001</v>
          </cell>
          <cell r="Z1381">
            <v>1.2</v>
          </cell>
          <cell r="AA1381">
            <v>1.2</v>
          </cell>
          <cell r="AB1381">
            <v>0</v>
          </cell>
        </row>
        <row r="1382">
          <cell r="A1382">
            <v>8002</v>
          </cell>
          <cell r="B1382" t="str">
            <v>宣導する天海妃 媽祖</v>
          </cell>
          <cell r="C1382">
            <v>6</v>
          </cell>
          <cell r="D1382" t="str">
            <v>yellow</v>
          </cell>
          <cell r="E1382">
            <v>0.98</v>
          </cell>
          <cell r="F1382">
            <v>1.01</v>
          </cell>
          <cell r="G1382">
            <v>1</v>
          </cell>
          <cell r="H1382" t="str">
            <v>attack</v>
          </cell>
          <cell r="I1382" t="str">
            <v>攻撃タイプ</v>
          </cell>
          <cell r="J1382">
            <v>1</v>
          </cell>
          <cell r="K1382">
            <v>1.33</v>
          </cell>
          <cell r="L1382">
            <v>1</v>
          </cell>
          <cell r="M1382" t="str">
            <v>god</v>
          </cell>
          <cell r="N1382" t="str">
            <v>ゴッド</v>
          </cell>
          <cell r="O1382">
            <v>0.96</v>
          </cell>
          <cell r="P1382">
            <v>1.02</v>
          </cell>
          <cell r="Q1382">
            <v>1</v>
          </cell>
          <cell r="R1382" t="str">
            <v>Boss</v>
          </cell>
          <cell r="S1382">
            <v>5</v>
          </cell>
          <cell r="T1382">
            <v>1.3</v>
          </cell>
          <cell r="U1382">
            <v>0.8</v>
          </cell>
          <cell r="V1382">
            <v>3</v>
          </cell>
          <cell r="W1382">
            <v>1</v>
          </cell>
          <cell r="X1382">
            <v>60</v>
          </cell>
          <cell r="Y1382">
            <v>1.1000000000000001</v>
          </cell>
          <cell r="Z1382">
            <v>1.2</v>
          </cell>
          <cell r="AA1382">
            <v>1.2</v>
          </cell>
          <cell r="AB1382">
            <v>0</v>
          </cell>
        </row>
        <row r="1383">
          <cell r="A1383">
            <v>8003</v>
          </cell>
          <cell r="B1383" t="str">
            <v>蛟龍</v>
          </cell>
          <cell r="C1383">
            <v>5</v>
          </cell>
          <cell r="D1383" t="str">
            <v>blue</v>
          </cell>
          <cell r="E1383">
            <v>1</v>
          </cell>
          <cell r="F1383">
            <v>0.98</v>
          </cell>
          <cell r="G1383">
            <v>1</v>
          </cell>
          <cell r="H1383" t="str">
            <v>hp</v>
          </cell>
          <cell r="I1383" t="str">
            <v>体力タイプ</v>
          </cell>
          <cell r="J1383">
            <v>1.45</v>
          </cell>
          <cell r="K1383">
            <v>0.85</v>
          </cell>
          <cell r="L1383">
            <v>1</v>
          </cell>
          <cell r="M1383" t="str">
            <v>dragon</v>
          </cell>
          <cell r="N1383" t="str">
            <v>ドラゴン</v>
          </cell>
          <cell r="O1383">
            <v>1.1499999999999999</v>
          </cell>
          <cell r="P1383">
            <v>1.1000000000000001</v>
          </cell>
          <cell r="Q1383">
            <v>1</v>
          </cell>
          <cell r="R1383" t="str">
            <v>Boss</v>
          </cell>
          <cell r="S1383">
            <v>5</v>
          </cell>
          <cell r="T1383">
            <v>1.3</v>
          </cell>
          <cell r="U1383">
            <v>0.8</v>
          </cell>
          <cell r="V1383">
            <v>3</v>
          </cell>
          <cell r="W1383">
            <v>1</v>
          </cell>
          <cell r="X1383">
            <v>60</v>
          </cell>
          <cell r="Y1383">
            <v>1.1000000000000001</v>
          </cell>
          <cell r="Z1383">
            <v>1.2</v>
          </cell>
          <cell r="AA1383">
            <v>1.2</v>
          </cell>
          <cell r="AB1383">
            <v>0</v>
          </cell>
        </row>
        <row r="1384">
          <cell r="A1384">
            <v>8004</v>
          </cell>
          <cell r="B1384" t="str">
            <v>呼嵐の蒼棲龍 蛟龍</v>
          </cell>
          <cell r="C1384">
            <v>6</v>
          </cell>
          <cell r="D1384" t="str">
            <v>blue</v>
          </cell>
          <cell r="E1384">
            <v>1</v>
          </cell>
          <cell r="F1384">
            <v>0.98</v>
          </cell>
          <cell r="G1384">
            <v>1</v>
          </cell>
          <cell r="H1384" t="str">
            <v>hp</v>
          </cell>
          <cell r="I1384" t="str">
            <v>体力タイプ</v>
          </cell>
          <cell r="J1384">
            <v>1.45</v>
          </cell>
          <cell r="K1384">
            <v>0.85</v>
          </cell>
          <cell r="L1384">
            <v>1</v>
          </cell>
          <cell r="M1384" t="str">
            <v>dragon</v>
          </cell>
          <cell r="N1384" t="str">
            <v>ドラゴン</v>
          </cell>
          <cell r="O1384">
            <v>1.1499999999999999</v>
          </cell>
          <cell r="P1384">
            <v>1.1000000000000001</v>
          </cell>
          <cell r="Q1384">
            <v>1</v>
          </cell>
          <cell r="R1384" t="str">
            <v>Boss</v>
          </cell>
          <cell r="S1384">
            <v>5</v>
          </cell>
          <cell r="T1384">
            <v>1.3</v>
          </cell>
          <cell r="U1384">
            <v>0.8</v>
          </cell>
          <cell r="V1384">
            <v>3</v>
          </cell>
          <cell r="W1384">
            <v>1</v>
          </cell>
          <cell r="X1384">
            <v>60</v>
          </cell>
          <cell r="Y1384">
            <v>1.1000000000000001</v>
          </cell>
          <cell r="Z1384">
            <v>1.2</v>
          </cell>
          <cell r="AA1384">
            <v>1.2</v>
          </cell>
          <cell r="AB1384">
            <v>0</v>
          </cell>
        </row>
        <row r="1385">
          <cell r="A1385">
            <v>8005</v>
          </cell>
          <cell r="B1385" t="str">
            <v>三蔵法師</v>
          </cell>
          <cell r="C1385">
            <v>5</v>
          </cell>
          <cell r="D1385" t="str">
            <v>blue</v>
          </cell>
          <cell r="E1385">
            <v>1</v>
          </cell>
          <cell r="F1385">
            <v>0.98</v>
          </cell>
          <cell r="G1385">
            <v>1</v>
          </cell>
          <cell r="H1385" t="str">
            <v>balance</v>
          </cell>
          <cell r="I1385" t="str">
            <v>バランスタイプ</v>
          </cell>
          <cell r="J1385">
            <v>1</v>
          </cell>
          <cell r="K1385">
            <v>1</v>
          </cell>
          <cell r="L1385">
            <v>1</v>
          </cell>
          <cell r="M1385" t="str">
            <v>human</v>
          </cell>
          <cell r="N1385" t="str">
            <v>ヒューマン</v>
          </cell>
          <cell r="O1385">
            <v>0.94</v>
          </cell>
          <cell r="P1385">
            <v>0.99</v>
          </cell>
          <cell r="Q1385">
            <v>1</v>
          </cell>
          <cell r="R1385" t="str">
            <v>Boss</v>
          </cell>
          <cell r="S1385">
            <v>5</v>
          </cell>
          <cell r="T1385">
            <v>1.3</v>
          </cell>
          <cell r="U1385">
            <v>0.8</v>
          </cell>
          <cell r="V1385">
            <v>3</v>
          </cell>
          <cell r="W1385">
            <v>1</v>
          </cell>
          <cell r="X1385">
            <v>60</v>
          </cell>
          <cell r="Y1385">
            <v>1.1000000000000001</v>
          </cell>
          <cell r="Z1385">
            <v>1.2</v>
          </cell>
          <cell r="AA1385">
            <v>1.2</v>
          </cell>
          <cell r="AB1385">
            <v>0</v>
          </cell>
        </row>
        <row r="1386">
          <cell r="A1386">
            <v>8006</v>
          </cell>
          <cell r="B1386" t="str">
            <v>慈戒の呪封使 三蔵法師</v>
          </cell>
          <cell r="C1386">
            <v>6</v>
          </cell>
          <cell r="D1386" t="str">
            <v>blue</v>
          </cell>
          <cell r="E1386">
            <v>1</v>
          </cell>
          <cell r="F1386">
            <v>0.98</v>
          </cell>
          <cell r="G1386">
            <v>1</v>
          </cell>
          <cell r="H1386" t="str">
            <v>balance</v>
          </cell>
          <cell r="I1386" t="str">
            <v>バランスタイプ</v>
          </cell>
          <cell r="J1386">
            <v>1</v>
          </cell>
          <cell r="K1386">
            <v>1</v>
          </cell>
          <cell r="L1386">
            <v>1</v>
          </cell>
          <cell r="M1386" t="str">
            <v>human</v>
          </cell>
          <cell r="N1386" t="str">
            <v>ヒューマン</v>
          </cell>
          <cell r="O1386">
            <v>0.94</v>
          </cell>
          <cell r="P1386">
            <v>0.99</v>
          </cell>
          <cell r="Q1386">
            <v>1</v>
          </cell>
          <cell r="R1386" t="str">
            <v>Boss</v>
          </cell>
          <cell r="S1386">
            <v>5</v>
          </cell>
          <cell r="T1386">
            <v>1.3</v>
          </cell>
          <cell r="U1386">
            <v>0.8</v>
          </cell>
          <cell r="V1386">
            <v>3</v>
          </cell>
          <cell r="W1386">
            <v>1</v>
          </cell>
          <cell r="X1386">
            <v>60</v>
          </cell>
          <cell r="Y1386">
            <v>1.1000000000000001</v>
          </cell>
          <cell r="Z1386">
            <v>1.2</v>
          </cell>
          <cell r="AA1386">
            <v>1.2</v>
          </cell>
          <cell r="AB1386">
            <v>0</v>
          </cell>
        </row>
        <row r="1387">
          <cell r="A1387">
            <v>8007</v>
          </cell>
          <cell r="B1387" t="str">
            <v>孫悟空</v>
          </cell>
          <cell r="C1387">
            <v>5</v>
          </cell>
          <cell r="D1387" t="str">
            <v>red</v>
          </cell>
          <cell r="E1387">
            <v>1</v>
          </cell>
          <cell r="F1387">
            <v>1.02</v>
          </cell>
          <cell r="G1387">
            <v>1</v>
          </cell>
          <cell r="H1387" t="str">
            <v>attack</v>
          </cell>
          <cell r="I1387" t="str">
            <v>攻撃タイプ</v>
          </cell>
          <cell r="J1387">
            <v>1</v>
          </cell>
          <cell r="K1387">
            <v>1.33</v>
          </cell>
          <cell r="L1387">
            <v>1</v>
          </cell>
          <cell r="M1387" t="str">
            <v>animal</v>
          </cell>
          <cell r="N1387" t="str">
            <v>アニマル</v>
          </cell>
          <cell r="O1387">
            <v>1</v>
          </cell>
          <cell r="P1387">
            <v>1.1000000000000001</v>
          </cell>
          <cell r="Q1387">
            <v>1</v>
          </cell>
          <cell r="R1387" t="str">
            <v>Boss</v>
          </cell>
          <cell r="S1387">
            <v>5</v>
          </cell>
          <cell r="T1387">
            <v>1.3</v>
          </cell>
          <cell r="U1387">
            <v>0.8</v>
          </cell>
          <cell r="V1387">
            <v>3</v>
          </cell>
          <cell r="W1387">
            <v>1</v>
          </cell>
          <cell r="X1387">
            <v>60</v>
          </cell>
          <cell r="Y1387">
            <v>1.1000000000000001</v>
          </cell>
          <cell r="Z1387">
            <v>1.2</v>
          </cell>
          <cell r="AA1387">
            <v>1.2</v>
          </cell>
          <cell r="AB1387">
            <v>0</v>
          </cell>
        </row>
        <row r="1388">
          <cell r="A1388">
            <v>8008</v>
          </cell>
          <cell r="B1388" t="str">
            <v>花果の天猿仙人 孫悟空</v>
          </cell>
          <cell r="C1388">
            <v>6</v>
          </cell>
          <cell r="D1388" t="str">
            <v>red</v>
          </cell>
          <cell r="E1388">
            <v>1</v>
          </cell>
          <cell r="F1388">
            <v>1.02</v>
          </cell>
          <cell r="G1388">
            <v>1</v>
          </cell>
          <cell r="H1388" t="str">
            <v>attack</v>
          </cell>
          <cell r="I1388" t="str">
            <v>攻撃タイプ</v>
          </cell>
          <cell r="J1388">
            <v>1</v>
          </cell>
          <cell r="K1388">
            <v>1.33</v>
          </cell>
          <cell r="L1388">
            <v>1</v>
          </cell>
          <cell r="M1388" t="str">
            <v>animal</v>
          </cell>
          <cell r="N1388" t="str">
            <v>アニマル</v>
          </cell>
          <cell r="O1388">
            <v>1</v>
          </cell>
          <cell r="P1388">
            <v>1.1000000000000001</v>
          </cell>
          <cell r="Q1388">
            <v>1</v>
          </cell>
          <cell r="R1388" t="str">
            <v>Boss</v>
          </cell>
          <cell r="S1388">
            <v>5</v>
          </cell>
          <cell r="T1388">
            <v>1.3</v>
          </cell>
          <cell r="U1388">
            <v>0.8</v>
          </cell>
          <cell r="V1388">
            <v>3</v>
          </cell>
          <cell r="W1388">
            <v>1</v>
          </cell>
          <cell r="X1388">
            <v>60</v>
          </cell>
          <cell r="Y1388">
            <v>1.1000000000000001</v>
          </cell>
          <cell r="Z1388">
            <v>1.2</v>
          </cell>
          <cell r="AA1388">
            <v>1.2</v>
          </cell>
          <cell r="AB1388">
            <v>0</v>
          </cell>
        </row>
        <row r="1389">
          <cell r="A1389">
            <v>8009</v>
          </cell>
          <cell r="B1389" t="str">
            <v>西王娘娘</v>
          </cell>
          <cell r="C1389">
            <v>5</v>
          </cell>
          <cell r="D1389" t="str">
            <v>green</v>
          </cell>
          <cell r="E1389">
            <v>1.02</v>
          </cell>
          <cell r="F1389">
            <v>0.98</v>
          </cell>
          <cell r="G1389">
            <v>1</v>
          </cell>
          <cell r="H1389" t="str">
            <v>attack</v>
          </cell>
          <cell r="I1389" t="str">
            <v>攻撃タイプ</v>
          </cell>
          <cell r="J1389">
            <v>1</v>
          </cell>
          <cell r="K1389">
            <v>1.33</v>
          </cell>
          <cell r="L1389">
            <v>1</v>
          </cell>
          <cell r="M1389" t="str">
            <v>god</v>
          </cell>
          <cell r="N1389" t="str">
            <v>ゴッド</v>
          </cell>
          <cell r="O1389">
            <v>0.96</v>
          </cell>
          <cell r="P1389">
            <v>1.02</v>
          </cell>
          <cell r="Q1389">
            <v>1</v>
          </cell>
          <cell r="R1389" t="str">
            <v>Boss</v>
          </cell>
          <cell r="S1389">
            <v>5</v>
          </cell>
          <cell r="T1389">
            <v>1.3</v>
          </cell>
          <cell r="U1389">
            <v>0.8</v>
          </cell>
          <cell r="V1389">
            <v>3</v>
          </cell>
          <cell r="W1389">
            <v>1</v>
          </cell>
          <cell r="X1389">
            <v>60</v>
          </cell>
          <cell r="Y1389">
            <v>1.7</v>
          </cell>
          <cell r="Z1389">
            <v>1.4</v>
          </cell>
          <cell r="AA1389">
            <v>1</v>
          </cell>
          <cell r="AB1389">
            <v>0</v>
          </cell>
        </row>
        <row r="1390">
          <cell r="A1390">
            <v>8010</v>
          </cell>
          <cell r="B1390" t="str">
            <v>極楽瑶池の聖母 西王娘娘</v>
          </cell>
          <cell r="C1390">
            <v>6</v>
          </cell>
          <cell r="D1390" t="str">
            <v>green</v>
          </cell>
          <cell r="E1390">
            <v>1.02</v>
          </cell>
          <cell r="F1390">
            <v>0.98</v>
          </cell>
          <cell r="G1390">
            <v>1</v>
          </cell>
          <cell r="H1390" t="str">
            <v>attack</v>
          </cell>
          <cell r="I1390" t="str">
            <v>攻撃タイプ</v>
          </cell>
          <cell r="J1390">
            <v>1</v>
          </cell>
          <cell r="K1390">
            <v>1.33</v>
          </cell>
          <cell r="L1390">
            <v>1</v>
          </cell>
          <cell r="M1390" t="str">
            <v>god</v>
          </cell>
          <cell r="N1390" t="str">
            <v>ゴッド</v>
          </cell>
          <cell r="O1390">
            <v>0.96</v>
          </cell>
          <cell r="P1390">
            <v>1.02</v>
          </cell>
          <cell r="Q1390">
            <v>1</v>
          </cell>
          <cell r="R1390" t="str">
            <v>Boss</v>
          </cell>
          <cell r="S1390">
            <v>5</v>
          </cell>
          <cell r="T1390">
            <v>1.3</v>
          </cell>
          <cell r="U1390">
            <v>0.8</v>
          </cell>
          <cell r="V1390">
            <v>3</v>
          </cell>
          <cell r="W1390">
            <v>1</v>
          </cell>
          <cell r="X1390">
            <v>60</v>
          </cell>
          <cell r="Y1390">
            <v>1.7</v>
          </cell>
          <cell r="Z1390">
            <v>1.4</v>
          </cell>
          <cell r="AA1390">
            <v>1</v>
          </cell>
          <cell r="AB1390">
            <v>0</v>
          </cell>
        </row>
        <row r="1391">
          <cell r="A1391">
            <v>8011</v>
          </cell>
          <cell r="B1391" t="str">
            <v>月下老人</v>
          </cell>
          <cell r="C1391">
            <v>5</v>
          </cell>
          <cell r="D1391" t="str">
            <v>yellow</v>
          </cell>
          <cell r="E1391">
            <v>0.98</v>
          </cell>
          <cell r="F1391">
            <v>1.01</v>
          </cell>
          <cell r="G1391">
            <v>1</v>
          </cell>
          <cell r="H1391" t="str">
            <v>balance</v>
          </cell>
          <cell r="I1391" t="str">
            <v>バランスタイプ</v>
          </cell>
          <cell r="J1391">
            <v>1</v>
          </cell>
          <cell r="K1391">
            <v>1</v>
          </cell>
          <cell r="L1391">
            <v>1</v>
          </cell>
          <cell r="M1391" t="str">
            <v>god</v>
          </cell>
          <cell r="N1391" t="str">
            <v>ゴッド</v>
          </cell>
          <cell r="O1391">
            <v>0.96</v>
          </cell>
          <cell r="P1391">
            <v>1.02</v>
          </cell>
          <cell r="Q1391">
            <v>1</v>
          </cell>
          <cell r="R1391" t="str">
            <v>Boss</v>
          </cell>
          <cell r="S1391">
            <v>5</v>
          </cell>
          <cell r="T1391">
            <v>1.3</v>
          </cell>
          <cell r="U1391">
            <v>0.8</v>
          </cell>
          <cell r="V1391">
            <v>3</v>
          </cell>
          <cell r="W1391">
            <v>1</v>
          </cell>
          <cell r="X1391">
            <v>60</v>
          </cell>
          <cell r="Y1391">
            <v>1.7</v>
          </cell>
          <cell r="Z1391">
            <v>1.4</v>
          </cell>
          <cell r="AA1391">
            <v>1</v>
          </cell>
          <cell r="AB1391">
            <v>0</v>
          </cell>
        </row>
        <row r="1392">
          <cell r="A1392">
            <v>8012</v>
          </cell>
          <cell r="B1392" t="str">
            <v>破戀斬る縁剣 月下老人</v>
          </cell>
          <cell r="C1392">
            <v>6</v>
          </cell>
          <cell r="D1392" t="str">
            <v>yellow</v>
          </cell>
          <cell r="E1392">
            <v>0.98</v>
          </cell>
          <cell r="F1392">
            <v>1.01</v>
          </cell>
          <cell r="G1392">
            <v>1</v>
          </cell>
          <cell r="H1392" t="str">
            <v>balance</v>
          </cell>
          <cell r="I1392" t="str">
            <v>バランスタイプ</v>
          </cell>
          <cell r="J1392">
            <v>1</v>
          </cell>
          <cell r="K1392">
            <v>1</v>
          </cell>
          <cell r="L1392">
            <v>1</v>
          </cell>
          <cell r="M1392" t="str">
            <v>god</v>
          </cell>
          <cell r="N1392" t="str">
            <v>ゴッド</v>
          </cell>
          <cell r="O1392">
            <v>0.96</v>
          </cell>
          <cell r="P1392">
            <v>1.02</v>
          </cell>
          <cell r="Q1392">
            <v>1</v>
          </cell>
          <cell r="R1392" t="str">
            <v>Boss</v>
          </cell>
          <cell r="S1392">
            <v>5</v>
          </cell>
          <cell r="T1392">
            <v>1.3</v>
          </cell>
          <cell r="U1392">
            <v>0.8</v>
          </cell>
          <cell r="V1392">
            <v>3</v>
          </cell>
          <cell r="W1392">
            <v>1</v>
          </cell>
          <cell r="X1392">
            <v>60</v>
          </cell>
          <cell r="Y1392">
            <v>1.7</v>
          </cell>
          <cell r="Z1392">
            <v>1.4</v>
          </cell>
          <cell r="AA1392">
            <v>1</v>
          </cell>
          <cell r="AB1392">
            <v>0</v>
          </cell>
        </row>
        <row r="1393">
          <cell r="A1393">
            <v>8013</v>
          </cell>
          <cell r="B1393" t="str">
            <v>初音ミクV3</v>
          </cell>
          <cell r="C1393">
            <v>4</v>
          </cell>
          <cell r="D1393" t="str">
            <v>yellow</v>
          </cell>
          <cell r="E1393">
            <v>0.98</v>
          </cell>
          <cell r="F1393">
            <v>1.01</v>
          </cell>
          <cell r="G1393">
            <v>1</v>
          </cell>
          <cell r="H1393" t="str">
            <v>balance</v>
          </cell>
          <cell r="I1393" t="str">
            <v>バランスタイプ</v>
          </cell>
          <cell r="J1393">
            <v>1</v>
          </cell>
          <cell r="K1393">
            <v>1</v>
          </cell>
          <cell r="L1393">
            <v>1</v>
          </cell>
          <cell r="M1393" t="str">
            <v>unknown</v>
          </cell>
          <cell r="N1393" t="str">
            <v>Unknown</v>
          </cell>
          <cell r="O1393">
            <v>1</v>
          </cell>
          <cell r="P1393">
            <v>1</v>
          </cell>
          <cell r="Q1393">
            <v>1</v>
          </cell>
          <cell r="R1393" t="str">
            <v>Boss</v>
          </cell>
          <cell r="S1393">
            <v>5</v>
          </cell>
          <cell r="T1393">
            <v>1.3</v>
          </cell>
          <cell r="U1393">
            <v>0.8</v>
          </cell>
          <cell r="V1393">
            <v>3</v>
          </cell>
          <cell r="W1393">
            <v>1</v>
          </cell>
          <cell r="X1393">
            <v>30</v>
          </cell>
          <cell r="Y1393">
            <v>1.3</v>
          </cell>
          <cell r="Z1393">
            <v>1.3</v>
          </cell>
          <cell r="AA1393">
            <v>1.1000000000000001</v>
          </cell>
          <cell r="AB1393">
            <v>0</v>
          </cell>
        </row>
        <row r="1394">
          <cell r="A1394">
            <v>8014</v>
          </cell>
          <cell r="B1394" t="str">
            <v>初音ミクV3</v>
          </cell>
          <cell r="C1394">
            <v>5</v>
          </cell>
          <cell r="D1394" t="str">
            <v>yellow</v>
          </cell>
          <cell r="E1394">
            <v>0.98</v>
          </cell>
          <cell r="F1394">
            <v>1.01</v>
          </cell>
          <cell r="G1394">
            <v>1</v>
          </cell>
          <cell r="H1394" t="str">
            <v>balance</v>
          </cell>
          <cell r="I1394" t="str">
            <v>バランスタイプ</v>
          </cell>
          <cell r="J1394">
            <v>1</v>
          </cell>
          <cell r="K1394">
            <v>1</v>
          </cell>
          <cell r="L1394">
            <v>1</v>
          </cell>
          <cell r="M1394" t="str">
            <v>unknown</v>
          </cell>
          <cell r="N1394" t="str">
            <v>Unknown</v>
          </cell>
          <cell r="O1394">
            <v>1</v>
          </cell>
          <cell r="P1394">
            <v>1</v>
          </cell>
          <cell r="Q1394">
            <v>1</v>
          </cell>
          <cell r="R1394" t="str">
            <v>Boss</v>
          </cell>
          <cell r="S1394">
            <v>5</v>
          </cell>
          <cell r="T1394">
            <v>1.3</v>
          </cell>
          <cell r="U1394">
            <v>0.8</v>
          </cell>
          <cell r="V1394">
            <v>3</v>
          </cell>
          <cell r="W1394">
            <v>1</v>
          </cell>
          <cell r="X1394">
            <v>60</v>
          </cell>
          <cell r="Y1394">
            <v>1.7</v>
          </cell>
          <cell r="Z1394">
            <v>1.4</v>
          </cell>
          <cell r="AA1394">
            <v>1</v>
          </cell>
          <cell r="AB1394">
            <v>0</v>
          </cell>
        </row>
        <row r="1395">
          <cell r="A1395">
            <v>8015</v>
          </cell>
          <cell r="B1395" t="str">
            <v>初音ミク・アペンド</v>
          </cell>
          <cell r="C1395">
            <v>4</v>
          </cell>
          <cell r="D1395" t="str">
            <v>green</v>
          </cell>
          <cell r="E1395">
            <v>1.02</v>
          </cell>
          <cell r="F1395">
            <v>0.98</v>
          </cell>
          <cell r="G1395">
            <v>1</v>
          </cell>
          <cell r="H1395" t="str">
            <v>technical</v>
          </cell>
          <cell r="I1395" t="str">
            <v>テクニカルタイプ</v>
          </cell>
          <cell r="J1395">
            <v>0.9</v>
          </cell>
          <cell r="K1395">
            <v>0.9</v>
          </cell>
          <cell r="L1395">
            <v>1</v>
          </cell>
          <cell r="M1395" t="str">
            <v>unknown</v>
          </cell>
          <cell r="N1395" t="str">
            <v>Unknown</v>
          </cell>
          <cell r="O1395">
            <v>1</v>
          </cell>
          <cell r="P1395">
            <v>1</v>
          </cell>
          <cell r="Q1395">
            <v>1</v>
          </cell>
          <cell r="R1395" t="str">
            <v>Boss</v>
          </cell>
          <cell r="S1395">
            <v>5</v>
          </cell>
          <cell r="T1395">
            <v>1.3</v>
          </cell>
          <cell r="U1395">
            <v>0.8</v>
          </cell>
          <cell r="V1395">
            <v>3</v>
          </cell>
          <cell r="W1395">
            <v>1</v>
          </cell>
          <cell r="X1395">
            <v>30</v>
          </cell>
          <cell r="Y1395">
            <v>1.3</v>
          </cell>
          <cell r="Z1395">
            <v>1.3</v>
          </cell>
          <cell r="AA1395">
            <v>1.1000000000000001</v>
          </cell>
          <cell r="AB1395">
            <v>0</v>
          </cell>
        </row>
        <row r="1396">
          <cell r="A1396">
            <v>8016</v>
          </cell>
          <cell r="B1396" t="str">
            <v>初音ミク・アペンド</v>
          </cell>
          <cell r="C1396">
            <v>5</v>
          </cell>
          <cell r="D1396" t="str">
            <v>green</v>
          </cell>
          <cell r="E1396">
            <v>1.02</v>
          </cell>
          <cell r="F1396">
            <v>0.98</v>
          </cell>
          <cell r="G1396">
            <v>1</v>
          </cell>
          <cell r="H1396" t="str">
            <v>technical</v>
          </cell>
          <cell r="I1396" t="str">
            <v>テクニカルタイプ</v>
          </cell>
          <cell r="J1396">
            <v>0.9</v>
          </cell>
          <cell r="K1396">
            <v>0.9</v>
          </cell>
          <cell r="L1396">
            <v>1</v>
          </cell>
          <cell r="M1396" t="str">
            <v>unknown</v>
          </cell>
          <cell r="N1396" t="str">
            <v>Unknown</v>
          </cell>
          <cell r="O1396">
            <v>1</v>
          </cell>
          <cell r="P1396">
            <v>1</v>
          </cell>
          <cell r="Q1396">
            <v>1</v>
          </cell>
          <cell r="R1396" t="str">
            <v>Boss</v>
          </cell>
          <cell r="S1396">
            <v>5</v>
          </cell>
          <cell r="T1396">
            <v>1.3</v>
          </cell>
          <cell r="U1396">
            <v>0.8</v>
          </cell>
          <cell r="V1396">
            <v>3</v>
          </cell>
          <cell r="W1396">
            <v>1</v>
          </cell>
          <cell r="X1396">
            <v>60</v>
          </cell>
          <cell r="Y1396">
            <v>1.7</v>
          </cell>
          <cell r="Z1396">
            <v>1.4</v>
          </cell>
          <cell r="AA1396">
            <v>1</v>
          </cell>
          <cell r="AB1396">
            <v>0</v>
          </cell>
        </row>
        <row r="1397">
          <cell r="A1397">
            <v>8017</v>
          </cell>
          <cell r="B1397" t="str">
            <v>初音ミク</v>
          </cell>
          <cell r="C1397">
            <v>4</v>
          </cell>
          <cell r="D1397" t="str">
            <v>green</v>
          </cell>
          <cell r="E1397">
            <v>1.02</v>
          </cell>
          <cell r="F1397">
            <v>0.98</v>
          </cell>
          <cell r="G1397">
            <v>1</v>
          </cell>
          <cell r="H1397" t="str">
            <v>balance</v>
          </cell>
          <cell r="I1397" t="str">
            <v>バランスタイプ</v>
          </cell>
          <cell r="J1397">
            <v>1</v>
          </cell>
          <cell r="K1397">
            <v>1</v>
          </cell>
          <cell r="L1397">
            <v>1</v>
          </cell>
          <cell r="M1397" t="str">
            <v>unknown</v>
          </cell>
          <cell r="N1397" t="str">
            <v>Unknown</v>
          </cell>
          <cell r="O1397">
            <v>1</v>
          </cell>
          <cell r="P1397">
            <v>1</v>
          </cell>
          <cell r="Q1397">
            <v>1</v>
          </cell>
          <cell r="R1397" t="str">
            <v>Boss</v>
          </cell>
          <cell r="S1397">
            <v>5</v>
          </cell>
          <cell r="T1397">
            <v>1.3</v>
          </cell>
          <cell r="U1397">
            <v>0.8</v>
          </cell>
          <cell r="V1397">
            <v>3</v>
          </cell>
          <cell r="W1397">
            <v>1</v>
          </cell>
          <cell r="X1397">
            <v>30</v>
          </cell>
          <cell r="Y1397">
            <v>1.3</v>
          </cell>
          <cell r="Z1397">
            <v>1.3</v>
          </cell>
          <cell r="AA1397">
            <v>1.1000000000000001</v>
          </cell>
          <cell r="AB1397">
            <v>0</v>
          </cell>
        </row>
        <row r="1398">
          <cell r="A1398">
            <v>8018</v>
          </cell>
          <cell r="B1398" t="str">
            <v>初音ミク</v>
          </cell>
          <cell r="C1398">
            <v>5</v>
          </cell>
          <cell r="D1398" t="str">
            <v>green</v>
          </cell>
          <cell r="E1398">
            <v>1.02</v>
          </cell>
          <cell r="F1398">
            <v>0.98</v>
          </cell>
          <cell r="G1398">
            <v>1</v>
          </cell>
          <cell r="H1398" t="str">
            <v>balance</v>
          </cell>
          <cell r="I1398" t="str">
            <v>バランスタイプ</v>
          </cell>
          <cell r="J1398">
            <v>1</v>
          </cell>
          <cell r="K1398">
            <v>1</v>
          </cell>
          <cell r="L1398">
            <v>1</v>
          </cell>
          <cell r="M1398" t="str">
            <v>unknown</v>
          </cell>
          <cell r="N1398" t="str">
            <v>Unknown</v>
          </cell>
          <cell r="O1398">
            <v>1</v>
          </cell>
          <cell r="P1398">
            <v>1</v>
          </cell>
          <cell r="Q1398">
            <v>1</v>
          </cell>
          <cell r="R1398" t="str">
            <v>Boss</v>
          </cell>
          <cell r="S1398">
            <v>5</v>
          </cell>
          <cell r="T1398">
            <v>1.3</v>
          </cell>
          <cell r="U1398">
            <v>0.8</v>
          </cell>
          <cell r="V1398">
            <v>3</v>
          </cell>
          <cell r="W1398">
            <v>1</v>
          </cell>
          <cell r="X1398">
            <v>60</v>
          </cell>
          <cell r="Y1398">
            <v>1.7</v>
          </cell>
          <cell r="Z1398">
            <v>1.4</v>
          </cell>
          <cell r="AA1398">
            <v>1</v>
          </cell>
          <cell r="AB1398">
            <v>0</v>
          </cell>
        </row>
        <row r="1399">
          <cell r="A1399">
            <v>8019</v>
          </cell>
          <cell r="B1399" t="str">
            <v>鏡音リン</v>
          </cell>
          <cell r="C1399">
            <v>4</v>
          </cell>
          <cell r="D1399" t="str">
            <v>yellow</v>
          </cell>
          <cell r="E1399">
            <v>0.98</v>
          </cell>
          <cell r="F1399">
            <v>1.01</v>
          </cell>
          <cell r="G1399">
            <v>1</v>
          </cell>
          <cell r="H1399" t="str">
            <v>balance</v>
          </cell>
          <cell r="I1399" t="str">
            <v>バランスタイプ</v>
          </cell>
          <cell r="J1399">
            <v>1</v>
          </cell>
          <cell r="K1399">
            <v>1</v>
          </cell>
          <cell r="L1399">
            <v>1</v>
          </cell>
          <cell r="M1399" t="str">
            <v>unknown</v>
          </cell>
          <cell r="N1399" t="str">
            <v>Unknown</v>
          </cell>
          <cell r="O1399">
            <v>1</v>
          </cell>
          <cell r="P1399">
            <v>1</v>
          </cell>
          <cell r="Q1399">
            <v>1</v>
          </cell>
          <cell r="R1399" t="str">
            <v>Boss</v>
          </cell>
          <cell r="S1399">
            <v>5</v>
          </cell>
          <cell r="T1399">
            <v>1.3</v>
          </cell>
          <cell r="U1399">
            <v>0.8</v>
          </cell>
          <cell r="V1399">
            <v>3</v>
          </cell>
          <cell r="W1399">
            <v>1</v>
          </cell>
          <cell r="X1399">
            <v>30</v>
          </cell>
          <cell r="Y1399">
            <v>1.3</v>
          </cell>
          <cell r="Z1399">
            <v>1.3</v>
          </cell>
          <cell r="AA1399">
            <v>1.1000000000000001</v>
          </cell>
          <cell r="AB1399">
            <v>0</v>
          </cell>
        </row>
        <row r="1400">
          <cell r="A1400">
            <v>8020</v>
          </cell>
          <cell r="B1400" t="str">
            <v>鏡音リン</v>
          </cell>
          <cell r="C1400">
            <v>5</v>
          </cell>
          <cell r="D1400" t="str">
            <v>yellow</v>
          </cell>
          <cell r="E1400">
            <v>0.98</v>
          </cell>
          <cell r="F1400">
            <v>1.01</v>
          </cell>
          <cell r="G1400">
            <v>1</v>
          </cell>
          <cell r="H1400" t="str">
            <v>balance</v>
          </cell>
          <cell r="I1400" t="str">
            <v>バランスタイプ</v>
          </cell>
          <cell r="J1400">
            <v>1</v>
          </cell>
          <cell r="K1400">
            <v>1</v>
          </cell>
          <cell r="L1400">
            <v>1</v>
          </cell>
          <cell r="M1400" t="str">
            <v>unknown</v>
          </cell>
          <cell r="N1400" t="str">
            <v>Unknown</v>
          </cell>
          <cell r="O1400">
            <v>1</v>
          </cell>
          <cell r="P1400">
            <v>1</v>
          </cell>
          <cell r="Q1400">
            <v>1</v>
          </cell>
          <cell r="R1400" t="str">
            <v>Boss</v>
          </cell>
          <cell r="S1400">
            <v>5</v>
          </cell>
          <cell r="T1400">
            <v>1.3</v>
          </cell>
          <cell r="U1400">
            <v>0.8</v>
          </cell>
          <cell r="V1400">
            <v>3</v>
          </cell>
          <cell r="W1400">
            <v>1</v>
          </cell>
          <cell r="X1400">
            <v>60</v>
          </cell>
          <cell r="Y1400">
            <v>1.7</v>
          </cell>
          <cell r="Z1400">
            <v>1.4</v>
          </cell>
          <cell r="AA1400">
            <v>1</v>
          </cell>
          <cell r="AB1400">
            <v>0</v>
          </cell>
        </row>
        <row r="1401">
          <cell r="A1401">
            <v>8021</v>
          </cell>
          <cell r="B1401" t="str">
            <v>鏡音レン</v>
          </cell>
          <cell r="C1401">
            <v>4</v>
          </cell>
          <cell r="D1401" t="str">
            <v>yellow</v>
          </cell>
          <cell r="E1401">
            <v>0.98</v>
          </cell>
          <cell r="F1401">
            <v>1.01</v>
          </cell>
          <cell r="G1401">
            <v>1</v>
          </cell>
          <cell r="H1401" t="str">
            <v>heal</v>
          </cell>
          <cell r="I1401" t="str">
            <v>回復タイプ</v>
          </cell>
          <cell r="J1401">
            <v>0.8</v>
          </cell>
          <cell r="K1401">
            <v>0.78</v>
          </cell>
          <cell r="L1401">
            <v>1</v>
          </cell>
          <cell r="M1401" t="str">
            <v>unknown</v>
          </cell>
          <cell r="N1401" t="str">
            <v>Unknown</v>
          </cell>
          <cell r="O1401">
            <v>1</v>
          </cell>
          <cell r="P1401">
            <v>1</v>
          </cell>
          <cell r="Q1401">
            <v>1</v>
          </cell>
          <cell r="R1401" t="str">
            <v>Boss</v>
          </cell>
          <cell r="S1401">
            <v>5</v>
          </cell>
          <cell r="T1401">
            <v>1.3</v>
          </cell>
          <cell r="U1401">
            <v>0.8</v>
          </cell>
          <cell r="V1401">
            <v>3</v>
          </cell>
          <cell r="W1401">
            <v>1</v>
          </cell>
          <cell r="X1401">
            <v>30</v>
          </cell>
          <cell r="Y1401">
            <v>1.3</v>
          </cell>
          <cell r="Z1401">
            <v>1.3</v>
          </cell>
          <cell r="AA1401">
            <v>1.1000000000000001</v>
          </cell>
          <cell r="AB1401">
            <v>0</v>
          </cell>
        </row>
        <row r="1402">
          <cell r="A1402">
            <v>8022</v>
          </cell>
          <cell r="B1402" t="str">
            <v>鏡音レン</v>
          </cell>
          <cell r="C1402">
            <v>5</v>
          </cell>
          <cell r="D1402" t="str">
            <v>yellow</v>
          </cell>
          <cell r="E1402">
            <v>0.98</v>
          </cell>
          <cell r="F1402">
            <v>1.01</v>
          </cell>
          <cell r="G1402">
            <v>1</v>
          </cell>
          <cell r="H1402" t="str">
            <v>heal</v>
          </cell>
          <cell r="I1402" t="str">
            <v>回復タイプ</v>
          </cell>
          <cell r="J1402">
            <v>0.8</v>
          </cell>
          <cell r="K1402">
            <v>0.78</v>
          </cell>
          <cell r="L1402">
            <v>1</v>
          </cell>
          <cell r="M1402" t="str">
            <v>unknown</v>
          </cell>
          <cell r="N1402" t="str">
            <v>Unknown</v>
          </cell>
          <cell r="O1402">
            <v>1</v>
          </cell>
          <cell r="P1402">
            <v>1</v>
          </cell>
          <cell r="Q1402">
            <v>1</v>
          </cell>
          <cell r="R1402" t="str">
            <v>Boss</v>
          </cell>
          <cell r="S1402">
            <v>5</v>
          </cell>
          <cell r="T1402">
            <v>1.3</v>
          </cell>
          <cell r="U1402">
            <v>0.8</v>
          </cell>
          <cell r="V1402">
            <v>3</v>
          </cell>
          <cell r="W1402">
            <v>1</v>
          </cell>
          <cell r="X1402">
            <v>60</v>
          </cell>
          <cell r="Y1402">
            <v>1.7</v>
          </cell>
          <cell r="Z1402">
            <v>1.4</v>
          </cell>
          <cell r="AA1402">
            <v>1</v>
          </cell>
          <cell r="AB1402">
            <v>0</v>
          </cell>
        </row>
        <row r="1403">
          <cell r="A1403">
            <v>8023</v>
          </cell>
          <cell r="B1403" t="str">
            <v>巡音ルカ</v>
          </cell>
          <cell r="C1403">
            <v>3</v>
          </cell>
          <cell r="D1403" t="str">
            <v>red</v>
          </cell>
          <cell r="E1403">
            <v>1</v>
          </cell>
          <cell r="F1403">
            <v>1.02</v>
          </cell>
          <cell r="G1403">
            <v>1</v>
          </cell>
          <cell r="H1403" t="str">
            <v>attack</v>
          </cell>
          <cell r="I1403" t="str">
            <v>攻撃タイプ</v>
          </cell>
          <cell r="J1403">
            <v>1</v>
          </cell>
          <cell r="K1403">
            <v>1.33</v>
          </cell>
          <cell r="L1403">
            <v>1</v>
          </cell>
          <cell r="M1403" t="str">
            <v>unknown</v>
          </cell>
          <cell r="N1403" t="str">
            <v>Unknown</v>
          </cell>
          <cell r="O1403">
            <v>1</v>
          </cell>
          <cell r="P1403">
            <v>1</v>
          </cell>
          <cell r="Q1403">
            <v>1</v>
          </cell>
          <cell r="R1403" t="str">
            <v>Boss</v>
          </cell>
          <cell r="S1403">
            <v>5</v>
          </cell>
          <cell r="T1403">
            <v>1.3</v>
          </cell>
          <cell r="U1403">
            <v>0.8</v>
          </cell>
          <cell r="V1403">
            <v>3</v>
          </cell>
          <cell r="W1403">
            <v>1</v>
          </cell>
          <cell r="X1403">
            <v>25</v>
          </cell>
          <cell r="Y1403">
            <v>1.2</v>
          </cell>
          <cell r="Z1403">
            <v>1.25</v>
          </cell>
          <cell r="AA1403">
            <v>1.1499999999999999</v>
          </cell>
          <cell r="AB1403">
            <v>0</v>
          </cell>
        </row>
        <row r="1404">
          <cell r="A1404">
            <v>8024</v>
          </cell>
          <cell r="B1404" t="str">
            <v>巡音ルカ</v>
          </cell>
          <cell r="C1404">
            <v>4</v>
          </cell>
          <cell r="D1404" t="str">
            <v>red</v>
          </cell>
          <cell r="E1404">
            <v>1</v>
          </cell>
          <cell r="F1404">
            <v>1.02</v>
          </cell>
          <cell r="G1404">
            <v>1</v>
          </cell>
          <cell r="H1404" t="str">
            <v>attack</v>
          </cell>
          <cell r="I1404" t="str">
            <v>攻撃タイプ</v>
          </cell>
          <cell r="J1404">
            <v>1</v>
          </cell>
          <cell r="K1404">
            <v>1.33</v>
          </cell>
          <cell r="L1404">
            <v>1</v>
          </cell>
          <cell r="M1404" t="str">
            <v>unknown</v>
          </cell>
          <cell r="N1404" t="str">
            <v>Unknown</v>
          </cell>
          <cell r="O1404">
            <v>1</v>
          </cell>
          <cell r="P1404">
            <v>1</v>
          </cell>
          <cell r="Q1404">
            <v>1</v>
          </cell>
          <cell r="R1404" t="str">
            <v>Boss</v>
          </cell>
          <cell r="S1404">
            <v>5</v>
          </cell>
          <cell r="T1404">
            <v>1.3</v>
          </cell>
          <cell r="U1404">
            <v>0.8</v>
          </cell>
          <cell r="V1404">
            <v>3</v>
          </cell>
          <cell r="W1404">
            <v>1</v>
          </cell>
          <cell r="X1404">
            <v>30</v>
          </cell>
          <cell r="Y1404">
            <v>1.3</v>
          </cell>
          <cell r="Z1404">
            <v>1.3</v>
          </cell>
          <cell r="AA1404">
            <v>1.1000000000000001</v>
          </cell>
          <cell r="AB1404">
            <v>0</v>
          </cell>
        </row>
        <row r="1405">
          <cell r="A1405">
            <v>8025</v>
          </cell>
          <cell r="B1405" t="str">
            <v>MEIKO</v>
          </cell>
          <cell r="C1405">
            <v>3</v>
          </cell>
          <cell r="D1405" t="str">
            <v>red</v>
          </cell>
          <cell r="E1405">
            <v>1</v>
          </cell>
          <cell r="F1405">
            <v>1.02</v>
          </cell>
          <cell r="G1405">
            <v>1</v>
          </cell>
          <cell r="H1405" t="str">
            <v>hp</v>
          </cell>
          <cell r="I1405" t="str">
            <v>体力タイプ</v>
          </cell>
          <cell r="J1405">
            <v>1.45</v>
          </cell>
          <cell r="K1405">
            <v>0.85</v>
          </cell>
          <cell r="L1405">
            <v>1</v>
          </cell>
          <cell r="M1405" t="str">
            <v>unknown</v>
          </cell>
          <cell r="N1405" t="str">
            <v>Unknown</v>
          </cell>
          <cell r="O1405">
            <v>1</v>
          </cell>
          <cell r="P1405">
            <v>1</v>
          </cell>
          <cell r="Q1405">
            <v>1</v>
          </cell>
          <cell r="R1405" t="str">
            <v>Boss</v>
          </cell>
          <cell r="S1405">
            <v>5</v>
          </cell>
          <cell r="T1405">
            <v>1.3</v>
          </cell>
          <cell r="U1405">
            <v>0.8</v>
          </cell>
          <cell r="V1405">
            <v>3</v>
          </cell>
          <cell r="W1405">
            <v>1</v>
          </cell>
          <cell r="X1405">
            <v>25</v>
          </cell>
          <cell r="Y1405">
            <v>1.2</v>
          </cell>
          <cell r="Z1405">
            <v>1.25</v>
          </cell>
          <cell r="AA1405">
            <v>1.1499999999999999</v>
          </cell>
          <cell r="AB1405">
            <v>0</v>
          </cell>
        </row>
        <row r="1406">
          <cell r="A1406">
            <v>8026</v>
          </cell>
          <cell r="B1406" t="str">
            <v>MEIKO</v>
          </cell>
          <cell r="C1406">
            <v>4</v>
          </cell>
          <cell r="D1406" t="str">
            <v>red</v>
          </cell>
          <cell r="E1406">
            <v>1</v>
          </cell>
          <cell r="F1406">
            <v>1.02</v>
          </cell>
          <cell r="G1406">
            <v>1</v>
          </cell>
          <cell r="H1406" t="str">
            <v>hp</v>
          </cell>
          <cell r="I1406" t="str">
            <v>体力タイプ</v>
          </cell>
          <cell r="J1406">
            <v>1.45</v>
          </cell>
          <cell r="K1406">
            <v>0.85</v>
          </cell>
          <cell r="L1406">
            <v>1</v>
          </cell>
          <cell r="M1406" t="str">
            <v>unknown</v>
          </cell>
          <cell r="N1406" t="str">
            <v>Unknown</v>
          </cell>
          <cell r="O1406">
            <v>1</v>
          </cell>
          <cell r="P1406">
            <v>1</v>
          </cell>
          <cell r="Q1406">
            <v>1</v>
          </cell>
          <cell r="R1406" t="str">
            <v>Boss</v>
          </cell>
          <cell r="S1406">
            <v>5</v>
          </cell>
          <cell r="T1406">
            <v>1.3</v>
          </cell>
          <cell r="U1406">
            <v>0.8</v>
          </cell>
          <cell r="V1406">
            <v>3</v>
          </cell>
          <cell r="W1406">
            <v>1</v>
          </cell>
          <cell r="X1406">
            <v>30</v>
          </cell>
          <cell r="Y1406">
            <v>1.3</v>
          </cell>
          <cell r="Z1406">
            <v>1.3</v>
          </cell>
          <cell r="AA1406">
            <v>1.1000000000000001</v>
          </cell>
          <cell r="AB1406">
            <v>0</v>
          </cell>
        </row>
        <row r="1407">
          <cell r="A1407">
            <v>8027</v>
          </cell>
          <cell r="B1407" t="str">
            <v>KAITO</v>
          </cell>
          <cell r="C1407">
            <v>3</v>
          </cell>
          <cell r="D1407" t="str">
            <v>blue</v>
          </cell>
          <cell r="E1407">
            <v>1</v>
          </cell>
          <cell r="F1407">
            <v>0.98</v>
          </cell>
          <cell r="G1407">
            <v>1</v>
          </cell>
          <cell r="H1407" t="str">
            <v>technical</v>
          </cell>
          <cell r="I1407" t="str">
            <v>テクニカルタイプ</v>
          </cell>
          <cell r="J1407">
            <v>0.9</v>
          </cell>
          <cell r="K1407">
            <v>0.9</v>
          </cell>
          <cell r="L1407">
            <v>1</v>
          </cell>
          <cell r="M1407" t="str">
            <v>unknown</v>
          </cell>
          <cell r="N1407" t="str">
            <v>Unknown</v>
          </cell>
          <cell r="O1407">
            <v>1</v>
          </cell>
          <cell r="P1407">
            <v>1</v>
          </cell>
          <cell r="Q1407">
            <v>1</v>
          </cell>
          <cell r="R1407" t="str">
            <v>Boss</v>
          </cell>
          <cell r="S1407">
            <v>5</v>
          </cell>
          <cell r="T1407">
            <v>1.3</v>
          </cell>
          <cell r="U1407">
            <v>0.8</v>
          </cell>
          <cell r="V1407">
            <v>3</v>
          </cell>
          <cell r="W1407">
            <v>1</v>
          </cell>
          <cell r="X1407">
            <v>25</v>
          </cell>
          <cell r="Y1407">
            <v>1.2</v>
          </cell>
          <cell r="Z1407">
            <v>1.25</v>
          </cell>
          <cell r="AA1407">
            <v>1.1499999999999999</v>
          </cell>
          <cell r="AB1407">
            <v>0</v>
          </cell>
        </row>
        <row r="1408">
          <cell r="A1408">
            <v>8028</v>
          </cell>
          <cell r="B1408" t="str">
            <v>KAITO</v>
          </cell>
          <cell r="C1408">
            <v>4</v>
          </cell>
          <cell r="D1408" t="str">
            <v>blue</v>
          </cell>
          <cell r="E1408">
            <v>1</v>
          </cell>
          <cell r="F1408">
            <v>0.98</v>
          </cell>
          <cell r="G1408">
            <v>1</v>
          </cell>
          <cell r="H1408" t="str">
            <v>technical</v>
          </cell>
          <cell r="I1408" t="str">
            <v>テクニカルタイプ</v>
          </cell>
          <cell r="J1408">
            <v>0.9</v>
          </cell>
          <cell r="K1408">
            <v>0.9</v>
          </cell>
          <cell r="L1408">
            <v>1</v>
          </cell>
          <cell r="M1408" t="str">
            <v>unknown</v>
          </cell>
          <cell r="N1408" t="str">
            <v>Unknown</v>
          </cell>
          <cell r="O1408">
            <v>1</v>
          </cell>
          <cell r="P1408">
            <v>1</v>
          </cell>
          <cell r="Q1408">
            <v>1</v>
          </cell>
          <cell r="R1408" t="str">
            <v>Boss</v>
          </cell>
          <cell r="S1408">
            <v>5</v>
          </cell>
          <cell r="T1408">
            <v>1.3</v>
          </cell>
          <cell r="U1408">
            <v>0.8</v>
          </cell>
          <cell r="V1408">
            <v>3</v>
          </cell>
          <cell r="W1408">
            <v>1</v>
          </cell>
          <cell r="X1408">
            <v>30</v>
          </cell>
          <cell r="Y1408">
            <v>1.3</v>
          </cell>
          <cell r="Z1408">
            <v>1.3</v>
          </cell>
          <cell r="AA1408">
            <v>1.1000000000000001</v>
          </cell>
          <cell r="AB1408">
            <v>0</v>
          </cell>
        </row>
        <row r="1409">
          <cell r="A1409">
            <v>8029</v>
          </cell>
          <cell r="B1409" t="str">
            <v>Expoミク</v>
          </cell>
          <cell r="C1409">
            <v>4</v>
          </cell>
          <cell r="D1409" t="str">
            <v>blue</v>
          </cell>
          <cell r="E1409">
            <v>1</v>
          </cell>
          <cell r="F1409">
            <v>0.98</v>
          </cell>
          <cell r="G1409">
            <v>1</v>
          </cell>
          <cell r="H1409" t="str">
            <v>heal</v>
          </cell>
          <cell r="I1409" t="str">
            <v>回復タイプ</v>
          </cell>
          <cell r="J1409">
            <v>0.8</v>
          </cell>
          <cell r="K1409">
            <v>0.78</v>
          </cell>
          <cell r="L1409">
            <v>1</v>
          </cell>
          <cell r="M1409" t="str">
            <v>unknown</v>
          </cell>
          <cell r="N1409" t="str">
            <v>Unknown</v>
          </cell>
          <cell r="O1409">
            <v>1</v>
          </cell>
          <cell r="P1409">
            <v>1</v>
          </cell>
          <cell r="Q1409">
            <v>1</v>
          </cell>
          <cell r="R1409" t="str">
            <v>Boss</v>
          </cell>
          <cell r="S1409">
            <v>5</v>
          </cell>
          <cell r="T1409">
            <v>1.3</v>
          </cell>
          <cell r="U1409">
            <v>0.8</v>
          </cell>
          <cell r="V1409">
            <v>3</v>
          </cell>
          <cell r="W1409">
            <v>1</v>
          </cell>
          <cell r="X1409">
            <v>30</v>
          </cell>
          <cell r="Y1409">
            <v>1.3</v>
          </cell>
          <cell r="Z1409">
            <v>1.3</v>
          </cell>
          <cell r="AA1409">
            <v>1.1000000000000001</v>
          </cell>
          <cell r="AB1409">
            <v>0</v>
          </cell>
        </row>
        <row r="1410">
          <cell r="A1410">
            <v>8030</v>
          </cell>
          <cell r="B1410" t="str">
            <v>Expoミク</v>
          </cell>
          <cell r="C1410">
            <v>5</v>
          </cell>
          <cell r="D1410" t="str">
            <v>blue</v>
          </cell>
          <cell r="E1410">
            <v>1</v>
          </cell>
          <cell r="F1410">
            <v>0.98</v>
          </cell>
          <cell r="G1410">
            <v>1</v>
          </cell>
          <cell r="H1410" t="str">
            <v>heal</v>
          </cell>
          <cell r="I1410" t="str">
            <v>回復タイプ</v>
          </cell>
          <cell r="J1410">
            <v>0.8</v>
          </cell>
          <cell r="K1410">
            <v>0.78</v>
          </cell>
          <cell r="L1410">
            <v>1</v>
          </cell>
          <cell r="M1410" t="str">
            <v>unknown</v>
          </cell>
          <cell r="N1410" t="str">
            <v>Unknown</v>
          </cell>
          <cell r="O1410">
            <v>1</v>
          </cell>
          <cell r="P1410">
            <v>1</v>
          </cell>
          <cell r="Q1410">
            <v>1</v>
          </cell>
          <cell r="R1410" t="str">
            <v>Boss</v>
          </cell>
          <cell r="S1410">
            <v>5</v>
          </cell>
          <cell r="T1410">
            <v>1.3</v>
          </cell>
          <cell r="U1410">
            <v>0.8</v>
          </cell>
          <cell r="V1410">
            <v>3</v>
          </cell>
          <cell r="W1410">
            <v>1</v>
          </cell>
          <cell r="X1410">
            <v>60</v>
          </cell>
          <cell r="Y1410">
            <v>1.7</v>
          </cell>
          <cell r="Z1410">
            <v>1.4</v>
          </cell>
          <cell r="AA1410">
            <v>1</v>
          </cell>
          <cell r="AB1410">
            <v>0</v>
          </cell>
        </row>
        <row r="1411">
          <cell r="A1411">
            <v>8031</v>
          </cell>
          <cell r="B1411" t="str">
            <v>閻羅王</v>
          </cell>
          <cell r="C1411">
            <v>5</v>
          </cell>
          <cell r="D1411" t="str">
            <v>red</v>
          </cell>
          <cell r="E1411">
            <v>1</v>
          </cell>
          <cell r="F1411">
            <v>1.02</v>
          </cell>
          <cell r="G1411">
            <v>1</v>
          </cell>
          <cell r="H1411" t="str">
            <v>balance</v>
          </cell>
          <cell r="I1411" t="str">
            <v>バランスタイプ</v>
          </cell>
          <cell r="J1411">
            <v>1</v>
          </cell>
          <cell r="K1411">
            <v>1</v>
          </cell>
          <cell r="L1411">
            <v>1</v>
          </cell>
          <cell r="M1411" t="str">
            <v>god</v>
          </cell>
          <cell r="N1411" t="str">
            <v>ゴッド</v>
          </cell>
          <cell r="O1411">
            <v>0.96</v>
          </cell>
          <cell r="P1411">
            <v>1.02</v>
          </cell>
          <cell r="Q1411">
            <v>1</v>
          </cell>
          <cell r="R1411" t="str">
            <v>Boss</v>
          </cell>
          <cell r="S1411">
            <v>5</v>
          </cell>
          <cell r="T1411">
            <v>1.3</v>
          </cell>
          <cell r="U1411">
            <v>0.8</v>
          </cell>
          <cell r="V1411">
            <v>3</v>
          </cell>
          <cell r="W1411">
            <v>1</v>
          </cell>
          <cell r="X1411">
            <v>60</v>
          </cell>
          <cell r="Y1411">
            <v>1.7</v>
          </cell>
          <cell r="Z1411">
            <v>1.4</v>
          </cell>
          <cell r="AA1411">
            <v>1</v>
          </cell>
          <cell r="AB1411">
            <v>0</v>
          </cell>
        </row>
        <row r="1412">
          <cell r="A1412">
            <v>8032</v>
          </cell>
          <cell r="B1412" t="str">
            <v>六道輪廻の絶獄 閻羅王</v>
          </cell>
          <cell r="C1412">
            <v>6</v>
          </cell>
          <cell r="D1412" t="str">
            <v>red</v>
          </cell>
          <cell r="E1412">
            <v>1</v>
          </cell>
          <cell r="F1412">
            <v>1.02</v>
          </cell>
          <cell r="G1412">
            <v>1</v>
          </cell>
          <cell r="H1412" t="str">
            <v>balance</v>
          </cell>
          <cell r="I1412" t="str">
            <v>バランスタイプ</v>
          </cell>
          <cell r="J1412">
            <v>1</v>
          </cell>
          <cell r="K1412">
            <v>1</v>
          </cell>
          <cell r="L1412">
            <v>1</v>
          </cell>
          <cell r="M1412" t="str">
            <v>god</v>
          </cell>
          <cell r="N1412" t="str">
            <v>ゴッド</v>
          </cell>
          <cell r="O1412">
            <v>0.96</v>
          </cell>
          <cell r="P1412">
            <v>1.02</v>
          </cell>
          <cell r="Q1412">
            <v>1</v>
          </cell>
          <cell r="R1412" t="str">
            <v>Boss</v>
          </cell>
          <cell r="S1412">
            <v>5</v>
          </cell>
          <cell r="T1412">
            <v>1.3</v>
          </cell>
          <cell r="U1412">
            <v>0.8</v>
          </cell>
          <cell r="V1412">
            <v>3</v>
          </cell>
          <cell r="W1412">
            <v>1</v>
          </cell>
          <cell r="X1412">
            <v>60</v>
          </cell>
          <cell r="Y1412">
            <v>1.7</v>
          </cell>
          <cell r="Z1412">
            <v>1.4</v>
          </cell>
          <cell r="AA1412">
            <v>1</v>
          </cell>
          <cell r="AB1412">
            <v>0</v>
          </cell>
        </row>
        <row r="1413">
          <cell r="A1413">
            <v>8033</v>
          </cell>
          <cell r="B1413" t="str">
            <v>牛頭馬面</v>
          </cell>
          <cell r="C1413">
            <v>5</v>
          </cell>
          <cell r="D1413" t="str">
            <v>green</v>
          </cell>
          <cell r="E1413">
            <v>1.02</v>
          </cell>
          <cell r="F1413">
            <v>0.98</v>
          </cell>
          <cell r="G1413">
            <v>1</v>
          </cell>
          <cell r="H1413" t="str">
            <v>attack</v>
          </cell>
          <cell r="I1413" t="str">
            <v>攻撃タイプ</v>
          </cell>
          <cell r="J1413">
            <v>1</v>
          </cell>
          <cell r="K1413">
            <v>1.33</v>
          </cell>
          <cell r="L1413">
            <v>1</v>
          </cell>
          <cell r="M1413" t="str">
            <v>god</v>
          </cell>
          <cell r="N1413" t="str">
            <v>ゴッド</v>
          </cell>
          <cell r="O1413">
            <v>0.96</v>
          </cell>
          <cell r="P1413">
            <v>1.02</v>
          </cell>
          <cell r="Q1413">
            <v>1</v>
          </cell>
          <cell r="R1413" t="str">
            <v>Boss</v>
          </cell>
          <cell r="S1413">
            <v>5</v>
          </cell>
          <cell r="T1413">
            <v>1.3</v>
          </cell>
          <cell r="U1413">
            <v>0.8</v>
          </cell>
          <cell r="V1413">
            <v>3</v>
          </cell>
          <cell r="W1413">
            <v>1</v>
          </cell>
          <cell r="X1413">
            <v>60</v>
          </cell>
          <cell r="Y1413">
            <v>1.7</v>
          </cell>
          <cell r="Z1413">
            <v>1.4</v>
          </cell>
          <cell r="AA1413">
            <v>1</v>
          </cell>
          <cell r="AB1413">
            <v>0</v>
          </cell>
        </row>
        <row r="1414">
          <cell r="A1414">
            <v>8034</v>
          </cell>
          <cell r="B1414" t="str">
            <v>冥府狩る魂使 牛頭馬面</v>
          </cell>
          <cell r="C1414">
            <v>6</v>
          </cell>
          <cell r="D1414" t="str">
            <v>green</v>
          </cell>
          <cell r="E1414">
            <v>1.02</v>
          </cell>
          <cell r="F1414">
            <v>0.98</v>
          </cell>
          <cell r="G1414">
            <v>1</v>
          </cell>
          <cell r="H1414" t="str">
            <v>attack</v>
          </cell>
          <cell r="I1414" t="str">
            <v>攻撃タイプ</v>
          </cell>
          <cell r="J1414">
            <v>1</v>
          </cell>
          <cell r="K1414">
            <v>1.33</v>
          </cell>
          <cell r="L1414">
            <v>1</v>
          </cell>
          <cell r="M1414" t="str">
            <v>god</v>
          </cell>
          <cell r="N1414" t="str">
            <v>ゴッド</v>
          </cell>
          <cell r="O1414">
            <v>0.96</v>
          </cell>
          <cell r="P1414">
            <v>1.02</v>
          </cell>
          <cell r="Q1414">
            <v>1</v>
          </cell>
          <cell r="R1414" t="str">
            <v>Boss</v>
          </cell>
          <cell r="S1414">
            <v>5</v>
          </cell>
          <cell r="T1414">
            <v>1.3</v>
          </cell>
          <cell r="U1414">
            <v>0.8</v>
          </cell>
          <cell r="V1414">
            <v>3</v>
          </cell>
          <cell r="W1414">
            <v>1</v>
          </cell>
          <cell r="X1414">
            <v>60</v>
          </cell>
          <cell r="Y1414">
            <v>1.7</v>
          </cell>
          <cell r="Z1414">
            <v>1.4</v>
          </cell>
          <cell r="AA1414">
            <v>1</v>
          </cell>
          <cell r="AB1414">
            <v>0</v>
          </cell>
        </row>
        <row r="1415">
          <cell r="A1415">
            <v>8035</v>
          </cell>
          <cell r="B1415" t="str">
            <v>飛衛</v>
          </cell>
          <cell r="C1415">
            <v>5</v>
          </cell>
          <cell r="D1415" t="str">
            <v>blue</v>
          </cell>
          <cell r="E1415">
            <v>1</v>
          </cell>
          <cell r="F1415">
            <v>0.98</v>
          </cell>
          <cell r="G1415">
            <v>1</v>
          </cell>
          <cell r="H1415" t="str">
            <v>heal</v>
          </cell>
          <cell r="I1415" t="str">
            <v>回復タイプ</v>
          </cell>
          <cell r="J1415">
            <v>0.8</v>
          </cell>
          <cell r="K1415">
            <v>0.78</v>
          </cell>
          <cell r="L1415">
            <v>1</v>
          </cell>
          <cell r="M1415" t="str">
            <v>human</v>
          </cell>
          <cell r="N1415" t="str">
            <v>ヒューマン</v>
          </cell>
          <cell r="O1415">
            <v>0.94</v>
          </cell>
          <cell r="P1415">
            <v>0.99</v>
          </cell>
          <cell r="Q1415">
            <v>1</v>
          </cell>
          <cell r="R1415" t="str">
            <v>Boss</v>
          </cell>
          <cell r="S1415">
            <v>5</v>
          </cell>
          <cell r="T1415">
            <v>1.3</v>
          </cell>
          <cell r="U1415">
            <v>0.8</v>
          </cell>
          <cell r="V1415">
            <v>3</v>
          </cell>
          <cell r="W1415">
            <v>1</v>
          </cell>
          <cell r="X1415">
            <v>60</v>
          </cell>
          <cell r="Y1415">
            <v>1.7</v>
          </cell>
          <cell r="Z1415">
            <v>1.4</v>
          </cell>
          <cell r="AA1415">
            <v>1</v>
          </cell>
          <cell r="AB1415">
            <v>0</v>
          </cell>
        </row>
        <row r="1416">
          <cell r="A1416">
            <v>8036</v>
          </cell>
          <cell r="B1416" t="str">
            <v>レア６飛衛</v>
          </cell>
          <cell r="C1416">
            <v>6</v>
          </cell>
          <cell r="D1416" t="str">
            <v>blue</v>
          </cell>
          <cell r="E1416">
            <v>1</v>
          </cell>
          <cell r="F1416">
            <v>0.98</v>
          </cell>
          <cell r="G1416">
            <v>1</v>
          </cell>
          <cell r="H1416" t="str">
            <v>heal</v>
          </cell>
          <cell r="I1416" t="str">
            <v>回復タイプ</v>
          </cell>
          <cell r="J1416">
            <v>0.8</v>
          </cell>
          <cell r="K1416">
            <v>0.78</v>
          </cell>
          <cell r="L1416">
            <v>1</v>
          </cell>
          <cell r="M1416" t="str">
            <v>human</v>
          </cell>
          <cell r="N1416" t="str">
            <v>ヒューマン</v>
          </cell>
          <cell r="O1416">
            <v>0.94</v>
          </cell>
          <cell r="P1416">
            <v>0.99</v>
          </cell>
          <cell r="Q1416">
            <v>1</v>
          </cell>
          <cell r="R1416" t="str">
            <v>Boss</v>
          </cell>
          <cell r="S1416">
            <v>5</v>
          </cell>
          <cell r="T1416">
            <v>1.3</v>
          </cell>
          <cell r="U1416">
            <v>0.8</v>
          </cell>
          <cell r="V1416">
            <v>3</v>
          </cell>
          <cell r="W1416">
            <v>1</v>
          </cell>
          <cell r="X1416">
            <v>60</v>
          </cell>
          <cell r="Y1416">
            <v>1.7</v>
          </cell>
          <cell r="Z1416">
            <v>1.4</v>
          </cell>
          <cell r="AA1416">
            <v>1</v>
          </cell>
          <cell r="AB1416">
            <v>0</v>
          </cell>
        </row>
        <row r="1417">
          <cell r="A1417">
            <v>8037</v>
          </cell>
          <cell r="B1417" t="str">
            <v>紀昌</v>
          </cell>
          <cell r="C1417">
            <v>5</v>
          </cell>
          <cell r="D1417" t="str">
            <v>red</v>
          </cell>
          <cell r="E1417">
            <v>1</v>
          </cell>
          <cell r="F1417">
            <v>1.02</v>
          </cell>
          <cell r="G1417">
            <v>1</v>
          </cell>
          <cell r="H1417" t="str">
            <v>attack</v>
          </cell>
          <cell r="I1417" t="str">
            <v>攻撃タイプ</v>
          </cell>
          <cell r="J1417">
            <v>1</v>
          </cell>
          <cell r="K1417">
            <v>1.33</v>
          </cell>
          <cell r="L1417">
            <v>1</v>
          </cell>
          <cell r="M1417" t="str">
            <v>human</v>
          </cell>
          <cell r="N1417" t="str">
            <v>ヒューマン</v>
          </cell>
          <cell r="O1417">
            <v>0.94</v>
          </cell>
          <cell r="P1417">
            <v>0.99</v>
          </cell>
          <cell r="Q1417">
            <v>1</v>
          </cell>
          <cell r="R1417" t="str">
            <v>Boss</v>
          </cell>
          <cell r="S1417">
            <v>5</v>
          </cell>
          <cell r="T1417">
            <v>1.3</v>
          </cell>
          <cell r="U1417">
            <v>0.8</v>
          </cell>
          <cell r="V1417">
            <v>3</v>
          </cell>
          <cell r="W1417">
            <v>1</v>
          </cell>
          <cell r="X1417">
            <v>60</v>
          </cell>
          <cell r="Y1417">
            <v>1.7</v>
          </cell>
          <cell r="Z1417">
            <v>1.4</v>
          </cell>
          <cell r="AA1417">
            <v>1</v>
          </cell>
          <cell r="AB1417">
            <v>0</v>
          </cell>
        </row>
        <row r="1418">
          <cell r="A1418">
            <v>8038</v>
          </cell>
          <cell r="B1418" t="str">
            <v>レア６紀昌</v>
          </cell>
          <cell r="C1418">
            <v>6</v>
          </cell>
          <cell r="D1418" t="str">
            <v>red</v>
          </cell>
          <cell r="E1418">
            <v>1</v>
          </cell>
          <cell r="F1418">
            <v>1.02</v>
          </cell>
          <cell r="G1418">
            <v>1</v>
          </cell>
          <cell r="H1418" t="str">
            <v>attack</v>
          </cell>
          <cell r="I1418" t="str">
            <v>攻撃タイプ</v>
          </cell>
          <cell r="J1418">
            <v>1</v>
          </cell>
          <cell r="K1418">
            <v>1.33</v>
          </cell>
          <cell r="L1418">
            <v>1</v>
          </cell>
          <cell r="M1418" t="str">
            <v>human</v>
          </cell>
          <cell r="N1418" t="str">
            <v>ヒューマン</v>
          </cell>
          <cell r="O1418">
            <v>0.94</v>
          </cell>
          <cell r="P1418">
            <v>0.99</v>
          </cell>
          <cell r="Q1418">
            <v>1</v>
          </cell>
          <cell r="R1418" t="str">
            <v>Boss</v>
          </cell>
          <cell r="S1418">
            <v>5</v>
          </cell>
          <cell r="T1418">
            <v>1.3</v>
          </cell>
          <cell r="U1418">
            <v>0.8</v>
          </cell>
          <cell r="V1418">
            <v>3</v>
          </cell>
          <cell r="W1418">
            <v>1</v>
          </cell>
          <cell r="X1418">
            <v>60</v>
          </cell>
          <cell r="Y1418">
            <v>1.7</v>
          </cell>
          <cell r="Z1418">
            <v>1.4</v>
          </cell>
          <cell r="AA1418">
            <v>1</v>
          </cell>
          <cell r="AB1418">
            <v>0</v>
          </cell>
        </row>
        <row r="1419">
          <cell r="A1419">
            <v>8039</v>
          </cell>
          <cell r="B1419" t="str">
            <v>何仙姑</v>
          </cell>
          <cell r="C1419">
            <v>5</v>
          </cell>
          <cell r="D1419" t="str">
            <v>yellow</v>
          </cell>
          <cell r="E1419">
            <v>0.98</v>
          </cell>
          <cell r="F1419">
            <v>1.01</v>
          </cell>
          <cell r="G1419">
            <v>1</v>
          </cell>
          <cell r="H1419" t="str">
            <v>hp</v>
          </cell>
          <cell r="I1419" t="str">
            <v>体力タイプ</v>
          </cell>
          <cell r="J1419">
            <v>1.45</v>
          </cell>
          <cell r="K1419">
            <v>0.85</v>
          </cell>
          <cell r="L1419">
            <v>1</v>
          </cell>
          <cell r="M1419" t="str">
            <v>god</v>
          </cell>
          <cell r="N1419" t="str">
            <v>ゴッド</v>
          </cell>
          <cell r="O1419">
            <v>0.96</v>
          </cell>
          <cell r="P1419">
            <v>1.02</v>
          </cell>
          <cell r="Q1419">
            <v>1</v>
          </cell>
          <cell r="R1419" t="str">
            <v>Boss</v>
          </cell>
          <cell r="S1419">
            <v>5</v>
          </cell>
          <cell r="T1419">
            <v>1.3</v>
          </cell>
          <cell r="U1419">
            <v>0.8</v>
          </cell>
          <cell r="V1419">
            <v>3</v>
          </cell>
          <cell r="W1419">
            <v>1</v>
          </cell>
          <cell r="X1419">
            <v>60</v>
          </cell>
          <cell r="Y1419">
            <v>1.7</v>
          </cell>
          <cell r="Z1419">
            <v>1.4</v>
          </cell>
          <cell r="AA1419">
            <v>1</v>
          </cell>
          <cell r="AB1419">
            <v>0</v>
          </cell>
        </row>
        <row r="1420">
          <cell r="A1420">
            <v>8040</v>
          </cell>
          <cell r="B1420" t="str">
            <v>レア６何仙姑</v>
          </cell>
          <cell r="C1420">
            <v>6</v>
          </cell>
          <cell r="D1420" t="str">
            <v>yellow</v>
          </cell>
          <cell r="E1420">
            <v>0.98</v>
          </cell>
          <cell r="F1420">
            <v>1.01</v>
          </cell>
          <cell r="G1420">
            <v>1</v>
          </cell>
          <cell r="H1420" t="str">
            <v>hp</v>
          </cell>
          <cell r="I1420" t="str">
            <v>体力タイプ</v>
          </cell>
          <cell r="J1420">
            <v>1.45</v>
          </cell>
          <cell r="K1420">
            <v>0.85</v>
          </cell>
          <cell r="L1420">
            <v>1</v>
          </cell>
          <cell r="M1420" t="str">
            <v>god</v>
          </cell>
          <cell r="N1420" t="str">
            <v>ゴッド</v>
          </cell>
          <cell r="O1420">
            <v>0.96</v>
          </cell>
          <cell r="P1420">
            <v>1.02</v>
          </cell>
          <cell r="Q1420">
            <v>1</v>
          </cell>
          <cell r="R1420" t="str">
            <v>Boss</v>
          </cell>
          <cell r="S1420">
            <v>5</v>
          </cell>
          <cell r="T1420">
            <v>1.3</v>
          </cell>
          <cell r="U1420">
            <v>0.8</v>
          </cell>
          <cell r="V1420">
            <v>3</v>
          </cell>
          <cell r="W1420">
            <v>1</v>
          </cell>
          <cell r="X1420">
            <v>60</v>
          </cell>
          <cell r="Y1420">
            <v>1.7</v>
          </cell>
          <cell r="Z1420">
            <v>1.4</v>
          </cell>
          <cell r="AA1420">
            <v>1</v>
          </cell>
          <cell r="AB1420">
            <v>0</v>
          </cell>
        </row>
        <row r="1421">
          <cell r="A1421">
            <v>8041</v>
          </cell>
          <cell r="B1421" t="str">
            <v>藍采和</v>
          </cell>
          <cell r="C1421">
            <v>5</v>
          </cell>
          <cell r="D1421" t="str">
            <v>blue</v>
          </cell>
          <cell r="E1421">
            <v>1</v>
          </cell>
          <cell r="F1421">
            <v>0.98</v>
          </cell>
          <cell r="G1421">
            <v>1</v>
          </cell>
          <cell r="H1421" t="str">
            <v>balance</v>
          </cell>
          <cell r="I1421" t="str">
            <v>バランスタイプ</v>
          </cell>
          <cell r="J1421">
            <v>1</v>
          </cell>
          <cell r="K1421">
            <v>1</v>
          </cell>
          <cell r="L1421">
            <v>1</v>
          </cell>
          <cell r="M1421" t="str">
            <v>god</v>
          </cell>
          <cell r="N1421" t="str">
            <v>ゴッド</v>
          </cell>
          <cell r="O1421">
            <v>0.96</v>
          </cell>
          <cell r="P1421">
            <v>1.02</v>
          </cell>
          <cell r="Q1421">
            <v>1</v>
          </cell>
          <cell r="R1421" t="str">
            <v>Boss</v>
          </cell>
          <cell r="S1421">
            <v>5</v>
          </cell>
          <cell r="T1421">
            <v>1.3</v>
          </cell>
          <cell r="U1421">
            <v>0.8</v>
          </cell>
          <cell r="V1421">
            <v>3</v>
          </cell>
          <cell r="W1421">
            <v>1</v>
          </cell>
          <cell r="X1421">
            <v>60</v>
          </cell>
          <cell r="Y1421">
            <v>1.7</v>
          </cell>
          <cell r="Z1421">
            <v>1.4</v>
          </cell>
          <cell r="AA1421">
            <v>1</v>
          </cell>
          <cell r="AB1421">
            <v>0</v>
          </cell>
        </row>
        <row r="1422">
          <cell r="A1422">
            <v>8042</v>
          </cell>
          <cell r="B1422" t="str">
            <v>レア６藍采和</v>
          </cell>
          <cell r="C1422">
            <v>6</v>
          </cell>
          <cell r="D1422" t="str">
            <v>blue</v>
          </cell>
          <cell r="E1422">
            <v>1</v>
          </cell>
          <cell r="F1422">
            <v>0.98</v>
          </cell>
          <cell r="G1422">
            <v>1</v>
          </cell>
          <cell r="H1422" t="str">
            <v>balance</v>
          </cell>
          <cell r="I1422" t="str">
            <v>バランスタイプ</v>
          </cell>
          <cell r="J1422">
            <v>1</v>
          </cell>
          <cell r="K1422">
            <v>1</v>
          </cell>
          <cell r="L1422">
            <v>1</v>
          </cell>
          <cell r="M1422" t="str">
            <v>god</v>
          </cell>
          <cell r="N1422" t="str">
            <v>ゴッド</v>
          </cell>
          <cell r="O1422">
            <v>0.96</v>
          </cell>
          <cell r="P1422">
            <v>1.02</v>
          </cell>
          <cell r="Q1422">
            <v>1</v>
          </cell>
          <cell r="R1422" t="str">
            <v>Boss</v>
          </cell>
          <cell r="S1422">
            <v>5</v>
          </cell>
          <cell r="T1422">
            <v>1.3</v>
          </cell>
          <cell r="U1422">
            <v>0.8</v>
          </cell>
          <cell r="V1422">
            <v>3</v>
          </cell>
          <cell r="W1422">
            <v>1</v>
          </cell>
          <cell r="X1422">
            <v>60</v>
          </cell>
          <cell r="Y1422">
            <v>1.7</v>
          </cell>
          <cell r="Z1422">
            <v>1.4</v>
          </cell>
          <cell r="AA1422">
            <v>1</v>
          </cell>
          <cell r="AB1422">
            <v>0</v>
          </cell>
        </row>
        <row r="1423">
          <cell r="A1423">
            <v>8043</v>
          </cell>
          <cell r="B1423" t="str">
            <v>サンリオキャラ大集合+アザゼル</v>
          </cell>
          <cell r="C1423">
            <v>5</v>
          </cell>
          <cell r="D1423" t="str">
            <v>green</v>
          </cell>
          <cell r="E1423">
            <v>1.02</v>
          </cell>
          <cell r="F1423">
            <v>0.98</v>
          </cell>
          <cell r="G1423">
            <v>1</v>
          </cell>
          <cell r="H1423" t="str">
            <v>technical</v>
          </cell>
          <cell r="I1423" t="str">
            <v>テクニカルタイプ</v>
          </cell>
          <cell r="J1423">
            <v>1</v>
          </cell>
          <cell r="K1423">
            <v>1</v>
          </cell>
          <cell r="L1423">
            <v>1</v>
          </cell>
          <cell r="M1423" t="str">
            <v>god</v>
          </cell>
          <cell r="N1423" t="str">
            <v>ゴッド</v>
          </cell>
          <cell r="O1423">
            <v>0.96</v>
          </cell>
          <cell r="P1423">
            <v>1.02</v>
          </cell>
          <cell r="Q1423">
            <v>1</v>
          </cell>
          <cell r="R1423" t="str">
            <v>Boss</v>
          </cell>
          <cell r="S1423">
            <v>5</v>
          </cell>
          <cell r="T1423">
            <v>1.3</v>
          </cell>
          <cell r="U1423">
            <v>0.8</v>
          </cell>
          <cell r="V1423">
            <v>3</v>
          </cell>
          <cell r="W1423">
            <v>1</v>
          </cell>
          <cell r="X1423">
            <v>60</v>
          </cell>
          <cell r="Y1423">
            <v>1.7</v>
          </cell>
          <cell r="Z1423">
            <v>1.4</v>
          </cell>
          <cell r="AA1423">
            <v>1</v>
          </cell>
          <cell r="AB1423">
            <v>0</v>
          </cell>
        </row>
        <row r="1424">
          <cell r="A1424">
            <v>8044</v>
          </cell>
          <cell r="B1424" t="str">
            <v>サンリオキャラ大集合+アザゼル</v>
          </cell>
          <cell r="C1424">
            <v>6</v>
          </cell>
          <cell r="D1424" t="str">
            <v>green</v>
          </cell>
          <cell r="E1424">
            <v>1.02</v>
          </cell>
          <cell r="F1424">
            <v>0.98</v>
          </cell>
          <cell r="G1424">
            <v>1</v>
          </cell>
          <cell r="H1424" t="str">
            <v>technical</v>
          </cell>
          <cell r="I1424" t="str">
            <v>テクニカルタイプ</v>
          </cell>
          <cell r="J1424">
            <v>1</v>
          </cell>
          <cell r="K1424">
            <v>1</v>
          </cell>
          <cell r="L1424">
            <v>1</v>
          </cell>
          <cell r="M1424" t="str">
            <v>god</v>
          </cell>
          <cell r="N1424" t="str">
            <v>ゴッド</v>
          </cell>
          <cell r="O1424">
            <v>0.96</v>
          </cell>
          <cell r="P1424">
            <v>1.02</v>
          </cell>
          <cell r="Q1424">
            <v>1</v>
          </cell>
          <cell r="R1424" t="str">
            <v>Boss</v>
          </cell>
          <cell r="S1424">
            <v>5</v>
          </cell>
          <cell r="T1424">
            <v>1.3</v>
          </cell>
          <cell r="U1424">
            <v>0.8</v>
          </cell>
          <cell r="V1424">
            <v>3</v>
          </cell>
          <cell r="W1424">
            <v>1</v>
          </cell>
          <cell r="X1424">
            <v>60</v>
          </cell>
          <cell r="Y1424">
            <v>1.7</v>
          </cell>
          <cell r="Z1424">
            <v>1.4</v>
          </cell>
          <cell r="AA1424">
            <v>1</v>
          </cell>
          <cell r="AB1424">
            <v>0</v>
          </cell>
        </row>
        <row r="1425">
          <cell r="A1425">
            <v>8045</v>
          </cell>
          <cell r="B1425" t="str">
            <v>ニムダ_サンリオキャラ混じり</v>
          </cell>
          <cell r="C1425">
            <v>4</v>
          </cell>
          <cell r="D1425" t="str">
            <v>yellow</v>
          </cell>
          <cell r="E1425">
            <v>0.98</v>
          </cell>
          <cell r="F1425">
            <v>1.01</v>
          </cell>
          <cell r="G1425">
            <v>1</v>
          </cell>
          <cell r="H1425" t="str">
            <v>technical</v>
          </cell>
          <cell r="I1425" t="str">
            <v>テクニカルタイプ</v>
          </cell>
          <cell r="J1425">
            <v>1</v>
          </cell>
          <cell r="K1425">
            <v>1</v>
          </cell>
          <cell r="L1425">
            <v>1</v>
          </cell>
          <cell r="M1425" t="str">
            <v>unknown</v>
          </cell>
          <cell r="N1425" t="str">
            <v>Unknown</v>
          </cell>
          <cell r="O1425">
            <v>1</v>
          </cell>
          <cell r="P1425">
            <v>1</v>
          </cell>
          <cell r="Q1425">
            <v>1</v>
          </cell>
          <cell r="R1425" t="str">
            <v>Boss</v>
          </cell>
          <cell r="S1425">
            <v>5</v>
          </cell>
          <cell r="T1425">
            <v>1.3</v>
          </cell>
          <cell r="U1425">
            <v>0.8</v>
          </cell>
          <cell r="V1425">
            <v>3</v>
          </cell>
          <cell r="W1425">
            <v>1</v>
          </cell>
          <cell r="X1425">
            <v>30</v>
          </cell>
          <cell r="Y1425">
            <v>1.3</v>
          </cell>
          <cell r="Z1425">
            <v>1.3</v>
          </cell>
          <cell r="AA1425">
            <v>1.1000000000000001</v>
          </cell>
          <cell r="AB1425">
            <v>0</v>
          </cell>
        </row>
        <row r="1426">
          <cell r="A1426">
            <v>8046</v>
          </cell>
          <cell r="B1426" t="str">
            <v>ニムダ_サンリオキャラ混じり</v>
          </cell>
          <cell r="C1426">
            <v>5</v>
          </cell>
          <cell r="D1426" t="str">
            <v>yellow</v>
          </cell>
          <cell r="E1426">
            <v>0.98</v>
          </cell>
          <cell r="F1426">
            <v>1.01</v>
          </cell>
          <cell r="G1426">
            <v>1</v>
          </cell>
          <cell r="H1426" t="str">
            <v>technical</v>
          </cell>
          <cell r="I1426" t="str">
            <v>テクニカルタイプ</v>
          </cell>
          <cell r="J1426">
            <v>1</v>
          </cell>
          <cell r="K1426">
            <v>1</v>
          </cell>
          <cell r="L1426">
            <v>1</v>
          </cell>
          <cell r="M1426" t="str">
            <v>unknown</v>
          </cell>
          <cell r="N1426" t="str">
            <v>Unknown</v>
          </cell>
          <cell r="O1426">
            <v>1</v>
          </cell>
          <cell r="P1426">
            <v>1</v>
          </cell>
          <cell r="Q1426">
            <v>1</v>
          </cell>
          <cell r="R1426" t="str">
            <v>Boss</v>
          </cell>
          <cell r="S1426">
            <v>5</v>
          </cell>
          <cell r="T1426">
            <v>1.3</v>
          </cell>
          <cell r="U1426">
            <v>0.8</v>
          </cell>
          <cell r="V1426">
            <v>3</v>
          </cell>
          <cell r="W1426">
            <v>1</v>
          </cell>
          <cell r="X1426">
            <v>60</v>
          </cell>
          <cell r="Y1426">
            <v>1.7</v>
          </cell>
          <cell r="Z1426">
            <v>1.4</v>
          </cell>
          <cell r="AA1426">
            <v>1</v>
          </cell>
          <cell r="AB1426">
            <v>0</v>
          </cell>
        </row>
        <row r="1427">
          <cell r="A1427">
            <v>8047</v>
          </cell>
          <cell r="B1427" t="str">
            <v>ハローキティ</v>
          </cell>
          <cell r="C1427">
            <v>4</v>
          </cell>
          <cell r="D1427" t="str">
            <v>red</v>
          </cell>
          <cell r="E1427">
            <v>1</v>
          </cell>
          <cell r="F1427">
            <v>1.02</v>
          </cell>
          <cell r="G1427">
            <v>1</v>
          </cell>
          <cell r="H1427" t="str">
            <v>balance</v>
          </cell>
          <cell r="I1427" t="str">
            <v>バランスタイプ</v>
          </cell>
          <cell r="J1427">
            <v>1</v>
          </cell>
          <cell r="K1427">
            <v>1</v>
          </cell>
          <cell r="L1427">
            <v>1</v>
          </cell>
          <cell r="M1427" t="str">
            <v>unknown</v>
          </cell>
          <cell r="N1427" t="str">
            <v>Unknown</v>
          </cell>
          <cell r="O1427">
            <v>1</v>
          </cell>
          <cell r="P1427">
            <v>1</v>
          </cell>
          <cell r="Q1427">
            <v>1</v>
          </cell>
          <cell r="R1427" t="str">
            <v>Boss</v>
          </cell>
          <cell r="S1427">
            <v>5</v>
          </cell>
          <cell r="T1427">
            <v>1.3</v>
          </cell>
          <cell r="U1427">
            <v>0.8</v>
          </cell>
          <cell r="V1427">
            <v>3</v>
          </cell>
          <cell r="W1427">
            <v>1</v>
          </cell>
          <cell r="X1427">
            <v>30</v>
          </cell>
          <cell r="Y1427">
            <v>1.3</v>
          </cell>
          <cell r="Z1427">
            <v>1.3</v>
          </cell>
          <cell r="AA1427">
            <v>1.1000000000000001</v>
          </cell>
          <cell r="AB1427">
            <v>0</v>
          </cell>
        </row>
        <row r="1428">
          <cell r="A1428">
            <v>8048</v>
          </cell>
          <cell r="B1428" t="str">
            <v>ハローキティ</v>
          </cell>
          <cell r="C1428">
            <v>5</v>
          </cell>
          <cell r="D1428" t="str">
            <v>red</v>
          </cell>
          <cell r="E1428">
            <v>1</v>
          </cell>
          <cell r="F1428">
            <v>1.02</v>
          </cell>
          <cell r="G1428">
            <v>1</v>
          </cell>
          <cell r="H1428" t="str">
            <v>balance</v>
          </cell>
          <cell r="I1428" t="str">
            <v>バランスタイプ</v>
          </cell>
          <cell r="J1428">
            <v>1</v>
          </cell>
          <cell r="K1428">
            <v>1</v>
          </cell>
          <cell r="L1428">
            <v>1</v>
          </cell>
          <cell r="M1428" t="str">
            <v>unknown</v>
          </cell>
          <cell r="N1428" t="str">
            <v>Unknown</v>
          </cell>
          <cell r="O1428">
            <v>1</v>
          </cell>
          <cell r="P1428">
            <v>1</v>
          </cell>
          <cell r="Q1428">
            <v>1</v>
          </cell>
          <cell r="R1428" t="str">
            <v>Boss</v>
          </cell>
          <cell r="S1428">
            <v>5</v>
          </cell>
          <cell r="T1428">
            <v>1.3</v>
          </cell>
          <cell r="U1428">
            <v>0.8</v>
          </cell>
          <cell r="V1428">
            <v>3</v>
          </cell>
          <cell r="W1428">
            <v>1</v>
          </cell>
          <cell r="X1428">
            <v>60</v>
          </cell>
          <cell r="Y1428">
            <v>1.7</v>
          </cell>
          <cell r="Z1428">
            <v>1.4</v>
          </cell>
          <cell r="AA1428">
            <v>1</v>
          </cell>
          <cell r="AB1428">
            <v>0</v>
          </cell>
        </row>
        <row r="1429">
          <cell r="A1429">
            <v>8049</v>
          </cell>
          <cell r="B1429" t="str">
            <v>KIRIMIちゃん</v>
          </cell>
          <cell r="C1429">
            <v>4</v>
          </cell>
          <cell r="D1429" t="str">
            <v>red</v>
          </cell>
          <cell r="E1429">
            <v>1</v>
          </cell>
          <cell r="F1429">
            <v>1.02</v>
          </cell>
          <cell r="G1429">
            <v>1</v>
          </cell>
          <cell r="H1429" t="str">
            <v>hp</v>
          </cell>
          <cell r="I1429" t="str">
            <v>体力タイプ</v>
          </cell>
          <cell r="J1429">
            <v>1</v>
          </cell>
          <cell r="K1429">
            <v>1</v>
          </cell>
          <cell r="L1429">
            <v>1</v>
          </cell>
          <cell r="M1429" t="str">
            <v>unknown</v>
          </cell>
          <cell r="N1429" t="str">
            <v>Unknown</v>
          </cell>
          <cell r="O1429">
            <v>1</v>
          </cell>
          <cell r="P1429">
            <v>1</v>
          </cell>
          <cell r="Q1429">
            <v>1</v>
          </cell>
          <cell r="R1429" t="str">
            <v>Boss</v>
          </cell>
          <cell r="S1429">
            <v>5</v>
          </cell>
          <cell r="T1429">
            <v>1.3</v>
          </cell>
          <cell r="U1429">
            <v>0.8</v>
          </cell>
          <cell r="V1429">
            <v>3</v>
          </cell>
          <cell r="W1429">
            <v>1</v>
          </cell>
          <cell r="X1429">
            <v>30</v>
          </cell>
          <cell r="Y1429">
            <v>1.3</v>
          </cell>
          <cell r="Z1429">
            <v>1.3</v>
          </cell>
          <cell r="AA1429">
            <v>1.1000000000000001</v>
          </cell>
          <cell r="AB1429">
            <v>0</v>
          </cell>
        </row>
        <row r="1430">
          <cell r="A1430">
            <v>8050</v>
          </cell>
          <cell r="B1430" t="str">
            <v>KIRIMIちゃん</v>
          </cell>
          <cell r="C1430">
            <v>5</v>
          </cell>
          <cell r="D1430" t="str">
            <v>red</v>
          </cell>
          <cell r="E1430">
            <v>1</v>
          </cell>
          <cell r="F1430">
            <v>1.02</v>
          </cell>
          <cell r="G1430">
            <v>1</v>
          </cell>
          <cell r="H1430" t="str">
            <v>hp</v>
          </cell>
          <cell r="I1430" t="str">
            <v>体力タイプ</v>
          </cell>
          <cell r="J1430">
            <v>1</v>
          </cell>
          <cell r="K1430">
            <v>1</v>
          </cell>
          <cell r="L1430">
            <v>1</v>
          </cell>
          <cell r="M1430" t="str">
            <v>unknown</v>
          </cell>
          <cell r="N1430" t="str">
            <v>Unknown</v>
          </cell>
          <cell r="O1430">
            <v>1</v>
          </cell>
          <cell r="P1430">
            <v>1</v>
          </cell>
          <cell r="Q1430">
            <v>1</v>
          </cell>
          <cell r="R1430" t="str">
            <v>Boss</v>
          </cell>
          <cell r="S1430">
            <v>5</v>
          </cell>
          <cell r="T1430">
            <v>1.3</v>
          </cell>
          <cell r="U1430">
            <v>0.8</v>
          </cell>
          <cell r="V1430">
            <v>3</v>
          </cell>
          <cell r="W1430">
            <v>1</v>
          </cell>
          <cell r="X1430">
            <v>60</v>
          </cell>
          <cell r="Y1430">
            <v>1.7</v>
          </cell>
          <cell r="Z1430">
            <v>1.4</v>
          </cell>
          <cell r="AA1430">
            <v>1</v>
          </cell>
          <cell r="AB1430">
            <v>0</v>
          </cell>
        </row>
        <row r="1431">
          <cell r="A1431">
            <v>8051</v>
          </cell>
          <cell r="B1431" t="str">
            <v>ハローキティのリボン</v>
          </cell>
          <cell r="C1431">
            <v>5</v>
          </cell>
          <cell r="D1431" t="str">
            <v>red</v>
          </cell>
          <cell r="E1431">
            <v>1</v>
          </cell>
          <cell r="F1431">
            <v>1.02</v>
          </cell>
          <cell r="G1431">
            <v>1</v>
          </cell>
          <cell r="H1431" t="str">
            <v>evolution</v>
          </cell>
          <cell r="I1431" t="str">
            <v>覚醒素材タイプ</v>
          </cell>
          <cell r="J1431">
            <v>1</v>
          </cell>
          <cell r="K1431">
            <v>1</v>
          </cell>
          <cell r="L1431">
            <v>1</v>
          </cell>
          <cell r="M1431" t="str">
            <v>unknown</v>
          </cell>
          <cell r="N1431" t="str">
            <v>Unknown</v>
          </cell>
          <cell r="O1431">
            <v>1</v>
          </cell>
          <cell r="P1431">
            <v>1</v>
          </cell>
          <cell r="Q1431">
            <v>1</v>
          </cell>
          <cell r="R1431" t="str">
            <v>Boss</v>
          </cell>
          <cell r="S1431">
            <v>5</v>
          </cell>
          <cell r="T1431">
            <v>1.3</v>
          </cell>
          <cell r="U1431">
            <v>0.8</v>
          </cell>
          <cell r="V1431">
            <v>3</v>
          </cell>
          <cell r="W1431">
            <v>1</v>
          </cell>
          <cell r="X1431">
            <v>60</v>
          </cell>
          <cell r="Y1431">
            <v>1.7</v>
          </cell>
          <cell r="Z1431">
            <v>1.4</v>
          </cell>
          <cell r="AA1431">
            <v>1</v>
          </cell>
          <cell r="AB1431">
            <v>0</v>
          </cell>
        </row>
        <row r="1432">
          <cell r="A1432">
            <v>8052</v>
          </cell>
          <cell r="B1432" t="str">
            <v>ママの作ったアップルパイ</v>
          </cell>
          <cell r="C1432">
            <v>4</v>
          </cell>
          <cell r="D1432" t="str">
            <v>red</v>
          </cell>
          <cell r="E1432">
            <v>1</v>
          </cell>
          <cell r="F1432">
            <v>1.02</v>
          </cell>
          <cell r="G1432">
            <v>1</v>
          </cell>
          <cell r="H1432" t="str">
            <v>evolution</v>
          </cell>
          <cell r="I1432" t="str">
            <v>覚醒素材タイプ</v>
          </cell>
          <cell r="J1432">
            <v>1</v>
          </cell>
          <cell r="K1432">
            <v>1</v>
          </cell>
          <cell r="L1432">
            <v>1</v>
          </cell>
          <cell r="M1432" t="str">
            <v>unknown</v>
          </cell>
          <cell r="N1432" t="str">
            <v>Unknown</v>
          </cell>
          <cell r="O1432">
            <v>1</v>
          </cell>
          <cell r="P1432">
            <v>1</v>
          </cell>
          <cell r="Q1432">
            <v>1</v>
          </cell>
          <cell r="R1432" t="str">
            <v>Boss</v>
          </cell>
          <cell r="S1432">
            <v>5</v>
          </cell>
          <cell r="T1432">
            <v>1.3</v>
          </cell>
          <cell r="U1432">
            <v>0.8</v>
          </cell>
          <cell r="V1432">
            <v>3</v>
          </cell>
          <cell r="W1432">
            <v>1</v>
          </cell>
          <cell r="X1432">
            <v>30</v>
          </cell>
          <cell r="Y1432">
            <v>1.3</v>
          </cell>
          <cell r="Z1432">
            <v>1.3</v>
          </cell>
          <cell r="AA1432">
            <v>1.1000000000000001</v>
          </cell>
          <cell r="AB1432">
            <v>0</v>
          </cell>
        </row>
        <row r="1433">
          <cell r="A1433">
            <v>8053</v>
          </cell>
          <cell r="B1433" t="str">
            <v>D.R.T.H__キティコスプレ</v>
          </cell>
          <cell r="C1433">
            <v>5</v>
          </cell>
          <cell r="D1433" t="str">
            <v>red</v>
          </cell>
          <cell r="E1433">
            <v>1</v>
          </cell>
          <cell r="F1433">
            <v>1.02</v>
          </cell>
          <cell r="G1433">
            <v>1</v>
          </cell>
          <cell r="H1433" t="str">
            <v>balance</v>
          </cell>
          <cell r="I1433" t="str">
            <v>バランスタイプ</v>
          </cell>
          <cell r="J1433">
            <v>1</v>
          </cell>
          <cell r="K1433">
            <v>1</v>
          </cell>
          <cell r="L1433">
            <v>1</v>
          </cell>
          <cell r="M1433" t="str">
            <v>human</v>
          </cell>
          <cell r="N1433" t="str">
            <v>ヒューマン</v>
          </cell>
          <cell r="O1433">
            <v>0.94</v>
          </cell>
          <cell r="P1433">
            <v>0.99</v>
          </cell>
          <cell r="Q1433">
            <v>1</v>
          </cell>
          <cell r="R1433" t="str">
            <v>Boss</v>
          </cell>
          <cell r="S1433">
            <v>5</v>
          </cell>
          <cell r="T1433">
            <v>1.3</v>
          </cell>
          <cell r="U1433">
            <v>0.8</v>
          </cell>
          <cell r="V1433">
            <v>3</v>
          </cell>
          <cell r="W1433">
            <v>1</v>
          </cell>
          <cell r="X1433">
            <v>60</v>
          </cell>
          <cell r="Y1433">
            <v>1.7</v>
          </cell>
          <cell r="Z1433">
            <v>1.4</v>
          </cell>
          <cell r="AA1433">
            <v>1</v>
          </cell>
          <cell r="AB1433">
            <v>0</v>
          </cell>
        </row>
        <row r="1434">
          <cell r="A1434">
            <v>8054</v>
          </cell>
          <cell r="B1434" t="str">
            <v>D.R.T.H__キティコスプレ</v>
          </cell>
          <cell r="C1434">
            <v>6</v>
          </cell>
          <cell r="D1434" t="str">
            <v>red</v>
          </cell>
          <cell r="E1434">
            <v>1</v>
          </cell>
          <cell r="F1434">
            <v>1.02</v>
          </cell>
          <cell r="G1434">
            <v>1</v>
          </cell>
          <cell r="H1434" t="str">
            <v>balance</v>
          </cell>
          <cell r="I1434" t="str">
            <v>バランスタイプ</v>
          </cell>
          <cell r="J1434">
            <v>1</v>
          </cell>
          <cell r="K1434">
            <v>1</v>
          </cell>
          <cell r="L1434">
            <v>1</v>
          </cell>
          <cell r="M1434" t="str">
            <v>human</v>
          </cell>
          <cell r="N1434" t="str">
            <v>ヒューマン</v>
          </cell>
          <cell r="O1434">
            <v>0.94</v>
          </cell>
          <cell r="P1434">
            <v>0.99</v>
          </cell>
          <cell r="Q1434">
            <v>1</v>
          </cell>
          <cell r="R1434" t="str">
            <v>Boss</v>
          </cell>
          <cell r="S1434">
            <v>5</v>
          </cell>
          <cell r="T1434">
            <v>1.3</v>
          </cell>
          <cell r="U1434">
            <v>0.8</v>
          </cell>
          <cell r="V1434">
            <v>3</v>
          </cell>
          <cell r="W1434">
            <v>1</v>
          </cell>
          <cell r="X1434">
            <v>60</v>
          </cell>
          <cell r="Y1434">
            <v>1.7</v>
          </cell>
          <cell r="Z1434">
            <v>1.4</v>
          </cell>
          <cell r="AA1434">
            <v>1</v>
          </cell>
          <cell r="AB1434">
            <v>0</v>
          </cell>
        </row>
        <row r="1435">
          <cell r="A1435">
            <v>8055</v>
          </cell>
          <cell r="B1435" t="str">
            <v>マイメロディ</v>
          </cell>
          <cell r="C1435">
            <v>4</v>
          </cell>
          <cell r="D1435" t="str">
            <v>red</v>
          </cell>
          <cell r="E1435">
            <v>1</v>
          </cell>
          <cell r="F1435">
            <v>1.02</v>
          </cell>
          <cell r="G1435">
            <v>1</v>
          </cell>
          <cell r="H1435" t="str">
            <v>attack</v>
          </cell>
          <cell r="I1435" t="str">
            <v>攻撃タイプ</v>
          </cell>
          <cell r="J1435">
            <v>1</v>
          </cell>
          <cell r="K1435">
            <v>1</v>
          </cell>
          <cell r="L1435">
            <v>1</v>
          </cell>
          <cell r="M1435" t="str">
            <v>unknown</v>
          </cell>
          <cell r="N1435" t="str">
            <v>Unknown</v>
          </cell>
          <cell r="O1435">
            <v>1</v>
          </cell>
          <cell r="P1435">
            <v>1</v>
          </cell>
          <cell r="Q1435">
            <v>1</v>
          </cell>
          <cell r="R1435" t="str">
            <v>Boss</v>
          </cell>
          <cell r="S1435">
            <v>5</v>
          </cell>
          <cell r="T1435">
            <v>1.3</v>
          </cell>
          <cell r="U1435">
            <v>0.8</v>
          </cell>
          <cell r="V1435">
            <v>3</v>
          </cell>
          <cell r="W1435">
            <v>1</v>
          </cell>
          <cell r="X1435">
            <v>30</v>
          </cell>
          <cell r="Y1435">
            <v>1.3</v>
          </cell>
          <cell r="Z1435">
            <v>1.3</v>
          </cell>
          <cell r="AA1435">
            <v>1.1000000000000001</v>
          </cell>
          <cell r="AB1435">
            <v>0</v>
          </cell>
        </row>
        <row r="1436">
          <cell r="A1436">
            <v>8056</v>
          </cell>
          <cell r="B1436" t="str">
            <v>マイメロディ</v>
          </cell>
          <cell r="C1436">
            <v>5</v>
          </cell>
          <cell r="D1436" t="str">
            <v>red</v>
          </cell>
          <cell r="E1436">
            <v>1</v>
          </cell>
          <cell r="F1436">
            <v>1.02</v>
          </cell>
          <cell r="G1436">
            <v>1</v>
          </cell>
          <cell r="H1436" t="str">
            <v>attack</v>
          </cell>
          <cell r="I1436" t="str">
            <v>攻撃タイプ</v>
          </cell>
          <cell r="J1436">
            <v>1</v>
          </cell>
          <cell r="K1436">
            <v>1</v>
          </cell>
          <cell r="L1436">
            <v>1</v>
          </cell>
          <cell r="M1436" t="str">
            <v>unknown</v>
          </cell>
          <cell r="N1436" t="str">
            <v>Unknown</v>
          </cell>
          <cell r="O1436">
            <v>1</v>
          </cell>
          <cell r="P1436">
            <v>1</v>
          </cell>
          <cell r="Q1436">
            <v>1</v>
          </cell>
          <cell r="R1436" t="str">
            <v>Boss</v>
          </cell>
          <cell r="S1436">
            <v>5</v>
          </cell>
          <cell r="T1436">
            <v>1.3</v>
          </cell>
          <cell r="U1436">
            <v>0.8</v>
          </cell>
          <cell r="V1436">
            <v>3</v>
          </cell>
          <cell r="W1436">
            <v>1</v>
          </cell>
          <cell r="X1436">
            <v>60</v>
          </cell>
          <cell r="Y1436">
            <v>1.7</v>
          </cell>
          <cell r="Z1436">
            <v>1.4</v>
          </cell>
          <cell r="AA1436">
            <v>1</v>
          </cell>
          <cell r="AB1436">
            <v>0</v>
          </cell>
        </row>
        <row r="1437">
          <cell r="A1437">
            <v>8057</v>
          </cell>
          <cell r="B1437" t="str">
            <v>ニーベルゲン_シナモロールコスプレ</v>
          </cell>
          <cell r="C1437">
            <v>4</v>
          </cell>
          <cell r="D1437" t="str">
            <v>green</v>
          </cell>
          <cell r="E1437">
            <v>1.02</v>
          </cell>
          <cell r="F1437">
            <v>0.98</v>
          </cell>
          <cell r="G1437">
            <v>1</v>
          </cell>
          <cell r="H1437" t="str">
            <v>balance</v>
          </cell>
          <cell r="I1437" t="str">
            <v>バランスタイプ</v>
          </cell>
          <cell r="J1437">
            <v>1</v>
          </cell>
          <cell r="K1437">
            <v>1</v>
          </cell>
          <cell r="L1437">
            <v>1</v>
          </cell>
          <cell r="M1437" t="str">
            <v>unknown</v>
          </cell>
          <cell r="N1437" t="str">
            <v>Unknown</v>
          </cell>
          <cell r="O1437">
            <v>1</v>
          </cell>
          <cell r="P1437">
            <v>1</v>
          </cell>
          <cell r="Q1437">
            <v>1</v>
          </cell>
          <cell r="R1437" t="str">
            <v>Boss</v>
          </cell>
          <cell r="S1437">
            <v>5</v>
          </cell>
          <cell r="T1437">
            <v>1.3</v>
          </cell>
          <cell r="U1437">
            <v>0.8</v>
          </cell>
          <cell r="V1437">
            <v>3</v>
          </cell>
          <cell r="W1437">
            <v>1</v>
          </cell>
          <cell r="X1437">
            <v>30</v>
          </cell>
          <cell r="Y1437">
            <v>1.3</v>
          </cell>
          <cell r="Z1437">
            <v>1.3</v>
          </cell>
          <cell r="AA1437">
            <v>1.1000000000000001</v>
          </cell>
          <cell r="AB1437">
            <v>0</v>
          </cell>
        </row>
        <row r="1438">
          <cell r="A1438">
            <v>8058</v>
          </cell>
          <cell r="B1438" t="str">
            <v>ニーベルゲン_シナモロールコスプレ</v>
          </cell>
          <cell r="C1438">
            <v>5</v>
          </cell>
          <cell r="D1438" t="str">
            <v>green</v>
          </cell>
          <cell r="E1438">
            <v>1.02</v>
          </cell>
          <cell r="F1438">
            <v>0.98</v>
          </cell>
          <cell r="G1438">
            <v>1</v>
          </cell>
          <cell r="H1438" t="str">
            <v>balance</v>
          </cell>
          <cell r="I1438" t="str">
            <v>バランスタイプ</v>
          </cell>
          <cell r="J1438">
            <v>1</v>
          </cell>
          <cell r="K1438">
            <v>1</v>
          </cell>
          <cell r="L1438">
            <v>1</v>
          </cell>
          <cell r="M1438" t="str">
            <v>unknown</v>
          </cell>
          <cell r="N1438" t="str">
            <v>Unknown</v>
          </cell>
          <cell r="O1438">
            <v>1</v>
          </cell>
          <cell r="P1438">
            <v>1</v>
          </cell>
          <cell r="Q1438">
            <v>1</v>
          </cell>
          <cell r="R1438" t="str">
            <v>Boss</v>
          </cell>
          <cell r="S1438">
            <v>5</v>
          </cell>
          <cell r="T1438">
            <v>1.3</v>
          </cell>
          <cell r="U1438">
            <v>0.8</v>
          </cell>
          <cell r="V1438">
            <v>3</v>
          </cell>
          <cell r="W1438">
            <v>1</v>
          </cell>
          <cell r="X1438">
            <v>60</v>
          </cell>
          <cell r="Y1438">
            <v>1.7</v>
          </cell>
          <cell r="Z1438">
            <v>1.4</v>
          </cell>
          <cell r="AA1438">
            <v>1</v>
          </cell>
          <cell r="AB1438">
            <v>0</v>
          </cell>
        </row>
        <row r="1439">
          <cell r="A1439">
            <v>8059</v>
          </cell>
          <cell r="B1439" t="str">
            <v>カカシ_マイメロディコスプレ</v>
          </cell>
          <cell r="C1439">
            <v>4</v>
          </cell>
          <cell r="D1439" t="str">
            <v>green</v>
          </cell>
          <cell r="E1439">
            <v>1.02</v>
          </cell>
          <cell r="F1439">
            <v>0.98</v>
          </cell>
          <cell r="G1439">
            <v>1</v>
          </cell>
          <cell r="H1439" t="str">
            <v>technical</v>
          </cell>
          <cell r="I1439" t="str">
            <v>テクニカルタイプ</v>
          </cell>
          <cell r="J1439">
            <v>1</v>
          </cell>
          <cell r="K1439">
            <v>1</v>
          </cell>
          <cell r="L1439">
            <v>1</v>
          </cell>
          <cell r="M1439" t="str">
            <v>human</v>
          </cell>
          <cell r="N1439" t="str">
            <v>ヒューマン</v>
          </cell>
          <cell r="O1439">
            <v>0.94</v>
          </cell>
          <cell r="P1439">
            <v>0.99</v>
          </cell>
          <cell r="Q1439">
            <v>1</v>
          </cell>
          <cell r="R1439" t="str">
            <v>Boss</v>
          </cell>
          <cell r="S1439">
            <v>5</v>
          </cell>
          <cell r="T1439">
            <v>1.3</v>
          </cell>
          <cell r="U1439">
            <v>0.8</v>
          </cell>
          <cell r="V1439">
            <v>3</v>
          </cell>
          <cell r="W1439">
            <v>1</v>
          </cell>
          <cell r="X1439">
            <v>30</v>
          </cell>
          <cell r="Y1439">
            <v>1.3</v>
          </cell>
          <cell r="Z1439">
            <v>1.3</v>
          </cell>
          <cell r="AA1439">
            <v>1.1000000000000001</v>
          </cell>
          <cell r="AB1439">
            <v>0</v>
          </cell>
        </row>
        <row r="1440">
          <cell r="A1440">
            <v>8060</v>
          </cell>
          <cell r="B1440" t="str">
            <v>カカシ_マイメロディコスプレ</v>
          </cell>
          <cell r="C1440">
            <v>5</v>
          </cell>
          <cell r="D1440" t="str">
            <v>green</v>
          </cell>
          <cell r="E1440">
            <v>1.02</v>
          </cell>
          <cell r="F1440">
            <v>0.98</v>
          </cell>
          <cell r="G1440">
            <v>1</v>
          </cell>
          <cell r="H1440" t="str">
            <v>technical</v>
          </cell>
          <cell r="I1440" t="str">
            <v>テクニカルタイプ</v>
          </cell>
          <cell r="J1440">
            <v>1</v>
          </cell>
          <cell r="K1440">
            <v>1</v>
          </cell>
          <cell r="L1440">
            <v>1</v>
          </cell>
          <cell r="M1440" t="str">
            <v>human</v>
          </cell>
          <cell r="N1440" t="str">
            <v>ヒューマン</v>
          </cell>
          <cell r="O1440">
            <v>0.94</v>
          </cell>
          <cell r="P1440">
            <v>0.99</v>
          </cell>
          <cell r="Q1440">
            <v>1</v>
          </cell>
          <cell r="R1440" t="str">
            <v>Boss</v>
          </cell>
          <cell r="S1440">
            <v>5</v>
          </cell>
          <cell r="T1440">
            <v>1.3</v>
          </cell>
          <cell r="U1440">
            <v>0.8</v>
          </cell>
          <cell r="V1440">
            <v>3</v>
          </cell>
          <cell r="W1440">
            <v>1</v>
          </cell>
          <cell r="X1440">
            <v>60</v>
          </cell>
          <cell r="Y1440">
            <v>1.7</v>
          </cell>
          <cell r="Z1440">
            <v>1.4</v>
          </cell>
          <cell r="AA1440">
            <v>1</v>
          </cell>
          <cell r="AB1440">
            <v>0</v>
          </cell>
        </row>
        <row r="1441">
          <cell r="A1441">
            <v>8061</v>
          </cell>
          <cell r="B1441" t="str">
            <v>ケロケロけろっぴ</v>
          </cell>
          <cell r="C1441">
            <v>3</v>
          </cell>
          <cell r="D1441" t="str">
            <v>green</v>
          </cell>
          <cell r="E1441">
            <v>1.02</v>
          </cell>
          <cell r="F1441">
            <v>0.98</v>
          </cell>
          <cell r="G1441">
            <v>1</v>
          </cell>
          <cell r="H1441" t="str">
            <v>balance</v>
          </cell>
          <cell r="I1441" t="str">
            <v>バランスタイプ</v>
          </cell>
          <cell r="J1441">
            <v>1</v>
          </cell>
          <cell r="K1441">
            <v>1</v>
          </cell>
          <cell r="L1441">
            <v>1</v>
          </cell>
          <cell r="M1441" t="str">
            <v>unknown</v>
          </cell>
          <cell r="N1441" t="str">
            <v>Unknown</v>
          </cell>
          <cell r="O1441">
            <v>1</v>
          </cell>
          <cell r="P1441">
            <v>1</v>
          </cell>
          <cell r="Q1441">
            <v>1</v>
          </cell>
          <cell r="R1441" t="str">
            <v>Boss</v>
          </cell>
          <cell r="S1441">
            <v>5</v>
          </cell>
          <cell r="T1441">
            <v>1.3</v>
          </cell>
          <cell r="U1441">
            <v>0.8</v>
          </cell>
          <cell r="V1441">
            <v>3</v>
          </cell>
          <cell r="W1441">
            <v>1</v>
          </cell>
          <cell r="X1441">
            <v>25</v>
          </cell>
          <cell r="Y1441">
            <v>1.2</v>
          </cell>
          <cell r="Z1441">
            <v>1.25</v>
          </cell>
          <cell r="AA1441">
            <v>1.1499999999999999</v>
          </cell>
          <cell r="AB1441">
            <v>0</v>
          </cell>
        </row>
        <row r="1442">
          <cell r="A1442">
            <v>8062</v>
          </cell>
          <cell r="B1442" t="str">
            <v>ケロケロけろっぴ</v>
          </cell>
          <cell r="C1442">
            <v>4</v>
          </cell>
          <cell r="D1442" t="str">
            <v>green</v>
          </cell>
          <cell r="E1442">
            <v>1.02</v>
          </cell>
          <cell r="F1442">
            <v>0.98</v>
          </cell>
          <cell r="G1442">
            <v>1</v>
          </cell>
          <cell r="H1442" t="str">
            <v>balance</v>
          </cell>
          <cell r="I1442" t="str">
            <v>バランスタイプ</v>
          </cell>
          <cell r="J1442">
            <v>1</v>
          </cell>
          <cell r="K1442">
            <v>1</v>
          </cell>
          <cell r="L1442">
            <v>1</v>
          </cell>
          <cell r="M1442" t="str">
            <v>unknown</v>
          </cell>
          <cell r="N1442" t="str">
            <v>Unknown</v>
          </cell>
          <cell r="O1442">
            <v>1</v>
          </cell>
          <cell r="P1442">
            <v>1</v>
          </cell>
          <cell r="Q1442">
            <v>1</v>
          </cell>
          <cell r="R1442" t="str">
            <v>Boss</v>
          </cell>
          <cell r="S1442">
            <v>5</v>
          </cell>
          <cell r="T1442">
            <v>1.3</v>
          </cell>
          <cell r="U1442">
            <v>0.8</v>
          </cell>
          <cell r="V1442">
            <v>3</v>
          </cell>
          <cell r="W1442">
            <v>1</v>
          </cell>
          <cell r="X1442">
            <v>30</v>
          </cell>
          <cell r="Y1442">
            <v>1.3</v>
          </cell>
          <cell r="Z1442">
            <v>1.3</v>
          </cell>
          <cell r="AA1442">
            <v>1.1000000000000001</v>
          </cell>
          <cell r="AB1442">
            <v>0</v>
          </cell>
        </row>
        <row r="1443">
          <cell r="A1443">
            <v>8063</v>
          </cell>
          <cell r="B1443" t="str">
            <v>モルドレッド_ポムポムプリンコスプレ</v>
          </cell>
          <cell r="C1443">
            <v>5</v>
          </cell>
          <cell r="D1443" t="str">
            <v>blue</v>
          </cell>
          <cell r="E1443">
            <v>1</v>
          </cell>
          <cell r="F1443">
            <v>0.98</v>
          </cell>
          <cell r="G1443">
            <v>1</v>
          </cell>
          <cell r="H1443" t="str">
            <v>heal</v>
          </cell>
          <cell r="I1443" t="str">
            <v>回復タイプ</v>
          </cell>
          <cell r="J1443">
            <v>1</v>
          </cell>
          <cell r="K1443">
            <v>1</v>
          </cell>
          <cell r="L1443">
            <v>1</v>
          </cell>
          <cell r="M1443" t="str">
            <v>human</v>
          </cell>
          <cell r="N1443" t="str">
            <v>ヒューマン</v>
          </cell>
          <cell r="O1443">
            <v>0.94</v>
          </cell>
          <cell r="P1443">
            <v>0.99</v>
          </cell>
          <cell r="Q1443">
            <v>1</v>
          </cell>
          <cell r="R1443" t="str">
            <v>Boss</v>
          </cell>
          <cell r="S1443">
            <v>5</v>
          </cell>
          <cell r="T1443">
            <v>1.3</v>
          </cell>
          <cell r="U1443">
            <v>0.8</v>
          </cell>
          <cell r="V1443">
            <v>3</v>
          </cell>
          <cell r="W1443">
            <v>1</v>
          </cell>
          <cell r="X1443">
            <v>60</v>
          </cell>
          <cell r="Y1443">
            <v>1.7</v>
          </cell>
          <cell r="Z1443">
            <v>1.4</v>
          </cell>
          <cell r="AA1443">
            <v>1</v>
          </cell>
          <cell r="AB1443">
            <v>0</v>
          </cell>
        </row>
        <row r="1444">
          <cell r="A1444">
            <v>8064</v>
          </cell>
          <cell r="B1444" t="str">
            <v>モルドレッド_ポムポムプリンコスプレ</v>
          </cell>
          <cell r="C1444">
            <v>6</v>
          </cell>
          <cell r="D1444" t="str">
            <v>blue</v>
          </cell>
          <cell r="E1444">
            <v>1</v>
          </cell>
          <cell r="F1444">
            <v>0.98</v>
          </cell>
          <cell r="G1444">
            <v>1</v>
          </cell>
          <cell r="H1444" t="str">
            <v>heal</v>
          </cell>
          <cell r="I1444" t="str">
            <v>回復タイプ</v>
          </cell>
          <cell r="J1444">
            <v>1</v>
          </cell>
          <cell r="K1444">
            <v>1</v>
          </cell>
          <cell r="L1444">
            <v>1</v>
          </cell>
          <cell r="M1444" t="str">
            <v>human</v>
          </cell>
          <cell r="N1444" t="str">
            <v>ヒューマン</v>
          </cell>
          <cell r="O1444">
            <v>0.94</v>
          </cell>
          <cell r="P1444">
            <v>0.99</v>
          </cell>
          <cell r="Q1444">
            <v>1</v>
          </cell>
          <cell r="R1444" t="str">
            <v>Boss</v>
          </cell>
          <cell r="S1444">
            <v>5</v>
          </cell>
          <cell r="T1444">
            <v>1.3</v>
          </cell>
          <cell r="U1444">
            <v>0.8</v>
          </cell>
          <cell r="V1444">
            <v>3</v>
          </cell>
          <cell r="W1444">
            <v>1</v>
          </cell>
          <cell r="X1444">
            <v>60</v>
          </cell>
          <cell r="Y1444">
            <v>1.7</v>
          </cell>
          <cell r="Z1444">
            <v>1.4</v>
          </cell>
          <cell r="AA1444">
            <v>1</v>
          </cell>
          <cell r="AB1444">
            <v>0</v>
          </cell>
        </row>
        <row r="1445">
          <cell r="A1445">
            <v>8065</v>
          </cell>
          <cell r="B1445" t="str">
            <v>クロミ</v>
          </cell>
          <cell r="C1445">
            <v>3</v>
          </cell>
          <cell r="D1445" t="str">
            <v>blue</v>
          </cell>
          <cell r="E1445">
            <v>1</v>
          </cell>
          <cell r="F1445">
            <v>0.98</v>
          </cell>
          <cell r="G1445">
            <v>1</v>
          </cell>
          <cell r="H1445" t="str">
            <v>technical</v>
          </cell>
          <cell r="I1445" t="str">
            <v>テクニカルタイプ</v>
          </cell>
          <cell r="J1445">
            <v>1</v>
          </cell>
          <cell r="K1445">
            <v>1</v>
          </cell>
          <cell r="L1445">
            <v>1</v>
          </cell>
          <cell r="M1445" t="str">
            <v>unknown</v>
          </cell>
          <cell r="N1445" t="str">
            <v>Unknown</v>
          </cell>
          <cell r="O1445">
            <v>1</v>
          </cell>
          <cell r="P1445">
            <v>1</v>
          </cell>
          <cell r="Q1445">
            <v>1</v>
          </cell>
          <cell r="R1445" t="str">
            <v>Boss</v>
          </cell>
          <cell r="S1445">
            <v>5</v>
          </cell>
          <cell r="T1445">
            <v>1.3</v>
          </cell>
          <cell r="U1445">
            <v>0.8</v>
          </cell>
          <cell r="V1445">
            <v>3</v>
          </cell>
          <cell r="W1445">
            <v>1</v>
          </cell>
          <cell r="X1445">
            <v>25</v>
          </cell>
          <cell r="Y1445">
            <v>1.2</v>
          </cell>
          <cell r="Z1445">
            <v>1.25</v>
          </cell>
          <cell r="AA1445">
            <v>1.1499999999999999</v>
          </cell>
          <cell r="AB1445">
            <v>0</v>
          </cell>
        </row>
        <row r="1446">
          <cell r="A1446">
            <v>8066</v>
          </cell>
          <cell r="B1446" t="str">
            <v>クロミ</v>
          </cell>
          <cell r="C1446">
            <v>4</v>
          </cell>
          <cell r="D1446" t="str">
            <v>blue</v>
          </cell>
          <cell r="E1446">
            <v>1</v>
          </cell>
          <cell r="F1446">
            <v>0.98</v>
          </cell>
          <cell r="G1446">
            <v>1</v>
          </cell>
          <cell r="H1446" t="str">
            <v>technical</v>
          </cell>
          <cell r="I1446" t="str">
            <v>テクニカルタイプ</v>
          </cell>
          <cell r="J1446">
            <v>1</v>
          </cell>
          <cell r="K1446">
            <v>1</v>
          </cell>
          <cell r="L1446">
            <v>1</v>
          </cell>
          <cell r="M1446" t="str">
            <v>unknown</v>
          </cell>
          <cell r="N1446" t="str">
            <v>Unknown</v>
          </cell>
          <cell r="O1446">
            <v>1</v>
          </cell>
          <cell r="P1446">
            <v>1</v>
          </cell>
          <cell r="Q1446">
            <v>1</v>
          </cell>
          <cell r="R1446" t="str">
            <v>Boss</v>
          </cell>
          <cell r="S1446">
            <v>5</v>
          </cell>
          <cell r="T1446">
            <v>1.3</v>
          </cell>
          <cell r="U1446">
            <v>0.8</v>
          </cell>
          <cell r="V1446">
            <v>3</v>
          </cell>
          <cell r="W1446">
            <v>1</v>
          </cell>
          <cell r="X1446">
            <v>30</v>
          </cell>
          <cell r="Y1446">
            <v>1.3</v>
          </cell>
          <cell r="Z1446">
            <v>1.3</v>
          </cell>
          <cell r="AA1446">
            <v>1.1000000000000001</v>
          </cell>
          <cell r="AB1446">
            <v>0</v>
          </cell>
        </row>
        <row r="1447">
          <cell r="A1447">
            <v>8067</v>
          </cell>
          <cell r="B1447" t="str">
            <v>バッドばつ丸</v>
          </cell>
          <cell r="C1447">
            <v>3</v>
          </cell>
          <cell r="D1447" t="str">
            <v>blue</v>
          </cell>
          <cell r="E1447">
            <v>1</v>
          </cell>
          <cell r="F1447">
            <v>0.98</v>
          </cell>
          <cell r="G1447">
            <v>1</v>
          </cell>
          <cell r="H1447" t="str">
            <v>attack</v>
          </cell>
          <cell r="I1447" t="str">
            <v>攻撃タイプ</v>
          </cell>
          <cell r="J1447">
            <v>1</v>
          </cell>
          <cell r="K1447">
            <v>1</v>
          </cell>
          <cell r="L1447">
            <v>1</v>
          </cell>
          <cell r="M1447" t="str">
            <v>unknown</v>
          </cell>
          <cell r="N1447" t="str">
            <v>Unknown</v>
          </cell>
          <cell r="O1447">
            <v>1</v>
          </cell>
          <cell r="P1447">
            <v>1</v>
          </cell>
          <cell r="Q1447">
            <v>1</v>
          </cell>
          <cell r="R1447" t="str">
            <v>Boss</v>
          </cell>
          <cell r="S1447">
            <v>5</v>
          </cell>
          <cell r="T1447">
            <v>1.3</v>
          </cell>
          <cell r="U1447">
            <v>0.8</v>
          </cell>
          <cell r="V1447">
            <v>3</v>
          </cell>
          <cell r="W1447">
            <v>1</v>
          </cell>
          <cell r="X1447">
            <v>25</v>
          </cell>
          <cell r="Y1447">
            <v>1.2</v>
          </cell>
          <cell r="Z1447">
            <v>1.25</v>
          </cell>
          <cell r="AA1447">
            <v>1.1499999999999999</v>
          </cell>
          <cell r="AB1447">
            <v>0</v>
          </cell>
        </row>
        <row r="1448">
          <cell r="A1448">
            <v>8068</v>
          </cell>
          <cell r="B1448" t="str">
            <v>バッドばつ丸</v>
          </cell>
          <cell r="C1448">
            <v>4</v>
          </cell>
          <cell r="D1448" t="str">
            <v>blue</v>
          </cell>
          <cell r="E1448">
            <v>1</v>
          </cell>
          <cell r="F1448">
            <v>0.98</v>
          </cell>
          <cell r="G1448">
            <v>1</v>
          </cell>
          <cell r="H1448" t="str">
            <v>attack</v>
          </cell>
          <cell r="I1448" t="str">
            <v>攻撃タイプ</v>
          </cell>
          <cell r="J1448">
            <v>1</v>
          </cell>
          <cell r="K1448">
            <v>1</v>
          </cell>
          <cell r="L1448">
            <v>1</v>
          </cell>
          <cell r="M1448" t="str">
            <v>unknown</v>
          </cell>
          <cell r="N1448" t="str">
            <v>Unknown</v>
          </cell>
          <cell r="O1448">
            <v>1</v>
          </cell>
          <cell r="P1448">
            <v>1</v>
          </cell>
          <cell r="Q1448">
            <v>1</v>
          </cell>
          <cell r="R1448" t="str">
            <v>Boss</v>
          </cell>
          <cell r="S1448">
            <v>5</v>
          </cell>
          <cell r="T1448">
            <v>1.3</v>
          </cell>
          <cell r="U1448">
            <v>0.8</v>
          </cell>
          <cell r="V1448">
            <v>3</v>
          </cell>
          <cell r="W1448">
            <v>1</v>
          </cell>
          <cell r="X1448">
            <v>30</v>
          </cell>
          <cell r="Y1448">
            <v>1.3</v>
          </cell>
          <cell r="Z1448">
            <v>1.3</v>
          </cell>
          <cell r="AA1448">
            <v>1.1000000000000001</v>
          </cell>
          <cell r="AB1448">
            <v>0</v>
          </cell>
        </row>
        <row r="1449">
          <cell r="A1449">
            <v>8069</v>
          </cell>
          <cell r="B1449" t="str">
            <v>シナモロール</v>
          </cell>
          <cell r="C1449">
            <v>4</v>
          </cell>
          <cell r="D1449" t="str">
            <v>yellow</v>
          </cell>
          <cell r="E1449">
            <v>0.98</v>
          </cell>
          <cell r="F1449">
            <v>1.01</v>
          </cell>
          <cell r="G1449">
            <v>1</v>
          </cell>
          <cell r="H1449" t="str">
            <v>heal</v>
          </cell>
          <cell r="I1449" t="str">
            <v>回復タイプ</v>
          </cell>
          <cell r="J1449">
            <v>1</v>
          </cell>
          <cell r="K1449">
            <v>1</v>
          </cell>
          <cell r="L1449">
            <v>1</v>
          </cell>
          <cell r="M1449" t="str">
            <v>unknown</v>
          </cell>
          <cell r="N1449" t="str">
            <v>Unknown</v>
          </cell>
          <cell r="O1449">
            <v>1</v>
          </cell>
          <cell r="P1449">
            <v>1</v>
          </cell>
          <cell r="Q1449">
            <v>1</v>
          </cell>
          <cell r="R1449" t="str">
            <v>Boss</v>
          </cell>
          <cell r="S1449">
            <v>5</v>
          </cell>
          <cell r="T1449">
            <v>1.3</v>
          </cell>
          <cell r="U1449">
            <v>0.8</v>
          </cell>
          <cell r="V1449">
            <v>3</v>
          </cell>
          <cell r="W1449">
            <v>1</v>
          </cell>
          <cell r="X1449">
            <v>30</v>
          </cell>
          <cell r="Y1449">
            <v>1.3</v>
          </cell>
          <cell r="Z1449">
            <v>1.3</v>
          </cell>
          <cell r="AA1449">
            <v>1.1000000000000001</v>
          </cell>
          <cell r="AB1449">
            <v>0</v>
          </cell>
        </row>
        <row r="1450">
          <cell r="A1450">
            <v>8070</v>
          </cell>
          <cell r="B1450" t="str">
            <v>シナモロール</v>
          </cell>
          <cell r="C1450">
            <v>5</v>
          </cell>
          <cell r="D1450" t="str">
            <v>yellow</v>
          </cell>
          <cell r="E1450">
            <v>0.98</v>
          </cell>
          <cell r="F1450">
            <v>1.01</v>
          </cell>
          <cell r="G1450">
            <v>1</v>
          </cell>
          <cell r="H1450" t="str">
            <v>heal</v>
          </cell>
          <cell r="I1450" t="str">
            <v>回復タイプ</v>
          </cell>
          <cell r="J1450">
            <v>1</v>
          </cell>
          <cell r="K1450">
            <v>1</v>
          </cell>
          <cell r="L1450">
            <v>1</v>
          </cell>
          <cell r="M1450" t="str">
            <v>unknown</v>
          </cell>
          <cell r="N1450" t="str">
            <v>Unknown</v>
          </cell>
          <cell r="O1450">
            <v>1</v>
          </cell>
          <cell r="P1450">
            <v>1</v>
          </cell>
          <cell r="Q1450">
            <v>1</v>
          </cell>
          <cell r="R1450" t="str">
            <v>Boss</v>
          </cell>
          <cell r="S1450">
            <v>5</v>
          </cell>
          <cell r="T1450">
            <v>1.3</v>
          </cell>
          <cell r="U1450">
            <v>0.8</v>
          </cell>
          <cell r="V1450">
            <v>3</v>
          </cell>
          <cell r="W1450">
            <v>1</v>
          </cell>
          <cell r="X1450">
            <v>60</v>
          </cell>
          <cell r="Y1450">
            <v>1.7</v>
          </cell>
          <cell r="Z1450">
            <v>1.4</v>
          </cell>
          <cell r="AA1450">
            <v>1</v>
          </cell>
          <cell r="AB1450">
            <v>0</v>
          </cell>
        </row>
        <row r="1451">
          <cell r="A1451">
            <v>8071</v>
          </cell>
          <cell r="B1451" t="str">
            <v>ポムポムプリン</v>
          </cell>
          <cell r="C1451">
            <v>3</v>
          </cell>
          <cell r="D1451" t="str">
            <v>yellow</v>
          </cell>
          <cell r="E1451">
            <v>0.98</v>
          </cell>
          <cell r="F1451">
            <v>1.01</v>
          </cell>
          <cell r="G1451">
            <v>1</v>
          </cell>
          <cell r="H1451" t="str">
            <v>hp</v>
          </cell>
          <cell r="I1451" t="str">
            <v>体力タイプ</v>
          </cell>
          <cell r="J1451">
            <v>1</v>
          </cell>
          <cell r="K1451">
            <v>1</v>
          </cell>
          <cell r="L1451">
            <v>1</v>
          </cell>
          <cell r="M1451" t="str">
            <v>unknown</v>
          </cell>
          <cell r="N1451" t="str">
            <v>Unknown</v>
          </cell>
          <cell r="O1451">
            <v>1</v>
          </cell>
          <cell r="P1451">
            <v>1</v>
          </cell>
          <cell r="Q1451">
            <v>1</v>
          </cell>
          <cell r="R1451" t="str">
            <v>Boss</v>
          </cell>
          <cell r="S1451">
            <v>5</v>
          </cell>
          <cell r="T1451">
            <v>1.3</v>
          </cell>
          <cell r="U1451">
            <v>0.8</v>
          </cell>
          <cell r="V1451">
            <v>3</v>
          </cell>
          <cell r="W1451">
            <v>1</v>
          </cell>
          <cell r="X1451">
            <v>25</v>
          </cell>
          <cell r="Y1451">
            <v>1.2</v>
          </cell>
          <cell r="Z1451">
            <v>1.25</v>
          </cell>
          <cell r="AA1451">
            <v>1.1499999999999999</v>
          </cell>
          <cell r="AB1451">
            <v>0</v>
          </cell>
        </row>
        <row r="1452">
          <cell r="A1452">
            <v>8072</v>
          </cell>
          <cell r="B1452" t="str">
            <v>ポムポムプリン</v>
          </cell>
          <cell r="C1452">
            <v>4</v>
          </cell>
          <cell r="D1452" t="str">
            <v>yellow</v>
          </cell>
          <cell r="E1452">
            <v>0.98</v>
          </cell>
          <cell r="F1452">
            <v>1.01</v>
          </cell>
          <cell r="G1452">
            <v>1</v>
          </cell>
          <cell r="H1452" t="str">
            <v>hp</v>
          </cell>
          <cell r="I1452" t="str">
            <v>体力タイプ</v>
          </cell>
          <cell r="J1452">
            <v>1</v>
          </cell>
          <cell r="K1452">
            <v>1</v>
          </cell>
          <cell r="L1452">
            <v>1</v>
          </cell>
          <cell r="M1452" t="str">
            <v>unknown</v>
          </cell>
          <cell r="N1452" t="str">
            <v>Unknown</v>
          </cell>
          <cell r="O1452">
            <v>1</v>
          </cell>
          <cell r="P1452">
            <v>1</v>
          </cell>
          <cell r="Q1452">
            <v>1</v>
          </cell>
          <cell r="R1452" t="str">
            <v>Boss</v>
          </cell>
          <cell r="S1452">
            <v>5</v>
          </cell>
          <cell r="T1452">
            <v>1.3</v>
          </cell>
          <cell r="U1452">
            <v>0.8</v>
          </cell>
          <cell r="V1452">
            <v>3</v>
          </cell>
          <cell r="W1452">
            <v>1</v>
          </cell>
          <cell r="X1452">
            <v>30</v>
          </cell>
          <cell r="Y1452">
            <v>1.3</v>
          </cell>
          <cell r="Z1452">
            <v>1.3</v>
          </cell>
          <cell r="AA1452">
            <v>1.1000000000000001</v>
          </cell>
          <cell r="AB1452">
            <v>0</v>
          </cell>
        </row>
        <row r="1453">
          <cell r="A1453">
            <v>8073</v>
          </cell>
          <cell r="B1453" t="str">
            <v>星海祈る天光妃 媽祖</v>
          </cell>
          <cell r="C1453">
            <v>6</v>
          </cell>
          <cell r="D1453" t="str">
            <v>yellow</v>
          </cell>
          <cell r="E1453">
            <v>0.98</v>
          </cell>
          <cell r="F1453">
            <v>1.01</v>
          </cell>
          <cell r="G1453">
            <v>1</v>
          </cell>
          <cell r="H1453" t="str">
            <v>attack</v>
          </cell>
          <cell r="I1453" t="str">
            <v>攻撃タイプ</v>
          </cell>
          <cell r="J1453">
            <v>1</v>
          </cell>
          <cell r="K1453">
            <v>1</v>
          </cell>
          <cell r="L1453">
            <v>1</v>
          </cell>
          <cell r="M1453" t="str">
            <v>unknown</v>
          </cell>
          <cell r="N1453" t="str">
            <v>Unknown</v>
          </cell>
          <cell r="O1453">
            <v>1</v>
          </cell>
          <cell r="P1453">
            <v>1</v>
          </cell>
          <cell r="Q1453">
            <v>1</v>
          </cell>
          <cell r="R1453" t="str">
            <v>Boss</v>
          </cell>
          <cell r="S1453">
            <v>5</v>
          </cell>
          <cell r="T1453">
            <v>1.3</v>
          </cell>
          <cell r="U1453">
            <v>0.8</v>
          </cell>
          <cell r="V1453">
            <v>3</v>
          </cell>
          <cell r="W1453">
            <v>1</v>
          </cell>
          <cell r="X1453">
            <v>60</v>
          </cell>
          <cell r="Y1453">
            <v>1.7</v>
          </cell>
          <cell r="Z1453">
            <v>1.4</v>
          </cell>
          <cell r="AA1453">
            <v>1</v>
          </cell>
          <cell r="AB1453">
            <v>0</v>
          </cell>
        </row>
        <row r="1454">
          <cell r="A1454">
            <v>8074</v>
          </cell>
          <cell r="B1454" t="str">
            <v>海戀の絶龍姫 蛟龍</v>
          </cell>
          <cell r="C1454">
            <v>6</v>
          </cell>
          <cell r="D1454" t="str">
            <v>blue</v>
          </cell>
          <cell r="E1454">
            <v>1</v>
          </cell>
          <cell r="F1454">
            <v>0.98</v>
          </cell>
          <cell r="G1454">
            <v>1</v>
          </cell>
          <cell r="H1454" t="str">
            <v>hp</v>
          </cell>
          <cell r="I1454" t="str">
            <v>体力タイプ</v>
          </cell>
          <cell r="J1454">
            <v>1</v>
          </cell>
          <cell r="K1454">
            <v>1</v>
          </cell>
          <cell r="L1454">
            <v>1</v>
          </cell>
          <cell r="M1454" t="str">
            <v>unknown</v>
          </cell>
          <cell r="N1454" t="str">
            <v>Unknown</v>
          </cell>
          <cell r="O1454">
            <v>1</v>
          </cell>
          <cell r="P1454">
            <v>1</v>
          </cell>
          <cell r="Q1454">
            <v>1</v>
          </cell>
          <cell r="R1454" t="str">
            <v>Boss</v>
          </cell>
          <cell r="S1454">
            <v>5</v>
          </cell>
          <cell r="T1454">
            <v>1.3</v>
          </cell>
          <cell r="U1454">
            <v>0.8</v>
          </cell>
          <cell r="V1454">
            <v>3</v>
          </cell>
          <cell r="W1454">
            <v>1</v>
          </cell>
          <cell r="X1454">
            <v>60</v>
          </cell>
          <cell r="Y1454">
            <v>1.7</v>
          </cell>
          <cell r="Z1454">
            <v>1.4</v>
          </cell>
          <cell r="AA1454">
            <v>1</v>
          </cell>
          <cell r="AB1454">
            <v>0</v>
          </cell>
        </row>
        <row r="1455">
          <cell r="A1455">
            <v>8077</v>
          </cell>
          <cell r="B1455" t="str">
            <v>鄭成功</v>
          </cell>
          <cell r="C1455">
            <v>5</v>
          </cell>
          <cell r="D1455" t="str">
            <v>blue</v>
          </cell>
          <cell r="E1455">
            <v>1</v>
          </cell>
          <cell r="F1455">
            <v>0.98</v>
          </cell>
          <cell r="G1455">
            <v>1</v>
          </cell>
          <cell r="H1455" t="str">
            <v>attack</v>
          </cell>
          <cell r="I1455" t="str">
            <v>攻撃タイプ</v>
          </cell>
          <cell r="J1455">
            <v>1</v>
          </cell>
          <cell r="K1455">
            <v>1</v>
          </cell>
          <cell r="L1455">
            <v>1</v>
          </cell>
          <cell r="M1455" t="str">
            <v>unknown</v>
          </cell>
          <cell r="N1455" t="str">
            <v>Unknown</v>
          </cell>
          <cell r="O1455">
            <v>1</v>
          </cell>
          <cell r="P1455">
            <v>1</v>
          </cell>
          <cell r="Q1455">
            <v>1</v>
          </cell>
          <cell r="R1455" t="str">
            <v>Boss</v>
          </cell>
          <cell r="S1455">
            <v>5</v>
          </cell>
          <cell r="T1455">
            <v>1.3</v>
          </cell>
          <cell r="U1455">
            <v>0.8</v>
          </cell>
          <cell r="V1455">
            <v>3</v>
          </cell>
          <cell r="W1455">
            <v>1</v>
          </cell>
          <cell r="X1455">
            <v>60</v>
          </cell>
          <cell r="Y1455">
            <v>1.7</v>
          </cell>
          <cell r="Z1455">
            <v>1.4</v>
          </cell>
          <cell r="AA1455">
            <v>1</v>
          </cell>
          <cell r="AB1455">
            <v>0</v>
          </cell>
        </row>
        <row r="1456">
          <cell r="A1456">
            <v>8078</v>
          </cell>
          <cell r="B1456" t="str">
            <v>レア６鄭成功</v>
          </cell>
          <cell r="C1456">
            <v>6</v>
          </cell>
          <cell r="D1456" t="str">
            <v>blue</v>
          </cell>
          <cell r="E1456">
            <v>1</v>
          </cell>
          <cell r="F1456">
            <v>0.98</v>
          </cell>
          <cell r="G1456">
            <v>1</v>
          </cell>
          <cell r="H1456" t="str">
            <v>attack</v>
          </cell>
          <cell r="I1456" t="str">
            <v>攻撃タイプ</v>
          </cell>
          <cell r="J1456">
            <v>1</v>
          </cell>
          <cell r="K1456">
            <v>1</v>
          </cell>
          <cell r="L1456">
            <v>1</v>
          </cell>
          <cell r="M1456" t="str">
            <v>unknown</v>
          </cell>
          <cell r="N1456" t="str">
            <v>Unknown</v>
          </cell>
          <cell r="O1456">
            <v>1</v>
          </cell>
          <cell r="P1456">
            <v>1</v>
          </cell>
          <cell r="Q1456">
            <v>1</v>
          </cell>
          <cell r="R1456" t="str">
            <v>Boss</v>
          </cell>
          <cell r="S1456">
            <v>5</v>
          </cell>
          <cell r="T1456">
            <v>1.3</v>
          </cell>
          <cell r="U1456">
            <v>0.8</v>
          </cell>
          <cell r="V1456">
            <v>3</v>
          </cell>
          <cell r="W1456">
            <v>1</v>
          </cell>
          <cell r="X1456">
            <v>60</v>
          </cell>
          <cell r="Y1456">
            <v>1.7</v>
          </cell>
          <cell r="Z1456">
            <v>1.4</v>
          </cell>
          <cell r="AA1456">
            <v>1</v>
          </cell>
          <cell r="AB1456">
            <v>0</v>
          </cell>
        </row>
        <row r="1457">
          <cell r="A1457">
            <v>8079</v>
          </cell>
          <cell r="B1457" t="str">
            <v>赤鬼</v>
          </cell>
          <cell r="C1457">
            <v>5</v>
          </cell>
          <cell r="D1457" t="str">
            <v>red</v>
          </cell>
          <cell r="E1457">
            <v>1</v>
          </cell>
          <cell r="F1457">
            <v>1.02</v>
          </cell>
          <cell r="G1457">
            <v>1</v>
          </cell>
          <cell r="H1457" t="str">
            <v>hp</v>
          </cell>
          <cell r="I1457" t="str">
            <v>体力タイプ</v>
          </cell>
          <cell r="J1457">
            <v>1</v>
          </cell>
          <cell r="K1457">
            <v>1</v>
          </cell>
          <cell r="L1457">
            <v>1</v>
          </cell>
          <cell r="M1457" t="str">
            <v>unknown</v>
          </cell>
          <cell r="N1457" t="str">
            <v>Unknown</v>
          </cell>
          <cell r="O1457">
            <v>1</v>
          </cell>
          <cell r="P1457">
            <v>1</v>
          </cell>
          <cell r="Q1457">
            <v>1</v>
          </cell>
          <cell r="R1457" t="str">
            <v>Boss</v>
          </cell>
          <cell r="S1457">
            <v>5</v>
          </cell>
          <cell r="T1457">
            <v>1.3</v>
          </cell>
          <cell r="U1457">
            <v>0.8</v>
          </cell>
          <cell r="V1457">
            <v>3</v>
          </cell>
          <cell r="W1457">
            <v>1</v>
          </cell>
          <cell r="X1457">
            <v>60</v>
          </cell>
          <cell r="Y1457">
            <v>1.7</v>
          </cell>
          <cell r="Z1457">
            <v>1.4</v>
          </cell>
          <cell r="AA1457">
            <v>1</v>
          </cell>
          <cell r="AB1457">
            <v>0</v>
          </cell>
        </row>
        <row r="1458">
          <cell r="A1458">
            <v>8080</v>
          </cell>
          <cell r="B1458" t="str">
            <v>レア６赤鬼</v>
          </cell>
          <cell r="C1458">
            <v>6</v>
          </cell>
          <cell r="D1458" t="str">
            <v>red</v>
          </cell>
          <cell r="E1458">
            <v>1</v>
          </cell>
          <cell r="F1458">
            <v>1.02</v>
          </cell>
          <cell r="G1458">
            <v>1</v>
          </cell>
          <cell r="H1458" t="str">
            <v>hp</v>
          </cell>
          <cell r="I1458" t="str">
            <v>体力タイプ</v>
          </cell>
          <cell r="J1458">
            <v>1</v>
          </cell>
          <cell r="K1458">
            <v>1</v>
          </cell>
          <cell r="L1458">
            <v>1</v>
          </cell>
          <cell r="M1458" t="str">
            <v>unknown</v>
          </cell>
          <cell r="N1458" t="str">
            <v>Unknown</v>
          </cell>
          <cell r="O1458">
            <v>1</v>
          </cell>
          <cell r="P1458">
            <v>1</v>
          </cell>
          <cell r="Q1458">
            <v>1</v>
          </cell>
          <cell r="R1458" t="str">
            <v>Boss</v>
          </cell>
          <cell r="S1458">
            <v>5</v>
          </cell>
          <cell r="T1458">
            <v>1.3</v>
          </cell>
          <cell r="U1458">
            <v>0.8</v>
          </cell>
          <cell r="V1458">
            <v>3</v>
          </cell>
          <cell r="W1458">
            <v>1</v>
          </cell>
          <cell r="X1458">
            <v>60</v>
          </cell>
          <cell r="Y1458">
            <v>1.7</v>
          </cell>
          <cell r="Z1458">
            <v>1.4</v>
          </cell>
          <cell r="AA1458">
            <v>1</v>
          </cell>
          <cell r="AB1458">
            <v>0</v>
          </cell>
        </row>
        <row r="1459">
          <cell r="A1459">
            <v>8081</v>
          </cell>
          <cell r="B1459" t="str">
            <v>関羽</v>
          </cell>
          <cell r="C1459">
            <v>5</v>
          </cell>
          <cell r="D1459" t="str">
            <v>green</v>
          </cell>
          <cell r="E1459">
            <v>1.02</v>
          </cell>
          <cell r="F1459">
            <v>0.98</v>
          </cell>
          <cell r="G1459">
            <v>1</v>
          </cell>
          <cell r="H1459" t="str">
            <v>balance</v>
          </cell>
          <cell r="I1459" t="str">
            <v>バランスタイプ</v>
          </cell>
          <cell r="J1459">
            <v>1</v>
          </cell>
          <cell r="K1459">
            <v>1</v>
          </cell>
          <cell r="L1459">
            <v>1</v>
          </cell>
          <cell r="M1459" t="str">
            <v>unknown</v>
          </cell>
          <cell r="N1459" t="str">
            <v>Unknown</v>
          </cell>
          <cell r="O1459">
            <v>1</v>
          </cell>
          <cell r="P1459">
            <v>1</v>
          </cell>
          <cell r="Q1459">
            <v>1</v>
          </cell>
          <cell r="R1459" t="str">
            <v>Boss</v>
          </cell>
          <cell r="S1459">
            <v>5</v>
          </cell>
          <cell r="T1459">
            <v>1.3</v>
          </cell>
          <cell r="U1459">
            <v>0.8</v>
          </cell>
          <cell r="V1459">
            <v>3</v>
          </cell>
          <cell r="W1459">
            <v>1</v>
          </cell>
          <cell r="X1459">
            <v>60</v>
          </cell>
          <cell r="Y1459">
            <v>1.7</v>
          </cell>
          <cell r="Z1459">
            <v>1.4</v>
          </cell>
          <cell r="AA1459">
            <v>1</v>
          </cell>
          <cell r="AB1459">
            <v>0</v>
          </cell>
        </row>
        <row r="1460">
          <cell r="A1460">
            <v>8082</v>
          </cell>
          <cell r="B1460" t="str">
            <v>★６関羽</v>
          </cell>
          <cell r="C1460">
            <v>6</v>
          </cell>
          <cell r="D1460" t="str">
            <v>green</v>
          </cell>
          <cell r="E1460">
            <v>1.02</v>
          </cell>
          <cell r="F1460">
            <v>0.98</v>
          </cell>
          <cell r="G1460">
            <v>1</v>
          </cell>
          <cell r="H1460" t="str">
            <v>balance</v>
          </cell>
          <cell r="I1460" t="str">
            <v>バランスタイプ</v>
          </cell>
          <cell r="J1460">
            <v>1</v>
          </cell>
          <cell r="K1460">
            <v>1</v>
          </cell>
          <cell r="L1460">
            <v>1</v>
          </cell>
          <cell r="M1460" t="str">
            <v>unknown</v>
          </cell>
          <cell r="N1460" t="str">
            <v>Unknown</v>
          </cell>
          <cell r="O1460">
            <v>1</v>
          </cell>
          <cell r="P1460">
            <v>1</v>
          </cell>
          <cell r="Q1460">
            <v>1</v>
          </cell>
          <cell r="R1460" t="str">
            <v>Boss</v>
          </cell>
          <cell r="S1460">
            <v>5</v>
          </cell>
          <cell r="T1460">
            <v>1.3</v>
          </cell>
          <cell r="U1460">
            <v>0.8</v>
          </cell>
          <cell r="V1460">
            <v>3</v>
          </cell>
          <cell r="W1460">
            <v>1</v>
          </cell>
          <cell r="X1460">
            <v>60</v>
          </cell>
          <cell r="Y1460">
            <v>1.7</v>
          </cell>
          <cell r="Z1460">
            <v>1.4</v>
          </cell>
          <cell r="AA1460">
            <v>1</v>
          </cell>
          <cell r="AB1460">
            <v>0</v>
          </cell>
        </row>
        <row r="1461">
          <cell r="A1461">
            <v>8083</v>
          </cell>
          <cell r="B1461" t="str">
            <v>曹操</v>
          </cell>
          <cell r="C1461">
            <v>5</v>
          </cell>
          <cell r="D1461" t="str">
            <v>yellow</v>
          </cell>
          <cell r="E1461">
            <v>0.98</v>
          </cell>
          <cell r="F1461">
            <v>1.01</v>
          </cell>
          <cell r="G1461">
            <v>1</v>
          </cell>
          <cell r="H1461" t="str">
            <v>technical</v>
          </cell>
          <cell r="I1461" t="str">
            <v>テクニカルタイプ</v>
          </cell>
          <cell r="J1461">
            <v>1</v>
          </cell>
          <cell r="K1461">
            <v>1</v>
          </cell>
          <cell r="L1461">
            <v>1</v>
          </cell>
          <cell r="M1461" t="str">
            <v>unknown</v>
          </cell>
          <cell r="N1461" t="str">
            <v>Unknown</v>
          </cell>
          <cell r="O1461">
            <v>1</v>
          </cell>
          <cell r="P1461">
            <v>1</v>
          </cell>
          <cell r="Q1461">
            <v>1</v>
          </cell>
          <cell r="R1461" t="str">
            <v>Boss</v>
          </cell>
          <cell r="S1461">
            <v>5</v>
          </cell>
          <cell r="T1461">
            <v>1.3</v>
          </cell>
          <cell r="U1461">
            <v>0.8</v>
          </cell>
          <cell r="V1461">
            <v>3</v>
          </cell>
          <cell r="W1461">
            <v>1</v>
          </cell>
          <cell r="X1461">
            <v>60</v>
          </cell>
          <cell r="Y1461">
            <v>1.7</v>
          </cell>
          <cell r="Z1461">
            <v>1.4</v>
          </cell>
          <cell r="AA1461">
            <v>1</v>
          </cell>
          <cell r="AB1461">
            <v>0</v>
          </cell>
        </row>
        <row r="1462">
          <cell r="A1462">
            <v>8084</v>
          </cell>
          <cell r="B1462" t="str">
            <v>★６曹操</v>
          </cell>
          <cell r="C1462">
            <v>6</v>
          </cell>
          <cell r="D1462" t="str">
            <v>yellow</v>
          </cell>
          <cell r="E1462">
            <v>0.98</v>
          </cell>
          <cell r="F1462">
            <v>1.01</v>
          </cell>
          <cell r="G1462">
            <v>1</v>
          </cell>
          <cell r="H1462" t="str">
            <v>technical</v>
          </cell>
          <cell r="I1462" t="str">
            <v>テクニカルタイプ</v>
          </cell>
          <cell r="J1462">
            <v>1</v>
          </cell>
          <cell r="K1462">
            <v>1</v>
          </cell>
          <cell r="L1462">
            <v>1</v>
          </cell>
          <cell r="M1462" t="str">
            <v>unknown</v>
          </cell>
          <cell r="N1462" t="str">
            <v>Unknown</v>
          </cell>
          <cell r="O1462">
            <v>1</v>
          </cell>
          <cell r="P1462">
            <v>1</v>
          </cell>
          <cell r="Q1462">
            <v>1</v>
          </cell>
          <cell r="R1462" t="str">
            <v>Boss</v>
          </cell>
          <cell r="S1462">
            <v>5</v>
          </cell>
          <cell r="T1462">
            <v>1.3</v>
          </cell>
          <cell r="U1462">
            <v>0.8</v>
          </cell>
          <cell r="V1462">
            <v>3</v>
          </cell>
          <cell r="W1462">
            <v>1</v>
          </cell>
          <cell r="X1462">
            <v>60</v>
          </cell>
          <cell r="Y1462">
            <v>1.7</v>
          </cell>
          <cell r="Z1462">
            <v>1.4</v>
          </cell>
          <cell r="AA1462">
            <v>1</v>
          </cell>
          <cell r="AB1462">
            <v>0</v>
          </cell>
        </row>
        <row r="1463">
          <cell r="A1463">
            <v>8087</v>
          </cell>
          <cell r="B1463" t="str">
            <v>財神</v>
          </cell>
          <cell r="C1463">
            <v>5</v>
          </cell>
          <cell r="D1463" t="str">
            <v>red</v>
          </cell>
          <cell r="E1463">
            <v>1</v>
          </cell>
          <cell r="F1463">
            <v>1.02</v>
          </cell>
          <cell r="G1463">
            <v>1</v>
          </cell>
          <cell r="H1463" t="str">
            <v>technical</v>
          </cell>
          <cell r="I1463" t="str">
            <v>テクニカルタイプ</v>
          </cell>
          <cell r="J1463">
            <v>1</v>
          </cell>
          <cell r="K1463">
            <v>1</v>
          </cell>
          <cell r="L1463">
            <v>1</v>
          </cell>
          <cell r="M1463" t="str">
            <v>unknown</v>
          </cell>
          <cell r="N1463" t="str">
            <v>Unknown</v>
          </cell>
          <cell r="O1463">
            <v>1</v>
          </cell>
          <cell r="P1463">
            <v>1</v>
          </cell>
          <cell r="Q1463">
            <v>1</v>
          </cell>
          <cell r="R1463" t="str">
            <v>Boss</v>
          </cell>
          <cell r="S1463">
            <v>5</v>
          </cell>
          <cell r="T1463">
            <v>1.3</v>
          </cell>
          <cell r="U1463">
            <v>0.8</v>
          </cell>
          <cell r="V1463">
            <v>3</v>
          </cell>
          <cell r="W1463">
            <v>1</v>
          </cell>
          <cell r="X1463">
            <v>60</v>
          </cell>
          <cell r="Y1463">
            <v>1.7</v>
          </cell>
          <cell r="Z1463">
            <v>1.4</v>
          </cell>
          <cell r="AA1463">
            <v>1</v>
          </cell>
          <cell r="AB1463">
            <v>0</v>
          </cell>
        </row>
        <row r="1464">
          <cell r="A1464">
            <v>8088</v>
          </cell>
          <cell r="B1464" t="str">
            <v>★６財神</v>
          </cell>
          <cell r="C1464">
            <v>6</v>
          </cell>
          <cell r="D1464" t="str">
            <v>red</v>
          </cell>
          <cell r="E1464">
            <v>1</v>
          </cell>
          <cell r="F1464">
            <v>1.02</v>
          </cell>
          <cell r="G1464">
            <v>1</v>
          </cell>
          <cell r="H1464" t="str">
            <v>technical</v>
          </cell>
          <cell r="I1464" t="str">
            <v>テクニカルタイプ</v>
          </cell>
          <cell r="J1464">
            <v>1</v>
          </cell>
          <cell r="K1464">
            <v>1</v>
          </cell>
          <cell r="L1464">
            <v>1</v>
          </cell>
          <cell r="M1464" t="str">
            <v>unknown</v>
          </cell>
          <cell r="N1464" t="str">
            <v>Unknown</v>
          </cell>
          <cell r="O1464">
            <v>1</v>
          </cell>
          <cell r="P1464">
            <v>1</v>
          </cell>
          <cell r="Q1464">
            <v>1</v>
          </cell>
          <cell r="R1464" t="str">
            <v>Boss</v>
          </cell>
          <cell r="S1464">
            <v>5</v>
          </cell>
          <cell r="T1464">
            <v>1.3</v>
          </cell>
          <cell r="U1464">
            <v>0.8</v>
          </cell>
          <cell r="V1464">
            <v>3</v>
          </cell>
          <cell r="W1464">
            <v>1</v>
          </cell>
          <cell r="X1464">
            <v>60</v>
          </cell>
          <cell r="Y1464">
            <v>1.7</v>
          </cell>
          <cell r="Z1464">
            <v>1.4</v>
          </cell>
          <cell r="AA1464">
            <v>1</v>
          </cell>
          <cell r="AB1464">
            <v>0</v>
          </cell>
        </row>
        <row r="1465">
          <cell r="A1465">
            <v>8089</v>
          </cell>
          <cell r="B1465" t="str">
            <v>年獣</v>
          </cell>
          <cell r="C1465">
            <v>5</v>
          </cell>
          <cell r="D1465" t="str">
            <v>green</v>
          </cell>
          <cell r="E1465">
            <v>1.02</v>
          </cell>
          <cell r="F1465">
            <v>0.98</v>
          </cell>
          <cell r="G1465">
            <v>1</v>
          </cell>
          <cell r="H1465" t="str">
            <v>attack</v>
          </cell>
          <cell r="I1465" t="str">
            <v>攻撃タイプ</v>
          </cell>
          <cell r="J1465">
            <v>1</v>
          </cell>
          <cell r="K1465">
            <v>1</v>
          </cell>
          <cell r="L1465">
            <v>1</v>
          </cell>
          <cell r="M1465" t="str">
            <v>unknown</v>
          </cell>
          <cell r="N1465" t="str">
            <v>Unknown</v>
          </cell>
          <cell r="O1465">
            <v>1</v>
          </cell>
          <cell r="P1465">
            <v>1</v>
          </cell>
          <cell r="Q1465">
            <v>1</v>
          </cell>
          <cell r="R1465" t="str">
            <v>Boss</v>
          </cell>
          <cell r="S1465">
            <v>5</v>
          </cell>
          <cell r="T1465">
            <v>1.3</v>
          </cell>
          <cell r="U1465">
            <v>0.8</v>
          </cell>
          <cell r="V1465">
            <v>3</v>
          </cell>
          <cell r="W1465">
            <v>1</v>
          </cell>
          <cell r="X1465">
            <v>60</v>
          </cell>
          <cell r="Y1465">
            <v>1.7</v>
          </cell>
          <cell r="Z1465">
            <v>1.4</v>
          </cell>
          <cell r="AA1465">
            <v>1</v>
          </cell>
          <cell r="AB1465">
            <v>0</v>
          </cell>
        </row>
        <row r="1466">
          <cell r="A1466">
            <v>8090</v>
          </cell>
          <cell r="B1466" t="str">
            <v>★６年獣</v>
          </cell>
          <cell r="C1466">
            <v>6</v>
          </cell>
          <cell r="D1466" t="str">
            <v>green</v>
          </cell>
          <cell r="E1466">
            <v>1.02</v>
          </cell>
          <cell r="F1466">
            <v>0.98</v>
          </cell>
          <cell r="G1466">
            <v>1</v>
          </cell>
          <cell r="H1466" t="str">
            <v>attack</v>
          </cell>
          <cell r="I1466" t="str">
            <v>攻撃タイプ</v>
          </cell>
          <cell r="J1466">
            <v>1</v>
          </cell>
          <cell r="K1466">
            <v>1</v>
          </cell>
          <cell r="L1466">
            <v>1</v>
          </cell>
          <cell r="M1466" t="str">
            <v>unknown</v>
          </cell>
          <cell r="N1466" t="str">
            <v>Unknown</v>
          </cell>
          <cell r="O1466">
            <v>1</v>
          </cell>
          <cell r="P1466">
            <v>1</v>
          </cell>
          <cell r="Q1466">
            <v>1</v>
          </cell>
          <cell r="R1466" t="str">
            <v>Boss</v>
          </cell>
          <cell r="S1466">
            <v>5</v>
          </cell>
          <cell r="T1466">
            <v>1.3</v>
          </cell>
          <cell r="U1466">
            <v>0.8</v>
          </cell>
          <cell r="V1466">
            <v>3</v>
          </cell>
          <cell r="W1466">
            <v>1</v>
          </cell>
          <cell r="X1466">
            <v>60</v>
          </cell>
          <cell r="Y1466">
            <v>1.7</v>
          </cell>
          <cell r="Z1466">
            <v>1.4</v>
          </cell>
          <cell r="AA1466">
            <v>1</v>
          </cell>
          <cell r="AB1466">
            <v>0</v>
          </cell>
        </row>
        <row r="1467">
          <cell r="A1467">
            <v>8095</v>
          </cell>
          <cell r="B1467" t="str">
            <v>バハムートダック赤</v>
          </cell>
          <cell r="C1467">
            <v>6</v>
          </cell>
          <cell r="D1467" t="str">
            <v>red</v>
          </cell>
          <cell r="E1467">
            <v>1</v>
          </cell>
          <cell r="F1467">
            <v>1.02</v>
          </cell>
          <cell r="G1467">
            <v>1</v>
          </cell>
          <cell r="H1467" t="str">
            <v>exp</v>
          </cell>
          <cell r="I1467" t="str">
            <v>強化素材タイプ</v>
          </cell>
          <cell r="J1467">
            <v>1</v>
          </cell>
          <cell r="K1467">
            <v>1</v>
          </cell>
          <cell r="L1467">
            <v>1</v>
          </cell>
          <cell r="M1467" t="str">
            <v>unknown</v>
          </cell>
          <cell r="N1467" t="str">
            <v>Unknown</v>
          </cell>
          <cell r="O1467">
            <v>1</v>
          </cell>
          <cell r="P1467">
            <v>1</v>
          </cell>
          <cell r="Q1467">
            <v>1</v>
          </cell>
          <cell r="R1467" t="str">
            <v>Boss</v>
          </cell>
          <cell r="S1467">
            <v>5</v>
          </cell>
          <cell r="T1467">
            <v>1.3</v>
          </cell>
          <cell r="U1467">
            <v>0.8</v>
          </cell>
          <cell r="V1467">
            <v>3</v>
          </cell>
          <cell r="W1467">
            <v>1</v>
          </cell>
          <cell r="X1467">
            <v>20</v>
          </cell>
          <cell r="Y1467">
            <v>1.1000000000000001</v>
          </cell>
          <cell r="Z1467">
            <v>1.2</v>
          </cell>
          <cell r="AA1467">
            <v>1.2</v>
          </cell>
          <cell r="AB1467">
            <v>0</v>
          </cell>
        </row>
        <row r="1468">
          <cell r="A1468">
            <v>8096</v>
          </cell>
          <cell r="B1468" t="str">
            <v>バハムートダック緑</v>
          </cell>
          <cell r="C1468">
            <v>6</v>
          </cell>
          <cell r="D1468" t="str">
            <v>green</v>
          </cell>
          <cell r="E1468">
            <v>1.02</v>
          </cell>
          <cell r="F1468">
            <v>0.98</v>
          </cell>
          <cell r="G1468">
            <v>1</v>
          </cell>
          <cell r="H1468" t="str">
            <v>exp</v>
          </cell>
          <cell r="I1468" t="str">
            <v>強化素材タイプ</v>
          </cell>
          <cell r="J1468">
            <v>1</v>
          </cell>
          <cell r="K1468">
            <v>1</v>
          </cell>
          <cell r="L1468">
            <v>1</v>
          </cell>
          <cell r="M1468" t="str">
            <v>unknown</v>
          </cell>
          <cell r="N1468" t="str">
            <v>Unknown</v>
          </cell>
          <cell r="O1468">
            <v>1</v>
          </cell>
          <cell r="P1468">
            <v>1</v>
          </cell>
          <cell r="Q1468">
            <v>1</v>
          </cell>
          <cell r="R1468" t="str">
            <v>Boss</v>
          </cell>
          <cell r="S1468">
            <v>5</v>
          </cell>
          <cell r="T1468">
            <v>1.3</v>
          </cell>
          <cell r="U1468">
            <v>0.8</v>
          </cell>
          <cell r="V1468">
            <v>3</v>
          </cell>
          <cell r="W1468">
            <v>1</v>
          </cell>
          <cell r="X1468">
            <v>20</v>
          </cell>
          <cell r="Y1468">
            <v>1.1000000000000001</v>
          </cell>
          <cell r="Z1468">
            <v>1.2</v>
          </cell>
          <cell r="AA1468">
            <v>1.2</v>
          </cell>
          <cell r="AB1468">
            <v>0</v>
          </cell>
        </row>
        <row r="1469">
          <cell r="A1469">
            <v>8097</v>
          </cell>
          <cell r="B1469" t="str">
            <v>バハムートダック青</v>
          </cell>
          <cell r="C1469">
            <v>6</v>
          </cell>
          <cell r="D1469" t="str">
            <v>blue</v>
          </cell>
          <cell r="E1469">
            <v>1</v>
          </cell>
          <cell r="F1469">
            <v>0.98</v>
          </cell>
          <cell r="G1469">
            <v>1</v>
          </cell>
          <cell r="H1469" t="str">
            <v>exp</v>
          </cell>
          <cell r="I1469" t="str">
            <v>強化素材タイプ</v>
          </cell>
          <cell r="J1469">
            <v>1</v>
          </cell>
          <cell r="K1469">
            <v>1</v>
          </cell>
          <cell r="L1469">
            <v>1</v>
          </cell>
          <cell r="M1469" t="str">
            <v>unknown</v>
          </cell>
          <cell r="N1469" t="str">
            <v>Unknown</v>
          </cell>
          <cell r="O1469">
            <v>1</v>
          </cell>
          <cell r="P1469">
            <v>1</v>
          </cell>
          <cell r="Q1469">
            <v>1</v>
          </cell>
          <cell r="R1469" t="str">
            <v>Boss</v>
          </cell>
          <cell r="S1469">
            <v>5</v>
          </cell>
          <cell r="T1469">
            <v>1.3</v>
          </cell>
          <cell r="U1469">
            <v>0.8</v>
          </cell>
          <cell r="V1469">
            <v>3</v>
          </cell>
          <cell r="W1469">
            <v>1</v>
          </cell>
          <cell r="X1469">
            <v>20</v>
          </cell>
          <cell r="Y1469">
            <v>1.1000000000000001</v>
          </cell>
          <cell r="Z1469">
            <v>1.2</v>
          </cell>
          <cell r="AA1469">
            <v>1.2</v>
          </cell>
          <cell r="AB1469">
            <v>0</v>
          </cell>
        </row>
        <row r="1470">
          <cell r="A1470">
            <v>8098</v>
          </cell>
          <cell r="B1470" t="str">
            <v>バハムートダック黄</v>
          </cell>
          <cell r="C1470">
            <v>6</v>
          </cell>
          <cell r="D1470" t="str">
            <v>yellow</v>
          </cell>
          <cell r="E1470">
            <v>0.98</v>
          </cell>
          <cell r="F1470">
            <v>1.01</v>
          </cell>
          <cell r="G1470">
            <v>1</v>
          </cell>
          <cell r="H1470" t="str">
            <v>exp</v>
          </cell>
          <cell r="I1470" t="str">
            <v>強化素材タイプ</v>
          </cell>
          <cell r="J1470">
            <v>1</v>
          </cell>
          <cell r="K1470">
            <v>1</v>
          </cell>
          <cell r="L1470">
            <v>1</v>
          </cell>
          <cell r="M1470" t="str">
            <v>unknown</v>
          </cell>
          <cell r="N1470" t="str">
            <v>Unknown</v>
          </cell>
          <cell r="O1470">
            <v>1</v>
          </cell>
          <cell r="P1470">
            <v>1</v>
          </cell>
          <cell r="Q1470">
            <v>1</v>
          </cell>
          <cell r="R1470" t="str">
            <v>Boss</v>
          </cell>
          <cell r="S1470">
            <v>5</v>
          </cell>
          <cell r="T1470">
            <v>1.3</v>
          </cell>
          <cell r="U1470">
            <v>0.8</v>
          </cell>
          <cell r="V1470">
            <v>3</v>
          </cell>
          <cell r="W1470">
            <v>1</v>
          </cell>
          <cell r="X1470">
            <v>20</v>
          </cell>
          <cell r="Y1470">
            <v>1.1000000000000001</v>
          </cell>
          <cell r="Z1470">
            <v>1.2</v>
          </cell>
          <cell r="AA1470">
            <v>1.2</v>
          </cell>
          <cell r="AB1470">
            <v>0</v>
          </cell>
        </row>
        <row r="1471">
          <cell r="A1471">
            <v>8099</v>
          </cell>
          <cell r="B1471" t="str">
            <v>リトルハンプティ</v>
          </cell>
          <cell r="C1471">
            <v>6</v>
          </cell>
          <cell r="D1471" t="str">
            <v>green</v>
          </cell>
          <cell r="E1471">
            <v>1.02</v>
          </cell>
          <cell r="F1471">
            <v>0.98</v>
          </cell>
          <cell r="G1471">
            <v>1</v>
          </cell>
          <cell r="H1471" t="str">
            <v>evolution</v>
          </cell>
          <cell r="I1471" t="str">
            <v>覚醒素材タイプ</v>
          </cell>
          <cell r="J1471">
            <v>0.1</v>
          </cell>
          <cell r="K1471">
            <v>0.05</v>
          </cell>
          <cell r="L1471">
            <v>1</v>
          </cell>
          <cell r="M1471" t="str">
            <v>unknown</v>
          </cell>
          <cell r="N1471" t="str">
            <v>Unknown</v>
          </cell>
          <cell r="O1471">
            <v>1</v>
          </cell>
          <cell r="P1471">
            <v>1</v>
          </cell>
          <cell r="Q1471">
            <v>1</v>
          </cell>
          <cell r="R1471" t="str">
            <v>Boss</v>
          </cell>
          <cell r="S1471">
            <v>5</v>
          </cell>
          <cell r="T1471">
            <v>1.3</v>
          </cell>
          <cell r="U1471">
            <v>0.8</v>
          </cell>
          <cell r="V1471">
            <v>3</v>
          </cell>
          <cell r="W1471">
            <v>1</v>
          </cell>
          <cell r="X1471">
            <v>60</v>
          </cell>
          <cell r="Y1471">
            <v>1.7</v>
          </cell>
          <cell r="Z1471">
            <v>1.4</v>
          </cell>
          <cell r="AA1471">
            <v>1</v>
          </cell>
          <cell r="AB1471">
            <v>0</v>
          </cell>
        </row>
        <row r="1472">
          <cell r="A1472">
            <v>9001</v>
          </cell>
          <cell r="B1472" t="str">
            <v>春香</v>
          </cell>
          <cell r="C1472">
            <v>5</v>
          </cell>
          <cell r="D1472" t="str">
            <v>red</v>
          </cell>
          <cell r="E1472">
            <v>1</v>
          </cell>
          <cell r="F1472">
            <v>1.02</v>
          </cell>
          <cell r="G1472">
            <v>1</v>
          </cell>
          <cell r="H1472" t="str">
            <v>attack</v>
          </cell>
          <cell r="I1472" t="str">
            <v>攻撃タイプ</v>
          </cell>
          <cell r="J1472">
            <v>1</v>
          </cell>
          <cell r="K1472">
            <v>1.33</v>
          </cell>
          <cell r="L1472">
            <v>1</v>
          </cell>
          <cell r="M1472" t="str">
            <v>human</v>
          </cell>
          <cell r="N1472" t="str">
            <v>ヒューマン</v>
          </cell>
          <cell r="O1472">
            <v>0.94</v>
          </cell>
          <cell r="P1472">
            <v>0.99</v>
          </cell>
          <cell r="Q1472">
            <v>1</v>
          </cell>
          <cell r="R1472" t="str">
            <v>Boss</v>
          </cell>
          <cell r="S1472">
            <v>5</v>
          </cell>
          <cell r="T1472">
            <v>1.3</v>
          </cell>
          <cell r="U1472">
            <v>0.8</v>
          </cell>
          <cell r="V1472">
            <v>3</v>
          </cell>
          <cell r="W1472">
            <v>1</v>
          </cell>
          <cell r="X1472">
            <v>60</v>
          </cell>
          <cell r="Y1472">
            <v>1.7</v>
          </cell>
          <cell r="Z1472">
            <v>1.4</v>
          </cell>
          <cell r="AA1472">
            <v>1</v>
          </cell>
          <cell r="AB1472">
            <v>0</v>
          </cell>
        </row>
        <row r="1473">
          <cell r="A1473">
            <v>9002</v>
          </cell>
          <cell r="B1473" t="str">
            <v>春香★６</v>
          </cell>
          <cell r="C1473">
            <v>6</v>
          </cell>
          <cell r="D1473" t="str">
            <v>red</v>
          </cell>
          <cell r="E1473">
            <v>1</v>
          </cell>
          <cell r="F1473">
            <v>1.02</v>
          </cell>
          <cell r="G1473">
            <v>1</v>
          </cell>
          <cell r="H1473" t="str">
            <v>attack</v>
          </cell>
          <cell r="I1473" t="str">
            <v>攻撃タイプ</v>
          </cell>
          <cell r="J1473">
            <v>1</v>
          </cell>
          <cell r="K1473">
            <v>1.33</v>
          </cell>
          <cell r="L1473">
            <v>1</v>
          </cell>
          <cell r="M1473" t="str">
            <v>human</v>
          </cell>
          <cell r="N1473" t="str">
            <v>ヒューマン</v>
          </cell>
          <cell r="O1473">
            <v>0.94</v>
          </cell>
          <cell r="P1473">
            <v>0.99</v>
          </cell>
          <cell r="Q1473">
            <v>1</v>
          </cell>
          <cell r="R1473" t="str">
            <v>Boss</v>
          </cell>
          <cell r="S1473">
            <v>5</v>
          </cell>
          <cell r="T1473">
            <v>1.3</v>
          </cell>
          <cell r="U1473">
            <v>0.8</v>
          </cell>
          <cell r="V1473">
            <v>3</v>
          </cell>
          <cell r="W1473">
            <v>1</v>
          </cell>
          <cell r="X1473">
            <v>60</v>
          </cell>
          <cell r="Y1473">
            <v>1.7</v>
          </cell>
          <cell r="Z1473">
            <v>1.4</v>
          </cell>
          <cell r="AA1473">
            <v>1</v>
          </cell>
          <cell r="AB1473">
            <v>0</v>
          </cell>
        </row>
        <row r="1474">
          <cell r="A1474">
            <v>9003</v>
          </cell>
          <cell r="B1474" t="str">
            <v>夢龍</v>
          </cell>
          <cell r="C1474">
            <v>5</v>
          </cell>
          <cell r="D1474" t="str">
            <v>green</v>
          </cell>
          <cell r="E1474">
            <v>1.02</v>
          </cell>
          <cell r="F1474">
            <v>0.98</v>
          </cell>
          <cell r="G1474">
            <v>1</v>
          </cell>
          <cell r="H1474" t="str">
            <v>technical</v>
          </cell>
          <cell r="I1474" t="str">
            <v>テクニカルタイプ</v>
          </cell>
          <cell r="J1474">
            <v>0.9</v>
          </cell>
          <cell r="K1474">
            <v>0.9</v>
          </cell>
          <cell r="L1474">
            <v>1</v>
          </cell>
          <cell r="M1474" t="str">
            <v>human</v>
          </cell>
          <cell r="N1474" t="str">
            <v>ヒューマン</v>
          </cell>
          <cell r="O1474">
            <v>0.94</v>
          </cell>
          <cell r="P1474">
            <v>0.99</v>
          </cell>
          <cell r="Q1474">
            <v>1</v>
          </cell>
          <cell r="R1474" t="str">
            <v>Boss</v>
          </cell>
          <cell r="S1474">
            <v>5</v>
          </cell>
          <cell r="T1474">
            <v>1.3</v>
          </cell>
          <cell r="U1474">
            <v>0.8</v>
          </cell>
          <cell r="V1474">
            <v>3</v>
          </cell>
          <cell r="W1474">
            <v>1</v>
          </cell>
          <cell r="X1474">
            <v>60</v>
          </cell>
          <cell r="Y1474">
            <v>1.7</v>
          </cell>
          <cell r="Z1474">
            <v>1.4</v>
          </cell>
          <cell r="AA1474">
            <v>1</v>
          </cell>
          <cell r="AB1474">
            <v>0</v>
          </cell>
        </row>
        <row r="1475">
          <cell r="A1475">
            <v>9004</v>
          </cell>
          <cell r="B1475" t="str">
            <v>夢龍★６</v>
          </cell>
          <cell r="C1475">
            <v>6</v>
          </cell>
          <cell r="D1475" t="str">
            <v>green</v>
          </cell>
          <cell r="E1475">
            <v>1.02</v>
          </cell>
          <cell r="F1475">
            <v>0.98</v>
          </cell>
          <cell r="G1475">
            <v>1</v>
          </cell>
          <cell r="H1475" t="str">
            <v>technical</v>
          </cell>
          <cell r="I1475" t="str">
            <v>テクニカルタイプ</v>
          </cell>
          <cell r="J1475">
            <v>0.9</v>
          </cell>
          <cell r="K1475">
            <v>0.9</v>
          </cell>
          <cell r="L1475">
            <v>1</v>
          </cell>
          <cell r="M1475" t="str">
            <v>human</v>
          </cell>
          <cell r="N1475" t="str">
            <v>ヒューマン</v>
          </cell>
          <cell r="O1475">
            <v>0.94</v>
          </cell>
          <cell r="P1475">
            <v>0.99</v>
          </cell>
          <cell r="Q1475">
            <v>1</v>
          </cell>
          <cell r="R1475" t="str">
            <v>Boss</v>
          </cell>
          <cell r="S1475">
            <v>5</v>
          </cell>
          <cell r="T1475">
            <v>1.3</v>
          </cell>
          <cell r="U1475">
            <v>0.8</v>
          </cell>
          <cell r="V1475">
            <v>3</v>
          </cell>
          <cell r="W1475">
            <v>1</v>
          </cell>
          <cell r="X1475">
            <v>60</v>
          </cell>
          <cell r="Y1475">
            <v>1.7</v>
          </cell>
          <cell r="Z1475">
            <v>1.4</v>
          </cell>
          <cell r="AA1475">
            <v>1</v>
          </cell>
          <cell r="AB1475">
            <v>0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神様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城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ネセバル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碧影の聖跡 ネセバル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H1372" t="str">
            <v>blue</v>
          </cell>
          <cell r="I1372">
            <v>5</v>
          </cell>
          <cell r="J1372" t="str">
            <v>PremiumSSS</v>
          </cell>
          <cell r="K1372" t="str">
            <v>balance</v>
          </cell>
          <cell r="L1372" t="str">
            <v>バランスタイプ</v>
          </cell>
          <cell r="M1372" t="str">
            <v>academia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H1373" t="str">
            <v>blue</v>
          </cell>
          <cell r="I1373">
            <v>6</v>
          </cell>
          <cell r="J1373" t="str">
            <v>PremiumSSS</v>
          </cell>
          <cell r="K1373" t="str">
            <v>balance</v>
          </cell>
          <cell r="L1373" t="str">
            <v>バランスタイプ</v>
          </cell>
          <cell r="M1373" t="str">
            <v>academia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H1374" t="str">
            <v>green</v>
          </cell>
          <cell r="I1374">
            <v>5</v>
          </cell>
          <cell r="J1374" t="str">
            <v>PremiumSSS</v>
          </cell>
          <cell r="K1374" t="str">
            <v>attack</v>
          </cell>
          <cell r="L1374" t="str">
            <v>攻撃タイプ</v>
          </cell>
          <cell r="M1374" t="str">
            <v>god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H1375" t="str">
            <v>green</v>
          </cell>
          <cell r="I1375">
            <v>6</v>
          </cell>
          <cell r="J1375" t="str">
            <v>PremiumSSS</v>
          </cell>
          <cell r="K1375" t="str">
            <v>attack</v>
          </cell>
          <cell r="L1375" t="str">
            <v>攻撃タイプ</v>
          </cell>
          <cell r="M1375" t="str">
            <v>god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H1376" t="str">
            <v>yellow</v>
          </cell>
          <cell r="I1376">
            <v>5</v>
          </cell>
          <cell r="J1376" t="str">
            <v>PremiumSSw</v>
          </cell>
          <cell r="K1376" t="str">
            <v>hp</v>
          </cell>
          <cell r="L1376" t="str">
            <v>体力タイプ</v>
          </cell>
          <cell r="M1376" t="str">
            <v>hero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H1377" t="str">
            <v>yellow</v>
          </cell>
          <cell r="I1377">
            <v>6</v>
          </cell>
          <cell r="J1377" t="str">
            <v>PremiumSSw</v>
          </cell>
          <cell r="K1377" t="str">
            <v>hp</v>
          </cell>
          <cell r="L1377" t="str">
            <v>体力タイプ</v>
          </cell>
          <cell r="M1377" t="str">
            <v>hero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H1378" t="str">
            <v>red</v>
          </cell>
          <cell r="I1378">
            <v>6</v>
          </cell>
          <cell r="J1378" t="str">
            <v>Drop2N</v>
          </cell>
          <cell r="K1378" t="str">
            <v>heal</v>
          </cell>
          <cell r="L1378" t="str">
            <v>回復タイプ</v>
          </cell>
          <cell r="M1378" t="str">
            <v>animal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H1379" t="str">
            <v>green</v>
          </cell>
          <cell r="I1379">
            <v>6</v>
          </cell>
          <cell r="J1379" t="str">
            <v>Drop2N</v>
          </cell>
          <cell r="K1379" t="str">
            <v>hp</v>
          </cell>
          <cell r="L1379" t="str">
            <v>体力タイプ</v>
          </cell>
          <cell r="M1379" t="str">
            <v>dragon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H1380" t="str">
            <v>blue</v>
          </cell>
          <cell r="I1380">
            <v>6</v>
          </cell>
          <cell r="J1380" t="str">
            <v>Drop2N</v>
          </cell>
          <cell r="K1380" t="str">
            <v>balance</v>
          </cell>
          <cell r="L1380" t="str">
            <v>バランスタイプ</v>
          </cell>
          <cell r="M1380" t="str">
            <v>dragon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H1381" t="str">
            <v>yellow</v>
          </cell>
          <cell r="I1381">
            <v>6</v>
          </cell>
          <cell r="J1381" t="str">
            <v>Drop2N</v>
          </cell>
          <cell r="K1381" t="str">
            <v>attack</v>
          </cell>
          <cell r="L1381" t="str">
            <v>攻撃タイプ</v>
          </cell>
          <cell r="M1381" t="str">
            <v>animal</v>
          </cell>
        </row>
        <row r="1382">
          <cell r="A1382">
            <v>1407</v>
          </cell>
          <cell r="B1382" t="str">
            <v>ja</v>
          </cell>
          <cell r="C1382" t="str">
            <v>グリム・ザ・ダンディ</v>
          </cell>
          <cell r="H1382" t="str">
            <v>yellow</v>
          </cell>
          <cell r="I1382">
            <v>5</v>
          </cell>
          <cell r="J1382" t="str">
            <v>DropWizS</v>
          </cell>
          <cell r="K1382" t="str">
            <v>balance</v>
          </cell>
          <cell r="L1382" t="str">
            <v>バランスタイプ</v>
          </cell>
          <cell r="M1382" t="str">
            <v>human</v>
          </cell>
        </row>
        <row r="1383">
          <cell r="A1383">
            <v>1408</v>
          </cell>
          <cell r="B1383" t="str">
            <v>ja</v>
          </cell>
          <cell r="C1383" t="str">
            <v>爽愛の求魂 グリム・ザ・ダンディ</v>
          </cell>
          <cell r="H1383" t="str">
            <v>yellow</v>
          </cell>
          <cell r="I1383">
            <v>6</v>
          </cell>
          <cell r="J1383" t="str">
            <v>DropWizS</v>
          </cell>
          <cell r="K1383" t="str">
            <v>balance</v>
          </cell>
          <cell r="L1383" t="str">
            <v>バランスタイプ</v>
          </cell>
          <cell r="M1383" t="str">
            <v>human</v>
          </cell>
        </row>
        <row r="1384">
          <cell r="A1384">
            <v>1409</v>
          </cell>
          <cell r="B1384" t="str">
            <v>ja</v>
          </cell>
          <cell r="C1384" t="str">
            <v>マシロ</v>
          </cell>
          <cell r="H1384" t="str">
            <v>green</v>
          </cell>
          <cell r="I1384">
            <v>5</v>
          </cell>
          <cell r="J1384" t="str">
            <v>PremiumSS</v>
          </cell>
          <cell r="K1384" t="str">
            <v>heal</v>
          </cell>
          <cell r="L1384" t="str">
            <v>回復タイプ</v>
          </cell>
          <cell r="M1384" t="str">
            <v>human</v>
          </cell>
        </row>
        <row r="1385">
          <cell r="A1385">
            <v>1410</v>
          </cell>
          <cell r="B1385" t="str">
            <v>ja</v>
          </cell>
          <cell r="C1385" t="str">
            <v>浮遊する白恋 マシロ</v>
          </cell>
          <cell r="H1385" t="str">
            <v>green</v>
          </cell>
          <cell r="I1385">
            <v>6</v>
          </cell>
          <cell r="J1385" t="str">
            <v>PremiumSS</v>
          </cell>
          <cell r="K1385" t="str">
            <v>heal</v>
          </cell>
          <cell r="L1385" t="str">
            <v>回復タイプ</v>
          </cell>
          <cell r="M1385" t="str">
            <v>human</v>
          </cell>
        </row>
        <row r="1386">
          <cell r="A1386">
            <v>1411</v>
          </cell>
          <cell r="B1386" t="str">
            <v>ja</v>
          </cell>
          <cell r="C1386" t="str">
            <v>ピーターパン・イノセンス</v>
          </cell>
          <cell r="H1386" t="str">
            <v>blue</v>
          </cell>
          <cell r="I1386">
            <v>5</v>
          </cell>
          <cell r="J1386" t="str">
            <v>PremiumS</v>
          </cell>
          <cell r="K1386" t="str">
            <v>attack</v>
          </cell>
          <cell r="L1386" t="str">
            <v>攻撃タイプ</v>
          </cell>
          <cell r="M1386" t="str">
            <v>human</v>
          </cell>
        </row>
        <row r="1387">
          <cell r="A1387">
            <v>1412</v>
          </cell>
          <cell r="B1387" t="str">
            <v>ja</v>
          </cell>
          <cell r="C1387" t="str">
            <v>アレス・パッション</v>
          </cell>
          <cell r="H1387" t="str">
            <v>yellow</v>
          </cell>
          <cell r="I1387">
            <v>5</v>
          </cell>
          <cell r="J1387" t="str">
            <v>PremiumS</v>
          </cell>
          <cell r="K1387" t="str">
            <v>attack</v>
          </cell>
          <cell r="L1387" t="str">
            <v>攻撃タイプ</v>
          </cell>
          <cell r="M1387" t="str">
            <v>god</v>
          </cell>
        </row>
        <row r="1388">
          <cell r="A1388">
            <v>1413</v>
          </cell>
          <cell r="B1388" t="str">
            <v>ja</v>
          </cell>
          <cell r="C1388" t="str">
            <v>クリムト・ペリューシド</v>
          </cell>
          <cell r="H1388" t="str">
            <v>green</v>
          </cell>
          <cell r="I1388">
            <v>5</v>
          </cell>
          <cell r="J1388" t="str">
            <v>PremiumS</v>
          </cell>
          <cell r="K1388" t="str">
            <v>technical</v>
          </cell>
          <cell r="L1388" t="str">
            <v>テクニカルタイプ</v>
          </cell>
          <cell r="M1388" t="str">
            <v>human</v>
          </cell>
        </row>
        <row r="1389">
          <cell r="A1389">
            <v>1414</v>
          </cell>
          <cell r="B1389" t="str">
            <v>ja</v>
          </cell>
          <cell r="C1389" t="str">
            <v>炎のミリオンダック 7</v>
          </cell>
          <cell r="D1389" t="str">
            <v>未定</v>
          </cell>
          <cell r="E1389" t="str">
            <v>執行者</v>
          </cell>
          <cell r="F1389" t="str">
            <v>格好いい</v>
          </cell>
          <cell r="G1389" t="str">
            <v>不明</v>
          </cell>
          <cell r="H1389" t="str">
            <v>red</v>
          </cell>
          <cell r="I1389">
            <v>6</v>
          </cell>
          <cell r="J1389" t="str">
            <v>Material</v>
          </cell>
          <cell r="K1389" t="str">
            <v>exp</v>
          </cell>
          <cell r="L1389" t="str">
            <v>強化素材タイプ</v>
          </cell>
          <cell r="M1389" t="str">
            <v>unknown</v>
          </cell>
        </row>
        <row r="1390">
          <cell r="A1390">
            <v>1415</v>
          </cell>
          <cell r="B1390" t="str">
            <v>ja</v>
          </cell>
          <cell r="C1390" t="str">
            <v>森のミリオンダック 7</v>
          </cell>
          <cell r="D1390" t="str">
            <v>未定</v>
          </cell>
          <cell r="E1390" t="str">
            <v>執行者</v>
          </cell>
          <cell r="F1390" t="str">
            <v>格好いい</v>
          </cell>
          <cell r="G1390" t="str">
            <v>不明</v>
          </cell>
          <cell r="H1390" t="str">
            <v>green</v>
          </cell>
          <cell r="I1390">
            <v>6</v>
          </cell>
          <cell r="J1390" t="str">
            <v>Material</v>
          </cell>
          <cell r="K1390" t="str">
            <v>exp</v>
          </cell>
          <cell r="L1390" t="str">
            <v>強化素材タイプ</v>
          </cell>
          <cell r="M1390" t="str">
            <v>unknown</v>
          </cell>
        </row>
        <row r="1391">
          <cell r="A1391">
            <v>1416</v>
          </cell>
          <cell r="B1391" t="str">
            <v>ja</v>
          </cell>
          <cell r="C1391" t="str">
            <v>水のミリオンダック 7</v>
          </cell>
          <cell r="D1391" t="str">
            <v>未定</v>
          </cell>
          <cell r="E1391" t="str">
            <v>執行者</v>
          </cell>
          <cell r="F1391" t="str">
            <v>格好いい</v>
          </cell>
          <cell r="G1391" t="str">
            <v>不明</v>
          </cell>
          <cell r="H1391" t="str">
            <v>blue</v>
          </cell>
          <cell r="I1391">
            <v>6</v>
          </cell>
          <cell r="J1391" t="str">
            <v>Material</v>
          </cell>
          <cell r="K1391" t="str">
            <v>exp</v>
          </cell>
          <cell r="L1391" t="str">
            <v>強化素材タイプ</v>
          </cell>
          <cell r="M1391" t="str">
            <v>unknown</v>
          </cell>
        </row>
        <row r="1392">
          <cell r="A1392">
            <v>1417</v>
          </cell>
          <cell r="B1392" t="str">
            <v>ja</v>
          </cell>
          <cell r="C1392" t="str">
            <v>雷のミリオンダック 7</v>
          </cell>
          <cell r="D1392" t="str">
            <v>未定</v>
          </cell>
          <cell r="E1392" t="str">
            <v>執行者</v>
          </cell>
          <cell r="F1392" t="str">
            <v>格好いい</v>
          </cell>
          <cell r="G1392" t="str">
            <v>不明</v>
          </cell>
          <cell r="H1392" t="str">
            <v>yellow</v>
          </cell>
          <cell r="I1392">
            <v>6</v>
          </cell>
          <cell r="J1392" t="str">
            <v>Material</v>
          </cell>
          <cell r="K1392" t="str">
            <v>exp</v>
          </cell>
          <cell r="L1392" t="str">
            <v>強化素材タイプ</v>
          </cell>
          <cell r="M1392" t="str">
            <v>unknown</v>
          </cell>
        </row>
        <row r="1393">
          <cell r="A1393">
            <v>1418</v>
          </cell>
          <cell r="B1393" t="str">
            <v>ja</v>
          </cell>
          <cell r="C1393" t="str">
            <v>擬潜送侵型メリッサ2.0</v>
          </cell>
          <cell r="H1393" t="str">
            <v>red</v>
          </cell>
          <cell r="I1393">
            <v>5</v>
          </cell>
          <cell r="J1393" t="str">
            <v>DropWizS</v>
          </cell>
          <cell r="K1393" t="str">
            <v>technical</v>
          </cell>
          <cell r="L1393" t="str">
            <v>テクニカルタイプ</v>
          </cell>
          <cell r="M1393" t="str">
            <v>unknown</v>
          </cell>
        </row>
        <row r="1394">
          <cell r="A1394">
            <v>1419</v>
          </cell>
          <cell r="B1394" t="str">
            <v>ja</v>
          </cell>
          <cell r="C1394" t="str">
            <v>感潜する侵感 メリッサ</v>
          </cell>
          <cell r="H1394" t="str">
            <v>red</v>
          </cell>
          <cell r="I1394">
            <v>6</v>
          </cell>
          <cell r="J1394" t="str">
            <v>DropWizS</v>
          </cell>
          <cell r="K1394" t="str">
            <v>technical</v>
          </cell>
          <cell r="L1394" t="str">
            <v>テクニカルタイプ</v>
          </cell>
          <cell r="M1394" t="str">
            <v>unknown</v>
          </cell>
        </row>
        <row r="1395">
          <cell r="A1395">
            <v>1420</v>
          </cell>
          <cell r="B1395" t="str">
            <v>ja</v>
          </cell>
          <cell r="C1395" t="str">
            <v>脆侵増殖型G・モリス</v>
          </cell>
          <cell r="H1395" t="str">
            <v>blue</v>
          </cell>
          <cell r="I1395">
            <v>5</v>
          </cell>
          <cell r="J1395" t="str">
            <v>DropWizS</v>
          </cell>
          <cell r="K1395" t="str">
            <v>balance</v>
          </cell>
          <cell r="L1395" t="str">
            <v>バランスタイプ</v>
          </cell>
          <cell r="M1395" t="str">
            <v>unknown</v>
          </cell>
        </row>
        <row r="1396">
          <cell r="A1396">
            <v>1421</v>
          </cell>
          <cell r="B1396" t="str">
            <v>ja</v>
          </cell>
          <cell r="C1396" t="str">
            <v>拡勢する偽増 モリス</v>
          </cell>
          <cell r="H1396" t="str">
            <v>blue</v>
          </cell>
          <cell r="I1396">
            <v>6</v>
          </cell>
          <cell r="J1396" t="str">
            <v>DropWizS</v>
          </cell>
          <cell r="K1396" t="str">
            <v>balance</v>
          </cell>
          <cell r="L1396" t="str">
            <v>バランスタイプ</v>
          </cell>
          <cell r="M1396" t="str">
            <v>unknown</v>
          </cell>
        </row>
        <row r="1397">
          <cell r="A1397">
            <v>1422</v>
          </cell>
          <cell r="B1397" t="str">
            <v>ja</v>
          </cell>
          <cell r="C1397" t="str">
            <v>解錠放散性ニムダE</v>
          </cell>
          <cell r="H1397" t="str">
            <v>yellow</v>
          </cell>
          <cell r="I1397">
            <v>5</v>
          </cell>
          <cell r="J1397" t="str">
            <v>DropWizS</v>
          </cell>
          <cell r="K1397" t="str">
            <v>hp</v>
          </cell>
          <cell r="L1397" t="str">
            <v>体力タイプ</v>
          </cell>
          <cell r="M1397" t="str">
            <v>unknown</v>
          </cell>
        </row>
        <row r="1398">
          <cell r="A1398">
            <v>1423</v>
          </cell>
          <cell r="B1398" t="str">
            <v>ja</v>
          </cell>
          <cell r="C1398" t="str">
            <v>電播する環染 ニムダ</v>
          </cell>
          <cell r="H1398" t="str">
            <v>yellow</v>
          </cell>
          <cell r="I1398">
            <v>6</v>
          </cell>
          <cell r="J1398" t="str">
            <v>DropWizS</v>
          </cell>
          <cell r="K1398" t="str">
            <v>hp</v>
          </cell>
          <cell r="L1398" t="str">
            <v>体力タイプ</v>
          </cell>
          <cell r="M1398" t="str">
            <v>unknown</v>
          </cell>
        </row>
        <row r="1399">
          <cell r="A1399">
            <v>1424</v>
          </cell>
          <cell r="B1399" t="str">
            <v>ja</v>
          </cell>
          <cell r="C1399" t="str">
            <v>波打際の宴麗 フロイト</v>
          </cell>
          <cell r="H1399" t="str">
            <v>blue</v>
          </cell>
          <cell r="I1399">
            <v>6</v>
          </cell>
          <cell r="J1399" t="str">
            <v>PremiumSSS</v>
          </cell>
          <cell r="K1399" t="str">
            <v>balance</v>
          </cell>
          <cell r="L1399" t="str">
            <v>バランスタイプ</v>
          </cell>
          <cell r="M1399" t="str">
            <v>academia</v>
          </cell>
        </row>
        <row r="1400">
          <cell r="A1400">
            <v>1425</v>
          </cell>
          <cell r="B1400" t="str">
            <v>ja</v>
          </cell>
          <cell r="C1400" t="str">
            <v>ヴォルタ</v>
          </cell>
          <cell r="D1400" t="str">
            <v>未定</v>
          </cell>
          <cell r="E1400" t="str">
            <v>アリス</v>
          </cell>
          <cell r="F1400" t="str">
            <v>世界観</v>
          </cell>
          <cell r="G1400" t="str">
            <v>不明</v>
          </cell>
          <cell r="H1400" t="str">
            <v>red</v>
          </cell>
          <cell r="I1400">
            <v>5</v>
          </cell>
          <cell r="J1400" t="str">
            <v>PremiumSSS</v>
          </cell>
          <cell r="K1400" t="str">
            <v>technical</v>
          </cell>
          <cell r="L1400" t="str">
            <v>テクニカルタイプ</v>
          </cell>
          <cell r="M1400" t="str">
            <v>academia</v>
          </cell>
        </row>
        <row r="1401">
          <cell r="A1401">
            <v>1426</v>
          </cell>
          <cell r="B1401" t="str">
            <v>ja</v>
          </cell>
          <cell r="C1401" t="str">
            <v>灼々たる電花 ヴォルタ</v>
          </cell>
          <cell r="D1401" t="str">
            <v>未定</v>
          </cell>
          <cell r="E1401" t="str">
            <v>アリス</v>
          </cell>
          <cell r="F1401" t="str">
            <v>世界観</v>
          </cell>
          <cell r="G1401" t="str">
            <v>不明</v>
          </cell>
          <cell r="H1401" t="str">
            <v>red</v>
          </cell>
          <cell r="I1401">
            <v>6</v>
          </cell>
          <cell r="J1401" t="str">
            <v>PremiumSSS</v>
          </cell>
          <cell r="K1401" t="str">
            <v>technical</v>
          </cell>
          <cell r="L1401" t="str">
            <v>テクニカルタイプ</v>
          </cell>
          <cell r="M1401" t="str">
            <v>academia</v>
          </cell>
        </row>
        <row r="1402">
          <cell r="A1402">
            <v>1433</v>
          </cell>
          <cell r="B1402" t="str">
            <v>ja</v>
          </cell>
          <cell r="C1402" t="str">
            <v>超越の果実</v>
          </cell>
          <cell r="D1402" t="str">
            <v>スキル進化素材</v>
          </cell>
          <cell r="E1402" t="str">
            <v>アリス</v>
          </cell>
          <cell r="F1402" t="str">
            <v>世界観</v>
          </cell>
          <cell r="G1402" t="str">
            <v>不明</v>
          </cell>
          <cell r="H1402" t="str">
            <v>yellow</v>
          </cell>
          <cell r="I1402">
            <v>3</v>
          </cell>
          <cell r="J1402" t="str">
            <v>Material</v>
          </cell>
          <cell r="K1402" t="str">
            <v>limitbreak</v>
          </cell>
          <cell r="L1402" t="str">
            <v>限界突破素材</v>
          </cell>
          <cell r="M1402" t="str">
            <v>unknown</v>
          </cell>
        </row>
        <row r="1403">
          <cell r="A1403">
            <v>1434</v>
          </cell>
          <cell r="B1403" t="str">
            <v>ja</v>
          </cell>
          <cell r="C1403" t="str">
            <v>メガ超越の果実</v>
          </cell>
          <cell r="D1403" t="str">
            <v>スキル進化素材</v>
          </cell>
          <cell r="E1403" t="str">
            <v>アリス</v>
          </cell>
          <cell r="F1403" t="str">
            <v>世界観</v>
          </cell>
          <cell r="G1403" t="str">
            <v>不明</v>
          </cell>
          <cell r="H1403" t="str">
            <v>yellow</v>
          </cell>
          <cell r="I1403">
            <v>4</v>
          </cell>
          <cell r="J1403" t="str">
            <v>Material</v>
          </cell>
          <cell r="K1403" t="str">
            <v>limitbreak</v>
          </cell>
          <cell r="L1403" t="str">
            <v>限界突破素材</v>
          </cell>
          <cell r="M1403" t="str">
            <v>unknown</v>
          </cell>
        </row>
        <row r="1404">
          <cell r="A1404">
            <v>1435</v>
          </cell>
          <cell r="B1404" t="str">
            <v>ja</v>
          </cell>
          <cell r="C1404" t="str">
            <v>ギガ超越の果実</v>
          </cell>
          <cell r="D1404" t="str">
            <v>スキル進化素材</v>
          </cell>
          <cell r="E1404" t="str">
            <v>アリス</v>
          </cell>
          <cell r="F1404" t="str">
            <v>世界観</v>
          </cell>
          <cell r="G1404" t="str">
            <v>不明</v>
          </cell>
          <cell r="H1404" t="str">
            <v>yellow</v>
          </cell>
          <cell r="I1404">
            <v>5</v>
          </cell>
          <cell r="J1404" t="str">
            <v>Material</v>
          </cell>
          <cell r="K1404" t="str">
            <v>limitbreak</v>
          </cell>
          <cell r="L1404" t="str">
            <v>限界突破素材</v>
          </cell>
          <cell r="M1404" t="str">
            <v>unknown</v>
          </cell>
        </row>
        <row r="1405">
          <cell r="A1405">
            <v>1454</v>
          </cell>
          <cell r="B1405" t="str">
            <v>ja</v>
          </cell>
          <cell r="C1405" t="str">
            <v>ストレングス</v>
          </cell>
          <cell r="D1405" t="str">
            <v>未定</v>
          </cell>
          <cell r="E1405" t="str">
            <v>アリス</v>
          </cell>
          <cell r="F1405" t="str">
            <v>世界観</v>
          </cell>
          <cell r="G1405" t="str">
            <v>不明</v>
          </cell>
          <cell r="H1405" t="str">
            <v>red</v>
          </cell>
          <cell r="I1405">
            <v>5</v>
          </cell>
          <cell r="J1405" t="str">
            <v>PremiumSSS</v>
          </cell>
          <cell r="K1405" t="str">
            <v>balance</v>
          </cell>
          <cell r="L1405" t="str">
            <v>バランスタイプ</v>
          </cell>
          <cell r="M1405" t="str">
            <v>god</v>
          </cell>
        </row>
        <row r="1406">
          <cell r="A1406">
            <v>1455</v>
          </cell>
          <cell r="B1406" t="str">
            <v>ja</v>
          </cell>
          <cell r="C1406" t="str">
            <v>豪毅なる征獣師 ストレングス</v>
          </cell>
          <cell r="D1406" t="str">
            <v>未定</v>
          </cell>
          <cell r="E1406" t="str">
            <v>アリス</v>
          </cell>
          <cell r="F1406" t="str">
            <v>世界観</v>
          </cell>
          <cell r="G1406" t="str">
            <v>不明</v>
          </cell>
          <cell r="H1406" t="str">
            <v>red</v>
          </cell>
          <cell r="I1406">
            <v>6</v>
          </cell>
          <cell r="J1406" t="str">
            <v>PremiumSSS</v>
          </cell>
          <cell r="K1406" t="str">
            <v>balance</v>
          </cell>
          <cell r="L1406" t="str">
            <v>バランスタイプ</v>
          </cell>
          <cell r="M1406" t="str">
            <v>god</v>
          </cell>
        </row>
        <row r="1407">
          <cell r="A1407">
            <v>1458</v>
          </cell>
          <cell r="B1407" t="str">
            <v>ja</v>
          </cell>
          <cell r="C1407" t="str">
            <v>diamond01</v>
          </cell>
          <cell r="H1407" t="str">
            <v>red</v>
          </cell>
          <cell r="I1407">
            <v>5</v>
          </cell>
          <cell r="J1407" t="str">
            <v>PremiumSS</v>
          </cell>
          <cell r="K1407" t="str">
            <v>attack</v>
          </cell>
          <cell r="L1407" t="str">
            <v>攻撃タイプ</v>
          </cell>
          <cell r="M1407" t="str">
            <v>human</v>
          </cell>
        </row>
        <row r="1408">
          <cell r="A1408">
            <v>1459</v>
          </cell>
          <cell r="B1408" t="str">
            <v>ja</v>
          </cell>
          <cell r="C1408" t="str">
            <v>diamond02</v>
          </cell>
          <cell r="H1408" t="str">
            <v>red</v>
          </cell>
          <cell r="I1408">
            <v>6</v>
          </cell>
          <cell r="J1408" t="str">
            <v>PremiumSS</v>
          </cell>
          <cell r="K1408" t="str">
            <v>attack</v>
          </cell>
          <cell r="L1408" t="str">
            <v>攻撃タイプ</v>
          </cell>
          <cell r="M1408" t="str">
            <v>human</v>
          </cell>
        </row>
        <row r="1409">
          <cell r="A1409">
            <v>1460</v>
          </cell>
          <cell r="B1409" t="str">
            <v>ja</v>
          </cell>
          <cell r="C1409" t="str">
            <v>opal01</v>
          </cell>
          <cell r="H1409" t="str">
            <v>blue</v>
          </cell>
          <cell r="I1409">
            <v>4</v>
          </cell>
          <cell r="J1409" t="str">
            <v>PremiumS</v>
          </cell>
          <cell r="K1409" t="str">
            <v>balance</v>
          </cell>
          <cell r="L1409" t="str">
            <v>バランスタイプ</v>
          </cell>
          <cell r="M1409" t="str">
            <v>human</v>
          </cell>
        </row>
        <row r="1410">
          <cell r="A1410">
            <v>1461</v>
          </cell>
          <cell r="B1410" t="str">
            <v>ja</v>
          </cell>
          <cell r="C1410" t="str">
            <v>opal02</v>
          </cell>
          <cell r="H1410" t="str">
            <v>blue</v>
          </cell>
          <cell r="I1410">
            <v>5</v>
          </cell>
          <cell r="J1410" t="str">
            <v>PremiumS</v>
          </cell>
          <cell r="K1410" t="str">
            <v>balance</v>
          </cell>
          <cell r="L1410" t="str">
            <v>バランスタイプ</v>
          </cell>
          <cell r="M1410" t="str">
            <v>human</v>
          </cell>
        </row>
        <row r="1411">
          <cell r="A1411">
            <v>1462</v>
          </cell>
          <cell r="B1411" t="str">
            <v>ja</v>
          </cell>
          <cell r="C1411" t="str">
            <v>ruby01</v>
          </cell>
          <cell r="H1411" t="str">
            <v>yellow</v>
          </cell>
          <cell r="I1411">
            <v>5</v>
          </cell>
          <cell r="J1411" t="str">
            <v>PremiumSS</v>
          </cell>
          <cell r="K1411" t="str">
            <v>technical</v>
          </cell>
          <cell r="L1411" t="str">
            <v>テクニカルタイプ</v>
          </cell>
          <cell r="M1411" t="str">
            <v>human</v>
          </cell>
        </row>
        <row r="1412">
          <cell r="A1412">
            <v>1463</v>
          </cell>
          <cell r="B1412" t="str">
            <v>ja</v>
          </cell>
          <cell r="C1412" t="str">
            <v>ruby02</v>
          </cell>
          <cell r="H1412" t="str">
            <v>yellow</v>
          </cell>
          <cell r="I1412">
            <v>6</v>
          </cell>
          <cell r="J1412" t="str">
            <v>PremiumSS</v>
          </cell>
          <cell r="K1412" t="str">
            <v>technical</v>
          </cell>
          <cell r="L1412" t="str">
            <v>テクニカルタイプ</v>
          </cell>
          <cell r="M1412" t="str">
            <v>human</v>
          </cell>
        </row>
        <row r="1413">
          <cell r="A1413">
            <v>1464</v>
          </cell>
          <cell r="B1413" t="str">
            <v>ja</v>
          </cell>
          <cell r="C1413" t="str">
            <v>garnet01</v>
          </cell>
          <cell r="H1413" t="str">
            <v>yellow</v>
          </cell>
          <cell r="I1413">
            <v>5</v>
          </cell>
          <cell r="J1413" t="str">
            <v>PremiumSS</v>
          </cell>
          <cell r="K1413" t="str">
            <v>hp</v>
          </cell>
          <cell r="L1413" t="str">
            <v>体力タイプ</v>
          </cell>
          <cell r="M1413" t="str">
            <v>human</v>
          </cell>
        </row>
        <row r="1414">
          <cell r="A1414">
            <v>1465</v>
          </cell>
          <cell r="B1414" t="str">
            <v>ja</v>
          </cell>
          <cell r="C1414" t="str">
            <v>garnet02</v>
          </cell>
          <cell r="H1414" t="str">
            <v>yellow</v>
          </cell>
          <cell r="I1414">
            <v>6</v>
          </cell>
          <cell r="J1414" t="str">
            <v>PremiumSS</v>
          </cell>
          <cell r="K1414" t="str">
            <v>hp</v>
          </cell>
          <cell r="L1414" t="str">
            <v>体力タイプ</v>
          </cell>
          <cell r="M1414" t="str">
            <v>human</v>
          </cell>
        </row>
        <row r="1415">
          <cell r="A1415">
            <v>1466</v>
          </cell>
          <cell r="B1415" t="str">
            <v>ja</v>
          </cell>
          <cell r="C1415" t="str">
            <v>sapphire01</v>
          </cell>
          <cell r="H1415" t="str">
            <v>blue</v>
          </cell>
          <cell r="I1415">
            <v>5</v>
          </cell>
          <cell r="J1415" t="str">
            <v>DropWizS</v>
          </cell>
          <cell r="K1415" t="str">
            <v>attack</v>
          </cell>
          <cell r="L1415" t="str">
            <v>攻撃タイプ</v>
          </cell>
          <cell r="M1415" t="str">
            <v>human</v>
          </cell>
        </row>
        <row r="1416">
          <cell r="A1416">
            <v>1467</v>
          </cell>
          <cell r="B1416" t="str">
            <v>ja</v>
          </cell>
          <cell r="C1416" t="str">
            <v>sapphire02</v>
          </cell>
          <cell r="H1416" t="str">
            <v>blue</v>
          </cell>
          <cell r="I1416">
            <v>6</v>
          </cell>
          <cell r="J1416" t="str">
            <v>DropWizS</v>
          </cell>
          <cell r="K1416" t="str">
            <v>attack</v>
          </cell>
          <cell r="L1416" t="str">
            <v>攻撃タイプ</v>
          </cell>
          <cell r="M1416" t="str">
            <v>human</v>
          </cell>
        </row>
        <row r="1417">
          <cell r="A1417">
            <v>1468</v>
          </cell>
          <cell r="B1417" t="str">
            <v>ja</v>
          </cell>
          <cell r="C1417" t="str">
            <v>emerald01</v>
          </cell>
          <cell r="H1417" t="str">
            <v>green</v>
          </cell>
          <cell r="I1417">
            <v>5</v>
          </cell>
          <cell r="J1417" t="str">
            <v>Drop2N</v>
          </cell>
          <cell r="K1417" t="str">
            <v>attack</v>
          </cell>
          <cell r="L1417" t="str">
            <v>攻撃タイプ</v>
          </cell>
          <cell r="M1417" t="str">
            <v>unknown</v>
          </cell>
        </row>
        <row r="1418">
          <cell r="A1418">
            <v>1469</v>
          </cell>
          <cell r="B1418" t="str">
            <v>ja</v>
          </cell>
          <cell r="C1418" t="str">
            <v>aquamarine01</v>
          </cell>
          <cell r="H1418" t="str">
            <v>yellow</v>
          </cell>
          <cell r="I1418">
            <v>5</v>
          </cell>
          <cell r="J1418" t="str">
            <v>Drop2N</v>
          </cell>
          <cell r="K1418" t="str">
            <v>technical</v>
          </cell>
          <cell r="L1418" t="str">
            <v>テクニカルタイプ</v>
          </cell>
          <cell r="M1418" t="str">
            <v>unknown</v>
          </cell>
        </row>
        <row r="1419">
          <cell r="A1419">
            <v>1470</v>
          </cell>
          <cell r="B1419" t="str">
            <v>ja</v>
          </cell>
          <cell r="C1419" t="str">
            <v>amethyst01</v>
          </cell>
          <cell r="H1419" t="str">
            <v>red</v>
          </cell>
          <cell r="I1419">
            <v>5</v>
          </cell>
          <cell r="J1419" t="str">
            <v>Drop2N</v>
          </cell>
          <cell r="K1419" t="str">
            <v>balance</v>
          </cell>
          <cell r="L1419" t="str">
            <v>バランスタイプ</v>
          </cell>
          <cell r="M1419" t="str">
            <v>unknown</v>
          </cell>
        </row>
        <row r="1420">
          <cell r="A1420">
            <v>1488</v>
          </cell>
          <cell r="B1420" t="str">
            <v>ja</v>
          </cell>
          <cell r="C1420" t="str">
            <v>バクR5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green</v>
          </cell>
          <cell r="I1420">
            <v>5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1489</v>
          </cell>
          <cell r="B1421" t="str">
            <v>ja</v>
          </cell>
          <cell r="C1421" t="str">
            <v>バクR6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6</v>
          </cell>
          <cell r="J1421" t="str">
            <v>PremiumSSS</v>
          </cell>
          <cell r="K1421" t="str">
            <v>attack</v>
          </cell>
          <cell r="L1421" t="str">
            <v>攻撃タイプ</v>
          </cell>
          <cell r="M1421" t="str">
            <v>academia</v>
          </cell>
        </row>
        <row r="1422">
          <cell r="A1422">
            <v>1504</v>
          </cell>
          <cell r="B1422" t="str">
            <v>ja</v>
          </cell>
          <cell r="C1422" t="str">
            <v>magenta01</v>
          </cell>
          <cell r="H1422" t="str">
            <v>red</v>
          </cell>
          <cell r="I1422">
            <v>1</v>
          </cell>
          <cell r="J1422" t="str">
            <v>Drop1T</v>
          </cell>
          <cell r="K1422" t="str">
            <v>balance</v>
          </cell>
          <cell r="L1422" t="str">
            <v>バランスタイプ</v>
          </cell>
          <cell r="M1422" t="str">
            <v>unknown</v>
          </cell>
        </row>
        <row r="1423">
          <cell r="A1423">
            <v>1505</v>
          </cell>
          <cell r="B1423" t="str">
            <v>ja</v>
          </cell>
          <cell r="C1423" t="str">
            <v>amber01</v>
          </cell>
          <cell r="H1423" t="str">
            <v>green</v>
          </cell>
          <cell r="I1423">
            <v>1</v>
          </cell>
          <cell r="J1423" t="str">
            <v>Drop1T</v>
          </cell>
          <cell r="K1423" t="str">
            <v>hp</v>
          </cell>
          <cell r="L1423" t="str">
            <v>体力タイプ</v>
          </cell>
          <cell r="M1423" t="str">
            <v>unknown</v>
          </cell>
        </row>
        <row r="1424">
          <cell r="A1424">
            <v>1506</v>
          </cell>
          <cell r="B1424" t="str">
            <v>ja</v>
          </cell>
          <cell r="C1424" t="str">
            <v>pumpkin01</v>
          </cell>
          <cell r="H1424" t="str">
            <v>yellow</v>
          </cell>
          <cell r="I1424">
            <v>2</v>
          </cell>
          <cell r="J1424" t="str">
            <v>Drop1S</v>
          </cell>
          <cell r="K1424" t="str">
            <v>attack</v>
          </cell>
          <cell r="L1424" t="str">
            <v>攻撃タイプ</v>
          </cell>
          <cell r="M1424" t="str">
            <v>unknown</v>
          </cell>
        </row>
        <row r="1425">
          <cell r="A1425">
            <v>1507</v>
          </cell>
          <cell r="B1425" t="str">
            <v>ja</v>
          </cell>
          <cell r="C1425" t="str">
            <v>rose01</v>
          </cell>
          <cell r="H1425" t="str">
            <v>blue</v>
          </cell>
          <cell r="I1425">
            <v>3</v>
          </cell>
          <cell r="J1425" t="str">
            <v>Drop2N</v>
          </cell>
          <cell r="K1425" t="str">
            <v>technical</v>
          </cell>
          <cell r="L1425" t="str">
            <v>テクニカルタイプ</v>
          </cell>
          <cell r="M1425" t="str">
            <v>unknown</v>
          </cell>
        </row>
        <row r="1426">
          <cell r="A1426">
            <v>1508</v>
          </cell>
          <cell r="B1426" t="str">
            <v>ja</v>
          </cell>
          <cell r="C1426" t="str">
            <v>burgundy01</v>
          </cell>
          <cell r="H1426" t="str">
            <v>red</v>
          </cell>
          <cell r="I1426">
            <v>4</v>
          </cell>
          <cell r="J1426" t="str">
            <v>Drop2N</v>
          </cell>
          <cell r="K1426" t="str">
            <v>balance</v>
          </cell>
          <cell r="L1426" t="str">
            <v>バランスタイプ</v>
          </cell>
          <cell r="M1426" t="str">
            <v>unknown</v>
          </cell>
        </row>
        <row r="1427">
          <cell r="A1427">
            <v>1509</v>
          </cell>
          <cell r="B1427" t="str">
            <v>ja</v>
          </cell>
          <cell r="C1427" t="str">
            <v>cyan01</v>
          </cell>
          <cell r="H1427" t="str">
            <v>green</v>
          </cell>
          <cell r="I1427">
            <v>5</v>
          </cell>
          <cell r="J1427" t="str">
            <v>Drop2N</v>
          </cell>
          <cell r="K1427" t="str">
            <v>hp</v>
          </cell>
          <cell r="L1427" t="str">
            <v>体力タイプ</v>
          </cell>
          <cell r="M1427" t="str">
            <v>god</v>
          </cell>
        </row>
        <row r="1428">
          <cell r="A1428">
            <v>1510</v>
          </cell>
          <cell r="B1428" t="str">
            <v>ja</v>
          </cell>
          <cell r="C1428" t="str">
            <v>scarlet01</v>
          </cell>
          <cell r="H1428" t="str">
            <v>yellow</v>
          </cell>
          <cell r="I1428">
            <v>4</v>
          </cell>
          <cell r="J1428" t="str">
            <v>DropWizS</v>
          </cell>
          <cell r="K1428" t="str">
            <v>balance</v>
          </cell>
          <cell r="L1428" t="str">
            <v>バランスタイプ</v>
          </cell>
          <cell r="M1428" t="str">
            <v>god</v>
          </cell>
        </row>
        <row r="1429">
          <cell r="A1429">
            <v>1511</v>
          </cell>
          <cell r="B1429" t="str">
            <v>ja</v>
          </cell>
          <cell r="C1429" t="str">
            <v>scarlet02</v>
          </cell>
          <cell r="H1429" t="str">
            <v>yellow</v>
          </cell>
          <cell r="I1429">
            <v>5</v>
          </cell>
          <cell r="J1429" t="str">
            <v>DropWizS</v>
          </cell>
          <cell r="K1429" t="str">
            <v>balance</v>
          </cell>
          <cell r="L1429" t="str">
            <v>バランスタイプ</v>
          </cell>
          <cell r="M1429" t="str">
            <v>god</v>
          </cell>
        </row>
        <row r="1430">
          <cell r="A1430">
            <v>1512</v>
          </cell>
          <cell r="B1430" t="str">
            <v>ja</v>
          </cell>
          <cell r="C1430" t="str">
            <v>scarlet03</v>
          </cell>
          <cell r="H1430" t="str">
            <v>yellow</v>
          </cell>
          <cell r="I1430">
            <v>6</v>
          </cell>
          <cell r="J1430" t="str">
            <v>DropWizS</v>
          </cell>
          <cell r="K1430" t="str">
            <v>balance</v>
          </cell>
          <cell r="L1430" t="str">
            <v>バランスタイプ</v>
          </cell>
          <cell r="M1430" t="str">
            <v>god</v>
          </cell>
        </row>
        <row r="1431">
          <cell r="A1431">
            <v>1513</v>
          </cell>
          <cell r="B1431" t="str">
            <v>ja</v>
          </cell>
          <cell r="C1431" t="str">
            <v>gold01</v>
          </cell>
          <cell r="H1431" t="str">
            <v>yellow</v>
          </cell>
          <cell r="I1431">
            <v>4</v>
          </cell>
          <cell r="J1431" t="str">
            <v>Material</v>
          </cell>
          <cell r="K1431" t="str">
            <v>coin</v>
          </cell>
          <cell r="L1431" t="str">
            <v>コインタイプ</v>
          </cell>
          <cell r="M1431" t="str">
            <v>unknown</v>
          </cell>
        </row>
        <row r="1432">
          <cell r="A1432">
            <v>1514</v>
          </cell>
          <cell r="B1432" t="str">
            <v>ja</v>
          </cell>
          <cell r="C1432" t="str">
            <v>gold02</v>
          </cell>
          <cell r="H1432" t="str">
            <v>yellow</v>
          </cell>
          <cell r="I1432">
            <v>5</v>
          </cell>
          <cell r="J1432" t="str">
            <v>Material</v>
          </cell>
          <cell r="K1432" t="str">
            <v>coin</v>
          </cell>
          <cell r="L1432" t="str">
            <v>コインタイプ</v>
          </cell>
          <cell r="M1432" t="str">
            <v>unknown</v>
          </cell>
        </row>
        <row r="1433">
          <cell r="A1433">
            <v>1515</v>
          </cell>
          <cell r="B1433" t="str">
            <v>ja</v>
          </cell>
          <cell r="C1433" t="str">
            <v>red01</v>
          </cell>
          <cell r="H1433" t="str">
            <v>red</v>
          </cell>
          <cell r="I1433">
            <v>4</v>
          </cell>
          <cell r="J1433" t="str">
            <v>Material</v>
          </cell>
          <cell r="K1433" t="str">
            <v>exp</v>
          </cell>
          <cell r="L1433" t="str">
            <v>強化素材タイプ</v>
          </cell>
          <cell r="M1433" t="str">
            <v>unknown</v>
          </cell>
        </row>
        <row r="1434">
          <cell r="A1434">
            <v>1516</v>
          </cell>
          <cell r="B1434" t="str">
            <v>ja</v>
          </cell>
          <cell r="C1434" t="str">
            <v>red02</v>
          </cell>
          <cell r="H1434" t="str">
            <v>red</v>
          </cell>
          <cell r="I1434">
            <v>5</v>
          </cell>
          <cell r="J1434" t="str">
            <v>Material</v>
          </cell>
          <cell r="K1434" t="str">
            <v>exp</v>
          </cell>
          <cell r="L1434" t="str">
            <v>強化素材タイプ</v>
          </cell>
          <cell r="M1434" t="str">
            <v>unknown</v>
          </cell>
        </row>
        <row r="1435">
          <cell r="A1435">
            <v>1517</v>
          </cell>
          <cell r="B1435" t="str">
            <v>ja</v>
          </cell>
          <cell r="C1435" t="str">
            <v>blue01</v>
          </cell>
          <cell r="H1435" t="str">
            <v>blue</v>
          </cell>
          <cell r="I1435">
            <v>4</v>
          </cell>
          <cell r="J1435" t="str">
            <v>Material</v>
          </cell>
          <cell r="K1435" t="str">
            <v>exp</v>
          </cell>
          <cell r="L1435" t="str">
            <v>強化素材タイプ</v>
          </cell>
          <cell r="M1435" t="str">
            <v>unknown</v>
          </cell>
        </row>
        <row r="1436">
          <cell r="A1436">
            <v>1518</v>
          </cell>
          <cell r="B1436" t="str">
            <v>ja</v>
          </cell>
          <cell r="C1436" t="str">
            <v>blue02</v>
          </cell>
          <cell r="H1436" t="str">
            <v>blue</v>
          </cell>
          <cell r="I1436">
            <v>5</v>
          </cell>
          <cell r="J1436" t="str">
            <v>Material</v>
          </cell>
          <cell r="K1436" t="str">
            <v>exp</v>
          </cell>
          <cell r="L1436" t="str">
            <v>強化素材タイプ</v>
          </cell>
          <cell r="M1436" t="str">
            <v>unknown</v>
          </cell>
        </row>
        <row r="1437">
          <cell r="A1437">
            <v>1519</v>
          </cell>
          <cell r="B1437" t="str">
            <v>ja</v>
          </cell>
          <cell r="C1437" t="str">
            <v>green01</v>
          </cell>
          <cell r="H1437" t="str">
            <v>green</v>
          </cell>
          <cell r="I1437">
            <v>4</v>
          </cell>
          <cell r="J1437" t="str">
            <v>Material</v>
          </cell>
          <cell r="K1437" t="str">
            <v>exp</v>
          </cell>
          <cell r="L1437" t="str">
            <v>強化素材タイプ</v>
          </cell>
          <cell r="M1437" t="str">
            <v>unknown</v>
          </cell>
        </row>
        <row r="1438">
          <cell r="A1438">
            <v>1520</v>
          </cell>
          <cell r="B1438" t="str">
            <v>ja</v>
          </cell>
          <cell r="C1438" t="str">
            <v>green02</v>
          </cell>
          <cell r="H1438" t="str">
            <v>green</v>
          </cell>
          <cell r="I1438">
            <v>5</v>
          </cell>
          <cell r="J1438" t="str">
            <v>Material</v>
          </cell>
          <cell r="K1438" t="str">
            <v>exp</v>
          </cell>
          <cell r="L1438" t="str">
            <v>強化素材タイプ</v>
          </cell>
          <cell r="M1438" t="str">
            <v>unknown</v>
          </cell>
        </row>
        <row r="1439">
          <cell r="A1439">
            <v>1521</v>
          </cell>
          <cell r="B1439" t="str">
            <v>ja</v>
          </cell>
          <cell r="C1439" t="str">
            <v>yellow01</v>
          </cell>
          <cell r="H1439" t="str">
            <v>yellow</v>
          </cell>
          <cell r="I1439">
            <v>4</v>
          </cell>
          <cell r="J1439" t="str">
            <v>Material</v>
          </cell>
          <cell r="K1439" t="str">
            <v>exp</v>
          </cell>
          <cell r="L1439" t="str">
            <v>強化素材タイプ</v>
          </cell>
          <cell r="M1439" t="str">
            <v>unknown</v>
          </cell>
        </row>
        <row r="1440">
          <cell r="A1440">
            <v>1522</v>
          </cell>
          <cell r="B1440" t="str">
            <v>ja</v>
          </cell>
          <cell r="C1440" t="str">
            <v>yellow02</v>
          </cell>
          <cell r="H1440" t="str">
            <v>yellow</v>
          </cell>
          <cell r="I1440">
            <v>5</v>
          </cell>
          <cell r="J1440" t="str">
            <v>Material</v>
          </cell>
          <cell r="K1440" t="str">
            <v>exp</v>
          </cell>
          <cell r="L1440" t="str">
            <v>強化素材タイプ</v>
          </cell>
          <cell r="M1440" t="str">
            <v>unknown</v>
          </cell>
        </row>
        <row r="1441">
          <cell r="A1441">
            <v>1523</v>
          </cell>
          <cell r="B1441" t="str">
            <v>ja</v>
          </cell>
          <cell r="C1441" t="str">
            <v>olive01</v>
          </cell>
          <cell r="H1441" t="str">
            <v>blue</v>
          </cell>
          <cell r="I1441">
            <v>5</v>
          </cell>
          <cell r="J1441" t="str">
            <v>DropWizS</v>
          </cell>
          <cell r="K1441" t="str">
            <v>technical</v>
          </cell>
          <cell r="L1441" t="str">
            <v>テクニカルタイプ</v>
          </cell>
          <cell r="M1441" t="str">
            <v>animal</v>
          </cell>
        </row>
        <row r="1442">
          <cell r="A1442">
            <v>1524</v>
          </cell>
          <cell r="B1442" t="str">
            <v>ja</v>
          </cell>
          <cell r="C1442" t="str">
            <v>olive02</v>
          </cell>
          <cell r="H1442" t="str">
            <v>blue</v>
          </cell>
          <cell r="I1442">
            <v>6</v>
          </cell>
          <cell r="J1442" t="str">
            <v>DropWizS</v>
          </cell>
          <cell r="K1442" t="str">
            <v>technical</v>
          </cell>
          <cell r="L1442" t="str">
            <v>テクニカルタイプ</v>
          </cell>
          <cell r="M1442" t="str">
            <v>animal</v>
          </cell>
        </row>
        <row r="1443">
          <cell r="A1443">
            <v>1525</v>
          </cell>
          <cell r="B1443" t="str">
            <v>ja</v>
          </cell>
          <cell r="C1443" t="str">
            <v>white01</v>
          </cell>
          <cell r="H1443" t="str">
            <v>red</v>
          </cell>
          <cell r="I1443">
            <v>5</v>
          </cell>
          <cell r="J1443" t="str">
            <v>DropWizSS</v>
          </cell>
          <cell r="K1443" t="str">
            <v>attack</v>
          </cell>
          <cell r="L1443" t="str">
            <v>攻撃タイプ</v>
          </cell>
          <cell r="M1443" t="str">
            <v>animal</v>
          </cell>
        </row>
        <row r="1444">
          <cell r="A1444">
            <v>1526</v>
          </cell>
          <cell r="B1444" t="str">
            <v>ja</v>
          </cell>
          <cell r="C1444" t="str">
            <v>white02</v>
          </cell>
          <cell r="H1444" t="str">
            <v>red</v>
          </cell>
          <cell r="I1444">
            <v>6</v>
          </cell>
          <cell r="J1444" t="str">
            <v>DropWizSS</v>
          </cell>
          <cell r="K1444" t="str">
            <v>attack</v>
          </cell>
          <cell r="L1444" t="str">
            <v>攻撃タイプ</v>
          </cell>
          <cell r="M1444" t="str">
            <v>animal</v>
          </cell>
        </row>
        <row r="1445">
          <cell r="A1445">
            <v>1527</v>
          </cell>
          <cell r="B1445" t="str">
            <v>ja</v>
          </cell>
          <cell r="C1445" t="str">
            <v>violet01</v>
          </cell>
          <cell r="H1445" t="str">
            <v>red</v>
          </cell>
          <cell r="I1445">
            <v>4</v>
          </cell>
          <cell r="J1445" t="str">
            <v>PremiumS</v>
          </cell>
          <cell r="K1445" t="str">
            <v>attack</v>
          </cell>
          <cell r="L1445" t="str">
            <v>攻撃タイプ</v>
          </cell>
          <cell r="M1445" t="str">
            <v>animal</v>
          </cell>
        </row>
        <row r="1446">
          <cell r="A1446">
            <v>1528</v>
          </cell>
          <cell r="B1446" t="str">
            <v>ja</v>
          </cell>
          <cell r="C1446" t="str">
            <v>violet02</v>
          </cell>
          <cell r="H1446" t="str">
            <v>red</v>
          </cell>
          <cell r="I1446">
            <v>5</v>
          </cell>
          <cell r="J1446" t="str">
            <v>PremiumS</v>
          </cell>
          <cell r="K1446" t="str">
            <v>attack</v>
          </cell>
          <cell r="L1446" t="str">
            <v>攻撃タイプ</v>
          </cell>
          <cell r="M1446" t="str">
            <v>animal</v>
          </cell>
        </row>
        <row r="1447">
          <cell r="A1447">
            <v>1529</v>
          </cell>
          <cell r="B1447" t="str">
            <v>ja</v>
          </cell>
          <cell r="C1447" t="str">
            <v>mint01</v>
          </cell>
          <cell r="H1447" t="str">
            <v>blue</v>
          </cell>
          <cell r="I1447">
            <v>4</v>
          </cell>
          <cell r="J1447" t="str">
            <v>PremiumS</v>
          </cell>
          <cell r="K1447" t="str">
            <v>balance</v>
          </cell>
          <cell r="L1447" t="str">
            <v>バランスタイプ</v>
          </cell>
          <cell r="M1447" t="str">
            <v>unknown</v>
          </cell>
        </row>
        <row r="1448">
          <cell r="A1448">
            <v>1530</v>
          </cell>
          <cell r="B1448" t="str">
            <v>ja</v>
          </cell>
          <cell r="C1448" t="str">
            <v>mint02</v>
          </cell>
          <cell r="H1448" t="str">
            <v>blue</v>
          </cell>
          <cell r="I1448">
            <v>5</v>
          </cell>
          <cell r="J1448" t="str">
            <v>PremiumS</v>
          </cell>
          <cell r="K1448" t="str">
            <v>balance</v>
          </cell>
          <cell r="L1448" t="str">
            <v>バランスタイプ</v>
          </cell>
          <cell r="M1448" t="str">
            <v>unknown</v>
          </cell>
        </row>
        <row r="1449">
          <cell r="A1449">
            <v>1531</v>
          </cell>
          <cell r="B1449" t="str">
            <v>ja</v>
          </cell>
          <cell r="C1449" t="str">
            <v>gray01</v>
          </cell>
          <cell r="H1449" t="str">
            <v>green</v>
          </cell>
          <cell r="I1449">
            <v>4</v>
          </cell>
          <cell r="J1449" t="str">
            <v>PremiumS</v>
          </cell>
          <cell r="K1449" t="str">
            <v>technical</v>
          </cell>
          <cell r="L1449" t="str">
            <v>テクニカルタイプ</v>
          </cell>
          <cell r="M1449" t="str">
            <v>animal</v>
          </cell>
        </row>
        <row r="1450">
          <cell r="A1450">
            <v>1532</v>
          </cell>
          <cell r="B1450" t="str">
            <v>ja</v>
          </cell>
          <cell r="C1450" t="str">
            <v>gray02</v>
          </cell>
          <cell r="H1450" t="str">
            <v>green</v>
          </cell>
          <cell r="I1450">
            <v>5</v>
          </cell>
          <cell r="J1450" t="str">
            <v>PremiumS</v>
          </cell>
          <cell r="K1450" t="str">
            <v>technical</v>
          </cell>
          <cell r="L1450" t="str">
            <v>テクニカルタイプ</v>
          </cell>
          <cell r="M1450" t="str">
            <v>animal</v>
          </cell>
        </row>
        <row r="1451">
          <cell r="A1451">
            <v>1533</v>
          </cell>
          <cell r="B1451" t="str">
            <v>ja</v>
          </cell>
          <cell r="C1451" t="str">
            <v>maroon01</v>
          </cell>
          <cell r="H1451" t="str">
            <v>yellow</v>
          </cell>
          <cell r="I1451">
            <v>4</v>
          </cell>
          <cell r="J1451" t="str">
            <v>PremiumS</v>
          </cell>
          <cell r="K1451" t="str">
            <v>attack</v>
          </cell>
          <cell r="L1451" t="str">
            <v>攻撃タイプ</v>
          </cell>
          <cell r="M1451" t="str">
            <v>animal</v>
          </cell>
        </row>
        <row r="1452">
          <cell r="A1452">
            <v>1534</v>
          </cell>
          <cell r="B1452" t="str">
            <v>ja</v>
          </cell>
          <cell r="C1452" t="str">
            <v>maroon02</v>
          </cell>
          <cell r="H1452" t="str">
            <v>yellow</v>
          </cell>
          <cell r="I1452">
            <v>5</v>
          </cell>
          <cell r="J1452" t="str">
            <v>PremiumS</v>
          </cell>
          <cell r="K1452" t="str">
            <v>attack</v>
          </cell>
          <cell r="L1452" t="str">
            <v>攻撃タイプ</v>
          </cell>
          <cell r="M1452" t="str">
            <v>animal</v>
          </cell>
        </row>
        <row r="1453">
          <cell r="A1453">
            <v>1535</v>
          </cell>
          <cell r="B1453" t="str">
            <v>ja</v>
          </cell>
          <cell r="C1453" t="str">
            <v>pink01</v>
          </cell>
          <cell r="H1453" t="str">
            <v>red</v>
          </cell>
          <cell r="I1453">
            <v>5</v>
          </cell>
          <cell r="J1453" t="str">
            <v>PremiumSS</v>
          </cell>
          <cell r="K1453" t="str">
            <v>technical</v>
          </cell>
          <cell r="L1453" t="str">
            <v>テクニカルタイプ</v>
          </cell>
          <cell r="M1453" t="str">
            <v>god</v>
          </cell>
        </row>
        <row r="1454">
          <cell r="A1454">
            <v>1536</v>
          </cell>
          <cell r="B1454" t="str">
            <v>ja</v>
          </cell>
          <cell r="C1454" t="str">
            <v>pink02</v>
          </cell>
          <cell r="H1454" t="str">
            <v>red</v>
          </cell>
          <cell r="I1454">
            <v>6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god</v>
          </cell>
        </row>
        <row r="1455">
          <cell r="A1455">
            <v>1537</v>
          </cell>
          <cell r="B1455" t="str">
            <v>ja</v>
          </cell>
          <cell r="C1455" t="str">
            <v>black01</v>
          </cell>
          <cell r="H1455" t="str">
            <v>blue</v>
          </cell>
          <cell r="I1455">
            <v>5</v>
          </cell>
          <cell r="J1455" t="str">
            <v>PremiumSSS</v>
          </cell>
          <cell r="K1455" t="str">
            <v>attack</v>
          </cell>
          <cell r="L1455" t="str">
            <v>攻撃タイプ</v>
          </cell>
          <cell r="M1455" t="str">
            <v>unknown</v>
          </cell>
        </row>
        <row r="1456">
          <cell r="A1456">
            <v>1538</v>
          </cell>
          <cell r="B1456" t="str">
            <v>ja</v>
          </cell>
          <cell r="C1456" t="str">
            <v>black02</v>
          </cell>
          <cell r="H1456" t="str">
            <v>blue</v>
          </cell>
          <cell r="I1456">
            <v>6</v>
          </cell>
          <cell r="J1456" t="str">
            <v>PremiumSSS</v>
          </cell>
          <cell r="K1456" t="str">
            <v>attack</v>
          </cell>
          <cell r="L1456" t="str">
            <v>攻撃タイプ</v>
          </cell>
          <cell r="M1456" t="str">
            <v>unknown</v>
          </cell>
        </row>
        <row r="1457">
          <cell r="A1457">
            <v>1539</v>
          </cell>
          <cell r="B1457" t="str">
            <v>ja</v>
          </cell>
          <cell r="C1457" t="str">
            <v>brown01</v>
          </cell>
          <cell r="H1457" t="str">
            <v>yellow</v>
          </cell>
          <cell r="I1457">
            <v>5</v>
          </cell>
          <cell r="J1457" t="str">
            <v>PremiumSS</v>
          </cell>
          <cell r="K1457" t="str">
            <v>attack</v>
          </cell>
          <cell r="L1457" t="str">
            <v>攻撃タイプ</v>
          </cell>
          <cell r="M1457" t="str">
            <v>god</v>
          </cell>
        </row>
        <row r="1458">
          <cell r="A1458">
            <v>1540</v>
          </cell>
          <cell r="B1458" t="str">
            <v>ja</v>
          </cell>
          <cell r="C1458" t="str">
            <v>brown02</v>
          </cell>
          <cell r="H1458" t="str">
            <v>yellow</v>
          </cell>
          <cell r="I1458">
            <v>6</v>
          </cell>
          <cell r="J1458" t="str">
            <v>PremiumSS</v>
          </cell>
          <cell r="K1458" t="str">
            <v>attack</v>
          </cell>
          <cell r="L1458" t="str">
            <v>攻撃タイプ</v>
          </cell>
          <cell r="M1458" t="str">
            <v>god</v>
          </cell>
        </row>
        <row r="1459">
          <cell r="A1459">
            <v>1541</v>
          </cell>
          <cell r="B1459" t="str">
            <v>ja</v>
          </cell>
          <cell r="C1459" t="str">
            <v>purple01</v>
          </cell>
          <cell r="H1459" t="str">
            <v>red</v>
          </cell>
          <cell r="I1459">
            <v>5</v>
          </cell>
          <cell r="J1459" t="str">
            <v>PremiumSSS</v>
          </cell>
          <cell r="K1459" t="str">
            <v>technical</v>
          </cell>
          <cell r="L1459" t="str">
            <v>テクニカルタイプ</v>
          </cell>
          <cell r="M1459" t="str">
            <v>god</v>
          </cell>
        </row>
        <row r="1460">
          <cell r="A1460">
            <v>1542</v>
          </cell>
          <cell r="B1460" t="str">
            <v>ja</v>
          </cell>
          <cell r="C1460" t="str">
            <v>purple02</v>
          </cell>
          <cell r="H1460" t="str">
            <v>red</v>
          </cell>
          <cell r="I1460">
            <v>6</v>
          </cell>
          <cell r="J1460" t="str">
            <v>PremiumSSS</v>
          </cell>
          <cell r="K1460" t="str">
            <v>technical</v>
          </cell>
          <cell r="L1460" t="str">
            <v>テクニカルタイプ</v>
          </cell>
          <cell r="M1460" t="str">
            <v>god</v>
          </cell>
        </row>
        <row r="1461">
          <cell r="A1461">
            <v>1543</v>
          </cell>
          <cell r="B1461" t="str">
            <v>ja</v>
          </cell>
          <cell r="C1461" t="str">
            <v>vanilla01</v>
          </cell>
          <cell r="H1461" t="str">
            <v>red</v>
          </cell>
          <cell r="I1461">
            <v>5</v>
          </cell>
          <cell r="J1461" t="str">
            <v>PremiumSS</v>
          </cell>
          <cell r="K1461" t="str">
            <v>balance</v>
          </cell>
          <cell r="L1461" t="str">
            <v>バランスタイプ</v>
          </cell>
          <cell r="M1461" t="str">
            <v>hero</v>
          </cell>
        </row>
        <row r="1462">
          <cell r="A1462">
            <v>1544</v>
          </cell>
          <cell r="B1462" t="str">
            <v>ja</v>
          </cell>
          <cell r="C1462" t="str">
            <v>vanilla02</v>
          </cell>
          <cell r="H1462" t="str">
            <v>red</v>
          </cell>
          <cell r="I1462">
            <v>6</v>
          </cell>
          <cell r="J1462" t="str">
            <v>PremiumSS</v>
          </cell>
          <cell r="K1462" t="str">
            <v>balance</v>
          </cell>
          <cell r="L1462" t="str">
            <v>バランスタイプ</v>
          </cell>
          <cell r="M1462" t="str">
            <v>hero</v>
          </cell>
        </row>
        <row r="1463">
          <cell r="A1463">
            <v>1545</v>
          </cell>
          <cell r="B1463" t="str">
            <v>ja</v>
          </cell>
          <cell r="C1463" t="str">
            <v>silver01</v>
          </cell>
          <cell r="H1463" t="str">
            <v>green</v>
          </cell>
          <cell r="I1463">
            <v>5</v>
          </cell>
          <cell r="J1463" t="str">
            <v>PremiumSS</v>
          </cell>
          <cell r="K1463" t="str">
            <v>hp</v>
          </cell>
          <cell r="L1463" t="str">
            <v>体力タイプ</v>
          </cell>
          <cell r="M1463" t="str">
            <v>unknown</v>
          </cell>
        </row>
        <row r="1464">
          <cell r="A1464">
            <v>1546</v>
          </cell>
          <cell r="B1464" t="str">
            <v>ja</v>
          </cell>
          <cell r="C1464" t="str">
            <v>silver02</v>
          </cell>
          <cell r="H1464" t="str">
            <v>green</v>
          </cell>
          <cell r="I1464">
            <v>6</v>
          </cell>
          <cell r="J1464" t="str">
            <v>PremiumSS</v>
          </cell>
          <cell r="K1464" t="str">
            <v>hp</v>
          </cell>
          <cell r="L1464" t="str">
            <v>体力タイプ</v>
          </cell>
          <cell r="M1464" t="str">
            <v>unknown</v>
          </cell>
        </row>
        <row r="1465">
          <cell r="A1465">
            <v>1547</v>
          </cell>
          <cell r="B1465" t="str">
            <v>ja</v>
          </cell>
          <cell r="C1465" t="str">
            <v>mauve01</v>
          </cell>
          <cell r="H1465" t="str">
            <v>green</v>
          </cell>
          <cell r="I1465">
            <v>4</v>
          </cell>
          <cell r="J1465" t="str">
            <v>Drop2N</v>
          </cell>
          <cell r="K1465" t="str">
            <v>hp</v>
          </cell>
          <cell r="L1465" t="str">
            <v>体力タイプ</v>
          </cell>
          <cell r="M1465" t="str">
            <v>animal</v>
          </cell>
        </row>
        <row r="1466">
          <cell r="A1466">
            <v>1548</v>
          </cell>
          <cell r="B1466" t="str">
            <v>ja</v>
          </cell>
          <cell r="C1466" t="str">
            <v>mauve02</v>
          </cell>
          <cell r="H1466" t="str">
            <v>green</v>
          </cell>
          <cell r="I1466">
            <v>5</v>
          </cell>
          <cell r="J1466" t="str">
            <v>Drop2N</v>
          </cell>
          <cell r="K1466" t="str">
            <v>hp</v>
          </cell>
          <cell r="L1466" t="str">
            <v>体力タイプ</v>
          </cell>
          <cell r="M1466" t="str">
            <v>animal</v>
          </cell>
        </row>
        <row r="1467">
          <cell r="A1467">
            <v>1549</v>
          </cell>
          <cell r="B1467" t="str">
            <v>ja</v>
          </cell>
          <cell r="C1467" t="str">
            <v>ochre01</v>
          </cell>
          <cell r="H1467" t="str">
            <v>green</v>
          </cell>
          <cell r="I1467">
            <v>5</v>
          </cell>
          <cell r="J1467" t="str">
            <v>DropWizS</v>
          </cell>
          <cell r="K1467" t="str">
            <v>balance</v>
          </cell>
          <cell r="L1467" t="str">
            <v>バランスタイプ</v>
          </cell>
          <cell r="M1467" t="str">
            <v>unknown</v>
          </cell>
        </row>
        <row r="1468">
          <cell r="A1468">
            <v>1550</v>
          </cell>
          <cell r="B1468" t="str">
            <v>ja</v>
          </cell>
          <cell r="C1468" t="str">
            <v>ochre02</v>
          </cell>
          <cell r="H1468" t="str">
            <v>green</v>
          </cell>
          <cell r="I1468">
            <v>6</v>
          </cell>
          <cell r="J1468" t="str">
            <v>DropWizS</v>
          </cell>
          <cell r="K1468" t="str">
            <v>balance</v>
          </cell>
          <cell r="L1468" t="str">
            <v>バランスタイプ</v>
          </cell>
          <cell r="M1468" t="str">
            <v>unknown</v>
          </cell>
        </row>
        <row r="1469">
          <cell r="A1469">
            <v>5001</v>
          </cell>
          <cell r="B1469" t="str">
            <v>ja</v>
          </cell>
          <cell r="C1469" t="str">
            <v>ガルーダ</v>
          </cell>
          <cell r="D1469" t="str">
            <v>ノーマルクエスト</v>
          </cell>
          <cell r="E1469" t="str">
            <v>QoH</v>
          </cell>
          <cell r="F1469" t="str">
            <v>世界観</v>
          </cell>
          <cell r="G1469" t="str">
            <v>不明</v>
          </cell>
          <cell r="H1469" t="str">
            <v>red</v>
          </cell>
          <cell r="I1469">
            <v>5</v>
          </cell>
          <cell r="J1469" t="str">
            <v>PremiumSSw</v>
          </cell>
          <cell r="K1469" t="str">
            <v>attack</v>
          </cell>
          <cell r="L1469" t="str">
            <v>攻撃タイプ</v>
          </cell>
          <cell r="M1469" t="str">
            <v>god</v>
          </cell>
        </row>
        <row r="1470">
          <cell r="A1470">
            <v>5002</v>
          </cell>
          <cell r="B1470" t="str">
            <v>ja</v>
          </cell>
          <cell r="C1470" t="str">
            <v>ガルーダ★６</v>
          </cell>
          <cell r="D1470" t="str">
            <v>ノーマルクエスト</v>
          </cell>
          <cell r="E1470" t="str">
            <v>アバター</v>
          </cell>
          <cell r="F1470" t="str">
            <v>世界観</v>
          </cell>
          <cell r="G1470" t="str">
            <v>男性</v>
          </cell>
          <cell r="H1470" t="str">
            <v>red</v>
          </cell>
          <cell r="I1470">
            <v>6</v>
          </cell>
          <cell r="J1470" t="str">
            <v>PremiumSSw</v>
          </cell>
          <cell r="K1470" t="str">
            <v>attack</v>
          </cell>
          <cell r="L1470" t="str">
            <v>攻撃タイプ</v>
          </cell>
          <cell r="M1470" t="str">
            <v>god</v>
          </cell>
        </row>
        <row r="1471">
          <cell r="A1471">
            <v>5003</v>
          </cell>
          <cell r="B1471" t="str">
            <v>ja</v>
          </cell>
          <cell r="C1471" t="str">
            <v>ナーガ</v>
          </cell>
          <cell r="D1471" t="str">
            <v>リンクガチャ:4神</v>
          </cell>
          <cell r="E1471" t="str">
            <v>守護神</v>
          </cell>
          <cell r="F1471" t="str">
            <v>格好いい</v>
          </cell>
          <cell r="G1471" t="str">
            <v>不明</v>
          </cell>
          <cell r="H1471" t="str">
            <v>green</v>
          </cell>
          <cell r="I1471">
            <v>5</v>
          </cell>
          <cell r="J1471" t="str">
            <v>DropWizS</v>
          </cell>
          <cell r="K1471" t="str">
            <v>technical</v>
          </cell>
          <cell r="L1471" t="str">
            <v>テクニカルタイプ</v>
          </cell>
          <cell r="M1471" t="str">
            <v>animal</v>
          </cell>
        </row>
        <row r="1472">
          <cell r="A1472">
            <v>5004</v>
          </cell>
          <cell r="B1472" t="str">
            <v>ja</v>
          </cell>
          <cell r="C1472" t="str">
            <v>ナーガ★６</v>
          </cell>
          <cell r="D1472" t="str">
            <v>ノーマルクエスト</v>
          </cell>
          <cell r="E1472" t="str">
            <v>アバター</v>
          </cell>
          <cell r="F1472" t="str">
            <v>世界観</v>
          </cell>
          <cell r="G1472" t="str">
            <v>不明</v>
          </cell>
          <cell r="H1472" t="str">
            <v>green</v>
          </cell>
          <cell r="I1472">
            <v>6</v>
          </cell>
          <cell r="J1472" t="str">
            <v>DropWizS</v>
          </cell>
          <cell r="K1472" t="str">
            <v>technical</v>
          </cell>
          <cell r="L1472" t="str">
            <v>テクニカルタイプ</v>
          </cell>
          <cell r="M1472" t="str">
            <v>animal</v>
          </cell>
        </row>
        <row r="1473">
          <cell r="A1473">
            <v>5005</v>
          </cell>
          <cell r="B1473" t="str">
            <v>ja</v>
          </cell>
          <cell r="C1473" t="str">
            <v>カーミラ</v>
          </cell>
          <cell r="D1473" t="str">
            <v>ノーマルクエスト</v>
          </cell>
          <cell r="E1473" t="str">
            <v>QoH</v>
          </cell>
          <cell r="F1473" t="str">
            <v>世界観</v>
          </cell>
          <cell r="G1473" t="str">
            <v>不明</v>
          </cell>
          <cell r="H1473" t="str">
            <v>green</v>
          </cell>
          <cell r="I1473">
            <v>5</v>
          </cell>
          <cell r="J1473" t="str">
            <v>PremiumSSw</v>
          </cell>
          <cell r="K1473" t="str">
            <v>balance</v>
          </cell>
          <cell r="L1473" t="str">
            <v>バランスタイプ</v>
          </cell>
          <cell r="M1473" t="str">
            <v>demon</v>
          </cell>
        </row>
        <row r="1474">
          <cell r="A1474">
            <v>5006</v>
          </cell>
          <cell r="B1474" t="str">
            <v>ja</v>
          </cell>
          <cell r="C1474" t="str">
            <v>カーミラ★６</v>
          </cell>
          <cell r="D1474" t="str">
            <v>ノーマルクエスト</v>
          </cell>
          <cell r="E1474" t="str">
            <v>アバター</v>
          </cell>
          <cell r="F1474" t="str">
            <v>世界観</v>
          </cell>
          <cell r="G1474" t="str">
            <v>男性</v>
          </cell>
          <cell r="H1474" t="str">
            <v>green</v>
          </cell>
          <cell r="I1474">
            <v>6</v>
          </cell>
          <cell r="J1474" t="str">
            <v>PremiumSSw</v>
          </cell>
          <cell r="K1474" t="str">
            <v>balance</v>
          </cell>
          <cell r="L1474" t="str">
            <v>バランスタイプ</v>
          </cell>
          <cell r="M1474" t="str">
            <v>demon</v>
          </cell>
        </row>
        <row r="1475">
          <cell r="A1475">
            <v>5007</v>
          </cell>
          <cell r="B1475" t="str">
            <v>ja</v>
          </cell>
          <cell r="C1475" t="str">
            <v>ヘルシング</v>
          </cell>
          <cell r="D1475" t="str">
            <v>リンクガチャ:4神</v>
          </cell>
          <cell r="E1475" t="str">
            <v>守護神</v>
          </cell>
          <cell r="F1475" t="str">
            <v>格好いい</v>
          </cell>
          <cell r="G1475" t="str">
            <v>不明</v>
          </cell>
          <cell r="H1475" t="str">
            <v>yellow</v>
          </cell>
          <cell r="I1475">
            <v>5</v>
          </cell>
          <cell r="J1475" t="str">
            <v>DropWizS</v>
          </cell>
          <cell r="K1475" t="str">
            <v>technical</v>
          </cell>
          <cell r="L1475" t="str">
            <v>テクニカルタイプ</v>
          </cell>
          <cell r="M1475" t="str">
            <v>human</v>
          </cell>
        </row>
        <row r="1476">
          <cell r="A1476">
            <v>5008</v>
          </cell>
          <cell r="B1476" t="str">
            <v>ja</v>
          </cell>
          <cell r="C1476" t="str">
            <v>ヘルシング★６</v>
          </cell>
          <cell r="D1476" t="str">
            <v>ノーマルクエスト</v>
          </cell>
          <cell r="E1476" t="str">
            <v>アバター</v>
          </cell>
          <cell r="F1476" t="str">
            <v>世界観</v>
          </cell>
          <cell r="G1476" t="str">
            <v>不明</v>
          </cell>
          <cell r="H1476" t="str">
            <v>yellow</v>
          </cell>
          <cell r="I1476">
            <v>6</v>
          </cell>
          <cell r="J1476" t="str">
            <v>DropWizS</v>
          </cell>
          <cell r="K1476" t="str">
            <v>technical</v>
          </cell>
          <cell r="L1476" t="str">
            <v>テクニカルタイプ</v>
          </cell>
          <cell r="M1476" t="str">
            <v>human</v>
          </cell>
        </row>
        <row r="1477">
          <cell r="A1477">
            <v>6001</v>
          </cell>
          <cell r="B1477" t="str">
            <v>ja</v>
          </cell>
          <cell r="C1477" t="str">
            <v>ジェリー</v>
          </cell>
          <cell r="D1477" t="str">
            <v>ノーマルクエスト</v>
          </cell>
          <cell r="E1477" t="str">
            <v>QoH</v>
          </cell>
          <cell r="F1477" t="str">
            <v>世界観</v>
          </cell>
          <cell r="G1477" t="str">
            <v>不明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ra</v>
          </cell>
          <cell r="L1477" t="str">
            <v>ラグランジュチャレンジ</v>
          </cell>
          <cell r="M1477" t="str">
            <v>unknown</v>
          </cell>
        </row>
        <row r="1478">
          <cell r="A1478">
            <v>6002</v>
          </cell>
          <cell r="B1478" t="str">
            <v>ja</v>
          </cell>
          <cell r="C1478" t="str">
            <v>ヨシタカ</v>
          </cell>
          <cell r="D1478" t="str">
            <v>ノーマルクエスト</v>
          </cell>
          <cell r="E1478" t="str">
            <v>アバター</v>
          </cell>
          <cell r="F1478" t="str">
            <v>世界観</v>
          </cell>
          <cell r="G1478" t="str">
            <v>男性</v>
          </cell>
          <cell r="H1478" t="str">
            <v>red</v>
          </cell>
          <cell r="I1478">
            <v>2</v>
          </cell>
          <cell r="J1478" t="str">
            <v>Drop1N</v>
          </cell>
          <cell r="K1478" t="str">
            <v>ra</v>
          </cell>
          <cell r="L1478" t="str">
            <v>ラグランジュチャレンジ</v>
          </cell>
          <cell r="M1478" t="str">
            <v>human</v>
          </cell>
        </row>
        <row r="1479">
          <cell r="A1479">
            <v>6003</v>
          </cell>
          <cell r="B1479" t="str">
            <v>ja</v>
          </cell>
          <cell r="C1479" t="str">
            <v>朱雀</v>
          </cell>
          <cell r="D1479" t="str">
            <v>リンクガチャ:4神</v>
          </cell>
          <cell r="E1479" t="str">
            <v>守護神</v>
          </cell>
          <cell r="F1479" t="str">
            <v>格好いい</v>
          </cell>
          <cell r="G1479" t="str">
            <v>不明</v>
          </cell>
          <cell r="H1479" t="str">
            <v>red</v>
          </cell>
          <cell r="I1479">
            <v>3</v>
          </cell>
          <cell r="J1479" t="str">
            <v>Drop2N</v>
          </cell>
          <cell r="K1479" t="str">
            <v>ra</v>
          </cell>
          <cell r="L1479" t="str">
            <v>ラグランジュチャレンジ</v>
          </cell>
          <cell r="M1479" t="str">
            <v>animal</v>
          </cell>
        </row>
        <row r="1480">
          <cell r="A1480">
            <v>6004</v>
          </cell>
          <cell r="B1480" t="str">
            <v>ja</v>
          </cell>
          <cell r="C1480" t="str">
            <v>ブレット</v>
          </cell>
          <cell r="D1480" t="str">
            <v>ノーマルクエスト</v>
          </cell>
          <cell r="E1480" t="str">
            <v>アバター</v>
          </cell>
          <cell r="F1480" t="str">
            <v>世界観</v>
          </cell>
          <cell r="G1480" t="str">
            <v>不明</v>
          </cell>
          <cell r="H1480" t="str">
            <v>red</v>
          </cell>
          <cell r="I1480">
            <v>1</v>
          </cell>
          <cell r="J1480" t="str">
            <v>Drop1W</v>
          </cell>
          <cell r="K1480" t="str">
            <v>ra</v>
          </cell>
          <cell r="L1480" t="str">
            <v>ラグランジュチャレンジ</v>
          </cell>
          <cell r="M1480" t="str">
            <v>animal</v>
          </cell>
        </row>
        <row r="1481">
          <cell r="A1481">
            <v>6005</v>
          </cell>
          <cell r="B1481" t="str">
            <v>ja</v>
          </cell>
          <cell r="C1481" t="str">
            <v>孤神 テティス</v>
          </cell>
          <cell r="D1481" t="str">
            <v>初期ガチャ</v>
          </cell>
          <cell r="E1481" t="str">
            <v>管理者</v>
          </cell>
          <cell r="F1481" t="str">
            <v>美しい</v>
          </cell>
          <cell r="G1481" t="str">
            <v>女性</v>
          </cell>
          <cell r="H1481" t="str">
            <v>blue</v>
          </cell>
          <cell r="I1481">
            <v>4</v>
          </cell>
          <cell r="J1481" t="str">
            <v>PremiumN</v>
          </cell>
          <cell r="K1481" t="str">
            <v>ra</v>
          </cell>
          <cell r="L1481" t="str">
            <v>ラグランジュチャレンジ</v>
          </cell>
          <cell r="M1481" t="str">
            <v>god</v>
          </cell>
        </row>
        <row r="1482">
          <cell r="A1482">
            <v>6006</v>
          </cell>
          <cell r="B1482" t="str">
            <v>ja</v>
          </cell>
          <cell r="C1482" t="str">
            <v>海底の孤高神 テティス</v>
          </cell>
          <cell r="D1482" t="str">
            <v>初期ガチャ</v>
          </cell>
          <cell r="E1482" t="str">
            <v>管理者</v>
          </cell>
          <cell r="F1482" t="str">
            <v>美しい</v>
          </cell>
          <cell r="G1482" t="str">
            <v>女性</v>
          </cell>
          <cell r="H1482" t="str">
            <v>blue</v>
          </cell>
          <cell r="I1482">
            <v>5</v>
          </cell>
          <cell r="J1482" t="str">
            <v>PremiumN</v>
          </cell>
          <cell r="K1482" t="str">
            <v>ra</v>
          </cell>
          <cell r="L1482" t="str">
            <v>ラグランジュチャレンジ</v>
          </cell>
          <cell r="M1482" t="str">
            <v>god</v>
          </cell>
        </row>
        <row r="1483">
          <cell r="A1483">
            <v>6007</v>
          </cell>
          <cell r="B1483" t="str">
            <v>ja</v>
          </cell>
          <cell r="C1483" t="str">
            <v>番犬 ケルベロス</v>
          </cell>
          <cell r="D1483" t="str">
            <v>初期ガチャ</v>
          </cell>
          <cell r="E1483" t="str">
            <v>破界者</v>
          </cell>
          <cell r="F1483" t="str">
            <v>可愛い</v>
          </cell>
          <cell r="G1483" t="str">
            <v>女性</v>
          </cell>
          <cell r="H1483" t="str">
            <v>red</v>
          </cell>
          <cell r="I1483">
            <v>4</v>
          </cell>
          <cell r="J1483" t="str">
            <v>PremiumN</v>
          </cell>
          <cell r="K1483" t="str">
            <v>ra</v>
          </cell>
          <cell r="L1483" t="str">
            <v>ラグランジュチャレンジ</v>
          </cell>
          <cell r="M1483" t="str">
            <v>animal</v>
          </cell>
        </row>
        <row r="1484">
          <cell r="A1484">
            <v>6008</v>
          </cell>
          <cell r="B1484" t="str">
            <v>ja</v>
          </cell>
          <cell r="C1484" t="str">
            <v>焔神 プロメテウス</v>
          </cell>
          <cell r="D1484" t="str">
            <v>初期ガチャ</v>
          </cell>
          <cell r="E1484" t="str">
            <v>管理者</v>
          </cell>
          <cell r="F1484" t="str">
            <v>格好いい</v>
          </cell>
          <cell r="G1484" t="str">
            <v>男性</v>
          </cell>
          <cell r="H1484" t="str">
            <v>red</v>
          </cell>
          <cell r="I1484">
            <v>4</v>
          </cell>
          <cell r="J1484" t="str">
            <v>PremiumN</v>
          </cell>
          <cell r="K1484" t="str">
            <v>ra</v>
          </cell>
          <cell r="L1484" t="str">
            <v>ラグランジュチャレンジ</v>
          </cell>
          <cell r="M1484" t="str">
            <v>god</v>
          </cell>
        </row>
        <row r="1485">
          <cell r="A1485">
            <v>6009</v>
          </cell>
          <cell r="B1485" t="str">
            <v>ja</v>
          </cell>
          <cell r="C1485" t="str">
            <v>超越自我 ラグランジュ</v>
          </cell>
          <cell r="D1485" t="str">
            <v>ガチャ:フィーバーフェス02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red</v>
          </cell>
          <cell r="I1485">
            <v>5</v>
          </cell>
          <cell r="J1485" t="str">
            <v>PremiumSSS</v>
          </cell>
          <cell r="K1485" t="str">
            <v>ra</v>
          </cell>
          <cell r="L1485" t="str">
            <v>ラグランジュチャレンジ</v>
          </cell>
          <cell r="M1485" t="str">
            <v>human</v>
          </cell>
        </row>
        <row r="1486">
          <cell r="A1486">
            <v>6010</v>
          </cell>
          <cell r="B1486" t="str">
            <v>ja</v>
          </cell>
          <cell r="C1486" t="str">
            <v>超越凌駕 ラグランジュ</v>
          </cell>
          <cell r="D1486" t="str">
            <v>ガチャ:フィーバーフェス02</v>
          </cell>
          <cell r="E1486" t="str">
            <v>執行者</v>
          </cell>
          <cell r="F1486" t="str">
            <v>格好いい</v>
          </cell>
          <cell r="G1486" t="str">
            <v>女性</v>
          </cell>
          <cell r="H1486" t="str">
            <v>red</v>
          </cell>
          <cell r="I1486">
            <v>6</v>
          </cell>
          <cell r="J1486" t="str">
            <v>PremiumSSS</v>
          </cell>
          <cell r="K1486" t="str">
            <v>ra</v>
          </cell>
          <cell r="L1486" t="str">
            <v>ラグランジュチャレンジ</v>
          </cell>
          <cell r="M1486" t="str">
            <v>human</v>
          </cell>
        </row>
        <row r="1487">
          <cell r="A1487">
            <v>6011</v>
          </cell>
          <cell r="B1487" t="str">
            <v>ja</v>
          </cell>
          <cell r="C1487" t="str">
            <v>パトドッグリーダー ポチ</v>
          </cell>
          <cell r="D1487" t="str">
            <v>ガチャ:フィーバーフェス02</v>
          </cell>
          <cell r="E1487" t="str">
            <v>執行者</v>
          </cell>
          <cell r="F1487" t="str">
            <v>格好いい</v>
          </cell>
          <cell r="G1487" t="str">
            <v>男性</v>
          </cell>
          <cell r="H1487" t="str">
            <v>blue</v>
          </cell>
          <cell r="I1487">
            <v>2</v>
          </cell>
          <cell r="J1487" t="str">
            <v>Drop1T</v>
          </cell>
          <cell r="K1487" t="str">
            <v>ra002</v>
          </cell>
          <cell r="L1487" t="str">
            <v>ユークリッドチャレンジ</v>
          </cell>
          <cell r="M1487" t="str">
            <v>unknown</v>
          </cell>
        </row>
        <row r="1488">
          <cell r="A1488">
            <v>6012</v>
          </cell>
          <cell r="B1488" t="str">
            <v>ja</v>
          </cell>
          <cell r="C1488" t="str">
            <v>ミミ</v>
          </cell>
          <cell r="D1488" t="str">
            <v>ガチャ:フィーバーフェス02</v>
          </cell>
          <cell r="E1488" t="str">
            <v>執行者</v>
          </cell>
          <cell r="F1488" t="str">
            <v>格好いい</v>
          </cell>
          <cell r="G1488" t="str">
            <v>男性</v>
          </cell>
          <cell r="H1488" t="str">
            <v>yellow</v>
          </cell>
          <cell r="I1488">
            <v>1</v>
          </cell>
          <cell r="J1488" t="str">
            <v>Drop1W</v>
          </cell>
          <cell r="K1488" t="str">
            <v>ra002</v>
          </cell>
          <cell r="L1488" t="str">
            <v>ユークリッドチャレンジ</v>
          </cell>
          <cell r="M1488" t="str">
            <v>animal</v>
          </cell>
        </row>
        <row r="1489">
          <cell r="A1489">
            <v>6013</v>
          </cell>
          <cell r="B1489" t="str">
            <v>ja</v>
          </cell>
          <cell r="C1489" t="str">
            <v>護衛機人 スケアクロウ</v>
          </cell>
          <cell r="D1489" t="str">
            <v>ガチャ:フィーバーフェス02</v>
          </cell>
          <cell r="E1489" t="str">
            <v>執行者</v>
          </cell>
          <cell r="F1489" t="str">
            <v>格好いい</v>
          </cell>
          <cell r="G1489" t="str">
            <v>男性</v>
          </cell>
          <cell r="H1489" t="str">
            <v>blue</v>
          </cell>
          <cell r="I1489">
            <v>2</v>
          </cell>
          <cell r="J1489" t="str">
            <v>Drop1N</v>
          </cell>
          <cell r="K1489" t="str">
            <v>ra002</v>
          </cell>
          <cell r="L1489" t="str">
            <v>ユークリッドチャレンジ</v>
          </cell>
          <cell r="M1489" t="str">
            <v>machine</v>
          </cell>
        </row>
        <row r="1490">
          <cell r="A1490">
            <v>6014</v>
          </cell>
          <cell r="B1490" t="str">
            <v>ja</v>
          </cell>
          <cell r="C1490" t="str">
            <v>月下の人狼 ローレンス</v>
          </cell>
          <cell r="D1490" t="str">
            <v>ガチャ:フィーバーフェス02</v>
          </cell>
          <cell r="E1490" t="str">
            <v>執行者</v>
          </cell>
          <cell r="F1490" t="str">
            <v>格好いい</v>
          </cell>
          <cell r="G1490" t="str">
            <v>男性</v>
          </cell>
          <cell r="H1490" t="str">
            <v>blue</v>
          </cell>
          <cell r="I1490">
            <v>4</v>
          </cell>
          <cell r="J1490" t="str">
            <v>PremiumW</v>
          </cell>
          <cell r="K1490" t="str">
            <v>ra002</v>
          </cell>
          <cell r="L1490" t="str">
            <v>ユークリッドチャレンジ</v>
          </cell>
          <cell r="M1490" t="str">
            <v>animal</v>
          </cell>
        </row>
        <row r="1491">
          <cell r="A1491">
            <v>6015</v>
          </cell>
          <cell r="B1491" t="str">
            <v>ja</v>
          </cell>
          <cell r="C1491" t="str">
            <v>フレイヤ</v>
          </cell>
          <cell r="D1491" t="str">
            <v>ガチャ:フィーバーフェス02</v>
          </cell>
          <cell r="E1491" t="str">
            <v>執行者</v>
          </cell>
          <cell r="F1491" t="str">
            <v>格好いい</v>
          </cell>
          <cell r="G1491" t="str">
            <v>男性</v>
          </cell>
          <cell r="H1491" t="str">
            <v>blue</v>
          </cell>
          <cell r="I1491">
            <v>4</v>
          </cell>
          <cell r="J1491" t="str">
            <v>PremiumSS</v>
          </cell>
          <cell r="K1491" t="str">
            <v>ra002</v>
          </cell>
          <cell r="L1491" t="str">
            <v>ユークリッドチャレンジ</v>
          </cell>
          <cell r="M1491" t="str">
            <v>animal</v>
          </cell>
        </row>
        <row r="1492">
          <cell r="A1492">
            <v>6016</v>
          </cell>
          <cell r="B1492" t="str">
            <v>ja</v>
          </cell>
          <cell r="C1492" t="str">
            <v>根原論理 ユークリッド</v>
          </cell>
          <cell r="D1492" t="str">
            <v>ガチャ:フィーバーフェス02</v>
          </cell>
          <cell r="E1492" t="str">
            <v>執行者</v>
          </cell>
          <cell r="F1492" t="str">
            <v>格好いい</v>
          </cell>
          <cell r="G1492" t="str">
            <v>男性</v>
          </cell>
          <cell r="H1492" t="str">
            <v>blue</v>
          </cell>
          <cell r="I1492">
            <v>5</v>
          </cell>
          <cell r="J1492" t="str">
            <v>PremiumSSS</v>
          </cell>
          <cell r="K1492" t="str">
            <v>ra002</v>
          </cell>
          <cell r="L1492" t="str">
            <v>ユークリッドチャレンジ</v>
          </cell>
          <cell r="M1492" t="str">
            <v>human</v>
          </cell>
        </row>
        <row r="1493">
          <cell r="A1493">
            <v>6017</v>
          </cell>
          <cell r="B1493" t="str">
            <v>ja</v>
          </cell>
          <cell r="C1493" t="str">
            <v>不朽の極論 ユークリッド</v>
          </cell>
          <cell r="D1493" t="str">
            <v>ガチャ:フィーバーフェス02</v>
          </cell>
          <cell r="E1493" t="str">
            <v>執行者</v>
          </cell>
          <cell r="F1493" t="str">
            <v>格好いい</v>
          </cell>
          <cell r="G1493" t="str">
            <v>男性</v>
          </cell>
          <cell r="H1493" t="str">
            <v>blue</v>
          </cell>
          <cell r="I1493">
            <v>6</v>
          </cell>
          <cell r="J1493" t="str">
            <v>PremiumSSS</v>
          </cell>
          <cell r="K1493" t="str">
            <v>ra002</v>
          </cell>
          <cell r="L1493" t="str">
            <v>ユークリッドチャレンジ</v>
          </cell>
          <cell r="M1493" t="str">
            <v>human</v>
          </cell>
        </row>
        <row r="1494">
          <cell r="A1494">
            <v>6018</v>
          </cell>
          <cell r="B1494" t="str">
            <v>ja</v>
          </cell>
          <cell r="C1494" t="str">
            <v>ハヅル</v>
          </cell>
          <cell r="D1494" t="str">
            <v>ガチャ:フィーバーフェス02</v>
          </cell>
          <cell r="E1494" t="str">
            <v>執行者</v>
          </cell>
          <cell r="F1494" t="str">
            <v>格好いい</v>
          </cell>
          <cell r="G1494" t="str">
            <v>男性</v>
          </cell>
          <cell r="H1494" t="str">
            <v>red</v>
          </cell>
          <cell r="I1494">
            <v>4</v>
          </cell>
          <cell r="J1494" t="str">
            <v>PremiumSS</v>
          </cell>
          <cell r="K1494" t="str">
            <v>ra002</v>
          </cell>
          <cell r="L1494" t="str">
            <v>ユークリッドチャレンジ</v>
          </cell>
          <cell r="M1494" t="str">
            <v>animal</v>
          </cell>
        </row>
        <row r="1495">
          <cell r="A1495">
            <v>6019</v>
          </cell>
          <cell r="B1495" t="str">
            <v>ja</v>
          </cell>
          <cell r="C1495" t="str">
            <v>天織羽鶴 ハヅル</v>
          </cell>
          <cell r="D1495" t="str">
            <v>ガチャ:フィーバーフェス02</v>
          </cell>
          <cell r="E1495" t="str">
            <v>執行者</v>
          </cell>
          <cell r="F1495" t="str">
            <v>格好いい</v>
          </cell>
          <cell r="G1495" t="str">
            <v>男性</v>
          </cell>
          <cell r="H1495" t="str">
            <v>red</v>
          </cell>
          <cell r="I1495">
            <v>5</v>
          </cell>
          <cell r="J1495" t="str">
            <v>PremiumSS</v>
          </cell>
          <cell r="K1495" t="str">
            <v>ra002</v>
          </cell>
          <cell r="L1495" t="str">
            <v>ユークリッドチャレンジ</v>
          </cell>
          <cell r="M1495" t="str">
            <v>animal</v>
          </cell>
        </row>
        <row r="1496">
          <cell r="A1496">
            <v>6020</v>
          </cell>
          <cell r="B1496" t="str">
            <v>ja</v>
          </cell>
          <cell r="C1496" t="str">
            <v>ミズチ</v>
          </cell>
          <cell r="D1496" t="str">
            <v>ガチャ:フィーバーフェス02</v>
          </cell>
          <cell r="E1496" t="str">
            <v>執行者</v>
          </cell>
          <cell r="F1496" t="str">
            <v>格好いい</v>
          </cell>
          <cell r="G1496" t="str">
            <v>男性</v>
          </cell>
          <cell r="H1496" t="str">
            <v>blue</v>
          </cell>
          <cell r="I1496">
            <v>4</v>
          </cell>
          <cell r="J1496" t="str">
            <v>PremiumS</v>
          </cell>
          <cell r="K1496" t="str">
            <v>ra002</v>
          </cell>
          <cell r="L1496" t="str">
            <v>ユークリッドチャレンジ</v>
          </cell>
          <cell r="M1496" t="str">
            <v>dragon</v>
          </cell>
        </row>
        <row r="1497">
          <cell r="A1497">
            <v>8001</v>
          </cell>
          <cell r="B1497" t="str">
            <v>ja</v>
          </cell>
          <cell r="C1497" t="str">
            <v>媽祖</v>
          </cell>
          <cell r="D1497" t="str">
            <v>イベント:ミクコラボ01</v>
          </cell>
          <cell r="E1497" t="str">
            <v>執行者</v>
          </cell>
          <cell r="F1497" t="str">
            <v>格好いい</v>
          </cell>
          <cell r="G1497" t="str">
            <v>女性</v>
          </cell>
          <cell r="H1497" t="str">
            <v>yellow</v>
          </cell>
          <cell r="I1497">
            <v>5</v>
          </cell>
          <cell r="J1497" t="str">
            <v>PremiumSS</v>
          </cell>
          <cell r="K1497" t="str">
            <v>attack</v>
          </cell>
          <cell r="L1497" t="str">
            <v>攻撃タイプ</v>
          </cell>
          <cell r="M1497" t="str">
            <v>god</v>
          </cell>
        </row>
        <row r="1498">
          <cell r="A1498">
            <v>8002</v>
          </cell>
          <cell r="B1498" t="str">
            <v>ja</v>
          </cell>
          <cell r="C1498" t="str">
            <v>宣導する天海妃 媽祖</v>
          </cell>
          <cell r="D1498" t="str">
            <v>イベント:ミクコラボ01</v>
          </cell>
          <cell r="E1498" t="str">
            <v>執行者</v>
          </cell>
          <cell r="F1498" t="str">
            <v>格好いい</v>
          </cell>
          <cell r="G1498" t="str">
            <v>女性</v>
          </cell>
          <cell r="H1498" t="str">
            <v>yellow</v>
          </cell>
          <cell r="I1498">
            <v>6</v>
          </cell>
          <cell r="J1498" t="str">
            <v>PremiumSS</v>
          </cell>
          <cell r="K1498" t="str">
            <v>attack</v>
          </cell>
          <cell r="L1498" t="str">
            <v>攻撃タイプ</v>
          </cell>
          <cell r="M1498" t="str">
            <v>god</v>
          </cell>
        </row>
        <row r="1499">
          <cell r="A1499">
            <v>8003</v>
          </cell>
          <cell r="B1499" t="str">
            <v>ja</v>
          </cell>
          <cell r="C1499" t="str">
            <v>蛟龍</v>
          </cell>
          <cell r="D1499" t="str">
            <v>イベント:ミクコラボ01</v>
          </cell>
          <cell r="E1499" t="str">
            <v>執行者</v>
          </cell>
          <cell r="F1499" t="str">
            <v>格好いい</v>
          </cell>
          <cell r="G1499" t="str">
            <v>不明</v>
          </cell>
          <cell r="H1499" t="str">
            <v>blue</v>
          </cell>
          <cell r="I1499">
            <v>5</v>
          </cell>
          <cell r="J1499" t="str">
            <v>DropWizS</v>
          </cell>
          <cell r="K1499" t="str">
            <v>hp</v>
          </cell>
          <cell r="L1499" t="str">
            <v>体力タイプ</v>
          </cell>
          <cell r="M1499" t="str">
            <v>dragon</v>
          </cell>
        </row>
        <row r="1500">
          <cell r="A1500">
            <v>8004</v>
          </cell>
          <cell r="B1500" t="str">
            <v>ja</v>
          </cell>
          <cell r="C1500" t="str">
            <v>呼嵐の蒼棲龍 蛟龍</v>
          </cell>
          <cell r="D1500" t="str">
            <v>イベント:ミクコラボ01</v>
          </cell>
          <cell r="E1500" t="str">
            <v>執行者</v>
          </cell>
          <cell r="F1500" t="str">
            <v>格好いい</v>
          </cell>
          <cell r="G1500" t="str">
            <v>不明</v>
          </cell>
          <cell r="H1500" t="str">
            <v>blue</v>
          </cell>
          <cell r="I1500">
            <v>6</v>
          </cell>
          <cell r="J1500" t="str">
            <v>DropWizS</v>
          </cell>
          <cell r="K1500" t="str">
            <v>hp</v>
          </cell>
          <cell r="L1500" t="str">
            <v>体力タイプ</v>
          </cell>
          <cell r="M1500" t="str">
            <v>dragon</v>
          </cell>
        </row>
        <row r="1501">
          <cell r="A1501">
            <v>8005</v>
          </cell>
          <cell r="B1501" t="str">
            <v>ja</v>
          </cell>
          <cell r="C1501" t="str">
            <v>三蔵法師</v>
          </cell>
          <cell r="D1501" t="str">
            <v>イベント:ミクコラボ01</v>
          </cell>
          <cell r="E1501" t="str">
            <v>執行者</v>
          </cell>
          <cell r="F1501" t="str">
            <v>格好いい</v>
          </cell>
          <cell r="G1501" t="str">
            <v>不明</v>
          </cell>
          <cell r="H1501" t="str">
            <v>blue</v>
          </cell>
          <cell r="I1501">
            <v>5</v>
          </cell>
          <cell r="J1501" t="str">
            <v>PremiumSS</v>
          </cell>
          <cell r="K1501" t="str">
            <v>balance</v>
          </cell>
          <cell r="L1501" t="str">
            <v>バランスタイプ</v>
          </cell>
          <cell r="M1501" t="str">
            <v>human</v>
          </cell>
        </row>
        <row r="1502">
          <cell r="A1502">
            <v>8006</v>
          </cell>
          <cell r="B1502" t="str">
            <v>ja</v>
          </cell>
          <cell r="C1502" t="str">
            <v>慈戒の呪封使 三蔵法師</v>
          </cell>
          <cell r="D1502" t="str">
            <v>イベント:ミクコラボ01</v>
          </cell>
          <cell r="E1502" t="str">
            <v>執行者</v>
          </cell>
          <cell r="F1502" t="str">
            <v>格好いい</v>
          </cell>
          <cell r="G1502" t="str">
            <v>不明</v>
          </cell>
          <cell r="H1502" t="str">
            <v>blue</v>
          </cell>
          <cell r="I1502">
            <v>6</v>
          </cell>
          <cell r="J1502" t="str">
            <v>PremiumSS</v>
          </cell>
          <cell r="K1502" t="str">
            <v>balance</v>
          </cell>
          <cell r="L1502" t="str">
            <v>バランスタイプ</v>
          </cell>
          <cell r="M1502" t="str">
            <v>human</v>
          </cell>
        </row>
        <row r="1503">
          <cell r="A1503">
            <v>8007</v>
          </cell>
          <cell r="B1503" t="str">
            <v>ja</v>
          </cell>
          <cell r="C1503" t="str">
            <v>孫悟空</v>
          </cell>
          <cell r="D1503" t="str">
            <v>イベント:ミクコラボ01</v>
          </cell>
          <cell r="E1503" t="str">
            <v>執行者</v>
          </cell>
          <cell r="F1503" t="str">
            <v>格好いい</v>
          </cell>
          <cell r="G1503" t="str">
            <v>不明</v>
          </cell>
          <cell r="H1503" t="str">
            <v>red</v>
          </cell>
          <cell r="I1503">
            <v>5</v>
          </cell>
          <cell r="J1503" t="str">
            <v>DropWizS</v>
          </cell>
          <cell r="K1503" t="str">
            <v>attack</v>
          </cell>
          <cell r="L1503" t="str">
            <v>攻撃タイプ</v>
          </cell>
          <cell r="M1503" t="str">
            <v>animal</v>
          </cell>
        </row>
        <row r="1504">
          <cell r="A1504">
            <v>8008</v>
          </cell>
          <cell r="B1504" t="str">
            <v>ja</v>
          </cell>
          <cell r="C1504" t="str">
            <v>花果の天猿仙人 孫悟空</v>
          </cell>
          <cell r="D1504" t="str">
            <v>イベント:ミクコラボ01</v>
          </cell>
          <cell r="E1504" t="str">
            <v>執行者</v>
          </cell>
          <cell r="F1504" t="str">
            <v>格好いい</v>
          </cell>
          <cell r="G1504" t="str">
            <v>不明</v>
          </cell>
          <cell r="H1504" t="str">
            <v>red</v>
          </cell>
          <cell r="I1504">
            <v>6</v>
          </cell>
          <cell r="J1504" t="str">
            <v>DropWizS</v>
          </cell>
          <cell r="K1504" t="str">
            <v>attack</v>
          </cell>
          <cell r="L1504" t="str">
            <v>攻撃タイプ</v>
          </cell>
          <cell r="M1504" t="str">
            <v>animal</v>
          </cell>
        </row>
        <row r="1505">
          <cell r="A1505">
            <v>8009</v>
          </cell>
          <cell r="B1505" t="str">
            <v>ja</v>
          </cell>
          <cell r="C1505" t="str">
            <v>西王娘娘</v>
          </cell>
          <cell r="D1505" t="str">
            <v>イベント:ミクコラボ01</v>
          </cell>
          <cell r="E1505" t="str">
            <v>執行者</v>
          </cell>
          <cell r="F1505" t="str">
            <v>格好いい</v>
          </cell>
          <cell r="G1505" t="str">
            <v>不明</v>
          </cell>
          <cell r="H1505" t="str">
            <v>green</v>
          </cell>
          <cell r="I1505">
            <v>5</v>
          </cell>
          <cell r="J1505" t="str">
            <v>PremiumSS</v>
          </cell>
          <cell r="K1505" t="str">
            <v>attack</v>
          </cell>
          <cell r="L1505" t="str">
            <v>攻撃タイプ</v>
          </cell>
          <cell r="M1505" t="str">
            <v>god</v>
          </cell>
        </row>
        <row r="1506">
          <cell r="A1506">
            <v>8010</v>
          </cell>
          <cell r="B1506" t="str">
            <v>ja</v>
          </cell>
          <cell r="C1506" t="str">
            <v>極楽瑶池の聖母 西王娘娘</v>
          </cell>
          <cell r="D1506" t="str">
            <v>イベント:ミクコラボ01</v>
          </cell>
          <cell r="E1506" t="str">
            <v>執行者</v>
          </cell>
          <cell r="F1506" t="str">
            <v>格好いい</v>
          </cell>
          <cell r="G1506" t="str">
            <v>不明</v>
          </cell>
          <cell r="H1506" t="str">
            <v>green</v>
          </cell>
          <cell r="I1506">
            <v>6</v>
          </cell>
          <cell r="J1506" t="str">
            <v>PremiumSS</v>
          </cell>
          <cell r="K1506" t="str">
            <v>attack</v>
          </cell>
          <cell r="L1506" t="str">
            <v>攻撃タイプ</v>
          </cell>
          <cell r="M1506" t="str">
            <v>god</v>
          </cell>
        </row>
        <row r="1507">
          <cell r="A1507">
            <v>8011</v>
          </cell>
          <cell r="B1507" t="str">
            <v>ja</v>
          </cell>
          <cell r="C1507" t="str">
            <v>月下老人</v>
          </cell>
          <cell r="D1507" t="str">
            <v>イベント:ミクコラボ01</v>
          </cell>
          <cell r="E1507" t="str">
            <v>執行者</v>
          </cell>
          <cell r="F1507" t="str">
            <v>格好いい</v>
          </cell>
          <cell r="G1507" t="str">
            <v>女性</v>
          </cell>
          <cell r="H1507" t="str">
            <v>yellow</v>
          </cell>
          <cell r="I1507">
            <v>5</v>
          </cell>
          <cell r="J1507" t="str">
            <v>DropWizS</v>
          </cell>
          <cell r="K1507" t="str">
            <v>balance</v>
          </cell>
          <cell r="L1507" t="str">
            <v>バランスタイプ</v>
          </cell>
          <cell r="M1507" t="str">
            <v>god</v>
          </cell>
        </row>
        <row r="1508">
          <cell r="A1508">
            <v>8012</v>
          </cell>
          <cell r="B1508" t="str">
            <v>ja</v>
          </cell>
          <cell r="C1508" t="str">
            <v>破戀斬る縁剣 月下老人</v>
          </cell>
          <cell r="D1508" t="str">
            <v>イベント:ミクコラボ01</v>
          </cell>
          <cell r="E1508" t="str">
            <v>執行者</v>
          </cell>
          <cell r="F1508" t="str">
            <v>格好いい</v>
          </cell>
          <cell r="G1508" t="str">
            <v>女性</v>
          </cell>
          <cell r="H1508" t="str">
            <v>yellow</v>
          </cell>
          <cell r="I1508">
            <v>6</v>
          </cell>
          <cell r="J1508" t="str">
            <v>DropWizS</v>
          </cell>
          <cell r="K1508" t="str">
            <v>balance</v>
          </cell>
          <cell r="L1508" t="str">
            <v>バランスタイプ</v>
          </cell>
          <cell r="M1508" t="str">
            <v>god</v>
          </cell>
        </row>
        <row r="1509">
          <cell r="A1509">
            <v>8013</v>
          </cell>
          <cell r="B1509" t="str">
            <v>ja</v>
          </cell>
          <cell r="C1509" t="str">
            <v>初音ミクV3</v>
          </cell>
          <cell r="D1509" t="str">
            <v>初音ミクV3</v>
          </cell>
          <cell r="E1509" t="str">
            <v>執行者</v>
          </cell>
          <cell r="F1509" t="str">
            <v>格好いい</v>
          </cell>
          <cell r="G1509" t="str">
            <v>女性</v>
          </cell>
          <cell r="H1509" t="str">
            <v>yellow</v>
          </cell>
          <cell r="I1509">
            <v>4</v>
          </cell>
          <cell r="J1509" t="str">
            <v>DropWizS</v>
          </cell>
          <cell r="K1509" t="str">
            <v>balance</v>
          </cell>
          <cell r="L1509" t="str">
            <v>バランスタイプ</v>
          </cell>
          <cell r="M1509" t="str">
            <v>unknown</v>
          </cell>
        </row>
        <row r="1510">
          <cell r="A1510">
            <v>8014</v>
          </cell>
          <cell r="B1510" t="str">
            <v>ja</v>
          </cell>
          <cell r="C1510" t="str">
            <v>初音ミクV3</v>
          </cell>
          <cell r="D1510" t="str">
            <v>初音ミクV3</v>
          </cell>
          <cell r="E1510" t="str">
            <v>執行者</v>
          </cell>
          <cell r="F1510" t="str">
            <v>格好いい</v>
          </cell>
          <cell r="G1510" t="str">
            <v>女性</v>
          </cell>
          <cell r="H1510" t="str">
            <v>yellow</v>
          </cell>
          <cell r="I1510">
            <v>5</v>
          </cell>
          <cell r="J1510" t="str">
            <v>DropWizS</v>
          </cell>
          <cell r="K1510" t="str">
            <v>balance</v>
          </cell>
          <cell r="L1510" t="str">
            <v>バランスタイプ</v>
          </cell>
          <cell r="M1510" t="str">
            <v>unknown</v>
          </cell>
        </row>
        <row r="1511">
          <cell r="A1511">
            <v>8015</v>
          </cell>
          <cell r="B1511" t="str">
            <v>ja</v>
          </cell>
          <cell r="C1511" t="str">
            <v>初音ミク・アペンド</v>
          </cell>
          <cell r="D1511" t="str">
            <v>初音ミク・アペンド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green</v>
          </cell>
          <cell r="I1511">
            <v>4</v>
          </cell>
          <cell r="J1511" t="str">
            <v>PremiumSSS</v>
          </cell>
          <cell r="K1511" t="str">
            <v>technical</v>
          </cell>
          <cell r="L1511" t="str">
            <v>テクニカルタイプ</v>
          </cell>
          <cell r="M1511" t="str">
            <v>unknown</v>
          </cell>
        </row>
        <row r="1512">
          <cell r="A1512">
            <v>8016</v>
          </cell>
          <cell r="B1512" t="str">
            <v>ja</v>
          </cell>
          <cell r="C1512" t="str">
            <v>初音ミク・アペンド</v>
          </cell>
          <cell r="D1512" t="str">
            <v>初音ミク・アペンド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green</v>
          </cell>
          <cell r="I1512">
            <v>5</v>
          </cell>
          <cell r="J1512" t="str">
            <v>PremiumSSS</v>
          </cell>
          <cell r="K1512" t="str">
            <v>technical</v>
          </cell>
          <cell r="L1512" t="str">
            <v>テクニカルタイプ</v>
          </cell>
          <cell r="M1512" t="str">
            <v>unknown</v>
          </cell>
        </row>
        <row r="1513">
          <cell r="A1513">
            <v>8017</v>
          </cell>
          <cell r="B1513" t="str">
            <v>ja</v>
          </cell>
          <cell r="C1513" t="str">
            <v>初音ミク</v>
          </cell>
          <cell r="D1513" t="str">
            <v>初音ミク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green</v>
          </cell>
          <cell r="I1513">
            <v>4</v>
          </cell>
          <cell r="J1513" t="str">
            <v>PremiumSSS</v>
          </cell>
          <cell r="K1513" t="str">
            <v>balance</v>
          </cell>
          <cell r="L1513" t="str">
            <v>バランスタイプ</v>
          </cell>
          <cell r="M1513" t="str">
            <v>unknown</v>
          </cell>
        </row>
        <row r="1514">
          <cell r="A1514">
            <v>8018</v>
          </cell>
          <cell r="B1514" t="str">
            <v>ja</v>
          </cell>
          <cell r="C1514" t="str">
            <v>初音ミク</v>
          </cell>
          <cell r="D1514" t="str">
            <v>初音ミク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green</v>
          </cell>
          <cell r="I1514">
            <v>5</v>
          </cell>
          <cell r="J1514" t="str">
            <v>PremiumSSS</v>
          </cell>
          <cell r="K1514" t="str">
            <v>balance</v>
          </cell>
          <cell r="L1514" t="str">
            <v>バランスタイプ</v>
          </cell>
          <cell r="M1514" t="str">
            <v>unknown</v>
          </cell>
        </row>
        <row r="1515">
          <cell r="A1515">
            <v>8019</v>
          </cell>
          <cell r="B1515" t="str">
            <v>ja</v>
          </cell>
          <cell r="C1515" t="str">
            <v>鏡音リン</v>
          </cell>
          <cell r="D1515" t="str">
            <v>鏡音リン</v>
          </cell>
          <cell r="E1515" t="str">
            <v>執行者</v>
          </cell>
          <cell r="F1515" t="str">
            <v>格好いい</v>
          </cell>
          <cell r="G1515" t="str">
            <v>男性</v>
          </cell>
          <cell r="H1515" t="str">
            <v>yellow</v>
          </cell>
          <cell r="I1515">
            <v>4</v>
          </cell>
          <cell r="J1515" t="str">
            <v>PremiumSS</v>
          </cell>
          <cell r="K1515" t="str">
            <v>balance</v>
          </cell>
          <cell r="L1515" t="str">
            <v>バランスタイプ</v>
          </cell>
          <cell r="M1515" t="str">
            <v>unknown</v>
          </cell>
        </row>
        <row r="1516">
          <cell r="A1516">
            <v>8020</v>
          </cell>
          <cell r="B1516" t="str">
            <v>ja</v>
          </cell>
          <cell r="C1516" t="str">
            <v>鏡音リン</v>
          </cell>
          <cell r="D1516" t="str">
            <v>鏡音リン</v>
          </cell>
          <cell r="E1516" t="str">
            <v>執行者</v>
          </cell>
          <cell r="F1516" t="str">
            <v>格好いい</v>
          </cell>
          <cell r="G1516" t="str">
            <v>男性</v>
          </cell>
          <cell r="H1516" t="str">
            <v>yellow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unknown</v>
          </cell>
        </row>
        <row r="1517">
          <cell r="A1517">
            <v>8021</v>
          </cell>
          <cell r="B1517" t="str">
            <v>ja</v>
          </cell>
          <cell r="C1517" t="str">
            <v>鏡音レン</v>
          </cell>
          <cell r="D1517" t="str">
            <v>鏡音レン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yellow</v>
          </cell>
          <cell r="I1517">
            <v>4</v>
          </cell>
          <cell r="J1517" t="str">
            <v>PremiumSS</v>
          </cell>
          <cell r="K1517" t="str">
            <v>heal</v>
          </cell>
          <cell r="L1517" t="str">
            <v>回復タイプ</v>
          </cell>
          <cell r="M1517" t="str">
            <v>unknown</v>
          </cell>
        </row>
        <row r="1518">
          <cell r="A1518">
            <v>8022</v>
          </cell>
          <cell r="B1518" t="str">
            <v>ja</v>
          </cell>
          <cell r="C1518" t="str">
            <v>鏡音レン</v>
          </cell>
          <cell r="D1518" t="str">
            <v>鏡音レン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yellow</v>
          </cell>
          <cell r="I1518">
            <v>5</v>
          </cell>
          <cell r="J1518" t="str">
            <v>PremiumSS</v>
          </cell>
          <cell r="K1518" t="str">
            <v>heal</v>
          </cell>
          <cell r="L1518" t="str">
            <v>回復タイプ</v>
          </cell>
          <cell r="M1518" t="str">
            <v>unknown</v>
          </cell>
        </row>
        <row r="1519">
          <cell r="A1519">
            <v>8023</v>
          </cell>
          <cell r="B1519" t="str">
            <v>ja</v>
          </cell>
          <cell r="C1519" t="str">
            <v>巡音ルカ</v>
          </cell>
          <cell r="D1519" t="str">
            <v>巡音ルカ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red</v>
          </cell>
          <cell r="I1519">
            <v>3</v>
          </cell>
          <cell r="J1519" t="str">
            <v>PremiumS</v>
          </cell>
          <cell r="K1519" t="str">
            <v>attack</v>
          </cell>
          <cell r="L1519" t="str">
            <v>攻撃タイプ</v>
          </cell>
          <cell r="M1519" t="str">
            <v>unknown</v>
          </cell>
        </row>
        <row r="1520">
          <cell r="A1520">
            <v>8024</v>
          </cell>
          <cell r="B1520" t="str">
            <v>ja</v>
          </cell>
          <cell r="C1520" t="str">
            <v>巡音ルカ</v>
          </cell>
          <cell r="D1520" t="str">
            <v>巡音ルカ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red</v>
          </cell>
          <cell r="I1520">
            <v>4</v>
          </cell>
          <cell r="J1520" t="str">
            <v>PremiumS</v>
          </cell>
          <cell r="K1520" t="str">
            <v>attack</v>
          </cell>
          <cell r="L1520" t="str">
            <v>攻撃タイプ</v>
          </cell>
          <cell r="M1520" t="str">
            <v>unknown</v>
          </cell>
        </row>
        <row r="1521">
          <cell r="A1521">
            <v>8025</v>
          </cell>
          <cell r="B1521" t="str">
            <v>ja</v>
          </cell>
          <cell r="C1521" t="str">
            <v>MEIKO</v>
          </cell>
          <cell r="D1521" t="str">
            <v>MEIKO</v>
          </cell>
          <cell r="E1521" t="str">
            <v>執行者</v>
          </cell>
          <cell r="F1521" t="str">
            <v>格好いい</v>
          </cell>
          <cell r="G1521" t="str">
            <v>男性</v>
          </cell>
          <cell r="H1521" t="str">
            <v>red</v>
          </cell>
          <cell r="I1521">
            <v>3</v>
          </cell>
          <cell r="J1521" t="str">
            <v>PremiumS</v>
          </cell>
          <cell r="K1521" t="str">
            <v>hp</v>
          </cell>
          <cell r="L1521" t="str">
            <v>体力タイプ</v>
          </cell>
          <cell r="M1521" t="str">
            <v>unknown</v>
          </cell>
        </row>
        <row r="1522">
          <cell r="A1522">
            <v>8026</v>
          </cell>
          <cell r="B1522" t="str">
            <v>ja</v>
          </cell>
          <cell r="C1522" t="str">
            <v>MEIKO</v>
          </cell>
          <cell r="D1522" t="str">
            <v>MEIKO</v>
          </cell>
          <cell r="E1522" t="str">
            <v>執行者</v>
          </cell>
          <cell r="F1522" t="str">
            <v>格好いい</v>
          </cell>
          <cell r="G1522" t="str">
            <v>男性</v>
          </cell>
          <cell r="H1522" t="str">
            <v>red</v>
          </cell>
          <cell r="I1522">
            <v>4</v>
          </cell>
          <cell r="J1522" t="str">
            <v>PremiumS</v>
          </cell>
          <cell r="K1522" t="str">
            <v>hp</v>
          </cell>
          <cell r="L1522" t="str">
            <v>体力タイプ</v>
          </cell>
          <cell r="M1522" t="str">
            <v>unknown</v>
          </cell>
        </row>
        <row r="1523">
          <cell r="A1523">
            <v>8027</v>
          </cell>
          <cell r="B1523" t="str">
            <v>ja</v>
          </cell>
          <cell r="C1523" t="str">
            <v>KAITO</v>
          </cell>
          <cell r="D1523" t="str">
            <v>KAITO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blue</v>
          </cell>
          <cell r="I1523">
            <v>3</v>
          </cell>
          <cell r="J1523" t="str">
            <v>PremiumS</v>
          </cell>
          <cell r="K1523" t="str">
            <v>technical</v>
          </cell>
          <cell r="L1523" t="str">
            <v>テクニカルタイプ</v>
          </cell>
          <cell r="M1523" t="str">
            <v>unknown</v>
          </cell>
        </row>
        <row r="1524">
          <cell r="A1524">
            <v>8028</v>
          </cell>
          <cell r="B1524" t="str">
            <v>ja</v>
          </cell>
          <cell r="C1524" t="str">
            <v>KAITO</v>
          </cell>
          <cell r="D1524" t="str">
            <v>KAITO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blue</v>
          </cell>
          <cell r="I1524">
            <v>4</v>
          </cell>
          <cell r="J1524" t="str">
            <v>PremiumS</v>
          </cell>
          <cell r="K1524" t="str">
            <v>technical</v>
          </cell>
          <cell r="L1524" t="str">
            <v>テクニカルタイプ</v>
          </cell>
          <cell r="M1524" t="str">
            <v>unknown</v>
          </cell>
        </row>
        <row r="1525">
          <cell r="A1525">
            <v>8029</v>
          </cell>
          <cell r="B1525" t="str">
            <v>ja</v>
          </cell>
          <cell r="C1525" t="str">
            <v>Expoミク</v>
          </cell>
          <cell r="D1525" t="str">
            <v>Expoミク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blue</v>
          </cell>
          <cell r="I1525">
            <v>4</v>
          </cell>
          <cell r="J1525" t="str">
            <v>Drop2N</v>
          </cell>
          <cell r="K1525" t="str">
            <v>heal</v>
          </cell>
          <cell r="L1525" t="str">
            <v>回復タイプ</v>
          </cell>
          <cell r="M1525" t="str">
            <v>unknown</v>
          </cell>
        </row>
        <row r="1526">
          <cell r="A1526">
            <v>8030</v>
          </cell>
          <cell r="B1526" t="str">
            <v>ja</v>
          </cell>
          <cell r="C1526" t="str">
            <v>Expoミク</v>
          </cell>
          <cell r="D1526" t="str">
            <v>Expoミク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blue</v>
          </cell>
          <cell r="I1526">
            <v>5</v>
          </cell>
          <cell r="J1526" t="str">
            <v>Drop2N</v>
          </cell>
          <cell r="K1526" t="str">
            <v>heal</v>
          </cell>
          <cell r="L1526" t="str">
            <v>回復タイプ</v>
          </cell>
          <cell r="M1526" t="str">
            <v>unknown</v>
          </cell>
        </row>
        <row r="1527">
          <cell r="A1527">
            <v>8031</v>
          </cell>
          <cell r="B1527" t="str">
            <v>ja</v>
          </cell>
          <cell r="C1527" t="str">
            <v>閻羅王</v>
          </cell>
          <cell r="D1527" t="str">
            <v>Expoミク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red</v>
          </cell>
          <cell r="I1527">
            <v>5</v>
          </cell>
          <cell r="J1527" t="str">
            <v>PremiumSS</v>
          </cell>
          <cell r="K1527" t="str">
            <v>balance</v>
          </cell>
          <cell r="L1527" t="str">
            <v>バランスタイプ</v>
          </cell>
          <cell r="M1527" t="str">
            <v>god</v>
          </cell>
        </row>
        <row r="1528">
          <cell r="A1528">
            <v>8032</v>
          </cell>
          <cell r="B1528" t="str">
            <v>ja</v>
          </cell>
          <cell r="C1528" t="str">
            <v>六道輪廻の絶獄 閻羅王</v>
          </cell>
          <cell r="D1528" t="str">
            <v>Expoミク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red</v>
          </cell>
          <cell r="I1528">
            <v>6</v>
          </cell>
          <cell r="J1528" t="str">
            <v>PremiumSS</v>
          </cell>
          <cell r="K1528" t="str">
            <v>balance</v>
          </cell>
          <cell r="L1528" t="str">
            <v>バランスタイプ</v>
          </cell>
          <cell r="M1528" t="str">
            <v>god</v>
          </cell>
        </row>
        <row r="1529">
          <cell r="A1529">
            <v>8033</v>
          </cell>
          <cell r="B1529" t="str">
            <v>ja</v>
          </cell>
          <cell r="C1529" t="str">
            <v>牛頭馬面</v>
          </cell>
          <cell r="D1529" t="str">
            <v>Expoミク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green</v>
          </cell>
          <cell r="I1529">
            <v>5</v>
          </cell>
          <cell r="J1529" t="str">
            <v>DropWizS</v>
          </cell>
          <cell r="K1529" t="str">
            <v>attack</v>
          </cell>
          <cell r="L1529" t="str">
            <v>攻撃タイプ</v>
          </cell>
          <cell r="M1529" t="str">
            <v>god</v>
          </cell>
        </row>
        <row r="1530">
          <cell r="A1530">
            <v>8034</v>
          </cell>
          <cell r="B1530" t="str">
            <v>ja</v>
          </cell>
          <cell r="C1530" t="str">
            <v>冥府狩る魂使 牛頭馬面</v>
          </cell>
          <cell r="D1530" t="str">
            <v>Expoミク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green</v>
          </cell>
          <cell r="I1530">
            <v>6</v>
          </cell>
          <cell r="J1530" t="str">
            <v>DropWizS</v>
          </cell>
          <cell r="K1530" t="str">
            <v>attack</v>
          </cell>
          <cell r="L1530" t="str">
            <v>攻撃タイプ</v>
          </cell>
          <cell r="M1530" t="str">
            <v>god</v>
          </cell>
        </row>
        <row r="1531">
          <cell r="A1531">
            <v>8035</v>
          </cell>
          <cell r="B1531" t="str">
            <v>ja</v>
          </cell>
          <cell r="C1531" t="str">
            <v>飛衛</v>
          </cell>
          <cell r="D1531" t="str">
            <v>Expoミク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8036</v>
          </cell>
          <cell r="B1532" t="str">
            <v>ja</v>
          </cell>
          <cell r="C1532" t="str">
            <v>レア６飛衛</v>
          </cell>
          <cell r="D1532" t="str">
            <v>Expoミク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8037</v>
          </cell>
          <cell r="B1533" t="str">
            <v>ja</v>
          </cell>
          <cell r="C1533" t="str">
            <v>紀昌</v>
          </cell>
          <cell r="D1533" t="str">
            <v>Expoミク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red</v>
          </cell>
          <cell r="I1533">
            <v>5</v>
          </cell>
          <cell r="J1533" t="str">
            <v>DropWizS</v>
          </cell>
          <cell r="K1533" t="str">
            <v>attack</v>
          </cell>
          <cell r="L1533" t="str">
            <v>攻撃タイプ</v>
          </cell>
          <cell r="M1533" t="str">
            <v>human</v>
          </cell>
        </row>
        <row r="1534">
          <cell r="A1534">
            <v>8038</v>
          </cell>
          <cell r="B1534" t="str">
            <v>ja</v>
          </cell>
          <cell r="C1534" t="str">
            <v>レア６紀昌</v>
          </cell>
          <cell r="D1534" t="str">
            <v>Expoミク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red</v>
          </cell>
          <cell r="I1534">
            <v>6</v>
          </cell>
          <cell r="J1534" t="str">
            <v>DropWizS</v>
          </cell>
          <cell r="K1534" t="str">
            <v>attack</v>
          </cell>
          <cell r="L1534" t="str">
            <v>攻撃タイプ</v>
          </cell>
          <cell r="M1534" t="str">
            <v>human</v>
          </cell>
        </row>
        <row r="1535">
          <cell r="A1535">
            <v>8039</v>
          </cell>
          <cell r="B1535" t="str">
            <v>ja</v>
          </cell>
          <cell r="C1535" t="str">
            <v>何仙姑</v>
          </cell>
          <cell r="D1535" t="str">
            <v>Expoミク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yellow</v>
          </cell>
          <cell r="I1535">
            <v>5</v>
          </cell>
          <cell r="J1535" t="str">
            <v>PremiumSSw</v>
          </cell>
          <cell r="K1535" t="str">
            <v>hp</v>
          </cell>
          <cell r="L1535" t="str">
            <v>体力タイプ</v>
          </cell>
          <cell r="M1535" t="str">
            <v>god</v>
          </cell>
        </row>
        <row r="1536">
          <cell r="A1536">
            <v>8040</v>
          </cell>
          <cell r="B1536" t="str">
            <v>ja</v>
          </cell>
          <cell r="C1536" t="str">
            <v>レア６何仙姑</v>
          </cell>
          <cell r="D1536" t="str">
            <v>Expoミク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yellow</v>
          </cell>
          <cell r="I1536">
            <v>6</v>
          </cell>
          <cell r="J1536" t="str">
            <v>PremiumSSw</v>
          </cell>
          <cell r="K1536" t="str">
            <v>hp</v>
          </cell>
          <cell r="L1536" t="str">
            <v>体力タイプ</v>
          </cell>
          <cell r="M1536" t="str">
            <v>god</v>
          </cell>
        </row>
        <row r="1537">
          <cell r="A1537">
            <v>8041</v>
          </cell>
          <cell r="B1537" t="str">
            <v>ja</v>
          </cell>
          <cell r="C1537" t="str">
            <v>藍采和</v>
          </cell>
          <cell r="D1537" t="str">
            <v>Expoミク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blue</v>
          </cell>
          <cell r="I1537">
            <v>5</v>
          </cell>
          <cell r="J1537" t="str">
            <v>DropWizS</v>
          </cell>
          <cell r="K1537" t="str">
            <v>balance</v>
          </cell>
          <cell r="L1537" t="str">
            <v>バランスタイプ</v>
          </cell>
          <cell r="M1537" t="str">
            <v>god</v>
          </cell>
        </row>
        <row r="1538">
          <cell r="A1538">
            <v>8042</v>
          </cell>
          <cell r="B1538" t="str">
            <v>ja</v>
          </cell>
          <cell r="C1538" t="str">
            <v>レア６藍采和</v>
          </cell>
          <cell r="D1538" t="str">
            <v>Expoミク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blue</v>
          </cell>
          <cell r="I1538">
            <v>6</v>
          </cell>
          <cell r="J1538" t="str">
            <v>DropWizS</v>
          </cell>
          <cell r="K1538" t="str">
            <v>balance</v>
          </cell>
          <cell r="L1538" t="str">
            <v>バランスタイプ</v>
          </cell>
          <cell r="M1538" t="str">
            <v>god</v>
          </cell>
        </row>
        <row r="1539">
          <cell r="A1539">
            <v>8043</v>
          </cell>
          <cell r="B1539" t="str">
            <v>ja</v>
          </cell>
          <cell r="C1539" t="str">
            <v>サンリオキャラ大集合+アザゼル</v>
          </cell>
          <cell r="D1539" t="str">
            <v>サンリオキャラ大集合+アザゼル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green</v>
          </cell>
          <cell r="I1539">
            <v>5</v>
          </cell>
          <cell r="J1539" t="str">
            <v>DropWizS</v>
          </cell>
          <cell r="K1539" t="str">
            <v>technical</v>
          </cell>
          <cell r="L1539" t="str">
            <v>テクニカルタイプ</v>
          </cell>
          <cell r="M1539" t="str">
            <v>ss</v>
          </cell>
        </row>
        <row r="1540">
          <cell r="A1540">
            <v>8044</v>
          </cell>
          <cell r="B1540" t="str">
            <v>ja</v>
          </cell>
          <cell r="C1540" t="str">
            <v>サンリオキャラ大集合+アザゼル</v>
          </cell>
          <cell r="D1540" t="str">
            <v>サンリオキャラ大集合+アザゼル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green</v>
          </cell>
          <cell r="I1540">
            <v>6</v>
          </cell>
          <cell r="J1540" t="str">
            <v>DropWizS</v>
          </cell>
          <cell r="K1540" t="str">
            <v>technical</v>
          </cell>
          <cell r="L1540" t="str">
            <v>テクニカルタイプ</v>
          </cell>
          <cell r="M1540" t="str">
            <v>ss</v>
          </cell>
        </row>
        <row r="1541">
          <cell r="A1541">
            <v>8045</v>
          </cell>
          <cell r="B1541" t="str">
            <v>ja</v>
          </cell>
          <cell r="C1541" t="str">
            <v>ニムダ_サンリオキャラ混じり</v>
          </cell>
          <cell r="D1541" t="str">
            <v>ニムダ_サンリオキャラ混じり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yellow</v>
          </cell>
          <cell r="I1541">
            <v>4</v>
          </cell>
          <cell r="J1541" t="str">
            <v>Drop2N</v>
          </cell>
          <cell r="K1541" t="str">
            <v>technical</v>
          </cell>
          <cell r="L1541" t="str">
            <v>テクニカルタイプ</v>
          </cell>
          <cell r="M1541" t="str">
            <v>ss</v>
          </cell>
        </row>
        <row r="1542">
          <cell r="A1542">
            <v>8046</v>
          </cell>
          <cell r="B1542" t="str">
            <v>ja</v>
          </cell>
          <cell r="C1542" t="str">
            <v>ニムダ_サンリオキャラ混じり</v>
          </cell>
          <cell r="D1542" t="str">
            <v>ニムダ_サンリオキャラ混じり</v>
          </cell>
          <cell r="E1542" t="str">
            <v>執行者</v>
          </cell>
          <cell r="F1542" t="str">
            <v>格好いい</v>
          </cell>
          <cell r="G1542" t="str">
            <v>女性</v>
          </cell>
          <cell r="H1542" t="str">
            <v>yellow</v>
          </cell>
          <cell r="I1542">
            <v>5</v>
          </cell>
          <cell r="J1542" t="str">
            <v>Drop2N</v>
          </cell>
          <cell r="K1542" t="str">
            <v>technical</v>
          </cell>
          <cell r="L1542" t="str">
            <v>テクニカルタイプ</v>
          </cell>
          <cell r="M1542" t="str">
            <v>ss</v>
          </cell>
        </row>
        <row r="1543">
          <cell r="A1543">
            <v>8047</v>
          </cell>
          <cell r="B1543" t="str">
            <v>ja</v>
          </cell>
          <cell r="C1543" t="str">
            <v>ハローキティ</v>
          </cell>
          <cell r="D1543" t="str">
            <v>ハローキティ</v>
          </cell>
          <cell r="E1543" t="str">
            <v>執行者</v>
          </cell>
          <cell r="F1543" t="str">
            <v>格好いい</v>
          </cell>
          <cell r="G1543" t="str">
            <v>女性</v>
          </cell>
          <cell r="H1543" t="str">
            <v>red</v>
          </cell>
          <cell r="I1543">
            <v>4</v>
          </cell>
          <cell r="J1543" t="str">
            <v>Drop2N</v>
          </cell>
          <cell r="K1543" t="str">
            <v>balance</v>
          </cell>
          <cell r="L1543" t="str">
            <v>バランスタイプ</v>
          </cell>
          <cell r="M1543" t="str">
            <v>ss</v>
          </cell>
        </row>
        <row r="1544">
          <cell r="A1544">
            <v>8048</v>
          </cell>
          <cell r="B1544" t="str">
            <v>ja</v>
          </cell>
          <cell r="C1544" t="str">
            <v>ハローキティ</v>
          </cell>
          <cell r="D1544" t="str">
            <v>ハローキティ</v>
          </cell>
          <cell r="E1544" t="str">
            <v>執行者</v>
          </cell>
          <cell r="F1544" t="str">
            <v>格好いい</v>
          </cell>
          <cell r="G1544" t="str">
            <v>女性</v>
          </cell>
          <cell r="H1544" t="str">
            <v>red</v>
          </cell>
          <cell r="I1544">
            <v>5</v>
          </cell>
          <cell r="J1544" t="str">
            <v>Drop2N</v>
          </cell>
          <cell r="K1544" t="str">
            <v>balance</v>
          </cell>
          <cell r="L1544" t="str">
            <v>バランスタイプ</v>
          </cell>
          <cell r="M1544" t="str">
            <v>ss</v>
          </cell>
        </row>
        <row r="1545">
          <cell r="A1545">
            <v>8049</v>
          </cell>
          <cell r="B1545" t="str">
            <v>ja</v>
          </cell>
          <cell r="C1545" t="str">
            <v>KIRIMIちゃん</v>
          </cell>
          <cell r="D1545" t="str">
            <v>KIRIMIちゃん</v>
          </cell>
          <cell r="E1545" t="str">
            <v>執行者</v>
          </cell>
          <cell r="F1545" t="str">
            <v>格好いい</v>
          </cell>
          <cell r="G1545" t="str">
            <v>女性</v>
          </cell>
          <cell r="H1545" t="str">
            <v>red</v>
          </cell>
          <cell r="I1545">
            <v>4</v>
          </cell>
          <cell r="J1545" t="str">
            <v>Drop2N</v>
          </cell>
          <cell r="K1545" t="str">
            <v>hp</v>
          </cell>
          <cell r="L1545" t="str">
            <v>体力タイプ</v>
          </cell>
          <cell r="M1545" t="str">
            <v>ss</v>
          </cell>
        </row>
        <row r="1546">
          <cell r="A1546">
            <v>8050</v>
          </cell>
          <cell r="B1546" t="str">
            <v>ja</v>
          </cell>
          <cell r="C1546" t="str">
            <v>KIRIMIちゃん</v>
          </cell>
          <cell r="D1546" t="str">
            <v>KIRIMIちゃん</v>
          </cell>
          <cell r="E1546" t="str">
            <v>執行者</v>
          </cell>
          <cell r="F1546" t="str">
            <v>格好いい</v>
          </cell>
          <cell r="G1546" t="str">
            <v>女性</v>
          </cell>
          <cell r="H1546" t="str">
            <v>red</v>
          </cell>
          <cell r="I1546">
            <v>5</v>
          </cell>
          <cell r="J1546" t="str">
            <v>Drop2N</v>
          </cell>
          <cell r="K1546" t="str">
            <v>hp</v>
          </cell>
          <cell r="L1546" t="str">
            <v>体力タイプ</v>
          </cell>
          <cell r="M1546" t="str">
            <v>ss</v>
          </cell>
        </row>
        <row r="1547">
          <cell r="A1547">
            <v>8051</v>
          </cell>
          <cell r="B1547" t="str">
            <v>ja</v>
          </cell>
          <cell r="C1547" t="str">
            <v>ハローキティのリボン</v>
          </cell>
          <cell r="D1547" t="str">
            <v>ハローキティのリボン</v>
          </cell>
          <cell r="E1547" t="str">
            <v>執行者</v>
          </cell>
          <cell r="F1547" t="str">
            <v>格好いい</v>
          </cell>
          <cell r="G1547" t="str">
            <v>女性</v>
          </cell>
          <cell r="H1547" t="str">
            <v>red</v>
          </cell>
          <cell r="I1547">
            <v>5</v>
          </cell>
          <cell r="J1547" t="str">
            <v>Drop2N</v>
          </cell>
          <cell r="K1547" t="str">
            <v>evolution</v>
          </cell>
          <cell r="L1547" t="str">
            <v>覚醒素材タイプ</v>
          </cell>
          <cell r="M1547" t="str">
            <v>ss</v>
          </cell>
        </row>
        <row r="1548">
          <cell r="A1548">
            <v>8052</v>
          </cell>
          <cell r="B1548" t="str">
            <v>ja</v>
          </cell>
          <cell r="C1548" t="str">
            <v>ママの作ったアップルパイ</v>
          </cell>
          <cell r="D1548" t="str">
            <v>ママの作ったアップルパイ</v>
          </cell>
          <cell r="E1548" t="str">
            <v>執行者</v>
          </cell>
          <cell r="F1548" t="str">
            <v>格好いい</v>
          </cell>
          <cell r="G1548" t="str">
            <v>女性</v>
          </cell>
          <cell r="H1548" t="str">
            <v>red</v>
          </cell>
          <cell r="I1548">
            <v>4</v>
          </cell>
          <cell r="J1548" t="str">
            <v>Drop2N</v>
          </cell>
          <cell r="K1548" t="str">
            <v>evolution</v>
          </cell>
          <cell r="L1548" t="str">
            <v>覚醒素材タイプ</v>
          </cell>
          <cell r="M1548" t="str">
            <v>ss</v>
          </cell>
        </row>
        <row r="1549">
          <cell r="A1549">
            <v>8053</v>
          </cell>
          <cell r="B1549" t="str">
            <v>ja</v>
          </cell>
          <cell r="C1549" t="str">
            <v>D.R.T.H__キティコスプレ</v>
          </cell>
          <cell r="D1549" t="str">
            <v>D.R.T.H__キティコスプレ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red</v>
          </cell>
          <cell r="I1549">
            <v>5</v>
          </cell>
          <cell r="J1549" t="str">
            <v>PremiumSS</v>
          </cell>
          <cell r="K1549" t="str">
            <v>balance</v>
          </cell>
          <cell r="L1549" t="str">
            <v>バランスタイプ</v>
          </cell>
          <cell r="M1549" t="str">
            <v>ss</v>
          </cell>
        </row>
        <row r="1550">
          <cell r="A1550">
            <v>8054</v>
          </cell>
          <cell r="B1550" t="str">
            <v>ja</v>
          </cell>
          <cell r="C1550" t="str">
            <v>D.R.T.H__キティコスプレ</v>
          </cell>
          <cell r="D1550" t="str">
            <v>D.R.T.H__キティコスプレ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red</v>
          </cell>
          <cell r="I1550">
            <v>6</v>
          </cell>
          <cell r="J1550" t="str">
            <v>PremiumSS</v>
          </cell>
          <cell r="K1550" t="str">
            <v>balance</v>
          </cell>
          <cell r="L1550" t="str">
            <v>バランスタイプ</v>
          </cell>
          <cell r="M1550" t="str">
            <v>ss</v>
          </cell>
        </row>
        <row r="1551">
          <cell r="A1551">
            <v>8055</v>
          </cell>
          <cell r="B1551" t="str">
            <v>ja</v>
          </cell>
          <cell r="C1551" t="str">
            <v>マイメロディ</v>
          </cell>
          <cell r="D1551" t="str">
            <v>マイメロディ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red</v>
          </cell>
          <cell r="I1551">
            <v>4</v>
          </cell>
          <cell r="J1551" t="str">
            <v>PremiumS</v>
          </cell>
          <cell r="K1551" t="str">
            <v>attack</v>
          </cell>
          <cell r="L1551" t="str">
            <v>攻撃タイプ</v>
          </cell>
          <cell r="M1551" t="str">
            <v>ss</v>
          </cell>
        </row>
        <row r="1552">
          <cell r="A1552">
            <v>8056</v>
          </cell>
          <cell r="B1552" t="str">
            <v>ja</v>
          </cell>
          <cell r="C1552" t="str">
            <v>マイメロディ</v>
          </cell>
          <cell r="D1552" t="str">
            <v>マイメロディ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red</v>
          </cell>
          <cell r="I1552">
            <v>5</v>
          </cell>
          <cell r="J1552" t="str">
            <v>PremiumS</v>
          </cell>
          <cell r="K1552" t="str">
            <v>attack</v>
          </cell>
          <cell r="L1552" t="str">
            <v>攻撃タイプ</v>
          </cell>
          <cell r="M1552" t="str">
            <v>ss</v>
          </cell>
        </row>
        <row r="1553">
          <cell r="A1553">
            <v>8057</v>
          </cell>
          <cell r="B1553" t="str">
            <v>ja</v>
          </cell>
          <cell r="C1553" t="str">
            <v>ニーベルゲン_シナモロールコスプレ</v>
          </cell>
          <cell r="D1553" t="str">
            <v>ニーベルゲン_シナモロールコスプレ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green</v>
          </cell>
          <cell r="I1553">
            <v>4</v>
          </cell>
          <cell r="J1553" t="str">
            <v>PremiumS</v>
          </cell>
          <cell r="K1553" t="str">
            <v>balance</v>
          </cell>
          <cell r="L1553" t="str">
            <v>バランスタイプ</v>
          </cell>
          <cell r="M1553" t="str">
            <v>ss</v>
          </cell>
        </row>
        <row r="1554">
          <cell r="A1554">
            <v>8058</v>
          </cell>
          <cell r="B1554" t="str">
            <v>ja</v>
          </cell>
          <cell r="C1554" t="str">
            <v>ニーベルゲン_シナモロールコスプレ</v>
          </cell>
          <cell r="D1554" t="str">
            <v>ニーベルゲン_シナモロールコスプレ</v>
          </cell>
          <cell r="E1554" t="str">
            <v>執行者</v>
          </cell>
          <cell r="F1554" t="str">
            <v>格好いい</v>
          </cell>
          <cell r="G1554" t="str">
            <v>女性</v>
          </cell>
          <cell r="H1554" t="str">
            <v>green</v>
          </cell>
          <cell r="I1554">
            <v>5</v>
          </cell>
          <cell r="J1554" t="str">
            <v>PremiumS</v>
          </cell>
          <cell r="K1554" t="str">
            <v>balance</v>
          </cell>
          <cell r="L1554" t="str">
            <v>バランスタイプ</v>
          </cell>
          <cell r="M1554" t="str">
            <v>ss</v>
          </cell>
        </row>
        <row r="1555">
          <cell r="A1555">
            <v>8059</v>
          </cell>
          <cell r="B1555" t="str">
            <v>ja</v>
          </cell>
          <cell r="C1555" t="str">
            <v>カカシ_マイメロディコスプレ</v>
          </cell>
          <cell r="D1555" t="str">
            <v>カカシ_マイメロディコスプレ</v>
          </cell>
          <cell r="E1555" t="str">
            <v>執行者</v>
          </cell>
          <cell r="F1555" t="str">
            <v>格好いい</v>
          </cell>
          <cell r="G1555" t="str">
            <v>女性</v>
          </cell>
          <cell r="H1555" t="str">
            <v>green</v>
          </cell>
          <cell r="I1555">
            <v>4</v>
          </cell>
          <cell r="J1555" t="str">
            <v>PremiumS</v>
          </cell>
          <cell r="K1555" t="str">
            <v>technical</v>
          </cell>
          <cell r="L1555" t="str">
            <v>テクニカルタイプ</v>
          </cell>
          <cell r="M1555" t="str">
            <v>ss</v>
          </cell>
        </row>
        <row r="1556">
          <cell r="A1556">
            <v>8060</v>
          </cell>
          <cell r="B1556" t="str">
            <v>ja</v>
          </cell>
          <cell r="C1556" t="str">
            <v>カカシ_マイメロディコスプレ</v>
          </cell>
          <cell r="D1556" t="str">
            <v>カカシ_マイメロディコスプレ</v>
          </cell>
          <cell r="E1556" t="str">
            <v>執行者</v>
          </cell>
          <cell r="F1556" t="str">
            <v>格好いい</v>
          </cell>
          <cell r="G1556" t="str">
            <v>女性</v>
          </cell>
          <cell r="H1556" t="str">
            <v>green</v>
          </cell>
          <cell r="I1556">
            <v>5</v>
          </cell>
          <cell r="J1556" t="str">
            <v>PremiumS</v>
          </cell>
          <cell r="K1556" t="str">
            <v>technical</v>
          </cell>
          <cell r="L1556" t="str">
            <v>テクニカルタイプ</v>
          </cell>
          <cell r="M1556" t="str">
            <v>ss</v>
          </cell>
        </row>
        <row r="1557">
          <cell r="A1557">
            <v>8061</v>
          </cell>
          <cell r="B1557" t="str">
            <v>ja</v>
          </cell>
          <cell r="C1557" t="str">
            <v>ケロケロけろっぴ</v>
          </cell>
          <cell r="D1557" t="str">
            <v>ケロケロけろっぴ</v>
          </cell>
          <cell r="E1557" t="str">
            <v>執行者</v>
          </cell>
          <cell r="F1557" t="str">
            <v>格好いい</v>
          </cell>
          <cell r="G1557" t="str">
            <v>女性</v>
          </cell>
          <cell r="H1557" t="str">
            <v>green</v>
          </cell>
          <cell r="I1557">
            <v>3</v>
          </cell>
          <cell r="J1557" t="str">
            <v>PremiumS</v>
          </cell>
          <cell r="K1557" t="str">
            <v>balance</v>
          </cell>
          <cell r="L1557" t="str">
            <v>バランスタイプ</v>
          </cell>
          <cell r="M1557" t="str">
            <v>ss</v>
          </cell>
        </row>
        <row r="1558">
          <cell r="A1558">
            <v>8062</v>
          </cell>
          <cell r="B1558" t="str">
            <v>ja</v>
          </cell>
          <cell r="C1558" t="str">
            <v>ケロケロけろっぴ</v>
          </cell>
          <cell r="D1558" t="str">
            <v>ケロケロけろっぴ</v>
          </cell>
          <cell r="E1558" t="str">
            <v>執行者</v>
          </cell>
          <cell r="F1558" t="str">
            <v>格好いい</v>
          </cell>
          <cell r="G1558" t="str">
            <v>女性</v>
          </cell>
          <cell r="H1558" t="str">
            <v>green</v>
          </cell>
          <cell r="I1558">
            <v>4</v>
          </cell>
          <cell r="J1558" t="str">
            <v>PremiumS</v>
          </cell>
          <cell r="K1558" t="str">
            <v>balance</v>
          </cell>
          <cell r="L1558" t="str">
            <v>バランスタイプ</v>
          </cell>
          <cell r="M1558" t="str">
            <v>ss</v>
          </cell>
        </row>
        <row r="1559">
          <cell r="A1559">
            <v>8063</v>
          </cell>
          <cell r="B1559" t="str">
            <v>ja</v>
          </cell>
          <cell r="C1559" t="str">
            <v>モルドレッド_ポムポムプリンコスプレ</v>
          </cell>
          <cell r="D1559" t="str">
            <v>モルドレッド_ポムポムプリンコスプレ</v>
          </cell>
          <cell r="E1559" t="str">
            <v>執行者</v>
          </cell>
          <cell r="F1559" t="str">
            <v>格好いい</v>
          </cell>
          <cell r="G1559" t="str">
            <v>女性</v>
          </cell>
          <cell r="H1559" t="str">
            <v>blue</v>
          </cell>
          <cell r="I1559">
            <v>5</v>
          </cell>
          <cell r="J1559" t="str">
            <v>PremiumSS</v>
          </cell>
          <cell r="K1559" t="str">
            <v>heal</v>
          </cell>
          <cell r="L1559" t="str">
            <v>回復タイプ</v>
          </cell>
          <cell r="M1559" t="str">
            <v>ss</v>
          </cell>
        </row>
        <row r="1560">
          <cell r="A1560">
            <v>8064</v>
          </cell>
          <cell r="B1560" t="str">
            <v>ja</v>
          </cell>
          <cell r="C1560" t="str">
            <v>モルドレッド_ポムポムプリンコスプレ</v>
          </cell>
          <cell r="D1560" t="str">
            <v>モルドレッド_ポムポムプリンコスプレ</v>
          </cell>
          <cell r="E1560" t="str">
            <v>執行者</v>
          </cell>
          <cell r="F1560" t="str">
            <v>格好いい</v>
          </cell>
          <cell r="G1560" t="str">
            <v>女性</v>
          </cell>
          <cell r="H1560" t="str">
            <v>blue</v>
          </cell>
          <cell r="I1560">
            <v>6</v>
          </cell>
          <cell r="J1560" t="str">
            <v>PremiumSS</v>
          </cell>
          <cell r="K1560" t="str">
            <v>heal</v>
          </cell>
          <cell r="L1560" t="str">
            <v>回復タイプ</v>
          </cell>
          <cell r="M1560" t="str">
            <v>ss</v>
          </cell>
        </row>
        <row r="1561">
          <cell r="A1561">
            <v>8065</v>
          </cell>
          <cell r="B1561" t="str">
            <v>ja</v>
          </cell>
          <cell r="C1561" t="str">
            <v>クロミ</v>
          </cell>
          <cell r="D1561" t="str">
            <v>クロミ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blue</v>
          </cell>
          <cell r="I1561">
            <v>3</v>
          </cell>
          <cell r="J1561" t="str">
            <v>PremiumS</v>
          </cell>
          <cell r="K1561" t="str">
            <v>technical</v>
          </cell>
          <cell r="L1561" t="str">
            <v>テクニカルタイプ</v>
          </cell>
          <cell r="M1561" t="str">
            <v>ss</v>
          </cell>
        </row>
        <row r="1562">
          <cell r="A1562">
            <v>8066</v>
          </cell>
          <cell r="B1562" t="str">
            <v>ja</v>
          </cell>
          <cell r="C1562" t="str">
            <v>クロミ</v>
          </cell>
          <cell r="D1562" t="str">
            <v>クロミ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blue</v>
          </cell>
          <cell r="I1562">
            <v>4</v>
          </cell>
          <cell r="J1562" t="str">
            <v>PremiumS</v>
          </cell>
          <cell r="K1562" t="str">
            <v>technical</v>
          </cell>
          <cell r="L1562" t="str">
            <v>テクニカルタイプ</v>
          </cell>
          <cell r="M1562" t="str">
            <v>ss</v>
          </cell>
        </row>
        <row r="1563">
          <cell r="A1563">
            <v>8067</v>
          </cell>
          <cell r="B1563" t="str">
            <v>ja</v>
          </cell>
          <cell r="C1563" t="str">
            <v>バッドばつ丸</v>
          </cell>
          <cell r="D1563" t="str">
            <v>バッドばつ丸</v>
          </cell>
          <cell r="E1563" t="str">
            <v>執行者</v>
          </cell>
          <cell r="F1563" t="str">
            <v>格好いい</v>
          </cell>
          <cell r="G1563" t="str">
            <v>女性</v>
          </cell>
          <cell r="H1563" t="str">
            <v>blue</v>
          </cell>
          <cell r="I1563">
            <v>3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ss</v>
          </cell>
        </row>
        <row r="1564">
          <cell r="A1564">
            <v>8068</v>
          </cell>
          <cell r="B1564" t="str">
            <v>ja</v>
          </cell>
          <cell r="C1564" t="str">
            <v>バッドばつ丸</v>
          </cell>
          <cell r="D1564" t="str">
            <v>バッドばつ丸</v>
          </cell>
          <cell r="E1564" t="str">
            <v>執行者</v>
          </cell>
          <cell r="F1564" t="str">
            <v>格好いい</v>
          </cell>
          <cell r="G1564" t="str">
            <v>女性</v>
          </cell>
          <cell r="H1564" t="str">
            <v>blue</v>
          </cell>
          <cell r="I1564">
            <v>4</v>
          </cell>
          <cell r="J1564" t="str">
            <v>PremiumS</v>
          </cell>
          <cell r="K1564" t="str">
            <v>attack</v>
          </cell>
          <cell r="L1564" t="str">
            <v>攻撃タイプ</v>
          </cell>
          <cell r="M1564" t="str">
            <v>ss</v>
          </cell>
        </row>
        <row r="1565">
          <cell r="A1565">
            <v>8069</v>
          </cell>
          <cell r="B1565" t="str">
            <v>ja</v>
          </cell>
          <cell r="C1565" t="str">
            <v>シナモロール</v>
          </cell>
          <cell r="D1565" t="str">
            <v>シナモロール</v>
          </cell>
          <cell r="E1565" t="str">
            <v>執行者</v>
          </cell>
          <cell r="F1565" t="str">
            <v>格好いい</v>
          </cell>
          <cell r="G1565" t="str">
            <v>女性</v>
          </cell>
          <cell r="H1565" t="str">
            <v>yellow</v>
          </cell>
          <cell r="I1565">
            <v>4</v>
          </cell>
          <cell r="J1565" t="str">
            <v>PremiumS</v>
          </cell>
          <cell r="K1565" t="str">
            <v>heal</v>
          </cell>
          <cell r="L1565" t="str">
            <v>回復タイプ</v>
          </cell>
          <cell r="M1565" t="str">
            <v>ss</v>
          </cell>
        </row>
        <row r="1566">
          <cell r="A1566">
            <v>8070</v>
          </cell>
          <cell r="B1566" t="str">
            <v>ja</v>
          </cell>
          <cell r="C1566" t="str">
            <v>シナモロール</v>
          </cell>
          <cell r="D1566" t="str">
            <v>シナモロール</v>
          </cell>
          <cell r="E1566" t="str">
            <v>執行者</v>
          </cell>
          <cell r="F1566" t="str">
            <v>格好いい</v>
          </cell>
          <cell r="G1566" t="str">
            <v>女性</v>
          </cell>
          <cell r="H1566" t="str">
            <v>yellow</v>
          </cell>
          <cell r="I1566">
            <v>5</v>
          </cell>
          <cell r="J1566" t="str">
            <v>PremiumS</v>
          </cell>
          <cell r="K1566" t="str">
            <v>heal</v>
          </cell>
          <cell r="L1566" t="str">
            <v>回復タイプ</v>
          </cell>
          <cell r="M1566" t="str">
            <v>ss</v>
          </cell>
        </row>
        <row r="1567">
          <cell r="A1567">
            <v>8071</v>
          </cell>
          <cell r="B1567" t="str">
            <v>ja</v>
          </cell>
          <cell r="C1567" t="str">
            <v>ポムポムプリン</v>
          </cell>
          <cell r="D1567" t="str">
            <v>ポムポムプリン</v>
          </cell>
          <cell r="E1567" t="str">
            <v>執行者</v>
          </cell>
          <cell r="F1567" t="str">
            <v>格好いい</v>
          </cell>
          <cell r="G1567" t="str">
            <v>女性</v>
          </cell>
          <cell r="H1567" t="str">
            <v>yellow</v>
          </cell>
          <cell r="I1567">
            <v>3</v>
          </cell>
          <cell r="J1567" t="str">
            <v>PremiumS</v>
          </cell>
          <cell r="K1567" t="str">
            <v>hp</v>
          </cell>
          <cell r="L1567" t="str">
            <v>体力タイプ</v>
          </cell>
          <cell r="M1567" t="str">
            <v>ss</v>
          </cell>
        </row>
        <row r="1568">
          <cell r="A1568">
            <v>8072</v>
          </cell>
          <cell r="B1568" t="str">
            <v>ja</v>
          </cell>
          <cell r="C1568" t="str">
            <v>ポムポムプリン</v>
          </cell>
          <cell r="D1568" t="str">
            <v>ポムポムプリン</v>
          </cell>
          <cell r="E1568" t="str">
            <v>執行者</v>
          </cell>
          <cell r="F1568" t="str">
            <v>格好いい</v>
          </cell>
          <cell r="G1568" t="str">
            <v>女性</v>
          </cell>
          <cell r="H1568" t="str">
            <v>yellow</v>
          </cell>
          <cell r="I1568">
            <v>4</v>
          </cell>
          <cell r="J1568" t="str">
            <v>PremiumS</v>
          </cell>
          <cell r="K1568" t="str">
            <v>hp</v>
          </cell>
          <cell r="L1568" t="str">
            <v>体力タイプ</v>
          </cell>
          <cell r="M1568" t="str">
            <v>ss</v>
          </cell>
        </row>
        <row r="1569">
          <cell r="A1569">
            <v>8073</v>
          </cell>
          <cell r="B1569" t="str">
            <v>ja</v>
          </cell>
          <cell r="C1569" t="str">
            <v>星海祈る天光妃 媽祖</v>
          </cell>
          <cell r="D1569" t="str">
            <v>Expoミク</v>
          </cell>
          <cell r="E1569" t="str">
            <v>執行者</v>
          </cell>
          <cell r="F1569" t="str">
            <v>格好いい</v>
          </cell>
          <cell r="G1569" t="str">
            <v>女性</v>
          </cell>
          <cell r="H1569" t="str">
            <v>yellow</v>
          </cell>
          <cell r="I1569">
            <v>6</v>
          </cell>
          <cell r="J1569" t="str">
            <v>PremiumSS</v>
          </cell>
          <cell r="K1569" t="str">
            <v>attack</v>
          </cell>
          <cell r="L1569" t="str">
            <v>攻撃タイプ</v>
          </cell>
          <cell r="M1569" t="str">
            <v>human</v>
          </cell>
        </row>
        <row r="1570">
          <cell r="A1570">
            <v>8074</v>
          </cell>
          <cell r="B1570" t="str">
            <v>ja</v>
          </cell>
          <cell r="C1570" t="str">
            <v>海戀の絶龍姫 蛟龍</v>
          </cell>
          <cell r="D1570" t="str">
            <v>Expoミク</v>
          </cell>
          <cell r="E1570" t="str">
            <v>執行者</v>
          </cell>
          <cell r="F1570" t="str">
            <v>格好いい</v>
          </cell>
          <cell r="G1570" t="str">
            <v>女性</v>
          </cell>
          <cell r="H1570" t="str">
            <v>blue</v>
          </cell>
          <cell r="I1570">
            <v>6</v>
          </cell>
          <cell r="J1570" t="str">
            <v>DropWizS</v>
          </cell>
          <cell r="K1570" t="str">
            <v>hp</v>
          </cell>
          <cell r="L1570" t="str">
            <v>体力タイプ</v>
          </cell>
          <cell r="M1570" t="str">
            <v>dragon</v>
          </cell>
        </row>
        <row r="1571">
          <cell r="A1571">
            <v>8075</v>
          </cell>
          <cell r="B1571" t="str">
            <v>ja</v>
          </cell>
          <cell r="C1571" t="str">
            <v>三蔵法師_超覚醒</v>
          </cell>
          <cell r="D1571" t="str">
            <v>Expoミク</v>
          </cell>
          <cell r="E1571" t="str">
            <v>執行者</v>
          </cell>
          <cell r="F1571" t="str">
            <v>格好いい</v>
          </cell>
          <cell r="G1571" t="str">
            <v>女性</v>
          </cell>
          <cell r="H1571" t="str">
            <v>blue</v>
          </cell>
          <cell r="I1571">
            <v>6</v>
          </cell>
          <cell r="J1571" t="str">
            <v>PremiumSS</v>
          </cell>
          <cell r="K1571" t="str">
            <v>balance</v>
          </cell>
          <cell r="L1571" t="str">
            <v>バランスタイプ</v>
          </cell>
          <cell r="M1571" t="str">
            <v>god</v>
          </cell>
        </row>
        <row r="1572">
          <cell r="A1572">
            <v>8076</v>
          </cell>
          <cell r="B1572" t="str">
            <v>ja</v>
          </cell>
          <cell r="C1572" t="str">
            <v>孫悟空_超覚醒</v>
          </cell>
          <cell r="D1572" t="str">
            <v>Expoミク</v>
          </cell>
          <cell r="E1572" t="str">
            <v>執行者</v>
          </cell>
          <cell r="F1572" t="str">
            <v>格好いい</v>
          </cell>
          <cell r="G1572" t="str">
            <v>女性</v>
          </cell>
          <cell r="H1572" t="str">
            <v>red</v>
          </cell>
          <cell r="I1572">
            <v>6</v>
          </cell>
          <cell r="J1572" t="str">
            <v>DropWizS</v>
          </cell>
          <cell r="K1572" t="str">
            <v>attack</v>
          </cell>
          <cell r="L1572" t="str">
            <v>攻撃タイプ</v>
          </cell>
          <cell r="M1572" t="str">
            <v>unknown</v>
          </cell>
        </row>
        <row r="1573">
          <cell r="A1573">
            <v>8077</v>
          </cell>
          <cell r="B1573" t="str">
            <v>ja</v>
          </cell>
          <cell r="C1573" t="str">
            <v>鄭成功</v>
          </cell>
          <cell r="D1573" t="str">
            <v>ポムポムプリン</v>
          </cell>
          <cell r="E1573" t="str">
            <v>執行者</v>
          </cell>
          <cell r="F1573" t="str">
            <v>格好いい</v>
          </cell>
          <cell r="G1573" t="str">
            <v>女性</v>
          </cell>
          <cell r="H1573" t="str">
            <v>blue</v>
          </cell>
          <cell r="I1573">
            <v>5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</row>
        <row r="1574">
          <cell r="A1574">
            <v>8078</v>
          </cell>
          <cell r="B1574" t="str">
            <v>ja</v>
          </cell>
          <cell r="C1574" t="str">
            <v>レア６鄭成功</v>
          </cell>
          <cell r="D1574" t="str">
            <v>ポムポムプリン</v>
          </cell>
          <cell r="E1574" t="str">
            <v>執行者</v>
          </cell>
          <cell r="F1574" t="str">
            <v>格好いい</v>
          </cell>
          <cell r="G1574" t="str">
            <v>女性</v>
          </cell>
          <cell r="H1574" t="str">
            <v>blue</v>
          </cell>
          <cell r="I1574">
            <v>6</v>
          </cell>
          <cell r="J1574" t="str">
            <v>PremiumSS</v>
          </cell>
          <cell r="K1574" t="str">
            <v>attack</v>
          </cell>
          <cell r="L1574" t="str">
            <v>攻撃タイプ</v>
          </cell>
          <cell r="M1574" t="str">
            <v>human</v>
          </cell>
        </row>
        <row r="1575">
          <cell r="A1575">
            <v>8079</v>
          </cell>
          <cell r="B1575" t="str">
            <v>ja</v>
          </cell>
          <cell r="C1575" t="str">
            <v>赤鬼</v>
          </cell>
          <cell r="D1575" t="str">
            <v>ポムポムプリン</v>
          </cell>
          <cell r="E1575" t="str">
            <v>執行者</v>
          </cell>
          <cell r="F1575" t="str">
            <v>格好いい</v>
          </cell>
          <cell r="G1575" t="str">
            <v>女性</v>
          </cell>
          <cell r="H1575" t="str">
            <v>red</v>
          </cell>
          <cell r="I1575">
            <v>5</v>
          </cell>
          <cell r="J1575" t="str">
            <v>DropWizS</v>
          </cell>
          <cell r="K1575" t="str">
            <v>hp</v>
          </cell>
          <cell r="L1575" t="str">
            <v>体力タイプ</v>
          </cell>
          <cell r="M1575" t="str">
            <v>dragon</v>
          </cell>
        </row>
        <row r="1576">
          <cell r="A1576">
            <v>8080</v>
          </cell>
          <cell r="B1576" t="str">
            <v>ja</v>
          </cell>
          <cell r="C1576" t="str">
            <v>レア６赤鬼</v>
          </cell>
          <cell r="D1576" t="str">
            <v>ポムポムプリン</v>
          </cell>
          <cell r="E1576" t="str">
            <v>執行者</v>
          </cell>
          <cell r="F1576" t="str">
            <v>格好いい</v>
          </cell>
          <cell r="G1576" t="str">
            <v>女性</v>
          </cell>
          <cell r="H1576" t="str">
            <v>red</v>
          </cell>
          <cell r="I1576">
            <v>6</v>
          </cell>
          <cell r="J1576" t="str">
            <v>DropWizS</v>
          </cell>
          <cell r="K1576" t="str">
            <v>hp</v>
          </cell>
          <cell r="L1576" t="str">
            <v>体力タイプ</v>
          </cell>
          <cell r="M1576" t="str">
            <v>dragon</v>
          </cell>
        </row>
        <row r="1577">
          <cell r="A1577">
            <v>8081</v>
          </cell>
          <cell r="B1577" t="str">
            <v>ja</v>
          </cell>
          <cell r="C1577" t="str">
            <v>関羽</v>
          </cell>
          <cell r="H1577" t="str">
            <v>green</v>
          </cell>
          <cell r="I1577">
            <v>5</v>
          </cell>
          <cell r="J1577" t="str">
            <v>PremiumSSS</v>
          </cell>
          <cell r="K1577" t="str">
            <v>balance</v>
          </cell>
          <cell r="L1577" t="str">
            <v>バランスタイプ</v>
          </cell>
          <cell r="M1577" t="str">
            <v>samurai</v>
          </cell>
        </row>
        <row r="1578">
          <cell r="A1578">
            <v>8082</v>
          </cell>
          <cell r="B1578" t="str">
            <v>ja</v>
          </cell>
          <cell r="C1578" t="str">
            <v>★６関羽</v>
          </cell>
          <cell r="H1578" t="str">
            <v>green</v>
          </cell>
          <cell r="I1578">
            <v>6</v>
          </cell>
          <cell r="J1578" t="str">
            <v>PremiumSSS</v>
          </cell>
          <cell r="K1578" t="str">
            <v>balance</v>
          </cell>
          <cell r="L1578" t="str">
            <v>バランスタイプ</v>
          </cell>
          <cell r="M1578" t="str">
            <v>samurai</v>
          </cell>
        </row>
        <row r="1579">
          <cell r="A1579">
            <v>8083</v>
          </cell>
          <cell r="B1579" t="str">
            <v>ja</v>
          </cell>
          <cell r="C1579" t="str">
            <v>曹操</v>
          </cell>
          <cell r="H1579" t="str">
            <v>yellow</v>
          </cell>
          <cell r="I1579">
            <v>5</v>
          </cell>
          <cell r="J1579" t="str">
            <v>DropWizSS</v>
          </cell>
          <cell r="K1579" t="str">
            <v>technical</v>
          </cell>
          <cell r="L1579" t="str">
            <v>テクニカルタイプ</v>
          </cell>
          <cell r="M1579" t="str">
            <v>samurai</v>
          </cell>
        </row>
        <row r="1580">
          <cell r="A1580">
            <v>8084</v>
          </cell>
          <cell r="B1580" t="str">
            <v>ja</v>
          </cell>
          <cell r="C1580" t="str">
            <v>★６曹操</v>
          </cell>
          <cell r="H1580" t="str">
            <v>yellow</v>
          </cell>
          <cell r="I1580">
            <v>6</v>
          </cell>
          <cell r="J1580" t="str">
            <v>DropWizSS</v>
          </cell>
          <cell r="K1580" t="str">
            <v>technical</v>
          </cell>
          <cell r="L1580" t="str">
            <v>テクニカルタイプ</v>
          </cell>
          <cell r="M1580" t="str">
            <v>samurai</v>
          </cell>
        </row>
        <row r="1581">
          <cell r="A1581">
            <v>8087</v>
          </cell>
          <cell r="B1581" t="str">
            <v>ja</v>
          </cell>
          <cell r="C1581" t="str">
            <v>財神</v>
          </cell>
          <cell r="H1581" t="str">
            <v>red</v>
          </cell>
          <cell r="I1581">
            <v>5</v>
          </cell>
          <cell r="J1581" t="str">
            <v>PremiumSSS</v>
          </cell>
          <cell r="K1581" t="str">
            <v>technical</v>
          </cell>
          <cell r="L1581" t="str">
            <v>テクニカルタイプ</v>
          </cell>
          <cell r="M1581" t="str">
            <v>god</v>
          </cell>
        </row>
        <row r="1582">
          <cell r="A1582">
            <v>8088</v>
          </cell>
          <cell r="B1582" t="str">
            <v>ja</v>
          </cell>
          <cell r="C1582" t="str">
            <v>★６財神</v>
          </cell>
          <cell r="H1582" t="str">
            <v>red</v>
          </cell>
          <cell r="I1582">
            <v>6</v>
          </cell>
          <cell r="J1582" t="str">
            <v>PremiumSSS</v>
          </cell>
          <cell r="K1582" t="str">
            <v>technical</v>
          </cell>
          <cell r="L1582" t="str">
            <v>テクニカルタイプ</v>
          </cell>
          <cell r="M1582" t="str">
            <v>god</v>
          </cell>
        </row>
        <row r="1583">
          <cell r="A1583">
            <v>8089</v>
          </cell>
          <cell r="B1583" t="str">
            <v>ja</v>
          </cell>
          <cell r="C1583" t="str">
            <v>年獣</v>
          </cell>
          <cell r="H1583" t="str">
            <v>green</v>
          </cell>
          <cell r="I1583">
            <v>5</v>
          </cell>
          <cell r="J1583" t="str">
            <v>DropWizS</v>
          </cell>
          <cell r="K1583" t="str">
            <v>attack</v>
          </cell>
          <cell r="L1583" t="str">
            <v>攻撃タイプ</v>
          </cell>
          <cell r="M1583" t="str">
            <v>animal</v>
          </cell>
        </row>
        <row r="1584">
          <cell r="A1584">
            <v>8090</v>
          </cell>
          <cell r="B1584" t="str">
            <v>ja</v>
          </cell>
          <cell r="C1584" t="str">
            <v>★６年獣</v>
          </cell>
          <cell r="H1584" t="str">
            <v>green</v>
          </cell>
          <cell r="I1584">
            <v>6</v>
          </cell>
          <cell r="J1584" t="str">
            <v>DropWizS</v>
          </cell>
          <cell r="K1584" t="str">
            <v>attack</v>
          </cell>
          <cell r="L1584" t="str">
            <v>攻撃タイプ</v>
          </cell>
          <cell r="M1584" t="str">
            <v>animal</v>
          </cell>
        </row>
        <row r="1585">
          <cell r="A1585">
            <v>8095</v>
          </cell>
          <cell r="B1585" t="str">
            <v>ja</v>
          </cell>
          <cell r="C1585" t="str">
            <v>バハムートダック赤</v>
          </cell>
          <cell r="D1585" t="str">
            <v>ポムポムプリン</v>
          </cell>
          <cell r="E1585" t="str">
            <v>執行者</v>
          </cell>
          <cell r="F1585" t="str">
            <v>格好いい</v>
          </cell>
          <cell r="G1585" t="str">
            <v>女性</v>
          </cell>
          <cell r="H1585" t="str">
            <v>red</v>
          </cell>
          <cell r="I1585">
            <v>6</v>
          </cell>
          <cell r="J1585" t="str">
            <v>Material</v>
          </cell>
          <cell r="K1585" t="str">
            <v>exp</v>
          </cell>
          <cell r="L1585" t="str">
            <v>強化素材タイプ</v>
          </cell>
          <cell r="M1585" t="str">
            <v>unknown</v>
          </cell>
        </row>
        <row r="1586">
          <cell r="A1586">
            <v>8096</v>
          </cell>
          <cell r="B1586" t="str">
            <v>ja</v>
          </cell>
          <cell r="C1586" t="str">
            <v>バハムートダック緑</v>
          </cell>
          <cell r="D1586" t="str">
            <v>ポムポムプリン</v>
          </cell>
          <cell r="E1586" t="str">
            <v>執行者</v>
          </cell>
          <cell r="F1586" t="str">
            <v>格好いい</v>
          </cell>
          <cell r="G1586" t="str">
            <v>女性</v>
          </cell>
          <cell r="H1586" t="str">
            <v>green</v>
          </cell>
          <cell r="I1586">
            <v>6</v>
          </cell>
          <cell r="J1586" t="str">
            <v>Material</v>
          </cell>
          <cell r="K1586" t="str">
            <v>exp</v>
          </cell>
          <cell r="L1586" t="str">
            <v>強化素材タイプ</v>
          </cell>
          <cell r="M1586" t="str">
            <v>unknown</v>
          </cell>
        </row>
        <row r="1587">
          <cell r="A1587">
            <v>8097</v>
          </cell>
          <cell r="B1587" t="str">
            <v>ja</v>
          </cell>
          <cell r="C1587" t="str">
            <v>バハムートダック青</v>
          </cell>
          <cell r="D1587" t="str">
            <v>ポムポムプリン</v>
          </cell>
          <cell r="E1587" t="str">
            <v>執行者</v>
          </cell>
          <cell r="F1587" t="str">
            <v>格好いい</v>
          </cell>
          <cell r="G1587" t="str">
            <v>女性</v>
          </cell>
          <cell r="H1587" t="str">
            <v>blue</v>
          </cell>
          <cell r="I1587">
            <v>6</v>
          </cell>
          <cell r="J1587" t="str">
            <v>Material</v>
          </cell>
          <cell r="K1587" t="str">
            <v>exp</v>
          </cell>
          <cell r="L1587" t="str">
            <v>強化素材タイプ</v>
          </cell>
          <cell r="M1587" t="str">
            <v>unknown</v>
          </cell>
        </row>
        <row r="1588">
          <cell r="A1588">
            <v>8098</v>
          </cell>
          <cell r="B1588" t="str">
            <v>ja</v>
          </cell>
          <cell r="C1588" t="str">
            <v>バハムートダック黄</v>
          </cell>
          <cell r="D1588" t="str">
            <v>ポムポムプリン</v>
          </cell>
          <cell r="E1588" t="str">
            <v>執行者</v>
          </cell>
          <cell r="F1588" t="str">
            <v>格好いい</v>
          </cell>
          <cell r="G1588" t="str">
            <v>女性</v>
          </cell>
          <cell r="H1588" t="str">
            <v>yellow</v>
          </cell>
          <cell r="I1588">
            <v>6</v>
          </cell>
          <cell r="J1588" t="str">
            <v>Material</v>
          </cell>
          <cell r="K1588" t="str">
            <v>exp</v>
          </cell>
          <cell r="L1588" t="str">
            <v>強化素材タイプ</v>
          </cell>
          <cell r="M1588" t="str">
            <v>unknown</v>
          </cell>
        </row>
        <row r="1589">
          <cell r="A1589">
            <v>8099</v>
          </cell>
          <cell r="B1589" t="str">
            <v>ja</v>
          </cell>
          <cell r="C1589" t="str">
            <v>リトルハンプティ</v>
          </cell>
          <cell r="D1589" t="str">
            <v>各属性相性良3・黄・R455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green</v>
          </cell>
          <cell r="I1589">
            <v>6</v>
          </cell>
          <cell r="J1589" t="str">
            <v>Material</v>
          </cell>
          <cell r="K1589" t="str">
            <v>evolution</v>
          </cell>
          <cell r="L1589" t="str">
            <v>覚醒素材タイプ</v>
          </cell>
          <cell r="M1589" t="str">
            <v>unknown</v>
          </cell>
        </row>
        <row r="1590">
          <cell r="A1590">
            <v>9001</v>
          </cell>
          <cell r="B1590" t="str">
            <v>ja</v>
          </cell>
          <cell r="C1590" t="str">
            <v>春香</v>
          </cell>
          <cell r="D1590" t="str">
            <v>ポムポムプリン</v>
          </cell>
          <cell r="E1590" t="str">
            <v>執行者</v>
          </cell>
          <cell r="F1590" t="str">
            <v>格好いい</v>
          </cell>
          <cell r="G1590" t="str">
            <v>女性</v>
          </cell>
          <cell r="H1590" t="str">
            <v>red</v>
          </cell>
          <cell r="I1590">
            <v>5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</row>
        <row r="1591">
          <cell r="A1591">
            <v>9002</v>
          </cell>
          <cell r="B1591" t="str">
            <v>ja</v>
          </cell>
          <cell r="C1591" t="str">
            <v>春香★６</v>
          </cell>
          <cell r="D1591" t="str">
            <v>ポムポムプリン</v>
          </cell>
          <cell r="E1591" t="str">
            <v>執行者</v>
          </cell>
          <cell r="F1591" t="str">
            <v>格好いい</v>
          </cell>
          <cell r="G1591" t="str">
            <v>女性</v>
          </cell>
          <cell r="H1591" t="str">
            <v>red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</row>
        <row r="1592">
          <cell r="A1592">
            <v>9003</v>
          </cell>
          <cell r="B1592" t="str">
            <v>ja</v>
          </cell>
          <cell r="C1592" t="str">
            <v>夢龍</v>
          </cell>
          <cell r="D1592" t="str">
            <v>ポムポムプリン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green</v>
          </cell>
          <cell r="I1592">
            <v>5</v>
          </cell>
          <cell r="J1592" t="str">
            <v>DropWizS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</row>
        <row r="1593">
          <cell r="A1593">
            <v>9004</v>
          </cell>
          <cell r="B1593" t="str">
            <v>ja</v>
          </cell>
          <cell r="C1593" t="str">
            <v>夢龍★６</v>
          </cell>
          <cell r="D1593" t="str">
            <v>各属性相性良3・黄・R455</v>
          </cell>
          <cell r="E1593" t="str">
            <v>執行者</v>
          </cell>
          <cell r="F1593" t="str">
            <v>格好いい</v>
          </cell>
          <cell r="G1593" t="str">
            <v>男性</v>
          </cell>
          <cell r="H1593" t="str">
            <v>green</v>
          </cell>
          <cell r="I1593">
            <v>6</v>
          </cell>
          <cell r="J1593" t="str">
            <v>DropWizS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</row>
        <row r="1594">
          <cell r="A1594">
            <v>10001</v>
          </cell>
          <cell r="B1594" t="str">
            <v>ja</v>
          </cell>
          <cell r="C1594" t="str">
            <v>テストユニット01</v>
          </cell>
          <cell r="H1594" t="str">
            <v>yellow</v>
          </cell>
          <cell r="I1594">
            <v>6</v>
          </cell>
          <cell r="J1594" t="str">
            <v>PremiumSS</v>
          </cell>
          <cell r="K1594" t="str">
            <v>balance</v>
          </cell>
          <cell r="L1594" t="str">
            <v>バランスタイプ</v>
          </cell>
          <cell r="M1594" t="str">
            <v>god</v>
          </cell>
        </row>
        <row r="1595">
          <cell r="A1595">
            <v>10002</v>
          </cell>
          <cell r="B1595" t="str">
            <v>ja</v>
          </cell>
          <cell r="C1595" t="str">
            <v>テストユニット02</v>
          </cell>
          <cell r="H1595" t="str">
            <v>yellow</v>
          </cell>
          <cell r="I1595">
            <v>6</v>
          </cell>
          <cell r="J1595" t="str">
            <v>PremiumSS</v>
          </cell>
          <cell r="K1595" t="str">
            <v>technical</v>
          </cell>
          <cell r="L1595" t="str">
            <v>テクニカルタイプ</v>
          </cell>
          <cell r="M1595" t="str">
            <v>demon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>
        <row r="1">
          <cell r="A1" t="str">
            <v>enemy_skill_id</v>
          </cell>
          <cell r="B1" t="str">
            <v>effect_param</v>
          </cell>
          <cell r="C1" t="str">
            <v>valid_flg</v>
          </cell>
          <cell r="D1" t="str">
            <v>language</v>
          </cell>
          <cell r="E1" t="str">
            <v>name</v>
          </cell>
        </row>
        <row r="2">
          <cell r="A2">
            <v>0</v>
          </cell>
          <cell r="C2">
            <v>3</v>
          </cell>
          <cell r="D2" t="str">
            <v>ja</v>
          </cell>
          <cell r="E2" t="str">
            <v>なし</v>
          </cell>
        </row>
        <row r="3">
          <cell r="A3">
            <v>100001</v>
          </cell>
          <cell r="B3" t="str">
            <v>[effect:nothing]</v>
          </cell>
          <cell r="C3">
            <v>3</v>
          </cell>
          <cell r="D3" t="str">
            <v>ja</v>
          </cell>
          <cell r="E3" t="str">
            <v>視線</v>
          </cell>
        </row>
        <row r="4">
          <cell r="A4">
            <v>100002</v>
          </cell>
          <cell r="B4" t="str">
            <v>[effect:nothing]</v>
          </cell>
          <cell r="C4">
            <v>3</v>
          </cell>
          <cell r="D4" t="str">
            <v>ja</v>
          </cell>
          <cell r="E4" t="str">
            <v>コンニチワ</v>
          </cell>
        </row>
        <row r="5">
          <cell r="A5">
            <v>100003</v>
          </cell>
          <cell r="B5" t="str">
            <v>[effect:nothing]</v>
          </cell>
          <cell r="C5">
            <v>3</v>
          </cell>
          <cell r="D5" t="str">
            <v>ja</v>
          </cell>
          <cell r="E5" t="str">
            <v>ご質問をどうぞ</v>
          </cell>
        </row>
        <row r="6">
          <cell r="A6">
            <v>100004</v>
          </cell>
          <cell r="B6" t="str">
            <v>[effect:nothing]</v>
          </cell>
          <cell r="C6">
            <v>3</v>
          </cell>
          <cell r="D6" t="str">
            <v>ja</v>
          </cell>
          <cell r="E6" t="str">
            <v>ハッピー！？</v>
          </cell>
        </row>
        <row r="7">
          <cell r="A7">
            <v>100005</v>
          </cell>
          <cell r="B7" t="str">
            <v>[effect:nothing]</v>
          </cell>
          <cell r="C7">
            <v>3</v>
          </cell>
          <cell r="D7" t="str">
            <v>ja</v>
          </cell>
          <cell r="E7" t="str">
            <v>楽しげなステップ</v>
          </cell>
        </row>
        <row r="8">
          <cell r="A8">
            <v>100006</v>
          </cell>
          <cell r="B8" t="str">
            <v>[effect:nothing]</v>
          </cell>
          <cell r="C8">
            <v>3</v>
          </cell>
          <cell r="D8" t="str">
            <v>ja</v>
          </cell>
          <cell r="E8" t="str">
            <v>見物</v>
          </cell>
        </row>
        <row r="9">
          <cell r="A9">
            <v>100007</v>
          </cell>
          <cell r="B9" t="str">
            <v>[effect:nothing]</v>
          </cell>
          <cell r="C9">
            <v>3</v>
          </cell>
          <cell r="D9" t="str">
            <v>ja</v>
          </cell>
          <cell r="E9" t="str">
            <v>見物</v>
          </cell>
        </row>
        <row r="10">
          <cell r="A10">
            <v>100008</v>
          </cell>
          <cell r="B10" t="str">
            <v>[effect:nothing]</v>
          </cell>
          <cell r="C10">
            <v>3</v>
          </cell>
          <cell r="D10" t="str">
            <v>ja</v>
          </cell>
          <cell r="E10" t="str">
            <v>リンゴ警報！</v>
          </cell>
        </row>
        <row r="11">
          <cell r="A11">
            <v>100009</v>
          </cell>
          <cell r="B11" t="str">
            <v>[effect:nothing]</v>
          </cell>
          <cell r="C11">
            <v>3</v>
          </cell>
          <cell r="D11" t="str">
            <v>ja</v>
          </cell>
          <cell r="E11" t="str">
            <v>うっとり妄想タイム</v>
          </cell>
        </row>
        <row r="12">
          <cell r="A12">
            <v>100010</v>
          </cell>
          <cell r="B12" t="str">
            <v>[effect:nothing]</v>
          </cell>
          <cell r="C12">
            <v>3</v>
          </cell>
          <cell r="D12" t="str">
            <v>ja</v>
          </cell>
          <cell r="E12" t="str">
            <v>まるで夢みたい！</v>
          </cell>
        </row>
        <row r="13">
          <cell r="A13">
            <v>100011</v>
          </cell>
          <cell r="B13" t="str">
            <v>[effect:nothing]</v>
          </cell>
          <cell r="C13">
            <v>3</v>
          </cell>
          <cell r="D13" t="str">
            <v>ja</v>
          </cell>
          <cell r="E13" t="str">
            <v>コ4ン8ニ・・チワ9</v>
          </cell>
        </row>
        <row r="14">
          <cell r="A14">
            <v>100012</v>
          </cell>
          <cell r="B14" t="str">
            <v>[effect:fix_speed,target:myself,turn:3]</v>
          </cell>
          <cell r="C14">
            <v>3</v>
          </cell>
          <cell r="D14" t="str">
            <v>ja</v>
          </cell>
          <cell r="E14" t="str">
            <v>りんご速報</v>
          </cell>
        </row>
        <row r="15">
          <cell r="A15">
            <v>100013</v>
          </cell>
          <cell r="B15" t="str">
            <v>[effect:nothing]</v>
          </cell>
          <cell r="C15">
            <v>3</v>
          </cell>
          <cell r="D15" t="str">
            <v>ja</v>
          </cell>
          <cell r="E15" t="str">
            <v>高みの見物</v>
          </cell>
        </row>
        <row r="16">
          <cell r="A16">
            <v>100014</v>
          </cell>
          <cell r="B16" t="str">
            <v>[effect:nothing]</v>
          </cell>
          <cell r="C16">
            <v>3</v>
          </cell>
          <cell r="D16" t="str">
            <v>ja</v>
          </cell>
          <cell r="E16" t="str">
            <v>困惑</v>
          </cell>
        </row>
        <row r="17">
          <cell r="A17">
            <v>100015</v>
          </cell>
          <cell r="B17" t="str">
            <v>[effect:fix_speed,target:myself,turn:3]</v>
          </cell>
          <cell r="C17">
            <v>3</v>
          </cell>
          <cell r="D17" t="str">
            <v>ja</v>
          </cell>
          <cell r="E17" t="str">
            <v>&lt;ロックオン&gt;</v>
          </cell>
        </row>
        <row r="18">
          <cell r="A18">
            <v>100016</v>
          </cell>
          <cell r="B18" t="str">
            <v>[effect:nothing]</v>
          </cell>
          <cell r="C18">
            <v>3</v>
          </cell>
          <cell r="D18" t="str">
            <v>ja</v>
          </cell>
          <cell r="E18" t="str">
            <v>&lt;装填中&gt;</v>
          </cell>
        </row>
        <row r="19">
          <cell r="A19">
            <v>100017</v>
          </cell>
          <cell r="B19" t="str">
            <v>[effect:nothing]</v>
          </cell>
          <cell r="C19">
            <v>3</v>
          </cell>
          <cell r="D19" t="str">
            <v>ja</v>
          </cell>
          <cell r="E19" t="str">
            <v>人間風情が…</v>
          </cell>
        </row>
        <row r="20">
          <cell r="A20">
            <v>100018</v>
          </cell>
          <cell r="B20" t="str">
            <v>[effect:nothing]</v>
          </cell>
          <cell r="C20">
            <v>1</v>
          </cell>
          <cell r="D20" t="str">
            <v>ja</v>
          </cell>
          <cell r="E20" t="str">
            <v>ずっと一緒に…</v>
          </cell>
        </row>
        <row r="21">
          <cell r="A21">
            <v>100019</v>
          </cell>
          <cell r="B21" t="str">
            <v>[effect:nothing]</v>
          </cell>
          <cell r="C21">
            <v>3</v>
          </cell>
          <cell r="D21" t="str">
            <v>ja</v>
          </cell>
          <cell r="E21" t="str">
            <v>もう一人じゃないよね</v>
          </cell>
        </row>
        <row r="22">
          <cell r="A22">
            <v>100020</v>
          </cell>
          <cell r="B22" t="str">
            <v>[effect:nothing]</v>
          </cell>
          <cell r="C22">
            <v>3</v>
          </cell>
          <cell r="D22" t="str">
            <v>ja</v>
          </cell>
          <cell r="E22" t="str">
            <v>魂の帰還</v>
          </cell>
        </row>
        <row r="23">
          <cell r="A23">
            <v>100021</v>
          </cell>
          <cell r="B23" t="str">
            <v>[effect:nothing]</v>
          </cell>
          <cell r="C23">
            <v>3</v>
          </cell>
          <cell r="D23" t="str">
            <v>ja</v>
          </cell>
          <cell r="E23" t="str">
            <v>自爆の覚悟</v>
          </cell>
        </row>
        <row r="24">
          <cell r="A24">
            <v>100022</v>
          </cell>
          <cell r="B24" t="str">
            <v>[effect:nothing]</v>
          </cell>
          <cell r="C24">
            <v>1</v>
          </cell>
          <cell r="D24" t="str">
            <v>ja</v>
          </cell>
          <cell r="E24" t="str">
            <v>指一本触れさせん…</v>
          </cell>
        </row>
        <row r="25">
          <cell r="A25">
            <v>100023</v>
          </cell>
          <cell r="B25" t="str">
            <v>[effect:nothing]</v>
          </cell>
          <cell r="C25">
            <v>3</v>
          </cell>
          <cell r="D25" t="str">
            <v>ja</v>
          </cell>
          <cell r="E25" t="str">
            <v>星降りの儀</v>
          </cell>
        </row>
        <row r="26">
          <cell r="A26">
            <v>100024</v>
          </cell>
          <cell r="B26" t="str">
            <v>[effect:nothing]</v>
          </cell>
          <cell r="C26">
            <v>3</v>
          </cell>
          <cell r="D26" t="str">
            <v>ja</v>
          </cell>
          <cell r="E26" t="str">
            <v>絡みつく触手</v>
          </cell>
        </row>
        <row r="27">
          <cell r="A27">
            <v>100025</v>
          </cell>
          <cell r="B27" t="str">
            <v>[effect:fix_speed,target:myself,turn:1]</v>
          </cell>
          <cell r="C27">
            <v>3</v>
          </cell>
          <cell r="D27" t="str">
            <v>ja</v>
          </cell>
          <cell r="E27" t="str">
            <v>ガラスの靴は私のもの！</v>
          </cell>
        </row>
        <row r="28">
          <cell r="A28">
            <v>100026</v>
          </cell>
          <cell r="B28" t="str">
            <v>[effect:freq_turn, target:myself, turn:-1, val:1, animation:enemy_freq_turn]</v>
          </cell>
          <cell r="C28">
            <v>3</v>
          </cell>
          <cell r="D28" t="str">
            <v>ja</v>
          </cell>
          <cell r="E28" t="str">
            <v>私を怒らせてしまったようだな・・！</v>
          </cell>
        </row>
        <row r="29">
          <cell r="A29">
            <v>100027</v>
          </cell>
          <cell r="B29" t="str">
            <v>[effect:fix_speed,target:myself,turn:3]</v>
          </cell>
          <cell r="C29">
            <v>3</v>
          </cell>
          <cell r="D29" t="str">
            <v>ja</v>
          </cell>
          <cell r="E29" t="str">
            <v>ガガ…ピ…!?</v>
          </cell>
        </row>
        <row r="30">
          <cell r="A30">
            <v>100028</v>
          </cell>
          <cell r="B30" t="str">
            <v>[effect:nothing]</v>
          </cell>
          <cell r="C30">
            <v>3</v>
          </cell>
          <cell r="D30" t="str">
            <v>ja</v>
          </cell>
          <cell r="E30" t="str">
            <v>フフフ・・・</v>
          </cell>
        </row>
        <row r="31">
          <cell r="A31">
            <v>100029</v>
          </cell>
          <cell r="B31" t="str">
            <v>[effect:nothing]</v>
          </cell>
          <cell r="C31">
            <v>3</v>
          </cell>
          <cell r="D31" t="str">
            <v>ja</v>
          </cell>
          <cell r="E31" t="str">
            <v>震えている</v>
          </cell>
        </row>
        <row r="32">
          <cell r="A32">
            <v>100030</v>
          </cell>
          <cell r="B32" t="str">
            <v>[effect:nothing]</v>
          </cell>
          <cell r="C32">
            <v>3</v>
          </cell>
          <cell r="D32" t="str">
            <v>ja</v>
          </cell>
          <cell r="E32" t="str">
            <v>引導を渡してやろう…</v>
          </cell>
        </row>
        <row r="33">
          <cell r="A33">
            <v>100031</v>
          </cell>
          <cell r="B33" t="str">
            <v>[effect:fix_speed,target:myself,turn:4]</v>
          </cell>
          <cell r="C33">
            <v>3</v>
          </cell>
          <cell r="D33" t="str">
            <v>ja</v>
          </cell>
          <cell r="E33" t="str">
            <v>侵入者…排除…</v>
          </cell>
        </row>
        <row r="34">
          <cell r="A34">
            <v>100032</v>
          </cell>
          <cell r="B34" t="str">
            <v>[effect:fix_speed,target:myself,turn:3]</v>
          </cell>
          <cell r="C34">
            <v>3</v>
          </cell>
          <cell r="D34" t="str">
            <v>ja</v>
          </cell>
          <cell r="E34" t="str">
            <v>こい、遊んでやろう</v>
          </cell>
        </row>
        <row r="35">
          <cell r="A35">
            <v>200001</v>
          </cell>
          <cell r="B35" t="str">
            <v>[effect:charge, status:attack, val:1.5, animation:enemy_charge]</v>
          </cell>
          <cell r="C35">
            <v>3</v>
          </cell>
          <cell r="D35" t="str">
            <v>ja</v>
          </cell>
          <cell r="E35" t="str">
            <v>一点集中</v>
          </cell>
        </row>
        <row r="36">
          <cell r="A36">
            <v>200002</v>
          </cell>
          <cell r="B36" t="str">
            <v>[effect:charge, status:attack, val:2.0, animation:enemy_charge]</v>
          </cell>
          <cell r="C36">
            <v>3</v>
          </cell>
          <cell r="D36" t="str">
            <v>ja</v>
          </cell>
          <cell r="E36" t="str">
            <v>リラックス</v>
          </cell>
        </row>
        <row r="37">
          <cell r="A37">
            <v>200003</v>
          </cell>
          <cell r="B37" t="str">
            <v>[effect:charge, status:attack, val:2.0, animation:enemy_charge]</v>
          </cell>
          <cell r="C37">
            <v>3</v>
          </cell>
          <cell r="D37" t="str">
            <v>ja</v>
          </cell>
          <cell r="E37" t="str">
            <v>玄武の構え</v>
          </cell>
        </row>
        <row r="38">
          <cell r="A38">
            <v>200004</v>
          </cell>
          <cell r="B38" t="str">
            <v>[effect:charge, status:attack, val:3.0, animation:enemy_charge]</v>
          </cell>
          <cell r="C38">
            <v>3</v>
          </cell>
          <cell r="D38" t="str">
            <v>ja</v>
          </cell>
          <cell r="E38" t="str">
            <v>気合溜め</v>
          </cell>
        </row>
        <row r="39">
          <cell r="A39">
            <v>200005</v>
          </cell>
          <cell r="B39" t="str">
            <v>[effect:charge, status:attack, val:5.0, animation:enemy_charge]</v>
          </cell>
          <cell r="C39">
            <v>3</v>
          </cell>
          <cell r="D39" t="str">
            <v>ja</v>
          </cell>
          <cell r="E39" t="str">
            <v>増幅するチカラ</v>
          </cell>
        </row>
        <row r="40">
          <cell r="A40">
            <v>200006</v>
          </cell>
          <cell r="B40" t="str">
            <v>[effect:charge, status:attack, val:2.0, animation:enemy_charge]</v>
          </cell>
          <cell r="C40">
            <v>3</v>
          </cell>
          <cell r="D40" t="str">
            <v>ja</v>
          </cell>
          <cell r="E40" t="str">
            <v>後悔するわよ</v>
          </cell>
        </row>
        <row r="41">
          <cell r="A41">
            <v>200007</v>
          </cell>
          <cell r="B41" t="str">
            <v>[effect:charge, status:attack, val:3.0, animation:enemy_charge]</v>
          </cell>
          <cell r="C41">
            <v>3</v>
          </cell>
          <cell r="D41" t="str">
            <v>ja</v>
          </cell>
          <cell r="E41" t="str">
            <v>不機嫌な目覚め</v>
          </cell>
        </row>
        <row r="42">
          <cell r="A42">
            <v>200008</v>
          </cell>
          <cell r="B42" t="str">
            <v>[effect:charge, status:attack, val:2.0, animation:enemy_charge]</v>
          </cell>
          <cell r="C42">
            <v>3</v>
          </cell>
          <cell r="D42" t="str">
            <v>ja</v>
          </cell>
          <cell r="E42" t="str">
            <v>フルスイング</v>
          </cell>
        </row>
        <row r="43">
          <cell r="A43">
            <v>200009</v>
          </cell>
          <cell r="B43" t="str">
            <v>[effect:charge, status:attack, val:4.0, animation:enemy_charge]</v>
          </cell>
          <cell r="C43">
            <v>3</v>
          </cell>
          <cell r="D43" t="str">
            <v>ja</v>
          </cell>
          <cell r="E43" t="str">
            <v>キラースイング</v>
          </cell>
        </row>
        <row r="44">
          <cell r="A44">
            <v>200010</v>
          </cell>
          <cell r="B44" t="str">
            <v>[effect:charge, status:attack, val:2.0, animation:enemy_charge]</v>
          </cell>
          <cell r="C44">
            <v>3</v>
          </cell>
          <cell r="D44" t="str">
            <v>ja</v>
          </cell>
          <cell r="E44" t="str">
            <v>みなぎる闘志</v>
          </cell>
        </row>
        <row r="45">
          <cell r="A45">
            <v>200011</v>
          </cell>
          <cell r="B45" t="str">
            <v>[effect:charge, status:attack, val:3.0, animation:enemy_charge]</v>
          </cell>
          <cell r="C45">
            <v>3</v>
          </cell>
          <cell r="D45" t="str">
            <v>ja</v>
          </cell>
          <cell r="E45" t="str">
            <v>ハイパーリラックス</v>
          </cell>
        </row>
        <row r="46">
          <cell r="A46">
            <v>200012</v>
          </cell>
          <cell r="B46" t="str">
            <v>[effect:charge, status:attack, val:3.0, animation:enemy_charge]</v>
          </cell>
          <cell r="C46">
            <v>3</v>
          </cell>
          <cell r="D46" t="str">
            <v>ja</v>
          </cell>
          <cell r="E46" t="str">
            <v>ラストシューティング</v>
          </cell>
        </row>
        <row r="47">
          <cell r="A47">
            <v>200013</v>
          </cell>
          <cell r="B47" t="str">
            <v>[effect:charge, status:attack, val:4.0, animation:enemy_charge]</v>
          </cell>
          <cell r="C47">
            <v>3</v>
          </cell>
          <cell r="D47" t="str">
            <v>ja</v>
          </cell>
          <cell r="E47" t="str">
            <v>わたしに触るな！</v>
          </cell>
        </row>
        <row r="48">
          <cell r="A48">
            <v>200014</v>
          </cell>
          <cell r="B48" t="str">
            <v>[effect:charge, status:attack, val:5.0, animation:enemy_charge]</v>
          </cell>
          <cell r="C48">
            <v>3</v>
          </cell>
          <cell r="D48" t="str">
            <v>ja</v>
          </cell>
          <cell r="E48" t="str">
            <v>かぐや諸共消し飛べ！！</v>
          </cell>
        </row>
        <row r="49">
          <cell r="A49">
            <v>200015</v>
          </cell>
          <cell r="B49" t="str">
            <v>[effect:charge, status:attack, val:2.0, animation:enemy_charge]</v>
          </cell>
          <cell r="C49">
            <v>3</v>
          </cell>
          <cell r="D49" t="str">
            <v>ja</v>
          </cell>
          <cell r="E49" t="str">
            <v>蒼斬刀</v>
          </cell>
        </row>
        <row r="50">
          <cell r="A50">
            <v>200016</v>
          </cell>
          <cell r="B50" t="str">
            <v>[effect:rush, count:5, val:0.15][effect:charge, status:attack, val:0.75, animation:enemy_charge]</v>
          </cell>
          <cell r="C50">
            <v>3</v>
          </cell>
          <cell r="D50" t="str">
            <v>ja</v>
          </cell>
          <cell r="E50" t="str">
            <v>ビリビリちゃーじ！</v>
          </cell>
        </row>
        <row r="51">
          <cell r="A51">
            <v>200017</v>
          </cell>
          <cell r="B51" t="str">
            <v>[effect:charge, status:attack, val:0.7, animation:enemy_charge]</v>
          </cell>
          <cell r="C51">
            <v>3</v>
          </cell>
          <cell r="D51" t="str">
            <v>ja</v>
          </cell>
          <cell r="E51" t="str">
            <v>次のは痛いぞ？</v>
          </cell>
        </row>
        <row r="52">
          <cell r="A52">
            <v>210001</v>
          </cell>
          <cell r="B52" t="str">
            <v>[effect:critical, val:1.5.0, animation:enemy_critical]</v>
          </cell>
          <cell r="C52">
            <v>3</v>
          </cell>
          <cell r="D52" t="str">
            <v>ja</v>
          </cell>
          <cell r="E52" t="str">
            <v>青の剛力</v>
          </cell>
        </row>
        <row r="53">
          <cell r="A53">
            <v>210002</v>
          </cell>
          <cell r="B53" t="str">
            <v>[effect:critical, val:1.8.0, animation:enemy_critical]</v>
          </cell>
          <cell r="C53">
            <v>3</v>
          </cell>
          <cell r="D53" t="str">
            <v>ja</v>
          </cell>
          <cell r="E53" t="str">
            <v>蛇牙</v>
          </cell>
        </row>
        <row r="54">
          <cell r="A54">
            <v>210003</v>
          </cell>
          <cell r="B54" t="str">
            <v>[effect:critical, val:2.5.0, animation:enemy_critical]</v>
          </cell>
          <cell r="C54">
            <v>3</v>
          </cell>
          <cell r="D54" t="str">
            <v>ja</v>
          </cell>
          <cell r="E54" t="str">
            <v>ワンショットキル</v>
          </cell>
        </row>
        <row r="55">
          <cell r="A55">
            <v>210004</v>
          </cell>
          <cell r="B55" t="str">
            <v>[effect:critical, val:1.5.0, animation:enemy_critical]</v>
          </cell>
          <cell r="C55">
            <v>3</v>
          </cell>
          <cell r="D55" t="str">
            <v>ja</v>
          </cell>
          <cell r="E55" t="str">
            <v>タックル</v>
          </cell>
        </row>
        <row r="56">
          <cell r="A56">
            <v>210005</v>
          </cell>
          <cell r="B56" t="str">
            <v>[effect:critical, val:2.5.0, animation:enemy_critical]</v>
          </cell>
          <cell r="C56">
            <v>3</v>
          </cell>
          <cell r="D56" t="str">
            <v>ja</v>
          </cell>
          <cell r="E56" t="str">
            <v>猛烈電撃</v>
          </cell>
        </row>
        <row r="57">
          <cell r="A57">
            <v>210006</v>
          </cell>
          <cell r="B57" t="str">
            <v>[effect:critical, val:1.5.0, animation:enemy_critical]</v>
          </cell>
          <cell r="C57">
            <v>3</v>
          </cell>
          <cell r="D57" t="str">
            <v>ja</v>
          </cell>
          <cell r="E57" t="str">
            <v>巨腕の抱擁</v>
          </cell>
        </row>
        <row r="58">
          <cell r="A58">
            <v>210007</v>
          </cell>
          <cell r="B58" t="str">
            <v>[effect:critical, val:3.0.0, animation:enemy_critical]</v>
          </cell>
          <cell r="C58">
            <v>3</v>
          </cell>
          <cell r="D58" t="str">
            <v>ja</v>
          </cell>
          <cell r="E58" t="str">
            <v>金剛黄撃</v>
          </cell>
        </row>
        <row r="59">
          <cell r="A59">
            <v>210008</v>
          </cell>
          <cell r="B59" t="str">
            <v>[effect:critical, val:1.5.0, animation:enemy_critical]</v>
          </cell>
          <cell r="C59">
            <v>3</v>
          </cell>
          <cell r="D59" t="str">
            <v>ja</v>
          </cell>
          <cell r="E59" t="str">
            <v>煌きの一蹴</v>
          </cell>
        </row>
        <row r="60">
          <cell r="A60">
            <v>210009</v>
          </cell>
          <cell r="B60" t="str">
            <v>[effect:critical, val:2.5.0, animation:enemy_critical]</v>
          </cell>
          <cell r="C60">
            <v>3</v>
          </cell>
          <cell r="D60" t="str">
            <v>ja</v>
          </cell>
          <cell r="E60" t="str">
            <v>輝きの一蹴</v>
          </cell>
        </row>
        <row r="61">
          <cell r="A61">
            <v>210010</v>
          </cell>
          <cell r="B61" t="str">
            <v>[effect:critical, val:1.5.0, animation:enemy_critical]</v>
          </cell>
          <cell r="C61">
            <v>3</v>
          </cell>
          <cell r="D61" t="str">
            <v>ja</v>
          </cell>
          <cell r="E61" t="str">
            <v>お前を消す方法</v>
          </cell>
        </row>
        <row r="62">
          <cell r="A62">
            <v>210011</v>
          </cell>
          <cell r="B62" t="str">
            <v>[effect:critical, val:1.5.0, animation:enemy_critical]</v>
          </cell>
          <cell r="C62">
            <v>3</v>
          </cell>
          <cell r="D62" t="str">
            <v>ja</v>
          </cell>
          <cell r="E62" t="str">
            <v>迫る鉤爪</v>
          </cell>
        </row>
        <row r="63">
          <cell r="A63">
            <v>210012</v>
          </cell>
          <cell r="B63" t="str">
            <v>[effect:critical, val:2.0.0, animation:enemy_critical]</v>
          </cell>
          <cell r="C63">
            <v>3</v>
          </cell>
          <cell r="D63" t="str">
            <v>ja</v>
          </cell>
          <cell r="E63" t="str">
            <v>襲い来る鉤爪</v>
          </cell>
        </row>
        <row r="64">
          <cell r="A64">
            <v>210013</v>
          </cell>
          <cell r="B64" t="str">
            <v>[effect:critical, val:1.3.0, animation:enemy_critical]</v>
          </cell>
          <cell r="C64">
            <v>3</v>
          </cell>
          <cell r="D64" t="str">
            <v>ja</v>
          </cell>
          <cell r="E64" t="str">
            <v>猛虎の手</v>
          </cell>
        </row>
        <row r="65">
          <cell r="A65">
            <v>210014</v>
          </cell>
          <cell r="B65" t="str">
            <v>[effect:critical, val:1.5.0, animation:enemy_critical]</v>
          </cell>
          <cell r="C65">
            <v>3</v>
          </cell>
          <cell r="D65" t="str">
            <v>ja</v>
          </cell>
          <cell r="E65" t="str">
            <v>閃光空撃</v>
          </cell>
        </row>
        <row r="66">
          <cell r="A66">
            <v>210015</v>
          </cell>
          <cell r="B66" t="str">
            <v>[effect:critical, val:1.5.0, animation:enemy_critical]</v>
          </cell>
          <cell r="C66">
            <v>3</v>
          </cell>
          <cell r="D66" t="str">
            <v>ja</v>
          </cell>
          <cell r="E66" t="str">
            <v>蒼き一撃</v>
          </cell>
        </row>
        <row r="67">
          <cell r="A67">
            <v>210016</v>
          </cell>
          <cell r="B67" t="str">
            <v>[effect:critical, val:2.0.0, animation:enemy_critical]</v>
          </cell>
          <cell r="C67">
            <v>3</v>
          </cell>
          <cell r="D67" t="str">
            <v>ja</v>
          </cell>
          <cell r="E67" t="str">
            <v>金剛黄撃</v>
          </cell>
        </row>
        <row r="68">
          <cell r="A68">
            <v>210017</v>
          </cell>
          <cell r="B68" t="str">
            <v>[effect:critical, val:1.3.0, animation:enemy_critical]</v>
          </cell>
          <cell r="C68">
            <v>3</v>
          </cell>
          <cell r="D68" t="str">
            <v>ja</v>
          </cell>
          <cell r="E68" t="str">
            <v>ハンマーフォール</v>
          </cell>
        </row>
        <row r="69">
          <cell r="A69">
            <v>210018</v>
          </cell>
          <cell r="B69" t="str">
            <v>[effect:critical, val:1.3.0, animation:enemy_critical]</v>
          </cell>
          <cell r="C69">
            <v>3</v>
          </cell>
          <cell r="D69" t="str">
            <v>ja</v>
          </cell>
          <cell r="E69" t="str">
            <v>一筆一閃</v>
          </cell>
        </row>
        <row r="70">
          <cell r="A70">
            <v>210019</v>
          </cell>
          <cell r="B70" t="str">
            <v>[effect:critical, val:4.0.0, animation:enemy_critical]</v>
          </cell>
          <cell r="C70">
            <v>3</v>
          </cell>
          <cell r="D70" t="str">
            <v>ja</v>
          </cell>
          <cell r="E70" t="str">
            <v>&lt;キャノン砲発射&gt;</v>
          </cell>
        </row>
        <row r="71">
          <cell r="A71">
            <v>210020</v>
          </cell>
          <cell r="B71" t="str">
            <v>[effect:critical, val:5.0.0, animation:enemy_critical]</v>
          </cell>
          <cell r="C71">
            <v>3</v>
          </cell>
          <cell r="D71" t="str">
            <v>ja</v>
          </cell>
          <cell r="E71" t="str">
            <v>襲い来る鉤爪</v>
          </cell>
        </row>
        <row r="72">
          <cell r="A72">
            <v>210021</v>
          </cell>
          <cell r="B72" t="str">
            <v>[effect:critical, val:1.5.0, animation:enemy_critical]</v>
          </cell>
          <cell r="C72">
            <v>3</v>
          </cell>
          <cell r="D72" t="str">
            <v>ja</v>
          </cell>
          <cell r="E72" t="str">
            <v>疾風狼牙</v>
          </cell>
        </row>
        <row r="73">
          <cell r="A73">
            <v>210022</v>
          </cell>
          <cell r="B73" t="str">
            <v>[effect:critical, val:1.5.0, animation:enemy_critical]</v>
          </cell>
          <cell r="C73">
            <v>1</v>
          </cell>
          <cell r="D73" t="str">
            <v>ja</v>
          </cell>
          <cell r="E73" t="str">
            <v>クリティカル攻撃【仮】</v>
          </cell>
        </row>
        <row r="74">
          <cell r="A74">
            <v>210023</v>
          </cell>
          <cell r="B74" t="str">
            <v>[effect:critical, val:2.0.0, animation:enemy_critical]</v>
          </cell>
          <cell r="C74">
            <v>3</v>
          </cell>
          <cell r="D74" t="str">
            <v>ja</v>
          </cell>
          <cell r="E74" t="str">
            <v>紅の衝撃</v>
          </cell>
        </row>
        <row r="75">
          <cell r="A75">
            <v>210024</v>
          </cell>
          <cell r="B75" t="str">
            <v>[effect:critical, val:2.0.0, animation:enemy_critical]</v>
          </cell>
          <cell r="C75">
            <v>3</v>
          </cell>
          <cell r="D75" t="str">
            <v>ja</v>
          </cell>
          <cell r="E75" t="str">
            <v>蒼の衝撃</v>
          </cell>
        </row>
        <row r="76">
          <cell r="A76">
            <v>210025</v>
          </cell>
          <cell r="B76" t="str">
            <v>[effect:critical, val:2.0.0, animation:enemy_critical]</v>
          </cell>
          <cell r="C76">
            <v>1</v>
          </cell>
          <cell r="D76" t="str">
            <v>ja</v>
          </cell>
          <cell r="E76" t="str">
            <v>ハートクラッシュ</v>
          </cell>
        </row>
        <row r="77">
          <cell r="A77">
            <v>210026</v>
          </cell>
          <cell r="B77" t="str">
            <v>[effect:critical, val:3.0.0, animation:enemy_critical]</v>
          </cell>
          <cell r="C77">
            <v>1</v>
          </cell>
          <cell r="D77" t="str">
            <v>ja</v>
          </cell>
          <cell r="E77" t="str">
            <v>失せろ下郎！</v>
          </cell>
        </row>
        <row r="78">
          <cell r="A78">
            <v>210027</v>
          </cell>
          <cell r="B78" t="str">
            <v>[effect:critical, val:1.3.0, animation:enemy_critical]</v>
          </cell>
          <cell r="C78">
            <v>3</v>
          </cell>
          <cell r="D78" t="str">
            <v>ja</v>
          </cell>
          <cell r="E78" t="str">
            <v>猛虎の手</v>
          </cell>
        </row>
        <row r="79">
          <cell r="A79">
            <v>210028</v>
          </cell>
          <cell r="B79" t="str">
            <v>[effect:critical, val:1.6.0, animation:enemy_critical]</v>
          </cell>
          <cell r="C79">
            <v>3</v>
          </cell>
          <cell r="D79" t="str">
            <v>ja</v>
          </cell>
          <cell r="E79" t="str">
            <v>蒼の衝撃</v>
          </cell>
        </row>
        <row r="80">
          <cell r="A80">
            <v>210029</v>
          </cell>
          <cell r="B80" t="str">
            <v>[effect:critical, val:5.0.0, animation:enemy_critical]</v>
          </cell>
          <cell r="C80">
            <v>3</v>
          </cell>
          <cell r="D80" t="str">
            <v>ja</v>
          </cell>
          <cell r="E80" t="str">
            <v>EXECUTION</v>
          </cell>
        </row>
        <row r="81">
          <cell r="A81">
            <v>210030</v>
          </cell>
          <cell r="B81" t="str">
            <v>[effect:critical, val:1.8.0, animation:enemy_critical]</v>
          </cell>
          <cell r="C81">
            <v>3</v>
          </cell>
          <cell r="D81" t="str">
            <v>ja</v>
          </cell>
          <cell r="E81" t="str">
            <v>連鎖の氷殺</v>
          </cell>
        </row>
        <row r="82">
          <cell r="A82">
            <v>220001</v>
          </cell>
          <cell r="B82" t="str">
            <v>[effect:rush, count:2, val:0.6]</v>
          </cell>
          <cell r="C82">
            <v>3</v>
          </cell>
          <cell r="D82" t="str">
            <v>ja</v>
          </cell>
          <cell r="E82" t="str">
            <v>スピードスター</v>
          </cell>
        </row>
        <row r="83">
          <cell r="A83">
            <v>220002</v>
          </cell>
          <cell r="B83" t="str">
            <v>[effect:rush, count:2, val:0.7]</v>
          </cell>
          <cell r="C83">
            <v>3</v>
          </cell>
          <cell r="D83" t="str">
            <v>ja</v>
          </cell>
          <cell r="E83" t="str">
            <v>狂乱打</v>
          </cell>
        </row>
        <row r="84">
          <cell r="A84">
            <v>220003</v>
          </cell>
          <cell r="B84" t="str">
            <v>[effect:rush, count:2, val:0.8]</v>
          </cell>
          <cell r="C84">
            <v>3</v>
          </cell>
          <cell r="D84" t="str">
            <v>ja</v>
          </cell>
          <cell r="E84" t="str">
            <v>トゥハンド</v>
          </cell>
        </row>
        <row r="85">
          <cell r="A85">
            <v>220004</v>
          </cell>
          <cell r="B85" t="str">
            <v>[effect:rush, count:3, val:0.8]</v>
          </cell>
          <cell r="C85">
            <v>3</v>
          </cell>
          <cell r="D85" t="str">
            <v>ja</v>
          </cell>
          <cell r="E85" t="str">
            <v>エクスプローラーキラー</v>
          </cell>
        </row>
        <row r="86">
          <cell r="A86">
            <v>220005</v>
          </cell>
          <cell r="B86" t="str">
            <v>[effect:rush, count:4, val:0.6]</v>
          </cell>
          <cell r="C86">
            <v>3</v>
          </cell>
          <cell r="D86" t="str">
            <v>ja</v>
          </cell>
          <cell r="E86" t="str">
            <v>ハイ・エクスプローラーキラー</v>
          </cell>
        </row>
        <row r="87">
          <cell r="A87">
            <v>220006</v>
          </cell>
          <cell r="B87" t="str">
            <v>[effect:rush, count:5, val:0.4]</v>
          </cell>
          <cell r="C87">
            <v>3</v>
          </cell>
          <cell r="D87" t="str">
            <v>ja</v>
          </cell>
          <cell r="E87" t="str">
            <v>乱射</v>
          </cell>
        </row>
        <row r="88">
          <cell r="A88">
            <v>220007</v>
          </cell>
          <cell r="B88" t="str">
            <v>[effect:rush, count:8, val:0.5]</v>
          </cell>
          <cell r="C88">
            <v>3</v>
          </cell>
          <cell r="D88" t="str">
            <v>ja</v>
          </cell>
          <cell r="E88" t="str">
            <v>超乱射</v>
          </cell>
        </row>
        <row r="89">
          <cell r="A89">
            <v>220008</v>
          </cell>
          <cell r="B89" t="str">
            <v>[effect:rush, count:3, val:0.8]</v>
          </cell>
          <cell r="C89">
            <v>3</v>
          </cell>
          <cell r="D89" t="str">
            <v>ja</v>
          </cell>
          <cell r="E89" t="str">
            <v>超拡散アタック</v>
          </cell>
        </row>
        <row r="90">
          <cell r="A90">
            <v>220009</v>
          </cell>
          <cell r="B90" t="str">
            <v>[effect:rush, count:2, val:0.6]</v>
          </cell>
          <cell r="C90">
            <v>3</v>
          </cell>
          <cell r="D90" t="str">
            <v>ja</v>
          </cell>
          <cell r="E90" t="str">
            <v>連続雷撃</v>
          </cell>
        </row>
        <row r="91">
          <cell r="A91">
            <v>220010</v>
          </cell>
          <cell r="B91" t="str">
            <v>[effect:rush, count:4, val:0.8]</v>
          </cell>
          <cell r="C91">
            <v>3</v>
          </cell>
          <cell r="D91" t="str">
            <v>ja</v>
          </cell>
          <cell r="E91" t="str">
            <v>五月雨雷撃</v>
          </cell>
        </row>
        <row r="92">
          <cell r="A92">
            <v>220011</v>
          </cell>
          <cell r="B92" t="str">
            <v>[effect:rush, count:5, val:0.4]</v>
          </cell>
          <cell r="C92">
            <v>3</v>
          </cell>
          <cell r="D92" t="str">
            <v>ja</v>
          </cell>
          <cell r="E92" t="str">
            <v>毒蛇の猛攻</v>
          </cell>
        </row>
        <row r="93">
          <cell r="A93">
            <v>220012</v>
          </cell>
          <cell r="B93" t="str">
            <v>[effect:rush, count:5, val:0.4]</v>
          </cell>
          <cell r="C93">
            <v>3</v>
          </cell>
          <cell r="D93" t="str">
            <v>ja</v>
          </cell>
          <cell r="E93" t="str">
            <v>山猿の足</v>
          </cell>
        </row>
        <row r="94">
          <cell r="A94">
            <v>220013</v>
          </cell>
          <cell r="B94" t="str">
            <v>[effect:rush, count:8, val:0.7]</v>
          </cell>
          <cell r="C94">
            <v>3</v>
          </cell>
          <cell r="D94" t="str">
            <v>ja</v>
          </cell>
          <cell r="E94" t="str">
            <v>スピードスター</v>
          </cell>
        </row>
        <row r="95">
          <cell r="A95">
            <v>23011</v>
          </cell>
          <cell r="B95" t="str">
            <v>[effect:spread, val:0.9, animation:enemy_spread]</v>
          </cell>
          <cell r="C95">
            <v>3</v>
          </cell>
          <cell r="D95" t="str">
            <v>ja</v>
          </cell>
          <cell r="E95" t="str">
            <v>ハル・ディナーハ</v>
          </cell>
        </row>
        <row r="96">
          <cell r="A96">
            <v>220014</v>
          </cell>
          <cell r="B96" t="str">
            <v>[effect:rush, count:8, val:0.25]</v>
          </cell>
          <cell r="C96">
            <v>3</v>
          </cell>
          <cell r="D96" t="str">
            <v>ja</v>
          </cell>
          <cell r="E96" t="str">
            <v>ナーヴァ・グラハ</v>
          </cell>
        </row>
        <row r="97">
          <cell r="A97">
            <v>220015</v>
          </cell>
          <cell r="B97" t="str">
            <v>[effect:rush, count:3, val:0.6]</v>
          </cell>
          <cell r="C97">
            <v>3</v>
          </cell>
          <cell r="D97" t="str">
            <v>ja</v>
          </cell>
          <cell r="E97" t="str">
            <v>耐えられない孤独</v>
          </cell>
        </row>
        <row r="98">
          <cell r="A98">
            <v>220016</v>
          </cell>
          <cell r="B98" t="str">
            <v>[effect:rush, count:8, val:0.2]</v>
          </cell>
          <cell r="C98">
            <v>3</v>
          </cell>
          <cell r="D98" t="str">
            <v>ja</v>
          </cell>
          <cell r="E98" t="str">
            <v>ナーヴァ・グラハ</v>
          </cell>
        </row>
        <row r="99">
          <cell r="A99">
            <v>220017</v>
          </cell>
          <cell r="B99" t="str">
            <v>[effect:rush, count:5, val:0.5],[effect:enhance_enemy, target:enemy_all, turn:3, status:attack, val:1.2, animation:enemy_enhance_enemy]</v>
          </cell>
          <cell r="C99">
            <v>3</v>
          </cell>
          <cell r="D99" t="str">
            <v>ja</v>
          </cell>
          <cell r="E99" t="str">
            <v>抑えきれぬ食欲</v>
          </cell>
        </row>
        <row r="100">
          <cell r="A100">
            <v>220018</v>
          </cell>
          <cell r="B100" t="str">
            <v>[effect:rush, count:10, val:0.27],[effect:enhance_enemy, target:enemy_all, turn:5, status:attack, val:1.2, animation:enemy_enhance_enemy]</v>
          </cell>
          <cell r="C100">
            <v>3</v>
          </cell>
          <cell r="D100" t="str">
            <v>ja</v>
          </cell>
          <cell r="E100" t="str">
            <v>襲い来る食欲</v>
          </cell>
        </row>
        <row r="101">
          <cell r="A101">
            <v>220019</v>
          </cell>
          <cell r="B101" t="str">
            <v>[effect:rush, count:20, val:0.13],[effect:enhance_enemy, target:enemy_all, turn:5, status:attack, val:1.5, animation:enemy_enhance_enemy]</v>
          </cell>
          <cell r="C101">
            <v>3</v>
          </cell>
          <cell r="D101" t="str">
            <v>ja</v>
          </cell>
          <cell r="E101" t="str">
            <v>果てしなき食欲</v>
          </cell>
        </row>
        <row r="102">
          <cell r="A102">
            <v>220020</v>
          </cell>
          <cell r="B102" t="str">
            <v>[effect:rush, count:2, val:0.3]</v>
          </cell>
          <cell r="C102">
            <v>3</v>
          </cell>
          <cell r="D102" t="str">
            <v>ja</v>
          </cell>
          <cell r="E102" t="str">
            <v>ノロマめ…</v>
          </cell>
        </row>
        <row r="103">
          <cell r="A103">
            <v>220021</v>
          </cell>
          <cell r="B103" t="str">
            <v>[effect:rush, count:3, val:0.3]</v>
          </cell>
          <cell r="C103">
            <v>3</v>
          </cell>
          <cell r="D103" t="str">
            <v>ja</v>
          </cell>
          <cell r="E103" t="str">
            <v>何と緩慢な</v>
          </cell>
        </row>
        <row r="104">
          <cell r="A104">
            <v>220022</v>
          </cell>
          <cell r="B104" t="str">
            <v>[effect:rush, count:7, val:0.2]</v>
          </cell>
          <cell r="C104">
            <v>3</v>
          </cell>
          <cell r="D104" t="str">
            <v>ja</v>
          </cell>
          <cell r="E104" t="str">
            <v>止まってみえるぞ!</v>
          </cell>
        </row>
        <row r="105">
          <cell r="A105">
            <v>220023</v>
          </cell>
          <cell r="B105" t="str">
            <v>[effect:rush, count:5, val:0.4]</v>
          </cell>
          <cell r="C105">
            <v>3</v>
          </cell>
          <cell r="D105" t="str">
            <v>ja</v>
          </cell>
          <cell r="E105" t="str">
            <v>山猿の足</v>
          </cell>
        </row>
        <row r="106">
          <cell r="A106">
            <v>220024</v>
          </cell>
          <cell r="B106" t="str">
            <v>[effect:rush, count:7, val:0.2]</v>
          </cell>
          <cell r="C106">
            <v>3</v>
          </cell>
          <cell r="D106" t="str">
            <v>ja</v>
          </cell>
          <cell r="E106" t="str">
            <v>地獄の締め上げ</v>
          </cell>
        </row>
        <row r="107">
          <cell r="A107">
            <v>220025</v>
          </cell>
          <cell r="B107" t="str">
            <v>[effect:rush, count:10, val:0.2]</v>
          </cell>
          <cell r="C107">
            <v>3</v>
          </cell>
          <cell r="D107" t="str">
            <v>ja</v>
          </cell>
          <cell r="E107" t="str">
            <v>ゴールドスラッシュ</v>
          </cell>
        </row>
        <row r="108">
          <cell r="A108">
            <v>220026</v>
          </cell>
          <cell r="B108" t="str">
            <v>[effect:rush, count:5, val:0.3]</v>
          </cell>
          <cell r="C108">
            <v>3</v>
          </cell>
          <cell r="D108" t="str">
            <v>ja</v>
          </cell>
          <cell r="E108" t="str">
            <v>ゴールドラッシュ</v>
          </cell>
        </row>
        <row r="109">
          <cell r="A109">
            <v>220027</v>
          </cell>
          <cell r="B109" t="str">
            <v>[effect:rush, count:2, val:0.8]</v>
          </cell>
          <cell r="C109">
            <v>3</v>
          </cell>
          <cell r="D109" t="str">
            <v>ja</v>
          </cell>
          <cell r="E109" t="str">
            <v>ツインターゲット</v>
          </cell>
        </row>
        <row r="110">
          <cell r="A110">
            <v>220028</v>
          </cell>
          <cell r="B110" t="str">
            <v>[effect:rush, count:3, val:0.4]</v>
          </cell>
          <cell r="C110">
            <v>3</v>
          </cell>
          <cell r="D110" t="str">
            <v>ja</v>
          </cell>
          <cell r="E110" t="str">
            <v>気分が良いぞ…</v>
          </cell>
        </row>
        <row r="111">
          <cell r="A111">
            <v>220029</v>
          </cell>
          <cell r="B111" t="str">
            <v>[effect:rush, count:5, val:0.3]</v>
          </cell>
          <cell r="C111">
            <v>3</v>
          </cell>
          <cell r="D111" t="str">
            <v>ja</v>
          </cell>
          <cell r="E111" t="str">
            <v>群れるな痴れ者ども</v>
          </cell>
        </row>
        <row r="112">
          <cell r="A112">
            <v>220030</v>
          </cell>
          <cell r="B112" t="str">
            <v>[effect:rush, count:7, val:0.2]</v>
          </cell>
          <cell r="C112">
            <v>3</v>
          </cell>
          <cell r="D112" t="str">
            <v>ja</v>
          </cell>
          <cell r="E112" t="str">
            <v>まとめてサメのエサだ！</v>
          </cell>
        </row>
        <row r="113">
          <cell r="A113">
            <v>230001</v>
          </cell>
          <cell r="B113" t="str">
            <v>[effect:spread, val:0.5, animation:enemy_spread]</v>
          </cell>
          <cell r="C113">
            <v>3</v>
          </cell>
          <cell r="D113" t="str">
            <v>ja</v>
          </cell>
          <cell r="E113" t="str">
            <v>連打</v>
          </cell>
        </row>
        <row r="114">
          <cell r="A114">
            <v>230002</v>
          </cell>
          <cell r="B114" t="str">
            <v>[effect:spread, val:0.3, animation:enemy_spread]</v>
          </cell>
          <cell r="C114">
            <v>3</v>
          </cell>
          <cell r="D114" t="str">
            <v>ja</v>
          </cell>
          <cell r="E114" t="str">
            <v>大切断</v>
          </cell>
        </row>
        <row r="115">
          <cell r="A115">
            <v>230003</v>
          </cell>
          <cell r="B115" t="str">
            <v>[effect:spread, val:0.5, animation:enemy_spread]</v>
          </cell>
          <cell r="C115">
            <v>3</v>
          </cell>
          <cell r="D115" t="str">
            <v>ja</v>
          </cell>
          <cell r="E115" t="str">
            <v>敗北の悪夢</v>
          </cell>
        </row>
        <row r="116">
          <cell r="A116">
            <v>230004</v>
          </cell>
          <cell r="B116" t="str">
            <v>[effect:spread, val:0.8, animation:enemy_spread]</v>
          </cell>
          <cell r="C116">
            <v>3</v>
          </cell>
          <cell r="D116" t="str">
            <v>ja</v>
          </cell>
          <cell r="E116" t="str">
            <v>絶望の悪夢</v>
          </cell>
        </row>
        <row r="117">
          <cell r="A117">
            <v>230005</v>
          </cell>
          <cell r="B117" t="str">
            <v>[effect:spread, val:0.5, animation:enemy_spread]</v>
          </cell>
          <cell r="C117">
            <v>3</v>
          </cell>
          <cell r="D117" t="str">
            <v>ja</v>
          </cell>
          <cell r="E117" t="str">
            <v>猛烈突進</v>
          </cell>
        </row>
        <row r="118">
          <cell r="A118">
            <v>230006</v>
          </cell>
          <cell r="B118" t="str">
            <v>[effect:spread, val:0.3, animation:enemy_spread]</v>
          </cell>
          <cell r="C118">
            <v>3</v>
          </cell>
          <cell r="D118" t="str">
            <v>ja</v>
          </cell>
          <cell r="E118" t="str">
            <v>畏れの至言</v>
          </cell>
        </row>
        <row r="119">
          <cell r="A119">
            <v>230007</v>
          </cell>
          <cell r="B119" t="str">
            <v>[effect:spread, val:0.5, animation:enemy_spread]</v>
          </cell>
          <cell r="C119">
            <v>3</v>
          </cell>
          <cell r="D119" t="str">
            <v>ja</v>
          </cell>
          <cell r="E119" t="str">
            <v>寝起きの鉄槌</v>
          </cell>
        </row>
        <row r="120">
          <cell r="A120">
            <v>230008</v>
          </cell>
          <cell r="B120" t="str">
            <v>[effect:spread, val:0.5, animation:enemy_spread]</v>
          </cell>
          <cell r="C120">
            <v>3</v>
          </cell>
          <cell r="D120" t="str">
            <v>ja</v>
          </cell>
          <cell r="E120" t="str">
            <v>窮鼠の爪</v>
          </cell>
        </row>
        <row r="121">
          <cell r="A121">
            <v>230009</v>
          </cell>
          <cell r="B121" t="str">
            <v>[effect:spread, val:0.35, animation:enemy_spread]</v>
          </cell>
          <cell r="C121">
            <v>3</v>
          </cell>
          <cell r="D121" t="str">
            <v>ja</v>
          </cell>
          <cell r="E121" t="str">
            <v>妙技「雷轟金閃」</v>
          </cell>
        </row>
        <row r="122">
          <cell r="A122">
            <v>230010</v>
          </cell>
          <cell r="B122" t="str">
            <v>[effect:spread, val:0.3, animation:enemy_spread]</v>
          </cell>
          <cell r="C122">
            <v>3</v>
          </cell>
          <cell r="D122" t="str">
            <v>ja</v>
          </cell>
          <cell r="E122" t="str">
            <v>瞬殺の極意</v>
          </cell>
        </row>
        <row r="123">
          <cell r="A123">
            <v>230012</v>
          </cell>
          <cell r="B123" t="str">
            <v>[effect:spread, val:0.3, animation:enemy_spread]</v>
          </cell>
          <cell r="C123">
            <v>3</v>
          </cell>
          <cell r="D123" t="str">
            <v>ja</v>
          </cell>
          <cell r="E123" t="str">
            <v>黄剛の一閃</v>
          </cell>
        </row>
        <row r="124">
          <cell r="A124">
            <v>230013</v>
          </cell>
          <cell r="B124" t="str">
            <v>[effect:spread, val:0.4, animation:enemy_spread]</v>
          </cell>
          <cell r="C124">
            <v>1</v>
          </cell>
          <cell r="D124" t="str">
            <v>ja</v>
          </cell>
          <cell r="E124" t="str">
            <v>紅の一閃</v>
          </cell>
        </row>
        <row r="125">
          <cell r="A125">
            <v>230014</v>
          </cell>
          <cell r="B125" t="str">
            <v>[effect:spread, val:0.3, animation:enemy_spread]</v>
          </cell>
          <cell r="C125">
            <v>3</v>
          </cell>
          <cell r="D125" t="str">
            <v>ja</v>
          </cell>
          <cell r="E125" t="str">
            <v>紅の一閃</v>
          </cell>
        </row>
        <row r="126">
          <cell r="A126">
            <v>230015</v>
          </cell>
          <cell r="B126" t="str">
            <v>[effect:spread, val:0.3, animation:enemy_spread]</v>
          </cell>
          <cell r="C126">
            <v>3</v>
          </cell>
          <cell r="D126" t="str">
            <v>ja</v>
          </cell>
          <cell r="E126" t="str">
            <v>スプレッドボム</v>
          </cell>
        </row>
        <row r="127">
          <cell r="A127">
            <v>230016</v>
          </cell>
          <cell r="B127" t="str">
            <v>[effect:spread, val:0.5, animation:enemy_spread]</v>
          </cell>
          <cell r="C127">
            <v>3</v>
          </cell>
          <cell r="D127" t="str">
            <v>ja</v>
          </cell>
          <cell r="E127" t="str">
            <v>猟師さーんヽ(≧Д≦)ノ</v>
          </cell>
        </row>
        <row r="128">
          <cell r="A128">
            <v>230017</v>
          </cell>
          <cell r="B128" t="str">
            <v>[effect:spread, val:1.0, animation:enemy_spread]</v>
          </cell>
          <cell r="C128">
            <v>3</v>
          </cell>
          <cell r="D128" t="str">
            <v>ja</v>
          </cell>
          <cell r="E128" t="str">
            <v>地を焦がす流星雨</v>
          </cell>
        </row>
        <row r="129">
          <cell r="A129">
            <v>230018</v>
          </cell>
          <cell r="B129" t="str">
            <v>[effect:spread, val:0.3, animation:enemy_spread]</v>
          </cell>
          <cell r="C129">
            <v>3</v>
          </cell>
          <cell r="D129" t="str">
            <v>ja</v>
          </cell>
          <cell r="E129" t="str">
            <v>無差別乱射</v>
          </cell>
        </row>
        <row r="130">
          <cell r="A130">
            <v>230019</v>
          </cell>
          <cell r="B130" t="str">
            <v>[effect:spread, val:0.3, animation:enemy_spread]</v>
          </cell>
          <cell r="C130">
            <v>3</v>
          </cell>
          <cell r="D130" t="str">
            <v>ja</v>
          </cell>
          <cell r="E130" t="str">
            <v>ハァーッハッハッハ！!</v>
          </cell>
        </row>
        <row r="131">
          <cell r="A131">
            <v>230020</v>
          </cell>
          <cell r="B131" t="str">
            <v>[effect:spread, val:0.3, animation:enemy_spread]</v>
          </cell>
          <cell r="C131">
            <v>3</v>
          </cell>
          <cell r="D131" t="str">
            <v>ja</v>
          </cell>
          <cell r="E131" t="str">
            <v>シュトゥルム・アングリフ</v>
          </cell>
        </row>
        <row r="132">
          <cell r="A132">
            <v>230022</v>
          </cell>
          <cell r="B132" t="str">
            <v>[effect:spread, val:0.3, animation:enemy_spread]</v>
          </cell>
          <cell r="C132">
            <v>3</v>
          </cell>
          <cell r="D132" t="str">
            <v>ja</v>
          </cell>
          <cell r="E132" t="str">
            <v>キミたち食べていい？</v>
          </cell>
        </row>
        <row r="133">
          <cell r="A133">
            <v>230023</v>
          </cell>
          <cell r="B133" t="str">
            <v>[effect:spread, val:0.5, animation:enemy_spread]</v>
          </cell>
          <cell r="C133">
            <v>3</v>
          </cell>
          <cell r="D133" t="str">
            <v>ja</v>
          </cell>
          <cell r="E133" t="str">
            <v>甲撃</v>
          </cell>
        </row>
        <row r="134">
          <cell r="A134">
            <v>230024</v>
          </cell>
          <cell r="B134" t="str">
            <v>[effect:spread, val:0.5, animation:enemy_spread]</v>
          </cell>
          <cell r="C134">
            <v>3</v>
          </cell>
          <cell r="D134" t="str">
            <v>ja</v>
          </cell>
          <cell r="E134" t="str">
            <v>サウンドストーム</v>
          </cell>
        </row>
        <row r="135">
          <cell r="A135">
            <v>230025</v>
          </cell>
          <cell r="B135" t="str">
            <v>[effect:spread, val:2.2, animation:enemy_spread]</v>
          </cell>
          <cell r="C135">
            <v>3</v>
          </cell>
          <cell r="D135" t="str">
            <v>ja</v>
          </cell>
          <cell r="E135" t="str">
            <v>ツムジ風！</v>
          </cell>
        </row>
        <row r="136">
          <cell r="A136">
            <v>230026</v>
          </cell>
          <cell r="B136" t="str">
            <v>[effect:spread, val:0.5, animation:enemy_spread]</v>
          </cell>
          <cell r="C136">
            <v>3</v>
          </cell>
          <cell r="D136" t="str">
            <v>ja</v>
          </cell>
          <cell r="E136" t="str">
            <v>踊れヤギども</v>
          </cell>
        </row>
        <row r="137">
          <cell r="A137">
            <v>230027</v>
          </cell>
          <cell r="B137" t="str">
            <v>[effect:spread, val:0.7, animation:enemy_spread]</v>
          </cell>
          <cell r="C137">
            <v>3</v>
          </cell>
          <cell r="D137" t="str">
            <v>ja</v>
          </cell>
          <cell r="E137" t="str">
            <v>出でよグリゴリ！</v>
          </cell>
        </row>
        <row r="138">
          <cell r="A138">
            <v>230029</v>
          </cell>
          <cell r="B138" t="str">
            <v>[effect:spread, val:0.3, animation:enemy_spread]</v>
          </cell>
          <cell r="C138">
            <v>3</v>
          </cell>
          <cell r="D138" t="str">
            <v>ja</v>
          </cell>
          <cell r="E138" t="str">
            <v>ビリビリあたっく！</v>
          </cell>
        </row>
        <row r="139">
          <cell r="A139">
            <v>230030</v>
          </cell>
          <cell r="B139" t="str">
            <v>[effect:spread, val:0.4, animation:enemy_spread]</v>
          </cell>
          <cell r="C139">
            <v>3</v>
          </cell>
          <cell r="D139" t="str">
            <v>ja</v>
          </cell>
          <cell r="E139" t="str">
            <v>薙ぎ払い</v>
          </cell>
        </row>
        <row r="140">
          <cell r="A140">
            <v>240001</v>
          </cell>
          <cell r="B140" t="str">
            <v>[effect:kamikaze, val:3.0, animation:enemy_kamikaze]</v>
          </cell>
          <cell r="C140">
            <v>3</v>
          </cell>
          <cell r="D140" t="str">
            <v>ja</v>
          </cell>
          <cell r="E140" t="str">
            <v>自爆</v>
          </cell>
        </row>
        <row r="141">
          <cell r="A141">
            <v>240002</v>
          </cell>
          <cell r="B141" t="str">
            <v>[effect:kamikaze, val:10.0, animation:enemy_kamikaze]</v>
          </cell>
          <cell r="C141">
            <v>3</v>
          </cell>
          <cell r="D141" t="str">
            <v>ja</v>
          </cell>
          <cell r="E141" t="str">
            <v>自爆</v>
          </cell>
        </row>
        <row r="142">
          <cell r="A142">
            <v>240003</v>
          </cell>
          <cell r="B142" t="str">
            <v>[effect:kamikaze, val:10.0, animation:enemy_kamikaze]</v>
          </cell>
          <cell r="C142">
            <v>3</v>
          </cell>
          <cell r="D142" t="str">
            <v>ja</v>
          </cell>
          <cell r="E142" t="str">
            <v>ピヨボム</v>
          </cell>
        </row>
        <row r="143">
          <cell r="A143">
            <v>240004</v>
          </cell>
          <cell r="B143" t="str">
            <v>[effect:kamikaze, val:20.0, animation:enemy_kamikaze]</v>
          </cell>
          <cell r="C143">
            <v>3</v>
          </cell>
          <cell r="D143" t="str">
            <v>ja</v>
          </cell>
          <cell r="E143" t="str">
            <v>でかピヨボム</v>
          </cell>
        </row>
        <row r="144">
          <cell r="A144">
            <v>240005</v>
          </cell>
          <cell r="B144" t="str">
            <v>[effect:kamikaze, val:30.0, animation:enemy_kamikaze]</v>
          </cell>
          <cell r="C144">
            <v>3</v>
          </cell>
          <cell r="D144" t="str">
            <v>ja</v>
          </cell>
          <cell r="E144" t="str">
            <v>ドでかピヨボム</v>
          </cell>
        </row>
        <row r="145">
          <cell r="A145">
            <v>240006</v>
          </cell>
          <cell r="B145" t="str">
            <v>[effect:fix_speed,target:myself,turn:3],[effect:kamikaze, val:3.0, animation:enemy_kamikaze]</v>
          </cell>
          <cell r="C145">
            <v>3</v>
          </cell>
          <cell r="D145" t="str">
            <v>ja</v>
          </cell>
          <cell r="E145" t="str">
            <v>生命の爆発</v>
          </cell>
        </row>
        <row r="146">
          <cell r="A146">
            <v>240007</v>
          </cell>
          <cell r="B146" t="str">
            <v>[effect:kamikaze, val:3.0, animation:enemy_kamikaze],[effect:virus, turn:3, rate:1.0, val:0.15, animation:enemy_virus]</v>
          </cell>
          <cell r="C146">
            <v>3</v>
          </cell>
          <cell r="D146" t="str">
            <v>ja</v>
          </cell>
          <cell r="E146" t="str">
            <v>最後の爆弾</v>
          </cell>
        </row>
        <row r="147">
          <cell r="A147">
            <v>240008</v>
          </cell>
          <cell r="B147" t="str">
            <v>[effect:kamikaze, val:0.25, animation:enemy_kamikaze],[effect:enhance_enemy, target:enemy_all, turn:-1, status:attack, val:2.0, animation:enemy_enhance_enemy]</v>
          </cell>
          <cell r="C147">
            <v>3</v>
          </cell>
          <cell r="D147" t="str">
            <v>ja</v>
          </cell>
          <cell r="E147" t="str">
            <v>エネルギー変換</v>
          </cell>
        </row>
        <row r="148">
          <cell r="A148">
            <v>240009</v>
          </cell>
          <cell r="B148" t="str">
            <v>[effect:kamikaze, val:0.25, animation:enemy_kamikaze],[effect:freq_turn, target:enemy_all, turn:-1, val:1, animation:enemy_freq_turn]</v>
          </cell>
          <cell r="C148">
            <v>3</v>
          </cell>
          <cell r="D148" t="str">
            <v>ja</v>
          </cell>
          <cell r="E148" t="str">
            <v>エネルギー変換</v>
          </cell>
        </row>
        <row r="149">
          <cell r="A149">
            <v>240010</v>
          </cell>
          <cell r="B149" t="str">
            <v>[effect:kamikaze, val:0.25, animation:enemy_kamikaze],[effect:heal, target:enemy_all, val:0.5, animation:enemy_heal]</v>
          </cell>
          <cell r="C149">
            <v>3</v>
          </cell>
          <cell r="D149" t="str">
            <v>ja</v>
          </cell>
          <cell r="E149" t="str">
            <v>ぎゃああああああ</v>
          </cell>
        </row>
        <row r="150">
          <cell r="A150">
            <v>240011</v>
          </cell>
          <cell r="B150" t="str">
            <v>[effect:kamikaze, val:0.25, animation:enemy_kamikaze],[effect:enhance_enemy, target:enemy_all, turn:-1, status:attack, val:2.0, animation:enemy_enhance_enemy]</v>
          </cell>
          <cell r="C150">
            <v>3</v>
          </cell>
          <cell r="D150" t="str">
            <v>ja</v>
          </cell>
          <cell r="E150" t="str">
            <v>進撃の花火</v>
          </cell>
        </row>
        <row r="151">
          <cell r="A151">
            <v>250001</v>
          </cell>
          <cell r="B151" t="str">
            <v>[effect:damage_anti_tribe, target:unit_one, tribe:god, val1:3.0, val2:1.0]</v>
          </cell>
          <cell r="C151">
            <v>3</v>
          </cell>
          <cell r="D151" t="str">
            <v>ja</v>
          </cell>
          <cell r="E151" t="str">
            <v>神をも燃やす天の炎</v>
          </cell>
        </row>
        <row r="152">
          <cell r="A152">
            <v>250002</v>
          </cell>
          <cell r="B152" t="str">
            <v>[effect:damage_anti_tribe, target:unit_one, tribe:animal, val1:1.5, val2:0.8]</v>
          </cell>
          <cell r="C152">
            <v>3</v>
          </cell>
          <cell r="D152" t="str">
            <v>ja</v>
          </cell>
          <cell r="E152" t="str">
            <v>アニマルキラー</v>
          </cell>
        </row>
        <row r="153">
          <cell r="A153">
            <v>250003</v>
          </cell>
          <cell r="B153" t="str">
            <v>[effect:damage_anti_tribe, target:unit_one, tribe:human, val1:2.0, val2:0.8]</v>
          </cell>
          <cell r="C153">
            <v>3</v>
          </cell>
          <cell r="D153" t="str">
            <v>ja</v>
          </cell>
          <cell r="E153" t="str">
            <v>ヒューマンキラー</v>
          </cell>
        </row>
        <row r="154">
          <cell r="A154">
            <v>250004</v>
          </cell>
          <cell r="B154" t="str">
            <v>[effect:damage_anti_tribe, target:unit_one, tribe:human, val1:2.0, val2:0.8]</v>
          </cell>
          <cell r="C154">
            <v>1</v>
          </cell>
          <cell r="D154" t="str">
            <v>ja</v>
          </cell>
          <cell r="E154" t="str">
            <v>軍神の咆哮</v>
          </cell>
        </row>
        <row r="155">
          <cell r="A155">
            <v>250005</v>
          </cell>
          <cell r="B155" t="str">
            <v>[effect:damage_anti_tribe, target:unit_one, tribe:animal, val1:1.5, val2:0.8]</v>
          </cell>
          <cell r="C155">
            <v>3</v>
          </cell>
          <cell r="D155" t="str">
            <v>ja</v>
          </cell>
          <cell r="E155" t="str">
            <v>アニマルキラー</v>
          </cell>
        </row>
        <row r="156">
          <cell r="A156">
            <v>250006</v>
          </cell>
          <cell r="B156" t="str">
            <v>[effect:damage_anti_tribe, target:unit_one, tribe:god, val1:3.0, val2:0.8]</v>
          </cell>
          <cell r="C156">
            <v>3</v>
          </cell>
          <cell r="D156" t="str">
            <v>ja</v>
          </cell>
          <cell r="E156" t="str">
            <v>ゴッドキラー</v>
          </cell>
        </row>
        <row r="157">
          <cell r="A157">
            <v>250007</v>
          </cell>
          <cell r="B157" t="str">
            <v>[effect:damage_anti_tribe, target:unit_one, tribe:dragon, val1:3.0, val2:0.8]</v>
          </cell>
          <cell r="C157">
            <v>3</v>
          </cell>
          <cell r="D157" t="str">
            <v>ja</v>
          </cell>
          <cell r="E157" t="str">
            <v>ドラゴンキラー</v>
          </cell>
        </row>
        <row r="158">
          <cell r="A158">
            <v>250008</v>
          </cell>
          <cell r="B158" t="str">
            <v>[effect:damage_anti_tribe, target:unit_one, tribe:god, val1:2.5, val2:0.8]</v>
          </cell>
          <cell r="C158">
            <v>3</v>
          </cell>
          <cell r="D158" t="str">
            <v>ja</v>
          </cell>
          <cell r="E158" t="str">
            <v>神をも撃ち抜く雷</v>
          </cell>
        </row>
        <row r="159">
          <cell r="A159">
            <v>250009</v>
          </cell>
          <cell r="B159" t="str">
            <v>[effect:damage_anti_tribe, target:unit_one, tribe:god, val1:2.5, val2:0.8]</v>
          </cell>
          <cell r="C159">
            <v>3</v>
          </cell>
          <cell r="D159" t="str">
            <v>ja</v>
          </cell>
          <cell r="E159" t="str">
            <v>神撃ちの拳</v>
          </cell>
        </row>
        <row r="160">
          <cell r="A160">
            <v>250010</v>
          </cell>
          <cell r="B160" t="str">
            <v>[effect:damage_anti_tribe, target:unit_one, tribe:machine, val1:2.5, val2:0.8]</v>
          </cell>
          <cell r="C160">
            <v>3</v>
          </cell>
          <cell r="D160" t="str">
            <v>ja</v>
          </cell>
          <cell r="E160" t="str">
            <v>分解…</v>
          </cell>
        </row>
        <row r="161">
          <cell r="A161">
            <v>250011</v>
          </cell>
          <cell r="B161" t="str">
            <v>[effect:damage_anti_tribe, target:unit_one, tribe:animal, val1:2.0, val2:1.0]</v>
          </cell>
          <cell r="C161">
            <v>3</v>
          </cell>
          <cell r="D161" t="str">
            <v>ja</v>
          </cell>
          <cell r="E161" t="str">
            <v>家畜が…目障りだ！</v>
          </cell>
        </row>
        <row r="162">
          <cell r="A162">
            <v>250012</v>
          </cell>
          <cell r="B162" t="str">
            <v>[effect:damage_anti_tribe, target:unit_one, tribe:god, val1:10, val2:0.8]</v>
          </cell>
          <cell r="C162">
            <v>3</v>
          </cell>
          <cell r="D162" t="str">
            <v>ja</v>
          </cell>
          <cell r="E162" t="str">
            <v>私は絶滅なんかしない！</v>
          </cell>
        </row>
        <row r="163">
          <cell r="A163">
            <v>250013</v>
          </cell>
          <cell r="B163" t="str">
            <v>[effect:damage_anti_tribe, target:unit_one, tribe:machine, val1:2.0, val2:0.7]</v>
          </cell>
          <cell r="C163">
            <v>3</v>
          </cell>
          <cell r="D163" t="str">
            <v>ja</v>
          </cell>
          <cell r="E163" t="str">
            <v>カワラ割り</v>
          </cell>
        </row>
        <row r="164">
          <cell r="A164">
            <v>260001</v>
          </cell>
          <cell r="B164" t="str">
            <v>[effect:damage_anti_color, target:unit_one, color:red, val1:2.0, val2:1.0]</v>
          </cell>
          <cell r="C164">
            <v>3</v>
          </cell>
          <cell r="D164" t="str">
            <v>ja</v>
          </cell>
          <cell r="E164" t="str">
            <v>渓谷の霧雨</v>
          </cell>
        </row>
        <row r="165">
          <cell r="A165">
            <v>260002</v>
          </cell>
          <cell r="B165" t="str">
            <v>[effect:damage_anti_color, target:unit_one, color:yellow, val1:2.0, val2:1.0]</v>
          </cell>
          <cell r="C165">
            <v>3</v>
          </cell>
          <cell r="D165" t="str">
            <v>ja</v>
          </cell>
          <cell r="E165" t="str">
            <v>深山の芽吹き</v>
          </cell>
        </row>
        <row r="166">
          <cell r="A166">
            <v>260003</v>
          </cell>
          <cell r="B166" t="str">
            <v>[effect:damage_anti_color, target:unit_one, color:green, val1:2.0, val2:1.0]</v>
          </cell>
          <cell r="C166">
            <v>3</v>
          </cell>
          <cell r="D166" t="str">
            <v>ja</v>
          </cell>
          <cell r="E166" t="str">
            <v>灼熱の火炎</v>
          </cell>
        </row>
        <row r="167">
          <cell r="A167">
            <v>260004</v>
          </cell>
          <cell r="B167" t="str">
            <v>[effect:damage_anti_color, target:unit_one, color:blue, val1:1.5, val2:1.0]</v>
          </cell>
          <cell r="C167">
            <v>3</v>
          </cell>
          <cell r="D167" t="str">
            <v>ja</v>
          </cell>
          <cell r="E167" t="str">
            <v xml:space="preserve">狼なんてコワくない(´･ω･`) </v>
          </cell>
        </row>
        <row r="168">
          <cell r="A168">
            <v>260005</v>
          </cell>
          <cell r="B168" t="str">
            <v>[effect:damage_anti_color, target:unit_one, color:red, val1:3.0, val2:0.1]</v>
          </cell>
          <cell r="C168">
            <v>3</v>
          </cell>
          <cell r="D168" t="str">
            <v>ja</v>
          </cell>
          <cell r="E168" t="str">
            <v>乱れ跳ぶ虹弾</v>
          </cell>
        </row>
        <row r="169">
          <cell r="A169">
            <v>260006</v>
          </cell>
          <cell r="B169" t="str">
            <v>[effect:damage_anti_color, target:unit_one, color:yellow, val1:3.0, val2:0.1]</v>
          </cell>
          <cell r="C169">
            <v>3</v>
          </cell>
          <cell r="D169" t="str">
            <v>ja</v>
          </cell>
          <cell r="E169" t="str">
            <v>乱れ跳ぶ虹弾</v>
          </cell>
        </row>
        <row r="170">
          <cell r="A170">
            <v>260007</v>
          </cell>
          <cell r="B170" t="str">
            <v>[effect:damage_anti_color, target:unit_one, color:green, val1:3.0, val2:0.1]</v>
          </cell>
          <cell r="C170">
            <v>3</v>
          </cell>
          <cell r="D170" t="str">
            <v>ja</v>
          </cell>
          <cell r="E170" t="str">
            <v>乱れ跳ぶ虹弾</v>
          </cell>
        </row>
        <row r="171">
          <cell r="A171">
            <v>260008</v>
          </cell>
          <cell r="B171" t="str">
            <v>[effect:damage_anti_color, target:unit_one, color:blue, val1:3.0, val2:0.1]</v>
          </cell>
          <cell r="C171">
            <v>3</v>
          </cell>
          <cell r="D171" t="str">
            <v>ja</v>
          </cell>
          <cell r="E171" t="str">
            <v>乱れ跳ぶ虹弾</v>
          </cell>
        </row>
        <row r="172">
          <cell r="A172">
            <v>300001</v>
          </cell>
          <cell r="B172" t="str">
            <v>[effect:heal, target:enemy_all, val:0.25, animation:enemy_heal]</v>
          </cell>
          <cell r="C172">
            <v>3</v>
          </cell>
          <cell r="D172" t="str">
            <v>ja</v>
          </cell>
          <cell r="E172" t="str">
            <v>ヒール</v>
          </cell>
        </row>
        <row r="173">
          <cell r="A173">
            <v>300002</v>
          </cell>
          <cell r="B173" t="str">
            <v>[effect:heal, target:enemy_all, val:0.5, animation:enemy_heal]</v>
          </cell>
          <cell r="C173">
            <v>3</v>
          </cell>
          <cell r="D173" t="str">
            <v>ja</v>
          </cell>
          <cell r="E173" t="str">
            <v>ヒール</v>
          </cell>
        </row>
        <row r="174">
          <cell r="A174">
            <v>300003</v>
          </cell>
          <cell r="B174" t="str">
            <v>[effect:heal, target:enemy_one, val:1.0, animation:enemy_heal]</v>
          </cell>
          <cell r="C174">
            <v>3</v>
          </cell>
          <cell r="D174" t="str">
            <v>ja</v>
          </cell>
          <cell r="E174" t="str">
            <v>超再生</v>
          </cell>
        </row>
        <row r="175">
          <cell r="A175">
            <v>300004</v>
          </cell>
          <cell r="B175" t="str">
            <v>[effect:heal, target:enemy_one, val:0.1, animation:enemy_heal]</v>
          </cell>
          <cell r="C175">
            <v>3</v>
          </cell>
          <cell r="D175" t="str">
            <v>ja</v>
          </cell>
          <cell r="E175" t="str">
            <v>ヒール</v>
          </cell>
        </row>
        <row r="176">
          <cell r="A176">
            <v>300005</v>
          </cell>
          <cell r="B176" t="str">
            <v>[effect:heal, target:enemy_all, val:0.25, animation:enemy_heal]</v>
          </cell>
          <cell r="C176">
            <v>3</v>
          </cell>
          <cell r="D176" t="str">
            <v>ja</v>
          </cell>
          <cell r="E176" t="str">
            <v>ヒール</v>
          </cell>
        </row>
        <row r="177">
          <cell r="A177">
            <v>300006</v>
          </cell>
          <cell r="B177" t="str">
            <v>[effect:heal, target:enemy_all, val:0.25, animation:enemy_heal]</v>
          </cell>
          <cell r="C177">
            <v>3</v>
          </cell>
          <cell r="D177" t="str">
            <v>ja</v>
          </cell>
          <cell r="E177" t="str">
            <v>癒しの果汁</v>
          </cell>
        </row>
        <row r="178">
          <cell r="A178">
            <v>300007</v>
          </cell>
          <cell r="B178" t="str">
            <v>[effect:heal, target:myself, val:0.40, animation:enemy_heal],[effect:enhance_enemy, target:myself, turn:-1, status:attack, val:1.5, animation:enemy_enhance_enemy]</v>
          </cell>
          <cell r="C178">
            <v>3</v>
          </cell>
          <cell r="D178" t="str">
            <v>ja</v>
          </cell>
          <cell r="E178" t="str">
            <v>永遠の美貌</v>
          </cell>
        </row>
        <row r="179">
          <cell r="A179">
            <v>300008</v>
          </cell>
          <cell r="B179" t="str">
            <v>[effect:heal, target:enemy_all, val:0.30, animation:enemy_heal]</v>
          </cell>
          <cell r="C179">
            <v>1</v>
          </cell>
          <cell r="D179" t="str">
            <v>ja</v>
          </cell>
          <cell r="E179" t="str">
            <v>すべてを癒そう</v>
          </cell>
        </row>
        <row r="180">
          <cell r="A180">
            <v>300009</v>
          </cell>
          <cell r="B180" t="str">
            <v>[effect:heal, target:enemy_one, val:0.5, animation:enemy_heal]</v>
          </cell>
          <cell r="C180">
            <v>3</v>
          </cell>
          <cell r="D180" t="str">
            <v>ja</v>
          </cell>
          <cell r="E180" t="str">
            <v>ヒール</v>
          </cell>
        </row>
        <row r="181">
          <cell r="A181">
            <v>310001</v>
          </cell>
          <cell r="B181" t="str">
            <v>[effect:dis_heart, turn:7, rate:1.0, animation:enemy_dis_heart]</v>
          </cell>
          <cell r="C181">
            <v>3</v>
          </cell>
          <cell r="D181" t="str">
            <v>ja</v>
          </cell>
          <cell r="E181" t="str">
            <v>ディスハート</v>
          </cell>
        </row>
        <row r="182">
          <cell r="A182">
            <v>310002</v>
          </cell>
          <cell r="B182" t="str">
            <v>[effect:dis_heart, turn:3, rate:1.0, animation:enemy_dis_heart]</v>
          </cell>
          <cell r="C182">
            <v>1</v>
          </cell>
          <cell r="D182" t="str">
            <v>ja</v>
          </cell>
          <cell r="E182" t="str">
            <v>ディスハート</v>
          </cell>
        </row>
        <row r="183">
          <cell r="A183">
            <v>310003</v>
          </cell>
          <cell r="B183" t="str">
            <v>[effect:dis_heart, turn:3, rate:1.0, animation:enemy_dis_heart]</v>
          </cell>
          <cell r="C183">
            <v>3</v>
          </cell>
          <cell r="D183" t="str">
            <v>ja</v>
          </cell>
          <cell r="E183" t="str">
            <v>心頭滅却</v>
          </cell>
        </row>
        <row r="184">
          <cell r="A184">
            <v>310004</v>
          </cell>
          <cell r="B184" t="str">
            <v>[effect:dis_heart, turn:10, rate:1.0, animation:enemy_dis_heart]</v>
          </cell>
          <cell r="C184">
            <v>3</v>
          </cell>
          <cell r="D184" t="str">
            <v>ja</v>
          </cell>
          <cell r="E184" t="str">
            <v>貴様らに未来は無い…</v>
          </cell>
        </row>
        <row r="185">
          <cell r="A185">
            <v>320001</v>
          </cell>
          <cell r="B185" t="str">
            <v>[effect:virus, turn:3, rate:1.0, val:0.10, animation:enemy_virus]</v>
          </cell>
          <cell r="C185">
            <v>3</v>
          </cell>
          <cell r="D185" t="str">
            <v>ja</v>
          </cell>
          <cell r="E185" t="str">
            <v>即効性ウィルス</v>
          </cell>
        </row>
        <row r="186">
          <cell r="A186">
            <v>320002</v>
          </cell>
          <cell r="B186" t="str">
            <v>[effect:virus, turn:3, rate:1.0, val:0.15, animation:enemy_virus]</v>
          </cell>
          <cell r="C186">
            <v>3</v>
          </cell>
          <cell r="D186" t="str">
            <v>ja</v>
          </cell>
          <cell r="E186" t="str">
            <v>地獄の熱気</v>
          </cell>
        </row>
        <row r="187">
          <cell r="A187">
            <v>320003</v>
          </cell>
          <cell r="B187" t="str">
            <v>[effect:virus, turn:5, rate:1.0, val:0.15, animation:enemy_virus]</v>
          </cell>
          <cell r="C187">
            <v>3</v>
          </cell>
          <cell r="D187" t="str">
            <v>ja</v>
          </cell>
          <cell r="E187" t="str">
            <v>煉獄の熱気</v>
          </cell>
        </row>
        <row r="188">
          <cell r="A188">
            <v>320004</v>
          </cell>
          <cell r="B188" t="str">
            <v>[effect:virus, turn:5, rate:1.0, val:0.25, animation:enemy_virus]</v>
          </cell>
          <cell r="C188">
            <v>3</v>
          </cell>
          <cell r="D188" t="str">
            <v>ja</v>
          </cell>
          <cell r="E188" t="str">
            <v>侵食性ウィルス</v>
          </cell>
        </row>
        <row r="189">
          <cell r="A189">
            <v>320005</v>
          </cell>
          <cell r="B189" t="str">
            <v>[effect:virus, turn:5, rate:1.0, val:0.10, animation:enemy_virus]</v>
          </cell>
          <cell r="C189">
            <v>3</v>
          </cell>
          <cell r="D189" t="str">
            <v>ja</v>
          </cell>
          <cell r="E189" t="str">
            <v>超即効性ウィルス</v>
          </cell>
        </row>
        <row r="190">
          <cell r="A190">
            <v>320006</v>
          </cell>
          <cell r="B190" t="str">
            <v>[effect:virus, turn:5, rate:1.0, val:0.25, animation:enemy_virus]</v>
          </cell>
          <cell r="C190">
            <v>3</v>
          </cell>
          <cell r="D190" t="str">
            <v>ja</v>
          </cell>
          <cell r="E190" t="str">
            <v>死の誘惑</v>
          </cell>
        </row>
        <row r="191">
          <cell r="A191">
            <v>320007</v>
          </cell>
          <cell r="B191" t="str">
            <v>[effect:virus, turn:3, rate:1.0, val:0.15, animation:enemy_virus]</v>
          </cell>
          <cell r="C191">
            <v>3</v>
          </cell>
          <cell r="D191" t="str">
            <v>ja</v>
          </cell>
          <cell r="E191" t="str">
            <v>炎華の香り</v>
          </cell>
        </row>
        <row r="192">
          <cell r="A192">
            <v>320008</v>
          </cell>
          <cell r="B192" t="str">
            <v>[effect:virus, turn:-1, rate:1.0, val:0.22, animation:enemy_virus]</v>
          </cell>
          <cell r="C192">
            <v>3</v>
          </cell>
          <cell r="D192" t="str">
            <v>ja</v>
          </cell>
          <cell r="E192" t="str">
            <v>炎華の香り・永代</v>
          </cell>
        </row>
        <row r="193">
          <cell r="A193">
            <v>320009</v>
          </cell>
          <cell r="B193" t="str">
            <v>[effect:virus, turn:5, rate:1.0, val:0.35, animation:enemy_virus]</v>
          </cell>
          <cell r="C193">
            <v>3</v>
          </cell>
          <cell r="D193" t="str">
            <v>ja</v>
          </cell>
          <cell r="E193" t="str">
            <v>炎華の香り・真打</v>
          </cell>
        </row>
        <row r="194">
          <cell r="A194">
            <v>320010</v>
          </cell>
          <cell r="B194" t="str">
            <v>[effect:virus, turn:-1, rate:1.0, val:0.1, animation:enemy_virus]</v>
          </cell>
          <cell r="C194">
            <v>3</v>
          </cell>
          <cell r="D194" t="str">
            <v>ja</v>
          </cell>
          <cell r="E194" t="str">
            <v>死国への誘い</v>
          </cell>
        </row>
        <row r="195">
          <cell r="A195">
            <v>320011</v>
          </cell>
          <cell r="B195" t="str">
            <v>[effect:virus, turn:3, rate:1.0, val:0.19, animation:enemy_virus],[effect:rush, count:1, val:0.3]</v>
          </cell>
          <cell r="C195">
            <v>3</v>
          </cell>
          <cell r="D195" t="str">
            <v>ja</v>
          </cell>
          <cell r="E195" t="str">
            <v>ブラッド・インク</v>
          </cell>
        </row>
        <row r="196">
          <cell r="A196">
            <v>320012</v>
          </cell>
          <cell r="B196" t="str">
            <v>[effect:virus, turn:3, rate:1.0, val:0.1, animation:enemy_virus]</v>
          </cell>
          <cell r="C196">
            <v>1</v>
          </cell>
          <cell r="D196" t="str">
            <v>ja</v>
          </cell>
          <cell r="E196" t="str">
            <v>セクメトの息吹</v>
          </cell>
        </row>
        <row r="197">
          <cell r="A197">
            <v>320013</v>
          </cell>
          <cell r="B197" t="str">
            <v>[effect:virus, turn:2, rate:1.0, val:0.27, animation:enemy_virus],[effect:rush, count:1, val:0.5]</v>
          </cell>
          <cell r="C197">
            <v>3</v>
          </cell>
          <cell r="D197" t="str">
            <v>ja</v>
          </cell>
          <cell r="E197" t="str">
            <v>や、やってくれたわね！</v>
          </cell>
        </row>
        <row r="198">
          <cell r="A198">
            <v>320014</v>
          </cell>
          <cell r="B198" t="str">
            <v>[effect:virus, turn:3, rate:1.0, val:0.10, animation:enemy_virus]</v>
          </cell>
          <cell r="C198">
            <v>3</v>
          </cell>
          <cell r="D198" t="str">
            <v>ja</v>
          </cell>
          <cell r="E198" t="str">
            <v>パタパタ胞子</v>
          </cell>
        </row>
        <row r="199">
          <cell r="A199">
            <v>320015</v>
          </cell>
          <cell r="B199" t="str">
            <v>[effect:virus, turn:8, rate:1.0, val:0.1, animation:enemy_virus]</v>
          </cell>
          <cell r="C199">
            <v>1</v>
          </cell>
          <cell r="D199" t="str">
            <v>ja</v>
          </cell>
          <cell r="E199" t="str">
            <v>凍てつくフィールド！</v>
          </cell>
        </row>
        <row r="200">
          <cell r="A200">
            <v>330001</v>
          </cell>
          <cell r="B200" t="str">
            <v>[effect:hungup, target:unit_one, turn:2, rate:1.0, animation:enemy_hungup]</v>
          </cell>
          <cell r="C200">
            <v>3</v>
          </cell>
          <cell r="D200" t="str">
            <v>ja</v>
          </cell>
          <cell r="E200" t="str">
            <v>ハングアップ</v>
          </cell>
        </row>
        <row r="201">
          <cell r="A201">
            <v>330002</v>
          </cell>
          <cell r="B201" t="str">
            <v>[effect:hungup, target:unit_one, turn:3, rate:1.0, animation:enemy_hungup]</v>
          </cell>
          <cell r="C201">
            <v>3</v>
          </cell>
          <cell r="D201" t="str">
            <v>ja</v>
          </cell>
          <cell r="E201" t="str">
            <v>デジタルマジック</v>
          </cell>
        </row>
        <row r="202">
          <cell r="A202">
            <v>330003</v>
          </cell>
          <cell r="B202" t="str">
            <v>[effect:hungup, target:unit_all, turn:4, rate:1.0, animation:enemy_hungup]</v>
          </cell>
          <cell r="C202">
            <v>3</v>
          </cell>
          <cell r="D202" t="str">
            <v>ja</v>
          </cell>
          <cell r="E202" t="str">
            <v>ハイ・ハングアップ</v>
          </cell>
        </row>
        <row r="203">
          <cell r="A203">
            <v>330004</v>
          </cell>
          <cell r="B203" t="str">
            <v>[effect:hungup, target:unit_one, turn:3, rate:1.0, animation:enemy_hungup]</v>
          </cell>
          <cell r="C203">
            <v>3</v>
          </cell>
          <cell r="D203" t="str">
            <v>ja</v>
          </cell>
          <cell r="E203" t="str">
            <v>回線ショート</v>
          </cell>
        </row>
        <row r="204">
          <cell r="A204">
            <v>330005</v>
          </cell>
          <cell r="B204" t="str">
            <v>[effect:hungup, target:unit_all, turn:-1, rate:1.0, animation:enemy_hungup]</v>
          </cell>
          <cell r="C204">
            <v>3</v>
          </cell>
          <cell r="D204" t="str">
            <v>ja</v>
          </cell>
          <cell r="E204" t="str">
            <v>マインドスナッチ</v>
          </cell>
        </row>
        <row r="205">
          <cell r="A205">
            <v>330006</v>
          </cell>
          <cell r="B205" t="str">
            <v>[effect:hungup, target:unit_all, turn:4, rate:1.0, animation:enemy_hungup]</v>
          </cell>
          <cell r="C205">
            <v>3</v>
          </cell>
          <cell r="D205" t="str">
            <v>ja</v>
          </cell>
          <cell r="E205" t="str">
            <v>孤独の支配</v>
          </cell>
        </row>
        <row r="206">
          <cell r="A206">
            <v>330007</v>
          </cell>
          <cell r="B206" t="str">
            <v>[effect:hungup, target:unit_all, turn:4, rate:1.0, animation:enemy_hungup]</v>
          </cell>
          <cell r="C206">
            <v>3</v>
          </cell>
          <cell r="D206" t="str">
            <v>ja</v>
          </cell>
          <cell r="E206" t="str">
            <v>孤独の支配</v>
          </cell>
        </row>
        <row r="207">
          <cell r="A207">
            <v>330008</v>
          </cell>
          <cell r="B207" t="str">
            <v>[effect:hungup, target:unit_all, turn:4, rate:1.0, animation:enemy_hungup],[effect:rush, count:1, val:0.7]</v>
          </cell>
          <cell r="C207">
            <v>1</v>
          </cell>
          <cell r="D207" t="str">
            <v>ja</v>
          </cell>
          <cell r="E207" t="str">
            <v>雷の拳</v>
          </cell>
        </row>
        <row r="208">
          <cell r="A208">
            <v>330009</v>
          </cell>
          <cell r="B208" t="str">
            <v>[effect:hungup, target:unit_all, turn:-1, rate:1.0, animation:enemy_hungup]</v>
          </cell>
          <cell r="C208">
            <v>3</v>
          </cell>
          <cell r="D208" t="str">
            <v>ja</v>
          </cell>
          <cell r="E208" t="str">
            <v>今度はイブの番！</v>
          </cell>
        </row>
        <row r="209">
          <cell r="A209">
            <v>330010</v>
          </cell>
          <cell r="B209" t="str">
            <v>[effect:hungup, target:unit_one, turn:3, rate:1.0, animation:enemy_hungup],[effect:rush, count:1, val:0.7]</v>
          </cell>
          <cell r="C209">
            <v>3</v>
          </cell>
          <cell r="D209" t="str">
            <v>ja</v>
          </cell>
          <cell r="E209" t="str">
            <v>束縛する薔薇</v>
          </cell>
        </row>
        <row r="210">
          <cell r="A210">
            <v>330014</v>
          </cell>
          <cell r="B210" t="str">
            <v>[effect:hungup, target:unit_all, turn:6, rate:1.0, animation:enemy_hungup],[effect:rush, count:1, val:0.7]</v>
          </cell>
          <cell r="C210">
            <v>3</v>
          </cell>
          <cell r="D210" t="str">
            <v>ja</v>
          </cell>
          <cell r="E210" t="str">
            <v>バインドノイズ</v>
          </cell>
        </row>
        <row r="211">
          <cell r="A211">
            <v>330015</v>
          </cell>
          <cell r="B211" t="str">
            <v>[effect:hungup, target:unit_all, turn:6, rate:1.0, animation:enemy_hungup],[effect:rush, count:1, val:0.7]</v>
          </cell>
          <cell r="C211">
            <v>3</v>
          </cell>
          <cell r="D211" t="str">
            <v>ja</v>
          </cell>
          <cell r="E211" t="str">
            <v>バインドノイズ</v>
          </cell>
        </row>
        <row r="212">
          <cell r="A212">
            <v>330016</v>
          </cell>
          <cell r="B212" t="str">
            <v>[effect:hungup, target:unit_one, turn:3, rate:1.0, animation:enemy_hungup]</v>
          </cell>
          <cell r="C212">
            <v>3</v>
          </cell>
          <cell r="D212" t="str">
            <v>ja</v>
          </cell>
          <cell r="E212" t="str">
            <v>実戦ロープワーク</v>
          </cell>
        </row>
        <row r="213">
          <cell r="A213">
            <v>340001</v>
          </cell>
          <cell r="B213" t="str">
            <v>[effect:sleep, target:unit_one, turn:2, rate:0.5, animation:enemy_sleep]</v>
          </cell>
          <cell r="C213">
            <v>3</v>
          </cell>
          <cell r="D213" t="str">
            <v>ja</v>
          </cell>
          <cell r="E213" t="str">
            <v>睡眠薬</v>
          </cell>
        </row>
        <row r="214">
          <cell r="A214">
            <v>340002</v>
          </cell>
          <cell r="B214" t="str">
            <v>[effect:sleep, target:unit_one, turn:3, rate:1.0, animation:enemy_sleep]</v>
          </cell>
          <cell r="C214">
            <v>3</v>
          </cell>
          <cell r="D214" t="str">
            <v>ja</v>
          </cell>
          <cell r="E214" t="str">
            <v>子守唄</v>
          </cell>
        </row>
        <row r="215">
          <cell r="A215">
            <v>340003</v>
          </cell>
          <cell r="B215" t="str">
            <v>[effect:sleep, target:unit_one, turn:4, rate:0.5, animation:enemy_sleep]</v>
          </cell>
          <cell r="C215">
            <v>3</v>
          </cell>
          <cell r="D215" t="str">
            <v>ja</v>
          </cell>
          <cell r="E215" t="str">
            <v>夢への誘い</v>
          </cell>
        </row>
        <row r="216">
          <cell r="A216">
            <v>340004</v>
          </cell>
          <cell r="B216" t="str">
            <v>[effect:sleep, target:unit_one, turn:3, rate:1.0, animation:enemy_sleep]</v>
          </cell>
          <cell r="C216">
            <v>3</v>
          </cell>
          <cell r="D216" t="str">
            <v>ja</v>
          </cell>
          <cell r="E216" t="str">
            <v>魅惑の瞳</v>
          </cell>
        </row>
        <row r="217">
          <cell r="A217">
            <v>340005</v>
          </cell>
          <cell r="B217" t="str">
            <v>[effect:sleep, target:unit_one, turn:4, rate:1.0, animation:enemy_sleep]</v>
          </cell>
          <cell r="C217">
            <v>3</v>
          </cell>
          <cell r="D217" t="str">
            <v>ja</v>
          </cell>
          <cell r="E217" t="str">
            <v>安寧への誘い</v>
          </cell>
        </row>
        <row r="218">
          <cell r="A218">
            <v>340006</v>
          </cell>
          <cell r="B218" t="str">
            <v>[effect:sleep, target:unit_one, turn:3, rate:1.0, animation:enemy_sleep]</v>
          </cell>
          <cell r="C218">
            <v>3</v>
          </cell>
          <cell r="D218" t="str">
            <v>ja</v>
          </cell>
          <cell r="E218" t="str">
            <v>人魚の歌声</v>
          </cell>
        </row>
        <row r="219">
          <cell r="A219">
            <v>340007</v>
          </cell>
          <cell r="B219" t="str">
            <v>[effect:sleep, target:unit_one, turn:3, rate:1.0, animation:enemy_sleep],[effect:rush, count:3, val:0.3]</v>
          </cell>
          <cell r="C219">
            <v>3</v>
          </cell>
          <cell r="D219" t="str">
            <v>ja</v>
          </cell>
          <cell r="E219" t="str">
            <v>殺戮の子守唄</v>
          </cell>
        </row>
        <row r="220">
          <cell r="A220">
            <v>340008</v>
          </cell>
          <cell r="B220" t="str">
            <v>[effect:sleep, target:unit_one, turn:4, rate:1.0, animation:enemy_sleep],[effect:virus, turn:2, rate:1.0, val:0.20, animation:enemy_virus]</v>
          </cell>
          <cell r="C220">
            <v>3</v>
          </cell>
          <cell r="D220" t="str">
            <v>ja</v>
          </cell>
          <cell r="E220" t="str">
            <v>恐怖のベル</v>
          </cell>
        </row>
        <row r="221">
          <cell r="A221">
            <v>340009</v>
          </cell>
          <cell r="B221" t="str">
            <v>[effect:sleep, target:unit_one, turn:4, rate:1.0, animation:enemy_sleep]</v>
          </cell>
          <cell r="C221">
            <v>3</v>
          </cell>
          <cell r="D221" t="str">
            <v>ja</v>
          </cell>
          <cell r="E221" t="str">
            <v>天使の子守唄</v>
          </cell>
        </row>
        <row r="222">
          <cell r="A222">
            <v>340010</v>
          </cell>
          <cell r="B222" t="str">
            <v>[effect:sleep, target:unit_green, turn:4, rate:1.0, animation:enemy_sleep]</v>
          </cell>
          <cell r="C222">
            <v>3</v>
          </cell>
          <cell r="D222" t="str">
            <v>ja</v>
          </cell>
          <cell r="E222" t="str">
            <v>静寂の緑</v>
          </cell>
        </row>
        <row r="223">
          <cell r="A223">
            <v>340011</v>
          </cell>
          <cell r="B223" t="str">
            <v>[effect:sleep, target:unit_one, turn:3, rate:1.0, animation:enemy_sleep],[effect:rush, count:1, val:0.7]</v>
          </cell>
          <cell r="C223">
            <v>3</v>
          </cell>
          <cell r="D223" t="str">
            <v>ja</v>
          </cell>
          <cell r="E223" t="str">
            <v>眠りを誘う薔薇園</v>
          </cell>
        </row>
        <row r="224">
          <cell r="A224">
            <v>340012</v>
          </cell>
          <cell r="B224" t="str">
            <v>[effect:sleep, target:unit_one, turn:3, rate:1.0, animation:enemy_sleep]</v>
          </cell>
          <cell r="C224">
            <v>3</v>
          </cell>
          <cell r="D224" t="str">
            <v>ja</v>
          </cell>
          <cell r="E224" t="str">
            <v>おやすみマーチ</v>
          </cell>
        </row>
        <row r="225">
          <cell r="A225">
            <v>340013</v>
          </cell>
          <cell r="B225" t="str">
            <v>[effect:sleep, target:unit_one, turn:4, rate:1.0, animation:enemy_sleep]</v>
          </cell>
          <cell r="C225">
            <v>3</v>
          </cell>
          <cell r="D225" t="str">
            <v>ja</v>
          </cell>
          <cell r="E225" t="str">
            <v>連鎖の水縛</v>
          </cell>
        </row>
        <row r="226">
          <cell r="A226">
            <v>34014</v>
          </cell>
          <cell r="B226" t="str">
            <v>[effect:sleep, target:unit_one, turn:4, rate:1.0, animation:enemy_sleep]</v>
          </cell>
          <cell r="C226">
            <v>3</v>
          </cell>
          <cell r="D226" t="str">
            <v>ja</v>
          </cell>
          <cell r="E226" t="str">
            <v>連鎖の水縛</v>
          </cell>
        </row>
        <row r="227">
          <cell r="A227">
            <v>350001</v>
          </cell>
          <cell r="B227" t="str">
            <v>[effect:degrade_unit, target:unit_all, turn:5, status:heal, val:1.0, calc:mul, animation:degrade_unit_all_heal]</v>
          </cell>
          <cell r="C227">
            <v>3</v>
          </cell>
          <cell r="D227" t="str">
            <v>ja</v>
          </cell>
          <cell r="E227" t="str">
            <v>ハートブレイク</v>
          </cell>
        </row>
        <row r="228">
          <cell r="A228">
            <v>350002</v>
          </cell>
          <cell r="B228" t="str">
            <v>[effect:degrade_unit, target:unit_all, turn:-1, status:heal, val:1.0, calc:mul, animation:degrade_unit_all_heal]</v>
          </cell>
          <cell r="C228">
            <v>3</v>
          </cell>
          <cell r="D228" t="str">
            <v>ja</v>
          </cell>
          <cell r="E228" t="str">
            <v>ハートブレイク</v>
          </cell>
        </row>
        <row r="229">
          <cell r="A229">
            <v>350003</v>
          </cell>
          <cell r="B229" t="str">
            <v>[effect:degrade_unit, target:unit_all, turn:-1, status:heal, val:1.0, calc:mul, animation:degrade_unit_all_heal]</v>
          </cell>
          <cell r="C229">
            <v>3</v>
          </cell>
          <cell r="D229" t="str">
            <v>ja</v>
          </cell>
          <cell r="E229" t="str">
            <v>神代の呪詛</v>
          </cell>
        </row>
        <row r="230">
          <cell r="A230">
            <v>350004</v>
          </cell>
          <cell r="B230" t="str">
            <v>[effect:degrade_unit, target:unit_all, turn:-1, status:heal, val:1.0, calc:mul]</v>
          </cell>
          <cell r="C230">
            <v>1</v>
          </cell>
          <cell r="D230" t="str">
            <v>ja</v>
          </cell>
          <cell r="E230" t="str">
            <v>ハートキャッチ</v>
          </cell>
        </row>
        <row r="231">
          <cell r="A231">
            <v>350005</v>
          </cell>
          <cell r="B231" t="str">
            <v>[effect:degrade_unit, target:unit_all, turn:3, status:heal, val:1, calc:mul, animation:degrade_unit_all_heal]</v>
          </cell>
          <cell r="C231">
            <v>3</v>
          </cell>
          <cell r="D231" t="str">
            <v>ja</v>
          </cell>
          <cell r="E231" t="str">
            <v>叶わぬ恋</v>
          </cell>
        </row>
        <row r="232">
          <cell r="A232">
            <v>350006</v>
          </cell>
          <cell r="B232" t="str">
            <v>[effect:degrade_unit, target:unit_all, turn:-1, status:heal, val:1.0, calc:mul]</v>
          </cell>
          <cell r="C232">
            <v>1</v>
          </cell>
          <cell r="D232" t="str">
            <v>ja</v>
          </cell>
          <cell r="E232" t="str">
            <v>回復ダウン【仮】</v>
          </cell>
        </row>
        <row r="233">
          <cell r="A233">
            <v>350007</v>
          </cell>
          <cell r="B233" t="str">
            <v>[effect:degrade_unit, target:unit_all, turn:5, status:heal, val:1.0, calc:mul, animation:degrade_unit_all_heal],[effect:critical, val:1.5.0, animation:enemy_critical]</v>
          </cell>
          <cell r="C233">
            <v>3</v>
          </cell>
          <cell r="D233" t="str">
            <v>ja</v>
          </cell>
          <cell r="E233" t="str">
            <v>ハートスナイプ</v>
          </cell>
        </row>
        <row r="234">
          <cell r="A234">
            <v>360001</v>
          </cell>
          <cell r="B234" t="str">
            <v>[effect:degrade_unit, target:unit_red, turn:-1, status:attack, val:1.0, calc:mul]</v>
          </cell>
          <cell r="C234">
            <v>3</v>
          </cell>
          <cell r="D234" t="str">
            <v>ja</v>
          </cell>
          <cell r="E234" t="str">
            <v>楽しき宴</v>
          </cell>
        </row>
        <row r="235">
          <cell r="A235">
            <v>360002</v>
          </cell>
          <cell r="B235" t="str">
            <v>[effect:degrade_unit, target:unit_red, turn:2, status:attack, val:0.5, calc:mul]</v>
          </cell>
          <cell r="C235">
            <v>3</v>
          </cell>
          <cell r="D235" t="str">
            <v>ja</v>
          </cell>
          <cell r="E235" t="str">
            <v>遊んでやろう</v>
          </cell>
        </row>
        <row r="236">
          <cell r="A236">
            <v>370001</v>
          </cell>
          <cell r="B236" t="str">
            <v>[effect:enemy_counter, target:myself,invoke_condition:unit_yellow,counter_target:attacker,turn:3,val:2.0,animation:enemy_counter]</v>
          </cell>
          <cell r="C236">
            <v>3</v>
          </cell>
          <cell r="D236" t="str">
            <v>ja</v>
          </cell>
          <cell r="E236" t="str">
            <v>黄属性カウンター</v>
          </cell>
        </row>
        <row r="237">
          <cell r="A237">
            <v>370002</v>
          </cell>
          <cell r="B237" t="str">
            <v>[effect:enemy_counter, target:myself,invoke_condition:unit_yellow,counter_target:attacker,turn:3,val:3.5,animation:enemy_counter]</v>
          </cell>
          <cell r="C237">
            <v>3</v>
          </cell>
          <cell r="D237" t="str">
            <v>ja</v>
          </cell>
          <cell r="E237" t="str">
            <v>黄属性カウンター(強)</v>
          </cell>
        </row>
        <row r="238">
          <cell r="A238">
            <v>370003</v>
          </cell>
          <cell r="B238" t="str">
            <v>[effect:enemy_counter, target:myself,invoke_condition:unit_red,counter_target:attacker,turn:1,val:2.0,animation:enemy_counter]</v>
          </cell>
          <cell r="C238">
            <v>3</v>
          </cell>
          <cell r="D238" t="str">
            <v>ja</v>
          </cell>
          <cell r="E238" t="str">
            <v>ダダこね</v>
          </cell>
        </row>
        <row r="239">
          <cell r="A239">
            <v>370004</v>
          </cell>
          <cell r="B239" t="str">
            <v>[effect:enemy_counter, target:myself,invoke_condition:unit_red,counter_target:attacker,turn:3,val:1.5,animation:enemy_counter]</v>
          </cell>
          <cell r="C239">
            <v>3</v>
          </cell>
          <cell r="D239" t="str">
            <v>ja</v>
          </cell>
          <cell r="E239" t="str">
            <v>インティミデイト</v>
          </cell>
        </row>
        <row r="240">
          <cell r="A240">
            <v>370005</v>
          </cell>
          <cell r="B240" t="str">
            <v>[effect:enemy_counter, target:myself,invoke_condition:unit_yellow,counter_target:attacker,turn:4,val:2.0,animation:enemy_counter]</v>
          </cell>
          <cell r="C240">
            <v>3</v>
          </cell>
          <cell r="D240" t="str">
            <v>ja</v>
          </cell>
          <cell r="E240" t="str">
            <v>黄属性カウンター</v>
          </cell>
        </row>
        <row r="241">
          <cell r="A241">
            <v>370006</v>
          </cell>
          <cell r="B241" t="str">
            <v>[effect:enemy_counter, target:myself,invoke_condition:unit_all,counter_target:attacker,turn:1,val:1.25,animation:enemy_counter]</v>
          </cell>
          <cell r="C241">
            <v>3</v>
          </cell>
          <cell r="D241" t="str">
            <v>ja</v>
          </cell>
          <cell r="E241" t="str">
            <v>ほらほら、触ってみて？</v>
          </cell>
        </row>
        <row r="242">
          <cell r="A242">
            <v>400001</v>
          </cell>
          <cell r="B242" t="str">
            <v>[effect:freq_turn, target:myself, turn:3, val:1, animation:enemy_freq_turn]</v>
          </cell>
          <cell r="C242">
            <v>3</v>
          </cell>
          <cell r="D242" t="str">
            <v>ja</v>
          </cell>
          <cell r="E242" t="str">
            <v>ハイスピードハック</v>
          </cell>
        </row>
        <row r="243">
          <cell r="A243">
            <v>400002</v>
          </cell>
          <cell r="B243" t="str">
            <v>[effect:freq_turn, target:myself, turn:3, val:1, animation:enemy_freq_turn]</v>
          </cell>
          <cell r="C243">
            <v>3</v>
          </cell>
          <cell r="D243" t="str">
            <v>ja</v>
          </cell>
          <cell r="E243" t="str">
            <v>スーパースピードハック</v>
          </cell>
        </row>
        <row r="244">
          <cell r="A244">
            <v>400003</v>
          </cell>
          <cell r="B244" t="str">
            <v>[effect:freq_turn, target:myself, turn:4, val:1, animation:enemy_freq_turn]</v>
          </cell>
          <cell r="C244">
            <v>3</v>
          </cell>
          <cell r="D244" t="str">
            <v>ja</v>
          </cell>
          <cell r="E244" t="str">
            <v>速筆</v>
          </cell>
        </row>
        <row r="245">
          <cell r="A245">
            <v>400004</v>
          </cell>
          <cell r="B245" t="str">
            <v>[effect:freq_turn, target:myself, turn:2, val:1, animation:enemy_freq_turn]</v>
          </cell>
          <cell r="C245">
            <v>3</v>
          </cell>
          <cell r="D245" t="str">
            <v>ja</v>
          </cell>
          <cell r="E245" t="str">
            <v>紅葉乱舞</v>
          </cell>
        </row>
        <row r="246">
          <cell r="A246">
            <v>400005</v>
          </cell>
          <cell r="B246" t="str">
            <v>[effect:freq_turn, target:enemy_all, turn:3, val:1, animation:enemy_freq_turn]</v>
          </cell>
          <cell r="C246">
            <v>3</v>
          </cell>
          <cell r="D246" t="str">
            <v>ja</v>
          </cell>
          <cell r="E246" t="str">
            <v>ハイスピードハック</v>
          </cell>
        </row>
        <row r="247">
          <cell r="A247">
            <v>400006</v>
          </cell>
          <cell r="B247" t="str">
            <v>[effect:freq_turn, target:enemy_all, turn:2, val:1, animation:enemy_freq_turn]</v>
          </cell>
          <cell r="C247">
            <v>3</v>
          </cell>
          <cell r="D247" t="str">
            <v>ja</v>
          </cell>
          <cell r="E247" t="str">
            <v>紅葉乱舞</v>
          </cell>
        </row>
        <row r="248">
          <cell r="A248">
            <v>400007</v>
          </cell>
          <cell r="B248" t="str">
            <v>[effect:freq_turn, target:myself, turn:-1, val:1, animation:enemy_freq_turn]</v>
          </cell>
          <cell r="C248">
            <v>3</v>
          </cell>
          <cell r="D248" t="str">
            <v>ja</v>
          </cell>
          <cell r="E248" t="str">
            <v>駿撃</v>
          </cell>
        </row>
        <row r="249">
          <cell r="A249">
            <v>400008</v>
          </cell>
          <cell r="B249" t="str">
            <v>[effect:freq_turn, target:myself, turn:-1, val:1, animation:enemy_freq_turn]</v>
          </cell>
          <cell r="C249">
            <v>3</v>
          </cell>
          <cell r="D249" t="str">
            <v>ja</v>
          </cell>
          <cell r="E249" t="str">
            <v>急いで止めなきゃ</v>
          </cell>
        </row>
        <row r="250">
          <cell r="A250">
            <v>400009</v>
          </cell>
          <cell r="B250" t="str">
            <v>[effect:freq_turn, turn:2, val:1, animation:enemy_freq_turn]</v>
          </cell>
          <cell r="C250">
            <v>3</v>
          </cell>
          <cell r="D250" t="str">
            <v>ja</v>
          </cell>
          <cell r="E250" t="str">
            <v>クロックアップ</v>
          </cell>
        </row>
        <row r="251">
          <cell r="A251">
            <v>400010</v>
          </cell>
          <cell r="B251" t="str">
            <v>[effect:freq_turn, target:myself, turn:-1, val:1, animation:enemy_freq_turn]</v>
          </cell>
          <cell r="C251">
            <v>3</v>
          </cell>
          <cell r="D251" t="str">
            <v>ja</v>
          </cell>
          <cell r="E251" t="str">
            <v>処刑宣告完了</v>
          </cell>
        </row>
        <row r="252">
          <cell r="A252">
            <v>400011</v>
          </cell>
          <cell r="B252" t="str">
            <v>[effect:freq_turn, target:myself, turn:4, val:1, animation:enemy_freq_turn]</v>
          </cell>
          <cell r="C252">
            <v>3</v>
          </cell>
          <cell r="D252" t="str">
            <v>ja</v>
          </cell>
          <cell r="E252" t="str">
            <v>疾走する本能</v>
          </cell>
        </row>
        <row r="253">
          <cell r="A253">
            <v>400012</v>
          </cell>
          <cell r="B253" t="str">
            <v>[effect:freq_turn, target:myself, turn:3, val:1, animation:enemy_freq_turn]</v>
          </cell>
          <cell r="C253">
            <v>1</v>
          </cell>
          <cell r="D253" t="str">
            <v>ja</v>
          </cell>
          <cell r="E253" t="str">
            <v>紅葉乱舞</v>
          </cell>
        </row>
        <row r="254">
          <cell r="A254">
            <v>400013</v>
          </cell>
          <cell r="B254" t="str">
            <v>[effect:freq_turn, target:myself, turn:3, val:1, animation:enemy_freq_turn]</v>
          </cell>
          <cell r="C254">
            <v>1</v>
          </cell>
          <cell r="D254" t="str">
            <v>ja</v>
          </cell>
          <cell r="E254" t="str">
            <v>スピードアップ【仮】</v>
          </cell>
        </row>
        <row r="255">
          <cell r="A255">
            <v>400014</v>
          </cell>
          <cell r="B255" t="str">
            <v>[effect:fix_speed,target:myself,turn:2]</v>
          </cell>
          <cell r="C255">
            <v>3</v>
          </cell>
          <cell r="D255" t="str">
            <v>ja</v>
          </cell>
          <cell r="E255" t="str">
            <v>&lt;ロックオン&gt;</v>
          </cell>
        </row>
        <row r="256">
          <cell r="A256">
            <v>400015</v>
          </cell>
          <cell r="B256" t="str">
            <v>[effect:freq_turn, target:myself, turn:-1, val:1, animation:enemy_freq_turn]</v>
          </cell>
          <cell r="C256">
            <v>3</v>
          </cell>
          <cell r="D256" t="str">
            <v>ja</v>
          </cell>
          <cell r="E256" t="str">
            <v>速翼の矜持</v>
          </cell>
        </row>
        <row r="257">
          <cell r="A257">
            <v>400016</v>
          </cell>
          <cell r="B257" t="str">
            <v>[effect:freq_turn, target:myself, turn:5, val:1, animation:enemy_freq_turn]</v>
          </cell>
          <cell r="C257">
            <v>3</v>
          </cell>
          <cell r="D257" t="str">
            <v>ja</v>
          </cell>
          <cell r="E257" t="str">
            <v>ターゲット・ロックオン</v>
          </cell>
        </row>
        <row r="258">
          <cell r="A258">
            <v>400017</v>
          </cell>
          <cell r="B258" t="str">
            <v>[effect:freq_turn, target:myself, turn:-1, val:1, animation:enemy_freq_turn]</v>
          </cell>
          <cell r="C258">
            <v>3</v>
          </cell>
          <cell r="D258" t="str">
            <v>ja</v>
          </cell>
          <cell r="E258" t="str">
            <v>狂乱の宴</v>
          </cell>
        </row>
        <row r="259">
          <cell r="A259">
            <v>400018</v>
          </cell>
          <cell r="B259" t="str">
            <v>[effect:freq_turn, target:enemy_all, turn:3, val:1, animation:enemy_freq_turn]</v>
          </cell>
          <cell r="C259">
            <v>1</v>
          </cell>
          <cell r="D259" t="str">
            <v>ja</v>
          </cell>
          <cell r="E259" t="str">
            <v>疾走する本能</v>
          </cell>
        </row>
        <row r="260">
          <cell r="A260">
            <v>400019</v>
          </cell>
          <cell r="B260" t="str">
            <v>[effect:freq_turn, target:myself, turn:3, val:1, animation:enemy_freq_turn]</v>
          </cell>
          <cell r="C260">
            <v>3</v>
          </cell>
          <cell r="D260" t="str">
            <v>ja</v>
          </cell>
          <cell r="E260" t="str">
            <v>クイックリロード</v>
          </cell>
        </row>
        <row r="261">
          <cell r="A261">
            <v>400020</v>
          </cell>
          <cell r="B261" t="str">
            <v>[effect:freq_turn, target:myself, turn:4, val:1, animation:enemy_freq_turn]</v>
          </cell>
          <cell r="C261">
            <v>3</v>
          </cell>
          <cell r="D261" t="str">
            <v>ja</v>
          </cell>
          <cell r="E261" t="str">
            <v>高速化</v>
          </cell>
        </row>
        <row r="262">
          <cell r="A262">
            <v>400021</v>
          </cell>
          <cell r="B262" t="str">
            <v>[effect:freq_turn, target:myself, turn:3, val:1, animation:enemy_freq_turn]</v>
          </cell>
          <cell r="C262">
            <v>3</v>
          </cell>
          <cell r="D262" t="str">
            <v>ja</v>
          </cell>
          <cell r="E262" t="str">
            <v>暴走</v>
          </cell>
        </row>
        <row r="263">
          <cell r="A263">
            <v>400022</v>
          </cell>
          <cell r="B263" t="str">
            <v>[effect:freq_turn, target:myself, turn:2, val:1, animation:enemy_freq_turn]</v>
          </cell>
          <cell r="C263">
            <v>3</v>
          </cell>
          <cell r="D263" t="str">
            <v>ja</v>
          </cell>
          <cell r="E263" t="str">
            <v>カンブリアの激流！</v>
          </cell>
        </row>
        <row r="264">
          <cell r="A264">
            <v>400023</v>
          </cell>
          <cell r="B264" t="str">
            <v>[effect:freq_turn, target:enemy_all, turn:-1, val:1, animation:enemy_freq_turn]</v>
          </cell>
          <cell r="C264">
            <v>3</v>
          </cell>
          <cell r="D264" t="str">
            <v>ja</v>
          </cell>
          <cell r="E264" t="str">
            <v>疾走する本能</v>
          </cell>
        </row>
        <row r="265">
          <cell r="A265">
            <v>400024</v>
          </cell>
          <cell r="B265" t="str">
            <v>[effect:freq_turn, target:enemy_all, turn:3, val:1, animation:enemy_freq_turn]</v>
          </cell>
          <cell r="C265">
            <v>3</v>
          </cell>
          <cell r="D265" t="str">
            <v>ja</v>
          </cell>
          <cell r="E265" t="str">
            <v>紅葉乱舞</v>
          </cell>
        </row>
        <row r="266">
          <cell r="A266">
            <v>40025</v>
          </cell>
          <cell r="B266" t="str">
            <v>[effect:freq_turn, target:myself, turn:2, val:1, animation:enemy_freq_turn],[effect:dis_panel, target:block_yellow, turn:5, animation:enemy_dis_yellow]</v>
          </cell>
          <cell r="C266">
            <v>3</v>
          </cell>
          <cell r="D266" t="str">
            <v>ja</v>
          </cell>
          <cell r="E266" t="str">
            <v>あ、あのねっ</v>
          </cell>
        </row>
        <row r="267">
          <cell r="A267">
            <v>400027</v>
          </cell>
          <cell r="B267" t="str">
            <v>[effect:freq_turn, target:enemy_all, turn:5, val:1, animation:enemy_freq_turn]</v>
          </cell>
          <cell r="C267">
            <v>1</v>
          </cell>
          <cell r="D267" t="str">
            <v>ja</v>
          </cell>
          <cell r="E267" t="str">
            <v>ジャンヌ仮頻度</v>
          </cell>
        </row>
        <row r="268">
          <cell r="A268">
            <v>410001</v>
          </cell>
          <cell r="B268" t="str">
            <v>[effect:enhance_enemy, target:enemy_all, turn:3, status:attack, val:1.25, animation:enemy_enhance_enemy]</v>
          </cell>
          <cell r="C268">
            <v>3</v>
          </cell>
          <cell r="D268" t="str">
            <v>ja</v>
          </cell>
          <cell r="E268" t="str">
            <v>火酒</v>
          </cell>
        </row>
        <row r="269">
          <cell r="A269">
            <v>410002</v>
          </cell>
          <cell r="B269" t="str">
            <v>[effect:enhance_enemy, target:enemy_all, turn:3, status:attack, val:1.50, animation:enemy_enhance_enemy]</v>
          </cell>
          <cell r="C269">
            <v>3</v>
          </cell>
          <cell r="D269" t="str">
            <v>ja</v>
          </cell>
          <cell r="E269" t="str">
            <v>攻撃力UP</v>
          </cell>
        </row>
        <row r="270">
          <cell r="A270">
            <v>410003</v>
          </cell>
          <cell r="B270" t="str">
            <v>[effect:enhance_enemy, target:enemy_all, turn:5, status:attack, val:1.2, animation:enemy_enhance_enemy]</v>
          </cell>
          <cell r="C270">
            <v>3</v>
          </cell>
          <cell r="D270" t="str">
            <v>ja</v>
          </cell>
          <cell r="E270" t="str">
            <v>頑張っちゃいますぅ！</v>
          </cell>
        </row>
        <row r="271">
          <cell r="A271">
            <v>410004</v>
          </cell>
          <cell r="B271" t="str">
            <v>[effect:enhance_enemy, target:enemy_all, turn:3, status:attack, val:1.50, animation:enemy_enhance_enemy]</v>
          </cell>
          <cell r="C271">
            <v>3</v>
          </cell>
          <cell r="D271" t="str">
            <v>ja</v>
          </cell>
          <cell r="E271" t="str">
            <v>電力アップ</v>
          </cell>
        </row>
        <row r="272">
          <cell r="A272">
            <v>410005</v>
          </cell>
          <cell r="B272" t="str">
            <v>[effect:enhance_enemy, target:enemy_all, turn:5, status:attack, val:2.0, animation:enemy_enhance_enemy]</v>
          </cell>
          <cell r="C272">
            <v>3</v>
          </cell>
          <cell r="D272" t="str">
            <v>ja</v>
          </cell>
          <cell r="E272" t="str">
            <v>もっと遊ぼう？</v>
          </cell>
        </row>
        <row r="273">
          <cell r="A273">
            <v>410006</v>
          </cell>
          <cell r="B273" t="str">
            <v>[effect:enhance_enemy, target:enemy_all, turn:3, status:attack, val:2.0, animation:enemy_enhance_enemy]</v>
          </cell>
          <cell r="C273">
            <v>3</v>
          </cell>
          <cell r="D273" t="str">
            <v>ja</v>
          </cell>
          <cell r="E273" t="str">
            <v>獅子の咆哮</v>
          </cell>
        </row>
        <row r="274">
          <cell r="A274">
            <v>410007</v>
          </cell>
          <cell r="B274" t="str">
            <v>[effect:enhance_enemy, target:enemy_all, turn:5, status:attack, val:1.50, animation:enemy_enhance_enemy]</v>
          </cell>
          <cell r="C274">
            <v>3</v>
          </cell>
          <cell r="D274" t="str">
            <v>ja</v>
          </cell>
          <cell r="E274" t="str">
            <v>緑剛の恵み</v>
          </cell>
        </row>
        <row r="275">
          <cell r="A275">
            <v>410008</v>
          </cell>
          <cell r="B275" t="str">
            <v>[effect:enhance_enemy, target:enemy_all, turn:3, status:attack, val:1.5, animation:enemy_enhance_enemy]</v>
          </cell>
          <cell r="C275">
            <v>3</v>
          </cell>
          <cell r="D275" t="str">
            <v>ja</v>
          </cell>
          <cell r="E275" t="str">
            <v>怒り鉤爪</v>
          </cell>
        </row>
        <row r="276">
          <cell r="A276">
            <v>410009</v>
          </cell>
          <cell r="B276" t="str">
            <v>[effect:enhance_enemy, target:enemy_all, turn:5, status:attack, val:1.50, animation:enemy_enhance_enemy]</v>
          </cell>
          <cell r="C276">
            <v>3</v>
          </cell>
          <cell r="D276" t="str">
            <v>ja</v>
          </cell>
          <cell r="E276" t="str">
            <v>本気で止めなきゃ</v>
          </cell>
        </row>
        <row r="277">
          <cell r="A277">
            <v>410010</v>
          </cell>
          <cell r="B277" t="str">
            <v>[effect:enhance_enemy, target:enemy_all, turn:3, status:attack, val:1.50, animation:enemy_enhance_enemy]</v>
          </cell>
          <cell r="C277">
            <v>3</v>
          </cell>
          <cell r="D277" t="str">
            <v>ja</v>
          </cell>
          <cell r="E277" t="str">
            <v>攻勢の巫術</v>
          </cell>
        </row>
        <row r="278">
          <cell r="A278">
            <v>410011</v>
          </cell>
          <cell r="B278" t="str">
            <v>[effect:enhance_enemy, target:enemy_all, turn:-1, status:attack, val:1.6, animation:enemy_enhance_enemy]</v>
          </cell>
          <cell r="C278">
            <v>3</v>
          </cell>
          <cell r="D278" t="str">
            <v>ja</v>
          </cell>
          <cell r="E278" t="str">
            <v>痛いじゃないの！</v>
          </cell>
        </row>
        <row r="279">
          <cell r="A279">
            <v>410012</v>
          </cell>
          <cell r="B279" t="str">
            <v>[effect:enhance_enemy, target:myself, turn:3, status:attack, val:1.5, animation:enemy_enhance_enemy]</v>
          </cell>
          <cell r="C279">
            <v>3</v>
          </cell>
          <cell r="D279" t="str">
            <v>ja</v>
          </cell>
          <cell r="E279" t="str">
            <v>獅子の咆哮</v>
          </cell>
        </row>
        <row r="280">
          <cell r="A280">
            <v>410013</v>
          </cell>
          <cell r="B280" t="str">
            <v>[effect:enhance_enemy, target:myself, turn:-1, status:attack, val:1.2, animation:enemy_enhance_enemy]</v>
          </cell>
          <cell r="C280">
            <v>3</v>
          </cell>
          <cell r="D280" t="str">
            <v>ja</v>
          </cell>
          <cell r="E280" t="str">
            <v>野生の本能</v>
          </cell>
        </row>
        <row r="281">
          <cell r="A281">
            <v>410014</v>
          </cell>
          <cell r="B281" t="str">
            <v>[effect:enhance_enemy, target:enemy_all, turn:3, status:attack, val:1.50, animation:enemy_enhance_enemy]</v>
          </cell>
          <cell r="C281">
            <v>3</v>
          </cell>
          <cell r="D281" t="str">
            <v>ja</v>
          </cell>
          <cell r="E281" t="str">
            <v>緑剛の恵み</v>
          </cell>
        </row>
        <row r="282">
          <cell r="A282">
            <v>410015</v>
          </cell>
          <cell r="B282" t="str">
            <v>[effect:enhance_enemy, target:enemy_all, turn:5, status:attack, val:2.0, animation:enemy_enhance_enemy]</v>
          </cell>
          <cell r="C282">
            <v>3</v>
          </cell>
          <cell r="D282" t="str">
            <v>ja</v>
          </cell>
          <cell r="E282" t="str">
            <v>もっと遊ぼう？</v>
          </cell>
        </row>
        <row r="283">
          <cell r="A283">
            <v>41016</v>
          </cell>
          <cell r="B283" t="str">
            <v>[effect:enhance_enemy, target:enemy_all, turn:-1, status:attack, val:1.1, animation:enemy_enhance_enemy],[effect:fix_speed,target:myself,turn:2]</v>
          </cell>
          <cell r="C283">
            <v>3</v>
          </cell>
          <cell r="D283" t="str">
            <v>ja</v>
          </cell>
          <cell r="E283" t="str">
            <v>力尽くでも奪い返す…！</v>
          </cell>
        </row>
        <row r="284">
          <cell r="A284">
            <v>410017</v>
          </cell>
          <cell r="B284" t="str">
            <v>[effect:enhance_enemy, target:enemy_all, turn:-1, status:attack, val:1.1, animation:enemy_enhance_enemy]</v>
          </cell>
          <cell r="C284">
            <v>3</v>
          </cell>
          <cell r="D284" t="str">
            <v>ja</v>
          </cell>
          <cell r="E284" t="str">
            <v>野生の本能</v>
          </cell>
        </row>
        <row r="285">
          <cell r="A285">
            <v>410018</v>
          </cell>
          <cell r="B285" t="str">
            <v>[effect:enhance_enemy, target:enemy_all, turn:5, status:attack, val:1.1, animation:enemy_enhance_enemy]</v>
          </cell>
          <cell r="C285">
            <v>3</v>
          </cell>
          <cell r="D285" t="str">
            <v>ja</v>
          </cell>
          <cell r="E285" t="str">
            <v>力尽くでも奪い返す…！</v>
          </cell>
        </row>
        <row r="286">
          <cell r="A286">
            <v>410019</v>
          </cell>
          <cell r="B286" t="str">
            <v>[effect:enhance_enemy, target:enemy_all, turn:4, status:attack, val:1.5, animation:enemy_enhance_enemy]</v>
          </cell>
          <cell r="C286">
            <v>3</v>
          </cell>
          <cell r="D286" t="str">
            <v>ja</v>
          </cell>
          <cell r="E286" t="str">
            <v>闘気結集</v>
          </cell>
        </row>
        <row r="287">
          <cell r="A287">
            <v>410020</v>
          </cell>
          <cell r="B287" t="str">
            <v>[effect:enhance_enemy, target:enemy_all, turn:3, status:attack, val:1.2, animation:enemy_enhance_enemy]</v>
          </cell>
          <cell r="C287">
            <v>3</v>
          </cell>
          <cell r="D287" t="str">
            <v>ja</v>
          </cell>
          <cell r="E287" t="str">
            <v>ちょっと本気出そっかな</v>
          </cell>
        </row>
        <row r="288">
          <cell r="A288">
            <v>410021</v>
          </cell>
          <cell r="B288" t="str">
            <v>[effect:enhance_enemy, target:enemy_all, turn:4, status:attack, val:1.25, animation:enemy_enhance_enemy]</v>
          </cell>
          <cell r="C288">
            <v>3</v>
          </cell>
          <cell r="D288" t="str">
            <v>ja</v>
          </cell>
          <cell r="E288" t="str">
            <v>インサニティ</v>
          </cell>
        </row>
        <row r="289">
          <cell r="A289">
            <v>410022</v>
          </cell>
          <cell r="B289" t="str">
            <v>[effect:enhance_enemy, target:enemy_all, turn:3, status:attack, val:1.5, animation:enemy_enhance_enemy]</v>
          </cell>
          <cell r="C289">
            <v>3</v>
          </cell>
          <cell r="D289" t="str">
            <v>ja</v>
          </cell>
          <cell r="E289" t="str">
            <v>このオレが愛でてやろう</v>
          </cell>
        </row>
        <row r="290">
          <cell r="A290">
            <v>410023</v>
          </cell>
          <cell r="B290" t="str">
            <v>[effect:enhance_enemy, target:enemy_all, turn:8, status:attack, val:1.2, animation:enemy_enhance_enemy]</v>
          </cell>
          <cell r="C290">
            <v>3</v>
          </cell>
          <cell r="D290" t="str">
            <v>ja</v>
          </cell>
          <cell r="E290" t="str">
            <v>頑張っちゃいますぅ！</v>
          </cell>
        </row>
        <row r="291">
          <cell r="A291">
            <v>410024</v>
          </cell>
          <cell r="B291" t="str">
            <v>[effect:enhance_enemy, target:myself, turn:3, status:attack, val:1.2, animation:enemy_enhance_enemy]</v>
          </cell>
          <cell r="C291">
            <v>3</v>
          </cell>
          <cell r="D291" t="str">
            <v>ja</v>
          </cell>
          <cell r="E291" t="str">
            <v>全ては薔薇のために…</v>
          </cell>
        </row>
        <row r="292">
          <cell r="A292">
            <v>410025</v>
          </cell>
          <cell r="B292" t="str">
            <v>[effect:enhance_enemy, target:enemy_all, turn:3, status:attack, val:1.50, animation:enemy_enhance_enemy]</v>
          </cell>
          <cell r="C292">
            <v>3</v>
          </cell>
          <cell r="D292" t="str">
            <v>ja</v>
          </cell>
          <cell r="E292" t="str">
            <v>全力応援</v>
          </cell>
        </row>
        <row r="293">
          <cell r="A293">
            <v>410026</v>
          </cell>
          <cell r="B293" t="str">
            <v>[effect:enhance_enemy, target:enemy_all, turn:-1, status:defense, val:5000, calc:add, animation:enemy_enhance_enemy],[effect:enhance_enemy, target:enemy_all, turn:-1, status:attack, val:0.4, calc:mul, animation:enemy_enhance_enemy]</v>
          </cell>
          <cell r="C293">
            <v>3</v>
          </cell>
          <cell r="D293" t="str">
            <v>ja</v>
          </cell>
          <cell r="E293" t="str">
            <v>岩戸隠れ</v>
          </cell>
        </row>
        <row r="294">
          <cell r="A294">
            <v>410027</v>
          </cell>
          <cell r="B294" t="str">
            <v>[effect:enhance_enemy, target:enemy_all, turn:3, status:attack, val:1.1, animation:enemy_enhance_enemy]</v>
          </cell>
          <cell r="C294">
            <v>3</v>
          </cell>
          <cell r="D294" t="str">
            <v>ja</v>
          </cell>
          <cell r="E294" t="str">
            <v>深呼吸</v>
          </cell>
        </row>
        <row r="295">
          <cell r="A295">
            <v>410028</v>
          </cell>
          <cell r="B295" t="str">
            <v>[effect:enhance_enemy, target:enemy_all, turn:3, status:attack, val:1.3, animation:enemy_enhance_enemy]</v>
          </cell>
          <cell r="C295">
            <v>3</v>
          </cell>
          <cell r="D295" t="str">
            <v>ja</v>
          </cell>
          <cell r="E295" t="str">
            <v>もっと本気出すよ！</v>
          </cell>
        </row>
        <row r="296">
          <cell r="A296">
            <v>420001</v>
          </cell>
          <cell r="B296" t="str">
            <v>[effect:enhance_enemy, target:enemy_all, turn:-1, status:defense, val:5000, calc:add, animation:enemy_enhance_enemy],[effect:enhance_enemy, target:enemy_all, turn:-1, status:attack, val:0.4, calc:mul, animation:enemy_enhance_enemy]</v>
          </cell>
          <cell r="C296">
            <v>3</v>
          </cell>
          <cell r="D296" t="str">
            <v>ja</v>
          </cell>
          <cell r="E296" t="str">
            <v>岩戸隠れ</v>
          </cell>
        </row>
        <row r="297">
          <cell r="A297">
            <v>420002</v>
          </cell>
          <cell r="B297" t="str">
            <v>[effect:enhance_enemy, target:enemy_all, turn:3, status:defense, val:3000, calc:add, animation:enemy_enhance_enemy]</v>
          </cell>
          <cell r="C297">
            <v>1</v>
          </cell>
          <cell r="D297" t="str">
            <v>ja</v>
          </cell>
          <cell r="E297" t="str">
            <v>セメクトのカラシリス</v>
          </cell>
        </row>
        <row r="298">
          <cell r="A298">
            <v>420003</v>
          </cell>
          <cell r="B298" t="str">
            <v>[effect:enhance_enemy, target:enemy_all, turn:3, status:defense, val:10000, calc:add, animation:enemy_enhance_enemy]</v>
          </cell>
          <cell r="C298">
            <v>1</v>
          </cell>
          <cell r="D298" t="str">
            <v>ja</v>
          </cell>
          <cell r="E298" t="str">
            <v>女王を護る盾となる</v>
          </cell>
        </row>
        <row r="299">
          <cell r="A299">
            <v>420004</v>
          </cell>
          <cell r="B299" t="str">
            <v>[effect:enhance_enemy, target:myself, turn:-1, status:defense, val:5000, calc:add, animation:enemy_enhance_enemy]</v>
          </cell>
          <cell r="C299">
            <v>3</v>
          </cell>
          <cell r="D299" t="str">
            <v>ja</v>
          </cell>
          <cell r="E299" t="str">
            <v>竹林の防壁</v>
          </cell>
        </row>
        <row r="300">
          <cell r="A300">
            <v>420005</v>
          </cell>
          <cell r="B300" t="str">
            <v>[effect:enhance_enemy, target:enemy_all, turn:3, status:defense, val:5000, calc:add, animation:enemy_enhance_enemy],[effect:enhance_enemy, target:enemy_all, turn:3, status:attack, val:0.4, calc:mul, animation:enemy_enhance_enemy]</v>
          </cell>
          <cell r="C300">
            <v>3</v>
          </cell>
          <cell r="D300" t="str">
            <v>ja</v>
          </cell>
          <cell r="E300" t="str">
            <v>弾幕の嵐</v>
          </cell>
        </row>
        <row r="301">
          <cell r="A301">
            <v>420006</v>
          </cell>
          <cell r="B301" t="str">
            <v>[effect:nothing],[effect:fix_speed,target:myself,turn:2]</v>
          </cell>
          <cell r="C301">
            <v>3</v>
          </cell>
          <cell r="D301" t="str">
            <v>ja</v>
          </cell>
          <cell r="E301" t="str">
            <v>スチールプレデター</v>
          </cell>
        </row>
        <row r="302">
          <cell r="A302">
            <v>420007</v>
          </cell>
          <cell r="B302" t="str">
            <v>[effect:nothing],[effect:fix_speed,target:myself,turn:2]</v>
          </cell>
          <cell r="C302">
            <v>3</v>
          </cell>
          <cell r="D302" t="str">
            <v>ja</v>
          </cell>
          <cell r="E302" t="str">
            <v>スチールプレデター</v>
          </cell>
        </row>
        <row r="303">
          <cell r="A303">
            <v>420008</v>
          </cell>
          <cell r="B303" t="str">
            <v>[effect:enhance_enemy, target:enemy_all, turn:5, status:defense, val:1250, calc:add, animation:enemy_enhance_enemy],[effect:fix_speed,target:myself,turn:3]</v>
          </cell>
          <cell r="C303">
            <v>3</v>
          </cell>
          <cell r="D303" t="str">
            <v>ja</v>
          </cell>
          <cell r="E303" t="str">
            <v>わたしの嫁を返してもらおう</v>
          </cell>
        </row>
        <row r="304">
          <cell r="A304">
            <v>420009</v>
          </cell>
          <cell r="B304" t="str">
            <v>[effect:enhance_enemy, target:enemy_all, turn:5, status:defense, val:1000, calc:add, animation:enemy_enhance_enemy]</v>
          </cell>
          <cell r="C304">
            <v>3</v>
          </cell>
          <cell r="D304" t="str">
            <v>ja</v>
          </cell>
          <cell r="E304" t="str">
            <v>わたしの嫁を返してもらおう</v>
          </cell>
        </row>
        <row r="305">
          <cell r="A305">
            <v>420010</v>
          </cell>
          <cell r="B305" t="str">
            <v>[effect:enhance_enemy, target:enemy_all, turn:5, status:defense, val:800, calc:add, animation:enemy_enhance_enemy]</v>
          </cell>
          <cell r="C305">
            <v>3</v>
          </cell>
          <cell r="D305" t="str">
            <v>ja</v>
          </cell>
          <cell r="E305" t="str">
            <v>わたしの嫁を返してもらおう</v>
          </cell>
        </row>
        <row r="306">
          <cell r="A306">
            <v>420011</v>
          </cell>
          <cell r="B306" t="str">
            <v>[effect:enhance_enemy, target:enemy_all, turn:1, status:defense, val:10000, calc:add, animation:enemy_enhance_enemy],[effect:rush, count:1, val:0.8]</v>
          </cell>
          <cell r="C306">
            <v>3</v>
          </cell>
          <cell r="D306" t="str">
            <v>ja</v>
          </cell>
          <cell r="E306" t="str">
            <v>大地の怒り</v>
          </cell>
        </row>
        <row r="307">
          <cell r="A307">
            <v>420012</v>
          </cell>
          <cell r="B307" t="str">
            <v>[effect:enhance_enemy, target:enemy_all, turn:3, status:defense, val:3000, calc:add, animation:enemy_enhance_enemy]</v>
          </cell>
          <cell r="C307">
            <v>3</v>
          </cell>
          <cell r="D307" t="str">
            <v>ja</v>
          </cell>
          <cell r="E307" t="str">
            <v>カセキ化</v>
          </cell>
        </row>
        <row r="308">
          <cell r="A308">
            <v>420013</v>
          </cell>
          <cell r="B308" t="str">
            <v>[effect:enhance_enemy, target:enemy_all, turn:3, status:defense, val:3500, calc:add, animation:enemy_enhance_enemy]</v>
          </cell>
          <cell r="C308">
            <v>3</v>
          </cell>
          <cell r="D308" t="str">
            <v>ja</v>
          </cell>
          <cell r="E308" t="str">
            <v>下段の構え</v>
          </cell>
        </row>
        <row r="309">
          <cell r="A309">
            <v>430001</v>
          </cell>
          <cell r="B309" t="str">
            <v>[effect:degrade_unit, target:enemy_all, turn:-1, status:attack, val:0.7]</v>
          </cell>
          <cell r="C309">
            <v>3</v>
          </cell>
          <cell r="D309" t="str">
            <v>ja</v>
          </cell>
          <cell r="E309" t="str">
            <v>フフ、遊んであげるわ</v>
          </cell>
        </row>
        <row r="310">
          <cell r="A310">
            <v>500001</v>
          </cell>
          <cell r="B310" t="str">
            <v>[effect:change_block, new_block:time_bomb, target:block_all, count:3, val:0.1, animation:change_block]</v>
          </cell>
          <cell r="C310">
            <v>3</v>
          </cell>
          <cell r="D310" t="str">
            <v>ja</v>
          </cell>
          <cell r="E310" t="str">
            <v>クロックメテオ</v>
          </cell>
        </row>
        <row r="311">
          <cell r="A311">
            <v>500002</v>
          </cell>
          <cell r="B311" t="str">
            <v>[effect:change_block, new_block:time_bomb, target:block_all, count:5, val:0.2, animation:change_block],[effect:rush, count:1, val:0.7]</v>
          </cell>
          <cell r="C311">
            <v>3</v>
          </cell>
          <cell r="D311" t="str">
            <v>ja</v>
          </cell>
          <cell r="E311" t="str">
            <v>マキシマムベット</v>
          </cell>
        </row>
        <row r="312">
          <cell r="A312">
            <v>500003</v>
          </cell>
          <cell r="B312" t="str">
            <v>[effect:change_block, new_block:time_bomb, target:block_all, count:5, val:0.2, animation:change_block],[effect:rush, count:1, val:0.7]</v>
          </cell>
          <cell r="C312">
            <v>3</v>
          </cell>
          <cell r="D312" t="str">
            <v>ja</v>
          </cell>
          <cell r="E312" t="str">
            <v>マキシマムベット</v>
          </cell>
        </row>
        <row r="313">
          <cell r="A313">
            <v>500004</v>
          </cell>
          <cell r="B313" t="str">
            <v>[effect:change_block, new_block:time_bomb, target:block_all, count:3, val:0.1, animation:change_block]</v>
          </cell>
          <cell r="C313">
            <v>3</v>
          </cell>
          <cell r="D313" t="str">
            <v>ja</v>
          </cell>
          <cell r="E313" t="str">
            <v>クロックメテオ</v>
          </cell>
        </row>
        <row r="314">
          <cell r="A314">
            <v>500005</v>
          </cell>
          <cell r="B314" t="str">
            <v>[effect:change_block, new_block:time_bomb, target:block_all, count:7, val:0.1, animation:change_block]</v>
          </cell>
          <cell r="C314">
            <v>1</v>
          </cell>
          <cell r="D314" t="str">
            <v>ja</v>
          </cell>
          <cell r="E314" t="str">
            <v>深淵からの大渦</v>
          </cell>
        </row>
        <row r="315">
          <cell r="A315">
            <v>500006</v>
          </cell>
          <cell r="B315" t="str">
            <v>[effect:change_block, new_block:time_bomb, target:block_all, count:3, val:1.0, animation:change_block]</v>
          </cell>
          <cell r="C315">
            <v>3</v>
          </cell>
          <cell r="D315" t="str">
            <v>ja</v>
          </cell>
          <cell r="E315" t="str">
            <v>クレイモア</v>
          </cell>
        </row>
        <row r="316">
          <cell r="A316">
            <v>510001</v>
          </cell>
          <cell r="B316" t="str">
            <v>[effect:change_block, new_block:jammer, target:block_all, count:3, val:0.1, animation:change_block]</v>
          </cell>
          <cell r="C316">
            <v>3</v>
          </cell>
          <cell r="D316" t="str">
            <v>ja</v>
          </cell>
          <cell r="E316" t="str">
            <v>スパムバースト</v>
          </cell>
        </row>
        <row r="317">
          <cell r="A317">
            <v>510002</v>
          </cell>
          <cell r="B317" t="str">
            <v>[effect:change_block, new_block:jammer, target:block_all, count:5, val:0.1, animation:change_block]</v>
          </cell>
          <cell r="C317">
            <v>3</v>
          </cell>
          <cell r="D317" t="str">
            <v>ja</v>
          </cell>
          <cell r="E317" t="str">
            <v>ハイ・スパムバースト</v>
          </cell>
        </row>
        <row r="318">
          <cell r="A318">
            <v>510003</v>
          </cell>
          <cell r="B318" t="str">
            <v>[effect:change_block, new_block:jammer, target:block_all, count:3, val:0.1, animation:change_block]</v>
          </cell>
          <cell r="C318">
            <v>3</v>
          </cell>
          <cell r="D318" t="str">
            <v>ja</v>
          </cell>
          <cell r="E318" t="str">
            <v>反逆のシャウト</v>
          </cell>
        </row>
        <row r="319">
          <cell r="A319">
            <v>510004</v>
          </cell>
          <cell r="B319" t="str">
            <v>[effect:change_block, new_block:time_bomb, target:block_heart, count:0, val:0.1, animation:change_block]</v>
          </cell>
          <cell r="C319">
            <v>3</v>
          </cell>
          <cell r="D319" t="str">
            <v>ja</v>
          </cell>
          <cell r="E319" t="str">
            <v>ハートジャミング</v>
          </cell>
        </row>
        <row r="320">
          <cell r="A320">
            <v>510005</v>
          </cell>
          <cell r="B320" t="str">
            <v>[effect:change_block, new_block:jammer, target:block_all, count:5, val:0.1, animation:change_block]</v>
          </cell>
          <cell r="C320">
            <v>3</v>
          </cell>
          <cell r="D320" t="str">
            <v>ja</v>
          </cell>
          <cell r="E320" t="str">
            <v>お邪魔します</v>
          </cell>
        </row>
        <row r="321">
          <cell r="A321">
            <v>510006</v>
          </cell>
          <cell r="B321" t="str">
            <v>[effect:change_block, new_block:time_bomb, target:block_all, count:8, val:0.15, animation:change_block]</v>
          </cell>
          <cell r="C321">
            <v>3</v>
          </cell>
          <cell r="D321" t="str">
            <v>ja</v>
          </cell>
          <cell r="E321" t="str">
            <v>爆破します</v>
          </cell>
        </row>
        <row r="322">
          <cell r="A322">
            <v>510007</v>
          </cell>
          <cell r="B322" t="str">
            <v>[effect:change_block, new_block:time_bomb, target:block_heart, count:0, val:0.1, animation:change_block]</v>
          </cell>
          <cell r="C322">
            <v>3</v>
          </cell>
          <cell r="D322" t="str">
            <v>ja</v>
          </cell>
          <cell r="E322" t="str">
            <v>さよならハート</v>
          </cell>
        </row>
        <row r="323">
          <cell r="A323">
            <v>510008</v>
          </cell>
          <cell r="B323" t="str">
            <v>[effect:change_block, new_block:jammer, target:block_all, count:3, val:0.1, animation:change_block]</v>
          </cell>
          <cell r="C323">
            <v>3</v>
          </cell>
          <cell r="D323" t="str">
            <v>ja</v>
          </cell>
          <cell r="E323" t="str">
            <v>イブと遊ぼ？</v>
          </cell>
        </row>
        <row r="324">
          <cell r="A324">
            <v>510009</v>
          </cell>
          <cell r="B324" t="str">
            <v>[effect:change_block, new_block:jammer, target:block_all, count:5, val:0.1, animation:change_block]</v>
          </cell>
          <cell r="C324">
            <v>3</v>
          </cell>
          <cell r="D324" t="str">
            <v>ja</v>
          </cell>
          <cell r="E324" t="str">
            <v>パネルフリーズ</v>
          </cell>
        </row>
        <row r="325">
          <cell r="A325">
            <v>510010</v>
          </cell>
          <cell r="B325" t="str">
            <v>[effect:change_block, new_block:jammer, target:block_all, count:5, val:0.1, animation:change_block],[effect:rush, count:1, val:1.3]</v>
          </cell>
          <cell r="C325">
            <v>3</v>
          </cell>
          <cell r="D325" t="str">
            <v>ja</v>
          </cell>
          <cell r="E325" t="str">
            <v>ダウンカード</v>
          </cell>
        </row>
        <row r="326">
          <cell r="A326">
            <v>510011</v>
          </cell>
          <cell r="B326" t="str">
            <v>[effect:change_block, new_block:block_red, target:block_all, count:6, val:0.1, animation:change_block],[effect:rush, count:1, val:1.0]</v>
          </cell>
          <cell r="C326">
            <v>3</v>
          </cell>
          <cell r="D326" t="str">
            <v>ja</v>
          </cell>
          <cell r="E326" t="str">
            <v>ダズルフィクション</v>
          </cell>
        </row>
        <row r="327">
          <cell r="A327">
            <v>510012</v>
          </cell>
          <cell r="B327" t="str">
            <v>[effect:change_block, new_block:block_blue, target:block_all, count:6, val:0.1, animation:change_block],[effect:rush, count:1, val:1.0]</v>
          </cell>
          <cell r="C327">
            <v>3</v>
          </cell>
          <cell r="D327" t="str">
            <v>ja</v>
          </cell>
          <cell r="E327" t="str">
            <v>ダズルフィクション</v>
          </cell>
        </row>
        <row r="328">
          <cell r="A328">
            <v>510013</v>
          </cell>
          <cell r="B328" t="str">
            <v>[effect:change_block, new_block:block_green, target:block_all, count:6, val:0.1, animation:change_block],[effect:rush, count:1, val:1.0]</v>
          </cell>
          <cell r="C328">
            <v>3</v>
          </cell>
          <cell r="D328" t="str">
            <v>ja</v>
          </cell>
          <cell r="E328" t="str">
            <v>ダズルフィクション</v>
          </cell>
        </row>
        <row r="329">
          <cell r="A329">
            <v>510014</v>
          </cell>
          <cell r="B329" t="str">
            <v>[effect:change_block, new_block:block_yellow, target:block_all, count:6, val:0.1, animation:change_block],[effect:rush, count:1, val:1.0]</v>
          </cell>
          <cell r="C329">
            <v>3</v>
          </cell>
          <cell r="D329" t="str">
            <v>ja</v>
          </cell>
          <cell r="E329" t="str">
            <v>ダズルフィクション</v>
          </cell>
        </row>
        <row r="330">
          <cell r="A330">
            <v>510015</v>
          </cell>
          <cell r="B330" t="str">
            <v>[effect:change_block, new_block:jammer, target:block_heart, count:0, val:0.1, animation:change_block]</v>
          </cell>
          <cell r="C330">
            <v>3</v>
          </cell>
          <cell r="D330" t="str">
            <v>ja</v>
          </cell>
          <cell r="E330" t="str">
            <v>生命変遷</v>
          </cell>
        </row>
        <row r="331">
          <cell r="A331">
            <v>510017</v>
          </cell>
          <cell r="B331" t="str">
            <v>[effect:change_block, new_block:jammer, target:block_all, count:10, val:0.1, animation:change_block],[effect:rush, count:1, val:1.5]</v>
          </cell>
          <cell r="C331">
            <v>3</v>
          </cell>
          <cell r="D331" t="str">
            <v>ja</v>
          </cell>
          <cell r="E331" t="str">
            <v>奥義・邪砲蒼閃拳</v>
          </cell>
        </row>
        <row r="332">
          <cell r="A332">
            <v>510016</v>
          </cell>
          <cell r="B332" t="str">
            <v>[effect:change_block, new_block:jammer, target:block_all, count:7, val:0.1, animation:change_block],[effect:rush, count:1, val:1.25]</v>
          </cell>
          <cell r="C332">
            <v>3</v>
          </cell>
          <cell r="D332" t="str">
            <v>ja</v>
          </cell>
          <cell r="E332" t="str">
            <v>秘技・邪烈蒼打拳</v>
          </cell>
        </row>
        <row r="333">
          <cell r="A333">
            <v>510018</v>
          </cell>
          <cell r="B333" t="str">
            <v>[effect:change_block, new_block:jammer, target:block_all, count:2, val:0.1, animation:change_block],[effect:rush, count:1, val:1.0]</v>
          </cell>
          <cell r="C333">
            <v>3</v>
          </cell>
          <cell r="D333" t="str">
            <v>ja</v>
          </cell>
          <cell r="E333" t="str">
            <v>邪気蒼黒掌</v>
          </cell>
        </row>
        <row r="334">
          <cell r="A334">
            <v>510019</v>
          </cell>
          <cell r="B334" t="str">
            <v>[effect:change_block, new_block:time_bomb, target:block_heart, count:0, val:0.1, animation:change_block]</v>
          </cell>
          <cell r="C334">
            <v>3</v>
          </cell>
          <cell r="D334" t="str">
            <v>ja</v>
          </cell>
          <cell r="E334" t="str">
            <v>ハートジャミング</v>
          </cell>
        </row>
        <row r="335">
          <cell r="A335">
            <v>510020</v>
          </cell>
          <cell r="B335" t="str">
            <v>[effect:change_block, new_block:jammer, target:block_all, count:5, val:0.1, animation:change_block],[effect:spread, val:0.3, animation:enemy_spread]</v>
          </cell>
          <cell r="C335">
            <v>3</v>
          </cell>
          <cell r="D335" t="str">
            <v>ja</v>
          </cell>
          <cell r="E335" t="str">
            <v>バブル・エクステンション</v>
          </cell>
        </row>
        <row r="336">
          <cell r="A336">
            <v>510021</v>
          </cell>
          <cell r="B336" t="str">
            <v>[effect:change_block, new_block:time_bomb, target:block_heart, count:0, val:0.1, animation:change_block]</v>
          </cell>
          <cell r="C336">
            <v>1</v>
          </cell>
          <cell r="D336" t="str">
            <v>ja</v>
          </cell>
          <cell r="E336" t="str">
            <v>心を秤ってあげるわ</v>
          </cell>
        </row>
        <row r="337">
          <cell r="A337">
            <v>510022</v>
          </cell>
          <cell r="B337" t="str">
            <v>[effect:change_block, new_block:jammer, target:block_all, count:5, val:0.1, animation:change_block],[effect:rush, count:1, val:1.5]</v>
          </cell>
          <cell r="C337">
            <v>1</v>
          </cell>
          <cell r="D337" t="str">
            <v>ja</v>
          </cell>
          <cell r="E337" t="str">
            <v>武術指南</v>
          </cell>
        </row>
        <row r="338">
          <cell r="A338">
            <v>510023</v>
          </cell>
          <cell r="B338" t="str">
            <v>[effect:change_block, new_block:jammer, target:block_all, count:3, val:0.1, animation:change_block]</v>
          </cell>
          <cell r="C338">
            <v>3</v>
          </cell>
          <cell r="D338" t="str">
            <v>ja</v>
          </cell>
          <cell r="E338" t="str">
            <v>イブと遊ぼ？</v>
          </cell>
        </row>
        <row r="339">
          <cell r="A339">
            <v>510024</v>
          </cell>
          <cell r="B339" t="str">
            <v>[effect:change_block, new_block:block_yellow, target:block_all, count:6, val:0.1, animation:change_block],[effect:rush, count:1, val:1.0]</v>
          </cell>
          <cell r="C339">
            <v>3</v>
          </cell>
          <cell r="D339" t="str">
            <v>ja</v>
          </cell>
          <cell r="E339" t="str">
            <v>万物流転</v>
          </cell>
        </row>
        <row r="340">
          <cell r="A340">
            <v>510025</v>
          </cell>
          <cell r="B340" t="str">
            <v>[effect:change_block, new_block:jammer, target:block_all, count:5, val:0.1, animation:change_block]</v>
          </cell>
          <cell r="C340">
            <v>3</v>
          </cell>
          <cell r="D340" t="str">
            <v>ja</v>
          </cell>
          <cell r="E340" t="str">
            <v>不協和音</v>
          </cell>
        </row>
        <row r="341">
          <cell r="A341">
            <v>51026</v>
          </cell>
          <cell r="B341" t="str">
            <v>[effect:change_block, new_block:jammer, target:block_all, count:5, val:0.1, animation:change_block][effect:critical, val:1.5.0, animation:enemy_critical]</v>
          </cell>
          <cell r="C341">
            <v>3</v>
          </cell>
          <cell r="D341" t="str">
            <v>ja</v>
          </cell>
          <cell r="E341" t="str">
            <v>ほれ、くぐり抜けろ</v>
          </cell>
        </row>
        <row r="342">
          <cell r="A342">
            <v>51027</v>
          </cell>
          <cell r="B342" t="str">
            <v>[effect:change_block, new_block:block_green, target:block_yellow, count:10, val:0.1, animation:change_block]</v>
          </cell>
          <cell r="C342">
            <v>3</v>
          </cell>
          <cell r="D342" t="str">
            <v>ja</v>
          </cell>
          <cell r="E342" t="str">
            <v>よかったら…これ…</v>
          </cell>
        </row>
        <row r="343">
          <cell r="A343">
            <v>51028</v>
          </cell>
          <cell r="B343" t="str">
            <v>[effect:change_block, new_block:time_bomb, target:block_all, count:5, val:0.4, animation:change_block],[effect:enemy_counter, target:myself,invoke_condition:unit_all,counter_target:attacker,turn:2,val:2.0,animation:enemy_counter]</v>
          </cell>
          <cell r="C343">
            <v>3</v>
          </cell>
          <cell r="D343" t="str">
            <v>ja</v>
          </cell>
          <cell r="E343" t="str">
            <v>受け取ってほしいな♪</v>
          </cell>
        </row>
        <row r="344">
          <cell r="A344">
            <v>51029</v>
          </cell>
          <cell r="B344" t="str">
            <v>[effect:change_block, new_block:time_bomb, target:block_all, count:5, val:0.3, animation:change_block]</v>
          </cell>
          <cell r="C344">
            <v>3</v>
          </cell>
          <cell r="D344" t="str">
            <v>ja</v>
          </cell>
          <cell r="E344" t="str">
            <v>受け取ってほしいなっ</v>
          </cell>
        </row>
        <row r="345">
          <cell r="A345">
            <v>510029</v>
          </cell>
          <cell r="B345" t="str">
            <v>[effect:change_block, new_block:block_heart, target:block_all, count:6, val:0.1, animation:change_block]</v>
          </cell>
          <cell r="C345">
            <v>3</v>
          </cell>
          <cell r="D345" t="str">
            <v>ja</v>
          </cell>
          <cell r="E345" t="str">
            <v>応急処置セット</v>
          </cell>
        </row>
        <row r="346">
          <cell r="A346">
            <v>510030</v>
          </cell>
          <cell r="B346" t="str">
            <v>[effect:change_block, new_block:block_heart, target:block_red, count:10, val:0.1, animation:change_block]</v>
          </cell>
          <cell r="C346">
            <v>3</v>
          </cell>
          <cell r="D346" t="str">
            <v>ja</v>
          </cell>
          <cell r="E346" t="str">
            <v>おっ、よく来たね！</v>
          </cell>
        </row>
        <row r="347">
          <cell r="A347">
            <v>510031</v>
          </cell>
          <cell r="B347" t="str">
            <v>[effect:change_block, new_block:block_heart, target:block_red, count:3, val:0.2, animation:change_block]</v>
          </cell>
          <cell r="C347">
            <v>3</v>
          </cell>
          <cell r="D347" t="str">
            <v>ja</v>
          </cell>
          <cell r="E347" t="str">
            <v>楽しんでるか？</v>
          </cell>
        </row>
        <row r="348">
          <cell r="A348">
            <v>500025</v>
          </cell>
          <cell r="B348" t="str">
            <v>[effect:change_block, new_block:time_bomb, target:block_all, count:3, val:0.3, animation:change_block]</v>
          </cell>
          <cell r="C348">
            <v>3</v>
          </cell>
          <cell r="D348" t="str">
            <v>ja</v>
          </cell>
          <cell r="E348" t="str">
            <v>コメットシャワー</v>
          </cell>
        </row>
        <row r="349">
          <cell r="A349">
            <v>500026</v>
          </cell>
          <cell r="B349" t="str">
            <v>[effect:change_block, new_block:time_bomb, target:block_green, count:0, val:0.5, animation:change_block],[effect:rush, count:3, val:0.2]</v>
          </cell>
          <cell r="C349">
            <v>3</v>
          </cell>
          <cell r="D349" t="str">
            <v>ja</v>
          </cell>
          <cell r="E349" t="str">
            <v>コメットレイン</v>
          </cell>
        </row>
        <row r="350">
          <cell r="A350">
            <v>500027</v>
          </cell>
          <cell r="B350" t="str">
            <v>[effect:change_block, new_block:jammer, target:block_all, count:5, val:0.1, animation:change_block],[effect:virus, turn:2, rate:1.0, val:0.10, animation:enemy_virus]</v>
          </cell>
          <cell r="C350">
            <v>3</v>
          </cell>
          <cell r="D350" t="str">
            <v>ja</v>
          </cell>
          <cell r="E350" t="str">
            <v>陽炎</v>
          </cell>
        </row>
        <row r="351">
          <cell r="A351">
            <v>500028</v>
          </cell>
          <cell r="B351" t="str">
            <v>[effect:change_block, new_block:time_bomb, target:block_all, count:3, val:0.4, animation:change_block],[effect:rush, count:1, val:0.4]</v>
          </cell>
          <cell r="C351">
            <v>3</v>
          </cell>
          <cell r="D351" t="str">
            <v>ja</v>
          </cell>
          <cell r="E351" t="str">
            <v>アタシのタマゴだよ！</v>
          </cell>
        </row>
        <row r="352">
          <cell r="A352">
            <v>500029</v>
          </cell>
          <cell r="B352" t="str">
            <v>[effect:change_block, new_block:jammer, target:block_all, count:6, val:0.1, animation:change_block]</v>
          </cell>
          <cell r="C352">
            <v>3</v>
          </cell>
          <cell r="D352" t="str">
            <v>ja</v>
          </cell>
          <cell r="E352" t="str">
            <v>イブと遊ぼ？</v>
          </cell>
        </row>
        <row r="353">
          <cell r="A353">
            <v>520001</v>
          </cell>
          <cell r="B353" t="str">
            <v>[effect:dis_panel, target:block_green, turn:1, animation:enemy_dis_green],[effect:rush, count:1, val:0.5]</v>
          </cell>
          <cell r="C353">
            <v>3</v>
          </cell>
          <cell r="D353" t="str">
            <v>ja</v>
          </cell>
          <cell r="E353" t="str">
            <v>グリーン・スポイル</v>
          </cell>
        </row>
        <row r="354">
          <cell r="A354">
            <v>520002</v>
          </cell>
          <cell r="B354" t="str">
            <v>[effect:dis_panel, target:block_blue, turn:5],[effect:rush, count:3, val:0.4]</v>
          </cell>
          <cell r="C354">
            <v>3</v>
          </cell>
          <cell r="D354" t="str">
            <v>ja</v>
          </cell>
          <cell r="E354" t="str">
            <v>蒼を撃ち抜く弾丸</v>
          </cell>
        </row>
        <row r="355">
          <cell r="A355">
            <v>520003</v>
          </cell>
          <cell r="B355" t="str">
            <v>[effect:dis_panel, target:block_green, turn:4, animation:enemy_dis_green],[effect:rush, count:1, val:1.0]</v>
          </cell>
          <cell r="C355">
            <v>3</v>
          </cell>
          <cell r="D355" t="str">
            <v>ja</v>
          </cell>
          <cell r="E355" t="str">
            <v>緑を刈り奪る大鎌</v>
          </cell>
        </row>
        <row r="356">
          <cell r="A356">
            <v>520004</v>
          </cell>
          <cell r="B356" t="str">
            <v>[effect:dis_panel, target:block_red, turn:2, animation:enemy_dis_red]</v>
          </cell>
          <cell r="C356">
            <v>3</v>
          </cell>
          <cell r="D356" t="str">
            <v>ja</v>
          </cell>
          <cell r="E356" t="str">
            <v>ディスレッド</v>
          </cell>
        </row>
        <row r="357">
          <cell r="A357">
            <v>520005</v>
          </cell>
          <cell r="B357" t="str">
            <v>[effect:dis_panel, target:block_green, turn:2, animation:enemy_dis_green]</v>
          </cell>
          <cell r="C357">
            <v>3</v>
          </cell>
          <cell r="D357" t="str">
            <v>ja</v>
          </cell>
          <cell r="E357" t="str">
            <v>ディスグリーン</v>
          </cell>
        </row>
        <row r="358">
          <cell r="A358">
            <v>520006</v>
          </cell>
          <cell r="B358" t="str">
            <v>[effect:dis_panel, target:block_blue, turn:2, animation:enemy_dis_blue]</v>
          </cell>
          <cell r="C358">
            <v>3</v>
          </cell>
          <cell r="D358" t="str">
            <v>ja</v>
          </cell>
          <cell r="E358" t="str">
            <v>ディスブルー</v>
          </cell>
        </row>
        <row r="359">
          <cell r="A359">
            <v>520007</v>
          </cell>
          <cell r="B359" t="str">
            <v>[effect:dis_panel, target:block_yellow, turn:2, animation:enemy_dis_yellow]</v>
          </cell>
          <cell r="C359">
            <v>3</v>
          </cell>
          <cell r="D359" t="str">
            <v>ja</v>
          </cell>
          <cell r="E359" t="str">
            <v>ディスイエロー</v>
          </cell>
        </row>
        <row r="360">
          <cell r="A360">
            <v>520008</v>
          </cell>
          <cell r="B360" t="str">
            <v>[effect:dis_panel, target:block_red, turn:3, animation:enemy_dis_red]</v>
          </cell>
          <cell r="C360">
            <v>3</v>
          </cell>
          <cell r="D360" t="str">
            <v>ja</v>
          </cell>
          <cell r="E360" t="str">
            <v>ルージュキャンセリング</v>
          </cell>
        </row>
        <row r="361">
          <cell r="A361">
            <v>520009</v>
          </cell>
          <cell r="B361" t="str">
            <v>[effect:dis_panel, target:block_green, turn:3, animation:enemy_dis_green],[effect:hungup, target:unit_all, turn:3, rate:1.0, animation:enemy_hungup]</v>
          </cell>
          <cell r="C361">
            <v>3</v>
          </cell>
          <cell r="D361" t="str">
            <v>ja</v>
          </cell>
          <cell r="E361" t="str">
            <v>EMP</v>
          </cell>
        </row>
        <row r="362">
          <cell r="A362">
            <v>520010</v>
          </cell>
          <cell r="B362" t="str">
            <v>[effect:dis_heart, turn:5, rate:1.0, animation:enemy_dis_heart],[effect:rush, count:1, val:0.5]</v>
          </cell>
          <cell r="C362">
            <v>3</v>
          </cell>
          <cell r="D362" t="str">
            <v>ja</v>
          </cell>
          <cell r="E362" t="str">
            <v>ハート・スポイル</v>
          </cell>
        </row>
        <row r="363">
          <cell r="A363">
            <v>520012</v>
          </cell>
          <cell r="B363" t="str">
            <v>[effect:dis_heart, turn:5, rate:1.0, animation:enemy_dis_red],[effect:rush, count:1, val:0.5]</v>
          </cell>
          <cell r="C363">
            <v>1</v>
          </cell>
          <cell r="D363" t="str">
            <v>ja</v>
          </cell>
          <cell r="E363" t="str">
            <v>ジャンヌ赤</v>
          </cell>
        </row>
        <row r="364">
          <cell r="A364">
            <v>520013</v>
          </cell>
          <cell r="B364" t="str">
            <v>[effect:dis_heart, turn:5, rate:1.0, animation:enemy_dis_yellow],[effect:rush, count:1, val:0.5]</v>
          </cell>
          <cell r="C364">
            <v>1</v>
          </cell>
          <cell r="D364" t="str">
            <v>ja</v>
          </cell>
          <cell r="E364" t="str">
            <v>ジャンヌ黄</v>
          </cell>
        </row>
        <row r="365">
          <cell r="A365">
            <v>520014</v>
          </cell>
          <cell r="B365" t="str">
            <v>[effect:dis_heart, turn:5, rate:1.0, animation:enemy_dis_green],[effect:rush, count:1, val:0.5]</v>
          </cell>
          <cell r="C365">
            <v>1</v>
          </cell>
          <cell r="D365" t="str">
            <v>ja</v>
          </cell>
          <cell r="E365" t="str">
            <v>ジャンヌ緑</v>
          </cell>
        </row>
        <row r="366">
          <cell r="A366">
            <v>520015</v>
          </cell>
          <cell r="B366" t="str">
            <v>[effect:dis_heart, turn:5, rate:1.0, animation:enemy_dis_blue],[effect:rush, count:1, val:0.5]</v>
          </cell>
          <cell r="C366">
            <v>1</v>
          </cell>
          <cell r="D366" t="str">
            <v>ja</v>
          </cell>
          <cell r="E366" t="str">
            <v>ジャンヌ青</v>
          </cell>
        </row>
        <row r="367">
          <cell r="A367">
            <v>530001</v>
          </cell>
          <cell r="B367" t="str">
            <v>[effect:tolerance,target:myself, turn:-1, tolerance_effect:all, count:-1]</v>
          </cell>
          <cell r="C367">
            <v>3</v>
          </cell>
          <cell r="D367" t="str">
            <v>ja</v>
          </cell>
          <cell r="E367" t="str">
            <v>鋼鉄の胃袋</v>
          </cell>
        </row>
        <row r="368">
          <cell r="A368">
            <v>530002</v>
          </cell>
          <cell r="B368" t="str">
            <v>[effect:tolerance,target:myself,turn:-1,tolerance_effect:all,count:-1,animation:enemy_tolerance]</v>
          </cell>
          <cell r="C368">
            <v>3</v>
          </cell>
          <cell r="D368" t="str">
            <v>ja</v>
          </cell>
          <cell r="E368" t="str">
            <v>天使のカーテン</v>
          </cell>
        </row>
        <row r="369">
          <cell r="A369">
            <v>540001</v>
          </cell>
          <cell r="B369" t="str">
            <v>[effect:degrade_unit, target:unit_all, turn:3, status:action, val:1.0,animation:enemy_tap_down]</v>
          </cell>
          <cell r="C369">
            <v>3</v>
          </cell>
          <cell r="D369" t="str">
            <v>ja</v>
          </cell>
          <cell r="E369" t="str">
            <v>デコイ</v>
          </cell>
        </row>
        <row r="370">
          <cell r="A370">
            <v>540002</v>
          </cell>
          <cell r="B370" t="str">
            <v>[effect:degrade_unit, target:unit_all, turn:3, status:action, val:1.0,animation:enemy_tap_down],[effect:freq_turn, target:enemy_all, turn:2, val:1, animation:enemy_freq_turn]</v>
          </cell>
          <cell r="C370">
            <v>3</v>
          </cell>
          <cell r="D370" t="str">
            <v>ja</v>
          </cell>
          <cell r="E370" t="str">
            <v>フレア</v>
          </cell>
        </row>
        <row r="371">
          <cell r="A371">
            <v>540003</v>
          </cell>
          <cell r="B371" t="str">
            <v>[effect:time_limit,count:5,turn:3,animation:enemy_time_limit]</v>
          </cell>
          <cell r="C371">
            <v>1</v>
          </cell>
          <cell r="D371" t="str">
            <v>ja</v>
          </cell>
          <cell r="E371" t="str">
            <v>タップ時間制限（仮）</v>
          </cell>
        </row>
        <row r="372">
          <cell r="A372">
            <v>540004</v>
          </cell>
          <cell r="B372" t="str">
            <v>[effect:time_limit,count:5,turn:3,animation:enemy_time_limit]</v>
          </cell>
          <cell r="C372">
            <v>1</v>
          </cell>
          <cell r="D372" t="str">
            <v>ja</v>
          </cell>
          <cell r="E372" t="str">
            <v>プレッシャー</v>
          </cell>
        </row>
        <row r="373">
          <cell r="A373">
            <v>540005</v>
          </cell>
          <cell r="B373" t="str">
            <v>[effect:time_limit,count:4,turn:-1,animation:enemy_time_limit]</v>
          </cell>
          <cell r="C373">
            <v>3</v>
          </cell>
          <cell r="D373" t="str">
            <v>ja</v>
          </cell>
          <cell r="E373" t="str">
            <v>カウントダウン</v>
          </cell>
        </row>
        <row r="374">
          <cell r="A374">
            <v>540007</v>
          </cell>
          <cell r="B374" t="str">
            <v>[effect:degrade_unit, target:unit_all, turn:3, status:action, val:1.0,animation:enemy_tap_down],[effect:rush, count:1, val:0.5]</v>
          </cell>
          <cell r="C374">
            <v>3</v>
          </cell>
          <cell r="D374" t="str">
            <v>ja</v>
          </cell>
          <cell r="E374" t="str">
            <v>ディスアーム</v>
          </cell>
        </row>
        <row r="375">
          <cell r="A375">
            <v>540008</v>
          </cell>
          <cell r="B375" t="str">
            <v>[effect:time_limit,count:8,turn:-1,animation:enemy_time_limit]</v>
          </cell>
          <cell r="C375">
            <v>3</v>
          </cell>
          <cell r="D375" t="str">
            <v>ja</v>
          </cell>
          <cell r="E375" t="str">
            <v>ここは潮の流れが速いよ！</v>
          </cell>
        </row>
        <row r="376">
          <cell r="A376">
            <v>540009</v>
          </cell>
          <cell r="B376" t="str">
            <v>[effect:degrade_unit, target:unit_all, turn:3, status:action, val:1.0]</v>
          </cell>
          <cell r="C376">
            <v>3</v>
          </cell>
          <cell r="D376" t="str">
            <v>ja</v>
          </cell>
          <cell r="E376" t="str">
            <v>アームブレイク</v>
          </cell>
        </row>
        <row r="377">
          <cell r="A377">
            <v>540010</v>
          </cell>
          <cell r="B377" t="str">
            <v>[effect:degrade_unit, target:unit_all, turn:3, status:action, val:1.0,animation:enemy_tap_down],[effect:change_block, new_block:jammer, target:block_all, count:5, val:0.1, animation:change_block]</v>
          </cell>
          <cell r="C377">
            <v>3</v>
          </cell>
          <cell r="D377" t="str">
            <v>ja</v>
          </cell>
          <cell r="E377" t="str">
            <v>動を阻む鎖</v>
          </cell>
        </row>
        <row r="378">
          <cell r="A378">
            <v>540011</v>
          </cell>
          <cell r="B378" t="str">
            <v>[effect:degrade_unit, target:unit_all, turn:3, status:action, val:1.0,animation:enemy_tap_down],[effect:rush, count:1, val:0.5]</v>
          </cell>
          <cell r="C378">
            <v>1</v>
          </cell>
          <cell r="D378" t="str">
            <v>ja</v>
          </cell>
          <cell r="E378" t="str">
            <v>ジャンヌ仮タップ</v>
          </cell>
        </row>
        <row r="379">
          <cell r="A379">
            <v>550001</v>
          </cell>
          <cell r="B379" t="str">
            <v>[effect:dark, turn:4,target:unit_all,animation:enemy_dark]</v>
          </cell>
          <cell r="C379">
            <v>3</v>
          </cell>
          <cell r="D379" t="str">
            <v>ja</v>
          </cell>
          <cell r="E379" t="str">
            <v>サディスティックステージ</v>
          </cell>
        </row>
        <row r="380">
          <cell r="A380">
            <v>550002</v>
          </cell>
          <cell r="B380" t="str">
            <v>[effect:dark, turn:1,target:unit_all]</v>
          </cell>
          <cell r="C380">
            <v>3</v>
          </cell>
          <cell r="D380" t="str">
            <v>ja</v>
          </cell>
          <cell r="E380" t="str">
            <v>触手姫の口づけ</v>
          </cell>
        </row>
        <row r="381">
          <cell r="A381">
            <v>550003</v>
          </cell>
          <cell r="B381" t="str">
            <v>[effect:dark, turn:4,target:unit_all,animation:enemy_dark]</v>
          </cell>
          <cell r="C381">
            <v>3</v>
          </cell>
          <cell r="D381" t="str">
            <v>ja</v>
          </cell>
          <cell r="E381" t="str">
            <v>ブラインドネス</v>
          </cell>
        </row>
        <row r="382">
          <cell r="A382">
            <v>550004</v>
          </cell>
          <cell r="B382" t="str">
            <v>[effect:dark, turn:2,target:unit_all,animation:enemy_dark]</v>
          </cell>
          <cell r="C382">
            <v>3</v>
          </cell>
          <cell r="D382" t="str">
            <v>ja</v>
          </cell>
          <cell r="E382" t="str">
            <v>マヨビーム</v>
          </cell>
        </row>
        <row r="383">
          <cell r="A383">
            <v>550005</v>
          </cell>
          <cell r="B383" t="str">
            <v>[effect:dark, turn:6,target:unit_all,animation:enemy_dark]</v>
          </cell>
          <cell r="C383">
            <v>3</v>
          </cell>
          <cell r="D383" t="str">
            <v>ja</v>
          </cell>
          <cell r="E383" t="str">
            <v>常世の闇に彷徨うがいい</v>
          </cell>
        </row>
      </sheetData>
      <sheetData sheetId="4"/>
      <sheetData sheetId="5">
        <row r="1"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</row>
        <row r="2">
          <cell r="B2">
            <v>0</v>
          </cell>
          <cell r="C2">
            <v>0</v>
          </cell>
          <cell r="D2" t="str">
            <v>なし</v>
          </cell>
          <cell r="E2" t="str">
            <v>なし</v>
          </cell>
        </row>
        <row r="3">
          <cell r="B3">
            <v>1001</v>
          </cell>
          <cell r="C3">
            <v>100001</v>
          </cell>
          <cell r="D3" t="str">
            <v>視線</v>
          </cell>
          <cell r="E3" t="str">
            <v>じっとこちらを見ている</v>
          </cell>
        </row>
        <row r="4">
          <cell r="B4">
            <v>28</v>
          </cell>
          <cell r="C4">
            <v>300002</v>
          </cell>
          <cell r="D4" t="str">
            <v>ヒール</v>
          </cell>
          <cell r="E4" t="str">
            <v>回復</v>
          </cell>
        </row>
        <row r="5">
          <cell r="B5">
            <v>30</v>
          </cell>
          <cell r="C5">
            <v>300002</v>
          </cell>
          <cell r="D5" t="str">
            <v>ヒール</v>
          </cell>
          <cell r="E5" t="str">
            <v>回復</v>
          </cell>
        </row>
        <row r="6">
          <cell r="B6">
            <v>33</v>
          </cell>
          <cell r="C6">
            <v>200002</v>
          </cell>
          <cell r="D6" t="str">
            <v>リラックス</v>
          </cell>
          <cell r="E6" t="str">
            <v>次のターン強力な攻撃</v>
          </cell>
        </row>
        <row r="7">
          <cell r="B7">
            <v>34</v>
          </cell>
          <cell r="C7">
            <v>200002</v>
          </cell>
          <cell r="D7" t="str">
            <v>リラックス</v>
          </cell>
          <cell r="E7" t="str">
            <v>次のターン強力な攻撃</v>
          </cell>
        </row>
        <row r="8">
          <cell r="B8">
            <v>35</v>
          </cell>
          <cell r="C8">
            <v>100002</v>
          </cell>
          <cell r="D8" t="str">
            <v>コンニチワ</v>
          </cell>
          <cell r="E8" t="str">
            <v>じっとこちらを見ている</v>
          </cell>
        </row>
        <row r="9">
          <cell r="B9">
            <v>35</v>
          </cell>
          <cell r="C9">
            <v>240001</v>
          </cell>
          <cell r="D9" t="str">
            <v>自爆</v>
          </cell>
          <cell r="E9" t="str">
            <v>攻撃力3倍の自爆攻撃を全体に行う</v>
          </cell>
        </row>
        <row r="10">
          <cell r="B10">
            <v>3501</v>
          </cell>
          <cell r="C10">
            <v>100031</v>
          </cell>
          <cell r="D10" t="str">
            <v>侵入者…排除…</v>
          </cell>
          <cell r="E10" t="str">
            <v>F2の全身が赤く明滅している！</v>
          </cell>
        </row>
        <row r="11">
          <cell r="B11">
            <v>3501</v>
          </cell>
          <cell r="C11">
            <v>240001</v>
          </cell>
          <cell r="D11" t="str">
            <v>自爆</v>
          </cell>
          <cell r="E11" t="str">
            <v>攻撃力3倍の自爆攻撃を全体に行う</v>
          </cell>
        </row>
        <row r="12">
          <cell r="B12">
            <v>36</v>
          </cell>
          <cell r="C12">
            <v>100011</v>
          </cell>
          <cell r="D12" t="str">
            <v>コ4ン8ニ・・チワ9</v>
          </cell>
          <cell r="E12" t="str">
            <v>何やら様子がおかしい！</v>
          </cell>
        </row>
        <row r="13">
          <cell r="B13">
            <v>36</v>
          </cell>
          <cell r="C13">
            <v>240002</v>
          </cell>
          <cell r="D13" t="str">
            <v>自爆</v>
          </cell>
          <cell r="E13" t="str">
            <v>攻撃力10倍の自爆攻撃を全体に行う</v>
          </cell>
        </row>
        <row r="14">
          <cell r="B14">
            <v>3601</v>
          </cell>
          <cell r="C14">
            <v>100011</v>
          </cell>
          <cell r="D14" t="str">
            <v>コ4ン8ニ・・チワ9</v>
          </cell>
          <cell r="E14" t="str">
            <v>何やら様子がおかしい！</v>
          </cell>
        </row>
        <row r="15">
          <cell r="B15">
            <v>3601</v>
          </cell>
          <cell r="C15">
            <v>240011</v>
          </cell>
          <cell r="D15" t="str">
            <v>進撃の花火</v>
          </cell>
          <cell r="E15" t="str">
            <v>自爆+敵の攻撃力がアップ</v>
          </cell>
        </row>
        <row r="16">
          <cell r="B16">
            <v>37</v>
          </cell>
          <cell r="C16">
            <v>100003</v>
          </cell>
          <cell r="D16" t="str">
            <v>ご質問をどうぞ</v>
          </cell>
          <cell r="E16" t="str">
            <v>じっとこちらを見ている</v>
          </cell>
        </row>
        <row r="17">
          <cell r="B17">
            <v>37</v>
          </cell>
          <cell r="C17">
            <v>210010</v>
          </cell>
          <cell r="D17" t="str">
            <v>お前を消す方法</v>
          </cell>
          <cell r="E17" t="str">
            <v>攻撃力×1.5倍の攻撃</v>
          </cell>
        </row>
        <row r="18">
          <cell r="B18">
            <v>38</v>
          </cell>
          <cell r="C18">
            <v>100003</v>
          </cell>
          <cell r="D18" t="str">
            <v>ご質問をどうぞ</v>
          </cell>
          <cell r="E18" t="str">
            <v>じっとこちらを見ている</v>
          </cell>
        </row>
        <row r="19">
          <cell r="B19">
            <v>38</v>
          </cell>
          <cell r="C19">
            <v>210010</v>
          </cell>
          <cell r="D19" t="str">
            <v>お前を消す方法</v>
          </cell>
          <cell r="E19" t="str">
            <v>攻撃力×1.5倍の攻撃</v>
          </cell>
        </row>
        <row r="20">
          <cell r="B20">
            <v>39</v>
          </cell>
          <cell r="C20">
            <v>330002</v>
          </cell>
          <cell r="D20" t="str">
            <v>デジタルマジック</v>
          </cell>
          <cell r="E20" t="str">
            <v>3ターンスキルが使えない！</v>
          </cell>
        </row>
        <row r="21">
          <cell r="B21">
            <v>40</v>
          </cell>
          <cell r="C21">
            <v>330002</v>
          </cell>
          <cell r="D21" t="str">
            <v>デジタルマジック</v>
          </cell>
          <cell r="E21" t="str">
            <v>3ターンスキルが使えない！</v>
          </cell>
        </row>
        <row r="22">
          <cell r="B22">
            <v>42</v>
          </cell>
          <cell r="C22">
            <v>210004</v>
          </cell>
          <cell r="D22" t="str">
            <v>タックル</v>
          </cell>
          <cell r="E22" t="str">
            <v>攻撃力×1.5倍の攻撃</v>
          </cell>
        </row>
        <row r="23">
          <cell r="B23">
            <v>4401</v>
          </cell>
          <cell r="C23">
            <v>410017</v>
          </cell>
          <cell r="D23" t="str">
            <v>野生の本能</v>
          </cell>
          <cell r="E23" t="str">
            <v>解除するまで攻撃力UP</v>
          </cell>
        </row>
        <row r="24">
          <cell r="B24">
            <v>4402</v>
          </cell>
          <cell r="C24">
            <v>400023</v>
          </cell>
          <cell r="D24" t="str">
            <v>疾走する本能</v>
          </cell>
          <cell r="E24" t="str">
            <v>この戦闘の間攻撃頻度が1ターンにUP</v>
          </cell>
        </row>
        <row r="25">
          <cell r="B25">
            <v>46</v>
          </cell>
          <cell r="C25">
            <v>400003</v>
          </cell>
          <cell r="D25" t="str">
            <v>速筆</v>
          </cell>
          <cell r="E25" t="str">
            <v>4ターン攻撃頻度が1ターンにUP</v>
          </cell>
        </row>
        <row r="26">
          <cell r="B26">
            <v>49</v>
          </cell>
          <cell r="C26">
            <v>320001</v>
          </cell>
          <cell r="D26" t="str">
            <v>即効性ウィルス</v>
          </cell>
          <cell r="E26" t="str">
            <v>3ターンの間ダメージを受ける</v>
          </cell>
        </row>
        <row r="27">
          <cell r="B27">
            <v>50</v>
          </cell>
          <cell r="C27">
            <v>320005</v>
          </cell>
          <cell r="D27" t="str">
            <v>超即効性ウィルス</v>
          </cell>
          <cell r="E27" t="str">
            <v>5ターンの間ダメージを受ける</v>
          </cell>
        </row>
        <row r="28">
          <cell r="B28">
            <v>51</v>
          </cell>
          <cell r="C28">
            <v>200001</v>
          </cell>
          <cell r="D28" t="str">
            <v>一点集中</v>
          </cell>
          <cell r="E28" t="str">
            <v>次のターン強力な攻撃</v>
          </cell>
        </row>
        <row r="29">
          <cell r="B29">
            <v>53</v>
          </cell>
          <cell r="C29">
            <v>340001</v>
          </cell>
          <cell r="D29" t="str">
            <v>睡眠薬</v>
          </cell>
          <cell r="E29" t="str">
            <v>効いてしまうと２ターン行動できない</v>
          </cell>
        </row>
        <row r="30">
          <cell r="B30">
            <v>5401</v>
          </cell>
          <cell r="C30">
            <v>200015</v>
          </cell>
          <cell r="D30" t="str">
            <v>蒼斬刀</v>
          </cell>
          <cell r="E30" t="str">
            <v>次のターン強力な攻撃</v>
          </cell>
        </row>
        <row r="31">
          <cell r="B31">
            <v>55</v>
          </cell>
          <cell r="C31">
            <v>330001</v>
          </cell>
          <cell r="D31" t="str">
            <v>ハングアップ</v>
          </cell>
          <cell r="E31" t="str">
            <v>2ターンスキルが使えない！</v>
          </cell>
        </row>
        <row r="32">
          <cell r="B32">
            <v>56</v>
          </cell>
          <cell r="C32">
            <v>330003</v>
          </cell>
          <cell r="D32" t="str">
            <v>ハイ・ハングアップ</v>
          </cell>
          <cell r="E32" t="str">
            <v>4ターンスキルが使えない！</v>
          </cell>
        </row>
        <row r="33">
          <cell r="B33">
            <v>57</v>
          </cell>
          <cell r="C33">
            <v>410001</v>
          </cell>
          <cell r="D33" t="str">
            <v>火酒</v>
          </cell>
          <cell r="E33" t="str">
            <v>3ターン攻撃力小UP</v>
          </cell>
        </row>
        <row r="34">
          <cell r="B34">
            <v>59</v>
          </cell>
          <cell r="C34">
            <v>300001</v>
          </cell>
          <cell r="D34" t="str">
            <v>ヒール</v>
          </cell>
          <cell r="E34" t="str">
            <v>回復</v>
          </cell>
        </row>
        <row r="35">
          <cell r="B35">
            <v>6001</v>
          </cell>
          <cell r="C35">
            <v>300002</v>
          </cell>
          <cell r="D35" t="str">
            <v>ヒール</v>
          </cell>
          <cell r="E35" t="str">
            <v>回復</v>
          </cell>
        </row>
        <row r="36">
          <cell r="B36">
            <v>61</v>
          </cell>
          <cell r="C36">
            <v>300001</v>
          </cell>
          <cell r="D36" t="str">
            <v>ヒール</v>
          </cell>
          <cell r="E36" t="str">
            <v>回復</v>
          </cell>
        </row>
        <row r="37">
          <cell r="B37">
            <v>62</v>
          </cell>
          <cell r="C37">
            <v>300001</v>
          </cell>
          <cell r="D37" t="str">
            <v>ヒール</v>
          </cell>
          <cell r="E37" t="str">
            <v>回復</v>
          </cell>
        </row>
        <row r="38">
          <cell r="B38">
            <v>6201</v>
          </cell>
          <cell r="C38">
            <v>510025</v>
          </cell>
          <cell r="D38" t="str">
            <v>不協和音</v>
          </cell>
          <cell r="E38" t="str">
            <v>お邪魔パネル出現</v>
          </cell>
        </row>
        <row r="39">
          <cell r="B39">
            <v>63</v>
          </cell>
          <cell r="C39">
            <v>220001</v>
          </cell>
          <cell r="D39" t="str">
            <v>スピードスター</v>
          </cell>
          <cell r="E39" t="str">
            <v>2回連続攻撃</v>
          </cell>
        </row>
        <row r="40">
          <cell r="B40">
            <v>64</v>
          </cell>
          <cell r="C40">
            <v>220001</v>
          </cell>
          <cell r="D40" t="str">
            <v>スピードスター</v>
          </cell>
          <cell r="E40" t="str">
            <v>2回連続攻撃</v>
          </cell>
        </row>
        <row r="41">
          <cell r="B41">
            <v>65</v>
          </cell>
          <cell r="C41">
            <v>220004</v>
          </cell>
          <cell r="D41" t="str">
            <v>エクスプローラーキラー</v>
          </cell>
          <cell r="E41" t="str">
            <v>3回連続攻撃</v>
          </cell>
        </row>
        <row r="42">
          <cell r="B42">
            <v>66</v>
          </cell>
          <cell r="C42">
            <v>220004</v>
          </cell>
          <cell r="D42" t="str">
            <v>エクスプローラーキラー</v>
          </cell>
          <cell r="E42" t="str">
            <v>3回連続攻撃</v>
          </cell>
        </row>
        <row r="43">
          <cell r="B43">
            <v>67</v>
          </cell>
          <cell r="C43">
            <v>220005</v>
          </cell>
          <cell r="D43" t="str">
            <v>ハイ・エクスプローラーキラー</v>
          </cell>
          <cell r="E43" t="str">
            <v>4回連続攻撃</v>
          </cell>
        </row>
        <row r="44">
          <cell r="B44">
            <v>68</v>
          </cell>
          <cell r="C44">
            <v>210004</v>
          </cell>
          <cell r="D44" t="str">
            <v>タックル</v>
          </cell>
          <cell r="E44" t="str">
            <v>攻撃力×1.5倍の攻撃</v>
          </cell>
        </row>
        <row r="45">
          <cell r="B45">
            <v>69</v>
          </cell>
          <cell r="C45">
            <v>210004</v>
          </cell>
          <cell r="D45" t="str">
            <v>タックル</v>
          </cell>
          <cell r="E45" t="str">
            <v>攻撃力×1.5倍の攻撃</v>
          </cell>
        </row>
        <row r="46">
          <cell r="B46">
            <v>71</v>
          </cell>
          <cell r="C46">
            <v>400001</v>
          </cell>
          <cell r="D46" t="str">
            <v>ハイスピードハック</v>
          </cell>
          <cell r="E46" t="str">
            <v>3ターン攻撃頻度が1ターンにUP</v>
          </cell>
        </row>
        <row r="47">
          <cell r="B47">
            <v>1071</v>
          </cell>
          <cell r="C47">
            <v>400005</v>
          </cell>
          <cell r="D47" t="str">
            <v>ハイスピードハック</v>
          </cell>
          <cell r="E47" t="str">
            <v>3ターン攻撃頻度が1ターンにUP</v>
          </cell>
        </row>
        <row r="48">
          <cell r="B48">
            <v>72</v>
          </cell>
          <cell r="C48">
            <v>400002</v>
          </cell>
          <cell r="D48" t="str">
            <v>スーパースピードハック</v>
          </cell>
          <cell r="E48" t="str">
            <v>4ターン攻撃頻度が1ターンにUP</v>
          </cell>
        </row>
        <row r="49">
          <cell r="B49">
            <v>74</v>
          </cell>
          <cell r="C49">
            <v>510001</v>
          </cell>
          <cell r="D49" t="str">
            <v>スパムバースト</v>
          </cell>
          <cell r="E49" t="str">
            <v>少しだけお邪魔パネル出現</v>
          </cell>
        </row>
        <row r="50">
          <cell r="B50">
            <v>75</v>
          </cell>
          <cell r="C50">
            <v>510001</v>
          </cell>
          <cell r="D50" t="str">
            <v>スパムバースト</v>
          </cell>
          <cell r="E50" t="str">
            <v>少しだけお邪魔パネル出現</v>
          </cell>
        </row>
        <row r="51">
          <cell r="B51">
            <v>76</v>
          </cell>
          <cell r="C51">
            <v>510001</v>
          </cell>
          <cell r="D51" t="str">
            <v>スパムバースト</v>
          </cell>
          <cell r="E51" t="str">
            <v>少しだけお邪魔パネル出現</v>
          </cell>
        </row>
        <row r="52">
          <cell r="B52">
            <v>77</v>
          </cell>
          <cell r="C52">
            <v>320004</v>
          </cell>
          <cell r="D52" t="str">
            <v>侵食性ウィルス</v>
          </cell>
          <cell r="E52" t="str">
            <v>5ターンの間ダメージを受ける</v>
          </cell>
        </row>
        <row r="53">
          <cell r="B53">
            <v>79</v>
          </cell>
          <cell r="C53">
            <v>100004</v>
          </cell>
          <cell r="D53" t="str">
            <v>ハッピー！？</v>
          </cell>
          <cell r="E53" t="str">
            <v>とても幸せそうだ</v>
          </cell>
        </row>
        <row r="54">
          <cell r="B54">
            <v>81</v>
          </cell>
          <cell r="C54">
            <v>200005</v>
          </cell>
          <cell r="D54" t="str">
            <v>増幅するチカラ</v>
          </cell>
          <cell r="E54" t="str">
            <v>次のターン強力な攻撃</v>
          </cell>
        </row>
        <row r="55">
          <cell r="B55">
            <v>83</v>
          </cell>
          <cell r="C55">
            <v>220008</v>
          </cell>
          <cell r="D55" t="str">
            <v>超拡散アタック</v>
          </cell>
          <cell r="E55" t="str">
            <v>3回連続攻撃</v>
          </cell>
        </row>
        <row r="56">
          <cell r="B56">
            <v>85</v>
          </cell>
          <cell r="C56">
            <v>320002</v>
          </cell>
          <cell r="D56" t="str">
            <v>地獄の熱気</v>
          </cell>
          <cell r="E56" t="str">
            <v>3ターンの間ダメージを受ける</v>
          </cell>
        </row>
        <row r="57">
          <cell r="B57">
            <v>86</v>
          </cell>
          <cell r="C57">
            <v>320003</v>
          </cell>
          <cell r="D57" t="str">
            <v>煉獄の熱気</v>
          </cell>
          <cell r="E57" t="str">
            <v>5ターンの間ダメージを受ける</v>
          </cell>
        </row>
        <row r="58">
          <cell r="B58">
            <v>8601</v>
          </cell>
          <cell r="C58">
            <v>320003</v>
          </cell>
          <cell r="D58" t="str">
            <v>煉獄の熱気</v>
          </cell>
          <cell r="E58" t="str">
            <v>5ターンの間ダメージを受ける</v>
          </cell>
        </row>
        <row r="59">
          <cell r="B59">
            <v>8602</v>
          </cell>
          <cell r="C59">
            <v>500027</v>
          </cell>
          <cell r="D59" t="str">
            <v>陽炎</v>
          </cell>
          <cell r="E59" t="str">
            <v>お邪魔パネル出現+2ターンの間ダメージを受ける</v>
          </cell>
        </row>
        <row r="60">
          <cell r="B60">
            <v>88</v>
          </cell>
          <cell r="C60">
            <v>200003</v>
          </cell>
          <cell r="D60" t="str">
            <v>玄武の構え</v>
          </cell>
          <cell r="E60" t="str">
            <v>次のターン強力な攻撃</v>
          </cell>
        </row>
        <row r="61">
          <cell r="B61">
            <v>89</v>
          </cell>
          <cell r="C61">
            <v>230001</v>
          </cell>
          <cell r="D61" t="str">
            <v>連打</v>
          </cell>
          <cell r="E61" t="str">
            <v>全体攻撃</v>
          </cell>
        </row>
        <row r="62">
          <cell r="B62">
            <v>8901</v>
          </cell>
          <cell r="C62">
            <v>230023</v>
          </cell>
          <cell r="D62" t="str">
            <v>甲撃</v>
          </cell>
          <cell r="E62" t="str">
            <v>全体攻撃</v>
          </cell>
        </row>
        <row r="63">
          <cell r="B63">
            <v>8902</v>
          </cell>
          <cell r="C63">
            <v>420011</v>
          </cell>
          <cell r="D63" t="str">
            <v>大地の怒り</v>
          </cell>
          <cell r="E63" t="str">
            <v>1ターンの間防御力超絶UP＋攻撃</v>
          </cell>
        </row>
        <row r="64">
          <cell r="B64">
            <v>8902</v>
          </cell>
          <cell r="C64">
            <v>230023</v>
          </cell>
          <cell r="D64" t="str">
            <v>甲撃</v>
          </cell>
          <cell r="E64" t="str">
            <v>全体攻撃</v>
          </cell>
        </row>
        <row r="65">
          <cell r="B65">
            <v>9501</v>
          </cell>
          <cell r="C65">
            <v>250007</v>
          </cell>
          <cell r="D65" t="str">
            <v>ドラゴンキラー</v>
          </cell>
          <cell r="E65" t="str">
            <v>種族ドラゴンのユニットに大ダメージ</v>
          </cell>
        </row>
        <row r="66">
          <cell r="B66">
            <v>11701</v>
          </cell>
          <cell r="C66">
            <v>100008</v>
          </cell>
          <cell r="D66" t="str">
            <v>リンゴ警報！</v>
          </cell>
          <cell r="E66" t="str">
            <v>ゴールドカジノの果実たちはターン0になると自爆する！</v>
          </cell>
        </row>
        <row r="67">
          <cell r="B67">
            <v>11701</v>
          </cell>
          <cell r="C67">
            <v>240002</v>
          </cell>
          <cell r="D67" t="str">
            <v>自爆</v>
          </cell>
          <cell r="E67" t="str">
            <v>攻撃力10倍の自爆攻撃を全体に行う</v>
          </cell>
        </row>
        <row r="68">
          <cell r="B68">
            <v>11702</v>
          </cell>
          <cell r="C68">
            <v>240003</v>
          </cell>
          <cell r="D68" t="str">
            <v>ピヨボム</v>
          </cell>
          <cell r="E68" t="str">
            <v>攻撃力10倍の自爆攻撃！</v>
          </cell>
        </row>
        <row r="69">
          <cell r="B69">
            <v>11703</v>
          </cell>
          <cell r="C69">
            <v>240003</v>
          </cell>
          <cell r="D69" t="str">
            <v>ピヨボム</v>
          </cell>
          <cell r="E69" t="str">
            <v>攻撃力10倍の自爆攻撃！</v>
          </cell>
        </row>
        <row r="70">
          <cell r="B70">
            <v>11704</v>
          </cell>
          <cell r="C70">
            <v>240003</v>
          </cell>
          <cell r="D70" t="str">
            <v>ピヨボム</v>
          </cell>
          <cell r="E70" t="str">
            <v>攻撃力10倍の自爆攻撃！</v>
          </cell>
        </row>
        <row r="71">
          <cell r="B71">
            <v>11801</v>
          </cell>
          <cell r="C71">
            <v>240004</v>
          </cell>
          <cell r="D71" t="str">
            <v>でかピヨボム</v>
          </cell>
          <cell r="E71" t="str">
            <v>攻撃力20倍の自爆攻撃！</v>
          </cell>
        </row>
        <row r="72">
          <cell r="B72">
            <v>11802</v>
          </cell>
          <cell r="C72">
            <v>240004</v>
          </cell>
          <cell r="D72" t="str">
            <v>でかピヨボム</v>
          </cell>
          <cell r="E72" t="str">
            <v>攻撃力20倍の自爆攻撃！</v>
          </cell>
        </row>
        <row r="73">
          <cell r="B73">
            <v>11803</v>
          </cell>
          <cell r="C73">
            <v>240004</v>
          </cell>
          <cell r="D73" t="str">
            <v>でかピヨボム</v>
          </cell>
          <cell r="E73" t="str">
            <v>攻撃力20倍の自爆攻撃！</v>
          </cell>
        </row>
        <row r="74">
          <cell r="B74">
            <v>11901</v>
          </cell>
          <cell r="C74">
            <v>240005</v>
          </cell>
          <cell r="D74" t="str">
            <v>ドでかピヨボム</v>
          </cell>
          <cell r="E74" t="str">
            <v>攻撃力30倍の自爆攻撃！</v>
          </cell>
        </row>
        <row r="75">
          <cell r="B75">
            <v>11902</v>
          </cell>
          <cell r="C75">
            <v>240005</v>
          </cell>
          <cell r="D75" t="str">
            <v>ドでかピヨボム</v>
          </cell>
          <cell r="E75" t="str">
            <v>攻撃力30倍の自爆攻撃！</v>
          </cell>
        </row>
        <row r="76">
          <cell r="B76">
            <v>11903</v>
          </cell>
          <cell r="C76">
            <v>240005</v>
          </cell>
          <cell r="D76" t="str">
            <v>ドでかピヨボム</v>
          </cell>
          <cell r="E76" t="str">
            <v>攻撃力30倍の自爆攻撃！</v>
          </cell>
        </row>
        <row r="77">
          <cell r="B77">
            <v>126</v>
          </cell>
          <cell r="C77">
            <v>220002</v>
          </cell>
          <cell r="D77" t="str">
            <v>狂乱打</v>
          </cell>
          <cell r="E77" t="str">
            <v>2回連続攻撃</v>
          </cell>
        </row>
        <row r="78">
          <cell r="B78">
            <v>12701</v>
          </cell>
          <cell r="C78">
            <v>220002</v>
          </cell>
          <cell r="D78" t="str">
            <v>狂乱打</v>
          </cell>
          <cell r="E78" t="str">
            <v>2回連続攻撃</v>
          </cell>
        </row>
        <row r="79">
          <cell r="B79">
            <v>128</v>
          </cell>
          <cell r="C79">
            <v>410007</v>
          </cell>
          <cell r="D79" t="str">
            <v>緑剛の恵み</v>
          </cell>
          <cell r="E79" t="str">
            <v>5ターン攻撃力小UP</v>
          </cell>
        </row>
        <row r="80">
          <cell r="B80">
            <v>12801</v>
          </cell>
          <cell r="C80">
            <v>410014</v>
          </cell>
          <cell r="D80" t="str">
            <v>緑剛の恵み</v>
          </cell>
          <cell r="E80" t="str">
            <v>3ターン攻撃力小UP</v>
          </cell>
        </row>
        <row r="81">
          <cell r="B81">
            <v>130</v>
          </cell>
          <cell r="C81">
            <v>210001</v>
          </cell>
          <cell r="D81" t="str">
            <v>青の剛力</v>
          </cell>
          <cell r="E81" t="str">
            <v>攻撃力×1.5倍の攻撃</v>
          </cell>
        </row>
        <row r="82">
          <cell r="B82">
            <v>13001</v>
          </cell>
          <cell r="C82">
            <v>370001</v>
          </cell>
          <cell r="D82" t="str">
            <v>黄属性カウンター</v>
          </cell>
          <cell r="E82" t="str">
            <v>黄属性ユニットの攻撃を3ターンカウンター</v>
          </cell>
        </row>
        <row r="83">
          <cell r="B83">
            <v>13001</v>
          </cell>
          <cell r="C83">
            <v>210001</v>
          </cell>
          <cell r="D83" t="str">
            <v>青の剛力</v>
          </cell>
          <cell r="E83" t="str">
            <v>攻撃力×1.5倍の攻撃</v>
          </cell>
        </row>
        <row r="84">
          <cell r="B84">
            <v>13002</v>
          </cell>
          <cell r="C84">
            <v>400021</v>
          </cell>
          <cell r="D84" t="str">
            <v>暴走</v>
          </cell>
          <cell r="E84" t="str">
            <v>3ターン攻撃頻度が1ターンにUP</v>
          </cell>
        </row>
        <row r="85">
          <cell r="B85">
            <v>13002</v>
          </cell>
          <cell r="C85">
            <v>370005</v>
          </cell>
          <cell r="D85" t="str">
            <v>黄属性カウンター</v>
          </cell>
          <cell r="E85" t="str">
            <v>黄属性ユニットの攻撃を4ターンカウンター</v>
          </cell>
        </row>
        <row r="86">
          <cell r="B86">
            <v>13002</v>
          </cell>
          <cell r="C86">
            <v>210001</v>
          </cell>
          <cell r="D86" t="str">
            <v>青の剛力</v>
          </cell>
          <cell r="E86" t="str">
            <v>攻撃力×1.5倍の攻撃</v>
          </cell>
        </row>
        <row r="87">
          <cell r="B87">
            <v>13101</v>
          </cell>
          <cell r="C87">
            <v>330008</v>
          </cell>
          <cell r="D87" t="str">
            <v>雷の拳</v>
          </cell>
          <cell r="E87" t="str">
            <v>4ターンスキルが使えない！</v>
          </cell>
        </row>
        <row r="88">
          <cell r="B88">
            <v>13101</v>
          </cell>
          <cell r="C88">
            <v>510022</v>
          </cell>
          <cell r="D88" t="str">
            <v>武術指南</v>
          </cell>
          <cell r="E88" t="str">
            <v>お邪魔パネル出現</v>
          </cell>
        </row>
        <row r="89">
          <cell r="B89">
            <v>13101</v>
          </cell>
          <cell r="C89">
            <v>250004</v>
          </cell>
          <cell r="D89" t="str">
            <v>軍神の咆哮</v>
          </cell>
          <cell r="E89" t="str">
            <v>種族ヒューマンのユニットに大ダメージ</v>
          </cell>
        </row>
        <row r="90">
          <cell r="B90">
            <v>132</v>
          </cell>
          <cell r="C90">
            <v>220010</v>
          </cell>
          <cell r="D90" t="str">
            <v>五月雨雷撃</v>
          </cell>
          <cell r="E90" t="str">
            <v>4回連続攻撃</v>
          </cell>
        </row>
        <row r="91">
          <cell r="B91">
            <v>13301</v>
          </cell>
          <cell r="C91">
            <v>220020</v>
          </cell>
          <cell r="D91" t="str">
            <v>ノロマめ…</v>
          </cell>
          <cell r="E91" t="str">
            <v>2回連続攻撃</v>
          </cell>
        </row>
        <row r="92">
          <cell r="B92">
            <v>13301</v>
          </cell>
          <cell r="C92">
            <v>220021</v>
          </cell>
          <cell r="D92" t="str">
            <v>何と緩慢な</v>
          </cell>
          <cell r="E92" t="str">
            <v>3回連続攻撃</v>
          </cell>
        </row>
        <row r="93">
          <cell r="B93">
            <v>13301</v>
          </cell>
          <cell r="C93">
            <v>220022</v>
          </cell>
          <cell r="D93" t="str">
            <v>止まってみえるぞ!</v>
          </cell>
          <cell r="E93" t="str">
            <v>7回連続攻撃</v>
          </cell>
        </row>
        <row r="94">
          <cell r="B94">
            <v>13301</v>
          </cell>
          <cell r="C94">
            <v>400015</v>
          </cell>
          <cell r="D94" t="str">
            <v>速翼の矜持</v>
          </cell>
          <cell r="E94" t="str">
            <v>この戦闘の間攻撃頻度が1ターンにUP</v>
          </cell>
        </row>
        <row r="95">
          <cell r="B95">
            <v>134</v>
          </cell>
          <cell r="C95">
            <v>320007</v>
          </cell>
          <cell r="D95" t="str">
            <v>炎華の香り</v>
          </cell>
          <cell r="E95" t="str">
            <v>3ターンの間ダメージを受ける</v>
          </cell>
        </row>
        <row r="96">
          <cell r="B96">
            <v>136</v>
          </cell>
          <cell r="C96">
            <v>300002</v>
          </cell>
          <cell r="D96" t="str">
            <v>ヒール</v>
          </cell>
          <cell r="E96" t="str">
            <v>回復</v>
          </cell>
        </row>
        <row r="97">
          <cell r="B97">
            <v>139</v>
          </cell>
          <cell r="C97">
            <v>210015</v>
          </cell>
          <cell r="D97" t="str">
            <v>蒼き一撃</v>
          </cell>
          <cell r="E97" t="str">
            <v>攻撃力×1.5倍の攻撃</v>
          </cell>
        </row>
        <row r="98">
          <cell r="B98">
            <v>140</v>
          </cell>
          <cell r="C98">
            <v>400004</v>
          </cell>
          <cell r="D98" t="str">
            <v>紅葉乱舞</v>
          </cell>
          <cell r="E98" t="str">
            <v>2ターン攻撃頻度が1ターンにUP</v>
          </cell>
        </row>
        <row r="99">
          <cell r="B99">
            <v>14001</v>
          </cell>
          <cell r="C99">
            <v>400024</v>
          </cell>
          <cell r="D99" t="str">
            <v>紅葉乱舞</v>
          </cell>
          <cell r="E99" t="str">
            <v>3ターン攻撃頻度が1ターンにUP</v>
          </cell>
        </row>
        <row r="100">
          <cell r="B100">
            <v>141</v>
          </cell>
          <cell r="C100">
            <v>400004</v>
          </cell>
          <cell r="D100" t="str">
            <v>紅葉乱舞</v>
          </cell>
          <cell r="E100" t="str">
            <v>2ターン攻撃頻度が1ターンにUP</v>
          </cell>
        </row>
        <row r="101">
          <cell r="B101">
            <v>10141</v>
          </cell>
          <cell r="C101">
            <v>400006</v>
          </cell>
          <cell r="D101" t="str">
            <v>紅葉乱舞</v>
          </cell>
          <cell r="E101" t="str">
            <v>2ターン攻撃頻度が1ターンにUP</v>
          </cell>
        </row>
        <row r="102">
          <cell r="B102">
            <v>14201</v>
          </cell>
          <cell r="C102">
            <v>250002</v>
          </cell>
          <cell r="D102" t="str">
            <v>アニマルキラー</v>
          </cell>
          <cell r="E102" t="str">
            <v>種族アニマルのユニットに大ダメージ</v>
          </cell>
        </row>
        <row r="103">
          <cell r="B103">
            <v>14301</v>
          </cell>
          <cell r="C103">
            <v>250002</v>
          </cell>
          <cell r="D103" t="str">
            <v>アニマルキラー</v>
          </cell>
          <cell r="E103" t="str">
            <v>種族アニマルのユニットに大ダメージ</v>
          </cell>
        </row>
        <row r="104">
          <cell r="B104">
            <v>14301</v>
          </cell>
          <cell r="C104">
            <v>260004</v>
          </cell>
          <cell r="D104" t="str">
            <v xml:space="preserve">狼なんてコワくない(´･ω･`) </v>
          </cell>
          <cell r="E104" t="str">
            <v>青属性の敵に大ダメージの攻撃</v>
          </cell>
        </row>
        <row r="105">
          <cell r="B105">
            <v>14301</v>
          </cell>
          <cell r="C105">
            <v>230016</v>
          </cell>
          <cell r="D105" t="str">
            <v>猟師さーんヽ(≧Д≦)ノ</v>
          </cell>
          <cell r="E105" t="str">
            <v>全体攻撃</v>
          </cell>
        </row>
        <row r="106">
          <cell r="B106">
            <v>146</v>
          </cell>
          <cell r="C106">
            <v>310001</v>
          </cell>
          <cell r="D106" t="str">
            <v>ディスハート</v>
          </cell>
          <cell r="E106" t="str">
            <v>ハートパネルで回復できない</v>
          </cell>
        </row>
        <row r="107">
          <cell r="B107">
            <v>14601</v>
          </cell>
          <cell r="C107">
            <v>340006</v>
          </cell>
          <cell r="D107" t="str">
            <v>人魚の歌声</v>
          </cell>
          <cell r="E107" t="str">
            <v>ユニット1体に3ターンスリープ</v>
          </cell>
        </row>
        <row r="108">
          <cell r="B108">
            <v>14601</v>
          </cell>
          <cell r="C108">
            <v>350005</v>
          </cell>
          <cell r="D108" t="str">
            <v>叶わぬ恋</v>
          </cell>
          <cell r="E108" t="str">
            <v>3ターン回復力が100%DOWN</v>
          </cell>
        </row>
        <row r="109">
          <cell r="B109">
            <v>14601</v>
          </cell>
          <cell r="C109">
            <v>510020</v>
          </cell>
          <cell r="D109" t="str">
            <v>バブル・エクステンション</v>
          </cell>
          <cell r="E109" t="str">
            <v>お邪魔パネル出現+全体にダメージ</v>
          </cell>
        </row>
        <row r="110">
          <cell r="B110">
            <v>148</v>
          </cell>
          <cell r="C110">
            <v>100009</v>
          </cell>
          <cell r="D110" t="str">
            <v>うっとり妄想タイム</v>
          </cell>
          <cell r="E110" t="str">
            <v>舞踏会に想いを馳せている</v>
          </cell>
        </row>
        <row r="111">
          <cell r="B111">
            <v>148</v>
          </cell>
          <cell r="C111">
            <v>210008</v>
          </cell>
          <cell r="D111" t="str">
            <v>煌きの一蹴</v>
          </cell>
          <cell r="E111" t="str">
            <v>攻撃力×1.5倍の攻撃</v>
          </cell>
        </row>
        <row r="112">
          <cell r="B112">
            <v>149</v>
          </cell>
          <cell r="C112">
            <v>100010</v>
          </cell>
          <cell r="D112" t="str">
            <v>まるで夢みたい！</v>
          </cell>
          <cell r="E112" t="str">
            <v>ガラスの靴に夢中だ</v>
          </cell>
        </row>
        <row r="113">
          <cell r="B113">
            <v>149</v>
          </cell>
          <cell r="C113">
            <v>210009</v>
          </cell>
          <cell r="D113" t="str">
            <v>輝きの一蹴</v>
          </cell>
          <cell r="E113" t="str">
            <v>攻撃力×2.5倍の攻撃</v>
          </cell>
        </row>
        <row r="114">
          <cell r="B114">
            <v>151</v>
          </cell>
          <cell r="C114">
            <v>510004</v>
          </cell>
          <cell r="D114" t="str">
            <v>ハートジャミング</v>
          </cell>
          <cell r="E114" t="str">
            <v>ハートパネルを時限式ダメージパネルに変換</v>
          </cell>
        </row>
        <row r="115">
          <cell r="B115">
            <v>151</v>
          </cell>
          <cell r="C115">
            <v>510006</v>
          </cell>
          <cell r="D115" t="str">
            <v>爆破します</v>
          </cell>
          <cell r="E115" t="str">
            <v>時限式ダメージパネル出現</v>
          </cell>
        </row>
        <row r="116">
          <cell r="B116">
            <v>152</v>
          </cell>
          <cell r="C116">
            <v>210013</v>
          </cell>
          <cell r="D116" t="str">
            <v>猛虎の手</v>
          </cell>
          <cell r="E116" t="str">
            <v>攻撃力×1.3倍の攻撃</v>
          </cell>
        </row>
        <row r="117">
          <cell r="B117">
            <v>152</v>
          </cell>
          <cell r="C117">
            <v>220012</v>
          </cell>
          <cell r="D117" t="str">
            <v>山猿の足</v>
          </cell>
          <cell r="E117" t="str">
            <v>5回連続攻撃</v>
          </cell>
        </row>
        <row r="118">
          <cell r="B118">
            <v>153</v>
          </cell>
          <cell r="C118">
            <v>210013</v>
          </cell>
          <cell r="D118" t="str">
            <v>猛虎の手</v>
          </cell>
          <cell r="E118" t="str">
            <v>攻撃力×1.3倍の攻撃</v>
          </cell>
        </row>
        <row r="119">
          <cell r="B119">
            <v>153</v>
          </cell>
          <cell r="C119">
            <v>220012</v>
          </cell>
          <cell r="D119" t="str">
            <v>山猿の足</v>
          </cell>
          <cell r="E119" t="str">
            <v>5回連続攻撃</v>
          </cell>
        </row>
        <row r="120">
          <cell r="B120">
            <v>153</v>
          </cell>
          <cell r="C120">
            <v>230008</v>
          </cell>
          <cell r="D120" t="str">
            <v>窮鼠の爪</v>
          </cell>
          <cell r="E120" t="str">
            <v>全体攻撃</v>
          </cell>
        </row>
        <row r="121">
          <cell r="B121">
            <v>154</v>
          </cell>
          <cell r="C121">
            <v>300002</v>
          </cell>
          <cell r="D121" t="str">
            <v>ヒール</v>
          </cell>
          <cell r="E121" t="str">
            <v>回復</v>
          </cell>
        </row>
        <row r="122">
          <cell r="B122">
            <v>15501</v>
          </cell>
          <cell r="C122">
            <v>420002</v>
          </cell>
          <cell r="D122" t="str">
            <v>セメクトのカラシリス</v>
          </cell>
          <cell r="E122" t="str">
            <v>3ターン防御力UP</v>
          </cell>
        </row>
        <row r="123">
          <cell r="B123">
            <v>15501</v>
          </cell>
          <cell r="C123">
            <v>510021</v>
          </cell>
          <cell r="D123" t="str">
            <v>心を秤ってあげるわ</v>
          </cell>
          <cell r="E123" t="str">
            <v>ハートパネルを時限式ダメージパネルに変換</v>
          </cell>
        </row>
        <row r="124">
          <cell r="B124">
            <v>15501</v>
          </cell>
          <cell r="C124">
            <v>210025</v>
          </cell>
          <cell r="D124" t="str">
            <v>ハートクラッシュ</v>
          </cell>
          <cell r="E124" t="str">
            <v>攻撃力×2.0倍の攻撃</v>
          </cell>
        </row>
        <row r="125">
          <cell r="B125">
            <v>156</v>
          </cell>
          <cell r="C125">
            <v>300002</v>
          </cell>
          <cell r="D125" t="str">
            <v>ヒール</v>
          </cell>
          <cell r="E125" t="str">
            <v>回復</v>
          </cell>
        </row>
        <row r="126">
          <cell r="B126">
            <v>156</v>
          </cell>
          <cell r="C126">
            <v>100005</v>
          </cell>
          <cell r="D126" t="str">
            <v>楽しげなステップ</v>
          </cell>
          <cell r="E126" t="str">
            <v>楽しそうに踊っている</v>
          </cell>
        </row>
        <row r="127">
          <cell r="B127">
            <v>15601</v>
          </cell>
          <cell r="C127">
            <v>300001</v>
          </cell>
          <cell r="D127" t="str">
            <v>ヒール</v>
          </cell>
          <cell r="E127" t="str">
            <v>回復</v>
          </cell>
        </row>
        <row r="128">
          <cell r="B128">
            <v>157</v>
          </cell>
          <cell r="C128">
            <v>300002</v>
          </cell>
          <cell r="D128" t="str">
            <v>ヒール</v>
          </cell>
          <cell r="E128" t="str">
            <v>回復</v>
          </cell>
        </row>
        <row r="129">
          <cell r="B129">
            <v>160</v>
          </cell>
          <cell r="C129">
            <v>510003</v>
          </cell>
          <cell r="D129" t="str">
            <v>反逆のシャウト</v>
          </cell>
          <cell r="E129" t="str">
            <v>少しだけお邪魔パネル出現</v>
          </cell>
        </row>
        <row r="130">
          <cell r="B130">
            <v>16101</v>
          </cell>
          <cell r="C130">
            <v>330014</v>
          </cell>
          <cell r="D130" t="str">
            <v>バインドノイズ</v>
          </cell>
          <cell r="E130" t="str">
            <v>6ターンスキルが使えない！</v>
          </cell>
        </row>
        <row r="131">
          <cell r="B131">
            <v>16101</v>
          </cell>
          <cell r="C131">
            <v>330015</v>
          </cell>
          <cell r="D131" t="str">
            <v>バインドノイズ</v>
          </cell>
          <cell r="E131" t="str">
            <v>6ターンスキルが使えない！</v>
          </cell>
        </row>
        <row r="132">
          <cell r="B132">
            <v>16101</v>
          </cell>
          <cell r="C132">
            <v>230024</v>
          </cell>
          <cell r="D132" t="str">
            <v>サウンドストーム</v>
          </cell>
          <cell r="E132" t="str">
            <v>全体攻撃</v>
          </cell>
        </row>
        <row r="133">
          <cell r="B133">
            <v>16101</v>
          </cell>
          <cell r="C133">
            <v>520008</v>
          </cell>
          <cell r="D133" t="str">
            <v>ルージュキャンセリング</v>
          </cell>
          <cell r="E133" t="str">
            <v>3ターン赤パネルが使えない！</v>
          </cell>
        </row>
        <row r="134">
          <cell r="B134">
            <v>16201</v>
          </cell>
          <cell r="C134">
            <v>550001</v>
          </cell>
          <cell r="D134" t="str">
            <v>サディスティックステージ</v>
          </cell>
          <cell r="E134" t="str">
            <v>4ターンパネルの色が分からなくなる !</v>
          </cell>
        </row>
        <row r="135">
          <cell r="B135">
            <v>16301</v>
          </cell>
          <cell r="C135">
            <v>230002</v>
          </cell>
          <cell r="D135" t="str">
            <v>大切断</v>
          </cell>
          <cell r="E135" t="str">
            <v>全体攻撃</v>
          </cell>
        </row>
        <row r="136">
          <cell r="B136">
            <v>16302</v>
          </cell>
          <cell r="C136">
            <v>550001</v>
          </cell>
          <cell r="D136" t="str">
            <v>サディスティックステージ</v>
          </cell>
          <cell r="E136" t="str">
            <v>4ターンパネルの色が分からなくなる !</v>
          </cell>
        </row>
        <row r="137">
          <cell r="B137">
            <v>16302</v>
          </cell>
          <cell r="C137">
            <v>250010</v>
          </cell>
          <cell r="D137" t="str">
            <v>分解…</v>
          </cell>
          <cell r="E137" t="str">
            <v>種族マシンのユニットに大ダメージ</v>
          </cell>
        </row>
        <row r="138">
          <cell r="B138">
            <v>164</v>
          </cell>
          <cell r="C138">
            <v>510008</v>
          </cell>
          <cell r="D138" t="str">
            <v>イブと遊ぼ？</v>
          </cell>
          <cell r="E138" t="str">
            <v>少しだけお邪魔パネル出現</v>
          </cell>
        </row>
        <row r="139">
          <cell r="B139">
            <v>164</v>
          </cell>
          <cell r="C139">
            <v>410005</v>
          </cell>
          <cell r="D139" t="str">
            <v>もっと遊ぼう？</v>
          </cell>
          <cell r="E139" t="str">
            <v>5ターン攻撃力大UP</v>
          </cell>
        </row>
        <row r="140">
          <cell r="B140">
            <v>16501</v>
          </cell>
          <cell r="C140">
            <v>500029</v>
          </cell>
          <cell r="D140" t="str">
            <v>イブと遊ぼ？</v>
          </cell>
          <cell r="E140" t="str">
            <v>お邪魔パネル出現</v>
          </cell>
        </row>
        <row r="141">
          <cell r="B141">
            <v>16502</v>
          </cell>
          <cell r="C141">
            <v>330009</v>
          </cell>
          <cell r="D141" t="str">
            <v>今度はイブの番！</v>
          </cell>
          <cell r="E141" t="str">
            <v>この戦闘ではスキルが使えない！</v>
          </cell>
        </row>
        <row r="142">
          <cell r="B142">
            <v>169</v>
          </cell>
          <cell r="C142">
            <v>220003</v>
          </cell>
          <cell r="D142" t="str">
            <v>トゥハンド</v>
          </cell>
          <cell r="E142" t="str">
            <v>2回連続攻撃</v>
          </cell>
        </row>
        <row r="143">
          <cell r="B143">
            <v>172</v>
          </cell>
          <cell r="C143">
            <v>510009</v>
          </cell>
          <cell r="D143" t="str">
            <v>パネルフリーズ</v>
          </cell>
          <cell r="E143" t="str">
            <v>少しだけお邪魔パネル出現</v>
          </cell>
        </row>
        <row r="144">
          <cell r="B144">
            <v>17001</v>
          </cell>
          <cell r="C144">
            <v>260005</v>
          </cell>
          <cell r="D144" t="str">
            <v>乱れ跳ぶ虹弾</v>
          </cell>
          <cell r="E144" t="str">
            <v>赤属性の敵に大ダメージの攻撃</v>
          </cell>
        </row>
        <row r="145">
          <cell r="B145">
            <v>17001</v>
          </cell>
          <cell r="C145">
            <v>260006</v>
          </cell>
          <cell r="D145" t="str">
            <v>乱れ跳ぶ虹弾</v>
          </cell>
          <cell r="E145" t="str">
            <v>黄属性の敵に大ダメージの攻撃</v>
          </cell>
        </row>
        <row r="146">
          <cell r="B146">
            <v>17001</v>
          </cell>
          <cell r="C146">
            <v>260007</v>
          </cell>
          <cell r="D146" t="str">
            <v>乱れ跳ぶ虹弾</v>
          </cell>
          <cell r="E146" t="str">
            <v>緑属性の敵に大ダメージの攻撃</v>
          </cell>
        </row>
        <row r="147">
          <cell r="B147">
            <v>17001</v>
          </cell>
          <cell r="C147">
            <v>260008</v>
          </cell>
          <cell r="D147" t="str">
            <v>乱れ跳ぶ虹弾</v>
          </cell>
          <cell r="E147" t="str">
            <v>青属性の敵に大ダメージの攻撃</v>
          </cell>
        </row>
        <row r="148">
          <cell r="B148">
            <v>17101</v>
          </cell>
          <cell r="C148">
            <v>220027</v>
          </cell>
          <cell r="D148" t="str">
            <v>ツインターゲット</v>
          </cell>
          <cell r="E148" t="str">
            <v>2回連続攻撃</v>
          </cell>
        </row>
        <row r="149">
          <cell r="B149">
            <v>17102</v>
          </cell>
          <cell r="C149">
            <v>220027</v>
          </cell>
          <cell r="D149" t="str">
            <v>ツインターゲット</v>
          </cell>
          <cell r="E149" t="str">
            <v>2回連続攻撃</v>
          </cell>
        </row>
        <row r="150">
          <cell r="B150">
            <v>17102</v>
          </cell>
          <cell r="C150">
            <v>410021</v>
          </cell>
          <cell r="D150" t="str">
            <v>インサニティ</v>
          </cell>
          <cell r="E150" t="str">
            <v>4ターン攻撃力UP</v>
          </cell>
        </row>
        <row r="151">
          <cell r="B151">
            <v>17102</v>
          </cell>
          <cell r="C151">
            <v>370004</v>
          </cell>
          <cell r="D151" t="str">
            <v>インティミデイト</v>
          </cell>
          <cell r="E151" t="str">
            <v>赤属性ユニットの攻撃を3ターンカウンター</v>
          </cell>
        </row>
        <row r="152">
          <cell r="B152">
            <v>17102</v>
          </cell>
          <cell r="C152">
            <v>540009</v>
          </cell>
          <cell r="D152" t="str">
            <v>アームブレイク</v>
          </cell>
          <cell r="E152" t="str">
            <v>3ターンタップ回数を1減少</v>
          </cell>
        </row>
        <row r="153">
          <cell r="B153">
            <v>17601</v>
          </cell>
          <cell r="C153">
            <v>520003</v>
          </cell>
          <cell r="D153" t="str">
            <v>緑を刈り奪る大鎌</v>
          </cell>
          <cell r="E153" t="str">
            <v>4ターン緑パネルが使えない！</v>
          </cell>
        </row>
        <row r="154">
          <cell r="B154">
            <v>17601</v>
          </cell>
          <cell r="C154">
            <v>510024</v>
          </cell>
          <cell r="D154" t="str">
            <v>万物流転</v>
          </cell>
          <cell r="E154" t="str">
            <v>ランダムで黄パネルに変換</v>
          </cell>
        </row>
        <row r="155">
          <cell r="B155">
            <v>178</v>
          </cell>
          <cell r="C155">
            <v>410003</v>
          </cell>
          <cell r="D155" t="str">
            <v>頑張っちゃいますぅ！</v>
          </cell>
          <cell r="E155" t="str">
            <v>5ターン攻撃力小UP</v>
          </cell>
        </row>
        <row r="156">
          <cell r="B156">
            <v>17801</v>
          </cell>
          <cell r="C156">
            <v>410023</v>
          </cell>
          <cell r="D156" t="str">
            <v>頑張っちゃいますぅ！</v>
          </cell>
          <cell r="E156" t="str">
            <v>8ターン攻撃力小UP</v>
          </cell>
        </row>
        <row r="157">
          <cell r="B157">
            <v>182</v>
          </cell>
          <cell r="C157">
            <v>230005</v>
          </cell>
          <cell r="D157" t="str">
            <v>猛烈突進</v>
          </cell>
          <cell r="E157" t="str">
            <v>全体攻撃</v>
          </cell>
        </row>
        <row r="158">
          <cell r="B158">
            <v>18201</v>
          </cell>
          <cell r="C158">
            <v>230005</v>
          </cell>
          <cell r="D158" t="str">
            <v>猛烈突進</v>
          </cell>
          <cell r="E158" t="str">
            <v>全体攻撃</v>
          </cell>
        </row>
        <row r="159">
          <cell r="B159">
            <v>18201</v>
          </cell>
          <cell r="C159">
            <v>250006</v>
          </cell>
          <cell r="D159" t="str">
            <v>ゴッドキラー</v>
          </cell>
          <cell r="E159" t="str">
            <v>種族ゴッドのユニットに大ダメージ</v>
          </cell>
        </row>
        <row r="160">
          <cell r="B160">
            <v>184</v>
          </cell>
          <cell r="C160">
            <v>340002</v>
          </cell>
          <cell r="D160" t="str">
            <v>子守唄</v>
          </cell>
          <cell r="E160" t="str">
            <v>3ターンの間行動できない</v>
          </cell>
        </row>
        <row r="161">
          <cell r="B161">
            <v>185</v>
          </cell>
          <cell r="C161">
            <v>340002</v>
          </cell>
          <cell r="D161" t="str">
            <v>子守唄</v>
          </cell>
          <cell r="E161" t="str">
            <v>3ターンの間行動できない</v>
          </cell>
        </row>
        <row r="162">
          <cell r="B162">
            <v>18501</v>
          </cell>
          <cell r="C162">
            <v>340002</v>
          </cell>
          <cell r="D162" t="str">
            <v>子守唄</v>
          </cell>
          <cell r="E162" t="str">
            <v>3ターンの間行動できない</v>
          </cell>
        </row>
        <row r="163">
          <cell r="B163">
            <v>18501</v>
          </cell>
          <cell r="C163">
            <v>210024</v>
          </cell>
          <cell r="D163" t="str">
            <v>蒼の衝撃</v>
          </cell>
          <cell r="E163" t="str">
            <v>攻撃力×2.0倍の攻撃</v>
          </cell>
        </row>
        <row r="164">
          <cell r="B164">
            <v>18502</v>
          </cell>
          <cell r="C164">
            <v>340002</v>
          </cell>
          <cell r="D164" t="str">
            <v>子守唄</v>
          </cell>
          <cell r="E164" t="str">
            <v>3ターンの間行動できない</v>
          </cell>
        </row>
        <row r="165">
          <cell r="B165">
            <v>18502</v>
          </cell>
          <cell r="C165">
            <v>250003</v>
          </cell>
          <cell r="D165" t="str">
            <v>ヒューマンキラー</v>
          </cell>
          <cell r="E165" t="str">
            <v>種族ヒューマンのユニットに大ダメージ</v>
          </cell>
        </row>
        <row r="166">
          <cell r="B166">
            <v>18502</v>
          </cell>
          <cell r="C166">
            <v>210024</v>
          </cell>
          <cell r="D166" t="str">
            <v>蒼の衝撃</v>
          </cell>
          <cell r="E166" t="str">
            <v>攻撃力×2.0倍の攻撃</v>
          </cell>
        </row>
        <row r="167">
          <cell r="B167">
            <v>187</v>
          </cell>
          <cell r="C167">
            <v>210014</v>
          </cell>
          <cell r="D167" t="str">
            <v>閃光空撃</v>
          </cell>
          <cell r="E167" t="str">
            <v>攻撃力×1.5倍の攻撃</v>
          </cell>
        </row>
        <row r="168">
          <cell r="B168">
            <v>18701</v>
          </cell>
          <cell r="C168">
            <v>410008</v>
          </cell>
          <cell r="D168" t="str">
            <v>怒り鉤爪</v>
          </cell>
          <cell r="E168" t="str">
            <v>3ターン攻撃力UP</v>
          </cell>
        </row>
        <row r="169">
          <cell r="B169">
            <v>18801</v>
          </cell>
          <cell r="C169">
            <v>320012</v>
          </cell>
          <cell r="D169" t="str">
            <v>セクメトの息吹</v>
          </cell>
          <cell r="E169" t="str">
            <v>3ターンの間ダメージを受ける</v>
          </cell>
        </row>
        <row r="170">
          <cell r="B170">
            <v>18801</v>
          </cell>
          <cell r="C170">
            <v>300008</v>
          </cell>
          <cell r="D170" t="str">
            <v>すべてを癒そう</v>
          </cell>
          <cell r="E170" t="str">
            <v>ラジャトの瞳</v>
          </cell>
        </row>
        <row r="171">
          <cell r="B171">
            <v>18801</v>
          </cell>
          <cell r="C171">
            <v>420003</v>
          </cell>
          <cell r="D171" t="str">
            <v>女王を護る盾となる</v>
          </cell>
          <cell r="E171" t="str">
            <v>3ターン防御力UP</v>
          </cell>
        </row>
        <row r="172">
          <cell r="B172">
            <v>18801</v>
          </cell>
          <cell r="C172">
            <v>100022</v>
          </cell>
          <cell r="D172" t="str">
            <v>指一本触れさせん…</v>
          </cell>
          <cell r="E172" t="str">
            <v>ホルスの瞳が真紅に染まっていく！</v>
          </cell>
        </row>
        <row r="173">
          <cell r="B173">
            <v>18801</v>
          </cell>
          <cell r="C173">
            <v>210026</v>
          </cell>
          <cell r="D173" t="str">
            <v>失せろ下郎！</v>
          </cell>
          <cell r="E173" t="str">
            <v>攻撃力×3.0倍の攻撃</v>
          </cell>
        </row>
        <row r="174">
          <cell r="B174">
            <v>193</v>
          </cell>
          <cell r="C174">
            <v>220006</v>
          </cell>
          <cell r="D174" t="str">
            <v>乱射</v>
          </cell>
          <cell r="E174" t="str">
            <v>5回連続攻撃</v>
          </cell>
        </row>
        <row r="175">
          <cell r="B175">
            <v>194</v>
          </cell>
          <cell r="C175">
            <v>220007</v>
          </cell>
          <cell r="D175" t="str">
            <v>超乱射</v>
          </cell>
          <cell r="E175" t="str">
            <v>8回連続攻撃</v>
          </cell>
        </row>
        <row r="176">
          <cell r="B176">
            <v>197</v>
          </cell>
          <cell r="C176">
            <v>300005</v>
          </cell>
          <cell r="D176" t="str">
            <v>ヒール</v>
          </cell>
          <cell r="E176" t="str">
            <v>回復</v>
          </cell>
        </row>
        <row r="177">
          <cell r="B177">
            <v>198</v>
          </cell>
          <cell r="C177">
            <v>300005</v>
          </cell>
          <cell r="D177" t="str">
            <v>ヒール</v>
          </cell>
          <cell r="E177" t="str">
            <v>回復</v>
          </cell>
        </row>
        <row r="178">
          <cell r="B178">
            <v>197</v>
          </cell>
          <cell r="C178">
            <v>210007</v>
          </cell>
          <cell r="D178" t="str">
            <v>金剛黄撃</v>
          </cell>
          <cell r="E178" t="str">
            <v>攻撃力×3.0倍の攻撃</v>
          </cell>
        </row>
        <row r="179">
          <cell r="B179">
            <v>198</v>
          </cell>
          <cell r="C179">
            <v>210007</v>
          </cell>
          <cell r="D179" t="str">
            <v>金剛黄撃</v>
          </cell>
          <cell r="E179" t="str">
            <v>攻撃力×3.0倍の攻撃</v>
          </cell>
        </row>
        <row r="180">
          <cell r="B180">
            <v>10197</v>
          </cell>
          <cell r="C180">
            <v>210016</v>
          </cell>
          <cell r="D180" t="str">
            <v>金剛黄撃</v>
          </cell>
          <cell r="E180" t="str">
            <v>攻撃力×2.0倍の攻撃</v>
          </cell>
        </row>
        <row r="181">
          <cell r="B181">
            <v>199</v>
          </cell>
          <cell r="C181">
            <v>230002</v>
          </cell>
          <cell r="D181" t="str">
            <v>大切断</v>
          </cell>
          <cell r="E181" t="str">
            <v>全体攻撃</v>
          </cell>
        </row>
        <row r="182">
          <cell r="B182">
            <v>200</v>
          </cell>
          <cell r="C182">
            <v>230002</v>
          </cell>
          <cell r="D182" t="str">
            <v>大切断</v>
          </cell>
          <cell r="E182" t="str">
            <v>全体攻撃</v>
          </cell>
        </row>
        <row r="183">
          <cell r="B183">
            <v>20001</v>
          </cell>
          <cell r="C183">
            <v>340010</v>
          </cell>
          <cell r="D183" t="str">
            <v>静寂の緑</v>
          </cell>
          <cell r="E183" t="str">
            <v>緑属性ユニットを4ターンスリープ</v>
          </cell>
        </row>
        <row r="184">
          <cell r="B184">
            <v>20001</v>
          </cell>
          <cell r="C184">
            <v>230002</v>
          </cell>
          <cell r="D184" t="str">
            <v>大切断</v>
          </cell>
          <cell r="E184" t="str">
            <v>全体攻撃</v>
          </cell>
        </row>
        <row r="185">
          <cell r="B185">
            <v>202</v>
          </cell>
          <cell r="C185">
            <v>350001</v>
          </cell>
          <cell r="D185" t="str">
            <v>ハートブレイク</v>
          </cell>
          <cell r="E185" t="str">
            <v>5ターン回復力が100%DOWN</v>
          </cell>
        </row>
        <row r="186">
          <cell r="B186">
            <v>20201</v>
          </cell>
          <cell r="C186">
            <v>400020</v>
          </cell>
          <cell r="D186" t="str">
            <v>高速化</v>
          </cell>
          <cell r="E186" t="str">
            <v>4ターン攻撃頻度が1ターンにUP</v>
          </cell>
        </row>
        <row r="187">
          <cell r="B187">
            <v>20201</v>
          </cell>
          <cell r="C187">
            <v>410019</v>
          </cell>
          <cell r="D187" t="str">
            <v>闘気結集</v>
          </cell>
          <cell r="E187" t="str">
            <v>4ターン攻撃力大UP</v>
          </cell>
        </row>
        <row r="188">
          <cell r="B188">
            <v>203</v>
          </cell>
          <cell r="C188">
            <v>350002</v>
          </cell>
          <cell r="D188" t="str">
            <v>ハートブレイク</v>
          </cell>
          <cell r="E188" t="str">
            <v>解除するまで回復力が100%DOWN</v>
          </cell>
        </row>
        <row r="189">
          <cell r="B189">
            <v>20501</v>
          </cell>
          <cell r="C189">
            <v>340011</v>
          </cell>
          <cell r="D189" t="str">
            <v>眠りを誘う薔薇園</v>
          </cell>
          <cell r="E189" t="str">
            <v>ユニット1体に3ターンスリープ＋攻撃</v>
          </cell>
        </row>
        <row r="190">
          <cell r="B190">
            <v>20501</v>
          </cell>
          <cell r="C190">
            <v>330010</v>
          </cell>
          <cell r="D190" t="str">
            <v>束縛する薔薇</v>
          </cell>
          <cell r="E190" t="str">
            <v>3ターンスキルが使えない！＋攻撃</v>
          </cell>
        </row>
        <row r="191">
          <cell r="B191">
            <v>206</v>
          </cell>
          <cell r="C191">
            <v>510002</v>
          </cell>
          <cell r="D191" t="str">
            <v>ハイ・スパムバースト</v>
          </cell>
          <cell r="E191" t="str">
            <v>お邪魔パネル出現</v>
          </cell>
        </row>
        <row r="192">
          <cell r="B192">
            <v>20801</v>
          </cell>
          <cell r="C192">
            <v>370002</v>
          </cell>
          <cell r="D192" t="str">
            <v>黄属性カウンター(強)</v>
          </cell>
          <cell r="E192" t="str">
            <v>黄属性ユニットの攻撃を3ターンカウンター</v>
          </cell>
        </row>
        <row r="193">
          <cell r="B193">
            <v>211</v>
          </cell>
          <cell r="C193">
            <v>500001</v>
          </cell>
          <cell r="D193" t="str">
            <v>クロックメテオ</v>
          </cell>
          <cell r="E193" t="str">
            <v>時限式ダメージパネル出現</v>
          </cell>
        </row>
        <row r="194">
          <cell r="B194">
            <v>212</v>
          </cell>
          <cell r="C194">
            <v>500001</v>
          </cell>
          <cell r="D194" t="str">
            <v>クロックメテオ</v>
          </cell>
          <cell r="E194" t="str">
            <v>時限式ダメージパネル出現</v>
          </cell>
        </row>
        <row r="195">
          <cell r="B195">
            <v>215</v>
          </cell>
          <cell r="C195">
            <v>230006</v>
          </cell>
          <cell r="D195" t="str">
            <v>畏れの至言</v>
          </cell>
          <cell r="E195" t="str">
            <v>全体攻撃</v>
          </cell>
        </row>
        <row r="196">
          <cell r="B196">
            <v>215</v>
          </cell>
          <cell r="C196">
            <v>320006</v>
          </cell>
          <cell r="D196" t="str">
            <v>死の誘惑</v>
          </cell>
          <cell r="E196" t="str">
            <v>5ターンの間ダメージを受ける</v>
          </cell>
        </row>
        <row r="197">
          <cell r="B197">
            <v>21701</v>
          </cell>
          <cell r="C197">
            <v>300009</v>
          </cell>
          <cell r="D197" t="str">
            <v>ヒール</v>
          </cell>
          <cell r="E197" t="str">
            <v>回復</v>
          </cell>
        </row>
        <row r="198">
          <cell r="B198">
            <v>21702</v>
          </cell>
          <cell r="C198">
            <v>340008</v>
          </cell>
          <cell r="D198" t="str">
            <v>恐怖のベル</v>
          </cell>
          <cell r="E198" t="str">
            <v>2ターンの間スリープ＋ウィルス</v>
          </cell>
        </row>
        <row r="199">
          <cell r="B199">
            <v>21801</v>
          </cell>
          <cell r="C199">
            <v>300003</v>
          </cell>
          <cell r="D199" t="str">
            <v>超再生</v>
          </cell>
          <cell r="E199" t="str">
            <v>一度だけ全回復！</v>
          </cell>
        </row>
        <row r="200">
          <cell r="B200">
            <v>219</v>
          </cell>
          <cell r="C200">
            <v>300003</v>
          </cell>
          <cell r="D200" t="str">
            <v>超再生</v>
          </cell>
          <cell r="E200" t="str">
            <v>一度だけ全回復！</v>
          </cell>
        </row>
        <row r="201">
          <cell r="B201">
            <v>22001</v>
          </cell>
          <cell r="C201">
            <v>340013</v>
          </cell>
          <cell r="D201" t="str">
            <v>連鎖の水縛</v>
          </cell>
          <cell r="E201" t="str">
            <v>ユニット1体に4ターンスリープ</v>
          </cell>
        </row>
        <row r="202">
          <cell r="B202">
            <v>22001</v>
          </cell>
          <cell r="C202">
            <v>34014</v>
          </cell>
          <cell r="D202" t="str">
            <v>連鎖の水縛</v>
          </cell>
          <cell r="E202" t="str">
            <v>ユニット1体に4ターンスリープ</v>
          </cell>
        </row>
        <row r="203">
          <cell r="B203">
            <v>22001</v>
          </cell>
          <cell r="C203">
            <v>210030</v>
          </cell>
          <cell r="D203" t="str">
            <v>連鎖の氷殺</v>
          </cell>
          <cell r="E203" t="str">
            <v>攻撃力×1.8倍の攻撃</v>
          </cell>
        </row>
        <row r="204">
          <cell r="B204">
            <v>22001</v>
          </cell>
          <cell r="C204">
            <v>230030</v>
          </cell>
          <cell r="D204" t="str">
            <v>薙ぎ払い</v>
          </cell>
          <cell r="E204" t="str">
            <v>全体攻撃</v>
          </cell>
        </row>
        <row r="205">
          <cell r="B205">
            <v>22101</v>
          </cell>
          <cell r="C205">
            <v>540010</v>
          </cell>
          <cell r="D205" t="str">
            <v>動を阻む鎖</v>
          </cell>
          <cell r="E205" t="str">
            <v>3ターンタップ回数を1減少＋お邪魔パネル出現</v>
          </cell>
        </row>
        <row r="206">
          <cell r="B206">
            <v>224</v>
          </cell>
          <cell r="C206">
            <v>410006</v>
          </cell>
          <cell r="D206" t="str">
            <v>獅子の咆哮</v>
          </cell>
          <cell r="E206" t="str">
            <v>3ターン攻撃力大UP</v>
          </cell>
        </row>
        <row r="207">
          <cell r="B207">
            <v>224</v>
          </cell>
          <cell r="C207">
            <v>210006</v>
          </cell>
          <cell r="D207" t="str">
            <v>巨腕の抱擁</v>
          </cell>
          <cell r="E207" t="str">
            <v>攻撃力×2倍の攻撃</v>
          </cell>
        </row>
        <row r="208">
          <cell r="B208">
            <v>22601</v>
          </cell>
          <cell r="C208">
            <v>410024</v>
          </cell>
          <cell r="D208" t="str">
            <v>全ては薔薇のために…</v>
          </cell>
          <cell r="E208" t="str">
            <v>3ターン攻撃力UP</v>
          </cell>
        </row>
        <row r="209">
          <cell r="B209">
            <v>22601</v>
          </cell>
          <cell r="C209">
            <v>400019</v>
          </cell>
          <cell r="D209" t="str">
            <v>クイックリロード</v>
          </cell>
          <cell r="E209" t="str">
            <v>3ターン攻撃頻度が1ターンにUP</v>
          </cell>
        </row>
        <row r="210">
          <cell r="B210">
            <v>229</v>
          </cell>
          <cell r="C210">
            <v>210002</v>
          </cell>
          <cell r="D210" t="str">
            <v>蛇牙</v>
          </cell>
          <cell r="E210" t="str">
            <v>攻撃力×1.8倍の攻撃</v>
          </cell>
        </row>
        <row r="211">
          <cell r="B211">
            <v>22901</v>
          </cell>
          <cell r="C211">
            <v>210002</v>
          </cell>
          <cell r="D211" t="str">
            <v>蛇牙</v>
          </cell>
          <cell r="E211" t="str">
            <v>攻撃力×1.8倍の攻撃</v>
          </cell>
        </row>
        <row r="212">
          <cell r="B212">
            <v>230</v>
          </cell>
          <cell r="C212">
            <v>220011</v>
          </cell>
          <cell r="D212" t="str">
            <v>毒蛇の猛攻</v>
          </cell>
          <cell r="E212" t="str">
            <v>5回連続攻撃</v>
          </cell>
        </row>
        <row r="213">
          <cell r="B213">
            <v>231</v>
          </cell>
          <cell r="C213">
            <v>220011</v>
          </cell>
          <cell r="D213" t="str">
            <v>毒蛇の猛攻</v>
          </cell>
          <cell r="E213" t="str">
            <v>5回連続攻撃</v>
          </cell>
        </row>
        <row r="214">
          <cell r="B214">
            <v>232</v>
          </cell>
          <cell r="C214">
            <v>210003</v>
          </cell>
          <cell r="D214" t="str">
            <v>ワンショットキル</v>
          </cell>
          <cell r="E214" t="str">
            <v>攻撃力×2.5倍の攻撃</v>
          </cell>
        </row>
        <row r="215">
          <cell r="B215">
            <v>233</v>
          </cell>
          <cell r="C215">
            <v>210003</v>
          </cell>
          <cell r="D215" t="str">
            <v>ワンショットキル</v>
          </cell>
          <cell r="E215" t="str">
            <v>攻撃力×2.5倍の攻撃</v>
          </cell>
        </row>
        <row r="216">
          <cell r="B216">
            <v>23601</v>
          </cell>
          <cell r="C216">
            <v>250008</v>
          </cell>
          <cell r="D216" t="str">
            <v>神をも撃ち抜く雷</v>
          </cell>
          <cell r="E216" t="str">
            <v>種族ゴッドのユニットに大ダメージ</v>
          </cell>
        </row>
        <row r="217">
          <cell r="B217">
            <v>241</v>
          </cell>
          <cell r="C217">
            <v>300001</v>
          </cell>
          <cell r="D217" t="str">
            <v>ヒール</v>
          </cell>
          <cell r="E217" t="str">
            <v>回復</v>
          </cell>
        </row>
        <row r="218">
          <cell r="B218">
            <v>24201</v>
          </cell>
          <cell r="C218">
            <v>500025</v>
          </cell>
          <cell r="D218" t="str">
            <v>コメットシャワー</v>
          </cell>
          <cell r="E218" t="str">
            <v>時限式ダメージパネル出現</v>
          </cell>
        </row>
        <row r="219">
          <cell r="B219">
            <v>24201</v>
          </cell>
          <cell r="C219">
            <v>340009</v>
          </cell>
          <cell r="D219" t="str">
            <v>天使の子守唄</v>
          </cell>
          <cell r="E219" t="str">
            <v>ユニット1体に4ターンスリープ</v>
          </cell>
        </row>
        <row r="220">
          <cell r="B220">
            <v>24202</v>
          </cell>
          <cell r="C220">
            <v>530002</v>
          </cell>
          <cell r="D220" t="str">
            <v>天使のカーテン</v>
          </cell>
          <cell r="E220" t="str">
            <v>状態異常が効かなくなった！</v>
          </cell>
        </row>
        <row r="221">
          <cell r="B221">
            <v>24202</v>
          </cell>
          <cell r="C221">
            <v>500026</v>
          </cell>
          <cell r="D221" t="str">
            <v>コメットレイン</v>
          </cell>
          <cell r="E221" t="str">
            <v>緑パネルを時限式ダメージパネルに変換＋攻撃</v>
          </cell>
        </row>
        <row r="222">
          <cell r="B222">
            <v>24701</v>
          </cell>
          <cell r="C222">
            <v>540001</v>
          </cell>
          <cell r="D222" t="str">
            <v>デコイ</v>
          </cell>
          <cell r="E222" t="str">
            <v>3ターンタップ回数を1減少</v>
          </cell>
        </row>
        <row r="223">
          <cell r="B223">
            <v>24801</v>
          </cell>
          <cell r="C223">
            <v>540002</v>
          </cell>
          <cell r="D223" t="str">
            <v>フレア</v>
          </cell>
          <cell r="E223" t="str">
            <v>タップ回数を1減少+攻撃頻度が1ターンにUP</v>
          </cell>
        </row>
        <row r="224">
          <cell r="B224">
            <v>24802</v>
          </cell>
          <cell r="C224">
            <v>520009</v>
          </cell>
          <cell r="D224" t="str">
            <v>EMP</v>
          </cell>
          <cell r="E224" t="str">
            <v>3ターン緑パネルとスキルが使えない！</v>
          </cell>
        </row>
        <row r="225">
          <cell r="B225">
            <v>25001</v>
          </cell>
          <cell r="C225">
            <v>220026</v>
          </cell>
          <cell r="D225" t="str">
            <v>ゴールドラッシュ</v>
          </cell>
          <cell r="E225" t="str">
            <v>5回連続攻撃</v>
          </cell>
        </row>
        <row r="226">
          <cell r="B226">
            <v>25201</v>
          </cell>
          <cell r="C226">
            <v>220025</v>
          </cell>
          <cell r="D226" t="str">
            <v>ゴールドスラッシュ</v>
          </cell>
          <cell r="E226" t="str">
            <v>10回連続攻撃</v>
          </cell>
        </row>
        <row r="227">
          <cell r="B227">
            <v>25202</v>
          </cell>
          <cell r="C227">
            <v>540005</v>
          </cell>
          <cell r="D227" t="str">
            <v>カウントダウン</v>
          </cell>
          <cell r="E227" t="str">
            <v>この戦闘の間タップ時間の制限！【4秒】</v>
          </cell>
        </row>
        <row r="228">
          <cell r="B228">
            <v>25203</v>
          </cell>
          <cell r="C228">
            <v>550003</v>
          </cell>
          <cell r="D228" t="str">
            <v>ブラインドネス</v>
          </cell>
          <cell r="E228" t="str">
            <v>5ターンパネルの色が分からなくなる！</v>
          </cell>
        </row>
        <row r="229">
          <cell r="B229">
            <v>254</v>
          </cell>
          <cell r="C229">
            <v>200007</v>
          </cell>
          <cell r="D229" t="str">
            <v>不機嫌な目覚め</v>
          </cell>
          <cell r="E229" t="str">
            <v>次のターン強力な攻撃</v>
          </cell>
        </row>
        <row r="230">
          <cell r="B230">
            <v>254</v>
          </cell>
          <cell r="C230">
            <v>230007</v>
          </cell>
          <cell r="D230" t="str">
            <v>寝起きの鉄槌</v>
          </cell>
          <cell r="E230" t="str">
            <v>全体攻撃</v>
          </cell>
        </row>
        <row r="231">
          <cell r="B231">
            <v>256</v>
          </cell>
          <cell r="C231">
            <v>200006</v>
          </cell>
          <cell r="D231" t="str">
            <v>後悔するわよ</v>
          </cell>
          <cell r="E231" t="str">
            <v>次のターン強力な攻撃</v>
          </cell>
        </row>
        <row r="232">
          <cell r="B232">
            <v>257</v>
          </cell>
          <cell r="C232">
            <v>200006</v>
          </cell>
          <cell r="D232" t="str">
            <v>後悔するわよ</v>
          </cell>
          <cell r="E232" t="str">
            <v>次のターン強力な攻撃</v>
          </cell>
        </row>
        <row r="233">
          <cell r="B233">
            <v>317</v>
          </cell>
          <cell r="C233">
            <v>220009</v>
          </cell>
          <cell r="D233" t="str">
            <v>連続雷撃</v>
          </cell>
          <cell r="E233" t="str">
            <v>2回連続攻撃</v>
          </cell>
        </row>
        <row r="234">
          <cell r="B234">
            <v>317</v>
          </cell>
          <cell r="C234">
            <v>100006</v>
          </cell>
          <cell r="D234" t="str">
            <v>見物</v>
          </cell>
          <cell r="E234" t="str">
            <v>じっとこちらを見ている</v>
          </cell>
        </row>
        <row r="235">
          <cell r="B235">
            <v>317</v>
          </cell>
          <cell r="C235">
            <v>330004</v>
          </cell>
          <cell r="D235" t="str">
            <v>回線ショート</v>
          </cell>
          <cell r="E235" t="str">
            <v>3ターンスキルが使えない！</v>
          </cell>
        </row>
        <row r="236">
          <cell r="B236">
            <v>317</v>
          </cell>
          <cell r="C236">
            <v>410004</v>
          </cell>
          <cell r="D236" t="str">
            <v>電力アップ</v>
          </cell>
          <cell r="E236" t="str">
            <v>3ターン攻撃力UP</v>
          </cell>
        </row>
        <row r="237">
          <cell r="B237">
            <v>317</v>
          </cell>
          <cell r="C237">
            <v>210005</v>
          </cell>
          <cell r="D237" t="str">
            <v>猛烈電撃</v>
          </cell>
          <cell r="E237" t="str">
            <v>攻撃力×2.5倍の攻撃</v>
          </cell>
        </row>
        <row r="238">
          <cell r="B238">
            <v>317</v>
          </cell>
          <cell r="C238">
            <v>220010</v>
          </cell>
          <cell r="D238" t="str">
            <v>五月雨雷撃</v>
          </cell>
          <cell r="E238" t="str">
            <v>4回連続攻撃</v>
          </cell>
        </row>
        <row r="239">
          <cell r="B239">
            <v>317</v>
          </cell>
          <cell r="C239">
            <v>300004</v>
          </cell>
          <cell r="D239" t="str">
            <v>ヒール</v>
          </cell>
          <cell r="E239" t="str">
            <v>回復</v>
          </cell>
        </row>
        <row r="240">
          <cell r="B240">
            <v>319</v>
          </cell>
          <cell r="C240">
            <v>510007</v>
          </cell>
          <cell r="D240" t="str">
            <v>さよならハート</v>
          </cell>
          <cell r="E240" t="str">
            <v>ハートパネルを時限式ダメージパネルに変換</v>
          </cell>
        </row>
        <row r="241">
          <cell r="B241">
            <v>319</v>
          </cell>
          <cell r="C241">
            <v>230004</v>
          </cell>
          <cell r="D241" t="str">
            <v>絶望の悪夢</v>
          </cell>
          <cell r="E241" t="str">
            <v>強力な全体攻撃</v>
          </cell>
        </row>
        <row r="242">
          <cell r="B242">
            <v>319</v>
          </cell>
          <cell r="C242">
            <v>510006</v>
          </cell>
          <cell r="D242" t="str">
            <v>爆破します</v>
          </cell>
          <cell r="E242" t="str">
            <v>時限式ダメージパネル出現</v>
          </cell>
        </row>
        <row r="243">
          <cell r="B243">
            <v>319</v>
          </cell>
          <cell r="C243">
            <v>230003</v>
          </cell>
          <cell r="D243" t="str">
            <v>敗北の悪夢</v>
          </cell>
          <cell r="E243" t="str">
            <v>全体攻撃</v>
          </cell>
        </row>
        <row r="244">
          <cell r="B244">
            <v>319</v>
          </cell>
          <cell r="C244">
            <v>510005</v>
          </cell>
          <cell r="D244" t="str">
            <v>お邪魔します</v>
          </cell>
          <cell r="E244" t="str">
            <v>お邪魔パネル出現</v>
          </cell>
        </row>
        <row r="245">
          <cell r="B245">
            <v>319</v>
          </cell>
          <cell r="C245">
            <v>340003</v>
          </cell>
          <cell r="D245" t="str">
            <v>夢への誘い</v>
          </cell>
          <cell r="E245" t="str">
            <v>4ターンの間行動できない</v>
          </cell>
        </row>
        <row r="246">
          <cell r="B246">
            <v>3571</v>
          </cell>
          <cell r="C246">
            <v>230025</v>
          </cell>
          <cell r="D246" t="str">
            <v>ツムジ風！</v>
          </cell>
          <cell r="E246" t="str">
            <v>全体攻撃</v>
          </cell>
        </row>
        <row r="247">
          <cell r="B247">
            <v>2666</v>
          </cell>
          <cell r="C247">
            <v>330001</v>
          </cell>
          <cell r="D247" t="str">
            <v>ハングアップ</v>
          </cell>
          <cell r="E247" t="str">
            <v>2ターンスキルが使えない！</v>
          </cell>
        </row>
        <row r="248">
          <cell r="B248">
            <v>20011</v>
          </cell>
          <cell r="C248">
            <v>210011</v>
          </cell>
          <cell r="D248" t="str">
            <v>迫る鉤爪</v>
          </cell>
          <cell r="E248" t="str">
            <v>攻撃力×1.5倍の攻撃</v>
          </cell>
        </row>
        <row r="249">
          <cell r="B249">
            <v>263</v>
          </cell>
          <cell r="C249">
            <v>210012</v>
          </cell>
          <cell r="D249" t="str">
            <v>襲い来る鉤爪</v>
          </cell>
          <cell r="E249" t="str">
            <v>攻撃力×2.0倍の攻撃</v>
          </cell>
        </row>
        <row r="250">
          <cell r="B250">
            <v>266</v>
          </cell>
          <cell r="C250">
            <v>330005</v>
          </cell>
          <cell r="D250" t="str">
            <v>マインドスナッチ</v>
          </cell>
          <cell r="E250" t="str">
            <v>この戦闘ではスキルが使えない！</v>
          </cell>
        </row>
        <row r="251">
          <cell r="B251">
            <v>272</v>
          </cell>
          <cell r="C251">
            <v>510010</v>
          </cell>
          <cell r="D251" t="str">
            <v>ダウンカード</v>
          </cell>
          <cell r="E251" t="str">
            <v>お邪魔パネル出現</v>
          </cell>
        </row>
        <row r="252">
          <cell r="B252">
            <v>272</v>
          </cell>
          <cell r="C252">
            <v>100013</v>
          </cell>
          <cell r="D252" t="str">
            <v>高みの見物</v>
          </cell>
          <cell r="E252" t="str">
            <v>不敵に微笑んでいる</v>
          </cell>
        </row>
        <row r="253">
          <cell r="B253">
            <v>272</v>
          </cell>
          <cell r="C253">
            <v>500002</v>
          </cell>
          <cell r="D253" t="str">
            <v>マキシマムベット</v>
          </cell>
          <cell r="E253" t="str">
            <v>時限式ダメージパネル出現</v>
          </cell>
        </row>
        <row r="254">
          <cell r="B254">
            <v>272</v>
          </cell>
          <cell r="C254">
            <v>500003</v>
          </cell>
          <cell r="D254" t="str">
            <v>マキシマムベット</v>
          </cell>
          <cell r="E254" t="str">
            <v>時限式ダメージパネル出現</v>
          </cell>
        </row>
        <row r="255">
          <cell r="B255">
            <v>274</v>
          </cell>
          <cell r="C255">
            <v>200008</v>
          </cell>
          <cell r="D255" t="str">
            <v>フルスイング</v>
          </cell>
          <cell r="E255" t="str">
            <v>次のターン強力な攻撃</v>
          </cell>
        </row>
        <row r="256">
          <cell r="B256">
            <v>275</v>
          </cell>
          <cell r="C256">
            <v>200008</v>
          </cell>
          <cell r="D256" t="str">
            <v>フルスイング</v>
          </cell>
          <cell r="E256" t="str">
            <v>次のターン強力な攻撃</v>
          </cell>
        </row>
        <row r="257">
          <cell r="B257">
            <v>275</v>
          </cell>
          <cell r="C257">
            <v>200009</v>
          </cell>
          <cell r="D257" t="str">
            <v>キラースイング</v>
          </cell>
          <cell r="E257" t="str">
            <v>次のターン超強力な攻撃</v>
          </cell>
        </row>
        <row r="258">
          <cell r="B258">
            <v>268</v>
          </cell>
          <cell r="C258">
            <v>230009</v>
          </cell>
          <cell r="D258" t="str">
            <v>妙技「雷轟金閃」</v>
          </cell>
          <cell r="E258" t="str">
            <v>全体攻撃</v>
          </cell>
        </row>
        <row r="259">
          <cell r="B259">
            <v>264</v>
          </cell>
          <cell r="C259">
            <v>400007</v>
          </cell>
          <cell r="D259" t="str">
            <v>駿撃</v>
          </cell>
          <cell r="E259" t="str">
            <v>この戦闘の間攻撃頻度が1ターンにUP</v>
          </cell>
        </row>
        <row r="260">
          <cell r="B260">
            <v>270</v>
          </cell>
          <cell r="C260">
            <v>230010</v>
          </cell>
          <cell r="D260" t="str">
            <v>瞬殺の極意</v>
          </cell>
          <cell r="E260" t="str">
            <v>先制全体攻撃</v>
          </cell>
        </row>
        <row r="261">
          <cell r="B261">
            <v>271</v>
          </cell>
          <cell r="C261">
            <v>230010</v>
          </cell>
          <cell r="D261" t="str">
            <v>瞬殺の極意</v>
          </cell>
          <cell r="E261" t="str">
            <v>先制全体攻撃</v>
          </cell>
        </row>
        <row r="262">
          <cell r="B262">
            <v>271</v>
          </cell>
          <cell r="C262">
            <v>410008</v>
          </cell>
          <cell r="D262" t="str">
            <v>怒り鉤爪</v>
          </cell>
          <cell r="E262" t="str">
            <v>3ターン攻撃力UP</v>
          </cell>
        </row>
        <row r="263">
          <cell r="B263">
            <v>276</v>
          </cell>
          <cell r="C263">
            <v>100014</v>
          </cell>
          <cell r="D263" t="str">
            <v>困惑</v>
          </cell>
          <cell r="E263" t="str">
            <v>どうしたらよいのか分からないようだ</v>
          </cell>
        </row>
        <row r="264">
          <cell r="B264">
            <v>276</v>
          </cell>
          <cell r="C264">
            <v>400008</v>
          </cell>
          <cell r="D264" t="str">
            <v>急いで止めなきゃ</v>
          </cell>
          <cell r="E264" t="str">
            <v>攻撃頻度が1ターンにUP</v>
          </cell>
        </row>
        <row r="265">
          <cell r="B265">
            <v>277</v>
          </cell>
          <cell r="C265">
            <v>400008</v>
          </cell>
          <cell r="D265" t="str">
            <v>急いで止めなきゃ</v>
          </cell>
          <cell r="E265" t="str">
            <v>攻撃頻度が1ターンにUP</v>
          </cell>
        </row>
        <row r="266">
          <cell r="B266">
            <v>277</v>
          </cell>
          <cell r="C266">
            <v>410009</v>
          </cell>
          <cell r="D266" t="str">
            <v>本気で止めなきゃ</v>
          </cell>
          <cell r="E266" t="str">
            <v>5ターン攻撃力UP</v>
          </cell>
        </row>
        <row r="267">
          <cell r="B267">
            <v>277</v>
          </cell>
          <cell r="C267">
            <v>100014</v>
          </cell>
          <cell r="D267" t="str">
            <v>困惑</v>
          </cell>
          <cell r="E267" t="str">
            <v>どうしたらよいのか分からないようだ</v>
          </cell>
        </row>
        <row r="268">
          <cell r="B268">
            <v>1063</v>
          </cell>
          <cell r="C268">
            <v>400009</v>
          </cell>
          <cell r="D268" t="str">
            <v>クロックアップ</v>
          </cell>
          <cell r="E268" t="str">
            <v>2ターン攻撃頻度が1ターンにUP</v>
          </cell>
        </row>
        <row r="269">
          <cell r="B269">
            <v>1055</v>
          </cell>
          <cell r="C269">
            <v>210017</v>
          </cell>
          <cell r="D269" t="str">
            <v>ハンマーフォール</v>
          </cell>
          <cell r="E269" t="str">
            <v>攻撃力×1.3倍の攻撃</v>
          </cell>
        </row>
        <row r="270">
          <cell r="B270">
            <v>2063</v>
          </cell>
          <cell r="C270">
            <v>220013</v>
          </cell>
          <cell r="D270" t="str">
            <v>スピードスター</v>
          </cell>
          <cell r="E270" t="str">
            <v>8回連続攻撃</v>
          </cell>
        </row>
        <row r="271">
          <cell r="B271">
            <v>1123</v>
          </cell>
          <cell r="C271">
            <v>300002</v>
          </cell>
          <cell r="D271" t="str">
            <v>ヒール</v>
          </cell>
          <cell r="E271" t="str">
            <v>回復</v>
          </cell>
        </row>
        <row r="272">
          <cell r="B272">
            <v>1221</v>
          </cell>
          <cell r="C272">
            <v>100012</v>
          </cell>
          <cell r="D272" t="str">
            <v>りんご速報</v>
          </cell>
          <cell r="E272" t="str">
            <v>この果実はターン０になると自爆する！</v>
          </cell>
        </row>
        <row r="273">
          <cell r="B273">
            <v>1221</v>
          </cell>
          <cell r="C273">
            <v>240006</v>
          </cell>
          <cell r="D273" t="str">
            <v>生命の爆発</v>
          </cell>
          <cell r="E273" t="str">
            <v>攻撃力3倍の自爆攻撃を全体に行う</v>
          </cell>
        </row>
        <row r="274">
          <cell r="B274">
            <v>1211</v>
          </cell>
          <cell r="C274">
            <v>200010</v>
          </cell>
          <cell r="D274" t="str">
            <v>みなぎる闘志</v>
          </cell>
          <cell r="E274" t="str">
            <v>次のターン強力な攻撃</v>
          </cell>
        </row>
        <row r="275">
          <cell r="B275">
            <v>1231</v>
          </cell>
          <cell r="C275">
            <v>300006</v>
          </cell>
          <cell r="D275" t="str">
            <v>癒しの果汁</v>
          </cell>
          <cell r="E275" t="str">
            <v>回復</v>
          </cell>
        </row>
        <row r="276">
          <cell r="B276">
            <v>1045</v>
          </cell>
          <cell r="C276">
            <v>210018</v>
          </cell>
          <cell r="D276" t="str">
            <v>一筆一閃</v>
          </cell>
          <cell r="E276" t="str">
            <v>攻撃力×1.3倍の攻撃</v>
          </cell>
        </row>
        <row r="277">
          <cell r="B277">
            <v>278</v>
          </cell>
          <cell r="C277">
            <v>420001</v>
          </cell>
          <cell r="D277" t="str">
            <v>岩戸隠れ</v>
          </cell>
          <cell r="E277" t="str">
            <v>解除するまで防御力超絶UP＆攻撃力UP</v>
          </cell>
        </row>
        <row r="278">
          <cell r="B278">
            <v>278</v>
          </cell>
          <cell r="C278">
            <v>250001</v>
          </cell>
          <cell r="D278" t="str">
            <v>神をも燃やす天の炎</v>
          </cell>
          <cell r="E278" t="str">
            <v>種族ゴッドのユニットに大ダメージ</v>
          </cell>
        </row>
        <row r="279">
          <cell r="B279">
            <v>279</v>
          </cell>
          <cell r="C279">
            <v>420001</v>
          </cell>
          <cell r="D279" t="str">
            <v>岩戸隠れ</v>
          </cell>
          <cell r="E279" t="str">
            <v>解除するまで防御力超絶UP＆攻撃力UP</v>
          </cell>
        </row>
        <row r="280">
          <cell r="B280">
            <v>279</v>
          </cell>
          <cell r="C280">
            <v>250001</v>
          </cell>
          <cell r="D280" t="str">
            <v>神をも燃やす天の炎</v>
          </cell>
          <cell r="E280" t="str">
            <v>種族ゴッドのユニットに大ダメージ</v>
          </cell>
        </row>
        <row r="281">
          <cell r="B281">
            <v>13501</v>
          </cell>
          <cell r="C281">
            <v>320008</v>
          </cell>
          <cell r="D281" t="str">
            <v>炎華の香り・永代</v>
          </cell>
          <cell r="E281" t="str">
            <v>解除するまで毎ターンダメージを受ける</v>
          </cell>
        </row>
        <row r="282">
          <cell r="B282">
            <v>13501</v>
          </cell>
          <cell r="C282">
            <v>320009</v>
          </cell>
          <cell r="D282" t="str">
            <v>炎華の香り・真打</v>
          </cell>
          <cell r="E282" t="str">
            <v>5ターンの間ダメージを受ける</v>
          </cell>
        </row>
        <row r="283">
          <cell r="B283">
            <v>13501</v>
          </cell>
          <cell r="C283">
            <v>260001</v>
          </cell>
          <cell r="D283" t="str">
            <v>渓谷の霧雨</v>
          </cell>
          <cell r="E283" t="str">
            <v>赤属性の敵に大ダメージの攻撃</v>
          </cell>
        </row>
        <row r="284">
          <cell r="B284">
            <v>13501</v>
          </cell>
          <cell r="C284">
            <v>260002</v>
          </cell>
          <cell r="D284" t="str">
            <v>深山の芽吹き</v>
          </cell>
          <cell r="E284" t="str">
            <v>黄属性の敵に大ダメージの攻撃</v>
          </cell>
        </row>
        <row r="285">
          <cell r="B285">
            <v>13501</v>
          </cell>
          <cell r="C285">
            <v>260003</v>
          </cell>
          <cell r="D285" t="str">
            <v>灼熱の火炎</v>
          </cell>
          <cell r="E285" t="str">
            <v>緑属性の敵に大ダメージの攻撃</v>
          </cell>
        </row>
        <row r="286">
          <cell r="B286">
            <v>192</v>
          </cell>
          <cell r="C286">
            <v>350003</v>
          </cell>
          <cell r="D286" t="str">
            <v>神代の呪詛</v>
          </cell>
          <cell r="E286" t="str">
            <v>解除するまで回復力が100%DOWN</v>
          </cell>
        </row>
        <row r="287">
          <cell r="B287">
            <v>266</v>
          </cell>
          <cell r="C287">
            <v>510011</v>
          </cell>
          <cell r="D287" t="str">
            <v>ダズルフィクション</v>
          </cell>
          <cell r="E287" t="str">
            <v>ランダムで赤パネルに変換</v>
          </cell>
        </row>
        <row r="288">
          <cell r="B288">
            <v>266</v>
          </cell>
          <cell r="C288">
            <v>510012</v>
          </cell>
          <cell r="D288" t="str">
            <v>ダズルフィクション</v>
          </cell>
          <cell r="E288" t="str">
            <v>ランダムで青パネルに変換</v>
          </cell>
        </row>
        <row r="289">
          <cell r="B289">
            <v>266</v>
          </cell>
          <cell r="C289">
            <v>510013</v>
          </cell>
          <cell r="D289" t="str">
            <v>ダズルフィクション</v>
          </cell>
          <cell r="E289" t="str">
            <v>ランダムで緑パネルに変換</v>
          </cell>
        </row>
        <row r="290">
          <cell r="B290">
            <v>266</v>
          </cell>
          <cell r="C290">
            <v>510014</v>
          </cell>
          <cell r="D290" t="str">
            <v>ダズルフィクション</v>
          </cell>
          <cell r="E290" t="str">
            <v>ランダムで黄パネルに変換</v>
          </cell>
        </row>
        <row r="291">
          <cell r="B291">
            <v>28201</v>
          </cell>
          <cell r="C291">
            <v>220014</v>
          </cell>
          <cell r="D291" t="str">
            <v>ナーヴァ・グラハ</v>
          </cell>
          <cell r="E291" t="str">
            <v>8回連続攻撃</v>
          </cell>
        </row>
        <row r="292">
          <cell r="B292">
            <v>28202</v>
          </cell>
          <cell r="C292">
            <v>220016</v>
          </cell>
          <cell r="D292" t="str">
            <v>ナーヴァ・グラハ</v>
          </cell>
          <cell r="E292" t="str">
            <v>8回連続攻撃</v>
          </cell>
        </row>
        <row r="293">
          <cell r="B293">
            <v>28201</v>
          </cell>
          <cell r="C293">
            <v>400010</v>
          </cell>
          <cell r="D293" t="str">
            <v>処刑宣告完了</v>
          </cell>
          <cell r="E293" t="str">
            <v>この戦闘の間攻撃頻度が1ターンにUP</v>
          </cell>
        </row>
        <row r="294">
          <cell r="B294">
            <v>28202</v>
          </cell>
          <cell r="C294">
            <v>400010</v>
          </cell>
          <cell r="D294" t="str">
            <v>処刑宣告完了</v>
          </cell>
          <cell r="E294" t="str">
            <v>この戦闘の間攻撃頻度が1ターンにUP</v>
          </cell>
        </row>
        <row r="295">
          <cell r="B295">
            <v>28202</v>
          </cell>
          <cell r="C295">
            <v>23011</v>
          </cell>
          <cell r="D295" t="str">
            <v>ハル・ディナーハ</v>
          </cell>
          <cell r="E295" t="str">
            <v>強力な全体攻撃</v>
          </cell>
        </row>
        <row r="296">
          <cell r="B296">
            <v>13201</v>
          </cell>
          <cell r="C296">
            <v>230012</v>
          </cell>
          <cell r="D296" t="str">
            <v>黄剛の一閃</v>
          </cell>
          <cell r="E296" t="str">
            <v>無差別爆撃</v>
          </cell>
        </row>
        <row r="297">
          <cell r="B297">
            <v>286</v>
          </cell>
          <cell r="C297">
            <v>100015</v>
          </cell>
          <cell r="D297" t="str">
            <v>&lt;ロックオン&gt;</v>
          </cell>
          <cell r="E297" t="str">
            <v>発射準備開始</v>
          </cell>
        </row>
        <row r="298">
          <cell r="B298">
            <v>286</v>
          </cell>
          <cell r="C298">
            <v>100016</v>
          </cell>
          <cell r="D298" t="str">
            <v>&lt;装填中&gt;</v>
          </cell>
          <cell r="E298" t="str">
            <v>発射まで残り…</v>
          </cell>
        </row>
        <row r="299">
          <cell r="B299">
            <v>286</v>
          </cell>
          <cell r="C299">
            <v>210019</v>
          </cell>
          <cell r="D299" t="str">
            <v>&lt;キャノン砲発射&gt;</v>
          </cell>
          <cell r="E299" t="str">
            <v>超大攻撃</v>
          </cell>
        </row>
        <row r="300">
          <cell r="B300">
            <v>22401</v>
          </cell>
          <cell r="C300">
            <v>410012</v>
          </cell>
          <cell r="D300" t="str">
            <v>獅子の咆哮</v>
          </cell>
          <cell r="E300" t="str">
            <v>3ターン攻撃力大UP</v>
          </cell>
        </row>
        <row r="301">
          <cell r="B301">
            <v>22401</v>
          </cell>
          <cell r="C301">
            <v>400011</v>
          </cell>
          <cell r="D301" t="str">
            <v>疾走する本能</v>
          </cell>
          <cell r="E301" t="str">
            <v>4ターン攻撃頻度が1ターンにUP</v>
          </cell>
        </row>
        <row r="302">
          <cell r="B302">
            <v>22401</v>
          </cell>
          <cell r="C302">
            <v>100017</v>
          </cell>
          <cell r="D302" t="str">
            <v>人間風情が…</v>
          </cell>
          <cell r="E302" t="str">
            <v>右腕に凄まじい力を溜めている！</v>
          </cell>
        </row>
        <row r="303">
          <cell r="B303">
            <v>22401</v>
          </cell>
          <cell r="C303">
            <v>210020</v>
          </cell>
          <cell r="D303" t="str">
            <v>襲い来る鉤爪</v>
          </cell>
          <cell r="E303" t="str">
            <v>攻撃力×5.0倍の攻撃</v>
          </cell>
        </row>
        <row r="304">
          <cell r="B304">
            <v>20601</v>
          </cell>
          <cell r="C304">
            <v>340004</v>
          </cell>
          <cell r="D304" t="str">
            <v>魅惑の瞳</v>
          </cell>
          <cell r="E304" t="str">
            <v>ユニット1体に3ターンスリープ</v>
          </cell>
        </row>
        <row r="305">
          <cell r="B305">
            <v>20601</v>
          </cell>
          <cell r="C305">
            <v>300007</v>
          </cell>
          <cell r="D305" t="str">
            <v>永遠の美貌</v>
          </cell>
          <cell r="E305" t="str">
            <v>一度だけ大回復&amp;攻撃力UP</v>
          </cell>
        </row>
        <row r="306">
          <cell r="B306">
            <v>20901</v>
          </cell>
          <cell r="C306">
            <v>220015</v>
          </cell>
          <cell r="D306" t="str">
            <v>耐えられない孤独</v>
          </cell>
          <cell r="E306" t="str">
            <v>3回連続攻撃</v>
          </cell>
        </row>
        <row r="307">
          <cell r="B307">
            <v>20901</v>
          </cell>
          <cell r="C307">
            <v>340005</v>
          </cell>
          <cell r="D307" t="str">
            <v>安寧への誘い</v>
          </cell>
          <cell r="E307" t="str">
            <v>ユニット1体に4ターンスリープ</v>
          </cell>
        </row>
        <row r="308">
          <cell r="B308">
            <v>20901</v>
          </cell>
          <cell r="C308">
            <v>330006</v>
          </cell>
          <cell r="D308" t="str">
            <v>孤独の支配</v>
          </cell>
          <cell r="E308" t="str">
            <v>4ターンスキルが使えない！</v>
          </cell>
        </row>
        <row r="309">
          <cell r="B309">
            <v>20901</v>
          </cell>
          <cell r="C309">
            <v>330007</v>
          </cell>
          <cell r="D309" t="str">
            <v>孤独の支配</v>
          </cell>
          <cell r="E309" t="str">
            <v>4ターンスキルが使えない！</v>
          </cell>
        </row>
        <row r="310">
          <cell r="B310">
            <v>20901</v>
          </cell>
          <cell r="C310">
            <v>100019</v>
          </cell>
          <cell r="D310" t="str">
            <v>もう一人じゃないよね</v>
          </cell>
          <cell r="E310" t="str">
            <v>じっとこちらを見ている</v>
          </cell>
        </row>
        <row r="311">
          <cell r="B311">
            <v>19101</v>
          </cell>
          <cell r="C311">
            <v>100020</v>
          </cell>
          <cell r="D311" t="str">
            <v>魂の帰還</v>
          </cell>
          <cell r="E311" t="str">
            <v>見えない力が集まってゆく…</v>
          </cell>
        </row>
        <row r="312">
          <cell r="B312">
            <v>19101</v>
          </cell>
          <cell r="C312">
            <v>210023</v>
          </cell>
          <cell r="D312" t="str">
            <v>紅の衝撃</v>
          </cell>
          <cell r="E312" t="str">
            <v>攻撃力×2.0倍の攻撃</v>
          </cell>
        </row>
        <row r="313">
          <cell r="B313">
            <v>19101</v>
          </cell>
          <cell r="C313">
            <v>230014</v>
          </cell>
          <cell r="D313" t="str">
            <v>紅の一閃</v>
          </cell>
          <cell r="E313" t="str">
            <v>全体攻撃</v>
          </cell>
        </row>
        <row r="314">
          <cell r="B314">
            <v>19101</v>
          </cell>
          <cell r="C314">
            <v>410010</v>
          </cell>
          <cell r="D314" t="str">
            <v>攻勢の巫術</v>
          </cell>
          <cell r="E314" t="str">
            <v>3ターン攻撃力UP</v>
          </cell>
        </row>
        <row r="315">
          <cell r="B315">
            <v>19101</v>
          </cell>
          <cell r="C315">
            <v>510015</v>
          </cell>
          <cell r="D315" t="str">
            <v>生命変遷</v>
          </cell>
          <cell r="E315" t="str">
            <v>ハートパネルをお邪魔パネルに変換</v>
          </cell>
        </row>
        <row r="316">
          <cell r="B316">
            <v>19101</v>
          </cell>
          <cell r="C316">
            <v>320010</v>
          </cell>
          <cell r="D316" t="str">
            <v>死国への誘い</v>
          </cell>
          <cell r="E316" t="str">
            <v>解除するまで毎ターンダメージを受ける</v>
          </cell>
        </row>
        <row r="317">
          <cell r="B317">
            <v>12901</v>
          </cell>
          <cell r="C317">
            <v>210021</v>
          </cell>
          <cell r="D317" t="str">
            <v>疾風狼牙</v>
          </cell>
          <cell r="E317" t="str">
            <v>攻撃力×1.5倍の攻撃</v>
          </cell>
        </row>
        <row r="318">
          <cell r="B318">
            <v>12901</v>
          </cell>
          <cell r="C318">
            <v>410013</v>
          </cell>
          <cell r="D318" t="str">
            <v>野生の本能</v>
          </cell>
          <cell r="E318" t="str">
            <v>解除するまで攻撃力UP</v>
          </cell>
        </row>
        <row r="319">
          <cell r="B319">
            <v>29001</v>
          </cell>
          <cell r="C319">
            <v>430001</v>
          </cell>
          <cell r="D319" t="str">
            <v>フフ、遊んであげるわ</v>
          </cell>
          <cell r="E319" t="str">
            <v>余裕の笑みを浮かべている</v>
          </cell>
        </row>
        <row r="320">
          <cell r="B320">
            <v>29001</v>
          </cell>
          <cell r="C320">
            <v>410011</v>
          </cell>
          <cell r="D320" t="str">
            <v>痛いじゃないの！</v>
          </cell>
          <cell r="E320" t="str">
            <v>攻撃力が超大UP</v>
          </cell>
        </row>
        <row r="321">
          <cell r="B321">
            <v>29001</v>
          </cell>
          <cell r="C321">
            <v>320013</v>
          </cell>
          <cell r="D321" t="str">
            <v>や、やってくれたわね！</v>
          </cell>
          <cell r="E321" t="str">
            <v>2ターンの間ダメージを受ける</v>
          </cell>
        </row>
        <row r="322">
          <cell r="B322">
            <v>29002</v>
          </cell>
          <cell r="C322">
            <v>430001</v>
          </cell>
          <cell r="D322" t="str">
            <v>フフ、遊んであげるわ</v>
          </cell>
          <cell r="E322" t="str">
            <v>余裕の笑みを浮かべている</v>
          </cell>
        </row>
        <row r="323">
          <cell r="B323">
            <v>29002</v>
          </cell>
          <cell r="C323">
            <v>410011</v>
          </cell>
          <cell r="D323" t="str">
            <v>痛いじゃないの！</v>
          </cell>
          <cell r="E323" t="str">
            <v>攻撃力が超大UP</v>
          </cell>
        </row>
        <row r="324">
          <cell r="B324">
            <v>29002</v>
          </cell>
          <cell r="C324">
            <v>320011</v>
          </cell>
          <cell r="D324" t="str">
            <v>ブラッド・インク</v>
          </cell>
          <cell r="E324" t="str">
            <v>3ターンの間ダメージを受ける</v>
          </cell>
        </row>
        <row r="325">
          <cell r="B325">
            <v>29002</v>
          </cell>
          <cell r="C325">
            <v>320013</v>
          </cell>
          <cell r="D325" t="str">
            <v>や、やってくれたわね！</v>
          </cell>
          <cell r="E325" t="str">
            <v>2ターンの間ダメージを受ける</v>
          </cell>
        </row>
        <row r="326">
          <cell r="B326">
            <v>292</v>
          </cell>
          <cell r="C326">
            <v>100025</v>
          </cell>
          <cell r="D326" t="str">
            <v>ガラスの靴は私のもの！</v>
          </cell>
          <cell r="E326" t="str">
            <v>凄まじい気迫を感じる…！</v>
          </cell>
        </row>
        <row r="327">
          <cell r="B327">
            <v>292</v>
          </cell>
          <cell r="C327">
            <v>510016</v>
          </cell>
          <cell r="D327" t="str">
            <v>秘技・邪烈蒼打拳</v>
          </cell>
          <cell r="E327" t="str">
            <v>お邪魔パネル出現＋攻撃</v>
          </cell>
        </row>
        <row r="328">
          <cell r="B328">
            <v>29201</v>
          </cell>
          <cell r="C328">
            <v>100025</v>
          </cell>
          <cell r="D328" t="str">
            <v>ガラスの靴は私のもの！</v>
          </cell>
          <cell r="E328" t="str">
            <v>凄まじい気迫を感じる…！</v>
          </cell>
        </row>
        <row r="329">
          <cell r="B329">
            <v>29201</v>
          </cell>
          <cell r="C329">
            <v>510018</v>
          </cell>
          <cell r="D329" t="str">
            <v>邪気蒼黒掌</v>
          </cell>
          <cell r="E329" t="str">
            <v>少しだけお邪魔パネル出現＋攻撃</v>
          </cell>
        </row>
        <row r="330">
          <cell r="B330">
            <v>29201</v>
          </cell>
          <cell r="C330">
            <v>510016</v>
          </cell>
          <cell r="D330" t="str">
            <v>秘技・邪烈蒼打拳</v>
          </cell>
          <cell r="E330" t="str">
            <v>お邪魔パネル出現＋攻撃</v>
          </cell>
        </row>
        <row r="331">
          <cell r="B331">
            <v>293</v>
          </cell>
          <cell r="C331">
            <v>100025</v>
          </cell>
          <cell r="D331" t="str">
            <v>ガラスの靴は私のもの！</v>
          </cell>
          <cell r="E331" t="str">
            <v>凄まじい気迫を感じる…！</v>
          </cell>
        </row>
        <row r="332">
          <cell r="B332">
            <v>293</v>
          </cell>
          <cell r="C332">
            <v>510018</v>
          </cell>
          <cell r="D332" t="str">
            <v>邪気蒼黒掌</v>
          </cell>
          <cell r="E332" t="str">
            <v>少しだけお邪魔パネル出現＋攻撃</v>
          </cell>
        </row>
        <row r="333">
          <cell r="B333">
            <v>293</v>
          </cell>
          <cell r="C333">
            <v>510016</v>
          </cell>
          <cell r="D333" t="str">
            <v>秘技・邪烈蒼打拳</v>
          </cell>
          <cell r="E333" t="str">
            <v>お邪魔パネル出現＋攻撃</v>
          </cell>
        </row>
        <row r="334">
          <cell r="B334">
            <v>293</v>
          </cell>
          <cell r="C334">
            <v>510017</v>
          </cell>
          <cell r="D334" t="str">
            <v>奥義・邪砲蒼閃拳</v>
          </cell>
          <cell r="E334" t="str">
            <v>お邪魔パネル出現＋攻撃</v>
          </cell>
        </row>
        <row r="335">
          <cell r="B335">
            <v>297</v>
          </cell>
          <cell r="C335">
            <v>400012</v>
          </cell>
          <cell r="D335" t="str">
            <v>紅葉乱舞</v>
          </cell>
          <cell r="E335" t="str">
            <v>3ターン攻撃頻度が1ターンにUP</v>
          </cell>
        </row>
        <row r="336">
          <cell r="B336">
            <v>29701</v>
          </cell>
          <cell r="C336">
            <v>360002</v>
          </cell>
          <cell r="D336" t="str">
            <v>遊んでやろう</v>
          </cell>
          <cell r="E336" t="str">
            <v>赤属性ユニットの攻撃力が50%DOWN</v>
          </cell>
        </row>
        <row r="337">
          <cell r="B337">
            <v>29701</v>
          </cell>
          <cell r="C337">
            <v>51026</v>
          </cell>
          <cell r="D337" t="str">
            <v>ほれ、くぐり抜けろ</v>
          </cell>
          <cell r="E337" t="str">
            <v>お邪魔パネル出現＋攻撃</v>
          </cell>
        </row>
        <row r="338">
          <cell r="B338">
            <v>29701</v>
          </cell>
          <cell r="C338">
            <v>220028</v>
          </cell>
          <cell r="D338" t="str">
            <v>気分が良いぞ…</v>
          </cell>
          <cell r="E338" t="str">
            <v>3回連続攻撃</v>
          </cell>
        </row>
        <row r="339">
          <cell r="B339">
            <v>29701</v>
          </cell>
          <cell r="C339">
            <v>230026</v>
          </cell>
          <cell r="D339" t="str">
            <v>踊れヤギども</v>
          </cell>
          <cell r="E339" t="str">
            <v>全体攻撃</v>
          </cell>
        </row>
        <row r="340">
          <cell r="B340">
            <v>29702</v>
          </cell>
          <cell r="C340">
            <v>100032</v>
          </cell>
          <cell r="D340" t="str">
            <v>こい、遊んでやろう</v>
          </cell>
          <cell r="E340" t="str">
            <v>余裕の笑みを浮かべている</v>
          </cell>
        </row>
        <row r="341">
          <cell r="B341">
            <v>29702</v>
          </cell>
          <cell r="C341">
            <v>360002</v>
          </cell>
          <cell r="D341" t="str">
            <v>遊んでやろう</v>
          </cell>
          <cell r="E341" t="str">
            <v>赤属性ユニットの攻撃力が50%DOWN</v>
          </cell>
        </row>
        <row r="342">
          <cell r="B342">
            <v>29702</v>
          </cell>
          <cell r="C342">
            <v>51026</v>
          </cell>
          <cell r="D342" t="str">
            <v>ほれ、くぐり抜けろ</v>
          </cell>
          <cell r="E342" t="str">
            <v>お邪魔パネル出現＋攻撃</v>
          </cell>
        </row>
        <row r="343">
          <cell r="B343">
            <v>29702</v>
          </cell>
          <cell r="C343">
            <v>220028</v>
          </cell>
          <cell r="D343" t="str">
            <v>気分が良いぞ…</v>
          </cell>
          <cell r="E343" t="str">
            <v>3回連続攻撃</v>
          </cell>
        </row>
        <row r="344">
          <cell r="B344">
            <v>29702</v>
          </cell>
          <cell r="C344">
            <v>230026</v>
          </cell>
          <cell r="D344" t="str">
            <v>踊れヤギども</v>
          </cell>
          <cell r="E344" t="str">
            <v>全体攻撃</v>
          </cell>
        </row>
        <row r="345">
          <cell r="B345">
            <v>29703</v>
          </cell>
          <cell r="C345">
            <v>550005</v>
          </cell>
          <cell r="D345" t="str">
            <v>常世の闇に彷徨うがいい</v>
          </cell>
          <cell r="E345" t="str">
            <v>6ターンパネルの色が分からなくなる！</v>
          </cell>
        </row>
        <row r="346">
          <cell r="B346">
            <v>29703</v>
          </cell>
          <cell r="C346">
            <v>220029</v>
          </cell>
          <cell r="D346" t="str">
            <v>群れるな痴れ者ども</v>
          </cell>
          <cell r="E346" t="str">
            <v>5回連続攻撃</v>
          </cell>
        </row>
        <row r="347">
          <cell r="B347">
            <v>29703</v>
          </cell>
          <cell r="C347">
            <v>230027</v>
          </cell>
          <cell r="D347" t="str">
            <v>出でよグリゴリ！</v>
          </cell>
          <cell r="E347" t="str">
            <v>全体攻撃</v>
          </cell>
        </row>
        <row r="348">
          <cell r="B348">
            <v>29704</v>
          </cell>
          <cell r="C348">
            <v>310004</v>
          </cell>
          <cell r="D348" t="str">
            <v>貴様らに未来は無い…</v>
          </cell>
          <cell r="E348" t="str">
            <v>10ターンハートパネルで回復できない</v>
          </cell>
        </row>
        <row r="349">
          <cell r="B349">
            <v>29704</v>
          </cell>
          <cell r="C349">
            <v>410022</v>
          </cell>
          <cell r="D349" t="str">
            <v>このオレが愛でてやろう</v>
          </cell>
          <cell r="E349" t="str">
            <v>3ターン攻撃力UP</v>
          </cell>
        </row>
        <row r="350">
          <cell r="B350">
            <v>29704</v>
          </cell>
          <cell r="C350">
            <v>250011</v>
          </cell>
          <cell r="D350" t="str">
            <v>家畜が…目障りだ！</v>
          </cell>
          <cell r="E350" t="str">
            <v>種族アニマルのユニットに大ダメージ</v>
          </cell>
        </row>
        <row r="351">
          <cell r="B351">
            <v>29704</v>
          </cell>
          <cell r="C351">
            <v>230027</v>
          </cell>
          <cell r="D351" t="str">
            <v>出でよグリゴリ！</v>
          </cell>
          <cell r="E351" t="str">
            <v>全体攻撃</v>
          </cell>
        </row>
        <row r="352">
          <cell r="B352">
            <v>29704</v>
          </cell>
          <cell r="C352">
            <v>100030</v>
          </cell>
          <cell r="D352" t="str">
            <v>引導を渡してやろう…</v>
          </cell>
          <cell r="E352" t="str">
            <v>アザゼルの翼が開いてゆく…</v>
          </cell>
        </row>
        <row r="353">
          <cell r="B353">
            <v>29704</v>
          </cell>
          <cell r="C353">
            <v>210029</v>
          </cell>
          <cell r="D353" t="str">
            <v>EXECUTION</v>
          </cell>
          <cell r="E353" t="str">
            <v>攻撃力×3.0倍の攻撃</v>
          </cell>
        </row>
        <row r="354">
          <cell r="B354">
            <v>29705</v>
          </cell>
          <cell r="C354">
            <v>310004</v>
          </cell>
          <cell r="D354" t="str">
            <v>貴様らに未来は無い…</v>
          </cell>
          <cell r="E354" t="str">
            <v>10ターンハートパネルで回復できない</v>
          </cell>
        </row>
        <row r="355">
          <cell r="B355">
            <v>29705</v>
          </cell>
          <cell r="C355">
            <v>410022</v>
          </cell>
          <cell r="D355" t="str">
            <v>このオレが愛でてやろう</v>
          </cell>
          <cell r="E355" t="str">
            <v>3ターン攻撃力UP</v>
          </cell>
        </row>
        <row r="356">
          <cell r="B356">
            <v>29705</v>
          </cell>
          <cell r="C356">
            <v>250011</v>
          </cell>
          <cell r="D356" t="str">
            <v>家畜が…目障りだ！</v>
          </cell>
          <cell r="E356" t="str">
            <v>種族アニマルのユニットに大ダメージ</v>
          </cell>
        </row>
        <row r="357">
          <cell r="B357">
            <v>29705</v>
          </cell>
          <cell r="C357">
            <v>230027</v>
          </cell>
          <cell r="D357" t="str">
            <v>出でよグリゴリ！</v>
          </cell>
          <cell r="E357" t="str">
            <v>全体攻撃</v>
          </cell>
        </row>
        <row r="358">
          <cell r="B358">
            <v>29705</v>
          </cell>
          <cell r="C358">
            <v>100030</v>
          </cell>
          <cell r="D358" t="str">
            <v>引導を渡してやろう…</v>
          </cell>
          <cell r="E358" t="str">
            <v>アザゼルの翼が開いてゆく…</v>
          </cell>
        </row>
        <row r="359">
          <cell r="B359">
            <v>29705</v>
          </cell>
          <cell r="C359">
            <v>210029</v>
          </cell>
          <cell r="D359" t="str">
            <v>EXECUTION</v>
          </cell>
          <cell r="E359" t="str">
            <v>攻撃力×3.0倍の攻撃</v>
          </cell>
        </row>
        <row r="360">
          <cell r="B360">
            <v>14101</v>
          </cell>
          <cell r="C360">
            <v>360001</v>
          </cell>
          <cell r="D360" t="str">
            <v>楽しき宴</v>
          </cell>
          <cell r="E360" t="str">
            <v>赤属性ユニットの攻撃力が100%DOWN</v>
          </cell>
        </row>
        <row r="361">
          <cell r="B361">
            <v>3301</v>
          </cell>
          <cell r="C361">
            <v>200011</v>
          </cell>
          <cell r="D361" t="str">
            <v>ハイパーリラックス</v>
          </cell>
          <cell r="E361" t="str">
            <v>次のターン超強力な攻撃</v>
          </cell>
        </row>
        <row r="362">
          <cell r="B362">
            <v>15101</v>
          </cell>
          <cell r="C362">
            <v>510019</v>
          </cell>
          <cell r="D362" t="str">
            <v>ハートジャミング</v>
          </cell>
          <cell r="E362" t="str">
            <v>ハートパネルを時限式ダメージパネルに変換</v>
          </cell>
        </row>
        <row r="363">
          <cell r="B363">
            <v>15101</v>
          </cell>
          <cell r="C363">
            <v>230015</v>
          </cell>
          <cell r="D363" t="str">
            <v>スプレッドボム</v>
          </cell>
          <cell r="E363" t="str">
            <v>全体攻撃</v>
          </cell>
        </row>
        <row r="364">
          <cell r="B364">
            <v>15101</v>
          </cell>
          <cell r="C364">
            <v>100021</v>
          </cell>
          <cell r="D364" t="str">
            <v>自爆の覚悟</v>
          </cell>
          <cell r="E364" t="str">
            <v>特大の爆弾を構えている！</v>
          </cell>
        </row>
        <row r="365">
          <cell r="B365">
            <v>15101</v>
          </cell>
          <cell r="C365">
            <v>240007</v>
          </cell>
          <cell r="D365" t="str">
            <v>最後の爆弾</v>
          </cell>
          <cell r="E365" t="str">
            <v>自爆＆ウィルス</v>
          </cell>
        </row>
        <row r="366">
          <cell r="B366">
            <v>28701</v>
          </cell>
          <cell r="C366">
            <v>400014</v>
          </cell>
          <cell r="D366" t="str">
            <v>&lt;ロックオン&gt;</v>
          </cell>
          <cell r="E366" t="str">
            <v>発射準備開始</v>
          </cell>
        </row>
        <row r="367">
          <cell r="B367">
            <v>28701</v>
          </cell>
          <cell r="C367">
            <v>100016</v>
          </cell>
          <cell r="D367" t="str">
            <v>&lt;装填中&gt;</v>
          </cell>
          <cell r="E367" t="str">
            <v>発射まで残り…</v>
          </cell>
        </row>
        <row r="368">
          <cell r="B368">
            <v>28701</v>
          </cell>
          <cell r="C368">
            <v>210019</v>
          </cell>
          <cell r="D368" t="str">
            <v>&lt;キャノン砲発射&gt;</v>
          </cell>
          <cell r="E368" t="str">
            <v>超大攻撃</v>
          </cell>
        </row>
        <row r="369">
          <cell r="B369">
            <v>294</v>
          </cell>
          <cell r="C369">
            <v>220017</v>
          </cell>
          <cell r="D369" t="str">
            <v>抑えきれぬ食欲</v>
          </cell>
          <cell r="E369" t="str">
            <v>5回連続攻撃+3ターン攻撃力小UP</v>
          </cell>
        </row>
        <row r="370">
          <cell r="B370">
            <v>29401</v>
          </cell>
          <cell r="C370">
            <v>530001</v>
          </cell>
          <cell r="D370" t="str">
            <v>鋼鉄の胃袋</v>
          </cell>
          <cell r="E370" t="str">
            <v>状態異常が効かなくなった！</v>
          </cell>
        </row>
        <row r="371">
          <cell r="B371">
            <v>29401</v>
          </cell>
          <cell r="C371">
            <v>220018</v>
          </cell>
          <cell r="D371" t="str">
            <v>襲い来る食欲</v>
          </cell>
          <cell r="E371" t="str">
            <v>10回連続攻撃+5ターン攻撃力小UP</v>
          </cell>
        </row>
        <row r="372">
          <cell r="B372">
            <v>295</v>
          </cell>
          <cell r="C372">
            <v>530001</v>
          </cell>
          <cell r="D372" t="str">
            <v>鋼鉄の胃袋</v>
          </cell>
          <cell r="E372" t="str">
            <v>状態異常が効かなくなった！</v>
          </cell>
        </row>
        <row r="373">
          <cell r="B373">
            <v>295</v>
          </cell>
          <cell r="C373">
            <v>220019</v>
          </cell>
          <cell r="D373" t="str">
            <v>果てしなき食欲</v>
          </cell>
          <cell r="E373" t="str">
            <v>20回連続攻撃+5ターン攻撃力UP</v>
          </cell>
        </row>
        <row r="374">
          <cell r="B374">
            <v>30401</v>
          </cell>
          <cell r="C374">
            <v>40025</v>
          </cell>
          <cell r="D374" t="str">
            <v>あ、あのねっ</v>
          </cell>
          <cell r="E374" t="str">
            <v>2ターン攻撃頻度が1ターンにUP＋5ターン黄パネル無効</v>
          </cell>
        </row>
        <row r="375">
          <cell r="B375">
            <v>30401</v>
          </cell>
          <cell r="C375">
            <v>51027</v>
          </cell>
          <cell r="D375" t="str">
            <v>よかったら…これ…</v>
          </cell>
          <cell r="E375" t="str">
            <v>黄色パネルを10個まで緑色パネルに変換</v>
          </cell>
        </row>
        <row r="376">
          <cell r="B376">
            <v>30401</v>
          </cell>
          <cell r="C376">
            <v>51029</v>
          </cell>
          <cell r="D376" t="str">
            <v>受け取ってほしいなっ</v>
          </cell>
          <cell r="E376" t="str">
            <v>時限式ダメージパネル出現</v>
          </cell>
        </row>
        <row r="377">
          <cell r="B377">
            <v>30401</v>
          </cell>
          <cell r="C377">
            <v>200016</v>
          </cell>
          <cell r="D377" t="str">
            <v>ビリビリちゃーじ！</v>
          </cell>
          <cell r="E377" t="str">
            <v>5回連続攻撃＋次のターン強力な攻撃</v>
          </cell>
        </row>
        <row r="378">
          <cell r="B378">
            <v>30401</v>
          </cell>
          <cell r="C378">
            <v>230029</v>
          </cell>
          <cell r="D378" t="str">
            <v>ビリビリあたっく！</v>
          </cell>
          <cell r="E378" t="str">
            <v>全体攻撃</v>
          </cell>
        </row>
        <row r="379">
          <cell r="B379">
            <v>30402</v>
          </cell>
          <cell r="C379">
            <v>40025</v>
          </cell>
          <cell r="D379" t="str">
            <v>あ、あのねっ</v>
          </cell>
          <cell r="E379" t="str">
            <v>2ターン攻撃頻度が1ターンにUP＋5ターン黄パネル無効</v>
          </cell>
        </row>
        <row r="380">
          <cell r="B380">
            <v>30402</v>
          </cell>
          <cell r="C380">
            <v>51027</v>
          </cell>
          <cell r="D380" t="str">
            <v>よかったら…これ…</v>
          </cell>
          <cell r="E380" t="str">
            <v>黄色パネルを10個まで緑色パネルに変換</v>
          </cell>
        </row>
        <row r="381">
          <cell r="B381">
            <v>30402</v>
          </cell>
          <cell r="C381">
            <v>51029</v>
          </cell>
          <cell r="D381" t="str">
            <v>受け取ってほしいなっ</v>
          </cell>
          <cell r="E381" t="str">
            <v>時限式ダメージパネル出現</v>
          </cell>
        </row>
        <row r="382">
          <cell r="B382">
            <v>30402</v>
          </cell>
          <cell r="C382">
            <v>200016</v>
          </cell>
          <cell r="D382" t="str">
            <v>ビリビリちゃーじ！</v>
          </cell>
          <cell r="E382" t="str">
            <v>5回連続攻撃＋次のターン強力な攻撃</v>
          </cell>
        </row>
        <row r="383">
          <cell r="B383">
            <v>30402</v>
          </cell>
          <cell r="C383">
            <v>230029</v>
          </cell>
          <cell r="D383" t="str">
            <v>ビリビリあたっく！</v>
          </cell>
          <cell r="E383" t="str">
            <v>全体攻撃</v>
          </cell>
        </row>
        <row r="384">
          <cell r="B384">
            <v>30501</v>
          </cell>
          <cell r="C384">
            <v>40025</v>
          </cell>
          <cell r="D384" t="str">
            <v>あ、あのねっ</v>
          </cell>
          <cell r="E384" t="str">
            <v>2ターン攻撃頻度が1ターンにUP＋5ターン黄パネル無効</v>
          </cell>
        </row>
        <row r="385">
          <cell r="B385">
            <v>30501</v>
          </cell>
          <cell r="C385">
            <v>51027</v>
          </cell>
          <cell r="D385" t="str">
            <v>よかったら…これ…</v>
          </cell>
          <cell r="E385" t="str">
            <v>黄色パネルを10個まで緑色パネルに変換</v>
          </cell>
        </row>
        <row r="386">
          <cell r="B386">
            <v>30501</v>
          </cell>
          <cell r="C386">
            <v>51028</v>
          </cell>
          <cell r="D386" t="str">
            <v>受け取ってほしいな♪</v>
          </cell>
          <cell r="E386" t="str">
            <v>時限式ダメージパネル出現＋全属性カウンター2ターン</v>
          </cell>
        </row>
        <row r="387">
          <cell r="B387">
            <v>30501</v>
          </cell>
          <cell r="C387">
            <v>370006</v>
          </cell>
          <cell r="D387" t="str">
            <v>ほらほら、触ってみて？</v>
          </cell>
          <cell r="E387" t="str">
            <v>全属性ユニットの攻撃を1ターンカウンター</v>
          </cell>
        </row>
        <row r="388">
          <cell r="B388">
            <v>30501</v>
          </cell>
          <cell r="C388">
            <v>200016</v>
          </cell>
          <cell r="D388" t="str">
            <v>ビリビリちゃーじ！</v>
          </cell>
          <cell r="E388" t="str">
            <v>5回連続攻撃＋次のターン強力な攻撃</v>
          </cell>
        </row>
        <row r="389">
          <cell r="B389">
            <v>30501</v>
          </cell>
          <cell r="C389">
            <v>230029</v>
          </cell>
          <cell r="D389" t="str">
            <v>ビリビリあたっく！</v>
          </cell>
          <cell r="E389" t="str">
            <v>全体攻撃</v>
          </cell>
        </row>
        <row r="390">
          <cell r="B390">
            <v>284</v>
          </cell>
          <cell r="C390">
            <v>520001</v>
          </cell>
          <cell r="D390" t="str">
            <v>グリーン・スポイル</v>
          </cell>
          <cell r="E390" t="str">
            <v>1ターン緑パネルが使えない＋攻撃</v>
          </cell>
        </row>
        <row r="391">
          <cell r="B391">
            <v>284</v>
          </cell>
          <cell r="C391">
            <v>520010</v>
          </cell>
          <cell r="D391" t="str">
            <v>ハート・スポイル</v>
          </cell>
          <cell r="E391" t="str">
            <v>5ターンハートパネルが使えない＋攻撃</v>
          </cell>
        </row>
        <row r="392">
          <cell r="B392">
            <v>14202</v>
          </cell>
          <cell r="C392">
            <v>250005</v>
          </cell>
          <cell r="D392" t="str">
            <v>アニマルキラー</v>
          </cell>
          <cell r="E392" t="str">
            <v>種族アニマルのユニットに大ダメージ</v>
          </cell>
        </row>
        <row r="393">
          <cell r="B393">
            <v>12702</v>
          </cell>
          <cell r="C393">
            <v>220002</v>
          </cell>
          <cell r="D393" t="str">
            <v>狂乱打</v>
          </cell>
          <cell r="E393" t="str">
            <v>2回連続攻撃</v>
          </cell>
        </row>
        <row r="394">
          <cell r="B394">
            <v>12702</v>
          </cell>
          <cell r="C394">
            <v>400017</v>
          </cell>
          <cell r="D394" t="str">
            <v>狂乱の宴</v>
          </cell>
          <cell r="E394" t="str">
            <v>この戦闘の間攻撃頻度が1ターンにUP</v>
          </cell>
        </row>
        <row r="395">
          <cell r="B395">
            <v>14401</v>
          </cell>
          <cell r="C395">
            <v>420004</v>
          </cell>
          <cell r="D395" t="str">
            <v>竹林の防壁</v>
          </cell>
          <cell r="E395" t="str">
            <v>解除するまで防御力超絶UP</v>
          </cell>
        </row>
        <row r="396">
          <cell r="B396">
            <v>15201</v>
          </cell>
          <cell r="C396">
            <v>310003</v>
          </cell>
          <cell r="D396" t="str">
            <v>心頭滅却</v>
          </cell>
          <cell r="E396" t="str">
            <v>ハートパネルで回復できない</v>
          </cell>
        </row>
        <row r="397">
          <cell r="B397">
            <v>15201</v>
          </cell>
          <cell r="C397">
            <v>210027</v>
          </cell>
          <cell r="D397" t="str">
            <v>猛虎の手</v>
          </cell>
          <cell r="E397" t="str">
            <v>攻撃力×1.3倍の攻撃</v>
          </cell>
        </row>
        <row r="398">
          <cell r="B398">
            <v>15201</v>
          </cell>
          <cell r="C398">
            <v>220023</v>
          </cell>
          <cell r="D398" t="str">
            <v>山猿の足</v>
          </cell>
          <cell r="E398" t="str">
            <v>5回連続攻撃</v>
          </cell>
        </row>
        <row r="399">
          <cell r="B399">
            <v>15201</v>
          </cell>
          <cell r="C399">
            <v>250009</v>
          </cell>
          <cell r="D399" t="str">
            <v>神撃ちの拳</v>
          </cell>
          <cell r="E399" t="str">
            <v>種族ゴッドのユニットに大ダメージ</v>
          </cell>
        </row>
        <row r="400">
          <cell r="B400">
            <v>21201</v>
          </cell>
          <cell r="C400">
            <v>500004</v>
          </cell>
          <cell r="D400" t="str">
            <v>クロックメテオ</v>
          </cell>
          <cell r="E400" t="str">
            <v>時限式ダメージパネル出現</v>
          </cell>
        </row>
        <row r="401">
          <cell r="B401">
            <v>21201</v>
          </cell>
          <cell r="C401">
            <v>100023</v>
          </cell>
          <cell r="D401" t="str">
            <v>星降りの儀</v>
          </cell>
          <cell r="E401" t="str">
            <v>天に流星が集まっていく！</v>
          </cell>
        </row>
        <row r="402">
          <cell r="B402">
            <v>21201</v>
          </cell>
          <cell r="C402">
            <v>230017</v>
          </cell>
          <cell r="D402" t="str">
            <v>地を焦がす流星雨</v>
          </cell>
          <cell r="E402" t="str">
            <v>全体攻撃</v>
          </cell>
        </row>
        <row r="403">
          <cell r="B403">
            <v>18601</v>
          </cell>
          <cell r="C403">
            <v>340007</v>
          </cell>
          <cell r="D403" t="str">
            <v>殺戮の子守唄</v>
          </cell>
          <cell r="E403" t="str">
            <v>ユニット1体に3ターンスリープ＆連続攻撃</v>
          </cell>
        </row>
        <row r="404">
          <cell r="B404">
            <v>18601</v>
          </cell>
          <cell r="C404">
            <v>210028</v>
          </cell>
          <cell r="D404" t="str">
            <v>蒼の衝撃</v>
          </cell>
          <cell r="E404" t="str">
            <v>攻撃力×1.6倍の攻撃</v>
          </cell>
        </row>
        <row r="405">
          <cell r="B405">
            <v>18601</v>
          </cell>
          <cell r="C405">
            <v>550002</v>
          </cell>
          <cell r="D405" t="str">
            <v>触手姫の口づけ</v>
          </cell>
          <cell r="E405" t="str">
            <v>1ターンパネルの色が分からなくなる！</v>
          </cell>
        </row>
        <row r="406">
          <cell r="B406">
            <v>18601</v>
          </cell>
          <cell r="C406">
            <v>100024</v>
          </cell>
          <cell r="D406" t="str">
            <v>絡みつく触手</v>
          </cell>
          <cell r="E406" t="str">
            <v>無数の触手がこちらを狙っている！</v>
          </cell>
        </row>
        <row r="407">
          <cell r="B407">
            <v>18601</v>
          </cell>
          <cell r="C407">
            <v>220024</v>
          </cell>
          <cell r="D407" t="str">
            <v>地獄の締め上げ</v>
          </cell>
          <cell r="E407" t="str">
            <v>7回連続攻撃</v>
          </cell>
        </row>
        <row r="408">
          <cell r="B408">
            <v>348</v>
          </cell>
          <cell r="C408">
            <v>520004</v>
          </cell>
          <cell r="D408" t="str">
            <v>ディスレッド</v>
          </cell>
          <cell r="E408" t="str">
            <v>2ターン赤パネルが使えない！</v>
          </cell>
        </row>
        <row r="409">
          <cell r="B409">
            <v>350</v>
          </cell>
          <cell r="C409">
            <v>520005</v>
          </cell>
          <cell r="D409" t="str">
            <v>ディスグリーン</v>
          </cell>
          <cell r="E409" t="str">
            <v>2ターン緑パネルが使えない！</v>
          </cell>
        </row>
        <row r="410">
          <cell r="B410">
            <v>352</v>
          </cell>
          <cell r="C410">
            <v>520006</v>
          </cell>
          <cell r="D410" t="str">
            <v>ディスブルー</v>
          </cell>
          <cell r="E410" t="str">
            <v>2ターン青パネルが使えない！</v>
          </cell>
        </row>
        <row r="411">
          <cell r="B411">
            <v>354</v>
          </cell>
          <cell r="C411">
            <v>520007</v>
          </cell>
          <cell r="D411" t="str">
            <v>ディスイエロー</v>
          </cell>
          <cell r="E411" t="str">
            <v>2ターン黄パネルが使えない！</v>
          </cell>
        </row>
        <row r="412">
          <cell r="B412">
            <v>360</v>
          </cell>
          <cell r="C412">
            <v>550004</v>
          </cell>
          <cell r="D412" t="str">
            <v>マヨビーム</v>
          </cell>
          <cell r="E412" t="str">
            <v>2ターンパネルの色が分からなくなる！</v>
          </cell>
        </row>
        <row r="413">
          <cell r="B413">
            <v>3611</v>
          </cell>
          <cell r="C413">
            <v>410025</v>
          </cell>
          <cell r="D413" t="str">
            <v>全力応援</v>
          </cell>
          <cell r="E413" t="str">
            <v>3ターン攻撃力UP</v>
          </cell>
        </row>
        <row r="414">
          <cell r="B414">
            <v>362</v>
          </cell>
          <cell r="C414">
            <v>370003</v>
          </cell>
          <cell r="D414" t="str">
            <v>ダダこね</v>
          </cell>
          <cell r="E414" t="str">
            <v>赤属性ユニットの攻撃を1ターンカウンター</v>
          </cell>
        </row>
        <row r="415">
          <cell r="B415">
            <v>3631</v>
          </cell>
          <cell r="C415">
            <v>320014</v>
          </cell>
          <cell r="D415" t="str">
            <v>パタパタ胞子</v>
          </cell>
          <cell r="E415" t="str">
            <v>3ターンの間ダメージを受ける</v>
          </cell>
        </row>
        <row r="416">
          <cell r="B416">
            <v>364</v>
          </cell>
          <cell r="C416">
            <v>540007</v>
          </cell>
          <cell r="D416" t="str">
            <v>ディスアーム</v>
          </cell>
          <cell r="E416" t="str">
            <v>3ターンタップ回数を1減少＋攻撃</v>
          </cell>
        </row>
        <row r="417">
          <cell r="B417">
            <v>3651</v>
          </cell>
          <cell r="C417">
            <v>340012</v>
          </cell>
          <cell r="D417" t="str">
            <v>おやすみマーチ</v>
          </cell>
          <cell r="E417" t="str">
            <v>ユニット1体に3ターンスリープ</v>
          </cell>
        </row>
        <row r="418">
          <cell r="B418">
            <v>366</v>
          </cell>
          <cell r="C418">
            <v>500006</v>
          </cell>
          <cell r="D418" t="str">
            <v>クレイモア</v>
          </cell>
          <cell r="E418" t="str">
            <v>時限式ダメージパネル出現</v>
          </cell>
        </row>
        <row r="419">
          <cell r="B419">
            <v>3671</v>
          </cell>
          <cell r="C419">
            <v>330016</v>
          </cell>
          <cell r="D419" t="str">
            <v>実戦ロープワーク</v>
          </cell>
          <cell r="E419" t="str">
            <v>3ターンスキルが使えない！</v>
          </cell>
        </row>
        <row r="420">
          <cell r="B420">
            <v>369</v>
          </cell>
          <cell r="C420">
            <v>520002</v>
          </cell>
          <cell r="D420" t="str">
            <v>蒼を撃ち抜く弾丸</v>
          </cell>
          <cell r="E420" t="str">
            <v>5ターン青パネルが使えない！</v>
          </cell>
        </row>
        <row r="421">
          <cell r="B421">
            <v>369</v>
          </cell>
          <cell r="C421">
            <v>420005</v>
          </cell>
          <cell r="D421" t="str">
            <v>弾幕の嵐</v>
          </cell>
          <cell r="E421" t="str">
            <v>3ターン防御力UP＆攻撃力UP</v>
          </cell>
        </row>
        <row r="422">
          <cell r="B422">
            <v>369</v>
          </cell>
          <cell r="C422">
            <v>400016</v>
          </cell>
          <cell r="D422" t="str">
            <v>ターゲット・ロックオン</v>
          </cell>
          <cell r="E422" t="str">
            <v>5ターン攻撃頻度が1ターンにUP</v>
          </cell>
        </row>
        <row r="423">
          <cell r="B423">
            <v>369</v>
          </cell>
          <cell r="C423">
            <v>230018</v>
          </cell>
          <cell r="D423" t="str">
            <v>無差別乱射</v>
          </cell>
          <cell r="E423" t="str">
            <v>全体攻撃</v>
          </cell>
        </row>
        <row r="424">
          <cell r="B424">
            <v>369</v>
          </cell>
          <cell r="C424">
            <v>200012</v>
          </cell>
          <cell r="D424" t="str">
            <v>ラストシューティング</v>
          </cell>
          <cell r="E424" t="str">
            <v>次のターン超強力な攻撃</v>
          </cell>
        </row>
        <row r="425">
          <cell r="B425">
            <v>369</v>
          </cell>
          <cell r="C425">
            <v>350007</v>
          </cell>
          <cell r="D425" t="str">
            <v>ハートスナイプ</v>
          </cell>
          <cell r="E425" t="str">
            <v>5ターン回復力が100%DOWN</v>
          </cell>
        </row>
        <row r="426">
          <cell r="B426">
            <v>16401</v>
          </cell>
          <cell r="C426">
            <v>510023</v>
          </cell>
          <cell r="D426" t="str">
            <v>イブと遊ぼ？</v>
          </cell>
          <cell r="E426" t="str">
            <v>少しだけお邪魔パネル出現</v>
          </cell>
        </row>
        <row r="427">
          <cell r="B427">
            <v>16401</v>
          </cell>
          <cell r="C427">
            <v>410015</v>
          </cell>
          <cell r="D427" t="str">
            <v>もっと遊ぼう？</v>
          </cell>
          <cell r="E427" t="str">
            <v>5ターン攻撃力大UP</v>
          </cell>
        </row>
        <row r="428">
          <cell r="B428">
            <v>28801</v>
          </cell>
          <cell r="C428">
            <v>420008</v>
          </cell>
          <cell r="D428" t="str">
            <v>わたしの嫁を返してもらおう</v>
          </cell>
          <cell r="E428" t="str">
            <v>5ターン防御力UP</v>
          </cell>
        </row>
        <row r="429">
          <cell r="B429">
            <v>28801</v>
          </cell>
          <cell r="C429">
            <v>41016</v>
          </cell>
          <cell r="D429" t="str">
            <v>力尽くでも奪い返す…！</v>
          </cell>
          <cell r="E429" t="str">
            <v>解除するまで攻撃力UP</v>
          </cell>
        </row>
        <row r="430">
          <cell r="B430">
            <v>28801</v>
          </cell>
          <cell r="C430">
            <v>100028</v>
          </cell>
          <cell r="D430" t="str">
            <v>フフフ・・・</v>
          </cell>
          <cell r="E430" t="str">
            <v>不敵に微笑んでいる</v>
          </cell>
        </row>
        <row r="431">
          <cell r="B431">
            <v>28802</v>
          </cell>
          <cell r="C431">
            <v>420009</v>
          </cell>
          <cell r="D431" t="str">
            <v>わたしの嫁を返してもらおう</v>
          </cell>
          <cell r="E431" t="str">
            <v>5ターン防御力UP</v>
          </cell>
        </row>
        <row r="432">
          <cell r="B432">
            <v>28803</v>
          </cell>
          <cell r="C432">
            <v>420010</v>
          </cell>
          <cell r="D432" t="str">
            <v>わたしの嫁を返してもらおう</v>
          </cell>
          <cell r="E432" t="str">
            <v>5ターン防御力UP</v>
          </cell>
        </row>
        <row r="433">
          <cell r="B433">
            <v>28803</v>
          </cell>
          <cell r="C433">
            <v>200013</v>
          </cell>
          <cell r="D433" t="str">
            <v>わたしに触るな！</v>
          </cell>
          <cell r="E433" t="str">
            <v>次のターン強力な攻撃</v>
          </cell>
        </row>
        <row r="434">
          <cell r="B434">
            <v>28804</v>
          </cell>
          <cell r="C434">
            <v>41016</v>
          </cell>
          <cell r="D434" t="str">
            <v>力尽くでも奪い返す…！</v>
          </cell>
          <cell r="E434" t="str">
            <v>解除するまで攻撃力UP</v>
          </cell>
        </row>
        <row r="435">
          <cell r="B435">
            <v>28804</v>
          </cell>
          <cell r="C435">
            <v>100028</v>
          </cell>
          <cell r="D435" t="str">
            <v>フフフ・・・</v>
          </cell>
          <cell r="E435" t="str">
            <v>不敵に微笑んでいる</v>
          </cell>
        </row>
        <row r="436">
          <cell r="B436">
            <v>28804</v>
          </cell>
          <cell r="C436">
            <v>200013</v>
          </cell>
          <cell r="D436" t="str">
            <v>わたしに触るな！</v>
          </cell>
          <cell r="E436" t="str">
            <v>次のターン強力な攻撃</v>
          </cell>
        </row>
        <row r="437">
          <cell r="B437">
            <v>28901</v>
          </cell>
          <cell r="C437">
            <v>100026</v>
          </cell>
          <cell r="D437" t="str">
            <v>私を怒らせてしまったようだな・・！</v>
          </cell>
          <cell r="E437" t="str">
            <v>攻撃頻度が1ターンにUP</v>
          </cell>
        </row>
        <row r="438">
          <cell r="B438">
            <v>28901</v>
          </cell>
          <cell r="C438">
            <v>230019</v>
          </cell>
          <cell r="D438" t="str">
            <v>ハァーッハッハッハ！!</v>
          </cell>
          <cell r="E438" t="str">
            <v>全体攻撃</v>
          </cell>
        </row>
        <row r="439">
          <cell r="B439">
            <v>28901</v>
          </cell>
          <cell r="C439">
            <v>200014</v>
          </cell>
          <cell r="D439" t="str">
            <v>かぐや諸共消し飛べ！！</v>
          </cell>
          <cell r="E439" t="str">
            <v>次のターン超強力な攻撃</v>
          </cell>
        </row>
        <row r="440">
          <cell r="B440">
            <v>2701</v>
          </cell>
          <cell r="C440">
            <v>240008</v>
          </cell>
          <cell r="D440" t="str">
            <v>エネルギー変換</v>
          </cell>
          <cell r="E440" t="str">
            <v>自爆+敵の攻撃力がアップ</v>
          </cell>
        </row>
        <row r="441">
          <cell r="B441">
            <v>2702</v>
          </cell>
          <cell r="C441">
            <v>240009</v>
          </cell>
          <cell r="D441" t="str">
            <v>エネルギー変換</v>
          </cell>
          <cell r="E441" t="str">
            <v>自爆+敵の攻撃頻度が1ターンにUP</v>
          </cell>
        </row>
        <row r="442">
          <cell r="B442">
            <v>2701</v>
          </cell>
          <cell r="C442">
            <v>100027</v>
          </cell>
          <cell r="D442" t="str">
            <v>ガガ…ピ…!?</v>
          </cell>
          <cell r="E442" t="str">
            <v>このフロアのパトラインは防御力が高い！</v>
          </cell>
        </row>
        <row r="443">
          <cell r="B443">
            <v>2702</v>
          </cell>
          <cell r="C443">
            <v>100027</v>
          </cell>
          <cell r="D443" t="str">
            <v>ガガ…ピ…!?</v>
          </cell>
          <cell r="E443" t="str">
            <v>このフロアのパトラインは防御力が高い！</v>
          </cell>
        </row>
        <row r="444">
          <cell r="B444">
            <v>28001</v>
          </cell>
          <cell r="C444">
            <v>420006</v>
          </cell>
          <cell r="D444" t="str">
            <v>スチールプレデター</v>
          </cell>
          <cell r="E444" t="str">
            <v>3ターン後パトラインのエネルギーを吸収する</v>
          </cell>
        </row>
        <row r="445">
          <cell r="B445">
            <v>28002</v>
          </cell>
          <cell r="C445">
            <v>230020</v>
          </cell>
          <cell r="D445" t="str">
            <v>シュトゥルム・アングリフ</v>
          </cell>
          <cell r="E445" t="str">
            <v>全体攻撃</v>
          </cell>
        </row>
        <row r="446">
          <cell r="B446">
            <v>28002</v>
          </cell>
          <cell r="C446">
            <v>420006</v>
          </cell>
          <cell r="D446" t="str">
            <v>スチールプレデター</v>
          </cell>
          <cell r="E446" t="str">
            <v>3ターン後パトラインのエネルギーを吸収する</v>
          </cell>
        </row>
        <row r="447">
          <cell r="B447">
            <v>28101</v>
          </cell>
          <cell r="C447">
            <v>230020</v>
          </cell>
          <cell r="D447" t="str">
            <v>シュトゥルム・アングリフ</v>
          </cell>
          <cell r="E447" t="str">
            <v>全体攻撃</v>
          </cell>
        </row>
        <row r="448">
          <cell r="B448">
            <v>28101</v>
          </cell>
          <cell r="C448">
            <v>420007</v>
          </cell>
          <cell r="D448" t="str">
            <v>スチールプレデター</v>
          </cell>
          <cell r="E448" t="str">
            <v>3ターン後パトラインのエネルギーを吸収する</v>
          </cell>
        </row>
        <row r="449">
          <cell r="B449">
            <v>6302</v>
          </cell>
          <cell r="C449">
            <v>240010</v>
          </cell>
          <cell r="D449" t="str">
            <v>ぎゃああああああ</v>
          </cell>
          <cell r="E449" t="str">
            <v>アノマロカリスが捕食した！</v>
          </cell>
        </row>
        <row r="450">
          <cell r="B450">
            <v>6302</v>
          </cell>
          <cell r="C450">
            <v>420012</v>
          </cell>
          <cell r="D450" t="str">
            <v>カセキ化</v>
          </cell>
          <cell r="E450" t="str">
            <v>3ターン防御力UP</v>
          </cell>
        </row>
        <row r="451">
          <cell r="B451">
            <v>6302</v>
          </cell>
          <cell r="C451">
            <v>220001</v>
          </cell>
          <cell r="D451" t="str">
            <v>スピードスター</v>
          </cell>
          <cell r="E451" t="str">
            <v>2回連続攻撃</v>
          </cell>
        </row>
        <row r="452">
          <cell r="B452">
            <v>1301</v>
          </cell>
          <cell r="C452">
            <v>100029</v>
          </cell>
          <cell r="D452" t="str">
            <v>震えている</v>
          </cell>
          <cell r="E452" t="str">
            <v>何かに怯えているようだ…</v>
          </cell>
        </row>
        <row r="453">
          <cell r="B453">
            <v>4701</v>
          </cell>
          <cell r="C453">
            <v>100029</v>
          </cell>
          <cell r="D453" t="str">
            <v>震えている</v>
          </cell>
          <cell r="E453" t="str">
            <v>何かに怯えているようだ…</v>
          </cell>
        </row>
        <row r="454">
          <cell r="B454">
            <v>3302</v>
          </cell>
          <cell r="C454">
            <v>200002</v>
          </cell>
          <cell r="D454" t="str">
            <v>リラックス</v>
          </cell>
          <cell r="E454" t="str">
            <v>次のターン強力な攻撃</v>
          </cell>
        </row>
        <row r="455">
          <cell r="B455">
            <v>3302</v>
          </cell>
          <cell r="C455">
            <v>100029</v>
          </cell>
          <cell r="D455" t="str">
            <v>震えている</v>
          </cell>
          <cell r="E455" t="str">
            <v>何かに怯えているようだ…</v>
          </cell>
        </row>
        <row r="456">
          <cell r="B456">
            <v>6301</v>
          </cell>
          <cell r="C456">
            <v>220001</v>
          </cell>
          <cell r="D456" t="str">
            <v>スピードスター</v>
          </cell>
          <cell r="E456" t="str">
            <v>2回連続攻撃</v>
          </cell>
        </row>
        <row r="457">
          <cell r="B457">
            <v>6301</v>
          </cell>
          <cell r="C457">
            <v>100029</v>
          </cell>
          <cell r="D457" t="str">
            <v>震えている</v>
          </cell>
          <cell r="E457" t="str">
            <v>何かに怯えているようだ…</v>
          </cell>
        </row>
        <row r="458">
          <cell r="B458">
            <v>5701</v>
          </cell>
          <cell r="C458">
            <v>410001</v>
          </cell>
          <cell r="D458" t="str">
            <v>火酒</v>
          </cell>
          <cell r="E458" t="str">
            <v>3ターン攻撃力小UP</v>
          </cell>
        </row>
        <row r="459">
          <cell r="B459">
            <v>5701</v>
          </cell>
          <cell r="C459">
            <v>100029</v>
          </cell>
          <cell r="D459" t="str">
            <v>震えている</v>
          </cell>
          <cell r="E459" t="str">
            <v>何かに怯えているようだ…</v>
          </cell>
        </row>
        <row r="460">
          <cell r="B460">
            <v>31202</v>
          </cell>
          <cell r="C460">
            <v>500028</v>
          </cell>
          <cell r="D460" t="str">
            <v>アタシのタマゴだよ！</v>
          </cell>
          <cell r="E460" t="str">
            <v>時限式ダメージパネル出現</v>
          </cell>
        </row>
        <row r="461">
          <cell r="B461">
            <v>31203</v>
          </cell>
          <cell r="C461">
            <v>500028</v>
          </cell>
          <cell r="D461" t="str">
            <v>アタシのタマゴだよ！</v>
          </cell>
          <cell r="E461" t="str">
            <v>時限式ダメージパネル出現</v>
          </cell>
        </row>
        <row r="462">
          <cell r="B462">
            <v>31203</v>
          </cell>
          <cell r="C462">
            <v>410020</v>
          </cell>
          <cell r="D462" t="str">
            <v>ちょっと本気出そっかな</v>
          </cell>
          <cell r="E462" t="str">
            <v>3ターン攻撃力小UP</v>
          </cell>
        </row>
        <row r="463">
          <cell r="B463">
            <v>31203</v>
          </cell>
          <cell r="C463">
            <v>230022</v>
          </cell>
          <cell r="D463" t="str">
            <v>キミたち食べていい？</v>
          </cell>
          <cell r="E463" t="str">
            <v>全体攻撃</v>
          </cell>
        </row>
        <row r="464">
          <cell r="B464">
            <v>31204</v>
          </cell>
          <cell r="C464">
            <v>400022</v>
          </cell>
          <cell r="D464" t="str">
            <v>カンブリアの激流！</v>
          </cell>
          <cell r="E464" t="str">
            <v>2ターン攻撃頻度が1ターンにUP</v>
          </cell>
        </row>
        <row r="465">
          <cell r="B465">
            <v>31204</v>
          </cell>
          <cell r="C465">
            <v>540008</v>
          </cell>
          <cell r="D465" t="str">
            <v>ここは潮の流れが速いよ！</v>
          </cell>
          <cell r="E465" t="str">
            <v>この戦闘の間タップ時間の制限！【８秒】</v>
          </cell>
        </row>
        <row r="466">
          <cell r="B466">
            <v>31204</v>
          </cell>
          <cell r="C466">
            <v>410028</v>
          </cell>
          <cell r="D466" t="str">
            <v>もっと本気出すよ！</v>
          </cell>
          <cell r="E466" t="str">
            <v>3ターン攻撃力小UP</v>
          </cell>
        </row>
        <row r="467">
          <cell r="B467">
            <v>31204</v>
          </cell>
          <cell r="C467">
            <v>230022</v>
          </cell>
          <cell r="D467" t="str">
            <v>キミたち食べていい？</v>
          </cell>
          <cell r="E467" t="str">
            <v>全体攻撃</v>
          </cell>
        </row>
        <row r="468">
          <cell r="B468">
            <v>15202</v>
          </cell>
          <cell r="C468">
            <v>510029</v>
          </cell>
          <cell r="D468" t="str">
            <v>応急処置セット</v>
          </cell>
          <cell r="E468" t="str">
            <v>ランダムでハートパネルに変換</v>
          </cell>
        </row>
        <row r="469">
          <cell r="B469">
            <v>15202</v>
          </cell>
          <cell r="C469">
            <v>410027</v>
          </cell>
          <cell r="D469" t="str">
            <v>深呼吸</v>
          </cell>
          <cell r="E469" t="str">
            <v>3ターン攻撃力小UP</v>
          </cell>
        </row>
        <row r="470">
          <cell r="B470">
            <v>15202</v>
          </cell>
          <cell r="C470">
            <v>220012</v>
          </cell>
          <cell r="D470" t="str">
            <v>山猿の足</v>
          </cell>
          <cell r="E470" t="str">
            <v>5回連続攻撃</v>
          </cell>
        </row>
        <row r="471">
          <cell r="B471">
            <v>13003</v>
          </cell>
          <cell r="C471">
            <v>510029</v>
          </cell>
          <cell r="D471" t="str">
            <v>応急処置セット</v>
          </cell>
          <cell r="E471" t="str">
            <v>ランダムでハートパネルに変換</v>
          </cell>
        </row>
        <row r="472">
          <cell r="B472">
            <v>13003</v>
          </cell>
          <cell r="C472">
            <v>420013</v>
          </cell>
          <cell r="D472" t="str">
            <v>下段の構え</v>
          </cell>
          <cell r="E472" t="str">
            <v>3ターン防御力UP</v>
          </cell>
        </row>
        <row r="473">
          <cell r="B473">
            <v>13202</v>
          </cell>
          <cell r="C473">
            <v>250013</v>
          </cell>
          <cell r="D473" t="str">
            <v>カワラ割り</v>
          </cell>
          <cell r="E473" t="str">
            <v>種族マシンのユニットに大ダメージ</v>
          </cell>
        </row>
        <row r="474">
          <cell r="B474">
            <v>30601</v>
          </cell>
          <cell r="C474">
            <v>510030</v>
          </cell>
          <cell r="D474" t="str">
            <v>おっ、よく来たね！</v>
          </cell>
          <cell r="E474" t="str">
            <v>赤パネルをハートパネルに大量変換</v>
          </cell>
        </row>
        <row r="475">
          <cell r="B475">
            <v>30601</v>
          </cell>
          <cell r="C475">
            <v>200017</v>
          </cell>
          <cell r="D475" t="str">
            <v>次のは痛いぞ？</v>
          </cell>
          <cell r="E475" t="str">
            <v>次のターン超強力な攻撃</v>
          </cell>
        </row>
        <row r="476">
          <cell r="B476">
            <v>30603</v>
          </cell>
          <cell r="C476">
            <v>250012</v>
          </cell>
          <cell r="D476" t="str">
            <v>私は絶滅なんかしない！</v>
          </cell>
          <cell r="E476" t="str">
            <v>種族ゴッドのユニットに大ダメージ</v>
          </cell>
        </row>
        <row r="477">
          <cell r="B477">
            <v>30603</v>
          </cell>
          <cell r="C477">
            <v>220030</v>
          </cell>
          <cell r="D477" t="str">
            <v>まとめてサメのエサだ！</v>
          </cell>
          <cell r="E477" t="str">
            <v>7回連続攻撃</v>
          </cell>
        </row>
        <row r="478">
          <cell r="B478">
            <v>30601</v>
          </cell>
          <cell r="C478">
            <v>510031</v>
          </cell>
          <cell r="D478" t="str">
            <v>楽しんでるか？</v>
          </cell>
          <cell r="E478" t="str">
            <v>少しだけ赤パネルをハートパネルに変換</v>
          </cell>
        </row>
        <row r="479">
          <cell r="B479">
            <v>30602</v>
          </cell>
          <cell r="C479">
            <v>510030</v>
          </cell>
          <cell r="D479" t="str">
            <v>おっ、よく来たね！</v>
          </cell>
          <cell r="E479" t="str">
            <v>赤パネルをハートパネルに大量変換</v>
          </cell>
        </row>
        <row r="480">
          <cell r="B480">
            <v>30602</v>
          </cell>
          <cell r="C480">
            <v>250012</v>
          </cell>
          <cell r="D480" t="str">
            <v>私は絶滅なんかしない！</v>
          </cell>
          <cell r="E480" t="str">
            <v>種族ゴッドのユニットに大ダメージ</v>
          </cell>
        </row>
        <row r="481">
          <cell r="B481">
            <v>30602</v>
          </cell>
          <cell r="C481">
            <v>220030</v>
          </cell>
          <cell r="D481" t="str">
            <v>まとめてサメのエサだ！</v>
          </cell>
          <cell r="E481" t="str">
            <v>7回連続攻撃</v>
          </cell>
        </row>
        <row r="482">
          <cell r="B482">
            <v>30602</v>
          </cell>
          <cell r="C482">
            <v>510031</v>
          </cell>
          <cell r="D482" t="str">
            <v>楽しんでるか？</v>
          </cell>
          <cell r="E482" t="str">
            <v>少しだけ赤パネルをハートパネルに変換</v>
          </cell>
        </row>
      </sheetData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C8"/>
  <sheetViews>
    <sheetView workbookViewId="0">
      <selection activeCell="D16" sqref="D16"/>
    </sheetView>
  </sheetViews>
  <sheetFormatPr baseColWidth="12" defaultRowHeight="15" x14ac:dyDescent="0.15"/>
  <cols>
    <col min="2" max="2" width="14.83203125" bestFit="1" customWidth="1"/>
    <col min="5" max="5" width="17.6640625" bestFit="1" customWidth="1"/>
    <col min="6" max="6" width="22.1640625" bestFit="1" customWidth="1"/>
  </cols>
  <sheetData>
    <row r="1" spans="1:29" x14ac:dyDescent="0.15">
      <c r="A1" s="59" t="s">
        <v>129</v>
      </c>
      <c r="B1" s="54" t="s">
        <v>100</v>
      </c>
      <c r="C1" s="54" t="s">
        <v>101</v>
      </c>
      <c r="D1" s="54" t="s">
        <v>102</v>
      </c>
      <c r="E1" s="54" t="s">
        <v>103</v>
      </c>
      <c r="F1" s="54" t="s">
        <v>104</v>
      </c>
      <c r="G1" s="54" t="s">
        <v>105</v>
      </c>
      <c r="H1" s="54"/>
      <c r="I1" s="54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</row>
    <row r="2" spans="1:29" x14ac:dyDescent="0.15">
      <c r="A2" s="60" t="s">
        <v>131</v>
      </c>
      <c r="B2" s="56" t="s">
        <v>106</v>
      </c>
      <c r="C2" s="56">
        <f>floors!C$2</f>
        <v>30015</v>
      </c>
      <c r="D2" s="56" t="s">
        <v>107</v>
      </c>
      <c r="E2" s="55" t="str">
        <f>B2&amp;C2&amp;D2</f>
        <v>floors_30015.tmp</v>
      </c>
      <c r="F2" s="56" t="s">
        <v>108</v>
      </c>
      <c r="G2" s="57" t="s">
        <v>0</v>
      </c>
      <c r="H2" s="57" t="s">
        <v>1</v>
      </c>
      <c r="I2" s="57" t="s">
        <v>13</v>
      </c>
      <c r="J2" s="57" t="s">
        <v>14</v>
      </c>
      <c r="K2" s="57" t="s">
        <v>15</v>
      </c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</row>
    <row r="3" spans="1:29" x14ac:dyDescent="0.15">
      <c r="A3" s="60" t="s">
        <v>130</v>
      </c>
      <c r="B3" s="56" t="s">
        <v>109</v>
      </c>
      <c r="C3" s="56">
        <f>floors!C$2</f>
        <v>30015</v>
      </c>
      <c r="D3" s="56" t="s">
        <v>107</v>
      </c>
      <c r="E3" s="55" t="str">
        <f>B3&amp;C3&amp;D3</f>
        <v>enemy_habitats_30015.tmp</v>
      </c>
      <c r="F3" s="56" t="s">
        <v>110</v>
      </c>
      <c r="G3" s="57" t="s">
        <v>0</v>
      </c>
      <c r="H3" s="57" t="s">
        <v>1</v>
      </c>
      <c r="I3" s="57" t="s">
        <v>13</v>
      </c>
      <c r="J3" s="57" t="s">
        <v>2</v>
      </c>
      <c r="K3" s="57" t="s">
        <v>3</v>
      </c>
      <c r="L3" s="57" t="s">
        <v>47</v>
      </c>
      <c r="M3" s="57" t="s">
        <v>49</v>
      </c>
      <c r="N3" s="57" t="s">
        <v>51</v>
      </c>
      <c r="O3" s="57" t="s">
        <v>22</v>
      </c>
      <c r="P3" s="57" t="s">
        <v>5</v>
      </c>
      <c r="Q3" s="57" t="s">
        <v>6</v>
      </c>
      <c r="R3" s="57" t="s">
        <v>7</v>
      </c>
      <c r="S3" s="57" t="s">
        <v>8</v>
      </c>
      <c r="T3" s="57" t="s">
        <v>9</v>
      </c>
      <c r="U3" s="57" t="s">
        <v>10</v>
      </c>
      <c r="V3" s="57" t="s">
        <v>11</v>
      </c>
      <c r="W3" s="57" t="s">
        <v>12</v>
      </c>
      <c r="X3" s="57" t="s">
        <v>37</v>
      </c>
      <c r="Y3" s="57" t="s">
        <v>39</v>
      </c>
      <c r="Z3" s="57" t="s">
        <v>41</v>
      </c>
      <c r="AA3" s="57" t="s">
        <v>43</v>
      </c>
      <c r="AB3" s="57" t="s">
        <v>45</v>
      </c>
      <c r="AC3" s="57" t="s">
        <v>53</v>
      </c>
    </row>
    <row r="4" spans="1:29" x14ac:dyDescent="0.15">
      <c r="A4" s="60" t="s">
        <v>130</v>
      </c>
      <c r="B4" s="56" t="s">
        <v>111</v>
      </c>
      <c r="C4" s="56">
        <f>floors!C$2</f>
        <v>30015</v>
      </c>
      <c r="D4" s="56" t="s">
        <v>107</v>
      </c>
      <c r="E4" s="55" t="str">
        <f>B4&amp;C4&amp;D4</f>
        <v>enemy_habitat_S_30015.tmp</v>
      </c>
      <c r="F4" s="56" t="s">
        <v>112</v>
      </c>
      <c r="G4" s="57" t="s">
        <v>0</v>
      </c>
      <c r="H4" s="57" t="s">
        <v>1</v>
      </c>
      <c r="I4" s="57" t="s">
        <v>13</v>
      </c>
      <c r="J4" s="57" t="s">
        <v>53</v>
      </c>
      <c r="K4" s="57" t="s">
        <v>54</v>
      </c>
      <c r="L4" s="57" t="s">
        <v>55</v>
      </c>
      <c r="M4" s="57" t="s">
        <v>56</v>
      </c>
      <c r="N4" s="57" t="s">
        <v>57</v>
      </c>
      <c r="O4" s="57" t="s">
        <v>58</v>
      </c>
      <c r="P4" s="57" t="s">
        <v>48</v>
      </c>
      <c r="Q4" s="57" t="s">
        <v>50</v>
      </c>
      <c r="R4" s="57" t="s">
        <v>52</v>
      </c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</row>
    <row r="5" spans="1:29" x14ac:dyDescent="0.15">
      <c r="A5" s="60" t="s">
        <v>130</v>
      </c>
      <c r="B5" s="56" t="s">
        <v>113</v>
      </c>
      <c r="C5" s="56">
        <f>floors!C$2</f>
        <v>30015</v>
      </c>
      <c r="D5" s="56" t="s">
        <v>107</v>
      </c>
      <c r="E5" s="55" t="str">
        <f>B5&amp;C5&amp;D5</f>
        <v>enemy_skill_sets_30015.tmp</v>
      </c>
      <c r="F5" s="56" t="s">
        <v>114</v>
      </c>
      <c r="G5" s="58" t="s">
        <v>22</v>
      </c>
      <c r="H5" s="58" t="s">
        <v>99</v>
      </c>
      <c r="I5" s="58" t="s">
        <v>94</v>
      </c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</row>
    <row r="6" spans="1:29" x14ac:dyDescent="0.15">
      <c r="A6" s="60" t="s">
        <v>130</v>
      </c>
      <c r="B6" s="56" t="s">
        <v>115</v>
      </c>
      <c r="C6" s="56">
        <f>floors!C$2</f>
        <v>30015</v>
      </c>
      <c r="D6" s="56" t="s">
        <v>116</v>
      </c>
      <c r="E6" s="55" t="str">
        <f t="shared" ref="E6:E8" si="0">B6&amp;C6&amp;D6</f>
        <v>enemy_skills_tmp_30015.tmp</v>
      </c>
      <c r="F6" s="56" t="s">
        <v>90</v>
      </c>
      <c r="G6" s="57" t="s">
        <v>78</v>
      </c>
      <c r="H6" s="57" t="s">
        <v>79</v>
      </c>
      <c r="I6" s="57" t="s">
        <v>80</v>
      </c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</row>
    <row r="7" spans="1:29" x14ac:dyDescent="0.15">
      <c r="A7" s="60" t="s">
        <v>130</v>
      </c>
      <c r="B7" s="56" t="s">
        <v>117</v>
      </c>
      <c r="C7" s="56">
        <f>floors!C$2</f>
        <v>30015</v>
      </c>
      <c r="D7" s="56" t="s">
        <v>107</v>
      </c>
      <c r="E7" s="55" t="str">
        <f>B7&amp;C7&amp;D7</f>
        <v>enemy_skills_i18n_30015.tmp</v>
      </c>
      <c r="F7" s="56" t="s">
        <v>118</v>
      </c>
      <c r="G7" s="57" t="s">
        <v>78</v>
      </c>
      <c r="H7" s="57" t="s">
        <v>91</v>
      </c>
      <c r="I7" s="57" t="s">
        <v>92</v>
      </c>
      <c r="J7" s="57" t="s">
        <v>93</v>
      </c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</row>
    <row r="8" spans="1:29" x14ac:dyDescent="0.15">
      <c r="A8" s="60" t="s">
        <v>130</v>
      </c>
      <c r="B8" s="56" t="s">
        <v>119</v>
      </c>
      <c r="C8" s="56">
        <f>floors!C$2</f>
        <v>30015</v>
      </c>
      <c r="D8" s="56" t="s">
        <v>120</v>
      </c>
      <c r="E8" s="55" t="str">
        <f t="shared" si="0"/>
        <v>enemy_skill_triggers_30015.tmp</v>
      </c>
      <c r="F8" s="56" t="s">
        <v>121</v>
      </c>
      <c r="G8" s="57" t="s">
        <v>94</v>
      </c>
      <c r="H8" s="57" t="s">
        <v>95</v>
      </c>
      <c r="I8" s="57" t="s">
        <v>96</v>
      </c>
      <c r="J8" s="57" t="s">
        <v>97</v>
      </c>
      <c r="K8" s="57" t="s">
        <v>122</v>
      </c>
      <c r="L8" s="57" t="s">
        <v>98</v>
      </c>
      <c r="M8" s="57" t="s">
        <v>123</v>
      </c>
      <c r="N8" s="57" t="s">
        <v>124</v>
      </c>
      <c r="O8" s="57" t="s">
        <v>125</v>
      </c>
      <c r="P8" s="57" t="s">
        <v>66</v>
      </c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</row>
  </sheetData>
  <phoneticPr fontId="3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1"/>
  <sheetViews>
    <sheetView showGridLines="0" workbookViewId="0">
      <pane ySplit="1" topLeftCell="A2" activePane="bottomLeft" state="frozen"/>
      <selection activeCell="V2" sqref="V2:X34"/>
      <selection pane="bottomLeft" activeCell="G22" sqref="G22"/>
    </sheetView>
  </sheetViews>
  <sheetFormatPr baseColWidth="12" defaultColWidth="13" defaultRowHeight="21" customHeight="1" outlineLevelCol="1" x14ac:dyDescent="0.15"/>
  <cols>
    <col min="1" max="1" width="8.83203125" style="18" bestFit="1" customWidth="1"/>
    <col min="2" max="2" width="5" style="18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8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4" t="s">
        <v>30</v>
      </c>
      <c r="B1" s="14" t="s">
        <v>36</v>
      </c>
      <c r="C1" s="1" t="s">
        <v>0</v>
      </c>
      <c r="D1" s="2" t="s">
        <v>18</v>
      </c>
      <c r="E1" s="13" t="s">
        <v>33</v>
      </c>
      <c r="F1" s="1" t="s">
        <v>1</v>
      </c>
      <c r="G1" s="22" t="s">
        <v>32</v>
      </c>
      <c r="H1" s="13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4" t="str">
        <f>G2&amp;"-"&amp;I2</f>
        <v>30015_1-1</v>
      </c>
      <c r="B2" s="14" t="str">
        <f>IF(COUNTIF(enemy_habitats!$H:$H,A2),"OK","NG")</f>
        <v>OK</v>
      </c>
      <c r="C2" s="6">
        <v>30015</v>
      </c>
      <c r="D2" s="9" t="str">
        <f ca="1">VLOOKUP($C2,OFFSET([2]quests!$A$1,0,0,COUNTA([2]quests!$A:$A),MATCH(D$1,[2]quests!$1:$1,0)-MATCH($C$1,[2]quests!$1:$1,0)+1),MATCH(D$1,[2]quests!$1:$1,0)-MATCH($C$1,[2]quests!$1:$1,0)+1,FALSE)</f>
        <v>兄妹の大冒険</v>
      </c>
      <c r="E2" s="17" t="str">
        <f ca="1">VLOOKUP($C2,OFFSET([2]quests!$A$1,0,0,COUNTA([2]quests!$A:$A),MATCH(E$1,[2]quests!$1:$1,0)-MATCH($C$1,[2]quests!$1:$1,0)+1),MATCH(E$1,[2]quests!$1:$1,0)-MATCH($C$1,[2]quests!$1:$1,0)+1,FALSE)</f>
        <v>ドロップイベント4（マルチ専用）</v>
      </c>
      <c r="F2" s="20">
        <v>1</v>
      </c>
      <c r="G2" s="22" t="str">
        <f>C2&amp;"_"&amp;F2</f>
        <v>30015_1</v>
      </c>
      <c r="H2" s="13" t="str">
        <f ca="1">VLOOKUP($G2,OFFSET([2]stages!$A$1,0,0,COUNTA([2]stages!$A:$A),MATCH(H$1,[2]stages!$2:$2,0)-MATCH($G$1,[2]stages!$2:$2,0)+1),MATCH(H$1,[2]stages!$2:$2,0)-MATCH($G$1,[2]stages!$2:$2,0)+1,FALSE)</f>
        <v>【超級】兄妹の大冒険</v>
      </c>
      <c r="I2" s="20">
        <v>1</v>
      </c>
      <c r="J2" s="10">
        <v>30</v>
      </c>
      <c r="K2" s="10">
        <v>30</v>
      </c>
    </row>
    <row r="3" spans="1:11" ht="21" customHeight="1" x14ac:dyDescent="0.15">
      <c r="A3" s="14" t="str">
        <f t="shared" ref="A3:A6" si="0">G3&amp;"-"&amp;I3</f>
        <v>30015_1-2</v>
      </c>
      <c r="B3" s="14" t="str">
        <f>IF(COUNTIF(enemy_habitats!$H:$H,A3),"OK","NG")</f>
        <v>OK</v>
      </c>
      <c r="C3" s="6">
        <v>30015</v>
      </c>
      <c r="D3" s="9" t="str">
        <f ca="1">VLOOKUP($C3,OFFSET([2]quests!$A$1,0,0,COUNTA([2]quests!$A:$A),MATCH(D$1,[2]quests!$1:$1,0)-MATCH($C$1,[2]quests!$1:$1,0)+1),MATCH(D$1,[2]quests!$1:$1,0)-MATCH($C$1,[2]quests!$1:$1,0)+1,FALSE)</f>
        <v>兄妹の大冒険</v>
      </c>
      <c r="E3" s="17" t="str">
        <f ca="1">VLOOKUP($C3,OFFSET([2]quests!$A$1,0,0,COUNTA([2]quests!$A:$A),MATCH(E$1,[2]quests!$1:$1,0)-MATCH($C$1,[2]quests!$1:$1,0)+1),MATCH(E$1,[2]quests!$1:$1,0)-MATCH($C$1,[2]quests!$1:$1,0)+1,FALSE)</f>
        <v>ドロップイベント4（マルチ専用）</v>
      </c>
      <c r="F3" s="20">
        <v>1</v>
      </c>
      <c r="G3" s="22" t="str">
        <f t="shared" ref="G3:G6" si="1">C3&amp;"_"&amp;F3</f>
        <v>30015_1</v>
      </c>
      <c r="H3" s="13" t="str">
        <f ca="1">VLOOKUP($G3,OFFSET([2]stages!$A$1,0,0,COUNTA([2]stages!$A:$A),MATCH(H$1,[2]stages!$2:$2,0)-MATCH($G$1,[2]stages!$2:$2,0)+1),MATCH(H$1,[2]stages!$2:$2,0)-MATCH($G$1,[2]stages!$2:$2,0)+1,FALSE)</f>
        <v>【超級】兄妹の大冒険</v>
      </c>
      <c r="I3" s="20">
        <v>2</v>
      </c>
      <c r="J3" s="10">
        <v>30</v>
      </c>
      <c r="K3" s="10">
        <v>30</v>
      </c>
    </row>
    <row r="4" spans="1:11" ht="21" customHeight="1" x14ac:dyDescent="0.15">
      <c r="A4" s="14" t="str">
        <f t="shared" si="0"/>
        <v>30015_1-3</v>
      </c>
      <c r="B4" s="14" t="str">
        <f>IF(COUNTIF(enemy_habitats!$H:$H,A4),"OK","NG")</f>
        <v>OK</v>
      </c>
      <c r="C4" s="6">
        <v>30015</v>
      </c>
      <c r="D4" s="9" t="str">
        <f ca="1">VLOOKUP($C4,OFFSET([2]quests!$A$1,0,0,COUNTA([2]quests!$A:$A),MATCH(D$1,[2]quests!$1:$1,0)-MATCH($C$1,[2]quests!$1:$1,0)+1),MATCH(D$1,[2]quests!$1:$1,0)-MATCH($C$1,[2]quests!$1:$1,0)+1,FALSE)</f>
        <v>兄妹の大冒険</v>
      </c>
      <c r="E4" s="17" t="str">
        <f ca="1">VLOOKUP($C4,OFFSET([2]quests!$A$1,0,0,COUNTA([2]quests!$A:$A),MATCH(E$1,[2]quests!$1:$1,0)-MATCH($C$1,[2]quests!$1:$1,0)+1),MATCH(E$1,[2]quests!$1:$1,0)-MATCH($C$1,[2]quests!$1:$1,0)+1,FALSE)</f>
        <v>ドロップイベント4（マルチ専用）</v>
      </c>
      <c r="F4" s="20">
        <v>1</v>
      </c>
      <c r="G4" s="22" t="str">
        <f t="shared" si="1"/>
        <v>30015_1</v>
      </c>
      <c r="H4" s="13" t="str">
        <f ca="1">VLOOKUP($G4,OFFSET([2]stages!$A$1,0,0,COUNTA([2]stages!$A:$A),MATCH(H$1,[2]stages!$2:$2,0)-MATCH($G$1,[2]stages!$2:$2,0)+1),MATCH(H$1,[2]stages!$2:$2,0)-MATCH($G$1,[2]stages!$2:$2,0)+1,FALSE)</f>
        <v>【超級】兄妹の大冒険</v>
      </c>
      <c r="I4" s="20">
        <v>3</v>
      </c>
      <c r="J4" s="10">
        <v>60</v>
      </c>
      <c r="K4" s="10">
        <v>60</v>
      </c>
    </row>
    <row r="5" spans="1:11" ht="21" customHeight="1" x14ac:dyDescent="0.15">
      <c r="A5" s="14" t="str">
        <f t="shared" si="0"/>
        <v>30015_1-4</v>
      </c>
      <c r="B5" s="14" t="str">
        <f>IF(COUNTIF(enemy_habitats!$H:$H,A5),"OK","NG")</f>
        <v>OK</v>
      </c>
      <c r="C5" s="6">
        <v>30015</v>
      </c>
      <c r="D5" s="9" t="str">
        <f ca="1">VLOOKUP($C5,OFFSET([2]quests!$A$1,0,0,COUNTA([2]quests!$A:$A),MATCH(D$1,[2]quests!$1:$1,0)-MATCH($C$1,[2]quests!$1:$1,0)+1),MATCH(D$1,[2]quests!$1:$1,0)-MATCH($C$1,[2]quests!$1:$1,0)+1,FALSE)</f>
        <v>兄妹の大冒険</v>
      </c>
      <c r="E5" s="17" t="str">
        <f ca="1">VLOOKUP($C5,OFFSET([2]quests!$A$1,0,0,COUNTA([2]quests!$A:$A),MATCH(E$1,[2]quests!$1:$1,0)-MATCH($C$1,[2]quests!$1:$1,0)+1),MATCH(E$1,[2]quests!$1:$1,0)-MATCH($C$1,[2]quests!$1:$1,0)+1,FALSE)</f>
        <v>ドロップイベント4（マルチ専用）</v>
      </c>
      <c r="F5" s="20">
        <v>1</v>
      </c>
      <c r="G5" s="22" t="str">
        <f t="shared" si="1"/>
        <v>30015_1</v>
      </c>
      <c r="H5" s="13" t="str">
        <f ca="1">VLOOKUP($G5,OFFSET([2]stages!$A$1,0,0,COUNTA([2]stages!$A:$A),MATCH(H$1,[2]stages!$2:$2,0)-MATCH($G$1,[2]stages!$2:$2,0)+1),MATCH(H$1,[2]stages!$2:$2,0)-MATCH($G$1,[2]stages!$2:$2,0)+1,FALSE)</f>
        <v>【超級】兄妹の大冒険</v>
      </c>
      <c r="I5" s="20">
        <v>4</v>
      </c>
      <c r="J5" s="10">
        <v>45</v>
      </c>
      <c r="K5" s="10">
        <v>45</v>
      </c>
    </row>
    <row r="6" spans="1:11" ht="21" customHeight="1" x14ac:dyDescent="0.15">
      <c r="A6" s="14" t="str">
        <f t="shared" si="0"/>
        <v>30015_1-5</v>
      </c>
      <c r="B6" s="14" t="str">
        <f>IF(COUNTIF(enemy_habitats!$H:$H,A6),"OK","NG")</f>
        <v>OK</v>
      </c>
      <c r="C6" s="6">
        <v>30015</v>
      </c>
      <c r="D6" s="9" t="str">
        <f ca="1">VLOOKUP($C6,OFFSET([2]quests!$A$1,0,0,COUNTA([2]quests!$A:$A),MATCH(D$1,[2]quests!$1:$1,0)-MATCH($C$1,[2]quests!$1:$1,0)+1),MATCH(D$1,[2]quests!$1:$1,0)-MATCH($C$1,[2]quests!$1:$1,0)+1,FALSE)</f>
        <v>兄妹の大冒険</v>
      </c>
      <c r="E6" s="17" t="str">
        <f ca="1">VLOOKUP($C6,OFFSET([2]quests!$A$1,0,0,COUNTA([2]quests!$A:$A),MATCH(E$1,[2]quests!$1:$1,0)-MATCH($C$1,[2]quests!$1:$1,0)+1),MATCH(E$1,[2]quests!$1:$1,0)-MATCH($C$1,[2]quests!$1:$1,0)+1,FALSE)</f>
        <v>ドロップイベント4（マルチ専用）</v>
      </c>
      <c r="F6" s="20">
        <v>1</v>
      </c>
      <c r="G6" s="22" t="str">
        <f t="shared" si="1"/>
        <v>30015_1</v>
      </c>
      <c r="H6" s="13" t="str">
        <f ca="1">VLOOKUP($G6,OFFSET([2]stages!$A$1,0,0,COUNTA([2]stages!$A:$A),MATCH(H$1,[2]stages!$2:$2,0)-MATCH($G$1,[2]stages!$2:$2,0)+1),MATCH(H$1,[2]stages!$2:$2,0)-MATCH($G$1,[2]stages!$2:$2,0)+1,FALSE)</f>
        <v>【超級】兄妹の大冒険</v>
      </c>
      <c r="I6" s="20">
        <v>5</v>
      </c>
      <c r="J6" s="10">
        <v>60</v>
      </c>
      <c r="K6" s="10">
        <v>60</v>
      </c>
    </row>
    <row r="7" spans="1:11" ht="21" customHeight="1" x14ac:dyDescent="0.15">
      <c r="A7" s="14" t="str">
        <f>G7&amp;"-"&amp;I7</f>
        <v>30015_2-1</v>
      </c>
      <c r="B7" s="14" t="str">
        <f>IF(COUNTIF(enemy_habitats!$H:$H,A7),"OK","NG")</f>
        <v>OK</v>
      </c>
      <c r="C7" s="6">
        <v>30015</v>
      </c>
      <c r="D7" s="9" t="str">
        <f ca="1">VLOOKUP($C7,OFFSET([2]quests!$A$1,0,0,COUNTA([2]quests!$A:$A),MATCH(D$1,[2]quests!$1:$1,0)-MATCH($C$1,[2]quests!$1:$1,0)+1),MATCH(D$1,[2]quests!$1:$1,0)-MATCH($C$1,[2]quests!$1:$1,0)+1,FALSE)</f>
        <v>兄妹の大冒険</v>
      </c>
      <c r="E7" s="17" t="str">
        <f ca="1">VLOOKUP($C7,OFFSET([2]quests!$A$1,0,0,COUNTA([2]quests!$A:$A),MATCH(E$1,[2]quests!$1:$1,0)-MATCH($C$1,[2]quests!$1:$1,0)+1),MATCH(E$1,[2]quests!$1:$1,0)-MATCH($C$1,[2]quests!$1:$1,0)+1,FALSE)</f>
        <v>ドロップイベント4（マルチ専用）</v>
      </c>
      <c r="F7" s="20">
        <v>2</v>
      </c>
      <c r="G7" s="22" t="str">
        <f>C7&amp;"_"&amp;F7</f>
        <v>30015_2</v>
      </c>
      <c r="H7" s="13" t="str">
        <f ca="1">VLOOKUP($G7,OFFSET([2]stages!$A$1,0,0,COUNTA([2]stages!$A:$A),MATCH(H$1,[2]stages!$2:$2,0)-MATCH($G$1,[2]stages!$2:$2,0)+1),MATCH(H$1,[2]stages!$2:$2,0)-MATCH($G$1,[2]stages!$2:$2,0)+1,FALSE)</f>
        <v>【超絶級】兄妹の大冒険</v>
      </c>
      <c r="I7" s="20">
        <v>1</v>
      </c>
      <c r="J7" s="10">
        <v>30</v>
      </c>
      <c r="K7" s="10">
        <v>30</v>
      </c>
    </row>
    <row r="8" spans="1:11" ht="21" customHeight="1" x14ac:dyDescent="0.15">
      <c r="A8" s="14" t="str">
        <f t="shared" ref="A8:A11" si="2">G8&amp;"-"&amp;I8</f>
        <v>30015_2-2</v>
      </c>
      <c r="B8" s="14" t="str">
        <f>IF(COUNTIF(enemy_habitats!$H:$H,A8),"OK","NG")</f>
        <v>OK</v>
      </c>
      <c r="C8" s="6">
        <v>30015</v>
      </c>
      <c r="D8" s="9" t="str">
        <f ca="1">VLOOKUP($C8,OFFSET([2]quests!$A$1,0,0,COUNTA([2]quests!$A:$A),MATCH(D$1,[2]quests!$1:$1,0)-MATCH($C$1,[2]quests!$1:$1,0)+1),MATCH(D$1,[2]quests!$1:$1,0)-MATCH($C$1,[2]quests!$1:$1,0)+1,FALSE)</f>
        <v>兄妹の大冒険</v>
      </c>
      <c r="E8" s="17" t="str">
        <f ca="1">VLOOKUP($C8,OFFSET([2]quests!$A$1,0,0,COUNTA([2]quests!$A:$A),MATCH(E$1,[2]quests!$1:$1,0)-MATCH($C$1,[2]quests!$1:$1,0)+1),MATCH(E$1,[2]quests!$1:$1,0)-MATCH($C$1,[2]quests!$1:$1,0)+1,FALSE)</f>
        <v>ドロップイベント4（マルチ専用）</v>
      </c>
      <c r="F8" s="20">
        <v>2</v>
      </c>
      <c r="G8" s="22" t="str">
        <f t="shared" ref="G8:G11" si="3">C8&amp;"_"&amp;F8</f>
        <v>30015_2</v>
      </c>
      <c r="H8" s="13" t="str">
        <f ca="1">VLOOKUP($G8,OFFSET([2]stages!$A$1,0,0,COUNTA([2]stages!$A:$A),MATCH(H$1,[2]stages!$2:$2,0)-MATCH($G$1,[2]stages!$2:$2,0)+1),MATCH(H$1,[2]stages!$2:$2,0)-MATCH($G$1,[2]stages!$2:$2,0)+1,FALSE)</f>
        <v>【超絶級】兄妹の大冒険</v>
      </c>
      <c r="I8" s="20">
        <v>2</v>
      </c>
      <c r="J8" s="10">
        <v>50</v>
      </c>
      <c r="K8" s="10">
        <v>50</v>
      </c>
    </row>
    <row r="9" spans="1:11" ht="21" customHeight="1" x14ac:dyDescent="0.15">
      <c r="A9" s="14" t="str">
        <f t="shared" si="2"/>
        <v>30015_2-3</v>
      </c>
      <c r="B9" s="14" t="str">
        <f>IF(COUNTIF(enemy_habitats!$H:$H,A9),"OK","NG")</f>
        <v>OK</v>
      </c>
      <c r="C9" s="6">
        <v>30015</v>
      </c>
      <c r="D9" s="9" t="str">
        <f ca="1">VLOOKUP($C9,OFFSET([2]quests!$A$1,0,0,COUNTA([2]quests!$A:$A),MATCH(D$1,[2]quests!$1:$1,0)-MATCH($C$1,[2]quests!$1:$1,0)+1),MATCH(D$1,[2]quests!$1:$1,0)-MATCH($C$1,[2]quests!$1:$1,0)+1,FALSE)</f>
        <v>兄妹の大冒険</v>
      </c>
      <c r="E9" s="17" t="str">
        <f ca="1">VLOOKUP($C9,OFFSET([2]quests!$A$1,0,0,COUNTA([2]quests!$A:$A),MATCH(E$1,[2]quests!$1:$1,0)-MATCH($C$1,[2]quests!$1:$1,0)+1),MATCH(E$1,[2]quests!$1:$1,0)-MATCH($C$1,[2]quests!$1:$1,0)+1,FALSE)</f>
        <v>ドロップイベント4（マルチ専用）</v>
      </c>
      <c r="F9" s="20">
        <v>2</v>
      </c>
      <c r="G9" s="22" t="str">
        <f t="shared" si="3"/>
        <v>30015_2</v>
      </c>
      <c r="H9" s="13" t="str">
        <f ca="1">VLOOKUP($G9,OFFSET([2]stages!$A$1,0,0,COUNTA([2]stages!$A:$A),MATCH(H$1,[2]stages!$2:$2,0)-MATCH($G$1,[2]stages!$2:$2,0)+1),MATCH(H$1,[2]stages!$2:$2,0)-MATCH($G$1,[2]stages!$2:$2,0)+1,FALSE)</f>
        <v>【超絶級】兄妹の大冒険</v>
      </c>
      <c r="I9" s="20">
        <v>3</v>
      </c>
      <c r="J9" s="10">
        <v>60</v>
      </c>
      <c r="K9" s="10">
        <v>60</v>
      </c>
    </row>
    <row r="10" spans="1:11" ht="21" customHeight="1" x14ac:dyDescent="0.15">
      <c r="A10" s="14" t="str">
        <f t="shared" si="2"/>
        <v>30015_2-4</v>
      </c>
      <c r="B10" s="14" t="str">
        <f>IF(COUNTIF(enemy_habitats!$H:$H,A10),"OK","NG")</f>
        <v>OK</v>
      </c>
      <c r="C10" s="6">
        <v>30015</v>
      </c>
      <c r="D10" s="9" t="str">
        <f ca="1">VLOOKUP($C10,OFFSET([2]quests!$A$1,0,0,COUNTA([2]quests!$A:$A),MATCH(D$1,[2]quests!$1:$1,0)-MATCH($C$1,[2]quests!$1:$1,0)+1),MATCH(D$1,[2]quests!$1:$1,0)-MATCH($C$1,[2]quests!$1:$1,0)+1,FALSE)</f>
        <v>兄妹の大冒険</v>
      </c>
      <c r="E10" s="17" t="str">
        <f ca="1">VLOOKUP($C10,OFFSET([2]quests!$A$1,0,0,COUNTA([2]quests!$A:$A),MATCH(E$1,[2]quests!$1:$1,0)-MATCH($C$1,[2]quests!$1:$1,0)+1),MATCH(E$1,[2]quests!$1:$1,0)-MATCH($C$1,[2]quests!$1:$1,0)+1,FALSE)</f>
        <v>ドロップイベント4（マルチ専用）</v>
      </c>
      <c r="F10" s="20">
        <v>2</v>
      </c>
      <c r="G10" s="22" t="str">
        <f t="shared" si="3"/>
        <v>30015_2</v>
      </c>
      <c r="H10" s="13" t="str">
        <f ca="1">VLOOKUP($G10,OFFSET([2]stages!$A$1,0,0,COUNTA([2]stages!$A:$A),MATCH(H$1,[2]stages!$2:$2,0)-MATCH($G$1,[2]stages!$2:$2,0)+1),MATCH(H$1,[2]stages!$2:$2,0)-MATCH($G$1,[2]stages!$2:$2,0)+1,FALSE)</f>
        <v>【超絶級】兄妹の大冒険</v>
      </c>
      <c r="I10" s="20">
        <v>4</v>
      </c>
      <c r="J10" s="10">
        <v>30</v>
      </c>
      <c r="K10" s="10">
        <v>30</v>
      </c>
    </row>
    <row r="11" spans="1:11" ht="21" customHeight="1" x14ac:dyDescent="0.15">
      <c r="A11" s="14" t="str">
        <f t="shared" si="2"/>
        <v>30015_2-5</v>
      </c>
      <c r="B11" s="14" t="str">
        <f>IF(COUNTIF(enemy_habitats!$H:$H,A11),"OK","NG")</f>
        <v>OK</v>
      </c>
      <c r="C11" s="6">
        <v>30015</v>
      </c>
      <c r="D11" s="9" t="str">
        <f ca="1">VLOOKUP($C11,OFFSET([2]quests!$A$1,0,0,COUNTA([2]quests!$A:$A),MATCH(D$1,[2]quests!$1:$1,0)-MATCH($C$1,[2]quests!$1:$1,0)+1),MATCH(D$1,[2]quests!$1:$1,0)-MATCH($C$1,[2]quests!$1:$1,0)+1,FALSE)</f>
        <v>兄妹の大冒険</v>
      </c>
      <c r="E11" s="17" t="str">
        <f ca="1">VLOOKUP($C11,OFFSET([2]quests!$A$1,0,0,COUNTA([2]quests!$A:$A),MATCH(E$1,[2]quests!$1:$1,0)-MATCH($C$1,[2]quests!$1:$1,0)+1),MATCH(E$1,[2]quests!$1:$1,0)-MATCH($C$1,[2]quests!$1:$1,0)+1,FALSE)</f>
        <v>ドロップイベント4（マルチ専用）</v>
      </c>
      <c r="F11" s="20">
        <v>2</v>
      </c>
      <c r="G11" s="22" t="str">
        <f t="shared" si="3"/>
        <v>30015_2</v>
      </c>
      <c r="H11" s="13" t="str">
        <f ca="1">VLOOKUP($G11,OFFSET([2]stages!$A$1,0,0,COUNTA([2]stages!$A:$A),MATCH(H$1,[2]stages!$2:$2,0)-MATCH($G$1,[2]stages!$2:$2,0)+1),MATCH(H$1,[2]stages!$2:$2,0)-MATCH($G$1,[2]stages!$2:$2,0)+1,FALSE)</f>
        <v>【超絶級】兄妹の大冒険</v>
      </c>
      <c r="I11" s="20">
        <v>5</v>
      </c>
      <c r="J11" s="10">
        <v>60</v>
      </c>
      <c r="K11" s="10">
        <v>60</v>
      </c>
    </row>
  </sheetData>
  <sheetProtection selectLockedCells="1" selectUnlockedCells="1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M27"/>
  <sheetViews>
    <sheetView showGridLines="0" tabSelected="1" workbookViewId="0">
      <pane xSplit="17" ySplit="1" topLeftCell="AG2" activePane="bottomRight" state="frozen"/>
      <selection pane="topRight" activeCell="N1" sqref="N1"/>
      <selection pane="bottomLeft" activeCell="A2" sqref="A2"/>
      <selection pane="bottomRight" activeCell="E30" sqref="E30"/>
    </sheetView>
  </sheetViews>
  <sheetFormatPr baseColWidth="12" defaultColWidth="13" defaultRowHeight="21" customHeight="1" outlineLevelCol="1" x14ac:dyDescent="0.15"/>
  <cols>
    <col min="1" max="1" width="15.83203125" style="18" bestFit="1" customWidth="1"/>
    <col min="2" max="2" width="10.83203125" style="3" bestFit="1" customWidth="1"/>
    <col min="3" max="3" width="10.6640625" style="3" bestFit="1" customWidth="1"/>
    <col min="4" max="4" width="13" style="12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7" bestFit="1" customWidth="1"/>
    <col min="13" max="13" width="19.16406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2.1640625" style="3" customWidth="1"/>
    <col min="23" max="23" width="10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1" bestFit="1" customWidth="1" outlineLevel="1"/>
    <col min="30" max="30" width="8" style="12" bestFit="1" customWidth="1" outlineLevel="1"/>
    <col min="31" max="31" width="12" style="12" bestFit="1" customWidth="1" outlineLevel="1"/>
    <col min="32" max="32" width="15" style="8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39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20</v>
      </c>
      <c r="F1" s="29" t="s">
        <v>20</v>
      </c>
      <c r="G1" s="27" t="s">
        <v>19</v>
      </c>
      <c r="H1" s="28" t="s">
        <v>35</v>
      </c>
      <c r="I1" s="28" t="s">
        <v>14</v>
      </c>
      <c r="J1" s="28" t="s">
        <v>15</v>
      </c>
      <c r="K1" s="35" t="s">
        <v>53</v>
      </c>
      <c r="L1" s="36" t="s">
        <v>2</v>
      </c>
      <c r="M1" s="30" t="s">
        <v>21</v>
      </c>
      <c r="N1" s="28" t="s">
        <v>24</v>
      </c>
      <c r="O1" s="28" t="s">
        <v>23</v>
      </c>
      <c r="P1" s="31" t="s">
        <v>26</v>
      </c>
      <c r="Q1" s="29" t="s">
        <v>25</v>
      </c>
      <c r="R1" s="27" t="s">
        <v>3</v>
      </c>
      <c r="S1" s="25" t="s">
        <v>48</v>
      </c>
      <c r="T1" s="25" t="s">
        <v>50</v>
      </c>
      <c r="U1" s="25" t="s">
        <v>52</v>
      </c>
      <c r="V1" s="27" t="s">
        <v>4</v>
      </c>
      <c r="W1" s="28" t="s">
        <v>31</v>
      </c>
      <c r="X1" s="27" t="s">
        <v>5</v>
      </c>
      <c r="Y1" s="27" t="s">
        <v>6</v>
      </c>
      <c r="Z1" s="27" t="s">
        <v>7</v>
      </c>
      <c r="AA1" s="27" t="s">
        <v>8</v>
      </c>
      <c r="AB1" s="32" t="s">
        <v>9</v>
      </c>
      <c r="AC1" s="33" t="s">
        <v>16</v>
      </c>
      <c r="AD1" s="33" t="s">
        <v>17</v>
      </c>
      <c r="AE1" s="33" t="s">
        <v>27</v>
      </c>
      <c r="AF1" s="32" t="s">
        <v>10</v>
      </c>
      <c r="AG1" s="27" t="s">
        <v>11</v>
      </c>
      <c r="AH1" s="27" t="s">
        <v>12</v>
      </c>
      <c r="AI1" s="27" t="s">
        <v>38</v>
      </c>
      <c r="AJ1" s="27" t="s">
        <v>40</v>
      </c>
      <c r="AK1" s="27" t="s">
        <v>42</v>
      </c>
      <c r="AL1" s="27" t="s">
        <v>44</v>
      </c>
      <c r="AM1" s="27" t="s">
        <v>46</v>
      </c>
    </row>
    <row r="2" spans="1:39" ht="21" customHeight="1" x14ac:dyDescent="0.15">
      <c r="A2" s="14" t="str">
        <f ca="1">B2&amp;"_"&amp;C2&amp;"-"&amp;G2&amp;"/"&amp;L2&amp;"&lt;lv"&amp;R2&amp;"&gt;s"&amp;AA2</f>
        <v>30015_1-1/5&lt;lv55&gt;s3</v>
      </c>
      <c r="B2" s="71">
        <v>30015</v>
      </c>
      <c r="C2" s="72">
        <v>1</v>
      </c>
      <c r="D2" s="2" t="str">
        <f>B2&amp;"_"&amp;C2</f>
        <v>30015_1</v>
      </c>
      <c r="E2" s="4" t="str">
        <f ca="1">VLOOKUP($B2,OFFSET([2]quests!$A$1,0,0,COUNTA([2]quests!$A:$A),MATCH(E$1,[2]quests!$1:$1,0)-MATCH($B$1,[2]quests!$1:$1,0)+1),MATCH(E$1,[2]quests!$1:$1,0)-MATCH($B$1,[2]quests!$1:$1,0)+1,FALSE)</f>
        <v>兄妹の大冒険</v>
      </c>
      <c r="F2" s="4" t="str">
        <f ca="1">VLOOKUP($D2,OFFSET([2]stages!$A$1,0,0,COUNTA([2]stages!$A:$A),MATCH(F$1,[2]stages!$2:$2,0)-MATCH($D$1,[2]stages!$2:$2,0)+1),MATCH(F$1,[2]stages!$2:$2,0)-MATCH($D$1,[2]stages!$2:$2,0)+1,FALSE)</f>
        <v>【超級】兄妹の大冒険</v>
      </c>
      <c r="G2" s="72">
        <v>1</v>
      </c>
      <c r="H2" s="73" t="str">
        <f>B2&amp;"_"&amp;C2&amp;"-"&amp;G2</f>
        <v>30015_1-1</v>
      </c>
      <c r="I2" s="74">
        <f ca="1">VLOOKUP($H2,OFFSET(floors!$A$1,0,0,COUNTA(floors!$A:$A),MATCH(I$1,floors!$1:$1,0)-MATCH($H$1,floors!$1:$1,0)+1),MATCH(I$1,floors!$1:$1,0)-MATCH($H$1,floors!$1:$1,0)+1,FALSE)</f>
        <v>30</v>
      </c>
      <c r="J2" s="74">
        <f ca="1">VLOOKUP($H2,OFFSET(floors!$A$1,0,0,COUNTA(floors!$A:$A),MATCH(J$1,floors!$1:$1,0)-MATCH($H$1,floors!$1:$1,0)+1),MATCH(J$1,floors!$1:$1,0)-MATCH($H$1,floors!$1:$1,0)+1,FALSE)</f>
        <v>30</v>
      </c>
      <c r="K2" s="75" t="s">
        <v>132</v>
      </c>
      <c r="L2" s="72">
        <v>5</v>
      </c>
      <c r="M2" s="15" t="str">
        <f ca="1">VLOOKUP(L2,[3]enemies!$A:$B,2,FALSE)</f>
        <v>パトドッグ ポチ</v>
      </c>
      <c r="N2" s="17" t="str">
        <f ca="1">VLOOKUP(L2,[3]enemies!$A:$D,4,FALSE)</f>
        <v>blue</v>
      </c>
      <c r="O2" s="17" t="str">
        <f>VLOOKUP(L2,[4]characters!$A:$J,10,FALSE)</f>
        <v>Drop1T</v>
      </c>
      <c r="P2" s="16" t="str">
        <f>VLOOKUP(L2,[4]characters!$A:$M,13,FALSE)</f>
        <v>unknown</v>
      </c>
      <c r="Q2" s="4">
        <f ca="1">VLOOKUP(L2,[3]enemies!$A:$X,24,FALSE)</f>
        <v>15</v>
      </c>
      <c r="R2" s="76">
        <v>55</v>
      </c>
      <c r="S2" s="77">
        <v>2</v>
      </c>
      <c r="T2" s="77">
        <v>1</v>
      </c>
      <c r="U2" s="76">
        <v>0</v>
      </c>
      <c r="V2" s="4">
        <f ca="1">VLOOKUP(L2,[3]enemies!$A:$AB,28,FALSE)</f>
        <v>0</v>
      </c>
      <c r="W2" s="4" t="str">
        <f ca="1">IFERROR(VLOOKUP(V2,[5]enemy_skill_sets!$B:$E,4,FALSE),VLOOKUP(V2,enemy_skill_sets!B:E,4,FALSE))</f>
        <v>なし</v>
      </c>
      <c r="X2" s="78">
        <v>0</v>
      </c>
      <c r="Y2" s="78">
        <v>100</v>
      </c>
      <c r="Z2" s="78">
        <v>0</v>
      </c>
      <c r="AA2" s="4">
        <f ca="1">VLOOKUP(L2,[3]enemies!$A:$V,22,FALSE)</f>
        <v>3</v>
      </c>
      <c r="AB2" s="23">
        <f>L2</f>
        <v>5</v>
      </c>
      <c r="AC2" s="4" t="str">
        <f ca="1">VLOOKUP(AB2,[3]enemies!$A:$B,2,FALSE)</f>
        <v>パトドッグ ポチ</v>
      </c>
      <c r="AD2" s="4">
        <f ca="1">VLOOKUP(AB2,[3]enemies!$A:$E,3,FALSE)</f>
        <v>1</v>
      </c>
      <c r="AE2" s="4" t="str">
        <f>VLOOKUP(AB2,[4]characters!$A:$J,10,FALSE)</f>
        <v>Drop1T</v>
      </c>
      <c r="AF2" s="79">
        <v>1</v>
      </c>
      <c r="AG2" s="23">
        <f ca="1">AD2</f>
        <v>1</v>
      </c>
      <c r="AH2" s="80">
        <v>15</v>
      </c>
      <c r="AI2" s="79">
        <v>0</v>
      </c>
      <c r="AJ2" s="79">
        <v>0</v>
      </c>
      <c r="AK2" s="79">
        <v>0</v>
      </c>
      <c r="AL2" s="79">
        <v>0</v>
      </c>
      <c r="AM2" s="79">
        <v>1</v>
      </c>
    </row>
    <row r="3" spans="1:39" ht="21" customHeight="1" x14ac:dyDescent="0.15">
      <c r="A3" s="14" t="str">
        <f t="shared" ref="A3:A7" ca="1" si="0">B3&amp;"_"&amp;C3&amp;"-"&amp;G3&amp;"/"&amp;L3&amp;"&lt;lv"&amp;R3&amp;"&gt;s"&amp;AA3</f>
        <v>30015_1-1/20&lt;lv55&gt;s3</v>
      </c>
      <c r="B3" s="71">
        <v>30015</v>
      </c>
      <c r="C3" s="72">
        <v>1</v>
      </c>
      <c r="D3" s="2" t="str">
        <f t="shared" ref="D3:D7" si="1">B3&amp;"_"&amp;C3</f>
        <v>30015_1</v>
      </c>
      <c r="E3" s="4" t="str">
        <f ca="1">VLOOKUP($B3,OFFSET([2]quests!$A$1,0,0,COUNTA([2]quests!$A:$A),MATCH(E$1,[2]quests!$1:$1,0)-MATCH($B$1,[2]quests!$1:$1,0)+1),MATCH(E$1,[2]quests!$1:$1,0)-MATCH($B$1,[2]quests!$1:$1,0)+1,FALSE)</f>
        <v>兄妹の大冒険</v>
      </c>
      <c r="F3" s="4" t="str">
        <f ca="1">VLOOKUP($D3,OFFSET([2]stages!$A$1,0,0,COUNTA([2]stages!$A:$A),MATCH(F$1,[2]stages!$2:$2,0)-MATCH($D$1,[2]stages!$2:$2,0)+1),MATCH(F$1,[2]stages!$2:$2,0)-MATCH($D$1,[2]stages!$2:$2,0)+1,FALSE)</f>
        <v>【超級】兄妹の大冒険</v>
      </c>
      <c r="G3" s="72">
        <v>1</v>
      </c>
      <c r="H3" s="73" t="str">
        <f t="shared" ref="H3:H9" si="2">B3&amp;"_"&amp;C3&amp;"-"&amp;G3</f>
        <v>30015_1-1</v>
      </c>
      <c r="I3" s="74">
        <f ca="1">VLOOKUP($H3,OFFSET(floors!$A$1,0,0,COUNTA(floors!$A:$A),MATCH(I$1,floors!$1:$1,0)-MATCH($H$1,floors!$1:$1,0)+1),MATCH(I$1,floors!$1:$1,0)-MATCH($H$1,floors!$1:$1,0)+1,FALSE)</f>
        <v>30</v>
      </c>
      <c r="J3" s="74">
        <f ca="1">VLOOKUP($H3,OFFSET(floors!$A$1,0,0,COUNTA(floors!$A:$A),MATCH(J$1,floors!$1:$1,0)-MATCH($H$1,floors!$1:$1,0)+1),MATCH(J$1,floors!$1:$1,0)-MATCH($H$1,floors!$1:$1,0)+1,FALSE)</f>
        <v>30</v>
      </c>
      <c r="K3" s="75" t="s">
        <v>88</v>
      </c>
      <c r="L3" s="72">
        <v>20</v>
      </c>
      <c r="M3" s="15" t="str">
        <f ca="1">VLOOKUP(L3,[3]enemies!$A:$B,2,FALSE)</f>
        <v>電子妖精 ティンク</v>
      </c>
      <c r="N3" s="17" t="str">
        <f ca="1">VLOOKUP(L3,[3]enemies!$A:$D,4,FALSE)</f>
        <v>yellow</v>
      </c>
      <c r="O3" s="17" t="str">
        <f>VLOOKUP(L3,[4]characters!$A:$J,10,FALSE)</f>
        <v>Drop1W</v>
      </c>
      <c r="P3" s="16" t="str">
        <f>VLOOKUP(L3,[4]characters!$A:$M,13,FALSE)</f>
        <v>human</v>
      </c>
      <c r="Q3" s="4">
        <f ca="1">VLOOKUP(L3,[3]enemies!$A:$X,24,FALSE)</f>
        <v>15</v>
      </c>
      <c r="R3" s="76">
        <v>55</v>
      </c>
      <c r="S3" s="77">
        <v>2</v>
      </c>
      <c r="T3" s="77">
        <v>1</v>
      </c>
      <c r="U3" s="76">
        <v>0</v>
      </c>
      <c r="V3" s="4">
        <f ca="1">VLOOKUP(L3,[3]enemies!$A:$AB,28,FALSE)</f>
        <v>0</v>
      </c>
      <c r="W3" s="4" t="str">
        <f ca="1">IFERROR(VLOOKUP(V3,[5]enemy_skill_sets!$B:$E,4,FALSE),VLOOKUP(V3,enemy_skill_sets!B:E,4,FALSE))</f>
        <v>なし</v>
      </c>
      <c r="X3" s="78">
        <v>0</v>
      </c>
      <c r="Y3" s="78">
        <v>100</v>
      </c>
      <c r="Z3" s="78">
        <v>1</v>
      </c>
      <c r="AA3" s="4">
        <f ca="1">VLOOKUP(L3,[3]enemies!$A:$V,22,FALSE)</f>
        <v>3</v>
      </c>
      <c r="AB3" s="23">
        <f t="shared" ref="AB3:AB7" si="3">L3</f>
        <v>20</v>
      </c>
      <c r="AC3" s="4" t="str">
        <f ca="1">VLOOKUP(AB3,[3]enemies!$A:$B,2,FALSE)</f>
        <v>電子妖精 ティンク</v>
      </c>
      <c r="AD3" s="4">
        <f ca="1">VLOOKUP(AB3,[3]enemies!$A:$E,3,FALSE)</f>
        <v>2</v>
      </c>
      <c r="AE3" s="4" t="str">
        <f>VLOOKUP(AB3,[4]characters!$A:$J,10,FALSE)</f>
        <v>Drop1W</v>
      </c>
      <c r="AF3" s="79">
        <v>1</v>
      </c>
      <c r="AG3" s="23">
        <f t="shared" ref="AG3:AG7" ca="1" si="4">AD3</f>
        <v>2</v>
      </c>
      <c r="AH3" s="80">
        <v>15</v>
      </c>
      <c r="AI3" s="79">
        <v>0</v>
      </c>
      <c r="AJ3" s="79">
        <v>0</v>
      </c>
      <c r="AK3" s="79">
        <v>0</v>
      </c>
      <c r="AL3" s="79">
        <v>0</v>
      </c>
      <c r="AM3" s="79">
        <v>1</v>
      </c>
    </row>
    <row r="4" spans="1:39" ht="21" customHeight="1" x14ac:dyDescent="0.15">
      <c r="A4" s="14" t="str">
        <f t="shared" ca="1" si="0"/>
        <v>30015_1-1/26&lt;lv55&gt;s3</v>
      </c>
      <c r="B4" s="71">
        <v>30015</v>
      </c>
      <c r="C4" s="72">
        <v>1</v>
      </c>
      <c r="D4" s="2" t="str">
        <f t="shared" si="1"/>
        <v>30015_1</v>
      </c>
      <c r="E4" s="4" t="str">
        <f ca="1">VLOOKUP($B4,OFFSET([2]quests!$A$1,0,0,COUNTA([2]quests!$A:$A),MATCH(E$1,[2]quests!$1:$1,0)-MATCH($B$1,[2]quests!$1:$1,0)+1),MATCH(E$1,[2]quests!$1:$1,0)-MATCH($B$1,[2]quests!$1:$1,0)+1,FALSE)</f>
        <v>兄妹の大冒険</v>
      </c>
      <c r="F4" s="4" t="str">
        <f ca="1">VLOOKUP($D4,OFFSET([2]stages!$A$1,0,0,COUNTA([2]stages!$A:$A),MATCH(F$1,[2]stages!$2:$2,0)-MATCH($D$1,[2]stages!$2:$2,0)+1),MATCH(F$1,[2]stages!$2:$2,0)-MATCH($D$1,[2]stages!$2:$2,0)+1,FALSE)</f>
        <v>【超級】兄妹の大冒険</v>
      </c>
      <c r="G4" s="72">
        <v>1</v>
      </c>
      <c r="H4" s="73" t="str">
        <f t="shared" si="2"/>
        <v>30015_1-1</v>
      </c>
      <c r="I4" s="74">
        <f ca="1">VLOOKUP($H4,OFFSET(floors!$A$1,0,0,COUNTA(floors!$A:$A),MATCH(I$1,floors!$1:$1,0)-MATCH($H$1,floors!$1:$1,0)+1),MATCH(I$1,floors!$1:$1,0)-MATCH($H$1,floors!$1:$1,0)+1,FALSE)</f>
        <v>30</v>
      </c>
      <c r="J4" s="74">
        <f ca="1">VLOOKUP($H4,OFFSET(floors!$A$1,0,0,COUNTA(floors!$A:$A),MATCH(J$1,floors!$1:$1,0)-MATCH($H$1,floors!$1:$1,0)+1),MATCH(J$1,floors!$1:$1,0)-MATCH($H$1,floors!$1:$1,0)+1,FALSE)</f>
        <v>30</v>
      </c>
      <c r="K4" s="75" t="s">
        <v>133</v>
      </c>
      <c r="L4" s="72">
        <v>26</v>
      </c>
      <c r="M4" s="15" t="str">
        <f ca="1">VLOOKUP(L4,[3]enemies!$A:$B,2,FALSE)</f>
        <v>勇犬 ハチ</v>
      </c>
      <c r="N4" s="17" t="str">
        <f ca="1">VLOOKUP(L4,[3]enemies!$A:$D,4,FALSE)</f>
        <v>blue</v>
      </c>
      <c r="O4" s="17" t="str">
        <f>VLOOKUP(L4,[4]characters!$A:$J,10,FALSE)</f>
        <v>Drop1N</v>
      </c>
      <c r="P4" s="16" t="str">
        <f>VLOOKUP(L4,[4]characters!$A:$M,13,FALSE)</f>
        <v>animal</v>
      </c>
      <c r="Q4" s="4">
        <f ca="1">VLOOKUP(L4,[3]enemies!$A:$X,24,FALSE)</f>
        <v>15</v>
      </c>
      <c r="R4" s="76">
        <v>55</v>
      </c>
      <c r="S4" s="77">
        <v>2</v>
      </c>
      <c r="T4" s="77">
        <v>1</v>
      </c>
      <c r="U4" s="76">
        <v>0</v>
      </c>
      <c r="V4" s="4">
        <f ca="1">VLOOKUP(L4,[3]enemies!$A:$AB,28,FALSE)</f>
        <v>0</v>
      </c>
      <c r="W4" s="4" t="str">
        <f ca="1">IFERROR(VLOOKUP(V4,[5]enemy_skill_sets!$B:$E,4,FALSE),VLOOKUP(V4,enemy_skill_sets!B:E,4,FALSE))</f>
        <v>なし</v>
      </c>
      <c r="X4" s="78">
        <v>0</v>
      </c>
      <c r="Y4" s="78">
        <v>100</v>
      </c>
      <c r="Z4" s="78">
        <v>0</v>
      </c>
      <c r="AA4" s="4">
        <f ca="1">VLOOKUP(L4,[3]enemies!$A:$V,22,FALSE)</f>
        <v>3</v>
      </c>
      <c r="AB4" s="23">
        <f t="shared" si="3"/>
        <v>26</v>
      </c>
      <c r="AC4" s="4" t="str">
        <f ca="1">VLOOKUP(AB4,[3]enemies!$A:$B,2,FALSE)</f>
        <v>勇犬 ハチ</v>
      </c>
      <c r="AD4" s="4">
        <f ca="1">VLOOKUP(AB4,[3]enemies!$A:$E,3,FALSE)</f>
        <v>2</v>
      </c>
      <c r="AE4" s="4" t="str">
        <f>VLOOKUP(AB4,[4]characters!$A:$J,10,FALSE)</f>
        <v>Drop1N</v>
      </c>
      <c r="AF4" s="79">
        <v>1</v>
      </c>
      <c r="AG4" s="23">
        <f t="shared" ca="1" si="4"/>
        <v>2</v>
      </c>
      <c r="AH4" s="80">
        <v>15</v>
      </c>
      <c r="AI4" s="79">
        <v>0</v>
      </c>
      <c r="AJ4" s="79">
        <v>0</v>
      </c>
      <c r="AK4" s="79">
        <v>0</v>
      </c>
      <c r="AL4" s="79">
        <v>0</v>
      </c>
      <c r="AM4" s="79">
        <v>1</v>
      </c>
    </row>
    <row r="5" spans="1:39" ht="21" customHeight="1" x14ac:dyDescent="0.15">
      <c r="A5" s="14" t="str">
        <f t="shared" ca="1" si="0"/>
        <v>30015_1-1/365&lt;lv55&gt;s3</v>
      </c>
      <c r="B5" s="71">
        <v>30015</v>
      </c>
      <c r="C5" s="72">
        <v>1</v>
      </c>
      <c r="D5" s="2" t="str">
        <f t="shared" si="1"/>
        <v>30015_1</v>
      </c>
      <c r="E5" s="4" t="str">
        <f ca="1">VLOOKUP($B5,OFFSET([2]quests!$A$1,0,0,COUNTA([2]quests!$A:$A),MATCH(E$1,[2]quests!$1:$1,0)-MATCH($B$1,[2]quests!$1:$1,0)+1),MATCH(E$1,[2]quests!$1:$1,0)-MATCH($B$1,[2]quests!$1:$1,0)+1,FALSE)</f>
        <v>兄妹の大冒険</v>
      </c>
      <c r="F5" s="4" t="str">
        <f ca="1">VLOOKUP($D5,OFFSET([2]stages!$A$1,0,0,COUNTA([2]stages!$A:$A),MATCH(F$1,[2]stages!$2:$2,0)-MATCH($D$1,[2]stages!$2:$2,0)+1),MATCH(F$1,[2]stages!$2:$2,0)-MATCH($D$1,[2]stages!$2:$2,0)+1,FALSE)</f>
        <v>【超級】兄妹の大冒険</v>
      </c>
      <c r="G5" s="72">
        <v>1</v>
      </c>
      <c r="H5" s="73" t="str">
        <f t="shared" si="2"/>
        <v>30015_1-1</v>
      </c>
      <c r="I5" s="74">
        <f ca="1">VLOOKUP($H5,OFFSET(floors!$A$1,0,0,COUNTA(floors!$A:$A),MATCH(I$1,floors!$1:$1,0)-MATCH($H$1,floors!$1:$1,0)+1),MATCH(I$1,floors!$1:$1,0)-MATCH($H$1,floors!$1:$1,0)+1,FALSE)</f>
        <v>30</v>
      </c>
      <c r="J5" s="74">
        <f ca="1">VLOOKUP($H5,OFFSET(floors!$A$1,0,0,COUNTA(floors!$A:$A),MATCH(J$1,floors!$1:$1,0)-MATCH($H$1,floors!$1:$1,0)+1),MATCH(J$1,floors!$1:$1,0)-MATCH($H$1,floors!$1:$1,0)+1,FALSE)</f>
        <v>30</v>
      </c>
      <c r="K5" s="75" t="s">
        <v>88</v>
      </c>
      <c r="L5" s="72">
        <v>365</v>
      </c>
      <c r="M5" s="15" t="str">
        <f ca="1">VLOOKUP(L5,[3]enemies!$A:$B,2,FALSE)</f>
        <v>惨劇の人形 ノエル</v>
      </c>
      <c r="N5" s="17" t="str">
        <f ca="1">VLOOKUP(L5,[3]enemies!$A:$D,4,FALSE)</f>
        <v>blue</v>
      </c>
      <c r="O5" s="17" t="str">
        <f>VLOOKUP(L5,[4]characters!$A:$J,10,FALSE)</f>
        <v>Drop1S</v>
      </c>
      <c r="P5" s="16" t="str">
        <f>VLOOKUP(L5,[4]characters!$A:$M,13,FALSE)</f>
        <v>animal</v>
      </c>
      <c r="Q5" s="4">
        <f ca="1">VLOOKUP(L5,[3]enemies!$A:$X,24,FALSE)</f>
        <v>15</v>
      </c>
      <c r="R5" s="76">
        <v>55</v>
      </c>
      <c r="S5" s="77">
        <v>2</v>
      </c>
      <c r="T5" s="77">
        <v>1</v>
      </c>
      <c r="U5" s="76">
        <v>0</v>
      </c>
      <c r="V5" s="4">
        <f ca="1">VLOOKUP(L5,[3]enemies!$A:$AB,28,FALSE)</f>
        <v>0</v>
      </c>
      <c r="W5" s="4" t="str">
        <f ca="1">IFERROR(VLOOKUP(V5,[5]enemy_skill_sets!$B:$E,4,FALSE),VLOOKUP(V5,enemy_skill_sets!B:E,4,FALSE))</f>
        <v>なし</v>
      </c>
      <c r="X5" s="78">
        <v>0</v>
      </c>
      <c r="Y5" s="78">
        <v>100</v>
      </c>
      <c r="Z5" s="78">
        <v>0</v>
      </c>
      <c r="AA5" s="4">
        <f ca="1">VLOOKUP(L5,[3]enemies!$A:$V,22,FALSE)</f>
        <v>3</v>
      </c>
      <c r="AB5" s="23">
        <f t="shared" si="3"/>
        <v>365</v>
      </c>
      <c r="AC5" s="4" t="str">
        <f ca="1">VLOOKUP(AB5,[3]enemies!$A:$B,2,FALSE)</f>
        <v>惨劇の人形 ノエル</v>
      </c>
      <c r="AD5" s="4">
        <f ca="1">VLOOKUP(AB5,[3]enemies!$A:$E,3,FALSE)</f>
        <v>3</v>
      </c>
      <c r="AE5" s="4" t="str">
        <f>VLOOKUP(AB5,[4]characters!$A:$J,10,FALSE)</f>
        <v>Drop1S</v>
      </c>
      <c r="AF5" s="79">
        <v>1</v>
      </c>
      <c r="AG5" s="23">
        <f t="shared" ca="1" si="4"/>
        <v>3</v>
      </c>
      <c r="AH5" s="80">
        <v>15</v>
      </c>
      <c r="AI5" s="79">
        <v>0</v>
      </c>
      <c r="AJ5" s="79">
        <v>0</v>
      </c>
      <c r="AK5" s="79">
        <v>0</v>
      </c>
      <c r="AL5" s="79">
        <v>0</v>
      </c>
      <c r="AM5" s="79">
        <v>1</v>
      </c>
    </row>
    <row r="6" spans="1:39" ht="21" customHeight="1" x14ac:dyDescent="0.15">
      <c r="A6" s="14" t="str">
        <f t="shared" ca="1" si="0"/>
        <v>30015_1-4/10&lt;lv55&gt;s2</v>
      </c>
      <c r="B6" s="71">
        <v>30015</v>
      </c>
      <c r="C6" s="72">
        <v>1</v>
      </c>
      <c r="D6" s="2" t="str">
        <f t="shared" si="1"/>
        <v>30015_1</v>
      </c>
      <c r="E6" s="4" t="str">
        <f ca="1">VLOOKUP($B6,OFFSET([2]quests!$A$1,0,0,COUNTA([2]quests!$A:$A),MATCH(E$1,[2]quests!$1:$1,0)-MATCH($B$1,[2]quests!$1:$1,0)+1),MATCH(E$1,[2]quests!$1:$1,0)-MATCH($B$1,[2]quests!$1:$1,0)+1,FALSE)</f>
        <v>兄妹の大冒険</v>
      </c>
      <c r="F6" s="4" t="str">
        <f ca="1">VLOOKUP($D6,OFFSET([2]stages!$A$1,0,0,COUNTA([2]stages!$A:$A),MATCH(F$1,[2]stages!$2:$2,0)-MATCH($D$1,[2]stages!$2:$2,0)+1),MATCH(F$1,[2]stages!$2:$2,0)-MATCH($D$1,[2]stages!$2:$2,0)+1,FALSE)</f>
        <v>【超級】兄妹の大冒険</v>
      </c>
      <c r="G6" s="92">
        <v>4</v>
      </c>
      <c r="H6" s="73" t="str">
        <f t="shared" si="2"/>
        <v>30015_1-4</v>
      </c>
      <c r="I6" s="74">
        <f ca="1">VLOOKUP($H6,OFFSET(floors!$A$1,0,0,COUNTA(floors!$A:$A),MATCH(I$1,floors!$1:$1,0)-MATCH($H$1,floors!$1:$1,0)+1),MATCH(I$1,floors!$1:$1,0)-MATCH($H$1,floors!$1:$1,0)+1,FALSE)</f>
        <v>45</v>
      </c>
      <c r="J6" s="74">
        <f ca="1">VLOOKUP($H6,OFFSET(floors!$A$1,0,0,COUNTA(floors!$A:$A),MATCH(J$1,floors!$1:$1,0)-MATCH($H$1,floors!$1:$1,0)+1),MATCH(J$1,floors!$1:$1,0)-MATCH($H$1,floors!$1:$1,0)+1,FALSE)</f>
        <v>45</v>
      </c>
      <c r="K6" s="75" t="s">
        <v>133</v>
      </c>
      <c r="L6" s="72">
        <v>10</v>
      </c>
      <c r="M6" s="15" t="str">
        <f ca="1">VLOOKUP(L6,[3]enemies!$A:$B,2,FALSE)</f>
        <v>燃える悪戯魂 ブレット</v>
      </c>
      <c r="N6" s="17" t="str">
        <f ca="1">VLOOKUP(L6,[3]enemies!$A:$D,4,FALSE)</f>
        <v>red</v>
      </c>
      <c r="O6" s="17" t="str">
        <f>VLOOKUP(L6,[4]characters!$A:$J,10,FALSE)</f>
        <v>Drop1W</v>
      </c>
      <c r="P6" s="16" t="str">
        <f>VLOOKUP(L6,[4]characters!$A:$M,13,FALSE)</f>
        <v>animal</v>
      </c>
      <c r="Q6" s="4">
        <f ca="1">VLOOKUP(L6,[3]enemies!$A:$X,24,FALSE)</f>
        <v>15</v>
      </c>
      <c r="R6" s="76">
        <v>55</v>
      </c>
      <c r="S6" s="77">
        <v>1</v>
      </c>
      <c r="T6" s="77">
        <v>1</v>
      </c>
      <c r="U6" s="76">
        <v>0</v>
      </c>
      <c r="V6" s="4">
        <f ca="1">VLOOKUP(L6,[3]enemies!$A:$AB,28,FALSE)</f>
        <v>0</v>
      </c>
      <c r="W6" s="4" t="str">
        <f ca="1">IFERROR(VLOOKUP(V6,[5]enemy_skill_sets!$B:$E,4,FALSE),VLOOKUP(V6,enemy_skill_sets!B:E,4,FALSE))</f>
        <v>なし</v>
      </c>
      <c r="X6" s="78">
        <v>0</v>
      </c>
      <c r="Y6" s="78">
        <v>100</v>
      </c>
      <c r="Z6" s="78">
        <v>1</v>
      </c>
      <c r="AA6" s="4">
        <f ca="1">VLOOKUP(L6,[3]enemies!$A:$V,22,FALSE)</f>
        <v>2</v>
      </c>
      <c r="AB6" s="23">
        <f t="shared" si="3"/>
        <v>10</v>
      </c>
      <c r="AC6" s="4" t="str">
        <f ca="1">VLOOKUP(AB6,[3]enemies!$A:$B,2,FALSE)</f>
        <v>燃える悪戯魂 ブレット</v>
      </c>
      <c r="AD6" s="4">
        <f ca="1">VLOOKUP(AB6,[3]enemies!$A:$E,3,FALSE)</f>
        <v>2</v>
      </c>
      <c r="AE6" s="4" t="str">
        <f>VLOOKUP(AB6,[4]characters!$A:$J,10,FALSE)</f>
        <v>Drop1W</v>
      </c>
      <c r="AF6" s="79">
        <v>1</v>
      </c>
      <c r="AG6" s="23">
        <f t="shared" ca="1" si="4"/>
        <v>2</v>
      </c>
      <c r="AH6" s="80">
        <v>15</v>
      </c>
      <c r="AI6" s="79">
        <v>0</v>
      </c>
      <c r="AJ6" s="79">
        <v>0</v>
      </c>
      <c r="AK6" s="79">
        <v>0</v>
      </c>
      <c r="AL6" s="79">
        <v>0</v>
      </c>
      <c r="AM6" s="79">
        <v>1</v>
      </c>
    </row>
    <row r="7" spans="1:39" ht="21" customHeight="1" x14ac:dyDescent="0.15">
      <c r="A7" s="14" t="str">
        <f t="shared" ca="1" si="0"/>
        <v>30015_1-4/47&lt;lv55&gt;s1</v>
      </c>
      <c r="B7" s="71">
        <v>30015</v>
      </c>
      <c r="C7" s="72">
        <v>1</v>
      </c>
      <c r="D7" s="2" t="str">
        <f t="shared" si="1"/>
        <v>30015_1</v>
      </c>
      <c r="E7" s="4" t="str">
        <f ca="1">VLOOKUP($B7,OFFSET([2]quests!$A$1,0,0,COUNTA([2]quests!$A:$A),MATCH(E$1,[2]quests!$1:$1,0)-MATCH($B$1,[2]quests!$1:$1,0)+1),MATCH(E$1,[2]quests!$1:$1,0)-MATCH($B$1,[2]quests!$1:$1,0)+1,FALSE)</f>
        <v>兄妹の大冒険</v>
      </c>
      <c r="F7" s="4" t="str">
        <f ca="1">VLOOKUP($D7,OFFSET([2]stages!$A$1,0,0,COUNTA([2]stages!$A:$A),MATCH(F$1,[2]stages!$2:$2,0)-MATCH($D$1,[2]stages!$2:$2,0)+1),MATCH(F$1,[2]stages!$2:$2,0)-MATCH($D$1,[2]stages!$2:$2,0)+1,FALSE)</f>
        <v>【超級】兄妹の大冒険</v>
      </c>
      <c r="G7" s="92">
        <v>4</v>
      </c>
      <c r="H7" s="73" t="str">
        <f t="shared" si="2"/>
        <v>30015_1-4</v>
      </c>
      <c r="I7" s="74">
        <f ca="1">VLOOKUP($H7,OFFSET(floors!$A$1,0,0,COUNTA(floors!$A:$A),MATCH(I$1,floors!$1:$1,0)-MATCH($H$1,floors!$1:$1,0)+1),MATCH(I$1,floors!$1:$1,0)-MATCH($H$1,floors!$1:$1,0)+1,FALSE)</f>
        <v>45</v>
      </c>
      <c r="J7" s="74">
        <f ca="1">VLOOKUP($H7,OFFSET(floors!$A$1,0,0,COUNTA(floors!$A:$A),MATCH(J$1,floors!$1:$1,0)-MATCH($H$1,floors!$1:$1,0)+1),MATCH(J$1,floors!$1:$1,0)-MATCH($H$1,floors!$1:$1,0)+1,FALSE)</f>
        <v>45</v>
      </c>
      <c r="K7" s="75" t="s">
        <v>88</v>
      </c>
      <c r="L7" s="72">
        <v>47</v>
      </c>
      <c r="M7" s="15" t="str">
        <f ca="1">VLOOKUP(L7,[3]enemies!$A:$B,2,FALSE)</f>
        <v>ヒロ</v>
      </c>
      <c r="N7" s="17" t="str">
        <f ca="1">VLOOKUP(L7,[3]enemies!$A:$D,4,FALSE)</f>
        <v>yellow</v>
      </c>
      <c r="O7" s="17" t="str">
        <f>VLOOKUP(L7,[4]characters!$A:$J,10,FALSE)</f>
        <v>Drop1N</v>
      </c>
      <c r="P7" s="16" t="str">
        <f>VLOOKUP(L7,[4]characters!$A:$M,13,FALSE)</f>
        <v>animal</v>
      </c>
      <c r="Q7" s="4">
        <f ca="1">VLOOKUP(L7,[3]enemies!$A:$X,24,FALSE)</f>
        <v>15</v>
      </c>
      <c r="R7" s="76">
        <v>55</v>
      </c>
      <c r="S7" s="77">
        <v>1</v>
      </c>
      <c r="T7" s="77">
        <v>1</v>
      </c>
      <c r="U7" s="76">
        <v>0</v>
      </c>
      <c r="V7" s="90">
        <v>30015007</v>
      </c>
      <c r="W7" s="4" t="str">
        <f>IFERROR(VLOOKUP(V7,[5]enemy_skill_sets!$B:$E,4,FALSE),VLOOKUP(V7,enemy_skill_sets!B:E,4,FALSE))</f>
        <v>パンくずトラップ</v>
      </c>
      <c r="X7" s="78">
        <v>1</v>
      </c>
      <c r="Y7" s="78">
        <v>100</v>
      </c>
      <c r="Z7" s="78">
        <v>0</v>
      </c>
      <c r="AA7" s="4">
        <f ca="1">VLOOKUP(L7,[3]enemies!$A:$V,22,FALSE)</f>
        <v>1</v>
      </c>
      <c r="AB7" s="23">
        <f t="shared" si="3"/>
        <v>47</v>
      </c>
      <c r="AC7" s="4" t="str">
        <f ca="1">VLOOKUP(AB7,[3]enemies!$A:$B,2,FALSE)</f>
        <v>ヒロ</v>
      </c>
      <c r="AD7" s="4">
        <f ca="1">VLOOKUP(AB7,[3]enemies!$A:$E,3,FALSE)</f>
        <v>2</v>
      </c>
      <c r="AE7" s="4" t="str">
        <f>VLOOKUP(AB7,[4]characters!$A:$J,10,FALSE)</f>
        <v>Drop1N</v>
      </c>
      <c r="AF7" s="79">
        <v>1</v>
      </c>
      <c r="AG7" s="23">
        <f t="shared" ca="1" si="4"/>
        <v>2</v>
      </c>
      <c r="AH7" s="80">
        <v>15</v>
      </c>
      <c r="AI7" s="79">
        <v>0</v>
      </c>
      <c r="AJ7" s="79">
        <v>0</v>
      </c>
      <c r="AK7" s="79">
        <v>0</v>
      </c>
      <c r="AL7" s="79">
        <v>0</v>
      </c>
      <c r="AM7" s="79">
        <v>1</v>
      </c>
    </row>
    <row r="8" spans="1:39" ht="21" customHeight="1" x14ac:dyDescent="0.15">
      <c r="A8" s="14" t="str">
        <f t="shared" ref="A8:A9" ca="1" si="5">B8&amp;"_"&amp;C8&amp;"-"&amp;G8&amp;"/"&amp;L8&amp;"&lt;lv"&amp;R8&amp;"&gt;s"&amp;AA8</f>
        <v>30015_1-3/214&lt;lv58&gt;s2</v>
      </c>
      <c r="B8" s="71">
        <v>30015</v>
      </c>
      <c r="C8" s="72">
        <v>1</v>
      </c>
      <c r="D8" s="2" t="str">
        <f t="shared" ref="D8:D9" si="6">B8&amp;"_"&amp;C8</f>
        <v>30015_1</v>
      </c>
      <c r="E8" s="4" t="str">
        <f ca="1">VLOOKUP($B8,OFFSET([2]quests!$A$1,0,0,COUNTA([2]quests!$A:$A),MATCH(E$1,[2]quests!$1:$1,0)-MATCH($B$1,[2]quests!$1:$1,0)+1),MATCH(E$1,[2]quests!$1:$1,0)-MATCH($B$1,[2]quests!$1:$1,0)+1,FALSE)</f>
        <v>兄妹の大冒険</v>
      </c>
      <c r="F8" s="4" t="str">
        <f ca="1">VLOOKUP($D8,OFFSET([2]stages!$A$1,0,0,COUNTA([2]stages!$A:$A),MATCH(F$1,[2]stages!$2:$2,0)-MATCH($D$1,[2]stages!$2:$2,0)+1),MATCH(F$1,[2]stages!$2:$2,0)-MATCH($D$1,[2]stages!$2:$2,0)+1,FALSE)</f>
        <v>【超級】兄妹の大冒険</v>
      </c>
      <c r="G8" s="72">
        <v>3</v>
      </c>
      <c r="H8" s="73" t="str">
        <f t="shared" si="2"/>
        <v>30015_1-3</v>
      </c>
      <c r="I8" s="74">
        <f ca="1">VLOOKUP($H8,OFFSET(floors!$A$1,0,0,COUNTA(floors!$A:$A),MATCH(I$1,floors!$1:$1,0)-MATCH($H$1,floors!$1:$1,0)+1),MATCH(I$1,floors!$1:$1,0)-MATCH($H$1,floors!$1:$1,0)+1,FALSE)</f>
        <v>60</v>
      </c>
      <c r="J8" s="74">
        <f ca="1">VLOOKUP($H8,OFFSET(floors!$A$1,0,0,COUNTA(floors!$A:$A),MATCH(J$1,floors!$1:$1,0)-MATCH($H$1,floors!$1:$1,0)+1),MATCH(J$1,floors!$1:$1,0)-MATCH($H$1,floors!$1:$1,0)+1,FALSE)</f>
        <v>60</v>
      </c>
      <c r="K8" s="75" t="s">
        <v>88</v>
      </c>
      <c r="L8" s="72">
        <v>214</v>
      </c>
      <c r="M8" s="15" t="str">
        <f ca="1">VLOOKUP(L8,[3]enemies!$A:$B,2,FALSE)</f>
        <v>アズラエル</v>
      </c>
      <c r="N8" s="17" t="str">
        <f ca="1">VLOOKUP(L8,[3]enemies!$A:$D,4,FALSE)</f>
        <v>red</v>
      </c>
      <c r="O8" s="17" t="str">
        <f>VLOOKUP(L8,[4]characters!$A:$J,10,FALSE)</f>
        <v>PremiumN</v>
      </c>
      <c r="P8" s="16" t="str">
        <f>VLOOKUP(L8,[4]characters!$A:$M,13,FALSE)</f>
        <v>god</v>
      </c>
      <c r="Q8" s="4">
        <f ca="1">VLOOKUP(L8,[3]enemies!$A:$X,24,FALSE)</f>
        <v>20</v>
      </c>
      <c r="R8" s="76">
        <v>58</v>
      </c>
      <c r="S8" s="77">
        <v>0.9</v>
      </c>
      <c r="T8" s="77">
        <v>0.8</v>
      </c>
      <c r="U8" s="76">
        <v>0</v>
      </c>
      <c r="V8" s="85">
        <v>30015009</v>
      </c>
      <c r="W8" s="4" t="str">
        <f>IFERROR(VLOOKUP(V8,[5]enemy_skill_sets!$B:$E,4,FALSE),VLOOKUP(V8,enemy_skill_sets!B:E,4,FALSE))</f>
        <v>彼岸への誘い</v>
      </c>
      <c r="X8" s="78">
        <v>1</v>
      </c>
      <c r="Y8" s="78">
        <v>100</v>
      </c>
      <c r="Z8" s="78">
        <v>0</v>
      </c>
      <c r="AA8" s="4">
        <f ca="1">VLOOKUP(L8,[3]enemies!$A:$V,22,FALSE)</f>
        <v>2</v>
      </c>
      <c r="AB8" s="23">
        <f t="shared" ref="AB8:AB9" si="7">L8</f>
        <v>214</v>
      </c>
      <c r="AC8" s="4" t="str">
        <f ca="1">VLOOKUP(AB8,[3]enemies!$A:$B,2,FALSE)</f>
        <v>アズラエル</v>
      </c>
      <c r="AD8" s="4">
        <f ca="1">VLOOKUP(AB8,[3]enemies!$A:$E,3,FALSE)</f>
        <v>3</v>
      </c>
      <c r="AE8" s="4" t="str">
        <f>VLOOKUP(AB8,[4]characters!$A:$J,10,FALSE)</f>
        <v>PremiumN</v>
      </c>
      <c r="AF8" s="79">
        <v>1</v>
      </c>
      <c r="AG8" s="23">
        <f t="shared" ref="AG8:AG9" ca="1" si="8">AD8</f>
        <v>3</v>
      </c>
      <c r="AH8" s="80">
        <v>0</v>
      </c>
      <c r="AI8" s="79">
        <v>0</v>
      </c>
      <c r="AJ8" s="79">
        <v>0</v>
      </c>
      <c r="AK8" s="79">
        <v>0</v>
      </c>
      <c r="AL8" s="79">
        <v>0</v>
      </c>
      <c r="AM8" s="79">
        <v>1</v>
      </c>
    </row>
    <row r="9" spans="1:39" ht="21" customHeight="1" x14ac:dyDescent="0.15">
      <c r="A9" s="14" t="str">
        <f t="shared" ca="1" si="5"/>
        <v>30015_1-3/220&lt;lv58&gt;s2</v>
      </c>
      <c r="B9" s="71">
        <v>30015</v>
      </c>
      <c r="C9" s="72">
        <v>1</v>
      </c>
      <c r="D9" s="2" t="str">
        <f t="shared" si="6"/>
        <v>30015_1</v>
      </c>
      <c r="E9" s="4" t="str">
        <f ca="1">VLOOKUP($B9,OFFSET([2]quests!$A$1,0,0,COUNTA([2]quests!$A:$A),MATCH(E$1,[2]quests!$1:$1,0)-MATCH($B$1,[2]quests!$1:$1,0)+1),MATCH(E$1,[2]quests!$1:$1,0)-MATCH($B$1,[2]quests!$1:$1,0)+1,FALSE)</f>
        <v>兄妹の大冒険</v>
      </c>
      <c r="F9" s="4" t="str">
        <f ca="1">VLOOKUP($D9,OFFSET([2]stages!$A$1,0,0,COUNTA([2]stages!$A:$A),MATCH(F$1,[2]stages!$2:$2,0)-MATCH($D$1,[2]stages!$2:$2,0)+1),MATCH(F$1,[2]stages!$2:$2,0)-MATCH($D$1,[2]stages!$2:$2,0)+1,FALSE)</f>
        <v>【超級】兄妹の大冒険</v>
      </c>
      <c r="G9" s="72">
        <v>3</v>
      </c>
      <c r="H9" s="73" t="str">
        <f t="shared" si="2"/>
        <v>30015_1-3</v>
      </c>
      <c r="I9" s="74">
        <f ca="1">VLOOKUP($H9,OFFSET(floors!$A$1,0,0,COUNTA(floors!$A:$A),MATCH(I$1,floors!$1:$1,0)-MATCH($H$1,floors!$1:$1,0)+1),MATCH(I$1,floors!$1:$1,0)-MATCH($H$1,floors!$1:$1,0)+1,FALSE)</f>
        <v>60</v>
      </c>
      <c r="J9" s="74">
        <f ca="1">VLOOKUP($H9,OFFSET(floors!$A$1,0,0,COUNTA(floors!$A:$A),MATCH(J$1,floors!$1:$1,0)-MATCH($H$1,floors!$1:$1,0)+1),MATCH(J$1,floors!$1:$1,0)-MATCH($H$1,floors!$1:$1,0)+1,FALSE)</f>
        <v>60</v>
      </c>
      <c r="K9" s="75" t="s">
        <v>88</v>
      </c>
      <c r="L9" s="72">
        <v>220</v>
      </c>
      <c r="M9" s="15" t="str">
        <f ca="1">VLOOKUP(L9,[3]enemies!$A:$B,2,FALSE)</f>
        <v>ルキフグス</v>
      </c>
      <c r="N9" s="17" t="str">
        <f ca="1">VLOOKUP(L9,[3]enemies!$A:$D,4,FALSE)</f>
        <v>blue</v>
      </c>
      <c r="O9" s="17" t="str">
        <f>VLOOKUP(L9,[4]characters!$A:$J,10,FALSE)</f>
        <v>PremiumN</v>
      </c>
      <c r="P9" s="16" t="str">
        <f>VLOOKUP(L9,[4]characters!$A:$M,13,FALSE)</f>
        <v>god</v>
      </c>
      <c r="Q9" s="4">
        <f ca="1">VLOOKUP(L9,[3]enemies!$A:$X,24,FALSE)</f>
        <v>20</v>
      </c>
      <c r="R9" s="76">
        <v>58</v>
      </c>
      <c r="S9" s="77">
        <v>1.2</v>
      </c>
      <c r="T9" s="77">
        <v>0.9</v>
      </c>
      <c r="U9" s="76">
        <v>0</v>
      </c>
      <c r="V9" s="85">
        <v>30015010</v>
      </c>
      <c r="W9" s="4" t="str">
        <f>IFERROR(VLOOKUP(V9,[5]enemy_skill_sets!$B:$E,4,FALSE),VLOOKUP(V9,enemy_skill_sets!B:E,4,FALSE))</f>
        <v>光からの逃奔</v>
      </c>
      <c r="X9" s="78">
        <v>1</v>
      </c>
      <c r="Y9" s="78">
        <v>100</v>
      </c>
      <c r="Z9" s="78">
        <v>1</v>
      </c>
      <c r="AA9" s="4">
        <f ca="1">VLOOKUP(L9,[3]enemies!$A:$V,22,FALSE)</f>
        <v>2</v>
      </c>
      <c r="AB9" s="23">
        <f t="shared" si="7"/>
        <v>220</v>
      </c>
      <c r="AC9" s="4" t="str">
        <f ca="1">VLOOKUP(AB9,[3]enemies!$A:$B,2,FALSE)</f>
        <v>ルキフグス</v>
      </c>
      <c r="AD9" s="4">
        <f ca="1">VLOOKUP(AB9,[3]enemies!$A:$E,3,FALSE)</f>
        <v>3</v>
      </c>
      <c r="AE9" s="4" t="str">
        <f>VLOOKUP(AB9,[4]characters!$A:$J,10,FALSE)</f>
        <v>PremiumN</v>
      </c>
      <c r="AF9" s="79">
        <v>1</v>
      </c>
      <c r="AG9" s="23">
        <f t="shared" ca="1" si="8"/>
        <v>3</v>
      </c>
      <c r="AH9" s="80">
        <v>0</v>
      </c>
      <c r="AI9" s="79">
        <v>0</v>
      </c>
      <c r="AJ9" s="79">
        <v>0</v>
      </c>
      <c r="AK9" s="79">
        <v>0</v>
      </c>
      <c r="AL9" s="79">
        <v>0</v>
      </c>
      <c r="AM9" s="79">
        <v>1</v>
      </c>
    </row>
    <row r="10" spans="1:39" ht="21" customHeight="1" x14ac:dyDescent="0.15">
      <c r="A10" s="14" t="str">
        <f ca="1">B10&amp;"_"&amp;C10&amp;"-"&amp;G10&amp;"/"&amp;L10&amp;"&lt;lv"&amp;R10&amp;"&gt;s"&amp;AA10</f>
        <v>30015_1-2/6&lt;lv55&gt;s3</v>
      </c>
      <c r="B10" s="71">
        <v>30015</v>
      </c>
      <c r="C10" s="72">
        <v>1</v>
      </c>
      <c r="D10" s="2" t="str">
        <f>B10&amp;"_"&amp;C10</f>
        <v>30015_1</v>
      </c>
      <c r="E10" s="4" t="str">
        <f ca="1">VLOOKUP($B10,OFFSET([2]quests!$A$1,0,0,COUNTA([2]quests!$A:$A),MATCH(E$1,[2]quests!$1:$1,0)-MATCH($B$1,[2]quests!$1:$1,0)+1),MATCH(E$1,[2]quests!$1:$1,0)-MATCH($B$1,[2]quests!$1:$1,0)+1,FALSE)</f>
        <v>兄妹の大冒険</v>
      </c>
      <c r="F10" s="4" t="str">
        <f ca="1">VLOOKUP($D10,OFFSET([2]stages!$A$1,0,0,COUNTA([2]stages!$A:$A),MATCH(F$1,[2]stages!$2:$2,0)-MATCH($D$1,[2]stages!$2:$2,0)+1),MATCH(F$1,[2]stages!$2:$2,0)-MATCH($D$1,[2]stages!$2:$2,0)+1,FALSE)</f>
        <v>【超級】兄妹の大冒険</v>
      </c>
      <c r="G10" s="92">
        <v>2</v>
      </c>
      <c r="H10" s="73" t="str">
        <f>B10&amp;"_"&amp;C10&amp;"-"&amp;G10</f>
        <v>30015_1-2</v>
      </c>
      <c r="I10" s="74">
        <f ca="1">VLOOKUP($H10,OFFSET(floors!$A$1,0,0,COUNTA(floors!$A:$A),MATCH(I$1,floors!$1:$1,0)-MATCH($H$1,floors!$1:$1,0)+1),MATCH(I$1,floors!$1:$1,0)-MATCH($H$1,floors!$1:$1,0)+1,FALSE)</f>
        <v>30</v>
      </c>
      <c r="J10" s="74">
        <f ca="1">VLOOKUP($H10,OFFSET(floors!$A$1,0,0,COUNTA(floors!$A:$A),MATCH(J$1,floors!$1:$1,0)-MATCH($H$1,floors!$1:$1,0)+1),MATCH(J$1,floors!$1:$1,0)-MATCH($H$1,floors!$1:$1,0)+1,FALSE)</f>
        <v>30</v>
      </c>
      <c r="K10" s="75" t="s">
        <v>132</v>
      </c>
      <c r="L10" s="72">
        <v>6</v>
      </c>
      <c r="M10" s="15" t="str">
        <f ca="1">VLOOKUP(L10,[3]enemies!$A:$B,2,FALSE)</f>
        <v>パトドッグリーダー ポチ</v>
      </c>
      <c r="N10" s="17" t="str">
        <f ca="1">VLOOKUP(L10,[3]enemies!$A:$D,4,FALSE)</f>
        <v>blue</v>
      </c>
      <c r="O10" s="17" t="str">
        <f>VLOOKUP(L10,[4]characters!$A:$J,10,FALSE)</f>
        <v>Drop1T</v>
      </c>
      <c r="P10" s="16" t="str">
        <f>VLOOKUP(L10,[4]characters!$A:$M,13,FALSE)</f>
        <v>unknown</v>
      </c>
      <c r="Q10" s="4">
        <f ca="1">VLOOKUP(L10,[3]enemies!$A:$X,24,FALSE)</f>
        <v>15</v>
      </c>
      <c r="R10" s="76">
        <v>55</v>
      </c>
      <c r="S10" s="77">
        <v>1</v>
      </c>
      <c r="T10" s="77">
        <v>1</v>
      </c>
      <c r="U10" s="76">
        <v>0</v>
      </c>
      <c r="V10" s="4">
        <f ca="1">VLOOKUP(L10,[3]enemies!$A:$AB,28,FALSE)</f>
        <v>0</v>
      </c>
      <c r="W10" s="4" t="str">
        <f ca="1">IFERROR(VLOOKUP(V10,[5]enemy_skill_sets!$B:$E,4,FALSE),VLOOKUP(V10,enemy_skill_sets!B:E,4,FALSE))</f>
        <v>なし</v>
      </c>
      <c r="X10" s="78">
        <v>0</v>
      </c>
      <c r="Y10" s="78">
        <v>100</v>
      </c>
      <c r="Z10" s="78">
        <v>0</v>
      </c>
      <c r="AA10" s="4">
        <f ca="1">VLOOKUP(L10,[3]enemies!$A:$V,22,FALSE)</f>
        <v>3</v>
      </c>
      <c r="AB10" s="23">
        <f>L10</f>
        <v>6</v>
      </c>
      <c r="AC10" s="4" t="str">
        <f ca="1">VLOOKUP(AB10,[3]enemies!$A:$B,2,FALSE)</f>
        <v>パトドッグリーダー ポチ</v>
      </c>
      <c r="AD10" s="4">
        <f ca="1">VLOOKUP(AB10,[3]enemies!$A:$E,3,FALSE)</f>
        <v>2</v>
      </c>
      <c r="AE10" s="4" t="str">
        <f>VLOOKUP(AB10,[4]characters!$A:$J,10,FALSE)</f>
        <v>Drop1T</v>
      </c>
      <c r="AF10" s="79">
        <v>1</v>
      </c>
      <c r="AG10" s="23">
        <f ca="1">AD10</f>
        <v>2</v>
      </c>
      <c r="AH10" s="80">
        <v>15</v>
      </c>
      <c r="AI10" s="79">
        <v>0</v>
      </c>
      <c r="AJ10" s="79">
        <v>0</v>
      </c>
      <c r="AK10" s="79">
        <v>0</v>
      </c>
      <c r="AL10" s="79">
        <v>0</v>
      </c>
      <c r="AM10" s="79">
        <v>1</v>
      </c>
    </row>
    <row r="11" spans="1:39" ht="21" customHeight="1" x14ac:dyDescent="0.15">
      <c r="A11" s="14" t="str">
        <f ca="1">B11&amp;"_"&amp;C11&amp;"-"&amp;G11&amp;"/"&amp;L11&amp;"&lt;lv"&amp;R11&amp;"&gt;s"&amp;AA11</f>
        <v>30015_1-2/65&lt;lv55&gt;s2</v>
      </c>
      <c r="B11" s="71">
        <v>30015</v>
      </c>
      <c r="C11" s="72">
        <v>1</v>
      </c>
      <c r="D11" s="2" t="str">
        <f>B11&amp;"_"&amp;C11</f>
        <v>30015_1</v>
      </c>
      <c r="E11" s="4" t="str">
        <f ca="1">VLOOKUP($B11,OFFSET([2]quests!$A$1,0,0,COUNTA([2]quests!$A:$A),MATCH(E$1,[2]quests!$1:$1,0)-MATCH($B$1,[2]quests!$1:$1,0)+1),MATCH(E$1,[2]quests!$1:$1,0)-MATCH($B$1,[2]quests!$1:$1,0)+1,FALSE)</f>
        <v>兄妹の大冒険</v>
      </c>
      <c r="F11" s="4" t="str">
        <f ca="1">VLOOKUP($D11,OFFSET([2]stages!$A$1,0,0,COUNTA([2]stages!$A:$A),MATCH(F$1,[2]stages!$2:$2,0)-MATCH($D$1,[2]stages!$2:$2,0)+1),MATCH(F$1,[2]stages!$2:$2,0)-MATCH($D$1,[2]stages!$2:$2,0)+1,FALSE)</f>
        <v>【超級】兄妹の大冒険</v>
      </c>
      <c r="G11" s="92">
        <v>2</v>
      </c>
      <c r="H11" s="73" t="str">
        <f>B11&amp;"_"&amp;C11&amp;"-"&amp;G11</f>
        <v>30015_1-2</v>
      </c>
      <c r="I11" s="74">
        <f ca="1">VLOOKUP($H11,OFFSET(floors!$A$1,0,0,COUNTA(floors!$A:$A),MATCH(I$1,floors!$1:$1,0)-MATCH($H$1,floors!$1:$1,0)+1),MATCH(I$1,floors!$1:$1,0)-MATCH($H$1,floors!$1:$1,0)+1,FALSE)</f>
        <v>30</v>
      </c>
      <c r="J11" s="74">
        <f ca="1">VLOOKUP($H11,OFFSET(floors!$A$1,0,0,COUNTA(floors!$A:$A),MATCH(J$1,floors!$1:$1,0)-MATCH($H$1,floors!$1:$1,0)+1),MATCH(J$1,floors!$1:$1,0)-MATCH($H$1,floors!$1:$1,0)+1,FALSE)</f>
        <v>30</v>
      </c>
      <c r="K11" s="75" t="s">
        <v>88</v>
      </c>
      <c r="L11" s="72">
        <v>65</v>
      </c>
      <c r="M11" s="15" t="str">
        <f ca="1">VLOOKUP(L11,[3]enemies!$A:$B,2,FALSE)</f>
        <v>ファイアフォックス</v>
      </c>
      <c r="N11" s="17" t="str">
        <f ca="1">VLOOKUP(L11,[3]enemies!$A:$D,4,FALSE)</f>
        <v>red</v>
      </c>
      <c r="O11" s="17" t="str">
        <f>VLOOKUP(L11,[4]characters!$A:$J,10,FALSE)</f>
        <v>Drop1S</v>
      </c>
      <c r="P11" s="16" t="str">
        <f>VLOOKUP(L11,[4]characters!$A:$M,13,FALSE)</f>
        <v>animal</v>
      </c>
      <c r="Q11" s="4">
        <f ca="1">VLOOKUP(L11,[3]enemies!$A:$X,24,FALSE)</f>
        <v>15</v>
      </c>
      <c r="R11" s="76">
        <v>55</v>
      </c>
      <c r="S11" s="77">
        <v>0.8</v>
      </c>
      <c r="T11" s="77">
        <v>0.9</v>
      </c>
      <c r="U11" s="76">
        <v>0</v>
      </c>
      <c r="V11" s="4">
        <f ca="1">VLOOKUP(L11,[3]enemies!$A:$AB,28,FALSE)</f>
        <v>0</v>
      </c>
      <c r="W11" s="4" t="str">
        <f ca="1">IFERROR(VLOOKUP(V11,[5]enemy_skill_sets!$B:$E,4,FALSE),VLOOKUP(V11,enemy_skill_sets!B:E,4,FALSE))</f>
        <v>なし</v>
      </c>
      <c r="X11" s="78">
        <v>0</v>
      </c>
      <c r="Y11" s="78">
        <v>100</v>
      </c>
      <c r="Z11" s="78">
        <v>0</v>
      </c>
      <c r="AA11" s="4">
        <f ca="1">VLOOKUP(L11,[3]enemies!$A:$V,22,FALSE)</f>
        <v>2</v>
      </c>
      <c r="AB11" s="23">
        <f>L11</f>
        <v>65</v>
      </c>
      <c r="AC11" s="4" t="str">
        <f ca="1">VLOOKUP(AB11,[3]enemies!$A:$B,2,FALSE)</f>
        <v>ファイアフォックス</v>
      </c>
      <c r="AD11" s="4">
        <f ca="1">VLOOKUP(AB11,[3]enemies!$A:$E,3,FALSE)</f>
        <v>2</v>
      </c>
      <c r="AE11" s="4" t="str">
        <f>VLOOKUP(AB11,[4]characters!$A:$J,10,FALSE)</f>
        <v>Drop1S</v>
      </c>
      <c r="AF11" s="79">
        <v>1</v>
      </c>
      <c r="AG11" s="23">
        <f ca="1">AD11</f>
        <v>2</v>
      </c>
      <c r="AH11" s="80">
        <v>15</v>
      </c>
      <c r="AI11" s="79">
        <v>0</v>
      </c>
      <c r="AJ11" s="79">
        <v>0</v>
      </c>
      <c r="AK11" s="79">
        <v>0</v>
      </c>
      <c r="AL11" s="79">
        <v>0</v>
      </c>
      <c r="AM11" s="79">
        <v>1</v>
      </c>
    </row>
    <row r="12" spans="1:39" ht="21" customHeight="1" x14ac:dyDescent="0.15">
      <c r="A12" s="14" t="str">
        <f t="shared" ref="A12:A13" ca="1" si="9">B12&amp;"_"&amp;C12&amp;"-"&amp;G12&amp;"/"&amp;L12&amp;"&lt;lv"&amp;R12&amp;"&gt;s"&amp;AA12</f>
        <v>30015_1-2/26&lt;lv55&gt;s3</v>
      </c>
      <c r="B12" s="71">
        <v>30015</v>
      </c>
      <c r="C12" s="72">
        <v>1</v>
      </c>
      <c r="D12" s="2" t="str">
        <f t="shared" ref="D12:D13" si="10">B12&amp;"_"&amp;C12</f>
        <v>30015_1</v>
      </c>
      <c r="E12" s="4" t="str">
        <f ca="1">VLOOKUP($B12,OFFSET([2]quests!$A$1,0,0,COUNTA([2]quests!$A:$A),MATCH(E$1,[2]quests!$1:$1,0)-MATCH($B$1,[2]quests!$1:$1,0)+1),MATCH(E$1,[2]quests!$1:$1,0)-MATCH($B$1,[2]quests!$1:$1,0)+1,FALSE)</f>
        <v>兄妹の大冒険</v>
      </c>
      <c r="F12" s="4" t="str">
        <f ca="1">VLOOKUP($D12,OFFSET([2]stages!$A$1,0,0,COUNTA([2]stages!$A:$A),MATCH(F$1,[2]stages!$2:$2,0)-MATCH($D$1,[2]stages!$2:$2,0)+1),MATCH(F$1,[2]stages!$2:$2,0)-MATCH($D$1,[2]stages!$2:$2,0)+1,FALSE)</f>
        <v>【超級】兄妹の大冒険</v>
      </c>
      <c r="G12" s="92">
        <v>2</v>
      </c>
      <c r="H12" s="73" t="str">
        <f t="shared" ref="H12:H13" si="11">B12&amp;"_"&amp;C12&amp;"-"&amp;G12</f>
        <v>30015_1-2</v>
      </c>
      <c r="I12" s="74">
        <f ca="1">VLOOKUP($H12,OFFSET(floors!$A$1,0,0,COUNTA(floors!$A:$A),MATCH(I$1,floors!$1:$1,0)-MATCH($H$1,floors!$1:$1,0)+1),MATCH(I$1,floors!$1:$1,0)-MATCH($H$1,floors!$1:$1,0)+1,FALSE)</f>
        <v>30</v>
      </c>
      <c r="J12" s="74">
        <f ca="1">VLOOKUP($H12,OFFSET(floors!$A$1,0,0,COUNTA(floors!$A:$A),MATCH(J$1,floors!$1:$1,0)-MATCH($H$1,floors!$1:$1,0)+1),MATCH(J$1,floors!$1:$1,0)-MATCH($H$1,floors!$1:$1,0)+1,FALSE)</f>
        <v>30</v>
      </c>
      <c r="K12" s="75" t="s">
        <v>133</v>
      </c>
      <c r="L12" s="72">
        <v>26</v>
      </c>
      <c r="M12" s="15" t="str">
        <f ca="1">VLOOKUP(L12,[3]enemies!$A:$B,2,FALSE)</f>
        <v>勇犬 ハチ</v>
      </c>
      <c r="N12" s="17" t="str">
        <f ca="1">VLOOKUP(L12,[3]enemies!$A:$D,4,FALSE)</f>
        <v>blue</v>
      </c>
      <c r="O12" s="17" t="str">
        <f>VLOOKUP(L12,[4]characters!$A:$J,10,FALSE)</f>
        <v>Drop1N</v>
      </c>
      <c r="P12" s="16" t="str">
        <f>VLOOKUP(L12,[4]characters!$A:$M,13,FALSE)</f>
        <v>animal</v>
      </c>
      <c r="Q12" s="4">
        <f ca="1">VLOOKUP(L12,[3]enemies!$A:$X,24,FALSE)</f>
        <v>15</v>
      </c>
      <c r="R12" s="76">
        <v>55</v>
      </c>
      <c r="S12" s="77">
        <v>1</v>
      </c>
      <c r="T12" s="77">
        <v>1</v>
      </c>
      <c r="U12" s="76">
        <v>0</v>
      </c>
      <c r="V12" s="4">
        <f ca="1">VLOOKUP(L12,[3]enemies!$A:$AB,28,FALSE)</f>
        <v>0</v>
      </c>
      <c r="W12" s="4" t="str">
        <f ca="1">IFERROR(VLOOKUP(V12,[5]enemy_skill_sets!$B:$E,4,FALSE),VLOOKUP(V12,enemy_skill_sets!B:E,4,FALSE))</f>
        <v>なし</v>
      </c>
      <c r="X12" s="78">
        <v>0</v>
      </c>
      <c r="Y12" s="78">
        <v>100</v>
      </c>
      <c r="Z12" s="78">
        <v>0</v>
      </c>
      <c r="AA12" s="4">
        <f ca="1">VLOOKUP(L12,[3]enemies!$A:$V,22,FALSE)</f>
        <v>3</v>
      </c>
      <c r="AB12" s="23">
        <f t="shared" ref="AB12:AB13" si="12">L12</f>
        <v>26</v>
      </c>
      <c r="AC12" s="4" t="str">
        <f ca="1">VLOOKUP(AB12,[3]enemies!$A:$B,2,FALSE)</f>
        <v>勇犬 ハチ</v>
      </c>
      <c r="AD12" s="4">
        <f ca="1">VLOOKUP(AB12,[3]enemies!$A:$E,3,FALSE)</f>
        <v>2</v>
      </c>
      <c r="AE12" s="4" t="str">
        <f>VLOOKUP(AB12,[4]characters!$A:$J,10,FALSE)</f>
        <v>Drop1N</v>
      </c>
      <c r="AF12" s="79">
        <v>1</v>
      </c>
      <c r="AG12" s="23">
        <f t="shared" ref="AG12:AG13" ca="1" si="13">AD12</f>
        <v>2</v>
      </c>
      <c r="AH12" s="80">
        <v>15</v>
      </c>
      <c r="AI12" s="79">
        <v>0</v>
      </c>
      <c r="AJ12" s="79">
        <v>0</v>
      </c>
      <c r="AK12" s="79">
        <v>0</v>
      </c>
      <c r="AL12" s="79">
        <v>0</v>
      </c>
      <c r="AM12" s="79">
        <v>1</v>
      </c>
    </row>
    <row r="13" spans="1:39" ht="21" customHeight="1" x14ac:dyDescent="0.15">
      <c r="A13" s="14" t="str">
        <f t="shared" ca="1" si="9"/>
        <v>30015_1-2/365&lt;lv55&gt;s3</v>
      </c>
      <c r="B13" s="71">
        <v>30015</v>
      </c>
      <c r="C13" s="72">
        <v>1</v>
      </c>
      <c r="D13" s="2" t="str">
        <f t="shared" si="10"/>
        <v>30015_1</v>
      </c>
      <c r="E13" s="4" t="str">
        <f ca="1">VLOOKUP($B13,OFFSET([2]quests!$A$1,0,0,COUNTA([2]quests!$A:$A),MATCH(E$1,[2]quests!$1:$1,0)-MATCH($B$1,[2]quests!$1:$1,0)+1),MATCH(E$1,[2]quests!$1:$1,0)-MATCH($B$1,[2]quests!$1:$1,0)+1,FALSE)</f>
        <v>兄妹の大冒険</v>
      </c>
      <c r="F13" s="4" t="str">
        <f ca="1">VLOOKUP($D13,OFFSET([2]stages!$A$1,0,0,COUNTA([2]stages!$A:$A),MATCH(F$1,[2]stages!$2:$2,0)-MATCH($D$1,[2]stages!$2:$2,0)+1),MATCH(F$1,[2]stages!$2:$2,0)-MATCH($D$1,[2]stages!$2:$2,0)+1,FALSE)</f>
        <v>【超級】兄妹の大冒険</v>
      </c>
      <c r="G13" s="92">
        <v>2</v>
      </c>
      <c r="H13" s="73" t="str">
        <f t="shared" si="11"/>
        <v>30015_1-2</v>
      </c>
      <c r="I13" s="74">
        <f ca="1">VLOOKUP($H13,OFFSET(floors!$A$1,0,0,COUNTA(floors!$A:$A),MATCH(I$1,floors!$1:$1,0)-MATCH($H$1,floors!$1:$1,0)+1),MATCH(I$1,floors!$1:$1,0)-MATCH($H$1,floors!$1:$1,0)+1,FALSE)</f>
        <v>30</v>
      </c>
      <c r="J13" s="74">
        <f ca="1">VLOOKUP($H13,OFFSET(floors!$A$1,0,0,COUNTA(floors!$A:$A),MATCH(J$1,floors!$1:$1,0)-MATCH($H$1,floors!$1:$1,0)+1),MATCH(J$1,floors!$1:$1,0)-MATCH($H$1,floors!$1:$1,0)+1,FALSE)</f>
        <v>30</v>
      </c>
      <c r="K13" s="75" t="s">
        <v>88</v>
      </c>
      <c r="L13" s="72">
        <v>365</v>
      </c>
      <c r="M13" s="15" t="str">
        <f ca="1">VLOOKUP(L13,[3]enemies!$A:$B,2,FALSE)</f>
        <v>惨劇の人形 ノエル</v>
      </c>
      <c r="N13" s="17" t="str">
        <f ca="1">VLOOKUP(L13,[3]enemies!$A:$D,4,FALSE)</f>
        <v>blue</v>
      </c>
      <c r="O13" s="17" t="str">
        <f>VLOOKUP(L13,[4]characters!$A:$J,10,FALSE)</f>
        <v>Drop1S</v>
      </c>
      <c r="P13" s="16" t="str">
        <f>VLOOKUP(L13,[4]characters!$A:$M,13,FALSE)</f>
        <v>animal</v>
      </c>
      <c r="Q13" s="4">
        <f ca="1">VLOOKUP(L13,[3]enemies!$A:$X,24,FALSE)</f>
        <v>15</v>
      </c>
      <c r="R13" s="76">
        <v>55</v>
      </c>
      <c r="S13" s="77">
        <v>1</v>
      </c>
      <c r="T13" s="77">
        <v>1</v>
      </c>
      <c r="U13" s="76">
        <v>0</v>
      </c>
      <c r="V13" s="4">
        <f ca="1">VLOOKUP(L13,[3]enemies!$A:$AB,28,FALSE)</f>
        <v>0</v>
      </c>
      <c r="W13" s="4" t="str">
        <f ca="1">IFERROR(VLOOKUP(V13,[5]enemy_skill_sets!$B:$E,4,FALSE),VLOOKUP(V13,enemy_skill_sets!B:E,4,FALSE))</f>
        <v>なし</v>
      </c>
      <c r="X13" s="78">
        <v>0</v>
      </c>
      <c r="Y13" s="78">
        <v>100</v>
      </c>
      <c r="Z13" s="78">
        <v>0</v>
      </c>
      <c r="AA13" s="4">
        <f ca="1">VLOOKUP(L13,[3]enemies!$A:$V,22,FALSE)</f>
        <v>3</v>
      </c>
      <c r="AB13" s="23">
        <f t="shared" si="12"/>
        <v>365</v>
      </c>
      <c r="AC13" s="4" t="str">
        <f ca="1">VLOOKUP(AB13,[3]enemies!$A:$B,2,FALSE)</f>
        <v>惨劇の人形 ノエル</v>
      </c>
      <c r="AD13" s="4">
        <f ca="1">VLOOKUP(AB13,[3]enemies!$A:$E,3,FALSE)</f>
        <v>3</v>
      </c>
      <c r="AE13" s="4" t="str">
        <f>VLOOKUP(AB13,[4]characters!$A:$J,10,FALSE)</f>
        <v>Drop1S</v>
      </c>
      <c r="AF13" s="79">
        <v>1</v>
      </c>
      <c r="AG13" s="23">
        <f t="shared" ca="1" si="13"/>
        <v>3</v>
      </c>
      <c r="AH13" s="80">
        <v>15</v>
      </c>
      <c r="AI13" s="79">
        <v>0</v>
      </c>
      <c r="AJ13" s="79">
        <v>0</v>
      </c>
      <c r="AK13" s="79">
        <v>0</v>
      </c>
      <c r="AL13" s="79">
        <v>0</v>
      </c>
      <c r="AM13" s="79">
        <v>1</v>
      </c>
    </row>
    <row r="14" spans="1:39" ht="21" customHeight="1" x14ac:dyDescent="0.15">
      <c r="A14" s="14" t="str">
        <f t="shared" ref="A14" si="14">B14&amp;"_"&amp;C14&amp;"-"&amp;G14&amp;"/"&amp;L14&amp;"&lt;lv"&amp;R14&amp;"&gt;s"&amp;AA14</f>
        <v>30015_1-5/422&lt;lv60&gt;s2</v>
      </c>
      <c r="B14" s="71">
        <v>30015</v>
      </c>
      <c r="C14" s="72">
        <v>1</v>
      </c>
      <c r="D14" s="2" t="str">
        <f t="shared" ref="D14" si="15">B14&amp;"_"&amp;C14</f>
        <v>30015_1</v>
      </c>
      <c r="E14" s="4" t="str">
        <f ca="1">VLOOKUP($B14,OFFSET([2]quests!$A$1,0,0,COUNTA([2]quests!$A:$A),MATCH(E$1,[2]quests!$1:$1,0)-MATCH($B$1,[2]quests!$1:$1,0)+1),MATCH(E$1,[2]quests!$1:$1,0)-MATCH($B$1,[2]quests!$1:$1,0)+1,FALSE)</f>
        <v>兄妹の大冒険</v>
      </c>
      <c r="F14" s="4" t="str">
        <f ca="1">VLOOKUP($D14,OFFSET([2]stages!$A$1,0,0,COUNTA([2]stages!$A:$A),MATCH(F$1,[2]stages!$2:$2,0)-MATCH($D$1,[2]stages!$2:$2,0)+1),MATCH(F$1,[2]stages!$2:$2,0)-MATCH($D$1,[2]stages!$2:$2,0)+1,FALSE)</f>
        <v>【超級】兄妹の大冒険</v>
      </c>
      <c r="G14" s="72">
        <v>5</v>
      </c>
      <c r="H14" s="73" t="str">
        <f t="shared" ref="H14" si="16">B14&amp;"_"&amp;C14&amp;"-"&amp;G14</f>
        <v>30015_1-5</v>
      </c>
      <c r="I14" s="74">
        <f ca="1">VLOOKUP($H14,OFFSET(floors!$A$1,0,0,COUNTA(floors!$A:$A),MATCH(I$1,floors!$1:$1,0)-MATCH($H$1,floors!$1:$1,0)+1),MATCH(I$1,floors!$1:$1,0)-MATCH($H$1,floors!$1:$1,0)+1,FALSE)</f>
        <v>60</v>
      </c>
      <c r="J14" s="74">
        <f ca="1">VLOOKUP($H14,OFFSET(floors!$A$1,0,0,COUNTA(floors!$A:$A),MATCH(J$1,floors!$1:$1,0)-MATCH($H$1,floors!$1:$1,0)+1),MATCH(J$1,floors!$1:$1,0)-MATCH($H$1,floors!$1:$1,0)+1,FALSE)</f>
        <v>60</v>
      </c>
      <c r="K14" s="75">
        <v>1</v>
      </c>
      <c r="L14" s="72">
        <v>422</v>
      </c>
      <c r="M14" s="15" t="str">
        <f ca="1">VLOOKUP(L14,[3]enemies!$A:$B,2,FALSE)</f>
        <v>シュガフル</v>
      </c>
      <c r="N14" s="17" t="str">
        <f ca="1">VLOOKUP(L14,[3]enemies!$A:$D,4,FALSE)</f>
        <v>blue</v>
      </c>
      <c r="O14" s="17" t="str">
        <f>VLOOKUP(L14,[4]characters!$A:$J,10,FALSE)</f>
        <v>Drop2N</v>
      </c>
      <c r="P14" s="16" t="str">
        <f>VLOOKUP(L14,[4]characters!$A:$M,13,FALSE)</f>
        <v>human</v>
      </c>
      <c r="Q14" s="4">
        <f ca="1">VLOOKUP(L14,[3]enemies!$A:$X,24,FALSE)</f>
        <v>30</v>
      </c>
      <c r="R14" s="76">
        <v>60</v>
      </c>
      <c r="S14" s="77">
        <v>1.5</v>
      </c>
      <c r="T14" s="77">
        <v>1</v>
      </c>
      <c r="U14" s="76">
        <v>0</v>
      </c>
      <c r="V14" s="87">
        <v>30015003</v>
      </c>
      <c r="W14" s="4" t="str">
        <f>IFERROR(VLOOKUP(V14,[5]enemy_skill_sets!$B:$E,4,FALSE),VLOOKUP(V14,enemy_skill_sets!B:E,4,FALSE))</f>
        <v>…なにしに来たの？</v>
      </c>
      <c r="X14" s="78">
        <v>1</v>
      </c>
      <c r="Y14" s="78">
        <v>100</v>
      </c>
      <c r="Z14" s="78">
        <v>1</v>
      </c>
      <c r="AA14" s="89">
        <v>2</v>
      </c>
      <c r="AB14" s="23">
        <f t="shared" ref="AB14" si="17">L14</f>
        <v>422</v>
      </c>
      <c r="AC14" s="4" t="str">
        <f ca="1">VLOOKUP(AB14,[3]enemies!$A:$B,2,FALSE)</f>
        <v>シュガフル</v>
      </c>
      <c r="AD14" s="4">
        <f ca="1">VLOOKUP(AB14,[3]enemies!$A:$E,3,FALSE)</f>
        <v>4</v>
      </c>
      <c r="AE14" s="4" t="str">
        <f>VLOOKUP(AB14,[4]characters!$A:$J,10,FALSE)</f>
        <v>Drop2N</v>
      </c>
      <c r="AF14" s="79">
        <v>1</v>
      </c>
      <c r="AG14" s="23">
        <f t="shared" ref="AG14" ca="1" si="18">AD14</f>
        <v>4</v>
      </c>
      <c r="AH14" s="80">
        <v>50</v>
      </c>
      <c r="AI14" s="79">
        <v>0</v>
      </c>
      <c r="AJ14" s="79">
        <v>0</v>
      </c>
      <c r="AK14" s="79">
        <v>0</v>
      </c>
      <c r="AL14" s="79">
        <v>0</v>
      </c>
      <c r="AM14" s="79">
        <v>1</v>
      </c>
    </row>
    <row r="15" spans="1:39" ht="21" customHeight="1" x14ac:dyDescent="0.15">
      <c r="A15" s="14" t="str">
        <f ca="1">B15&amp;"_"&amp;C15&amp;"-"&amp;G15&amp;"/"&amp;L15&amp;"&lt;lv"&amp;R15&amp;"&gt;s"&amp;AA15</f>
        <v>30015_2-1/6&lt;lv75&gt;s3</v>
      </c>
      <c r="B15" s="61">
        <v>30015</v>
      </c>
      <c r="C15" s="62">
        <v>2</v>
      </c>
      <c r="D15" s="2" t="str">
        <f>B15&amp;"_"&amp;C15</f>
        <v>30015_2</v>
      </c>
      <c r="E15" s="4" t="str">
        <f ca="1">VLOOKUP($B15,OFFSET([2]quests!$A$1,0,0,COUNTA([2]quests!$A:$A),MATCH(E$1,[2]quests!$1:$1,0)-MATCH($B$1,[2]quests!$1:$1,0)+1),MATCH(E$1,[2]quests!$1:$1,0)-MATCH($B$1,[2]quests!$1:$1,0)+1,FALSE)</f>
        <v>兄妹の大冒険</v>
      </c>
      <c r="F15" s="4" t="str">
        <f ca="1">VLOOKUP($D15,OFFSET([2]stages!$A$1,0,0,COUNTA([2]stages!$A:$A),MATCH(F$1,[2]stages!$2:$2,0)-MATCH($D$1,[2]stages!$2:$2,0)+1),MATCH(F$1,[2]stages!$2:$2,0)-MATCH($D$1,[2]stages!$2:$2,0)+1,FALSE)</f>
        <v>【超絶級】兄妹の大冒険</v>
      </c>
      <c r="G15" s="62">
        <v>1</v>
      </c>
      <c r="H15" s="63" t="str">
        <f>B15&amp;"_"&amp;C15&amp;"-"&amp;G15</f>
        <v>30015_2-1</v>
      </c>
      <c r="I15" s="64">
        <f ca="1">VLOOKUP($H15,OFFSET(floors!$A$1,0,0,COUNTA(floors!$A:$A),MATCH(I$1,floors!$1:$1,0)-MATCH($H$1,floors!$1:$1,0)+1),MATCH(I$1,floors!$1:$1,0)-MATCH($H$1,floors!$1:$1,0)+1,FALSE)</f>
        <v>30</v>
      </c>
      <c r="J15" s="64">
        <f ca="1">VLOOKUP($H15,OFFSET(floors!$A$1,0,0,COUNTA(floors!$A:$A),MATCH(J$1,floors!$1:$1,0)-MATCH($H$1,floors!$1:$1,0)+1),MATCH(J$1,floors!$1:$1,0)-MATCH($H$1,floors!$1:$1,0)+1,FALSE)</f>
        <v>30</v>
      </c>
      <c r="K15" s="65" t="s">
        <v>132</v>
      </c>
      <c r="L15" s="62">
        <v>6</v>
      </c>
      <c r="M15" s="15" t="str">
        <f ca="1">VLOOKUP(L15,[3]enemies!$A:$B,2,FALSE)</f>
        <v>パトドッグリーダー ポチ</v>
      </c>
      <c r="N15" s="17" t="str">
        <f ca="1">VLOOKUP(L15,[3]enemies!$A:$D,4,FALSE)</f>
        <v>blue</v>
      </c>
      <c r="O15" s="17" t="str">
        <f>VLOOKUP(L15,[4]characters!$A:$J,10,FALSE)</f>
        <v>Drop1T</v>
      </c>
      <c r="P15" s="16" t="str">
        <f>VLOOKUP(L15,[4]characters!$A:$M,13,FALSE)</f>
        <v>unknown</v>
      </c>
      <c r="Q15" s="4">
        <f ca="1">VLOOKUP(L15,[3]enemies!$A:$X,24,FALSE)</f>
        <v>15</v>
      </c>
      <c r="R15" s="66">
        <v>75</v>
      </c>
      <c r="S15" s="67">
        <v>2</v>
      </c>
      <c r="T15" s="67">
        <v>1</v>
      </c>
      <c r="U15" s="66">
        <v>0</v>
      </c>
      <c r="V15" s="4">
        <f ca="1">VLOOKUP(L15,[3]enemies!$A:$AB,28,FALSE)</f>
        <v>0</v>
      </c>
      <c r="W15" s="4" t="str">
        <f ca="1">IFERROR(VLOOKUP(V15,[5]enemy_skill_sets!$B:$E,4,FALSE),VLOOKUP(V15,enemy_skill_sets!B:E,4,FALSE))</f>
        <v>なし</v>
      </c>
      <c r="X15" s="68">
        <v>0</v>
      </c>
      <c r="Y15" s="68">
        <v>100</v>
      </c>
      <c r="Z15" s="68">
        <v>0</v>
      </c>
      <c r="AA15" s="4">
        <f ca="1">VLOOKUP(L15,[3]enemies!$A:$V,22,FALSE)</f>
        <v>3</v>
      </c>
      <c r="AB15" s="23">
        <f>L15</f>
        <v>6</v>
      </c>
      <c r="AC15" s="4" t="str">
        <f ca="1">VLOOKUP(AB15,[3]enemies!$A:$B,2,FALSE)</f>
        <v>パトドッグリーダー ポチ</v>
      </c>
      <c r="AD15" s="4">
        <f ca="1">VLOOKUP(AB15,[3]enemies!$A:$E,3,FALSE)</f>
        <v>2</v>
      </c>
      <c r="AE15" s="4" t="str">
        <f>VLOOKUP(AB15,[4]characters!$A:$J,10,FALSE)</f>
        <v>Drop1T</v>
      </c>
      <c r="AF15" s="69">
        <v>1</v>
      </c>
      <c r="AG15" s="23">
        <f ca="1">AD15</f>
        <v>2</v>
      </c>
      <c r="AH15" s="70">
        <v>15</v>
      </c>
      <c r="AI15" s="69">
        <v>0</v>
      </c>
      <c r="AJ15" s="69">
        <v>0</v>
      </c>
      <c r="AK15" s="69">
        <v>0</v>
      </c>
      <c r="AL15" s="69">
        <v>0</v>
      </c>
      <c r="AM15" s="69">
        <v>1</v>
      </c>
    </row>
    <row r="16" spans="1:39" ht="21" customHeight="1" x14ac:dyDescent="0.15">
      <c r="A16" s="14" t="str">
        <f t="shared" ref="A16:A24" ca="1" si="19">B16&amp;"_"&amp;C16&amp;"-"&amp;G16&amp;"/"&amp;L16&amp;"&lt;lv"&amp;R16&amp;"&gt;s"&amp;AA16</f>
        <v>30015_2-1/20&lt;lv75&gt;s3</v>
      </c>
      <c r="B16" s="61">
        <v>30015</v>
      </c>
      <c r="C16" s="62">
        <v>2</v>
      </c>
      <c r="D16" s="2" t="str">
        <f t="shared" ref="D16:D24" si="20">B16&amp;"_"&amp;C16</f>
        <v>30015_2</v>
      </c>
      <c r="E16" s="4" t="str">
        <f ca="1">VLOOKUP($B16,OFFSET([2]quests!$A$1,0,0,COUNTA([2]quests!$A:$A),MATCH(E$1,[2]quests!$1:$1,0)-MATCH($B$1,[2]quests!$1:$1,0)+1),MATCH(E$1,[2]quests!$1:$1,0)-MATCH($B$1,[2]quests!$1:$1,0)+1,FALSE)</f>
        <v>兄妹の大冒険</v>
      </c>
      <c r="F16" s="4" t="str">
        <f ca="1">VLOOKUP($D16,OFFSET([2]stages!$A$1,0,0,COUNTA([2]stages!$A:$A),MATCH(F$1,[2]stages!$2:$2,0)-MATCH($D$1,[2]stages!$2:$2,0)+1),MATCH(F$1,[2]stages!$2:$2,0)-MATCH($D$1,[2]stages!$2:$2,0)+1,FALSE)</f>
        <v>【超絶級】兄妹の大冒険</v>
      </c>
      <c r="G16" s="62">
        <v>1</v>
      </c>
      <c r="H16" s="63" t="str">
        <f t="shared" ref="H16:H22" si="21">B16&amp;"_"&amp;C16&amp;"-"&amp;G16</f>
        <v>30015_2-1</v>
      </c>
      <c r="I16" s="64">
        <f ca="1">VLOOKUP($H16,OFFSET(floors!$A$1,0,0,COUNTA(floors!$A:$A),MATCH(I$1,floors!$1:$1,0)-MATCH($H$1,floors!$1:$1,0)+1),MATCH(I$1,floors!$1:$1,0)-MATCH($H$1,floors!$1:$1,0)+1,FALSE)</f>
        <v>30</v>
      </c>
      <c r="J16" s="64">
        <f ca="1">VLOOKUP($H16,OFFSET(floors!$A$1,0,0,COUNTA(floors!$A:$A),MATCH(J$1,floors!$1:$1,0)-MATCH($H$1,floors!$1:$1,0)+1),MATCH(J$1,floors!$1:$1,0)-MATCH($H$1,floors!$1:$1,0)+1,FALSE)</f>
        <v>30</v>
      </c>
      <c r="K16" s="65" t="s">
        <v>88</v>
      </c>
      <c r="L16" s="62">
        <v>20</v>
      </c>
      <c r="M16" s="15" t="str">
        <f ca="1">VLOOKUP(L16,[3]enemies!$A:$B,2,FALSE)</f>
        <v>電子妖精 ティンク</v>
      </c>
      <c r="N16" s="17" t="str">
        <f ca="1">VLOOKUP(L16,[3]enemies!$A:$D,4,FALSE)</f>
        <v>yellow</v>
      </c>
      <c r="O16" s="17" t="str">
        <f>VLOOKUP(L16,[4]characters!$A:$J,10,FALSE)</f>
        <v>Drop1W</v>
      </c>
      <c r="P16" s="16" t="str">
        <f>VLOOKUP(L16,[4]characters!$A:$M,13,FALSE)</f>
        <v>human</v>
      </c>
      <c r="Q16" s="4">
        <f ca="1">VLOOKUP(L16,[3]enemies!$A:$X,24,FALSE)</f>
        <v>15</v>
      </c>
      <c r="R16" s="66">
        <v>75</v>
      </c>
      <c r="S16" s="67">
        <v>2</v>
      </c>
      <c r="T16" s="67">
        <v>1</v>
      </c>
      <c r="U16" s="66">
        <v>0</v>
      </c>
      <c r="V16" s="4">
        <f ca="1">VLOOKUP(L16,[3]enemies!$A:$AB,28,FALSE)</f>
        <v>0</v>
      </c>
      <c r="W16" s="4" t="str">
        <f ca="1">IFERROR(VLOOKUP(V16,[5]enemy_skill_sets!$B:$E,4,FALSE),VLOOKUP(V16,enemy_skill_sets!B:E,4,FALSE))</f>
        <v>なし</v>
      </c>
      <c r="X16" s="68">
        <v>0</v>
      </c>
      <c r="Y16" s="68">
        <v>100</v>
      </c>
      <c r="Z16" s="68">
        <v>1</v>
      </c>
      <c r="AA16" s="4">
        <f ca="1">VLOOKUP(L16,[3]enemies!$A:$V,22,FALSE)</f>
        <v>3</v>
      </c>
      <c r="AB16" s="23">
        <f t="shared" ref="AB16:AB24" si="22">L16</f>
        <v>20</v>
      </c>
      <c r="AC16" s="4" t="str">
        <f ca="1">VLOOKUP(AB16,[3]enemies!$A:$B,2,FALSE)</f>
        <v>電子妖精 ティンク</v>
      </c>
      <c r="AD16" s="4">
        <f ca="1">VLOOKUP(AB16,[3]enemies!$A:$E,3,FALSE)</f>
        <v>2</v>
      </c>
      <c r="AE16" s="4" t="str">
        <f>VLOOKUP(AB16,[4]characters!$A:$J,10,FALSE)</f>
        <v>Drop1W</v>
      </c>
      <c r="AF16" s="69">
        <v>1</v>
      </c>
      <c r="AG16" s="23">
        <f t="shared" ref="AG16:AG24" ca="1" si="23">AD16</f>
        <v>2</v>
      </c>
      <c r="AH16" s="70">
        <v>15</v>
      </c>
      <c r="AI16" s="69">
        <v>0</v>
      </c>
      <c r="AJ16" s="69">
        <v>0</v>
      </c>
      <c r="AK16" s="69">
        <v>0</v>
      </c>
      <c r="AL16" s="69">
        <v>0</v>
      </c>
      <c r="AM16" s="69">
        <v>1</v>
      </c>
    </row>
    <row r="17" spans="1:39" ht="21" customHeight="1" x14ac:dyDescent="0.15">
      <c r="A17" s="14" t="str">
        <f t="shared" ca="1" si="19"/>
        <v>30015_2-1/26&lt;lv75&gt;s3</v>
      </c>
      <c r="B17" s="61">
        <v>30015</v>
      </c>
      <c r="C17" s="62">
        <v>2</v>
      </c>
      <c r="D17" s="2" t="str">
        <f t="shared" si="20"/>
        <v>30015_2</v>
      </c>
      <c r="E17" s="4" t="str">
        <f ca="1">VLOOKUP($B17,OFFSET([2]quests!$A$1,0,0,COUNTA([2]quests!$A:$A),MATCH(E$1,[2]quests!$1:$1,0)-MATCH($B$1,[2]quests!$1:$1,0)+1),MATCH(E$1,[2]quests!$1:$1,0)-MATCH($B$1,[2]quests!$1:$1,0)+1,FALSE)</f>
        <v>兄妹の大冒険</v>
      </c>
      <c r="F17" s="4" t="str">
        <f ca="1">VLOOKUP($D17,OFFSET([2]stages!$A$1,0,0,COUNTA([2]stages!$A:$A),MATCH(F$1,[2]stages!$2:$2,0)-MATCH($D$1,[2]stages!$2:$2,0)+1),MATCH(F$1,[2]stages!$2:$2,0)-MATCH($D$1,[2]stages!$2:$2,0)+1,FALSE)</f>
        <v>【超絶級】兄妹の大冒険</v>
      </c>
      <c r="G17" s="62">
        <v>1</v>
      </c>
      <c r="H17" s="63" t="str">
        <f t="shared" si="21"/>
        <v>30015_2-1</v>
      </c>
      <c r="I17" s="64">
        <f ca="1">VLOOKUP($H17,OFFSET(floors!$A$1,0,0,COUNTA(floors!$A:$A),MATCH(I$1,floors!$1:$1,0)-MATCH($H$1,floors!$1:$1,0)+1),MATCH(I$1,floors!$1:$1,0)-MATCH($H$1,floors!$1:$1,0)+1,FALSE)</f>
        <v>30</v>
      </c>
      <c r="J17" s="64">
        <f ca="1">VLOOKUP($H17,OFFSET(floors!$A$1,0,0,COUNTA(floors!$A:$A),MATCH(J$1,floors!$1:$1,0)-MATCH($H$1,floors!$1:$1,0)+1),MATCH(J$1,floors!$1:$1,0)-MATCH($H$1,floors!$1:$1,0)+1,FALSE)</f>
        <v>30</v>
      </c>
      <c r="K17" s="65" t="s">
        <v>133</v>
      </c>
      <c r="L17" s="62">
        <v>26</v>
      </c>
      <c r="M17" s="15" t="str">
        <f ca="1">VLOOKUP(L17,[3]enemies!$A:$B,2,FALSE)</f>
        <v>勇犬 ハチ</v>
      </c>
      <c r="N17" s="17" t="str">
        <f ca="1">VLOOKUP(L17,[3]enemies!$A:$D,4,FALSE)</f>
        <v>blue</v>
      </c>
      <c r="O17" s="17" t="str">
        <f>VLOOKUP(L17,[4]characters!$A:$J,10,FALSE)</f>
        <v>Drop1N</v>
      </c>
      <c r="P17" s="16" t="str">
        <f>VLOOKUP(L17,[4]characters!$A:$M,13,FALSE)</f>
        <v>animal</v>
      </c>
      <c r="Q17" s="4">
        <f ca="1">VLOOKUP(L17,[3]enemies!$A:$X,24,FALSE)</f>
        <v>15</v>
      </c>
      <c r="R17" s="66">
        <v>75</v>
      </c>
      <c r="S17" s="67">
        <v>2</v>
      </c>
      <c r="T17" s="67">
        <v>1</v>
      </c>
      <c r="U17" s="66">
        <v>0</v>
      </c>
      <c r="V17" s="4">
        <f ca="1">VLOOKUP(L17,[3]enemies!$A:$AB,28,FALSE)</f>
        <v>0</v>
      </c>
      <c r="W17" s="4" t="str">
        <f ca="1">IFERROR(VLOOKUP(V17,[5]enemy_skill_sets!$B:$E,4,FALSE),VLOOKUP(V17,enemy_skill_sets!B:E,4,FALSE))</f>
        <v>なし</v>
      </c>
      <c r="X17" s="68">
        <v>0</v>
      </c>
      <c r="Y17" s="68">
        <v>100</v>
      </c>
      <c r="Z17" s="68">
        <v>0</v>
      </c>
      <c r="AA17" s="4">
        <f ca="1">VLOOKUP(L17,[3]enemies!$A:$V,22,FALSE)</f>
        <v>3</v>
      </c>
      <c r="AB17" s="23">
        <f t="shared" si="22"/>
        <v>26</v>
      </c>
      <c r="AC17" s="4" t="str">
        <f ca="1">VLOOKUP(AB17,[3]enemies!$A:$B,2,FALSE)</f>
        <v>勇犬 ハチ</v>
      </c>
      <c r="AD17" s="4">
        <f ca="1">VLOOKUP(AB17,[3]enemies!$A:$E,3,FALSE)</f>
        <v>2</v>
      </c>
      <c r="AE17" s="4" t="str">
        <f>VLOOKUP(AB17,[4]characters!$A:$J,10,FALSE)</f>
        <v>Drop1N</v>
      </c>
      <c r="AF17" s="69">
        <v>1</v>
      </c>
      <c r="AG17" s="23">
        <f t="shared" ca="1" si="23"/>
        <v>2</v>
      </c>
      <c r="AH17" s="70">
        <v>15</v>
      </c>
      <c r="AI17" s="69">
        <v>0</v>
      </c>
      <c r="AJ17" s="69">
        <v>0</v>
      </c>
      <c r="AK17" s="69">
        <v>0</v>
      </c>
      <c r="AL17" s="69">
        <v>0</v>
      </c>
      <c r="AM17" s="69">
        <v>1</v>
      </c>
    </row>
    <row r="18" spans="1:39" ht="21" customHeight="1" x14ac:dyDescent="0.15">
      <c r="A18" s="14" t="str">
        <f t="shared" ca="1" si="19"/>
        <v>30015_2-1/365&lt;lv75&gt;s3</v>
      </c>
      <c r="B18" s="61">
        <v>30015</v>
      </c>
      <c r="C18" s="62">
        <v>2</v>
      </c>
      <c r="D18" s="2" t="str">
        <f t="shared" si="20"/>
        <v>30015_2</v>
      </c>
      <c r="E18" s="4" t="str">
        <f ca="1">VLOOKUP($B18,OFFSET([2]quests!$A$1,0,0,COUNTA([2]quests!$A:$A),MATCH(E$1,[2]quests!$1:$1,0)-MATCH($B$1,[2]quests!$1:$1,0)+1),MATCH(E$1,[2]quests!$1:$1,0)-MATCH($B$1,[2]quests!$1:$1,0)+1,FALSE)</f>
        <v>兄妹の大冒険</v>
      </c>
      <c r="F18" s="4" t="str">
        <f ca="1">VLOOKUP($D18,OFFSET([2]stages!$A$1,0,0,COUNTA([2]stages!$A:$A),MATCH(F$1,[2]stages!$2:$2,0)-MATCH($D$1,[2]stages!$2:$2,0)+1),MATCH(F$1,[2]stages!$2:$2,0)-MATCH($D$1,[2]stages!$2:$2,0)+1,FALSE)</f>
        <v>【超絶級】兄妹の大冒険</v>
      </c>
      <c r="G18" s="62">
        <v>1</v>
      </c>
      <c r="H18" s="63" t="str">
        <f t="shared" si="21"/>
        <v>30015_2-1</v>
      </c>
      <c r="I18" s="64">
        <f ca="1">VLOOKUP($H18,OFFSET(floors!$A$1,0,0,COUNTA(floors!$A:$A),MATCH(I$1,floors!$1:$1,0)-MATCH($H$1,floors!$1:$1,0)+1),MATCH(I$1,floors!$1:$1,0)-MATCH($H$1,floors!$1:$1,0)+1,FALSE)</f>
        <v>30</v>
      </c>
      <c r="J18" s="64">
        <f ca="1">VLOOKUP($H18,OFFSET(floors!$A$1,0,0,COUNTA(floors!$A:$A),MATCH(J$1,floors!$1:$1,0)-MATCH($H$1,floors!$1:$1,0)+1),MATCH(J$1,floors!$1:$1,0)-MATCH($H$1,floors!$1:$1,0)+1,FALSE)</f>
        <v>30</v>
      </c>
      <c r="K18" s="65" t="s">
        <v>88</v>
      </c>
      <c r="L18" s="62">
        <v>365</v>
      </c>
      <c r="M18" s="15" t="str">
        <f ca="1">VLOOKUP(L18,[3]enemies!$A:$B,2,FALSE)</f>
        <v>惨劇の人形 ノエル</v>
      </c>
      <c r="N18" s="17" t="str">
        <f ca="1">VLOOKUP(L18,[3]enemies!$A:$D,4,FALSE)</f>
        <v>blue</v>
      </c>
      <c r="O18" s="17" t="str">
        <f>VLOOKUP(L18,[4]characters!$A:$J,10,FALSE)</f>
        <v>Drop1S</v>
      </c>
      <c r="P18" s="16" t="str">
        <f>VLOOKUP(L18,[4]characters!$A:$M,13,FALSE)</f>
        <v>animal</v>
      </c>
      <c r="Q18" s="4">
        <f ca="1">VLOOKUP(L18,[3]enemies!$A:$X,24,FALSE)</f>
        <v>15</v>
      </c>
      <c r="R18" s="66">
        <v>75</v>
      </c>
      <c r="S18" s="67">
        <v>2</v>
      </c>
      <c r="T18" s="67">
        <v>1</v>
      </c>
      <c r="U18" s="66">
        <v>0</v>
      </c>
      <c r="V18" s="4">
        <f ca="1">VLOOKUP(L18,[3]enemies!$A:$AB,28,FALSE)</f>
        <v>0</v>
      </c>
      <c r="W18" s="4" t="str">
        <f ca="1">IFERROR(VLOOKUP(V18,[5]enemy_skill_sets!$B:$E,4,FALSE),VLOOKUP(V18,enemy_skill_sets!B:E,4,FALSE))</f>
        <v>なし</v>
      </c>
      <c r="X18" s="68">
        <v>0</v>
      </c>
      <c r="Y18" s="68">
        <v>100</v>
      </c>
      <c r="Z18" s="68">
        <v>0</v>
      </c>
      <c r="AA18" s="4">
        <f ca="1">VLOOKUP(L18,[3]enemies!$A:$V,22,FALSE)</f>
        <v>3</v>
      </c>
      <c r="AB18" s="23">
        <f t="shared" si="22"/>
        <v>365</v>
      </c>
      <c r="AC18" s="4" t="str">
        <f ca="1">VLOOKUP(AB18,[3]enemies!$A:$B,2,FALSE)</f>
        <v>惨劇の人形 ノエル</v>
      </c>
      <c r="AD18" s="4">
        <f ca="1">VLOOKUP(AB18,[3]enemies!$A:$E,3,FALSE)</f>
        <v>3</v>
      </c>
      <c r="AE18" s="4" t="str">
        <f>VLOOKUP(AB18,[4]characters!$A:$J,10,FALSE)</f>
        <v>Drop1S</v>
      </c>
      <c r="AF18" s="69">
        <v>1</v>
      </c>
      <c r="AG18" s="23">
        <f t="shared" ca="1" si="23"/>
        <v>3</v>
      </c>
      <c r="AH18" s="70">
        <v>15</v>
      </c>
      <c r="AI18" s="69">
        <v>0</v>
      </c>
      <c r="AJ18" s="69">
        <v>0</v>
      </c>
      <c r="AK18" s="69">
        <v>0</v>
      </c>
      <c r="AL18" s="69">
        <v>0</v>
      </c>
      <c r="AM18" s="69">
        <v>1</v>
      </c>
    </row>
    <row r="19" spans="1:39" ht="21" customHeight="1" x14ac:dyDescent="0.15">
      <c r="A19" s="14" t="str">
        <f t="shared" ref="A19:A20" ca="1" si="24">B19&amp;"_"&amp;C19&amp;"-"&amp;G19&amp;"/"&amp;L19&amp;"&lt;lv"&amp;R19&amp;"&gt;s"&amp;AA19</f>
        <v>30015_2-4/10&lt;lv75&gt;s2</v>
      </c>
      <c r="B19" s="61">
        <v>30015</v>
      </c>
      <c r="C19" s="62">
        <v>2</v>
      </c>
      <c r="D19" s="2" t="str">
        <f t="shared" ref="D19:D20" si="25">B19&amp;"_"&amp;C19</f>
        <v>30015_2</v>
      </c>
      <c r="E19" s="4" t="str">
        <f ca="1">VLOOKUP($B19,OFFSET([2]quests!$A$1,0,0,COUNTA([2]quests!$A:$A),MATCH(E$1,[2]quests!$1:$1,0)-MATCH($B$1,[2]quests!$1:$1,0)+1),MATCH(E$1,[2]quests!$1:$1,0)-MATCH($B$1,[2]quests!$1:$1,0)+1,FALSE)</f>
        <v>兄妹の大冒険</v>
      </c>
      <c r="F19" s="4" t="str">
        <f ca="1">VLOOKUP($D19,OFFSET([2]stages!$A$1,0,0,COUNTA([2]stages!$A:$A),MATCH(F$1,[2]stages!$2:$2,0)-MATCH($D$1,[2]stages!$2:$2,0)+1),MATCH(F$1,[2]stages!$2:$2,0)-MATCH($D$1,[2]stages!$2:$2,0)+1,FALSE)</f>
        <v>【超絶級】兄妹の大冒険</v>
      </c>
      <c r="G19" s="91">
        <v>4</v>
      </c>
      <c r="H19" s="63" t="str">
        <f t="shared" si="21"/>
        <v>30015_2-4</v>
      </c>
      <c r="I19" s="64">
        <f ca="1">VLOOKUP($H19,OFFSET(floors!$A$1,0,0,COUNTA(floors!$A:$A),MATCH(I$1,floors!$1:$1,0)-MATCH($H$1,floors!$1:$1,0)+1),MATCH(I$1,floors!$1:$1,0)-MATCH($H$1,floors!$1:$1,0)+1,FALSE)</f>
        <v>30</v>
      </c>
      <c r="J19" s="64">
        <f ca="1">VLOOKUP($H19,OFFSET(floors!$A$1,0,0,COUNTA(floors!$A:$A),MATCH(J$1,floors!$1:$1,0)-MATCH($H$1,floors!$1:$1,0)+1),MATCH(J$1,floors!$1:$1,0)-MATCH($H$1,floors!$1:$1,0)+1,FALSE)</f>
        <v>30</v>
      </c>
      <c r="K19" s="65" t="s">
        <v>133</v>
      </c>
      <c r="L19" s="62">
        <v>10</v>
      </c>
      <c r="M19" s="15" t="str">
        <f ca="1">VLOOKUP(L19,[3]enemies!$A:$B,2,FALSE)</f>
        <v>燃える悪戯魂 ブレット</v>
      </c>
      <c r="N19" s="17" t="str">
        <f ca="1">VLOOKUP(L19,[3]enemies!$A:$D,4,FALSE)</f>
        <v>red</v>
      </c>
      <c r="O19" s="17" t="str">
        <f>VLOOKUP(L19,[4]characters!$A:$J,10,FALSE)</f>
        <v>Drop1W</v>
      </c>
      <c r="P19" s="16" t="str">
        <f>VLOOKUP(L19,[4]characters!$A:$M,13,FALSE)</f>
        <v>animal</v>
      </c>
      <c r="Q19" s="4">
        <f ca="1">VLOOKUP(L19,[3]enemies!$A:$X,24,FALSE)</f>
        <v>15</v>
      </c>
      <c r="R19" s="66">
        <v>75</v>
      </c>
      <c r="S19" s="67">
        <v>1</v>
      </c>
      <c r="T19" s="67">
        <v>1</v>
      </c>
      <c r="U19" s="66">
        <v>0</v>
      </c>
      <c r="V19" s="90">
        <v>30015006</v>
      </c>
      <c r="W19" s="4" t="str">
        <f>IFERROR(VLOOKUP(V19,[5]enemy_skill_sets!$B:$E,4,FALSE),VLOOKUP(V19,enemy_skill_sets!B:E,4,FALSE))</f>
        <v>パンくずトラップ</v>
      </c>
      <c r="X19" s="68">
        <v>0</v>
      </c>
      <c r="Y19" s="68">
        <v>100</v>
      </c>
      <c r="Z19" s="68">
        <v>1</v>
      </c>
      <c r="AA19" s="4">
        <f ca="1">VLOOKUP(L19,[3]enemies!$A:$V,22,FALSE)</f>
        <v>2</v>
      </c>
      <c r="AB19" s="23">
        <f t="shared" ref="AB19:AB20" si="26">L19</f>
        <v>10</v>
      </c>
      <c r="AC19" s="4" t="str">
        <f ca="1">VLOOKUP(AB19,[3]enemies!$A:$B,2,FALSE)</f>
        <v>燃える悪戯魂 ブレット</v>
      </c>
      <c r="AD19" s="4">
        <f ca="1">VLOOKUP(AB19,[3]enemies!$A:$E,3,FALSE)</f>
        <v>2</v>
      </c>
      <c r="AE19" s="4" t="str">
        <f>VLOOKUP(AB19,[4]characters!$A:$J,10,FALSE)</f>
        <v>Drop1W</v>
      </c>
      <c r="AF19" s="69">
        <v>1</v>
      </c>
      <c r="AG19" s="23">
        <f t="shared" ref="AG19:AG20" ca="1" si="27">AD19</f>
        <v>2</v>
      </c>
      <c r="AH19" s="70">
        <v>15</v>
      </c>
      <c r="AI19" s="69">
        <v>0</v>
      </c>
      <c r="AJ19" s="69">
        <v>0</v>
      </c>
      <c r="AK19" s="69">
        <v>0</v>
      </c>
      <c r="AL19" s="69">
        <v>0</v>
      </c>
      <c r="AM19" s="69">
        <v>1</v>
      </c>
    </row>
    <row r="20" spans="1:39" ht="21" customHeight="1" x14ac:dyDescent="0.15">
      <c r="A20" s="14" t="str">
        <f t="shared" ca="1" si="24"/>
        <v>30015_2-4/47&lt;lv75&gt;s1</v>
      </c>
      <c r="B20" s="61">
        <v>30015</v>
      </c>
      <c r="C20" s="62">
        <v>2</v>
      </c>
      <c r="D20" s="2" t="str">
        <f t="shared" si="25"/>
        <v>30015_2</v>
      </c>
      <c r="E20" s="4" t="str">
        <f ca="1">VLOOKUP($B20,OFFSET([2]quests!$A$1,0,0,COUNTA([2]quests!$A:$A),MATCH(E$1,[2]quests!$1:$1,0)-MATCH($B$1,[2]quests!$1:$1,0)+1),MATCH(E$1,[2]quests!$1:$1,0)-MATCH($B$1,[2]quests!$1:$1,0)+1,FALSE)</f>
        <v>兄妹の大冒険</v>
      </c>
      <c r="F20" s="4" t="str">
        <f ca="1">VLOOKUP($D20,OFFSET([2]stages!$A$1,0,0,COUNTA([2]stages!$A:$A),MATCH(F$1,[2]stages!$2:$2,0)-MATCH($D$1,[2]stages!$2:$2,0)+1),MATCH(F$1,[2]stages!$2:$2,0)-MATCH($D$1,[2]stages!$2:$2,0)+1,FALSE)</f>
        <v>【超絶級】兄妹の大冒険</v>
      </c>
      <c r="G20" s="91">
        <v>4</v>
      </c>
      <c r="H20" s="63" t="str">
        <f t="shared" si="21"/>
        <v>30015_2-4</v>
      </c>
      <c r="I20" s="64">
        <f ca="1">VLOOKUP($H20,OFFSET(floors!$A$1,0,0,COUNTA(floors!$A:$A),MATCH(I$1,floors!$1:$1,0)-MATCH($H$1,floors!$1:$1,0)+1),MATCH(I$1,floors!$1:$1,0)-MATCH($H$1,floors!$1:$1,0)+1,FALSE)</f>
        <v>30</v>
      </c>
      <c r="J20" s="64">
        <f ca="1">VLOOKUP($H20,OFFSET(floors!$A$1,0,0,COUNTA(floors!$A:$A),MATCH(J$1,floors!$1:$1,0)-MATCH($H$1,floors!$1:$1,0)+1),MATCH(J$1,floors!$1:$1,0)-MATCH($H$1,floors!$1:$1,0)+1,FALSE)</f>
        <v>30</v>
      </c>
      <c r="K20" s="65" t="s">
        <v>88</v>
      </c>
      <c r="L20" s="62">
        <v>47</v>
      </c>
      <c r="M20" s="15" t="str">
        <f ca="1">VLOOKUP(L20,[3]enemies!$A:$B,2,FALSE)</f>
        <v>ヒロ</v>
      </c>
      <c r="N20" s="17" t="str">
        <f ca="1">VLOOKUP(L20,[3]enemies!$A:$D,4,FALSE)</f>
        <v>yellow</v>
      </c>
      <c r="O20" s="17" t="str">
        <f>VLOOKUP(L20,[4]characters!$A:$J,10,FALSE)</f>
        <v>Drop1N</v>
      </c>
      <c r="P20" s="16" t="str">
        <f>VLOOKUP(L20,[4]characters!$A:$M,13,FALSE)</f>
        <v>animal</v>
      </c>
      <c r="Q20" s="4">
        <f ca="1">VLOOKUP(L20,[3]enemies!$A:$X,24,FALSE)</f>
        <v>15</v>
      </c>
      <c r="R20" s="66">
        <v>75</v>
      </c>
      <c r="S20" s="67">
        <v>1</v>
      </c>
      <c r="T20" s="67">
        <v>1</v>
      </c>
      <c r="U20" s="66">
        <v>0</v>
      </c>
      <c r="V20" s="90">
        <v>30015007</v>
      </c>
      <c r="W20" s="4" t="str">
        <f>IFERROR(VLOOKUP(V20,[5]enemy_skill_sets!$B:$E,4,FALSE),VLOOKUP(V20,enemy_skill_sets!B:E,4,FALSE))</f>
        <v>パンくずトラップ</v>
      </c>
      <c r="X20" s="68">
        <v>1</v>
      </c>
      <c r="Y20" s="68">
        <v>100</v>
      </c>
      <c r="Z20" s="68">
        <v>0</v>
      </c>
      <c r="AA20" s="4">
        <f ca="1">VLOOKUP(L20,[3]enemies!$A:$V,22,FALSE)</f>
        <v>1</v>
      </c>
      <c r="AB20" s="23">
        <f t="shared" si="26"/>
        <v>47</v>
      </c>
      <c r="AC20" s="4" t="str">
        <f ca="1">VLOOKUP(AB20,[3]enemies!$A:$B,2,FALSE)</f>
        <v>ヒロ</v>
      </c>
      <c r="AD20" s="4">
        <f ca="1">VLOOKUP(AB20,[3]enemies!$A:$E,3,FALSE)</f>
        <v>2</v>
      </c>
      <c r="AE20" s="4" t="str">
        <f>VLOOKUP(AB20,[4]characters!$A:$J,10,FALSE)</f>
        <v>Drop1N</v>
      </c>
      <c r="AF20" s="69">
        <v>1</v>
      </c>
      <c r="AG20" s="23">
        <f t="shared" ca="1" si="27"/>
        <v>2</v>
      </c>
      <c r="AH20" s="70">
        <v>15</v>
      </c>
      <c r="AI20" s="69">
        <v>0</v>
      </c>
      <c r="AJ20" s="69">
        <v>0</v>
      </c>
      <c r="AK20" s="69">
        <v>0</v>
      </c>
      <c r="AL20" s="69">
        <v>0</v>
      </c>
      <c r="AM20" s="69">
        <v>1</v>
      </c>
    </row>
    <row r="21" spans="1:39" ht="21" customHeight="1" x14ac:dyDescent="0.15">
      <c r="A21" s="14" t="str">
        <f t="shared" ca="1" si="19"/>
        <v>30015_2-3/215&lt;lv70&gt;s2</v>
      </c>
      <c r="B21" s="61">
        <v>30015</v>
      </c>
      <c r="C21" s="62">
        <v>2</v>
      </c>
      <c r="D21" s="2" t="str">
        <f t="shared" si="20"/>
        <v>30015_2</v>
      </c>
      <c r="E21" s="4" t="str">
        <f ca="1">VLOOKUP($B21,OFFSET([2]quests!$A$1,0,0,COUNTA([2]quests!$A:$A),MATCH(E$1,[2]quests!$1:$1,0)-MATCH($B$1,[2]quests!$1:$1,0)+1),MATCH(E$1,[2]quests!$1:$1,0)-MATCH($B$1,[2]quests!$1:$1,0)+1,FALSE)</f>
        <v>兄妹の大冒険</v>
      </c>
      <c r="F21" s="4" t="str">
        <f ca="1">VLOOKUP($D21,OFFSET([2]stages!$A$1,0,0,COUNTA([2]stages!$A:$A),MATCH(F$1,[2]stages!$2:$2,0)-MATCH($D$1,[2]stages!$2:$2,0)+1),MATCH(F$1,[2]stages!$2:$2,0)-MATCH($D$1,[2]stages!$2:$2,0)+1,FALSE)</f>
        <v>【超絶級】兄妹の大冒険</v>
      </c>
      <c r="G21" s="62">
        <v>3</v>
      </c>
      <c r="H21" s="63" t="str">
        <f t="shared" si="21"/>
        <v>30015_2-3</v>
      </c>
      <c r="I21" s="64">
        <f ca="1">VLOOKUP($H21,OFFSET(floors!$A$1,0,0,COUNTA(floors!$A:$A),MATCH(I$1,floors!$1:$1,0)-MATCH($H$1,floors!$1:$1,0)+1),MATCH(I$1,floors!$1:$1,0)-MATCH($H$1,floors!$1:$1,0)+1,FALSE)</f>
        <v>60</v>
      </c>
      <c r="J21" s="64">
        <f ca="1">VLOOKUP($H21,OFFSET(floors!$A$1,0,0,COUNTA(floors!$A:$A),MATCH(J$1,floors!$1:$1,0)-MATCH($H$1,floors!$1:$1,0)+1),MATCH(J$1,floors!$1:$1,0)-MATCH($H$1,floors!$1:$1,0)+1,FALSE)</f>
        <v>60</v>
      </c>
      <c r="K21" s="65" t="s">
        <v>88</v>
      </c>
      <c r="L21" s="62">
        <v>215</v>
      </c>
      <c r="M21" s="15" t="str">
        <f ca="1">VLOOKUP(L21,[3]enemies!$A:$B,2,FALSE)</f>
        <v>死導者 アズラエル</v>
      </c>
      <c r="N21" s="17" t="str">
        <f ca="1">VLOOKUP(L21,[3]enemies!$A:$D,4,FALSE)</f>
        <v>red</v>
      </c>
      <c r="O21" s="17" t="str">
        <f>VLOOKUP(L21,[4]characters!$A:$J,10,FALSE)</f>
        <v>PremiumN</v>
      </c>
      <c r="P21" s="16" t="str">
        <f>VLOOKUP(L21,[4]characters!$A:$M,13,FALSE)</f>
        <v>god</v>
      </c>
      <c r="Q21" s="4">
        <f ca="1">VLOOKUP(L21,[3]enemies!$A:$X,24,FALSE)</f>
        <v>30</v>
      </c>
      <c r="R21" s="66">
        <v>70</v>
      </c>
      <c r="S21" s="67">
        <v>0.9</v>
      </c>
      <c r="T21" s="67">
        <v>0.9</v>
      </c>
      <c r="U21" s="66">
        <v>0</v>
      </c>
      <c r="V21" s="85">
        <v>30015001</v>
      </c>
      <c r="W21" s="4" t="str">
        <f>IFERROR(VLOOKUP(V21,[5]enemy_skill_sets!$B:$E,4,FALSE),VLOOKUP(V21,enemy_skill_sets!B:E,4,FALSE))</f>
        <v>彼岸への誘い</v>
      </c>
      <c r="X21" s="68">
        <v>1</v>
      </c>
      <c r="Y21" s="68">
        <v>100</v>
      </c>
      <c r="Z21" s="68">
        <v>0</v>
      </c>
      <c r="AA21" s="4">
        <f ca="1">VLOOKUP(L21,[3]enemies!$A:$V,22,FALSE)</f>
        <v>2</v>
      </c>
      <c r="AB21" s="23">
        <f t="shared" si="22"/>
        <v>215</v>
      </c>
      <c r="AC21" s="4" t="str">
        <f ca="1">VLOOKUP(AB21,[3]enemies!$A:$B,2,FALSE)</f>
        <v>死導者 アズラエル</v>
      </c>
      <c r="AD21" s="4">
        <f ca="1">VLOOKUP(AB21,[3]enemies!$A:$E,3,FALSE)</f>
        <v>4</v>
      </c>
      <c r="AE21" s="4" t="str">
        <f>VLOOKUP(AB21,[4]characters!$A:$J,10,FALSE)</f>
        <v>PremiumN</v>
      </c>
      <c r="AF21" s="69">
        <v>1</v>
      </c>
      <c r="AG21" s="23">
        <f t="shared" ca="1" si="23"/>
        <v>4</v>
      </c>
      <c r="AH21" s="70">
        <v>0</v>
      </c>
      <c r="AI21" s="69">
        <v>0</v>
      </c>
      <c r="AJ21" s="69">
        <v>0</v>
      </c>
      <c r="AK21" s="69">
        <v>0</v>
      </c>
      <c r="AL21" s="69">
        <v>0</v>
      </c>
      <c r="AM21" s="69">
        <v>1</v>
      </c>
    </row>
    <row r="22" spans="1:39" ht="21" customHeight="1" x14ac:dyDescent="0.15">
      <c r="A22" s="14" t="str">
        <f t="shared" ca="1" si="19"/>
        <v>30015_2-3/221&lt;lv75&gt;s2</v>
      </c>
      <c r="B22" s="61">
        <v>30015</v>
      </c>
      <c r="C22" s="62">
        <v>2</v>
      </c>
      <c r="D22" s="2" t="str">
        <f t="shared" si="20"/>
        <v>30015_2</v>
      </c>
      <c r="E22" s="4" t="str">
        <f ca="1">VLOOKUP($B22,OFFSET([2]quests!$A$1,0,0,COUNTA([2]quests!$A:$A),MATCH(E$1,[2]quests!$1:$1,0)-MATCH($B$1,[2]quests!$1:$1,0)+1),MATCH(E$1,[2]quests!$1:$1,0)-MATCH($B$1,[2]quests!$1:$1,0)+1,FALSE)</f>
        <v>兄妹の大冒険</v>
      </c>
      <c r="F22" s="4" t="str">
        <f ca="1">VLOOKUP($D22,OFFSET([2]stages!$A$1,0,0,COUNTA([2]stages!$A:$A),MATCH(F$1,[2]stages!$2:$2,0)-MATCH($D$1,[2]stages!$2:$2,0)+1),MATCH(F$1,[2]stages!$2:$2,0)-MATCH($D$1,[2]stages!$2:$2,0)+1,FALSE)</f>
        <v>【超絶級】兄妹の大冒険</v>
      </c>
      <c r="G22" s="62">
        <v>3</v>
      </c>
      <c r="H22" s="63" t="str">
        <f t="shared" si="21"/>
        <v>30015_2-3</v>
      </c>
      <c r="I22" s="64">
        <f ca="1">VLOOKUP($H22,OFFSET(floors!$A$1,0,0,COUNTA(floors!$A:$A),MATCH(I$1,floors!$1:$1,0)-MATCH($H$1,floors!$1:$1,0)+1),MATCH(I$1,floors!$1:$1,0)-MATCH($H$1,floors!$1:$1,0)+1,FALSE)</f>
        <v>60</v>
      </c>
      <c r="J22" s="64">
        <f ca="1">VLOOKUP($H22,OFFSET(floors!$A$1,0,0,COUNTA(floors!$A:$A),MATCH(J$1,floors!$1:$1,0)-MATCH($H$1,floors!$1:$1,0)+1),MATCH(J$1,floors!$1:$1,0)-MATCH($H$1,floors!$1:$1,0)+1,FALSE)</f>
        <v>60</v>
      </c>
      <c r="K22" s="65" t="s">
        <v>88</v>
      </c>
      <c r="L22" s="62">
        <v>221</v>
      </c>
      <c r="M22" s="15" t="str">
        <f ca="1">VLOOKUP(L22,[3]enemies!$A:$B,2,FALSE)</f>
        <v>宰相 ルキフグス</v>
      </c>
      <c r="N22" s="17" t="str">
        <f ca="1">VLOOKUP(L22,[3]enemies!$A:$D,4,FALSE)</f>
        <v>blue</v>
      </c>
      <c r="O22" s="17" t="str">
        <f>VLOOKUP(L22,[4]characters!$A:$J,10,FALSE)</f>
        <v>PremiumN</v>
      </c>
      <c r="P22" s="16" t="str">
        <f>VLOOKUP(L22,[4]characters!$A:$M,13,FALSE)</f>
        <v>god</v>
      </c>
      <c r="Q22" s="4">
        <f ca="1">VLOOKUP(L22,[3]enemies!$A:$X,24,FALSE)</f>
        <v>30</v>
      </c>
      <c r="R22" s="66">
        <v>75</v>
      </c>
      <c r="S22" s="67">
        <v>1.2</v>
      </c>
      <c r="T22" s="67">
        <v>0.9</v>
      </c>
      <c r="U22" s="66">
        <v>0</v>
      </c>
      <c r="V22" s="85">
        <v>30015002</v>
      </c>
      <c r="W22" s="4" t="str">
        <f>IFERROR(VLOOKUP(V22,[5]enemy_skill_sets!$B:$E,4,FALSE),VLOOKUP(V22,enemy_skill_sets!B:E,4,FALSE))</f>
        <v>光からの逃奔</v>
      </c>
      <c r="X22" s="68">
        <v>1</v>
      </c>
      <c r="Y22" s="68">
        <v>100</v>
      </c>
      <c r="Z22" s="68">
        <v>1</v>
      </c>
      <c r="AA22" s="4">
        <f ca="1">VLOOKUP(L22,[3]enemies!$A:$V,22,FALSE)</f>
        <v>2</v>
      </c>
      <c r="AB22" s="23">
        <f t="shared" si="22"/>
        <v>221</v>
      </c>
      <c r="AC22" s="4" t="str">
        <f ca="1">VLOOKUP(AB22,[3]enemies!$A:$B,2,FALSE)</f>
        <v>宰相 ルキフグス</v>
      </c>
      <c r="AD22" s="4">
        <f ca="1">VLOOKUP(AB22,[3]enemies!$A:$E,3,FALSE)</f>
        <v>4</v>
      </c>
      <c r="AE22" s="4" t="str">
        <f>VLOOKUP(AB22,[4]characters!$A:$J,10,FALSE)</f>
        <v>PremiumN</v>
      </c>
      <c r="AF22" s="69">
        <v>1</v>
      </c>
      <c r="AG22" s="23">
        <f t="shared" ca="1" si="23"/>
        <v>4</v>
      </c>
      <c r="AH22" s="70">
        <v>0</v>
      </c>
      <c r="AI22" s="69">
        <v>0</v>
      </c>
      <c r="AJ22" s="69">
        <v>0</v>
      </c>
      <c r="AK22" s="69">
        <v>0</v>
      </c>
      <c r="AL22" s="69">
        <v>0</v>
      </c>
      <c r="AM22" s="69">
        <v>1</v>
      </c>
    </row>
    <row r="23" spans="1:39" ht="21" customHeight="1" x14ac:dyDescent="0.15">
      <c r="A23" s="14" t="str">
        <f t="shared" ca="1" si="19"/>
        <v>30015_2-2/6&lt;lv60&gt;s3</v>
      </c>
      <c r="B23" s="61">
        <v>30015</v>
      </c>
      <c r="C23" s="62">
        <v>2</v>
      </c>
      <c r="D23" s="2" t="str">
        <f t="shared" si="20"/>
        <v>30015_2</v>
      </c>
      <c r="E23" s="4" t="str">
        <f ca="1">VLOOKUP($B23,OFFSET([2]quests!$A$1,0,0,COUNTA([2]quests!$A:$A),MATCH(E$1,[2]quests!$1:$1,0)-MATCH($B$1,[2]quests!$1:$1,0)+1),MATCH(E$1,[2]quests!$1:$1,0)-MATCH($B$1,[2]quests!$1:$1,0)+1,FALSE)</f>
        <v>兄妹の大冒険</v>
      </c>
      <c r="F23" s="4" t="str">
        <f ca="1">VLOOKUP($D23,OFFSET([2]stages!$A$1,0,0,COUNTA([2]stages!$A:$A),MATCH(F$1,[2]stages!$2:$2,0)-MATCH($D$1,[2]stages!$2:$2,0)+1),MATCH(F$1,[2]stages!$2:$2,0)-MATCH($D$1,[2]stages!$2:$2,0)+1,FALSE)</f>
        <v>【超絶級】兄妹の大冒険</v>
      </c>
      <c r="G23" s="91">
        <v>2</v>
      </c>
      <c r="H23" s="63" t="str">
        <f>B23&amp;"_"&amp;C23&amp;"-"&amp;G23</f>
        <v>30015_2-2</v>
      </c>
      <c r="I23" s="64">
        <f ca="1">VLOOKUP($H23,OFFSET(floors!$A$1,0,0,COUNTA(floors!$A:$A),MATCH(I$1,floors!$1:$1,0)-MATCH($H$1,floors!$1:$1,0)+1),MATCH(I$1,floors!$1:$1,0)-MATCH($H$1,floors!$1:$1,0)+1,FALSE)</f>
        <v>50</v>
      </c>
      <c r="J23" s="64">
        <f ca="1">VLOOKUP($H23,OFFSET(floors!$A$1,0,0,COUNTA(floors!$A:$A),MATCH(J$1,floors!$1:$1,0)-MATCH($H$1,floors!$1:$1,0)+1),MATCH(J$1,floors!$1:$1,0)-MATCH($H$1,floors!$1:$1,0)+1,FALSE)</f>
        <v>50</v>
      </c>
      <c r="K23" s="65" t="s">
        <v>132</v>
      </c>
      <c r="L23" s="62">
        <v>6</v>
      </c>
      <c r="M23" s="15" t="str">
        <f ca="1">VLOOKUP(L23,[3]enemies!$A:$B,2,FALSE)</f>
        <v>パトドッグリーダー ポチ</v>
      </c>
      <c r="N23" s="17" t="str">
        <f ca="1">VLOOKUP(L23,[3]enemies!$A:$D,4,FALSE)</f>
        <v>blue</v>
      </c>
      <c r="O23" s="17" t="str">
        <f>VLOOKUP(L23,[4]characters!$A:$J,10,FALSE)</f>
        <v>Drop1T</v>
      </c>
      <c r="P23" s="16" t="str">
        <f>VLOOKUP(L23,[4]characters!$A:$M,13,FALSE)</f>
        <v>unknown</v>
      </c>
      <c r="Q23" s="4">
        <f ca="1">VLOOKUP(L23,[3]enemies!$A:$X,24,FALSE)</f>
        <v>15</v>
      </c>
      <c r="R23" s="66">
        <v>60</v>
      </c>
      <c r="S23" s="67">
        <v>1</v>
      </c>
      <c r="T23" s="67">
        <v>1</v>
      </c>
      <c r="U23" s="66">
        <v>0</v>
      </c>
      <c r="V23" s="4">
        <f ca="1">VLOOKUP(L23,[3]enemies!$A:$AB,28,FALSE)</f>
        <v>0</v>
      </c>
      <c r="W23" s="4" t="str">
        <f ca="1">IFERROR(VLOOKUP(V23,[5]enemy_skill_sets!$B:$E,4,FALSE),VLOOKUP(V23,enemy_skill_sets!B:E,4,FALSE))</f>
        <v>なし</v>
      </c>
      <c r="X23" s="68">
        <v>0</v>
      </c>
      <c r="Y23" s="68">
        <v>100</v>
      </c>
      <c r="Z23" s="68">
        <v>0</v>
      </c>
      <c r="AA23" s="4">
        <f ca="1">VLOOKUP(L23,[3]enemies!$A:$V,22,FALSE)</f>
        <v>3</v>
      </c>
      <c r="AB23" s="23">
        <f t="shared" si="22"/>
        <v>6</v>
      </c>
      <c r="AC23" s="4" t="str">
        <f ca="1">VLOOKUP(AB23,[3]enemies!$A:$B,2,FALSE)</f>
        <v>パトドッグリーダー ポチ</v>
      </c>
      <c r="AD23" s="4">
        <f ca="1">VLOOKUP(AB23,[3]enemies!$A:$E,3,FALSE)</f>
        <v>2</v>
      </c>
      <c r="AE23" s="4" t="str">
        <f>VLOOKUP(AB23,[4]characters!$A:$J,10,FALSE)</f>
        <v>Drop1T</v>
      </c>
      <c r="AF23" s="69">
        <v>1</v>
      </c>
      <c r="AG23" s="23">
        <f t="shared" ca="1" si="23"/>
        <v>2</v>
      </c>
      <c r="AH23" s="70">
        <v>15</v>
      </c>
      <c r="AI23" s="69">
        <v>0</v>
      </c>
      <c r="AJ23" s="69">
        <v>0</v>
      </c>
      <c r="AK23" s="69">
        <v>0</v>
      </c>
      <c r="AL23" s="69">
        <v>0</v>
      </c>
      <c r="AM23" s="69">
        <v>1</v>
      </c>
    </row>
    <row r="24" spans="1:39" ht="21" customHeight="1" x14ac:dyDescent="0.15">
      <c r="A24" s="14" t="str">
        <f t="shared" ca="1" si="19"/>
        <v>30015_2-2/66&lt;lv55&gt;s2</v>
      </c>
      <c r="B24" s="61">
        <v>30015</v>
      </c>
      <c r="C24" s="62">
        <v>2</v>
      </c>
      <c r="D24" s="2" t="str">
        <f t="shared" si="20"/>
        <v>30015_2</v>
      </c>
      <c r="E24" s="4" t="str">
        <f ca="1">VLOOKUP($B24,OFFSET([2]quests!$A$1,0,0,COUNTA([2]quests!$A:$A),MATCH(E$1,[2]quests!$1:$1,0)-MATCH($B$1,[2]quests!$1:$1,0)+1),MATCH(E$1,[2]quests!$1:$1,0)-MATCH($B$1,[2]quests!$1:$1,0)+1,FALSE)</f>
        <v>兄妹の大冒険</v>
      </c>
      <c r="F24" s="4" t="str">
        <f ca="1">VLOOKUP($D24,OFFSET([2]stages!$A$1,0,0,COUNTA([2]stages!$A:$A),MATCH(F$1,[2]stages!$2:$2,0)-MATCH($D$1,[2]stages!$2:$2,0)+1),MATCH(F$1,[2]stages!$2:$2,0)-MATCH($D$1,[2]stages!$2:$2,0)+1,FALSE)</f>
        <v>【超絶級】兄妹の大冒険</v>
      </c>
      <c r="G24" s="91">
        <v>2</v>
      </c>
      <c r="H24" s="63" t="str">
        <f>B24&amp;"_"&amp;C24&amp;"-"&amp;G24</f>
        <v>30015_2-2</v>
      </c>
      <c r="I24" s="64">
        <f ca="1">VLOOKUP($H24,OFFSET(floors!$A$1,0,0,COUNTA(floors!$A:$A),MATCH(I$1,floors!$1:$1,0)-MATCH($H$1,floors!$1:$1,0)+1),MATCH(I$1,floors!$1:$1,0)-MATCH($H$1,floors!$1:$1,0)+1,FALSE)</f>
        <v>50</v>
      </c>
      <c r="J24" s="64">
        <f ca="1">VLOOKUP($H24,OFFSET(floors!$A$1,0,0,COUNTA(floors!$A:$A),MATCH(J$1,floors!$1:$1,0)-MATCH($H$1,floors!$1:$1,0)+1),MATCH(J$1,floors!$1:$1,0)-MATCH($H$1,floors!$1:$1,0)+1,FALSE)</f>
        <v>50</v>
      </c>
      <c r="K24" s="65" t="s">
        <v>88</v>
      </c>
      <c r="L24" s="62">
        <v>66</v>
      </c>
      <c r="M24" s="15" t="str">
        <f ca="1">VLOOKUP(L24,[3]enemies!$A:$B,2,FALSE)</f>
        <v>探索者 ファイアフォックス</v>
      </c>
      <c r="N24" s="17" t="str">
        <f ca="1">VLOOKUP(L24,[3]enemies!$A:$D,4,FALSE)</f>
        <v>red</v>
      </c>
      <c r="O24" s="17" t="str">
        <f>VLOOKUP(L24,[4]characters!$A:$J,10,FALSE)</f>
        <v>Drop1S</v>
      </c>
      <c r="P24" s="16" t="str">
        <f>VLOOKUP(L24,[4]characters!$A:$M,13,FALSE)</f>
        <v>animal</v>
      </c>
      <c r="Q24" s="4">
        <f ca="1">VLOOKUP(L24,[3]enemies!$A:$X,24,FALSE)</f>
        <v>20</v>
      </c>
      <c r="R24" s="66">
        <v>55</v>
      </c>
      <c r="S24" s="67">
        <v>1</v>
      </c>
      <c r="T24" s="67">
        <v>0.5</v>
      </c>
      <c r="U24" s="66">
        <v>0</v>
      </c>
      <c r="V24" s="4">
        <f ca="1">VLOOKUP(L24,[3]enemies!$A:$AB,28,FALSE)</f>
        <v>66</v>
      </c>
      <c r="W24" s="4" t="str">
        <f ca="1">IFERROR(VLOOKUP(V24,[5]enemy_skill_sets!$B:$E,4,FALSE),VLOOKUP(V24,enemy_skill_sets!B:E,4,FALSE))</f>
        <v>3回連続攻撃</v>
      </c>
      <c r="X24" s="68">
        <v>1</v>
      </c>
      <c r="Y24" s="68">
        <v>100</v>
      </c>
      <c r="Z24" s="68">
        <v>1</v>
      </c>
      <c r="AA24" s="4">
        <f ca="1">VLOOKUP(L24,[3]enemies!$A:$V,22,FALSE)</f>
        <v>2</v>
      </c>
      <c r="AB24" s="23">
        <f t="shared" si="22"/>
        <v>66</v>
      </c>
      <c r="AC24" s="4" t="str">
        <f ca="1">VLOOKUP(AB24,[3]enemies!$A:$B,2,FALSE)</f>
        <v>探索者 ファイアフォックス</v>
      </c>
      <c r="AD24" s="4">
        <f ca="1">VLOOKUP(AB24,[3]enemies!$A:$E,3,FALSE)</f>
        <v>3</v>
      </c>
      <c r="AE24" s="4" t="str">
        <f>VLOOKUP(AB24,[4]characters!$A:$J,10,FALSE)</f>
        <v>Drop1S</v>
      </c>
      <c r="AF24" s="69">
        <v>1</v>
      </c>
      <c r="AG24" s="23">
        <f t="shared" ca="1" si="23"/>
        <v>3</v>
      </c>
      <c r="AH24" s="70">
        <v>15</v>
      </c>
      <c r="AI24" s="69">
        <v>0</v>
      </c>
      <c r="AJ24" s="69">
        <v>0</v>
      </c>
      <c r="AK24" s="69">
        <v>0</v>
      </c>
      <c r="AL24" s="69">
        <v>0</v>
      </c>
      <c r="AM24" s="69">
        <v>1</v>
      </c>
    </row>
    <row r="25" spans="1:39" ht="21" customHeight="1" x14ac:dyDescent="0.15">
      <c r="A25" s="14" t="str">
        <f t="shared" ref="A25:A27" ca="1" si="28">B25&amp;"_"&amp;C25&amp;"-"&amp;G25&amp;"/"&amp;L25&amp;"&lt;lv"&amp;R25&amp;"&gt;s"&amp;AA25</f>
        <v>30015_2-2/26&lt;lv60&gt;s3</v>
      </c>
      <c r="B25" s="61">
        <v>30015</v>
      </c>
      <c r="C25" s="62">
        <v>2</v>
      </c>
      <c r="D25" s="2" t="str">
        <f t="shared" ref="D25:D27" si="29">B25&amp;"_"&amp;C25</f>
        <v>30015_2</v>
      </c>
      <c r="E25" s="4" t="str">
        <f ca="1">VLOOKUP($B25,OFFSET([2]quests!$A$1,0,0,COUNTA([2]quests!$A:$A),MATCH(E$1,[2]quests!$1:$1,0)-MATCH($B$1,[2]quests!$1:$1,0)+1),MATCH(E$1,[2]quests!$1:$1,0)-MATCH($B$1,[2]quests!$1:$1,0)+1,FALSE)</f>
        <v>兄妹の大冒険</v>
      </c>
      <c r="F25" s="4" t="str">
        <f ca="1">VLOOKUP($D25,OFFSET([2]stages!$A$1,0,0,COUNTA([2]stages!$A:$A),MATCH(F$1,[2]stages!$2:$2,0)-MATCH($D$1,[2]stages!$2:$2,0)+1),MATCH(F$1,[2]stages!$2:$2,0)-MATCH($D$1,[2]stages!$2:$2,0)+1,FALSE)</f>
        <v>【超絶級】兄妹の大冒険</v>
      </c>
      <c r="G25" s="91">
        <v>2</v>
      </c>
      <c r="H25" s="63" t="str">
        <f t="shared" ref="H25:H27" si="30">B25&amp;"_"&amp;C25&amp;"-"&amp;G25</f>
        <v>30015_2-2</v>
      </c>
      <c r="I25" s="64">
        <f ca="1">VLOOKUP($H25,OFFSET(floors!$A$1,0,0,COUNTA(floors!$A:$A),MATCH(I$1,floors!$1:$1,0)-MATCH($H$1,floors!$1:$1,0)+1),MATCH(I$1,floors!$1:$1,0)-MATCH($H$1,floors!$1:$1,0)+1,FALSE)</f>
        <v>50</v>
      </c>
      <c r="J25" s="64">
        <f ca="1">VLOOKUP($H25,OFFSET(floors!$A$1,0,0,COUNTA(floors!$A:$A),MATCH(J$1,floors!$1:$1,0)-MATCH($H$1,floors!$1:$1,0)+1),MATCH(J$1,floors!$1:$1,0)-MATCH($H$1,floors!$1:$1,0)+1,FALSE)</f>
        <v>50</v>
      </c>
      <c r="K25" s="65" t="s">
        <v>133</v>
      </c>
      <c r="L25" s="62">
        <v>26</v>
      </c>
      <c r="M25" s="15" t="str">
        <f ca="1">VLOOKUP(L25,[3]enemies!$A:$B,2,FALSE)</f>
        <v>勇犬 ハチ</v>
      </c>
      <c r="N25" s="17" t="str">
        <f ca="1">VLOOKUP(L25,[3]enemies!$A:$D,4,FALSE)</f>
        <v>blue</v>
      </c>
      <c r="O25" s="17" t="str">
        <f>VLOOKUP(L25,[4]characters!$A:$J,10,FALSE)</f>
        <v>Drop1N</v>
      </c>
      <c r="P25" s="16" t="str">
        <f>VLOOKUP(L25,[4]characters!$A:$M,13,FALSE)</f>
        <v>animal</v>
      </c>
      <c r="Q25" s="4">
        <f ca="1">VLOOKUP(L25,[3]enemies!$A:$X,24,FALSE)</f>
        <v>15</v>
      </c>
      <c r="R25" s="66">
        <v>60</v>
      </c>
      <c r="S25" s="67">
        <v>1.2</v>
      </c>
      <c r="T25" s="67">
        <v>1</v>
      </c>
      <c r="U25" s="66">
        <v>0</v>
      </c>
      <c r="V25" s="4">
        <f ca="1">VLOOKUP(L25,[3]enemies!$A:$AB,28,FALSE)</f>
        <v>0</v>
      </c>
      <c r="W25" s="4" t="str">
        <f ca="1">IFERROR(VLOOKUP(V25,[5]enemy_skill_sets!$B:$E,4,FALSE),VLOOKUP(V25,enemy_skill_sets!B:E,4,FALSE))</f>
        <v>なし</v>
      </c>
      <c r="X25" s="68">
        <v>0</v>
      </c>
      <c r="Y25" s="68">
        <v>100</v>
      </c>
      <c r="Z25" s="68">
        <v>0</v>
      </c>
      <c r="AA25" s="4">
        <f ca="1">VLOOKUP(L25,[3]enemies!$A:$V,22,FALSE)</f>
        <v>3</v>
      </c>
      <c r="AB25" s="23">
        <f t="shared" ref="AB25:AB27" si="31">L25</f>
        <v>26</v>
      </c>
      <c r="AC25" s="4" t="str">
        <f ca="1">VLOOKUP(AB25,[3]enemies!$A:$B,2,FALSE)</f>
        <v>勇犬 ハチ</v>
      </c>
      <c r="AD25" s="4">
        <f ca="1">VLOOKUP(AB25,[3]enemies!$A:$E,3,FALSE)</f>
        <v>2</v>
      </c>
      <c r="AE25" s="4" t="str">
        <f>VLOOKUP(AB25,[4]characters!$A:$J,10,FALSE)</f>
        <v>Drop1N</v>
      </c>
      <c r="AF25" s="69">
        <v>1</v>
      </c>
      <c r="AG25" s="23">
        <f t="shared" ref="AG25:AG27" ca="1" si="32">AD25</f>
        <v>2</v>
      </c>
      <c r="AH25" s="70">
        <v>15</v>
      </c>
      <c r="AI25" s="69">
        <v>0</v>
      </c>
      <c r="AJ25" s="69">
        <v>0</v>
      </c>
      <c r="AK25" s="69">
        <v>0</v>
      </c>
      <c r="AL25" s="69">
        <v>0</v>
      </c>
      <c r="AM25" s="69">
        <v>1</v>
      </c>
    </row>
    <row r="26" spans="1:39" ht="21" customHeight="1" x14ac:dyDescent="0.15">
      <c r="A26" s="14" t="str">
        <f t="shared" ca="1" si="28"/>
        <v>30015_2-2/365&lt;lv60&gt;s3</v>
      </c>
      <c r="B26" s="61">
        <v>30015</v>
      </c>
      <c r="C26" s="62">
        <v>2</v>
      </c>
      <c r="D26" s="2" t="str">
        <f t="shared" si="29"/>
        <v>30015_2</v>
      </c>
      <c r="E26" s="4" t="str">
        <f ca="1">VLOOKUP($B26,OFFSET([2]quests!$A$1,0,0,COUNTA([2]quests!$A:$A),MATCH(E$1,[2]quests!$1:$1,0)-MATCH($B$1,[2]quests!$1:$1,0)+1),MATCH(E$1,[2]quests!$1:$1,0)-MATCH($B$1,[2]quests!$1:$1,0)+1,FALSE)</f>
        <v>兄妹の大冒険</v>
      </c>
      <c r="F26" s="4" t="str">
        <f ca="1">VLOOKUP($D26,OFFSET([2]stages!$A$1,0,0,COUNTA([2]stages!$A:$A),MATCH(F$1,[2]stages!$2:$2,0)-MATCH($D$1,[2]stages!$2:$2,0)+1),MATCH(F$1,[2]stages!$2:$2,0)-MATCH($D$1,[2]stages!$2:$2,0)+1,FALSE)</f>
        <v>【超絶級】兄妹の大冒険</v>
      </c>
      <c r="G26" s="91">
        <v>2</v>
      </c>
      <c r="H26" s="63" t="str">
        <f t="shared" si="30"/>
        <v>30015_2-2</v>
      </c>
      <c r="I26" s="64">
        <f ca="1">VLOOKUP($H26,OFFSET(floors!$A$1,0,0,COUNTA(floors!$A:$A),MATCH(I$1,floors!$1:$1,0)-MATCH($H$1,floors!$1:$1,0)+1),MATCH(I$1,floors!$1:$1,0)-MATCH($H$1,floors!$1:$1,0)+1,FALSE)</f>
        <v>50</v>
      </c>
      <c r="J26" s="64">
        <f ca="1">VLOOKUP($H26,OFFSET(floors!$A$1,0,0,COUNTA(floors!$A:$A),MATCH(J$1,floors!$1:$1,0)-MATCH($H$1,floors!$1:$1,0)+1),MATCH(J$1,floors!$1:$1,0)-MATCH($H$1,floors!$1:$1,0)+1,FALSE)</f>
        <v>50</v>
      </c>
      <c r="K26" s="65" t="s">
        <v>88</v>
      </c>
      <c r="L26" s="62">
        <v>365</v>
      </c>
      <c r="M26" s="15" t="str">
        <f ca="1">VLOOKUP(L26,[3]enemies!$A:$B,2,FALSE)</f>
        <v>惨劇の人形 ノエル</v>
      </c>
      <c r="N26" s="17" t="str">
        <f ca="1">VLOOKUP(L26,[3]enemies!$A:$D,4,FALSE)</f>
        <v>blue</v>
      </c>
      <c r="O26" s="17" t="str">
        <f>VLOOKUP(L26,[4]characters!$A:$J,10,FALSE)</f>
        <v>Drop1S</v>
      </c>
      <c r="P26" s="16" t="str">
        <f>VLOOKUP(L26,[4]characters!$A:$M,13,FALSE)</f>
        <v>animal</v>
      </c>
      <c r="Q26" s="4">
        <f ca="1">VLOOKUP(L26,[3]enemies!$A:$X,24,FALSE)</f>
        <v>15</v>
      </c>
      <c r="R26" s="66">
        <v>60</v>
      </c>
      <c r="S26" s="67">
        <v>1.2</v>
      </c>
      <c r="T26" s="67">
        <v>1</v>
      </c>
      <c r="U26" s="66">
        <v>0</v>
      </c>
      <c r="V26" s="4">
        <f ca="1">VLOOKUP(L26,[3]enemies!$A:$AB,28,FALSE)</f>
        <v>0</v>
      </c>
      <c r="W26" s="4" t="str">
        <f ca="1">IFERROR(VLOOKUP(V26,[5]enemy_skill_sets!$B:$E,4,FALSE),VLOOKUP(V26,enemy_skill_sets!B:E,4,FALSE))</f>
        <v>なし</v>
      </c>
      <c r="X26" s="68">
        <v>0</v>
      </c>
      <c r="Y26" s="68">
        <v>100</v>
      </c>
      <c r="Z26" s="68">
        <v>0</v>
      </c>
      <c r="AA26" s="4">
        <f ca="1">VLOOKUP(L26,[3]enemies!$A:$V,22,FALSE)</f>
        <v>3</v>
      </c>
      <c r="AB26" s="23">
        <f t="shared" si="31"/>
        <v>365</v>
      </c>
      <c r="AC26" s="4" t="str">
        <f ca="1">VLOOKUP(AB26,[3]enemies!$A:$B,2,FALSE)</f>
        <v>惨劇の人形 ノエル</v>
      </c>
      <c r="AD26" s="4">
        <f ca="1">VLOOKUP(AB26,[3]enemies!$A:$E,3,FALSE)</f>
        <v>3</v>
      </c>
      <c r="AE26" s="4" t="str">
        <f>VLOOKUP(AB26,[4]characters!$A:$J,10,FALSE)</f>
        <v>Drop1S</v>
      </c>
      <c r="AF26" s="69">
        <v>1</v>
      </c>
      <c r="AG26" s="23">
        <f t="shared" ca="1" si="32"/>
        <v>3</v>
      </c>
      <c r="AH26" s="70">
        <v>15</v>
      </c>
      <c r="AI26" s="69">
        <v>0</v>
      </c>
      <c r="AJ26" s="69">
        <v>0</v>
      </c>
      <c r="AK26" s="69">
        <v>0</v>
      </c>
      <c r="AL26" s="69">
        <v>0</v>
      </c>
      <c r="AM26" s="69">
        <v>1</v>
      </c>
    </row>
    <row r="27" spans="1:39" ht="21" customHeight="1" x14ac:dyDescent="0.15">
      <c r="A27" s="14" t="str">
        <f t="shared" si="28"/>
        <v>30015_2-5/422&lt;lv80&gt;s2</v>
      </c>
      <c r="B27" s="61">
        <v>30015</v>
      </c>
      <c r="C27" s="62">
        <v>2</v>
      </c>
      <c r="D27" s="2" t="str">
        <f t="shared" si="29"/>
        <v>30015_2</v>
      </c>
      <c r="E27" s="4" t="str">
        <f ca="1">VLOOKUP($B27,OFFSET([2]quests!$A$1,0,0,COUNTA([2]quests!$A:$A),MATCH(E$1,[2]quests!$1:$1,0)-MATCH($B$1,[2]quests!$1:$1,0)+1),MATCH(E$1,[2]quests!$1:$1,0)-MATCH($B$1,[2]quests!$1:$1,0)+1,FALSE)</f>
        <v>兄妹の大冒険</v>
      </c>
      <c r="F27" s="4" t="str">
        <f ca="1">VLOOKUP($D27,OFFSET([2]stages!$A$1,0,0,COUNTA([2]stages!$A:$A),MATCH(F$1,[2]stages!$2:$2,0)-MATCH($D$1,[2]stages!$2:$2,0)+1),MATCH(F$1,[2]stages!$2:$2,0)-MATCH($D$1,[2]stages!$2:$2,0)+1,FALSE)</f>
        <v>【超絶級】兄妹の大冒険</v>
      </c>
      <c r="G27" s="62">
        <v>5</v>
      </c>
      <c r="H27" s="63" t="str">
        <f t="shared" si="30"/>
        <v>30015_2-5</v>
      </c>
      <c r="I27" s="64">
        <f ca="1">VLOOKUP($H27,OFFSET(floors!$A$1,0,0,COUNTA(floors!$A:$A),MATCH(I$1,floors!$1:$1,0)-MATCH($H$1,floors!$1:$1,0)+1),MATCH(I$1,floors!$1:$1,0)-MATCH($H$1,floors!$1:$1,0)+1,FALSE)</f>
        <v>60</v>
      </c>
      <c r="J27" s="64">
        <f ca="1">VLOOKUP($H27,OFFSET(floors!$A$1,0,0,COUNTA(floors!$A:$A),MATCH(J$1,floors!$1:$1,0)-MATCH($H$1,floors!$1:$1,0)+1),MATCH(J$1,floors!$1:$1,0)-MATCH($H$1,floors!$1:$1,0)+1,FALSE)</f>
        <v>60</v>
      </c>
      <c r="K27" s="65">
        <v>2</v>
      </c>
      <c r="L27" s="62">
        <v>422</v>
      </c>
      <c r="M27" s="15" t="str">
        <f ca="1">VLOOKUP(L27,[3]enemies!$A:$B,2,FALSE)</f>
        <v>シュガフル</v>
      </c>
      <c r="N27" s="17" t="str">
        <f ca="1">VLOOKUP(L27,[3]enemies!$A:$D,4,FALSE)</f>
        <v>blue</v>
      </c>
      <c r="O27" s="17" t="str">
        <f>VLOOKUP(L27,[4]characters!$A:$J,10,FALSE)</f>
        <v>Drop2N</v>
      </c>
      <c r="P27" s="16" t="str">
        <f>VLOOKUP(L27,[4]characters!$A:$M,13,FALSE)</f>
        <v>human</v>
      </c>
      <c r="Q27" s="4">
        <f ca="1">VLOOKUP(L27,[3]enemies!$A:$X,24,FALSE)</f>
        <v>30</v>
      </c>
      <c r="R27" s="66">
        <v>80</v>
      </c>
      <c r="S27" s="67">
        <v>1.5</v>
      </c>
      <c r="T27" s="67">
        <v>1</v>
      </c>
      <c r="U27" s="66">
        <v>0</v>
      </c>
      <c r="V27" s="87">
        <v>30015003</v>
      </c>
      <c r="W27" s="4" t="str">
        <f>IFERROR(VLOOKUP(V27,[5]enemy_skill_sets!$B:$E,4,FALSE),VLOOKUP(V27,enemy_skill_sets!B:E,4,FALSE))</f>
        <v>…なにしに来たの？</v>
      </c>
      <c r="X27" s="68">
        <v>1</v>
      </c>
      <c r="Y27" s="68">
        <v>100</v>
      </c>
      <c r="Z27" s="68">
        <v>1</v>
      </c>
      <c r="AA27" s="89">
        <v>2</v>
      </c>
      <c r="AB27" s="23">
        <f t="shared" si="31"/>
        <v>422</v>
      </c>
      <c r="AC27" s="4" t="str">
        <f ca="1">VLOOKUP(AB27,[3]enemies!$A:$B,2,FALSE)</f>
        <v>シュガフル</v>
      </c>
      <c r="AD27" s="4">
        <f ca="1">VLOOKUP(AB27,[3]enemies!$A:$E,3,FALSE)</f>
        <v>4</v>
      </c>
      <c r="AE27" s="4" t="str">
        <f>VLOOKUP(AB27,[4]characters!$A:$J,10,FALSE)</f>
        <v>Drop2N</v>
      </c>
      <c r="AF27" s="69">
        <v>1</v>
      </c>
      <c r="AG27" s="23">
        <f t="shared" ca="1" si="32"/>
        <v>4</v>
      </c>
      <c r="AH27" s="70">
        <v>100</v>
      </c>
      <c r="AI27" s="69">
        <v>0</v>
      </c>
      <c r="AJ27" s="69">
        <v>0</v>
      </c>
      <c r="AK27" s="69">
        <v>0</v>
      </c>
      <c r="AL27" s="69">
        <v>0</v>
      </c>
      <c r="AM27" s="69">
        <v>1</v>
      </c>
    </row>
  </sheetData>
  <sheetProtection selectLockedCells="1" selectUnlockedCells="1"/>
  <autoFilter ref="B1:AH2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5"/>
  <sheetViews>
    <sheetView showGridLines="0" workbookViewId="0">
      <pane xSplit="18" ySplit="1" topLeftCell="S2" activePane="bottomRight" state="frozen"/>
      <selection pane="topRight" activeCell="N1" sqref="N1"/>
      <selection pane="bottomLeft" activeCell="A2" sqref="A2"/>
      <selection pane="bottomRight" activeCell="H26" sqref="H26"/>
    </sheetView>
  </sheetViews>
  <sheetFormatPr baseColWidth="12" defaultColWidth="13" defaultRowHeight="21" customHeight="1" outlineLevelCol="1" x14ac:dyDescent="0.15"/>
  <cols>
    <col min="1" max="1" width="17" style="18" bestFit="1" customWidth="1"/>
    <col min="2" max="2" width="10.83203125" style="3" bestFit="1" customWidth="1"/>
    <col min="3" max="3" width="10.6640625" style="3" bestFit="1" customWidth="1"/>
    <col min="4" max="4" width="13" style="12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7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0" style="3" bestFit="1" customWidth="1"/>
    <col min="24" max="24" width="12.1640625" style="3" bestFit="1" customWidth="1" outlineLevel="1"/>
    <col min="25" max="25" width="9.33203125" style="3" bestFit="1" customWidth="1"/>
    <col min="26" max="16384" width="13" style="3"/>
  </cols>
  <sheetData>
    <row r="1" spans="1:25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16</v>
      </c>
      <c r="F1" s="29" t="s">
        <v>16</v>
      </c>
      <c r="G1" s="27" t="s">
        <v>19</v>
      </c>
      <c r="H1" s="28" t="s">
        <v>30</v>
      </c>
      <c r="I1" s="28" t="s">
        <v>14</v>
      </c>
      <c r="J1" s="28" t="s">
        <v>15</v>
      </c>
      <c r="K1" s="35" t="s">
        <v>53</v>
      </c>
      <c r="L1" s="35" t="s">
        <v>54</v>
      </c>
      <c r="M1" s="36" t="s">
        <v>2</v>
      </c>
      <c r="N1" s="30" t="s">
        <v>16</v>
      </c>
      <c r="O1" s="28" t="s">
        <v>24</v>
      </c>
      <c r="P1" s="28" t="s">
        <v>23</v>
      </c>
      <c r="Q1" s="31" t="s">
        <v>26</v>
      </c>
      <c r="R1" s="29" t="s">
        <v>25</v>
      </c>
      <c r="S1" s="27" t="s">
        <v>3</v>
      </c>
      <c r="T1" s="25" t="s">
        <v>48</v>
      </c>
      <c r="U1" s="25" t="s">
        <v>50</v>
      </c>
      <c r="V1" s="25" t="s">
        <v>52</v>
      </c>
      <c r="W1" s="28" t="s">
        <v>127</v>
      </c>
      <c r="X1" s="27" t="s">
        <v>128</v>
      </c>
      <c r="Y1" s="27" t="s">
        <v>8</v>
      </c>
    </row>
    <row r="2" spans="1:25" ht="21" customHeight="1" x14ac:dyDescent="0.15">
      <c r="A2" s="14" t="str">
        <f>B2&amp;"_"&amp;C2&amp;"-"&amp;G2&amp;"/"&amp;M2&amp;"&lt;lv"&amp;S2&amp;"&gt;sq"&amp;K2&amp;"st"&amp;L2</f>
        <v>30015_1-5/422&lt;lv60&gt;sq1st2</v>
      </c>
      <c r="B2" s="21">
        <v>30015</v>
      </c>
      <c r="C2" s="20">
        <v>1</v>
      </c>
      <c r="D2" s="2" t="str">
        <f>B2&amp;"_"&amp;C2</f>
        <v>30015_1</v>
      </c>
      <c r="E2" s="4" t="str">
        <f ca="1">VLOOKUP($B2,OFFSET([2]quests!$A$1,0,0,COUNTA([2]quests!$A:$A),MATCH(E$1,[2]quests!$1:$1,0)-MATCH($B$1,[2]quests!$1:$1,0)+1),MATCH(E$1,[2]quests!$1:$1,0)-MATCH($B$1,[2]quests!$1:$1,0)+1,FALSE)</f>
        <v>兄妹の大冒険</v>
      </c>
      <c r="F2" s="4" t="str">
        <f ca="1">VLOOKUP($D2,OFFSET([2]stages!$A$1,0,0,COUNTA([2]stages!$A:$A),MATCH(F$1,[2]stages!$2:$2,0)-MATCH($D$1,[2]stages!$2:$2,0)+1),MATCH(F$1,[2]stages!$2:$2,0)-MATCH($D$1,[2]stages!$2:$2,0)+1,FALSE)</f>
        <v>【超級】兄妹の大冒険</v>
      </c>
      <c r="G2" s="20">
        <v>5</v>
      </c>
      <c r="H2" s="13" t="str">
        <f>B2&amp;"_"&amp;C2&amp;"-"&amp;G2</f>
        <v>30015_1-5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7">
        <v>1</v>
      </c>
      <c r="L2" s="37">
        <v>2</v>
      </c>
      <c r="M2" s="19">
        <v>422</v>
      </c>
      <c r="N2" s="15" t="str">
        <f ca="1">VLOOKUP(M2,[3]enemies!$A:$B,2,FALSE)</f>
        <v>シュガフル</v>
      </c>
      <c r="O2" s="17" t="str">
        <f ca="1">VLOOKUP(M2,[3]enemies!$A:$D,4,FALSE)</f>
        <v>blue</v>
      </c>
      <c r="P2" s="17" t="str">
        <f>VLOOKUP(M2,[4]characters!$A:$J,10,FALSE)</f>
        <v>Drop2N</v>
      </c>
      <c r="Q2" s="16" t="str">
        <f>VLOOKUP(M2,[4]characters!$A:$M,13,FALSE)</f>
        <v>human</v>
      </c>
      <c r="R2" s="4">
        <f ca="1">VLOOKUP(M2,[3]enemies!$A:$X,24,FALSE)</f>
        <v>30</v>
      </c>
      <c r="S2" s="5">
        <v>60</v>
      </c>
      <c r="T2" s="24">
        <v>1.7</v>
      </c>
      <c r="U2" s="24">
        <v>1</v>
      </c>
      <c r="V2" s="5">
        <v>0</v>
      </c>
      <c r="W2" s="88">
        <v>30015004</v>
      </c>
      <c r="X2" s="4" t="str">
        <f>IFERROR(VLOOKUP(W2,[5]enemy_skill_sets!$B:$E,4,FALSE),VLOOKUP(W2,enemy_skill_sets!C:F,3,FALSE))</f>
        <v>死神の微笑み</v>
      </c>
      <c r="Y2" s="89">
        <v>2</v>
      </c>
    </row>
    <row r="3" spans="1:25" ht="21" customHeight="1" x14ac:dyDescent="0.15">
      <c r="A3" s="14" t="str">
        <f>B3&amp;"_"&amp;C3&amp;"-"&amp;G3&amp;"/"&amp;M3&amp;"&lt;lv"&amp;S3&amp;"&gt;sq"&amp;K3&amp;"st"&amp;L3</f>
        <v>30015_1-5/422&lt;lv60&gt;sq1st3</v>
      </c>
      <c r="B3" s="21">
        <v>30015</v>
      </c>
      <c r="C3" s="20">
        <v>1</v>
      </c>
      <c r="D3" s="2" t="str">
        <f>B3&amp;"_"&amp;C3</f>
        <v>30015_1</v>
      </c>
      <c r="E3" s="4" t="str">
        <f ca="1">VLOOKUP($B3,OFFSET([2]quests!$A$1,0,0,COUNTA([2]quests!$A:$A),MATCH(E$1,[2]quests!$1:$1,0)-MATCH($B$1,[2]quests!$1:$1,0)+1),MATCH(E$1,[2]quests!$1:$1,0)-MATCH($B$1,[2]quests!$1:$1,0)+1,FALSE)</f>
        <v>兄妹の大冒険</v>
      </c>
      <c r="F3" s="4" t="str">
        <f ca="1">VLOOKUP($D3,OFFSET([2]stages!$A$1,0,0,COUNTA([2]stages!$A:$A),MATCH(F$1,[2]stages!$2:$2,0)-MATCH($D$1,[2]stages!$2:$2,0)+1),MATCH(F$1,[2]stages!$2:$2,0)-MATCH($D$1,[2]stages!$2:$2,0)+1,FALSE)</f>
        <v>【超級】兄妹の大冒険</v>
      </c>
      <c r="G3" s="20">
        <v>5</v>
      </c>
      <c r="H3" s="13" t="str">
        <f>B3&amp;"_"&amp;C3&amp;"-"&amp;G3</f>
        <v>30015_1-5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7">
        <v>1</v>
      </c>
      <c r="L3" s="37">
        <v>3</v>
      </c>
      <c r="M3" s="19">
        <v>422</v>
      </c>
      <c r="N3" s="15" t="str">
        <f ca="1">VLOOKUP(M3,[3]enemies!$A:$B,2,FALSE)</f>
        <v>シュガフル</v>
      </c>
      <c r="O3" s="17" t="str">
        <f ca="1">VLOOKUP(M3,[3]enemies!$A:$D,4,FALSE)</f>
        <v>blue</v>
      </c>
      <c r="P3" s="17" t="str">
        <f>VLOOKUP(M3,[4]characters!$A:$J,10,FALSE)</f>
        <v>Drop2N</v>
      </c>
      <c r="Q3" s="16" t="str">
        <f>VLOOKUP(M3,[4]characters!$A:$M,13,FALSE)</f>
        <v>human</v>
      </c>
      <c r="R3" s="4">
        <f ca="1">VLOOKUP(M3,[3]enemies!$A:$X,24,FALSE)</f>
        <v>30</v>
      </c>
      <c r="S3" s="5">
        <v>60</v>
      </c>
      <c r="T3" s="24">
        <v>1.5</v>
      </c>
      <c r="U3" s="24">
        <v>1</v>
      </c>
      <c r="V3" s="5">
        <v>0</v>
      </c>
      <c r="W3" s="88">
        <v>30015008</v>
      </c>
      <c r="X3" s="4" t="str">
        <f>IFERROR(VLOOKUP(W3,[5]enemy_skill_sets!$B:$E,4,FALSE),VLOOKUP(W3,enemy_skill_sets!C:F,3,FALSE))</f>
        <v>きひひひっ！</v>
      </c>
      <c r="Y3" s="89">
        <v>2</v>
      </c>
    </row>
    <row r="4" spans="1:25" ht="21" customHeight="1" x14ac:dyDescent="0.15">
      <c r="A4" s="14" t="str">
        <f t="shared" ref="A4:A5" si="0">B4&amp;"_"&amp;C4&amp;"-"&amp;G4&amp;"/"&amp;M4&amp;"&lt;lv"&amp;S4&amp;"&gt;sq"&amp;K4&amp;"st"&amp;L4</f>
        <v>30015_2-5/423&lt;lv80&gt;sq2st2</v>
      </c>
      <c r="B4" s="21">
        <v>30015</v>
      </c>
      <c r="C4" s="20">
        <v>2</v>
      </c>
      <c r="D4" s="2" t="str">
        <f t="shared" ref="D4:D5" si="1">B4&amp;"_"&amp;C4</f>
        <v>30015_2</v>
      </c>
      <c r="E4" s="4" t="str">
        <f ca="1">VLOOKUP($B4,OFFSET([2]quests!$A$1,0,0,COUNTA([2]quests!$A:$A),MATCH(E$1,[2]quests!$1:$1,0)-MATCH($B$1,[2]quests!$1:$1,0)+1),MATCH(E$1,[2]quests!$1:$1,0)-MATCH($B$1,[2]quests!$1:$1,0)+1,FALSE)</f>
        <v>兄妹の大冒険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【超絶級】兄妹の大冒険</v>
      </c>
      <c r="G4" s="20">
        <v>5</v>
      </c>
      <c r="H4" s="13" t="str">
        <f t="shared" ref="H4:H5" si="2">B4&amp;"_"&amp;C4&amp;"-"&amp;G4</f>
        <v>30015_2-5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7">
        <v>2</v>
      </c>
      <c r="L4" s="37">
        <v>2</v>
      </c>
      <c r="M4" s="19">
        <v>423</v>
      </c>
      <c r="N4" s="15" t="str">
        <f ca="1">VLOOKUP(M4,[3]enemies!$A:$B,2,FALSE)</f>
        <v>甘罠の魔女 シュガフル</v>
      </c>
      <c r="O4" s="17" t="str">
        <f ca="1">VLOOKUP(M4,[3]enemies!$A:$D,4,FALSE)</f>
        <v>blue</v>
      </c>
      <c r="P4" s="17" t="str">
        <f>VLOOKUP(M4,[4]characters!$A:$J,10,FALSE)</f>
        <v>Drop2N</v>
      </c>
      <c r="Q4" s="16" t="str">
        <f>VLOOKUP(M4,[4]characters!$A:$M,13,FALSE)</f>
        <v>human</v>
      </c>
      <c r="R4" s="4">
        <f ca="1">VLOOKUP(M4,[3]enemies!$A:$X,24,FALSE)</f>
        <v>60</v>
      </c>
      <c r="S4" s="5">
        <v>80</v>
      </c>
      <c r="T4" s="24">
        <v>1.7</v>
      </c>
      <c r="U4" s="24">
        <v>1</v>
      </c>
      <c r="V4" s="5">
        <v>0</v>
      </c>
      <c r="W4" s="88">
        <v>30015004</v>
      </c>
      <c r="X4" s="4" t="str">
        <f>IFERROR(VLOOKUP(W4,[5]enemy_skill_sets!$B:$E,4,FALSE),VLOOKUP(W4,enemy_skill_sets!C:F,3,FALSE))</f>
        <v>死神の微笑み</v>
      </c>
      <c r="Y4" s="89">
        <v>2</v>
      </c>
    </row>
    <row r="5" spans="1:25" ht="21" customHeight="1" x14ac:dyDescent="0.15">
      <c r="A5" s="14" t="str">
        <f t="shared" si="0"/>
        <v>30015_2-5/423&lt;lv80&gt;sq2st3</v>
      </c>
      <c r="B5" s="21">
        <v>30015</v>
      </c>
      <c r="C5" s="20">
        <v>2</v>
      </c>
      <c r="D5" s="2" t="str">
        <f t="shared" si="1"/>
        <v>30015_2</v>
      </c>
      <c r="E5" s="4" t="str">
        <f ca="1">VLOOKUP($B5,OFFSET([2]quests!$A$1,0,0,COUNTA([2]quests!$A:$A),MATCH(E$1,[2]quests!$1:$1,0)-MATCH($B$1,[2]quests!$1:$1,0)+1),MATCH(E$1,[2]quests!$1:$1,0)-MATCH($B$1,[2]quests!$1:$1,0)+1,FALSE)</f>
        <v>兄妹の大冒険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【超絶級】兄妹の大冒険</v>
      </c>
      <c r="G5" s="20">
        <v>5</v>
      </c>
      <c r="H5" s="13" t="str">
        <f t="shared" si="2"/>
        <v>30015_2-5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7">
        <v>2</v>
      </c>
      <c r="L5" s="37">
        <v>3</v>
      </c>
      <c r="M5" s="19">
        <v>423</v>
      </c>
      <c r="N5" s="15" t="str">
        <f ca="1">VLOOKUP(M5,[3]enemies!$A:$B,2,FALSE)</f>
        <v>甘罠の魔女 シュガフル</v>
      </c>
      <c r="O5" s="17" t="str">
        <f ca="1">VLOOKUP(M5,[3]enemies!$A:$D,4,FALSE)</f>
        <v>blue</v>
      </c>
      <c r="P5" s="17" t="str">
        <f>VLOOKUP(M5,[4]characters!$A:$J,10,FALSE)</f>
        <v>Drop2N</v>
      </c>
      <c r="Q5" s="16" t="str">
        <f>VLOOKUP(M5,[4]characters!$A:$M,13,FALSE)</f>
        <v>human</v>
      </c>
      <c r="R5" s="4">
        <f ca="1">VLOOKUP(M5,[3]enemies!$A:$X,24,FALSE)</f>
        <v>60</v>
      </c>
      <c r="S5" s="5">
        <v>80</v>
      </c>
      <c r="T5" s="24">
        <v>1.5</v>
      </c>
      <c r="U5" s="24">
        <v>1</v>
      </c>
      <c r="V5" s="5">
        <v>0</v>
      </c>
      <c r="W5" s="88">
        <v>30015005</v>
      </c>
      <c r="X5" s="4" t="str">
        <f>IFERROR(VLOOKUP(W5,[5]enemy_skill_sets!$B:$E,4,FALSE),VLOOKUP(W5,enemy_skill_sets!C:F,3,FALSE))</f>
        <v>光からの逃奔</v>
      </c>
      <c r="Y5" s="89">
        <v>2</v>
      </c>
    </row>
  </sheetData>
  <sheetProtection selectLockedCells="1" selectUnlockedCells="1"/>
  <autoFilter ref="B1:Y2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I22"/>
  <sheetViews>
    <sheetView showGridLines="0" workbookViewId="0">
      <pane ySplit="1" topLeftCell="A2" activePane="bottomLeft" state="frozenSplit"/>
      <selection activeCell="D17" sqref="D17"/>
      <selection pane="bottomLeft" activeCell="D24" sqref="D24"/>
    </sheetView>
  </sheetViews>
  <sheetFormatPr baseColWidth="12" defaultColWidth="12.83203125" defaultRowHeight="21" customHeight="1" x14ac:dyDescent="0.15"/>
  <cols>
    <col min="1" max="1" width="12.83203125" style="48"/>
    <col min="2" max="2" width="67.1640625" style="48" customWidth="1"/>
    <col min="3" max="4" width="12.83203125" style="48"/>
    <col min="5" max="5" width="23.6640625" style="48" bestFit="1" customWidth="1"/>
    <col min="6" max="6" width="44.1640625" style="48" bestFit="1" customWidth="1"/>
    <col min="7" max="8" width="12.83203125" style="48"/>
    <col min="9" max="9" width="44.5" style="48" customWidth="1"/>
    <col min="10" max="16384" width="12.83203125" style="48"/>
  </cols>
  <sheetData>
    <row r="1" spans="1:9" ht="21" customHeight="1" x14ac:dyDescent="0.15">
      <c r="A1" s="39" t="s">
        <v>78</v>
      </c>
      <c r="B1" s="39" t="s">
        <v>79</v>
      </c>
      <c r="C1" s="39" t="s">
        <v>80</v>
      </c>
      <c r="D1" s="39" t="s">
        <v>126</v>
      </c>
      <c r="E1" s="39" t="s">
        <v>81</v>
      </c>
      <c r="F1" s="39" t="s">
        <v>82</v>
      </c>
      <c r="G1" s="40" t="s">
        <v>75</v>
      </c>
      <c r="H1" s="40" t="s">
        <v>76</v>
      </c>
      <c r="I1" s="40" t="s">
        <v>77</v>
      </c>
    </row>
    <row r="2" spans="1:9" ht="21" customHeight="1" x14ac:dyDescent="0.15">
      <c r="A2" s="81">
        <v>30015001</v>
      </c>
      <c r="B2" s="49" t="s">
        <v>135</v>
      </c>
      <c r="C2" s="49">
        <v>3</v>
      </c>
      <c r="D2" s="49" t="s">
        <v>134</v>
      </c>
      <c r="E2" s="49" t="s">
        <v>193</v>
      </c>
      <c r="F2" s="49" t="s">
        <v>194</v>
      </c>
      <c r="G2" s="49" t="s">
        <v>136</v>
      </c>
      <c r="H2" s="51">
        <v>42306</v>
      </c>
      <c r="I2" s="49" t="s">
        <v>137</v>
      </c>
    </row>
    <row r="3" spans="1:9" ht="21" customHeight="1" x14ac:dyDescent="0.15">
      <c r="A3" s="81">
        <v>30015003</v>
      </c>
      <c r="B3" s="46" t="s">
        <v>139</v>
      </c>
      <c r="C3" s="49">
        <v>3</v>
      </c>
      <c r="D3" s="49" t="s">
        <v>134</v>
      </c>
      <c r="E3" s="49" t="s">
        <v>180</v>
      </c>
      <c r="F3" s="49" t="s">
        <v>140</v>
      </c>
      <c r="G3" s="49" t="s">
        <v>136</v>
      </c>
      <c r="H3" s="51">
        <v>42306</v>
      </c>
      <c r="I3" s="49" t="s">
        <v>141</v>
      </c>
    </row>
    <row r="4" spans="1:9" ht="21" customHeight="1" x14ac:dyDescent="0.15">
      <c r="A4" s="81">
        <v>30015004</v>
      </c>
      <c r="B4" s="82" t="s">
        <v>200</v>
      </c>
      <c r="C4" s="49">
        <v>3</v>
      </c>
      <c r="D4" s="83" t="s">
        <v>142</v>
      </c>
      <c r="E4" s="84" t="s">
        <v>143</v>
      </c>
      <c r="F4" s="84" t="s">
        <v>201</v>
      </c>
      <c r="G4" s="49" t="s">
        <v>136</v>
      </c>
      <c r="H4" s="51">
        <v>42307</v>
      </c>
      <c r="I4" s="49" t="s">
        <v>144</v>
      </c>
    </row>
    <row r="5" spans="1:9" ht="21" customHeight="1" x14ac:dyDescent="0.15">
      <c r="A5" s="81">
        <v>30015005</v>
      </c>
      <c r="B5" s="46" t="s">
        <v>145</v>
      </c>
      <c r="C5" s="49">
        <v>3</v>
      </c>
      <c r="D5" s="49" t="s">
        <v>134</v>
      </c>
      <c r="E5" s="49" t="s">
        <v>146</v>
      </c>
      <c r="F5" s="49" t="s">
        <v>147</v>
      </c>
      <c r="G5" s="49" t="s">
        <v>136</v>
      </c>
      <c r="H5" s="51">
        <v>42306</v>
      </c>
      <c r="I5" s="49" t="s">
        <v>138</v>
      </c>
    </row>
    <row r="6" spans="1:9" ht="21" customHeight="1" x14ac:dyDescent="0.15">
      <c r="A6" s="81">
        <v>30015006</v>
      </c>
      <c r="B6" s="46" t="s">
        <v>181</v>
      </c>
      <c r="C6" s="49">
        <v>3</v>
      </c>
      <c r="D6" s="49" t="s">
        <v>148</v>
      </c>
      <c r="E6" s="50" t="s">
        <v>179</v>
      </c>
      <c r="F6" s="50" t="s">
        <v>149</v>
      </c>
      <c r="G6" s="49" t="s">
        <v>136</v>
      </c>
      <c r="H6" s="51">
        <v>42306</v>
      </c>
      <c r="I6" s="49" t="s">
        <v>138</v>
      </c>
    </row>
    <row r="7" spans="1:9" ht="21" customHeight="1" x14ac:dyDescent="0.15">
      <c r="A7" s="81">
        <v>30015007</v>
      </c>
      <c r="B7" s="46" t="s">
        <v>207</v>
      </c>
      <c r="C7" s="49">
        <v>3</v>
      </c>
      <c r="D7" s="49" t="s">
        <v>134</v>
      </c>
      <c r="E7" s="50" t="s">
        <v>154</v>
      </c>
      <c r="F7" s="50" t="s">
        <v>166</v>
      </c>
      <c r="G7" s="49" t="s">
        <v>136</v>
      </c>
      <c r="H7" s="51">
        <v>42307</v>
      </c>
      <c r="I7" s="49" t="s">
        <v>155</v>
      </c>
    </row>
    <row r="8" spans="1:9" ht="21" customHeight="1" x14ac:dyDescent="0.15">
      <c r="A8" s="81">
        <v>30015008</v>
      </c>
      <c r="B8" s="46" t="s">
        <v>156</v>
      </c>
      <c r="C8" s="49">
        <v>3</v>
      </c>
      <c r="D8" s="49" t="s">
        <v>134</v>
      </c>
      <c r="E8" s="50" t="s">
        <v>157</v>
      </c>
      <c r="F8" s="50" t="s">
        <v>158</v>
      </c>
      <c r="G8" s="49" t="s">
        <v>136</v>
      </c>
      <c r="H8" s="51">
        <v>42307</v>
      </c>
      <c r="I8" s="49" t="s">
        <v>155</v>
      </c>
    </row>
    <row r="9" spans="1:9" ht="21" customHeight="1" x14ac:dyDescent="0.15">
      <c r="A9" s="81">
        <v>30015009</v>
      </c>
      <c r="B9" s="46" t="s">
        <v>159</v>
      </c>
      <c r="C9" s="49">
        <v>3</v>
      </c>
      <c r="D9" s="49" t="s">
        <v>134</v>
      </c>
      <c r="E9" s="50" t="s">
        <v>160</v>
      </c>
      <c r="F9" s="50" t="s">
        <v>161</v>
      </c>
      <c r="G9" s="49" t="s">
        <v>136</v>
      </c>
      <c r="H9" s="51">
        <v>42307</v>
      </c>
      <c r="I9" s="49" t="s">
        <v>155</v>
      </c>
    </row>
    <row r="10" spans="1:9" ht="21" customHeight="1" x14ac:dyDescent="0.15">
      <c r="A10" s="81">
        <v>30015010</v>
      </c>
      <c r="B10" s="46" t="s">
        <v>184</v>
      </c>
      <c r="C10" s="49">
        <v>3</v>
      </c>
      <c r="D10" s="49" t="s">
        <v>134</v>
      </c>
      <c r="E10" s="50" t="s">
        <v>162</v>
      </c>
      <c r="F10" s="50" t="s">
        <v>163</v>
      </c>
      <c r="G10" s="49" t="s">
        <v>136</v>
      </c>
      <c r="H10" s="51">
        <v>42307</v>
      </c>
      <c r="I10" s="49" t="s">
        <v>155</v>
      </c>
    </row>
    <row r="11" spans="1:9" ht="21" customHeight="1" x14ac:dyDescent="0.15">
      <c r="A11" s="81">
        <v>30015011</v>
      </c>
      <c r="B11" s="46" t="s">
        <v>186</v>
      </c>
      <c r="C11" s="49">
        <v>3</v>
      </c>
      <c r="D11" s="49" t="s">
        <v>164</v>
      </c>
      <c r="E11" s="50" t="s">
        <v>165</v>
      </c>
      <c r="F11" s="50" t="s">
        <v>182</v>
      </c>
      <c r="G11" s="49" t="s">
        <v>136</v>
      </c>
      <c r="H11" s="51">
        <v>42307</v>
      </c>
      <c r="I11" s="49" t="s">
        <v>155</v>
      </c>
    </row>
    <row r="12" spans="1:9" ht="21" customHeight="1" x14ac:dyDescent="0.15">
      <c r="A12" s="81">
        <v>30015012</v>
      </c>
      <c r="B12" s="86" t="s">
        <v>192</v>
      </c>
      <c r="C12" s="49">
        <v>3</v>
      </c>
      <c r="D12" s="49" t="s">
        <v>134</v>
      </c>
      <c r="E12" s="50" t="s">
        <v>167</v>
      </c>
      <c r="F12" s="50" t="s">
        <v>168</v>
      </c>
      <c r="G12" s="49" t="s">
        <v>136</v>
      </c>
      <c r="H12" s="51">
        <v>42307</v>
      </c>
      <c r="I12" s="49" t="s">
        <v>155</v>
      </c>
    </row>
    <row r="13" spans="1:9" ht="21" customHeight="1" x14ac:dyDescent="0.15">
      <c r="A13" s="81">
        <v>30015013</v>
      </c>
      <c r="B13" s="46" t="s">
        <v>208</v>
      </c>
      <c r="C13" s="49">
        <v>3</v>
      </c>
      <c r="D13" s="49" t="s">
        <v>134</v>
      </c>
      <c r="E13" s="50" t="s">
        <v>169</v>
      </c>
      <c r="F13" s="50" t="s">
        <v>166</v>
      </c>
      <c r="G13" s="49" t="s">
        <v>136</v>
      </c>
      <c r="H13" s="51">
        <v>42307</v>
      </c>
      <c r="I13" s="49" t="s">
        <v>155</v>
      </c>
    </row>
    <row r="14" spans="1:9" ht="21" customHeight="1" x14ac:dyDescent="0.15">
      <c r="A14" s="81">
        <v>30015014</v>
      </c>
      <c r="B14" s="84" t="s">
        <v>172</v>
      </c>
      <c r="C14" s="49">
        <v>3</v>
      </c>
      <c r="D14" s="83" t="s">
        <v>142</v>
      </c>
      <c r="E14" s="84" t="s">
        <v>170</v>
      </c>
      <c r="F14" s="84" t="s">
        <v>171</v>
      </c>
      <c r="G14" s="49" t="s">
        <v>136</v>
      </c>
      <c r="H14" s="51">
        <v>42307</v>
      </c>
      <c r="I14" s="49" t="s">
        <v>155</v>
      </c>
    </row>
    <row r="15" spans="1:9" ht="21" customHeight="1" x14ac:dyDescent="0.15">
      <c r="A15" s="81">
        <v>30015015</v>
      </c>
      <c r="B15" s="84" t="s">
        <v>183</v>
      </c>
      <c r="C15" s="49">
        <v>3</v>
      </c>
      <c r="D15" s="83" t="s">
        <v>142</v>
      </c>
      <c r="E15" s="84" t="s">
        <v>173</v>
      </c>
      <c r="F15" s="84" t="s">
        <v>174</v>
      </c>
      <c r="G15" s="49" t="s">
        <v>136</v>
      </c>
      <c r="H15" s="51">
        <v>42307</v>
      </c>
      <c r="I15" s="49" t="s">
        <v>155</v>
      </c>
    </row>
    <row r="16" spans="1:9" ht="21" customHeight="1" x14ac:dyDescent="0.15">
      <c r="A16" s="81">
        <v>30015016</v>
      </c>
      <c r="B16" s="86" t="s">
        <v>175</v>
      </c>
      <c r="C16" s="49">
        <v>3</v>
      </c>
      <c r="D16" s="49" t="s">
        <v>134</v>
      </c>
      <c r="E16" s="50" t="s">
        <v>176</v>
      </c>
      <c r="F16" s="50" t="s">
        <v>177</v>
      </c>
      <c r="G16" s="49" t="s">
        <v>136</v>
      </c>
      <c r="H16" s="51">
        <v>42307</v>
      </c>
      <c r="I16" s="49" t="s">
        <v>155</v>
      </c>
    </row>
    <row r="17" spans="1:9" ht="21" customHeight="1" x14ac:dyDescent="0.15">
      <c r="A17" s="81">
        <v>30015017</v>
      </c>
      <c r="B17" s="46" t="s">
        <v>190</v>
      </c>
      <c r="C17" s="49">
        <v>3</v>
      </c>
      <c r="D17" s="49" t="s">
        <v>148</v>
      </c>
      <c r="E17" s="50" t="s">
        <v>188</v>
      </c>
      <c r="F17" s="50" t="s">
        <v>185</v>
      </c>
      <c r="G17" s="49" t="s">
        <v>136</v>
      </c>
      <c r="H17" s="51">
        <v>42307</v>
      </c>
      <c r="I17" s="49" t="s">
        <v>195</v>
      </c>
    </row>
    <row r="18" spans="1:9" ht="21" customHeight="1" x14ac:dyDescent="0.15">
      <c r="A18" s="81">
        <v>30015018</v>
      </c>
      <c r="B18" s="46" t="s">
        <v>191</v>
      </c>
      <c r="C18" s="49">
        <v>3</v>
      </c>
      <c r="D18" s="49" t="s">
        <v>148</v>
      </c>
      <c r="E18" s="50" t="s">
        <v>188</v>
      </c>
      <c r="F18" s="50" t="s">
        <v>187</v>
      </c>
      <c r="G18" s="49" t="s">
        <v>136</v>
      </c>
      <c r="H18" s="51">
        <v>42307</v>
      </c>
      <c r="I18" s="49" t="s">
        <v>196</v>
      </c>
    </row>
    <row r="19" spans="1:9" ht="21" customHeight="1" x14ac:dyDescent="0.15">
      <c r="A19" s="81">
        <v>30015019</v>
      </c>
      <c r="B19" s="46" t="s">
        <v>206</v>
      </c>
      <c r="C19" s="49">
        <v>3</v>
      </c>
      <c r="D19" s="49" t="s">
        <v>204</v>
      </c>
      <c r="E19" s="46" t="s">
        <v>205</v>
      </c>
      <c r="F19" s="50" t="s">
        <v>203</v>
      </c>
      <c r="G19" s="49" t="s">
        <v>136</v>
      </c>
      <c r="H19" s="51">
        <v>42307</v>
      </c>
      <c r="I19" s="49" t="s">
        <v>155</v>
      </c>
    </row>
    <row r="20" spans="1:9" ht="21" customHeight="1" x14ac:dyDescent="0.15">
      <c r="A20" s="81">
        <v>30015020</v>
      </c>
      <c r="B20" s="46" t="s">
        <v>197</v>
      </c>
      <c r="C20" s="49">
        <v>3</v>
      </c>
      <c r="D20" s="49" t="s">
        <v>134</v>
      </c>
      <c r="E20" s="49" t="s">
        <v>180</v>
      </c>
      <c r="F20" s="49" t="s">
        <v>140</v>
      </c>
      <c r="G20" s="49" t="s">
        <v>136</v>
      </c>
      <c r="H20" s="51">
        <v>42306</v>
      </c>
      <c r="I20" s="49" t="s">
        <v>141</v>
      </c>
    </row>
    <row r="21" spans="1:9" ht="21" customHeight="1" x14ac:dyDescent="0.15">
      <c r="A21" s="81">
        <v>30015021</v>
      </c>
      <c r="B21" s="46" t="s">
        <v>198</v>
      </c>
      <c r="C21" s="49">
        <v>3</v>
      </c>
      <c r="D21" s="49" t="s">
        <v>134</v>
      </c>
      <c r="E21" s="49" t="s">
        <v>146</v>
      </c>
      <c r="F21" s="49" t="s">
        <v>199</v>
      </c>
      <c r="G21" s="49" t="s">
        <v>136</v>
      </c>
      <c r="H21" s="51">
        <v>42306</v>
      </c>
      <c r="I21" s="49" t="s">
        <v>138</v>
      </c>
    </row>
    <row r="22" spans="1:9" ht="21" customHeight="1" x14ac:dyDescent="0.15">
      <c r="A22" s="81">
        <v>30015022</v>
      </c>
      <c r="B22" s="46" t="s">
        <v>202</v>
      </c>
      <c r="C22" s="49">
        <v>3</v>
      </c>
      <c r="D22" s="49" t="s">
        <v>148</v>
      </c>
      <c r="E22" s="50" t="s">
        <v>179</v>
      </c>
      <c r="F22" s="50" t="s">
        <v>149</v>
      </c>
      <c r="G22" s="49" t="s">
        <v>136</v>
      </c>
      <c r="H22" s="51">
        <v>42306</v>
      </c>
      <c r="I22" s="49" t="s">
        <v>138</v>
      </c>
    </row>
  </sheetData>
  <autoFilter ref="A1:I1"/>
  <phoneticPr fontId="3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13"/>
  <sheetViews>
    <sheetView showGridLines="0" workbookViewId="0">
      <pane ySplit="1" topLeftCell="A2" activePane="bottomLeft" state="frozenSplit"/>
      <selection activeCell="H205" sqref="H205"/>
      <selection pane="bottomLeft" activeCell="G23" sqref="G23"/>
    </sheetView>
  </sheetViews>
  <sheetFormatPr baseColWidth="12" defaultColWidth="12.83203125" defaultRowHeight="21" customHeight="1" x14ac:dyDescent="0.15"/>
  <cols>
    <col min="1" max="1" width="16.1640625" style="48" bestFit="1" customWidth="1"/>
    <col min="2" max="2" width="13.33203125" style="48" bestFit="1" customWidth="1"/>
    <col min="3" max="3" width="11.83203125" style="48" bestFit="1" customWidth="1"/>
    <col min="4" max="4" width="14.6640625" style="48" bestFit="1" customWidth="1"/>
    <col min="5" max="5" width="15.6640625" style="48" bestFit="1" customWidth="1"/>
    <col min="6" max="6" width="17" style="48" bestFit="1" customWidth="1"/>
    <col min="7" max="7" width="15.6640625" style="48" bestFit="1" customWidth="1"/>
    <col min="8" max="9" width="14.6640625" style="48" customWidth="1"/>
    <col min="10" max="10" width="14.6640625" style="48" bestFit="1" customWidth="1"/>
    <col min="11" max="11" width="22.83203125" style="38" bestFit="1" customWidth="1"/>
    <col min="12" max="16384" width="12.83203125" style="44"/>
  </cols>
  <sheetData>
    <row r="1" spans="1:11" ht="21" customHeight="1" x14ac:dyDescent="0.15">
      <c r="A1" s="41" t="s">
        <v>83</v>
      </c>
      <c r="B1" s="41" t="s">
        <v>84</v>
      </c>
      <c r="C1" s="41" t="s">
        <v>85</v>
      </c>
      <c r="D1" s="41" t="s">
        <v>86</v>
      </c>
      <c r="E1" s="41" t="s">
        <v>69</v>
      </c>
      <c r="F1" s="52" t="s">
        <v>70</v>
      </c>
      <c r="G1" s="52" t="s">
        <v>71</v>
      </c>
      <c r="H1" s="41" t="s">
        <v>72</v>
      </c>
      <c r="I1" s="41" t="s">
        <v>73</v>
      </c>
      <c r="J1" s="41" t="s">
        <v>74</v>
      </c>
      <c r="K1" s="53" t="s">
        <v>87</v>
      </c>
    </row>
    <row r="2" spans="1:11" ht="21" customHeight="1" x14ac:dyDescent="0.15">
      <c r="A2" s="46">
        <v>30015001</v>
      </c>
      <c r="B2" s="46">
        <v>1</v>
      </c>
      <c r="C2" s="46" t="s">
        <v>88</v>
      </c>
      <c r="D2" s="46">
        <v>100</v>
      </c>
      <c r="E2" s="46" t="s">
        <v>150</v>
      </c>
      <c r="F2" s="46" t="s">
        <v>89</v>
      </c>
      <c r="G2" s="46">
        <v>1</v>
      </c>
      <c r="H2" s="46" t="s">
        <v>89</v>
      </c>
      <c r="I2" s="46" t="s">
        <v>89</v>
      </c>
      <c r="J2" s="47">
        <f t="shared" ref="J2" si="0">D2</f>
        <v>100</v>
      </c>
    </row>
    <row r="3" spans="1:11" ht="21" customHeight="1" x14ac:dyDescent="0.15">
      <c r="A3" s="46">
        <v>30015002</v>
      </c>
      <c r="B3" s="46">
        <v>0</v>
      </c>
      <c r="C3" s="46" t="s">
        <v>88</v>
      </c>
      <c r="D3" s="46">
        <v>60</v>
      </c>
      <c r="E3" s="46">
        <v>50</v>
      </c>
      <c r="F3" s="46" t="s">
        <v>89</v>
      </c>
      <c r="G3" s="46" t="s">
        <v>151</v>
      </c>
      <c r="H3" s="46" t="s">
        <v>89</v>
      </c>
      <c r="I3" s="46" t="s">
        <v>89</v>
      </c>
      <c r="J3" s="47">
        <f t="shared" ref="J3:J6" si="1">D3</f>
        <v>60</v>
      </c>
    </row>
    <row r="4" spans="1:11" ht="21" customHeight="1" x14ac:dyDescent="0.15">
      <c r="A4" s="46">
        <v>30015003</v>
      </c>
      <c r="B4" s="46">
        <v>0</v>
      </c>
      <c r="C4" s="46" t="s">
        <v>88</v>
      </c>
      <c r="D4" s="46">
        <v>40</v>
      </c>
      <c r="E4" s="46" t="s">
        <v>152</v>
      </c>
      <c r="F4" s="46" t="s">
        <v>89</v>
      </c>
      <c r="G4" s="46">
        <v>2</v>
      </c>
      <c r="H4" s="46" t="s">
        <v>89</v>
      </c>
      <c r="I4" s="46" t="s">
        <v>89</v>
      </c>
      <c r="J4" s="47">
        <f t="shared" si="1"/>
        <v>40</v>
      </c>
    </row>
    <row r="5" spans="1:11" ht="21" customHeight="1" x14ac:dyDescent="0.15">
      <c r="A5" s="46">
        <v>30015004</v>
      </c>
      <c r="B5" s="46">
        <v>0</v>
      </c>
      <c r="C5" s="46" t="s">
        <v>88</v>
      </c>
      <c r="D5" s="46">
        <v>100</v>
      </c>
      <c r="E5" s="46">
        <v>60</v>
      </c>
      <c r="F5" s="46" t="s">
        <v>89</v>
      </c>
      <c r="G5" s="46">
        <v>1</v>
      </c>
      <c r="H5" s="46" t="s">
        <v>89</v>
      </c>
      <c r="I5" s="46" t="s">
        <v>89</v>
      </c>
      <c r="J5" s="47">
        <f t="shared" si="1"/>
        <v>100</v>
      </c>
    </row>
    <row r="6" spans="1:11" ht="21" customHeight="1" x14ac:dyDescent="0.15">
      <c r="A6" s="46">
        <v>30015005</v>
      </c>
      <c r="B6" s="46">
        <v>0</v>
      </c>
      <c r="C6" s="46" t="s">
        <v>88</v>
      </c>
      <c r="D6" s="46">
        <v>65</v>
      </c>
      <c r="E6" s="46" t="s">
        <v>153</v>
      </c>
      <c r="F6" s="46" t="s">
        <v>89</v>
      </c>
      <c r="G6" s="46" t="s">
        <v>153</v>
      </c>
      <c r="H6" s="46" t="s">
        <v>89</v>
      </c>
      <c r="I6" s="46" t="s">
        <v>89</v>
      </c>
      <c r="J6" s="47">
        <f t="shared" si="1"/>
        <v>65</v>
      </c>
    </row>
    <row r="7" spans="1:11" ht="21" customHeight="1" x14ac:dyDescent="0.15">
      <c r="A7" s="46">
        <v>30015006</v>
      </c>
      <c r="B7" s="46">
        <v>0</v>
      </c>
      <c r="C7" s="46" t="s">
        <v>88</v>
      </c>
      <c r="D7" s="46">
        <v>60</v>
      </c>
      <c r="E7" s="46" t="s">
        <v>88</v>
      </c>
      <c r="F7" s="46" t="s">
        <v>88</v>
      </c>
      <c r="G7" s="46">
        <v>1</v>
      </c>
      <c r="H7" s="46" t="s">
        <v>88</v>
      </c>
      <c r="I7" s="46" t="s">
        <v>88</v>
      </c>
      <c r="J7" s="47">
        <f t="shared" ref="J7" si="2">D7</f>
        <v>60</v>
      </c>
    </row>
    <row r="8" spans="1:11" ht="21" customHeight="1" x14ac:dyDescent="0.15">
      <c r="A8" s="46">
        <v>30015007</v>
      </c>
      <c r="B8" s="46">
        <v>0</v>
      </c>
      <c r="C8" s="46" t="s">
        <v>88</v>
      </c>
      <c r="D8" s="46">
        <v>45</v>
      </c>
      <c r="E8" s="46" t="s">
        <v>88</v>
      </c>
      <c r="F8" s="46" t="s">
        <v>88</v>
      </c>
      <c r="G8" s="46">
        <v>2</v>
      </c>
      <c r="H8" s="46" t="s">
        <v>88</v>
      </c>
      <c r="I8" s="46" t="s">
        <v>88</v>
      </c>
      <c r="J8" s="47">
        <f t="shared" ref="J8" si="3">D8</f>
        <v>45</v>
      </c>
    </row>
    <row r="9" spans="1:11" ht="21" customHeight="1" x14ac:dyDescent="0.15">
      <c r="A9" s="46">
        <v>30015008</v>
      </c>
      <c r="B9" s="46">
        <v>0</v>
      </c>
      <c r="C9" s="46" t="s">
        <v>88</v>
      </c>
      <c r="D9" s="46">
        <v>100</v>
      </c>
      <c r="E9" s="46">
        <v>50</v>
      </c>
      <c r="F9" s="46" t="s">
        <v>88</v>
      </c>
      <c r="G9" s="46">
        <v>1</v>
      </c>
      <c r="H9" s="46" t="s">
        <v>88</v>
      </c>
      <c r="I9" s="46" t="s">
        <v>88</v>
      </c>
      <c r="J9" s="47">
        <f t="shared" ref="J9" si="4">D9</f>
        <v>100</v>
      </c>
    </row>
    <row r="10" spans="1:11" ht="21" customHeight="1" x14ac:dyDescent="0.15">
      <c r="A10" s="46">
        <v>30015009</v>
      </c>
      <c r="B10" s="46">
        <v>0</v>
      </c>
      <c r="C10" s="46" t="s">
        <v>88</v>
      </c>
      <c r="D10" s="46">
        <v>60</v>
      </c>
      <c r="E10" s="46">
        <v>70</v>
      </c>
      <c r="F10" s="46">
        <v>10</v>
      </c>
      <c r="G10" s="46">
        <v>2</v>
      </c>
      <c r="H10" s="46" t="s">
        <v>88</v>
      </c>
      <c r="I10" s="46" t="s">
        <v>88</v>
      </c>
      <c r="J10" s="47">
        <f t="shared" ref="J10" si="5">D10</f>
        <v>60</v>
      </c>
    </row>
    <row r="11" spans="1:11" ht="21" customHeight="1" x14ac:dyDescent="0.15">
      <c r="A11" s="46">
        <v>30015010</v>
      </c>
      <c r="B11" s="46">
        <v>0</v>
      </c>
      <c r="C11" s="46" t="s">
        <v>88</v>
      </c>
      <c r="D11" s="46">
        <v>100</v>
      </c>
      <c r="E11" s="46">
        <v>50</v>
      </c>
      <c r="F11" s="46">
        <v>10</v>
      </c>
      <c r="G11" s="46" t="s">
        <v>178</v>
      </c>
      <c r="H11" s="46">
        <v>2</v>
      </c>
      <c r="I11" s="46" t="s">
        <v>88</v>
      </c>
      <c r="J11" s="47">
        <f t="shared" ref="J11:J12" si="6">D11</f>
        <v>100</v>
      </c>
    </row>
    <row r="12" spans="1:11" ht="21" customHeight="1" x14ac:dyDescent="0.15">
      <c r="A12" s="46">
        <v>30015011</v>
      </c>
      <c r="B12" s="46">
        <v>0</v>
      </c>
      <c r="C12" s="46">
        <v>1</v>
      </c>
      <c r="D12" s="46">
        <v>100</v>
      </c>
      <c r="E12" s="46">
        <v>10</v>
      </c>
      <c r="F12" s="46" t="s">
        <v>88</v>
      </c>
      <c r="G12" s="46" t="s">
        <v>178</v>
      </c>
      <c r="H12" s="46" t="s">
        <v>88</v>
      </c>
      <c r="I12" s="46" t="s">
        <v>88</v>
      </c>
      <c r="J12" s="47">
        <f t="shared" si="6"/>
        <v>100</v>
      </c>
    </row>
    <row r="13" spans="1:11" ht="21" customHeight="1" x14ac:dyDescent="0.15">
      <c r="A13" s="46">
        <v>30015012</v>
      </c>
      <c r="B13" s="46">
        <v>1</v>
      </c>
      <c r="C13" s="46" t="s">
        <v>88</v>
      </c>
      <c r="D13" s="46">
        <v>100</v>
      </c>
      <c r="E13" s="46" t="s">
        <v>189</v>
      </c>
      <c r="F13" s="46" t="s">
        <v>88</v>
      </c>
      <c r="G13" s="46">
        <v>1</v>
      </c>
      <c r="H13" s="46" t="s">
        <v>88</v>
      </c>
      <c r="I13" s="46" t="s">
        <v>88</v>
      </c>
      <c r="J13" s="47">
        <f t="shared" ref="J13" si="7">D13</f>
        <v>100</v>
      </c>
    </row>
  </sheetData>
  <autoFilter ref="A1:G1"/>
  <phoneticPr fontId="3"/>
  <conditionalFormatting sqref="K1:K8 K14:K1048576">
    <cfRule type="duplicateValues" dxfId="1" priority="2"/>
  </conditionalFormatting>
  <conditionalFormatting sqref="K9:K13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5"/>
  <sheetViews>
    <sheetView showGridLines="0" workbookViewId="0">
      <pane xSplit="5" ySplit="1" topLeftCell="F3" activePane="bottomRight" state="frozen"/>
      <selection pane="topRight" activeCell="F1" sqref="F1"/>
      <selection pane="bottomLeft" activeCell="A2" sqref="A2"/>
      <selection pane="bottomRight" activeCell="G8" sqref="G8"/>
    </sheetView>
  </sheetViews>
  <sheetFormatPr baseColWidth="12" defaultColWidth="12.83203125" defaultRowHeight="21" customHeight="1" outlineLevelCol="1" x14ac:dyDescent="0.15"/>
  <cols>
    <col min="1" max="1" width="11.33203125" style="38" bestFit="1" customWidth="1"/>
    <col min="2" max="2" width="9.5" style="48" bestFit="1" customWidth="1"/>
    <col min="3" max="3" width="10.33203125" style="48" customWidth="1"/>
    <col min="4" max="4" width="4" style="48" customWidth="1" outlineLevel="1"/>
    <col min="5" max="5" width="34.1640625" style="48" customWidth="1" outlineLevel="1"/>
    <col min="6" max="6" width="10.83203125" style="48" bestFit="1" customWidth="1"/>
    <col min="7" max="7" width="8.33203125" style="48" bestFit="1" customWidth="1" outlineLevel="1"/>
    <col min="8" max="9" width="12.83203125" style="48" outlineLevel="1"/>
    <col min="10" max="10" width="17.6640625" style="48" bestFit="1" customWidth="1" outlineLevel="1"/>
    <col min="11" max="15" width="12.83203125" style="48" outlineLevel="1"/>
    <col min="16" max="16" width="8.33203125" style="44" bestFit="1" customWidth="1"/>
    <col min="17" max="17" width="9.6640625" style="44" customWidth="1"/>
    <col min="18" max="18" width="56.5" style="44" bestFit="1" customWidth="1"/>
    <col min="19" max="16384" width="12.83203125" style="44"/>
  </cols>
  <sheetData>
    <row r="1" spans="1:18" ht="21" customHeight="1" x14ac:dyDescent="0.15">
      <c r="A1" s="38" t="s">
        <v>59</v>
      </c>
      <c r="B1" s="39" t="s">
        <v>60</v>
      </c>
      <c r="C1" s="39" t="s">
        <v>61</v>
      </c>
      <c r="D1" s="40" t="s">
        <v>62</v>
      </c>
      <c r="E1" s="40" t="s">
        <v>63</v>
      </c>
      <c r="F1" s="41" t="s">
        <v>64</v>
      </c>
      <c r="G1" s="42" t="s">
        <v>65</v>
      </c>
      <c r="H1" s="42" t="s">
        <v>67</v>
      </c>
      <c r="I1" s="42" t="s">
        <v>68</v>
      </c>
      <c r="J1" s="42" t="s">
        <v>69</v>
      </c>
      <c r="K1" s="43" t="s">
        <v>70</v>
      </c>
      <c r="L1" s="43" t="s">
        <v>71</v>
      </c>
      <c r="M1" s="42" t="s">
        <v>72</v>
      </c>
      <c r="N1" s="42" t="s">
        <v>73</v>
      </c>
      <c r="O1" s="42" t="s">
        <v>74</v>
      </c>
      <c r="P1" s="40" t="s">
        <v>75</v>
      </c>
      <c r="Q1" s="40" t="s">
        <v>76</v>
      </c>
      <c r="R1" s="40" t="s">
        <v>77</v>
      </c>
    </row>
    <row r="2" spans="1:18" ht="21" customHeight="1" x14ac:dyDescent="0.15">
      <c r="A2" s="38" t="str">
        <f t="shared" ref="A2:A5" si="0">B2&amp;"_"&amp;C2</f>
        <v>30015001_30015006</v>
      </c>
      <c r="B2" s="46">
        <v>30015001</v>
      </c>
      <c r="C2" s="46">
        <v>30015006</v>
      </c>
      <c r="D2" s="45" t="str">
        <f>IFERROR(VLOOKUP(C2,enemy_skills!A:F,4,FALSE),VLOOKUP(C2,[5]enemy_skills!$A:$E,4,FALSE))</f>
        <v>ja</v>
      </c>
      <c r="E2" s="45" t="str">
        <f>IFERROR(VLOOKUP(C2,enemy_skills!A:F,5,FALSE),VLOOKUP(C2,[5]enemy_skills!$A:$E,5,FALSE))</f>
        <v>彼岸への誘い</v>
      </c>
      <c r="F2" s="46">
        <v>30015005</v>
      </c>
      <c r="G2" s="47">
        <f>VLOOKUP($F2,enemy_skill_triggers!$A:$J,2,FALSE)</f>
        <v>0</v>
      </c>
      <c r="H2" s="47" t="str">
        <f>VLOOKUP($F2,enemy_skill_triggers!$A:$J,3,FALSE)</f>
        <v>null</v>
      </c>
      <c r="I2" s="47">
        <f>VLOOKUP($F2,enemy_skill_triggers!$A:$J,4,FALSE)</f>
        <v>65</v>
      </c>
      <c r="J2" s="47" t="str">
        <f>VLOOKUP($F2,enemy_skill_triggers!$A:$J,5,FALSE)</f>
        <v>null</v>
      </c>
      <c r="K2" s="47" t="str">
        <f>VLOOKUP($F2,enemy_skill_triggers!$A:$J,6,FALSE)</f>
        <v>null</v>
      </c>
      <c r="L2" s="47" t="str">
        <f>VLOOKUP($F2,enemy_skill_triggers!$A:$J,7,FALSE)</f>
        <v>null</v>
      </c>
      <c r="M2" s="47" t="str">
        <f>VLOOKUP($F2,enemy_skill_triggers!$A:$J,8,FALSE)</f>
        <v>null</v>
      </c>
      <c r="N2" s="47" t="str">
        <f>VLOOKUP($F2,enemy_skill_triggers!$A:$J,9,FALSE)</f>
        <v>null</v>
      </c>
      <c r="O2" s="47">
        <f>VLOOKUP($F2,enemy_skill_triggers!$A:$J,10,FALSE)</f>
        <v>65</v>
      </c>
      <c r="P2" s="46"/>
      <c r="Q2" s="46"/>
      <c r="R2" s="46"/>
    </row>
    <row r="3" spans="1:18" ht="21" customHeight="1" x14ac:dyDescent="0.15">
      <c r="A3" s="38" t="str">
        <f t="shared" si="0"/>
        <v>30015001_30015004</v>
      </c>
      <c r="B3" s="46">
        <v>30015001</v>
      </c>
      <c r="C3" s="46">
        <v>30015004</v>
      </c>
      <c r="D3" s="45" t="str">
        <f>IFERROR(VLOOKUP(C3,enemy_skills!A:F,4,FALSE),VLOOKUP(C3,[5]enemy_skills!$A:$E,4,FALSE))</f>
        <v>ja</v>
      </c>
      <c r="E3" s="45" t="str">
        <f>IFERROR(VLOOKUP(C3,enemy_skills!A:F,5,FALSE),VLOOKUP(C3,[5]enemy_skills!$A:$E,5,FALSE))</f>
        <v>死神の微笑み</v>
      </c>
      <c r="F3" s="46">
        <v>30015003</v>
      </c>
      <c r="G3" s="47">
        <f>VLOOKUP($F3,enemy_skill_triggers!$A:$J,2,FALSE)</f>
        <v>0</v>
      </c>
      <c r="H3" s="47" t="str">
        <f>VLOOKUP($F3,enemy_skill_triggers!$A:$J,3,FALSE)</f>
        <v>null</v>
      </c>
      <c r="I3" s="47">
        <f>VLOOKUP($F3,enemy_skill_triggers!$A:$J,4,FALSE)</f>
        <v>40</v>
      </c>
      <c r="J3" s="47" t="str">
        <f>VLOOKUP($F3,enemy_skill_triggers!$A:$J,5,FALSE)</f>
        <v>null</v>
      </c>
      <c r="K3" s="47" t="str">
        <f>VLOOKUP($F3,enemy_skill_triggers!$A:$J,6,FALSE)</f>
        <v>null</v>
      </c>
      <c r="L3" s="47">
        <f>VLOOKUP($F3,enemy_skill_triggers!$A:$J,7,FALSE)</f>
        <v>2</v>
      </c>
      <c r="M3" s="47" t="str">
        <f>VLOOKUP($F3,enemy_skill_triggers!$A:$J,8,FALSE)</f>
        <v>null</v>
      </c>
      <c r="N3" s="47" t="str">
        <f>VLOOKUP($F3,enemy_skill_triggers!$A:$J,9,FALSE)</f>
        <v>null</v>
      </c>
      <c r="O3" s="47">
        <f>VLOOKUP($F3,enemy_skill_triggers!$A:$J,10,FALSE)</f>
        <v>40</v>
      </c>
      <c r="P3" s="46"/>
      <c r="Q3" s="46"/>
      <c r="R3" s="46"/>
    </row>
    <row r="4" spans="1:18" ht="21" customHeight="1" x14ac:dyDescent="0.15">
      <c r="A4" s="38" t="str">
        <f t="shared" si="0"/>
        <v>30015002_30015005</v>
      </c>
      <c r="B4" s="46">
        <v>30015002</v>
      </c>
      <c r="C4" s="46">
        <v>30015005</v>
      </c>
      <c r="D4" s="45" t="str">
        <f>IFERROR(VLOOKUP(C4,enemy_skills!A:F,4,FALSE),VLOOKUP(C4,[5]enemy_skills!$A:$E,4,FALSE))</f>
        <v>ja</v>
      </c>
      <c r="E4" s="45" t="str">
        <f>IFERROR(VLOOKUP(C4,enemy_skills!A:F,5,FALSE),VLOOKUP(C4,[5]enemy_skills!$A:$E,5,FALSE))</f>
        <v>光からの逃奔</v>
      </c>
      <c r="F4" s="46">
        <v>30015004</v>
      </c>
      <c r="G4" s="47">
        <f>VLOOKUP($F4,enemy_skill_triggers!$A:$J,2,FALSE)</f>
        <v>0</v>
      </c>
      <c r="H4" s="47" t="str">
        <f>VLOOKUP($F4,enemy_skill_triggers!$A:$J,3,FALSE)</f>
        <v>null</v>
      </c>
      <c r="I4" s="47">
        <f>VLOOKUP($F4,enemy_skill_triggers!$A:$J,4,FALSE)</f>
        <v>100</v>
      </c>
      <c r="J4" s="47">
        <f>VLOOKUP($F4,enemy_skill_triggers!$A:$J,5,FALSE)</f>
        <v>60</v>
      </c>
      <c r="K4" s="47" t="str">
        <f>VLOOKUP($F4,enemy_skill_triggers!$A:$J,6,FALSE)</f>
        <v>null</v>
      </c>
      <c r="L4" s="47">
        <f>VLOOKUP($F4,enemy_skill_triggers!$A:$J,7,FALSE)</f>
        <v>1</v>
      </c>
      <c r="M4" s="47" t="str">
        <f>VLOOKUP($F4,enemy_skill_triggers!$A:$J,8,FALSE)</f>
        <v>null</v>
      </c>
      <c r="N4" s="47" t="str">
        <f>VLOOKUP($F4,enemy_skill_triggers!$A:$J,9,FALSE)</f>
        <v>null</v>
      </c>
      <c r="O4" s="47">
        <f>VLOOKUP($F4,enemy_skill_triggers!$A:$J,10,FALSE)</f>
        <v>100</v>
      </c>
      <c r="P4" s="46"/>
      <c r="Q4" s="46"/>
      <c r="R4" s="46"/>
    </row>
    <row r="5" spans="1:18" ht="21" customHeight="1" x14ac:dyDescent="0.15">
      <c r="A5" s="38" t="str">
        <f t="shared" si="0"/>
        <v>30015002_30015003</v>
      </c>
      <c r="B5" s="46">
        <v>30015002</v>
      </c>
      <c r="C5" s="46">
        <v>30015003</v>
      </c>
      <c r="D5" s="45" t="str">
        <f>IFERROR(VLOOKUP(C5,enemy_skills!A:F,4,FALSE),VLOOKUP(C5,[5]enemy_skills!$A:$E,4,FALSE))</f>
        <v>ja</v>
      </c>
      <c r="E5" s="45" t="str">
        <f>IFERROR(VLOOKUP(C5,enemy_skills!A:F,5,FALSE),VLOOKUP(C5,[5]enemy_skills!$A:$E,5,FALSE))</f>
        <v>悪魔の手助け</v>
      </c>
      <c r="F5" s="46">
        <v>30015002</v>
      </c>
      <c r="G5" s="47">
        <f>VLOOKUP($F5,enemy_skill_triggers!$A:$J,2,FALSE)</f>
        <v>0</v>
      </c>
      <c r="H5" s="47" t="str">
        <f>VLOOKUP($F5,enemy_skill_triggers!$A:$J,3,FALSE)</f>
        <v>null</v>
      </c>
      <c r="I5" s="47">
        <f>VLOOKUP($F5,enemy_skill_triggers!$A:$J,4,FALSE)</f>
        <v>60</v>
      </c>
      <c r="J5" s="47">
        <f>VLOOKUP($F5,enemy_skill_triggers!$A:$J,5,FALSE)</f>
        <v>50</v>
      </c>
      <c r="K5" s="47" t="str">
        <f>VLOOKUP($F5,enemy_skill_triggers!$A:$J,6,FALSE)</f>
        <v>null</v>
      </c>
      <c r="L5" s="47" t="str">
        <f>VLOOKUP($F5,enemy_skill_triggers!$A:$J,7,FALSE)</f>
        <v>null</v>
      </c>
      <c r="M5" s="47" t="str">
        <f>VLOOKUP($F5,enemy_skill_triggers!$A:$J,8,FALSE)</f>
        <v>null</v>
      </c>
      <c r="N5" s="47" t="str">
        <f>VLOOKUP($F5,enemy_skill_triggers!$A:$J,9,FALSE)</f>
        <v>null</v>
      </c>
      <c r="O5" s="47">
        <f>VLOOKUP($F5,enemy_skill_triggers!$A:$J,10,FALSE)</f>
        <v>60</v>
      </c>
      <c r="P5" s="46"/>
      <c r="Q5" s="46"/>
      <c r="R5" s="46"/>
    </row>
    <row r="6" spans="1:18" ht="21" customHeight="1" x14ac:dyDescent="0.15">
      <c r="A6" s="38" t="str">
        <f t="shared" ref="A6:A15" si="1">B6&amp;"_"&amp;C6</f>
        <v>30015003_30015007</v>
      </c>
      <c r="B6" s="46">
        <v>30015003</v>
      </c>
      <c r="C6" s="46">
        <v>30015007</v>
      </c>
      <c r="D6" s="45" t="str">
        <f>IFERROR(VLOOKUP(C6,enemy_skills!A:F,4,FALSE),VLOOKUP(C6,[5]enemy_skills!$A:$E,4,FALSE))</f>
        <v>ja</v>
      </c>
      <c r="E6" s="45" t="str">
        <f>IFERROR(VLOOKUP(C6,enemy_skills!A:F,5,FALSE),VLOOKUP(C6,[5]enemy_skills!$A:$E,5,FALSE))</f>
        <v>…なにしに来たの？</v>
      </c>
      <c r="F6" s="46">
        <v>30015001</v>
      </c>
      <c r="G6" s="47">
        <f>VLOOKUP($F6,enemy_skill_triggers!$A:$J,2,FALSE)</f>
        <v>1</v>
      </c>
      <c r="H6" s="47" t="str">
        <f>VLOOKUP($F6,enemy_skill_triggers!$A:$J,3,FALSE)</f>
        <v>null</v>
      </c>
      <c r="I6" s="47">
        <f>VLOOKUP($F6,enemy_skill_triggers!$A:$J,4,FALSE)</f>
        <v>100</v>
      </c>
      <c r="J6" s="47" t="str">
        <f>VLOOKUP($F6,enemy_skill_triggers!$A:$J,5,FALSE)</f>
        <v>null</v>
      </c>
      <c r="K6" s="47" t="str">
        <f>VLOOKUP($F6,enemy_skill_triggers!$A:$J,6,FALSE)</f>
        <v>null</v>
      </c>
      <c r="L6" s="47">
        <f>VLOOKUP($F6,enemy_skill_triggers!$A:$J,7,FALSE)</f>
        <v>1</v>
      </c>
      <c r="M6" s="47" t="str">
        <f>VLOOKUP($F6,enemy_skill_triggers!$A:$J,8,FALSE)</f>
        <v>null</v>
      </c>
      <c r="N6" s="47" t="str">
        <f>VLOOKUP($F6,enemy_skill_triggers!$A:$J,9,FALSE)</f>
        <v>null</v>
      </c>
      <c r="O6" s="47">
        <f>VLOOKUP($F6,enemy_skill_triggers!$A:$J,10,FALSE)</f>
        <v>100</v>
      </c>
      <c r="P6" s="46"/>
      <c r="Q6" s="46"/>
      <c r="R6" s="46"/>
    </row>
    <row r="7" spans="1:18" ht="21" customHeight="1" x14ac:dyDescent="0.15">
      <c r="A7" s="38" t="str">
        <f t="shared" si="1"/>
        <v>30015003_30015008</v>
      </c>
      <c r="B7" s="46">
        <v>30015003</v>
      </c>
      <c r="C7" s="46">
        <v>30015008</v>
      </c>
      <c r="D7" s="45" t="str">
        <f>IFERROR(VLOOKUP(C7,enemy_skills!A:F,4,FALSE),VLOOKUP(C7,[5]enemy_skills!$A:$E,4,FALSE))</f>
        <v>ja</v>
      </c>
      <c r="E7" s="45" t="str">
        <f>IFERROR(VLOOKUP(C7,enemy_skills!A:F,5,FALSE),VLOOKUP(C7,[5]enemy_skills!$A:$E,5,FALSE))</f>
        <v>きひひひっ！</v>
      </c>
      <c r="F7" s="46">
        <v>30015006</v>
      </c>
      <c r="G7" s="47">
        <f>VLOOKUP($F7,enemy_skill_triggers!$A:$J,2,FALSE)</f>
        <v>0</v>
      </c>
      <c r="H7" s="47" t="str">
        <f>VLOOKUP($F7,enemy_skill_triggers!$A:$J,3,FALSE)</f>
        <v>null</v>
      </c>
      <c r="I7" s="47">
        <f>VLOOKUP($F7,enemy_skill_triggers!$A:$J,4,FALSE)</f>
        <v>60</v>
      </c>
      <c r="J7" s="47" t="str">
        <f>VLOOKUP($F7,enemy_skill_triggers!$A:$J,5,FALSE)</f>
        <v>null</v>
      </c>
      <c r="K7" s="47" t="str">
        <f>VLOOKUP($F7,enemy_skill_triggers!$A:$J,6,FALSE)</f>
        <v>null</v>
      </c>
      <c r="L7" s="47">
        <f>VLOOKUP($F7,enemy_skill_triggers!$A:$J,7,FALSE)</f>
        <v>1</v>
      </c>
      <c r="M7" s="47" t="str">
        <f>VLOOKUP($F7,enemy_skill_triggers!$A:$J,8,FALSE)</f>
        <v>null</v>
      </c>
      <c r="N7" s="47" t="str">
        <f>VLOOKUP($F7,enemy_skill_triggers!$A:$J,9,FALSE)</f>
        <v>null</v>
      </c>
      <c r="O7" s="47">
        <f>VLOOKUP($F7,enemy_skill_triggers!$A:$J,10,FALSE)</f>
        <v>60</v>
      </c>
      <c r="P7" s="46"/>
      <c r="Q7" s="46"/>
      <c r="R7" s="46"/>
    </row>
    <row r="8" spans="1:18" ht="21" customHeight="1" x14ac:dyDescent="0.15">
      <c r="A8" s="38" t="str">
        <f t="shared" si="1"/>
        <v>30015003_30015009</v>
      </c>
      <c r="B8" s="46">
        <v>30015003</v>
      </c>
      <c r="C8" s="46">
        <v>30015009</v>
      </c>
      <c r="D8" s="45" t="str">
        <f>IFERROR(VLOOKUP(C8,enemy_skills!A:F,4,FALSE),VLOOKUP(C8,[5]enemy_skills!$A:$E,4,FALSE))</f>
        <v>ja</v>
      </c>
      <c r="E8" s="45" t="str">
        <f>IFERROR(VLOOKUP(C8,enemy_skills!A:F,5,FALSE),VLOOKUP(C8,[5]enemy_skills!$A:$E,5,FALSE))</f>
        <v>串刺しナイフ♪</v>
      </c>
      <c r="F8" s="46">
        <v>30015007</v>
      </c>
      <c r="G8" s="47">
        <f>VLOOKUP($F8,enemy_skill_triggers!$A:$J,2,FALSE)</f>
        <v>0</v>
      </c>
      <c r="H8" s="47" t="str">
        <f>VLOOKUP($F8,enemy_skill_triggers!$A:$J,3,FALSE)</f>
        <v>null</v>
      </c>
      <c r="I8" s="47">
        <f>VLOOKUP($F8,enemy_skill_triggers!$A:$J,4,FALSE)</f>
        <v>45</v>
      </c>
      <c r="J8" s="47" t="str">
        <f>VLOOKUP($F8,enemy_skill_triggers!$A:$J,5,FALSE)</f>
        <v>null</v>
      </c>
      <c r="K8" s="47" t="str">
        <f>VLOOKUP($F8,enemy_skill_triggers!$A:$J,6,FALSE)</f>
        <v>null</v>
      </c>
      <c r="L8" s="47">
        <f>VLOOKUP($F8,enemy_skill_triggers!$A:$J,7,FALSE)</f>
        <v>2</v>
      </c>
      <c r="M8" s="47" t="str">
        <f>VLOOKUP($F8,enemy_skill_triggers!$A:$J,8,FALSE)</f>
        <v>null</v>
      </c>
      <c r="N8" s="47" t="str">
        <f>VLOOKUP($F8,enemy_skill_triggers!$A:$J,9,FALSE)</f>
        <v>null</v>
      </c>
      <c r="O8" s="47">
        <f>VLOOKUP($F8,enemy_skill_triggers!$A:$J,10,FALSE)</f>
        <v>45</v>
      </c>
      <c r="P8" s="46"/>
      <c r="Q8" s="46"/>
      <c r="R8" s="46"/>
    </row>
    <row r="9" spans="1:18" ht="21" customHeight="1" x14ac:dyDescent="0.15">
      <c r="A9" s="38" t="str">
        <f t="shared" si="1"/>
        <v>30015004_30015010</v>
      </c>
      <c r="B9" s="46">
        <v>30015004</v>
      </c>
      <c r="C9" s="46">
        <v>30015010</v>
      </c>
      <c r="D9" s="45" t="str">
        <f>IFERROR(VLOOKUP(C9,enemy_skills!A:F,4,FALSE),VLOOKUP(C9,[5]enemy_skills!$A:$E,4,FALSE))</f>
        <v>ja</v>
      </c>
      <c r="E9" s="45" t="str">
        <f>IFERROR(VLOOKUP(C9,enemy_skills!A:F,5,FALSE),VLOOKUP(C9,[5]enemy_skills!$A:$E,5,FALSE))</f>
        <v>みらくるーしゅがふるー♪</v>
      </c>
      <c r="F9" s="46">
        <v>30015001</v>
      </c>
      <c r="G9" s="47">
        <f>VLOOKUP($F9,enemy_skill_triggers!$A:$J,2,FALSE)</f>
        <v>1</v>
      </c>
      <c r="H9" s="47" t="str">
        <f>VLOOKUP($F9,enemy_skill_triggers!$A:$J,3,FALSE)</f>
        <v>null</v>
      </c>
      <c r="I9" s="47">
        <f>VLOOKUP($F9,enemy_skill_triggers!$A:$J,4,FALSE)</f>
        <v>100</v>
      </c>
      <c r="J9" s="47" t="str">
        <f>VLOOKUP($F9,enemy_skill_triggers!$A:$J,5,FALSE)</f>
        <v>null</v>
      </c>
      <c r="K9" s="47" t="str">
        <f>VLOOKUP($F9,enemy_skill_triggers!$A:$J,6,FALSE)</f>
        <v>null</v>
      </c>
      <c r="L9" s="47">
        <f>VLOOKUP($F9,enemy_skill_triggers!$A:$J,7,FALSE)</f>
        <v>1</v>
      </c>
      <c r="M9" s="47" t="str">
        <f>VLOOKUP($F9,enemy_skill_triggers!$A:$J,8,FALSE)</f>
        <v>null</v>
      </c>
      <c r="N9" s="47" t="str">
        <f>VLOOKUP($F9,enemy_skill_triggers!$A:$J,9,FALSE)</f>
        <v>null</v>
      </c>
      <c r="O9" s="47">
        <f>VLOOKUP($F9,enemy_skill_triggers!$A:$J,10,FALSE)</f>
        <v>100</v>
      </c>
      <c r="P9" s="46"/>
      <c r="Q9" s="46"/>
      <c r="R9" s="46"/>
    </row>
    <row r="10" spans="1:18" ht="21" customHeight="1" x14ac:dyDescent="0.15">
      <c r="A10" s="38" t="str">
        <f t="shared" si="1"/>
        <v>30015004_30015011</v>
      </c>
      <c r="B10" s="46">
        <v>30015004</v>
      </c>
      <c r="C10" s="46">
        <v>30015011</v>
      </c>
      <c r="D10" s="45" t="str">
        <f>IFERROR(VLOOKUP(C10,enemy_skills!A:F,4,FALSE),VLOOKUP(C10,[5]enemy_skills!$A:$E,4,FALSE))</f>
        <v>ja</v>
      </c>
      <c r="E10" s="45" t="str">
        <f>IFERROR(VLOOKUP(C10,enemy_skills!A:F,5,FALSE),VLOOKUP(C10,[5]enemy_skills!$A:$E,5,FALSE))</f>
        <v>ぱちぱちキャンディ♪</v>
      </c>
      <c r="F10" s="46">
        <v>30015008</v>
      </c>
      <c r="G10" s="47">
        <f>VLOOKUP($F10,enemy_skill_triggers!$A:$J,2,FALSE)</f>
        <v>0</v>
      </c>
      <c r="H10" s="47" t="str">
        <f>VLOOKUP($F10,enemy_skill_triggers!$A:$J,3,FALSE)</f>
        <v>null</v>
      </c>
      <c r="I10" s="47">
        <f>VLOOKUP($F10,enemy_skill_triggers!$A:$J,4,FALSE)</f>
        <v>100</v>
      </c>
      <c r="J10" s="47">
        <f>VLOOKUP($F10,enemy_skill_triggers!$A:$J,5,FALSE)</f>
        <v>50</v>
      </c>
      <c r="K10" s="47" t="str">
        <f>VLOOKUP($F10,enemy_skill_triggers!$A:$J,6,FALSE)</f>
        <v>null</v>
      </c>
      <c r="L10" s="47">
        <f>VLOOKUP($F10,enemy_skill_triggers!$A:$J,7,FALSE)</f>
        <v>1</v>
      </c>
      <c r="M10" s="47" t="str">
        <f>VLOOKUP($F10,enemy_skill_triggers!$A:$J,8,FALSE)</f>
        <v>null</v>
      </c>
      <c r="N10" s="47" t="str">
        <f>VLOOKUP($F10,enemy_skill_triggers!$A:$J,9,FALSE)</f>
        <v>null</v>
      </c>
      <c r="O10" s="47">
        <f>VLOOKUP($F10,enemy_skill_triggers!$A:$J,10,FALSE)</f>
        <v>100</v>
      </c>
      <c r="P10" s="46"/>
      <c r="Q10" s="46"/>
      <c r="R10" s="46"/>
    </row>
    <row r="11" spans="1:18" ht="21" customHeight="1" x14ac:dyDescent="0.15">
      <c r="A11" s="38" t="str">
        <f t="shared" si="1"/>
        <v>30015004_30015012</v>
      </c>
      <c r="B11" s="46">
        <v>30015004</v>
      </c>
      <c r="C11" s="46">
        <v>30015012</v>
      </c>
      <c r="D11" s="45" t="str">
        <f>IFERROR(VLOOKUP(C11,enemy_skills!A:F,4,FALSE),VLOOKUP(C11,[5]enemy_skills!$A:$E,4,FALSE))</f>
        <v>ja</v>
      </c>
      <c r="E11" s="45" t="str">
        <f>IFERROR(VLOOKUP(C11,enemy_skills!A:F,5,FALSE),VLOOKUP(C11,[5]enemy_skills!$A:$E,5,FALSE))</f>
        <v>呪文詠唱中…</v>
      </c>
      <c r="F11" s="46">
        <v>30015008</v>
      </c>
      <c r="G11" s="47">
        <f>VLOOKUP($F11,enemy_skill_triggers!$A:$J,2,FALSE)</f>
        <v>0</v>
      </c>
      <c r="H11" s="47" t="str">
        <f>VLOOKUP($F11,enemy_skill_triggers!$A:$J,3,FALSE)</f>
        <v>null</v>
      </c>
      <c r="I11" s="47">
        <f>VLOOKUP($F11,enemy_skill_triggers!$A:$J,4,FALSE)</f>
        <v>100</v>
      </c>
      <c r="J11" s="47">
        <f>VLOOKUP($F11,enemy_skill_triggers!$A:$J,5,FALSE)</f>
        <v>50</v>
      </c>
      <c r="K11" s="47" t="str">
        <f>VLOOKUP($F11,enemy_skill_triggers!$A:$J,6,FALSE)</f>
        <v>null</v>
      </c>
      <c r="L11" s="47">
        <f>VLOOKUP($F11,enemy_skill_triggers!$A:$J,7,FALSE)</f>
        <v>1</v>
      </c>
      <c r="M11" s="47" t="str">
        <f>VLOOKUP($F11,enemy_skill_triggers!$A:$J,8,FALSE)</f>
        <v>null</v>
      </c>
      <c r="N11" s="47" t="str">
        <f>VLOOKUP($F11,enemy_skill_triggers!$A:$J,9,FALSE)</f>
        <v>null</v>
      </c>
      <c r="O11" s="47">
        <f>VLOOKUP($F11,enemy_skill_triggers!$A:$J,10,FALSE)</f>
        <v>100</v>
      </c>
      <c r="P11" s="46"/>
      <c r="Q11" s="46"/>
      <c r="R11" s="46"/>
    </row>
    <row r="12" spans="1:18" ht="21" customHeight="1" x14ac:dyDescent="0.15">
      <c r="A12" s="38" t="str">
        <f t="shared" si="1"/>
        <v>30015005_30015013</v>
      </c>
      <c r="B12" s="46">
        <v>30015005</v>
      </c>
      <c r="C12" s="46">
        <v>30015013</v>
      </c>
      <c r="D12" s="45" t="str">
        <f>IFERROR(VLOOKUP(C12,enemy_skills!A:F,4,FALSE),VLOOKUP(C12,[5]enemy_skills!$A:$E,4,FALSE))</f>
        <v>ja</v>
      </c>
      <c r="E12" s="45" t="str">
        <f>IFERROR(VLOOKUP(C12,enemy_skills!A:F,5,FALSE),VLOOKUP(C12,[5]enemy_skills!$A:$E,5,FALSE))</f>
        <v>諦めなさいよ！</v>
      </c>
      <c r="F12" s="46">
        <v>30015001</v>
      </c>
      <c r="G12" s="47">
        <f>VLOOKUP($F12,enemy_skill_triggers!$A:$J,2,FALSE)</f>
        <v>1</v>
      </c>
      <c r="H12" s="47" t="str">
        <f>VLOOKUP($F12,enemy_skill_triggers!$A:$J,3,FALSE)</f>
        <v>null</v>
      </c>
      <c r="I12" s="47">
        <f>VLOOKUP($F12,enemy_skill_triggers!$A:$J,4,FALSE)</f>
        <v>100</v>
      </c>
      <c r="J12" s="47" t="str">
        <f>VLOOKUP($F12,enemy_skill_triggers!$A:$J,5,FALSE)</f>
        <v>null</v>
      </c>
      <c r="K12" s="47" t="str">
        <f>VLOOKUP($F12,enemy_skill_triggers!$A:$J,6,FALSE)</f>
        <v>null</v>
      </c>
      <c r="L12" s="47">
        <f>VLOOKUP($F12,enemy_skill_triggers!$A:$J,7,FALSE)</f>
        <v>1</v>
      </c>
      <c r="M12" s="47" t="str">
        <f>VLOOKUP($F12,enemy_skill_triggers!$A:$J,8,FALSE)</f>
        <v>null</v>
      </c>
      <c r="N12" s="47" t="str">
        <f>VLOOKUP($F12,enemy_skill_triggers!$A:$J,9,FALSE)</f>
        <v>null</v>
      </c>
      <c r="O12" s="47">
        <f>VLOOKUP($F12,enemy_skill_triggers!$A:$J,10,FALSE)</f>
        <v>100</v>
      </c>
      <c r="P12" s="46"/>
      <c r="Q12" s="46"/>
      <c r="R12" s="46"/>
    </row>
    <row r="13" spans="1:18" ht="21" customHeight="1" x14ac:dyDescent="0.15">
      <c r="A13" s="38" t="str">
        <f t="shared" si="1"/>
        <v>30015005_30015014</v>
      </c>
      <c r="B13" s="46">
        <v>30015005</v>
      </c>
      <c r="C13" s="46">
        <v>30015014</v>
      </c>
      <c r="D13" s="45" t="str">
        <f>IFERROR(VLOOKUP(C13,enemy_skills!A:F,4,FALSE),VLOOKUP(C13,[5]enemy_skills!$A:$E,4,FALSE))</f>
        <v>ja</v>
      </c>
      <c r="E13" s="45" t="str">
        <f>IFERROR(VLOOKUP(C13,enemy_skills!A:F,5,FALSE),VLOOKUP(C13,[5]enemy_skills!$A:$E,5,FALSE))</f>
        <v>やだ…来ないで！</v>
      </c>
      <c r="F13" s="46">
        <v>30015009</v>
      </c>
      <c r="G13" s="47">
        <f>VLOOKUP($F13,enemy_skill_triggers!$A:$J,2,FALSE)</f>
        <v>0</v>
      </c>
      <c r="H13" s="47" t="str">
        <f>VLOOKUP($F13,enemy_skill_triggers!$A:$J,3,FALSE)</f>
        <v>null</v>
      </c>
      <c r="I13" s="47">
        <f>VLOOKUP($F13,enemy_skill_triggers!$A:$J,4,FALSE)</f>
        <v>60</v>
      </c>
      <c r="J13" s="47">
        <f>VLOOKUP($F13,enemy_skill_triggers!$A:$J,5,FALSE)</f>
        <v>70</v>
      </c>
      <c r="K13" s="47">
        <f>VLOOKUP($F13,enemy_skill_triggers!$A:$J,6,FALSE)</f>
        <v>10</v>
      </c>
      <c r="L13" s="47">
        <f>VLOOKUP($F13,enemy_skill_triggers!$A:$J,7,FALSE)</f>
        <v>2</v>
      </c>
      <c r="M13" s="47" t="str">
        <f>VLOOKUP($F13,enemy_skill_triggers!$A:$J,8,FALSE)</f>
        <v>null</v>
      </c>
      <c r="N13" s="47" t="str">
        <f>VLOOKUP($F13,enemy_skill_triggers!$A:$J,9,FALSE)</f>
        <v>null</v>
      </c>
      <c r="O13" s="47">
        <f>VLOOKUP($F13,enemy_skill_triggers!$A:$J,10,FALSE)</f>
        <v>60</v>
      </c>
      <c r="P13" s="46"/>
      <c r="Q13" s="46"/>
      <c r="R13" s="46"/>
    </row>
    <row r="14" spans="1:18" ht="21" customHeight="1" x14ac:dyDescent="0.15">
      <c r="A14" s="38" t="str">
        <f t="shared" si="1"/>
        <v>30015005_30015015</v>
      </c>
      <c r="B14" s="46">
        <v>30015005</v>
      </c>
      <c r="C14" s="46">
        <v>30015015</v>
      </c>
      <c r="D14" s="45" t="str">
        <f>IFERROR(VLOOKUP(C14,enemy_skills!A:F,4,FALSE),VLOOKUP(C14,[5]enemy_skills!$A:$E,4,FALSE))</f>
        <v>ja</v>
      </c>
      <c r="E14" s="45" t="str">
        <f>IFERROR(VLOOKUP(C14,enemy_skills!A:F,5,FALSE),VLOOKUP(C14,[5]enemy_skills!$A:$E,5,FALSE))</f>
        <v>かえれ！かえれ！</v>
      </c>
      <c r="F14" s="46">
        <v>30015010</v>
      </c>
      <c r="G14" s="47">
        <f>VLOOKUP($F14,enemy_skill_triggers!$A:$J,2,FALSE)</f>
        <v>0</v>
      </c>
      <c r="H14" s="47" t="str">
        <f>VLOOKUP($F14,enemy_skill_triggers!$A:$J,3,FALSE)</f>
        <v>null</v>
      </c>
      <c r="I14" s="47">
        <f>VLOOKUP($F14,enemy_skill_triggers!$A:$J,4,FALSE)</f>
        <v>100</v>
      </c>
      <c r="J14" s="47">
        <f>VLOOKUP($F14,enemy_skill_triggers!$A:$J,5,FALSE)</f>
        <v>50</v>
      </c>
      <c r="K14" s="47">
        <f>VLOOKUP($F14,enemy_skill_triggers!$A:$J,6,FALSE)</f>
        <v>10</v>
      </c>
      <c r="L14" s="47" t="str">
        <f>VLOOKUP($F14,enemy_skill_triggers!$A:$J,7,FALSE)</f>
        <v>null</v>
      </c>
      <c r="M14" s="47">
        <f>VLOOKUP($F14,enemy_skill_triggers!$A:$J,8,FALSE)</f>
        <v>2</v>
      </c>
      <c r="N14" s="47" t="str">
        <f>VLOOKUP($F14,enemy_skill_triggers!$A:$J,9,FALSE)</f>
        <v>null</v>
      </c>
      <c r="O14" s="47">
        <f>VLOOKUP($F14,enemy_skill_triggers!$A:$J,10,FALSE)</f>
        <v>100</v>
      </c>
      <c r="P14" s="46"/>
      <c r="Q14" s="46"/>
      <c r="R14" s="46"/>
    </row>
    <row r="15" spans="1:18" ht="21" customHeight="1" x14ac:dyDescent="0.15">
      <c r="A15" s="38" t="str">
        <f t="shared" si="1"/>
        <v>30015005_30015016</v>
      </c>
      <c r="B15" s="46">
        <v>30015005</v>
      </c>
      <c r="C15" s="46">
        <v>30015016</v>
      </c>
      <c r="D15" s="45" t="str">
        <f>IFERROR(VLOOKUP(C15,enemy_skills!A:F,4,FALSE),VLOOKUP(C15,[5]enemy_skills!$A:$E,4,FALSE))</f>
        <v>ja</v>
      </c>
      <c r="E15" s="45" t="str">
        <f>IFERROR(VLOOKUP(C15,enemy_skills!A:F,5,FALSE),VLOOKUP(C15,[5]enemy_skills!$A:$E,5,FALSE))</f>
        <v>おにぃちゃん…</v>
      </c>
      <c r="F15" s="46">
        <v>30015011</v>
      </c>
      <c r="G15" s="47">
        <f>VLOOKUP($F15,enemy_skill_triggers!$A:$J,2,FALSE)</f>
        <v>0</v>
      </c>
      <c r="H15" s="47">
        <f>VLOOKUP($F15,enemy_skill_triggers!$A:$J,3,FALSE)</f>
        <v>1</v>
      </c>
      <c r="I15" s="47">
        <f>VLOOKUP($F15,enemy_skill_triggers!$A:$J,4,FALSE)</f>
        <v>100</v>
      </c>
      <c r="J15" s="47">
        <f>VLOOKUP($F15,enemy_skill_triggers!$A:$J,5,FALSE)</f>
        <v>10</v>
      </c>
      <c r="K15" s="47" t="str">
        <f>VLOOKUP($F15,enemy_skill_triggers!$A:$J,6,FALSE)</f>
        <v>null</v>
      </c>
      <c r="L15" s="47" t="str">
        <f>VLOOKUP($F15,enemy_skill_triggers!$A:$J,7,FALSE)</f>
        <v>null</v>
      </c>
      <c r="M15" s="47" t="str">
        <f>VLOOKUP($F15,enemy_skill_triggers!$A:$J,8,FALSE)</f>
        <v>null</v>
      </c>
      <c r="N15" s="47" t="str">
        <f>VLOOKUP($F15,enemy_skill_triggers!$A:$J,9,FALSE)</f>
        <v>null</v>
      </c>
      <c r="O15" s="47">
        <f>VLOOKUP($F15,enemy_skill_triggers!$A:$J,10,FALSE)</f>
        <v>100</v>
      </c>
      <c r="P15" s="46"/>
      <c r="Q15" s="46"/>
      <c r="R15" s="46"/>
    </row>
    <row r="16" spans="1:18" ht="21" customHeight="1" x14ac:dyDescent="0.15">
      <c r="A16" s="38" t="str">
        <f t="shared" ref="A16:A21" si="2">B16&amp;"_"&amp;C16</f>
        <v>30015006_30015018</v>
      </c>
      <c r="B16" s="46">
        <v>30015006</v>
      </c>
      <c r="C16" s="46">
        <v>30015018</v>
      </c>
      <c r="D16" s="45" t="str">
        <f>IFERROR(VLOOKUP(C16,enemy_skills!A:F,4,FALSE),VLOOKUP(C16,[5]enemy_skills!$A:$E,4,FALSE))</f>
        <v>ja</v>
      </c>
      <c r="E16" s="45" t="str">
        <f>IFERROR(VLOOKUP(C16,enemy_skills!A:F,5,FALSE),VLOOKUP(C16,[5]enemy_skills!$A:$E,5,FALSE))</f>
        <v>パンくずトラップ</v>
      </c>
      <c r="F16" s="46">
        <v>30015012</v>
      </c>
      <c r="G16" s="47">
        <f>VLOOKUP($F16,enemy_skill_triggers!$A:$J,2,FALSE)</f>
        <v>1</v>
      </c>
      <c r="H16" s="47" t="str">
        <f>VLOOKUP($F16,enemy_skill_triggers!$A:$J,3,FALSE)</f>
        <v>null</v>
      </c>
      <c r="I16" s="47">
        <f>VLOOKUP($F16,enemy_skill_triggers!$A:$J,4,FALSE)</f>
        <v>100</v>
      </c>
      <c r="J16" s="47" t="str">
        <f>VLOOKUP($F16,enemy_skill_triggers!$A:$J,5,FALSE)</f>
        <v>null</v>
      </c>
      <c r="K16" s="47" t="str">
        <f>VLOOKUP($F16,enemy_skill_triggers!$A:$J,6,FALSE)</f>
        <v>null</v>
      </c>
      <c r="L16" s="47">
        <f>VLOOKUP($F16,enemy_skill_triggers!$A:$J,7,FALSE)</f>
        <v>1</v>
      </c>
      <c r="M16" s="47" t="str">
        <f>VLOOKUP($F16,enemy_skill_triggers!$A:$J,8,FALSE)</f>
        <v>null</v>
      </c>
      <c r="N16" s="47" t="str">
        <f>VLOOKUP($F16,enemy_skill_triggers!$A:$J,9,FALSE)</f>
        <v>null</v>
      </c>
      <c r="O16" s="47">
        <f>VLOOKUP($F16,enemy_skill_triggers!$A:$J,10,FALSE)</f>
        <v>100</v>
      </c>
      <c r="P16" s="46"/>
      <c r="Q16" s="46"/>
      <c r="R16" s="46"/>
    </row>
    <row r="17" spans="1:18" ht="21" customHeight="1" x14ac:dyDescent="0.15">
      <c r="A17" s="38" t="str">
        <f t="shared" si="2"/>
        <v>30015007_30015017</v>
      </c>
      <c r="B17" s="46">
        <v>30015007</v>
      </c>
      <c r="C17" s="46">
        <v>30015017</v>
      </c>
      <c r="D17" s="45" t="str">
        <f>IFERROR(VLOOKUP(C17,enemy_skills!A:F,4,FALSE),VLOOKUP(C17,[5]enemy_skills!$A:$E,4,FALSE))</f>
        <v>ja</v>
      </c>
      <c r="E17" s="45" t="str">
        <f>IFERROR(VLOOKUP(C17,enemy_skills!A:F,5,FALSE),VLOOKUP(C17,[5]enemy_skills!$A:$E,5,FALSE))</f>
        <v>パンくずトラップ</v>
      </c>
      <c r="F17" s="46">
        <v>30015012</v>
      </c>
      <c r="G17" s="47">
        <f>VLOOKUP($F17,enemy_skill_triggers!$A:$J,2,FALSE)</f>
        <v>1</v>
      </c>
      <c r="H17" s="47" t="str">
        <f>VLOOKUP($F17,enemy_skill_triggers!$A:$J,3,FALSE)</f>
        <v>null</v>
      </c>
      <c r="I17" s="47">
        <f>VLOOKUP($F17,enemy_skill_triggers!$A:$J,4,FALSE)</f>
        <v>100</v>
      </c>
      <c r="J17" s="47" t="str">
        <f>VLOOKUP($F17,enemy_skill_triggers!$A:$J,5,FALSE)</f>
        <v>null</v>
      </c>
      <c r="K17" s="47" t="str">
        <f>VLOOKUP($F17,enemy_skill_triggers!$A:$J,6,FALSE)</f>
        <v>null</v>
      </c>
      <c r="L17" s="47">
        <f>VLOOKUP($F17,enemy_skill_triggers!$A:$J,7,FALSE)</f>
        <v>1</v>
      </c>
      <c r="M17" s="47" t="str">
        <f>VLOOKUP($F17,enemy_skill_triggers!$A:$J,8,FALSE)</f>
        <v>null</v>
      </c>
      <c r="N17" s="47" t="str">
        <f>VLOOKUP($F17,enemy_skill_triggers!$A:$J,9,FALSE)</f>
        <v>null</v>
      </c>
      <c r="O17" s="47">
        <f>VLOOKUP($F17,enemy_skill_triggers!$A:$J,10,FALSE)</f>
        <v>100</v>
      </c>
      <c r="P17" s="46"/>
      <c r="Q17" s="46"/>
      <c r="R17" s="46"/>
    </row>
    <row r="18" spans="1:18" ht="21" customHeight="1" x14ac:dyDescent="0.15">
      <c r="A18" s="38" t="str">
        <f t="shared" si="2"/>
        <v>30015008_30015013</v>
      </c>
      <c r="B18" s="46">
        <v>30015008</v>
      </c>
      <c r="C18" s="46">
        <v>30015013</v>
      </c>
      <c r="D18" s="45" t="str">
        <f>IFERROR(VLOOKUP(C18,enemy_skills!A:F,4,FALSE),VLOOKUP(C18,[5]enemy_skills!$A:$E,4,FALSE))</f>
        <v>ja</v>
      </c>
      <c r="E18" s="45" t="str">
        <f>IFERROR(VLOOKUP(C18,enemy_skills!A:F,5,FALSE),VLOOKUP(C18,[5]enemy_skills!$A:$E,5,FALSE))</f>
        <v>諦めなさいよ！</v>
      </c>
      <c r="F18" s="46">
        <v>30015001</v>
      </c>
      <c r="G18" s="47">
        <f>VLOOKUP($F18,enemy_skill_triggers!$A:$J,2,FALSE)</f>
        <v>1</v>
      </c>
      <c r="H18" s="47" t="str">
        <f>VLOOKUP($F18,enemy_skill_triggers!$A:$J,3,FALSE)</f>
        <v>null</v>
      </c>
      <c r="I18" s="47">
        <f>VLOOKUP($F18,enemy_skill_triggers!$A:$J,4,FALSE)</f>
        <v>100</v>
      </c>
      <c r="J18" s="47" t="str">
        <f>VLOOKUP($F18,enemy_skill_triggers!$A:$J,5,FALSE)</f>
        <v>null</v>
      </c>
      <c r="K18" s="47" t="str">
        <f>VLOOKUP($F18,enemy_skill_triggers!$A:$J,6,FALSE)</f>
        <v>null</v>
      </c>
      <c r="L18" s="47">
        <f>VLOOKUP($F18,enemy_skill_triggers!$A:$J,7,FALSE)</f>
        <v>1</v>
      </c>
      <c r="M18" s="47" t="str">
        <f>VLOOKUP($F18,enemy_skill_triggers!$A:$J,8,FALSE)</f>
        <v>null</v>
      </c>
      <c r="N18" s="47" t="str">
        <f>VLOOKUP($F18,enemy_skill_triggers!$A:$J,9,FALSE)</f>
        <v>null</v>
      </c>
      <c r="O18" s="47">
        <f>VLOOKUP($F18,enemy_skill_triggers!$A:$J,10,FALSE)</f>
        <v>100</v>
      </c>
      <c r="P18" s="46"/>
      <c r="Q18" s="46"/>
      <c r="R18" s="46"/>
    </row>
    <row r="19" spans="1:18" ht="21" customHeight="1" x14ac:dyDescent="0.15">
      <c r="A19" s="38" t="str">
        <f t="shared" si="2"/>
        <v>30015008_30015014</v>
      </c>
      <c r="B19" s="46">
        <v>30015008</v>
      </c>
      <c r="C19" s="46">
        <v>30015014</v>
      </c>
      <c r="D19" s="45" t="str">
        <f>IFERROR(VLOOKUP(C19,enemy_skills!A:F,4,FALSE),VLOOKUP(C19,[5]enemy_skills!$A:$E,4,FALSE))</f>
        <v>ja</v>
      </c>
      <c r="E19" s="45" t="str">
        <f>IFERROR(VLOOKUP(C19,enemy_skills!A:F,5,FALSE),VLOOKUP(C19,[5]enemy_skills!$A:$E,5,FALSE))</f>
        <v>やだ…来ないで！</v>
      </c>
      <c r="F19" s="46">
        <v>30015009</v>
      </c>
      <c r="G19" s="47">
        <f>VLOOKUP($F19,enemy_skill_triggers!$A:$J,2,FALSE)</f>
        <v>0</v>
      </c>
      <c r="H19" s="47" t="str">
        <f>VLOOKUP($F19,enemy_skill_triggers!$A:$J,3,FALSE)</f>
        <v>null</v>
      </c>
      <c r="I19" s="47">
        <f>VLOOKUP($F19,enemy_skill_triggers!$A:$J,4,FALSE)</f>
        <v>60</v>
      </c>
      <c r="J19" s="47">
        <f>VLOOKUP($F19,enemy_skill_triggers!$A:$J,5,FALSE)</f>
        <v>70</v>
      </c>
      <c r="K19" s="47">
        <f>VLOOKUP($F19,enemy_skill_triggers!$A:$J,6,FALSE)</f>
        <v>10</v>
      </c>
      <c r="L19" s="47">
        <f>VLOOKUP($F19,enemy_skill_triggers!$A:$J,7,FALSE)</f>
        <v>2</v>
      </c>
      <c r="M19" s="47" t="str">
        <f>VLOOKUP($F19,enemy_skill_triggers!$A:$J,8,FALSE)</f>
        <v>null</v>
      </c>
      <c r="N19" s="47" t="str">
        <f>VLOOKUP($F19,enemy_skill_triggers!$A:$J,9,FALSE)</f>
        <v>null</v>
      </c>
      <c r="O19" s="47">
        <f>VLOOKUP($F19,enemy_skill_triggers!$A:$J,10,FALSE)</f>
        <v>60</v>
      </c>
      <c r="P19" s="46"/>
      <c r="Q19" s="46"/>
      <c r="R19" s="46"/>
    </row>
    <row r="20" spans="1:18" ht="21" customHeight="1" x14ac:dyDescent="0.15">
      <c r="A20" s="38" t="str">
        <f t="shared" si="2"/>
        <v>30015008_30015019</v>
      </c>
      <c r="B20" s="46">
        <v>30015008</v>
      </c>
      <c r="C20" s="46">
        <v>30015019</v>
      </c>
      <c r="D20" s="45" t="str">
        <f>IFERROR(VLOOKUP(C20,enemy_skills!A:F,4,FALSE),VLOOKUP(C20,[5]enemy_skills!$A:$E,4,FALSE))</f>
        <v>ja</v>
      </c>
      <c r="E20" s="45" t="str">
        <f>IFERROR(VLOOKUP(C20,enemy_skills!A:F,5,FALSE),VLOOKUP(C20,[5]enemy_skills!$A:$E,5,FALSE))</f>
        <v>かえってよ！</v>
      </c>
      <c r="F20" s="46">
        <v>30015010</v>
      </c>
      <c r="G20" s="47">
        <f>VLOOKUP($F20,enemy_skill_triggers!$A:$J,2,FALSE)</f>
        <v>0</v>
      </c>
      <c r="H20" s="47" t="str">
        <f>VLOOKUP($F20,enemy_skill_triggers!$A:$J,3,FALSE)</f>
        <v>null</v>
      </c>
      <c r="I20" s="47">
        <f>VLOOKUP($F20,enemy_skill_triggers!$A:$J,4,FALSE)</f>
        <v>100</v>
      </c>
      <c r="J20" s="47">
        <f>VLOOKUP($F20,enemy_skill_triggers!$A:$J,5,FALSE)</f>
        <v>50</v>
      </c>
      <c r="K20" s="47">
        <f>VLOOKUP($F20,enemy_skill_triggers!$A:$J,6,FALSE)</f>
        <v>10</v>
      </c>
      <c r="L20" s="47" t="str">
        <f>VLOOKUP($F20,enemy_skill_triggers!$A:$J,7,FALSE)</f>
        <v>null</v>
      </c>
      <c r="M20" s="47">
        <f>VLOOKUP($F20,enemy_skill_triggers!$A:$J,8,FALSE)</f>
        <v>2</v>
      </c>
      <c r="N20" s="47" t="str">
        <f>VLOOKUP($F20,enemy_skill_triggers!$A:$J,9,FALSE)</f>
        <v>null</v>
      </c>
      <c r="O20" s="47">
        <f>VLOOKUP($F20,enemy_skill_triggers!$A:$J,10,FALSE)</f>
        <v>100</v>
      </c>
      <c r="P20" s="46"/>
      <c r="Q20" s="46"/>
      <c r="R20" s="46"/>
    </row>
    <row r="21" spans="1:18" ht="21" customHeight="1" x14ac:dyDescent="0.15">
      <c r="A21" s="38" t="str">
        <f t="shared" si="2"/>
        <v>30015008_30015016</v>
      </c>
      <c r="B21" s="82">
        <v>30015008</v>
      </c>
      <c r="C21" s="46">
        <v>30015016</v>
      </c>
      <c r="D21" s="45" t="str">
        <f>IFERROR(VLOOKUP(C21,enemy_skills!A:F,4,FALSE),VLOOKUP(C21,[5]enemy_skills!$A:$E,4,FALSE))</f>
        <v>ja</v>
      </c>
      <c r="E21" s="45" t="str">
        <f>IFERROR(VLOOKUP(C21,enemy_skills!A:F,5,FALSE),VLOOKUP(C21,[5]enemy_skills!$A:$E,5,FALSE))</f>
        <v>おにぃちゃん…</v>
      </c>
      <c r="F21" s="46">
        <v>30015011</v>
      </c>
      <c r="G21" s="47">
        <f>VLOOKUP($F21,enemy_skill_triggers!$A:$J,2,FALSE)</f>
        <v>0</v>
      </c>
      <c r="H21" s="47">
        <f>VLOOKUP($F21,enemy_skill_triggers!$A:$J,3,FALSE)</f>
        <v>1</v>
      </c>
      <c r="I21" s="47">
        <f>VLOOKUP($F21,enemy_skill_triggers!$A:$J,4,FALSE)</f>
        <v>100</v>
      </c>
      <c r="J21" s="47">
        <f>VLOOKUP($F21,enemy_skill_triggers!$A:$J,5,FALSE)</f>
        <v>10</v>
      </c>
      <c r="K21" s="47" t="str">
        <f>VLOOKUP($F21,enemy_skill_triggers!$A:$J,6,FALSE)</f>
        <v>null</v>
      </c>
      <c r="L21" s="47" t="str">
        <f>VLOOKUP($F21,enemy_skill_triggers!$A:$J,7,FALSE)</f>
        <v>null</v>
      </c>
      <c r="M21" s="47" t="str">
        <f>VLOOKUP($F21,enemy_skill_triggers!$A:$J,8,FALSE)</f>
        <v>null</v>
      </c>
      <c r="N21" s="47" t="str">
        <f>VLOOKUP($F21,enemy_skill_triggers!$A:$J,9,FALSE)</f>
        <v>null</v>
      </c>
      <c r="O21" s="47">
        <f>VLOOKUP($F21,enemy_skill_triggers!$A:$J,10,FALSE)</f>
        <v>100</v>
      </c>
      <c r="P21" s="46"/>
      <c r="Q21" s="46"/>
      <c r="R21" s="46"/>
    </row>
    <row r="22" spans="1:18" ht="21" customHeight="1" x14ac:dyDescent="0.15">
      <c r="A22" s="38" t="str">
        <f t="shared" ref="A22:A23" si="3">B22&amp;"_"&amp;C22</f>
        <v>30015009_30015022</v>
      </c>
      <c r="B22" s="82">
        <v>30015009</v>
      </c>
      <c r="C22" s="93">
        <v>30015022</v>
      </c>
      <c r="D22" s="45" t="str">
        <f>IFERROR(VLOOKUP(C22,enemy_skills!A:F,4,FALSE),VLOOKUP(C22,[5]enemy_skills!$A:$E,4,FALSE))</f>
        <v>ja</v>
      </c>
      <c r="E22" s="45" t="str">
        <f>IFERROR(VLOOKUP(C22,enemy_skills!A:F,5,FALSE),VLOOKUP(C22,[5]enemy_skills!$A:$E,5,FALSE))</f>
        <v>彼岸への誘い</v>
      </c>
      <c r="F22" s="46">
        <v>30015005</v>
      </c>
      <c r="G22" s="47">
        <f>VLOOKUP($F22,enemy_skill_triggers!$A:$J,2,FALSE)</f>
        <v>0</v>
      </c>
      <c r="H22" s="47" t="str">
        <f>VLOOKUP($F22,enemy_skill_triggers!$A:$J,3,FALSE)</f>
        <v>null</v>
      </c>
      <c r="I22" s="47">
        <f>VLOOKUP($F22,enemy_skill_triggers!$A:$J,4,FALSE)</f>
        <v>65</v>
      </c>
      <c r="J22" s="47" t="str">
        <f>VLOOKUP($F22,enemy_skill_triggers!$A:$J,5,FALSE)</f>
        <v>null</v>
      </c>
      <c r="K22" s="47" t="str">
        <f>VLOOKUP($F22,enemy_skill_triggers!$A:$J,6,FALSE)</f>
        <v>null</v>
      </c>
      <c r="L22" s="47" t="str">
        <f>VLOOKUP($F22,enemy_skill_triggers!$A:$J,7,FALSE)</f>
        <v>null</v>
      </c>
      <c r="M22" s="47" t="str">
        <f>VLOOKUP($F22,enemy_skill_triggers!$A:$J,8,FALSE)</f>
        <v>null</v>
      </c>
      <c r="N22" s="47" t="str">
        <f>VLOOKUP($F22,enemy_skill_triggers!$A:$J,9,FALSE)</f>
        <v>null</v>
      </c>
      <c r="O22" s="47">
        <f>VLOOKUP($F22,enemy_skill_triggers!$A:$J,10,FALSE)</f>
        <v>65</v>
      </c>
      <c r="P22" s="46"/>
      <c r="Q22" s="46"/>
      <c r="R22" s="46"/>
    </row>
    <row r="23" spans="1:18" ht="21" customHeight="1" x14ac:dyDescent="0.15">
      <c r="A23" s="38" t="str">
        <f t="shared" si="3"/>
        <v>30015009_30015004</v>
      </c>
      <c r="B23" s="82">
        <v>30015009</v>
      </c>
      <c r="C23" s="93">
        <v>30015004</v>
      </c>
      <c r="D23" s="45" t="str">
        <f>IFERROR(VLOOKUP(C23,enemy_skills!A:F,4,FALSE),VLOOKUP(C23,[5]enemy_skills!$A:$E,4,FALSE))</f>
        <v>ja</v>
      </c>
      <c r="E23" s="45" t="str">
        <f>IFERROR(VLOOKUP(C23,enemy_skills!A:F,5,FALSE),VLOOKUP(C23,[5]enemy_skills!$A:$E,5,FALSE))</f>
        <v>死神の微笑み</v>
      </c>
      <c r="F23" s="46">
        <v>30015003</v>
      </c>
      <c r="G23" s="47">
        <f>VLOOKUP($F23,enemy_skill_triggers!$A:$J,2,FALSE)</f>
        <v>0</v>
      </c>
      <c r="H23" s="47" t="str">
        <f>VLOOKUP($F23,enemy_skill_triggers!$A:$J,3,FALSE)</f>
        <v>null</v>
      </c>
      <c r="I23" s="47">
        <f>VLOOKUP($F23,enemy_skill_triggers!$A:$J,4,FALSE)</f>
        <v>40</v>
      </c>
      <c r="J23" s="47" t="str">
        <f>VLOOKUP($F23,enemy_skill_triggers!$A:$J,5,FALSE)</f>
        <v>null</v>
      </c>
      <c r="K23" s="47" t="str">
        <f>VLOOKUP($F23,enemy_skill_triggers!$A:$J,6,FALSE)</f>
        <v>null</v>
      </c>
      <c r="L23" s="47">
        <f>VLOOKUP($F23,enemy_skill_triggers!$A:$J,7,FALSE)</f>
        <v>2</v>
      </c>
      <c r="M23" s="47" t="str">
        <f>VLOOKUP($F23,enemy_skill_triggers!$A:$J,8,FALSE)</f>
        <v>null</v>
      </c>
      <c r="N23" s="47" t="str">
        <f>VLOOKUP($F23,enemy_skill_triggers!$A:$J,9,FALSE)</f>
        <v>null</v>
      </c>
      <c r="O23" s="47">
        <f>VLOOKUP($F23,enemy_skill_triggers!$A:$J,10,FALSE)</f>
        <v>40</v>
      </c>
      <c r="P23" s="46"/>
      <c r="Q23" s="46"/>
      <c r="R23" s="46"/>
    </row>
    <row r="24" spans="1:18" ht="21" customHeight="1" x14ac:dyDescent="0.15">
      <c r="A24" s="38" t="str">
        <f t="shared" ref="A24:A25" si="4">B24&amp;"_"&amp;C24</f>
        <v>30015010_30015021</v>
      </c>
      <c r="B24" s="82">
        <v>30015010</v>
      </c>
      <c r="C24" s="93">
        <v>30015021</v>
      </c>
      <c r="D24" s="45" t="str">
        <f>IFERROR(VLOOKUP(C24,enemy_skills!A:F,4,FALSE),VLOOKUP(C24,[5]enemy_skills!$A:$E,4,FALSE))</f>
        <v>ja</v>
      </c>
      <c r="E24" s="45" t="str">
        <f>IFERROR(VLOOKUP(C24,enemy_skills!A:F,5,FALSE),VLOOKUP(C24,[5]enemy_skills!$A:$E,5,FALSE))</f>
        <v>光からの逃奔</v>
      </c>
      <c r="F24" s="46">
        <v>30015004</v>
      </c>
      <c r="G24" s="47">
        <f>VLOOKUP($F24,enemy_skill_triggers!$A:$J,2,FALSE)</f>
        <v>0</v>
      </c>
      <c r="H24" s="47" t="str">
        <f>VLOOKUP($F24,enemy_skill_triggers!$A:$J,3,FALSE)</f>
        <v>null</v>
      </c>
      <c r="I24" s="47">
        <f>VLOOKUP($F24,enemy_skill_triggers!$A:$J,4,FALSE)</f>
        <v>100</v>
      </c>
      <c r="J24" s="47">
        <f>VLOOKUP($F24,enemy_skill_triggers!$A:$J,5,FALSE)</f>
        <v>60</v>
      </c>
      <c r="K24" s="47" t="str">
        <f>VLOOKUP($F24,enemy_skill_triggers!$A:$J,6,FALSE)</f>
        <v>null</v>
      </c>
      <c r="L24" s="47">
        <f>VLOOKUP($F24,enemy_skill_triggers!$A:$J,7,FALSE)</f>
        <v>1</v>
      </c>
      <c r="M24" s="47" t="str">
        <f>VLOOKUP($F24,enemy_skill_triggers!$A:$J,8,FALSE)</f>
        <v>null</v>
      </c>
      <c r="N24" s="47" t="str">
        <f>VLOOKUP($F24,enemy_skill_triggers!$A:$J,9,FALSE)</f>
        <v>null</v>
      </c>
      <c r="O24" s="47">
        <f>VLOOKUP($F24,enemy_skill_triggers!$A:$J,10,FALSE)</f>
        <v>100</v>
      </c>
      <c r="P24" s="46"/>
      <c r="Q24" s="46"/>
      <c r="R24" s="46"/>
    </row>
    <row r="25" spans="1:18" ht="21" customHeight="1" x14ac:dyDescent="0.15">
      <c r="A25" s="38" t="str">
        <f t="shared" si="4"/>
        <v>30015010_30015020</v>
      </c>
      <c r="B25" s="82">
        <v>30015010</v>
      </c>
      <c r="C25" s="93">
        <v>30015020</v>
      </c>
      <c r="D25" s="45" t="str">
        <f>IFERROR(VLOOKUP(C25,enemy_skills!A:F,4,FALSE),VLOOKUP(C25,[5]enemy_skills!$A:$E,4,FALSE))</f>
        <v>ja</v>
      </c>
      <c r="E25" s="45" t="str">
        <f>IFERROR(VLOOKUP(C25,enemy_skills!A:F,5,FALSE),VLOOKUP(C25,[5]enemy_skills!$A:$E,5,FALSE))</f>
        <v>悪魔の手助け</v>
      </c>
      <c r="F25" s="46">
        <v>30015002</v>
      </c>
      <c r="G25" s="47">
        <f>VLOOKUP($F25,enemy_skill_triggers!$A:$J,2,FALSE)</f>
        <v>0</v>
      </c>
      <c r="H25" s="47" t="str">
        <f>VLOOKUP($F25,enemy_skill_triggers!$A:$J,3,FALSE)</f>
        <v>null</v>
      </c>
      <c r="I25" s="47">
        <f>VLOOKUP($F25,enemy_skill_triggers!$A:$J,4,FALSE)</f>
        <v>60</v>
      </c>
      <c r="J25" s="47">
        <f>VLOOKUP($F25,enemy_skill_triggers!$A:$J,5,FALSE)</f>
        <v>50</v>
      </c>
      <c r="K25" s="47" t="str">
        <f>VLOOKUP($F25,enemy_skill_triggers!$A:$J,6,FALSE)</f>
        <v>null</v>
      </c>
      <c r="L25" s="47" t="str">
        <f>VLOOKUP($F25,enemy_skill_triggers!$A:$J,7,FALSE)</f>
        <v>null</v>
      </c>
      <c r="M25" s="47" t="str">
        <f>VLOOKUP($F25,enemy_skill_triggers!$A:$J,8,FALSE)</f>
        <v>null</v>
      </c>
      <c r="N25" s="47" t="str">
        <f>VLOOKUP($F25,enemy_skill_triggers!$A:$J,9,FALSE)</f>
        <v>null</v>
      </c>
      <c r="O25" s="47">
        <f>VLOOKUP($F25,enemy_skill_triggers!$A:$J,10,FALSE)</f>
        <v>60</v>
      </c>
      <c r="P25" s="46"/>
      <c r="Q25" s="46"/>
      <c r="R25" s="46"/>
    </row>
  </sheetData>
  <autoFilter ref="A1:R1"/>
  <phoneticPr fontId="3"/>
  <pageMargins left="0.75" right="0.75" top="1" bottom="1" header="0.3" footer="0.3"/>
  <pageSetup paperSize="9" orientation="portrait" horizontalDpi="4294967292" vertic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output</vt:lpstr>
      <vt:lpstr>floors</vt:lpstr>
      <vt:lpstr>enemy_habitats</vt:lpstr>
      <vt:lpstr>enemy_habitat_S</vt:lpstr>
      <vt:lpstr>enemy_skills</vt:lpstr>
      <vt:lpstr>enemy_skill_triggers</vt:lpstr>
      <vt:lpstr>enemy_skill_sets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2017-03-08T03:37:33Z</dcterms:modified>
</cp:coreProperties>
</file>