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3940" yWindow="-17520" windowWidth="26720" windowHeight="14460" tabRatio="943" activeTab="2"/>
  </bookViews>
  <sheets>
    <sheet name="確率の考え方" sheetId="110" r:id="rId1"/>
    <sheet name="Sheet1" sheetId="107" r:id="rId2"/>
    <sheet name="output" sheetId="103" r:id="rId3"/>
    <sheet name="tables_7325" sheetId="131" r:id="rId4"/>
    <sheet name="R6追加前" sheetId="111" r:id="rId5"/>
    <sheet name="R6開放" sheetId="112" r:id="rId6"/>
  </sheets>
  <externalReferences>
    <externalReference r:id="rId7"/>
  </externalReferences>
  <definedNames>
    <definedName name="_xlnm._FilterDatabase" localSheetId="3" hidden="1">tables_7325!$A$1:$V$274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3" i="131" l="1"/>
  <c r="N73" i="131"/>
  <c r="M73" i="131"/>
  <c r="L73" i="131"/>
  <c r="K73" i="131"/>
  <c r="J73" i="131"/>
  <c r="I73" i="131"/>
  <c r="H73" i="131"/>
  <c r="F73" i="131"/>
  <c r="E73" i="131"/>
  <c r="D73" i="131"/>
  <c r="C73" i="131"/>
  <c r="P72" i="131"/>
  <c r="N72" i="131"/>
  <c r="M72" i="131"/>
  <c r="L72" i="131"/>
  <c r="K72" i="131"/>
  <c r="J72" i="131"/>
  <c r="I72" i="131"/>
  <c r="H72" i="131"/>
  <c r="F72" i="131"/>
  <c r="E72" i="131"/>
  <c r="D72" i="131"/>
  <c r="C72" i="131"/>
  <c r="P71" i="131"/>
  <c r="N71" i="131"/>
  <c r="M71" i="131"/>
  <c r="L71" i="131"/>
  <c r="K71" i="131"/>
  <c r="J71" i="131"/>
  <c r="I71" i="131"/>
  <c r="H71" i="131"/>
  <c r="F71" i="131"/>
  <c r="E71" i="131"/>
  <c r="D71" i="131"/>
  <c r="C71" i="131"/>
  <c r="I68" i="131"/>
  <c r="D68" i="131"/>
  <c r="J68" i="131"/>
  <c r="E68" i="131"/>
  <c r="F68" i="131"/>
  <c r="C68" i="131"/>
  <c r="H68" i="131"/>
  <c r="K68" i="131"/>
  <c r="L68" i="131"/>
  <c r="M68" i="131"/>
  <c r="N68" i="131"/>
  <c r="P68" i="131"/>
  <c r="I69" i="131"/>
  <c r="D69" i="131"/>
  <c r="J69" i="131"/>
  <c r="E69" i="131"/>
  <c r="F69" i="131"/>
  <c r="C69" i="131"/>
  <c r="H69" i="131"/>
  <c r="K69" i="131"/>
  <c r="L69" i="131"/>
  <c r="M69" i="131"/>
  <c r="N69" i="131"/>
  <c r="P69" i="131"/>
  <c r="I70" i="131"/>
  <c r="D70" i="131"/>
  <c r="J70" i="131"/>
  <c r="E70" i="131"/>
  <c r="F70" i="131"/>
  <c r="C70" i="131"/>
  <c r="H70" i="131"/>
  <c r="K70" i="131"/>
  <c r="L70" i="131"/>
  <c r="M70" i="131"/>
  <c r="N70" i="131"/>
  <c r="P70" i="131"/>
  <c r="I11" i="131"/>
  <c r="D11" i="131"/>
  <c r="J11" i="131"/>
  <c r="E11" i="131"/>
  <c r="F11" i="131"/>
  <c r="C11" i="131"/>
  <c r="H11" i="131"/>
  <c r="K11" i="131"/>
  <c r="L11" i="131"/>
  <c r="M11" i="131"/>
  <c r="N11" i="131"/>
  <c r="P11" i="131"/>
  <c r="I17" i="131"/>
  <c r="D17" i="131"/>
  <c r="J17" i="131"/>
  <c r="E17" i="131"/>
  <c r="F17" i="131"/>
  <c r="C17" i="131"/>
  <c r="H17" i="131"/>
  <c r="K17" i="131"/>
  <c r="L17" i="131"/>
  <c r="M17" i="131"/>
  <c r="N17" i="131"/>
  <c r="P17" i="131"/>
  <c r="I13" i="131"/>
  <c r="D13" i="131"/>
  <c r="J13" i="131"/>
  <c r="E13" i="131"/>
  <c r="F13" i="131"/>
  <c r="C13" i="131"/>
  <c r="H13" i="131"/>
  <c r="K13" i="131"/>
  <c r="L13" i="131"/>
  <c r="M13" i="131"/>
  <c r="N13" i="131"/>
  <c r="P13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I3" i="131"/>
  <c r="D3" i="131"/>
  <c r="J3" i="131"/>
  <c r="E3" i="131"/>
  <c r="F3" i="131"/>
  <c r="C3" i="131"/>
  <c r="H3" i="131"/>
  <c r="K3" i="131"/>
  <c r="L3" i="131"/>
  <c r="M3" i="131"/>
  <c r="N3" i="131"/>
  <c r="P3" i="131"/>
  <c r="I5" i="131"/>
  <c r="D5" i="131"/>
  <c r="J5" i="131"/>
  <c r="E5" i="131"/>
  <c r="F5" i="131"/>
  <c r="C5" i="131"/>
  <c r="H5" i="131"/>
  <c r="K5" i="131"/>
  <c r="L5" i="131"/>
  <c r="M5" i="131"/>
  <c r="N5" i="131"/>
  <c r="P5" i="131"/>
  <c r="I65" i="131"/>
  <c r="D65" i="131"/>
  <c r="J65" i="131"/>
  <c r="E65" i="131"/>
  <c r="F65" i="131"/>
  <c r="C65" i="131"/>
  <c r="H65" i="131"/>
  <c r="K65" i="131"/>
  <c r="L65" i="131"/>
  <c r="M65" i="131"/>
  <c r="N65" i="131"/>
  <c r="P65" i="131"/>
  <c r="I66" i="131"/>
  <c r="D66" i="131"/>
  <c r="J66" i="131"/>
  <c r="E66" i="131"/>
  <c r="F66" i="131"/>
  <c r="C66" i="131"/>
  <c r="H66" i="131"/>
  <c r="K66" i="131"/>
  <c r="L66" i="131"/>
  <c r="M66" i="131"/>
  <c r="N66" i="131"/>
  <c r="P66" i="131"/>
  <c r="I67" i="131"/>
  <c r="D67" i="131"/>
  <c r="J67" i="131"/>
  <c r="E67" i="131"/>
  <c r="F67" i="131"/>
  <c r="C67" i="131"/>
  <c r="H67" i="131"/>
  <c r="K67" i="131"/>
  <c r="L67" i="131"/>
  <c r="M67" i="131"/>
  <c r="N67" i="131"/>
  <c r="P67" i="131"/>
  <c r="I62" i="131"/>
  <c r="D62" i="131"/>
  <c r="J62" i="131"/>
  <c r="E62" i="131"/>
  <c r="F62" i="131"/>
  <c r="C62" i="131"/>
  <c r="H62" i="131"/>
  <c r="K62" i="131"/>
  <c r="L62" i="131"/>
  <c r="M62" i="131"/>
  <c r="N62" i="131"/>
  <c r="P62" i="131"/>
  <c r="I63" i="131"/>
  <c r="D63" i="131"/>
  <c r="J63" i="131"/>
  <c r="E63" i="131"/>
  <c r="F63" i="131"/>
  <c r="C63" i="131"/>
  <c r="H63" i="131"/>
  <c r="K63" i="131"/>
  <c r="L63" i="131"/>
  <c r="M63" i="131"/>
  <c r="N63" i="131"/>
  <c r="P63" i="131"/>
  <c r="I64" i="131"/>
  <c r="D64" i="131"/>
  <c r="J64" i="131"/>
  <c r="E64" i="131"/>
  <c r="F64" i="131"/>
  <c r="C64" i="131"/>
  <c r="H64" i="131"/>
  <c r="K64" i="131"/>
  <c r="L64" i="131"/>
  <c r="M64" i="131"/>
  <c r="N64" i="131"/>
  <c r="P64" i="131"/>
  <c r="I57" i="131"/>
  <c r="D57" i="131"/>
  <c r="J57" i="131"/>
  <c r="E57" i="131"/>
  <c r="F57" i="131"/>
  <c r="C57" i="131"/>
  <c r="H57" i="131"/>
  <c r="K57" i="131"/>
  <c r="L57" i="131"/>
  <c r="M57" i="131"/>
  <c r="N57" i="131"/>
  <c r="P57" i="131"/>
  <c r="I58" i="131"/>
  <c r="D58" i="131"/>
  <c r="J58" i="131"/>
  <c r="E58" i="131"/>
  <c r="F58" i="131"/>
  <c r="C58" i="131"/>
  <c r="H58" i="131"/>
  <c r="K58" i="131"/>
  <c r="L58" i="131"/>
  <c r="M58" i="131"/>
  <c r="N58" i="131"/>
  <c r="P58" i="131"/>
  <c r="I59" i="131"/>
  <c r="D59" i="131"/>
  <c r="J59" i="131"/>
  <c r="E59" i="131"/>
  <c r="F59" i="131"/>
  <c r="C59" i="131"/>
  <c r="H59" i="131"/>
  <c r="K59" i="131"/>
  <c r="L59" i="131"/>
  <c r="M59" i="131"/>
  <c r="N59" i="131"/>
  <c r="P59" i="131"/>
  <c r="I60" i="131"/>
  <c r="D60" i="131"/>
  <c r="J60" i="131"/>
  <c r="E60" i="131"/>
  <c r="F60" i="131"/>
  <c r="C60" i="131"/>
  <c r="H60" i="131"/>
  <c r="K60" i="131"/>
  <c r="L60" i="131"/>
  <c r="M60" i="131"/>
  <c r="N60" i="131"/>
  <c r="P60" i="131"/>
  <c r="I61" i="131"/>
  <c r="D61" i="131"/>
  <c r="J61" i="131"/>
  <c r="E61" i="131"/>
  <c r="F61" i="131"/>
  <c r="C61" i="131"/>
  <c r="H61" i="131"/>
  <c r="K61" i="131"/>
  <c r="L61" i="131"/>
  <c r="M61" i="131"/>
  <c r="N61" i="131"/>
  <c r="P61" i="131"/>
  <c r="I54" i="131"/>
  <c r="D54" i="131"/>
  <c r="J54" i="131"/>
  <c r="E54" i="131"/>
  <c r="F54" i="131"/>
  <c r="C54" i="131"/>
  <c r="H54" i="131"/>
  <c r="K54" i="131"/>
  <c r="L54" i="131"/>
  <c r="M54" i="131"/>
  <c r="N54" i="131"/>
  <c r="P54" i="131"/>
  <c r="I55" i="131"/>
  <c r="D55" i="131"/>
  <c r="J55" i="131"/>
  <c r="E55" i="131"/>
  <c r="F55" i="131"/>
  <c r="C55" i="131"/>
  <c r="H55" i="131"/>
  <c r="K55" i="131"/>
  <c r="L55" i="131"/>
  <c r="M55" i="131"/>
  <c r="N55" i="131"/>
  <c r="P55" i="131"/>
  <c r="I56" i="131"/>
  <c r="D56" i="131"/>
  <c r="J56" i="131"/>
  <c r="E56" i="131"/>
  <c r="F56" i="131"/>
  <c r="C56" i="131"/>
  <c r="H56" i="131"/>
  <c r="K56" i="131"/>
  <c r="L56" i="131"/>
  <c r="M56" i="131"/>
  <c r="N56" i="131"/>
  <c r="P56" i="131"/>
  <c r="I51" i="131"/>
  <c r="D51" i="131"/>
  <c r="J51" i="131"/>
  <c r="E51" i="131"/>
  <c r="F51" i="131"/>
  <c r="C51" i="131"/>
  <c r="H51" i="131"/>
  <c r="K51" i="131"/>
  <c r="L51" i="131"/>
  <c r="M51" i="131"/>
  <c r="N51" i="131"/>
  <c r="P51" i="131"/>
  <c r="I52" i="131"/>
  <c r="D52" i="131"/>
  <c r="J52" i="131"/>
  <c r="E52" i="131"/>
  <c r="F52" i="131"/>
  <c r="C52" i="131"/>
  <c r="H52" i="131"/>
  <c r="K52" i="131"/>
  <c r="L52" i="131"/>
  <c r="M52" i="131"/>
  <c r="N52" i="131"/>
  <c r="P52" i="131"/>
  <c r="I53" i="131"/>
  <c r="D53" i="131"/>
  <c r="J53" i="131"/>
  <c r="E53" i="131"/>
  <c r="F53" i="131"/>
  <c r="C53" i="131"/>
  <c r="H53" i="131"/>
  <c r="K53" i="131"/>
  <c r="L53" i="131"/>
  <c r="M53" i="131"/>
  <c r="N53" i="131"/>
  <c r="P53" i="131"/>
  <c r="I48" i="131"/>
  <c r="D48" i="131"/>
  <c r="J48" i="131"/>
  <c r="E48" i="131"/>
  <c r="F48" i="131"/>
  <c r="C48" i="131"/>
  <c r="H48" i="131"/>
  <c r="K48" i="131"/>
  <c r="L48" i="131"/>
  <c r="M48" i="131"/>
  <c r="N48" i="131"/>
  <c r="P48" i="131"/>
  <c r="I49" i="131"/>
  <c r="D49" i="131"/>
  <c r="J49" i="131"/>
  <c r="E49" i="131"/>
  <c r="F49" i="131"/>
  <c r="C49" i="131"/>
  <c r="H49" i="131"/>
  <c r="K49" i="131"/>
  <c r="L49" i="131"/>
  <c r="M49" i="131"/>
  <c r="N49" i="131"/>
  <c r="P49" i="131"/>
  <c r="I50" i="131"/>
  <c r="D50" i="131"/>
  <c r="J50" i="131"/>
  <c r="E50" i="131"/>
  <c r="F50" i="131"/>
  <c r="C50" i="131"/>
  <c r="H50" i="131"/>
  <c r="K50" i="131"/>
  <c r="L50" i="131"/>
  <c r="M50" i="131"/>
  <c r="N50" i="131"/>
  <c r="P50" i="131"/>
  <c r="I47" i="131"/>
  <c r="D47" i="131"/>
  <c r="J47" i="131"/>
  <c r="E47" i="131"/>
  <c r="F47" i="131"/>
  <c r="C47" i="131"/>
  <c r="H47" i="131"/>
  <c r="K47" i="131"/>
  <c r="L47" i="131"/>
  <c r="M47" i="131"/>
  <c r="N47" i="131"/>
  <c r="P47" i="131"/>
  <c r="I46" i="131"/>
  <c r="D46" i="131"/>
  <c r="J46" i="131"/>
  <c r="E46" i="131"/>
  <c r="F46" i="131"/>
  <c r="C46" i="131"/>
  <c r="H46" i="131"/>
  <c r="K46" i="131"/>
  <c r="L46" i="131"/>
  <c r="M46" i="131"/>
  <c r="N46" i="131"/>
  <c r="P46" i="131"/>
  <c r="I2" i="131"/>
  <c r="E2" i="131"/>
  <c r="I4" i="131"/>
  <c r="E4" i="131"/>
  <c r="E6" i="131"/>
  <c r="E7" i="131"/>
  <c r="I8" i="131"/>
  <c r="E8" i="131"/>
  <c r="I9" i="131"/>
  <c r="E9" i="131"/>
  <c r="E10" i="131"/>
  <c r="E12" i="131"/>
  <c r="I14" i="131"/>
  <c r="E14" i="131"/>
  <c r="I15" i="131"/>
  <c r="E15" i="131"/>
  <c r="E16" i="131"/>
  <c r="E18" i="131"/>
  <c r="E19" i="131"/>
  <c r="E20" i="131"/>
  <c r="E22" i="131"/>
  <c r="E23" i="131"/>
  <c r="E24" i="131"/>
  <c r="E25" i="131"/>
  <c r="I26" i="131"/>
  <c r="E26" i="131"/>
  <c r="I27" i="131"/>
  <c r="E27" i="131"/>
  <c r="I28" i="131"/>
  <c r="E28" i="131"/>
  <c r="I29" i="131"/>
  <c r="E29" i="131"/>
  <c r="I30" i="131"/>
  <c r="E30" i="131"/>
  <c r="I31" i="131"/>
  <c r="E31" i="131"/>
  <c r="E32" i="131"/>
  <c r="I33" i="131"/>
  <c r="E33" i="131"/>
  <c r="I34" i="131"/>
  <c r="E34" i="131"/>
  <c r="I35" i="131"/>
  <c r="E35" i="131"/>
  <c r="I36" i="131"/>
  <c r="E36" i="131"/>
  <c r="I37" i="131"/>
  <c r="E37" i="131"/>
  <c r="I38" i="131"/>
  <c r="E38" i="131"/>
  <c r="I39" i="131"/>
  <c r="E39" i="131"/>
  <c r="I40" i="131"/>
  <c r="E40" i="131"/>
  <c r="I41" i="131"/>
  <c r="E41" i="131"/>
  <c r="I42" i="131"/>
  <c r="E42" i="131"/>
  <c r="I43" i="131"/>
  <c r="E43" i="131"/>
  <c r="I44" i="131"/>
  <c r="E44" i="131"/>
  <c r="I45" i="131"/>
  <c r="E45" i="131"/>
  <c r="D2" i="131"/>
  <c r="D4" i="131"/>
  <c r="I6" i="131"/>
  <c r="D6" i="131"/>
  <c r="I7" i="131"/>
  <c r="D7" i="131"/>
  <c r="D8" i="131"/>
  <c r="D9" i="131"/>
  <c r="I10" i="131"/>
  <c r="D10" i="131"/>
  <c r="I12" i="131"/>
  <c r="D12" i="131"/>
  <c r="D14" i="131"/>
  <c r="D15" i="131"/>
  <c r="I16" i="131"/>
  <c r="D16" i="131"/>
  <c r="I18" i="131"/>
  <c r="D18" i="131"/>
  <c r="I19" i="131"/>
  <c r="D19" i="131"/>
  <c r="I20" i="131"/>
  <c r="D20" i="131"/>
  <c r="I22" i="131"/>
  <c r="D22" i="131"/>
  <c r="I23" i="131"/>
  <c r="D23" i="131"/>
  <c r="I24" i="131"/>
  <c r="D24" i="131"/>
  <c r="I25" i="131"/>
  <c r="D25" i="131"/>
  <c r="D26" i="131"/>
  <c r="D27" i="131"/>
  <c r="D28" i="131"/>
  <c r="D29" i="131"/>
  <c r="D30" i="131"/>
  <c r="D31" i="131"/>
  <c r="I32" i="131"/>
  <c r="D32" i="131"/>
  <c r="D33" i="131"/>
  <c r="D34" i="131"/>
  <c r="D35" i="131"/>
  <c r="D36" i="131"/>
  <c r="D37" i="131"/>
  <c r="D38" i="131"/>
  <c r="D39" i="131"/>
  <c r="D40" i="131"/>
  <c r="D41" i="131"/>
  <c r="D42" i="131"/>
  <c r="D43" i="131"/>
  <c r="D44" i="131"/>
  <c r="D45" i="131"/>
  <c r="J43" i="131"/>
  <c r="F43" i="131"/>
  <c r="C43" i="131"/>
  <c r="H43" i="131"/>
  <c r="K43" i="131"/>
  <c r="L43" i="131"/>
  <c r="M43" i="131"/>
  <c r="N43" i="131"/>
  <c r="P43" i="131"/>
  <c r="J44" i="131"/>
  <c r="F44" i="131"/>
  <c r="C44" i="131"/>
  <c r="H44" i="131"/>
  <c r="K44" i="131"/>
  <c r="L44" i="131"/>
  <c r="M44" i="131"/>
  <c r="N44" i="131"/>
  <c r="P44" i="131"/>
  <c r="J45" i="131"/>
  <c r="F45" i="131"/>
  <c r="C45" i="131"/>
  <c r="H45" i="131"/>
  <c r="K45" i="131"/>
  <c r="L45" i="131"/>
  <c r="M45" i="131"/>
  <c r="N45" i="131"/>
  <c r="P45" i="131"/>
  <c r="J40" i="131"/>
  <c r="F40" i="131"/>
  <c r="C40" i="131"/>
  <c r="H40" i="131"/>
  <c r="K40" i="131"/>
  <c r="L40" i="131"/>
  <c r="M40" i="131"/>
  <c r="N40" i="131"/>
  <c r="P40" i="131"/>
  <c r="J41" i="131"/>
  <c r="F41" i="131"/>
  <c r="C41" i="131"/>
  <c r="H41" i="131"/>
  <c r="K41" i="131"/>
  <c r="L41" i="131"/>
  <c r="M41" i="131"/>
  <c r="N41" i="131"/>
  <c r="P41" i="131"/>
  <c r="J42" i="131"/>
  <c r="F42" i="131"/>
  <c r="C42" i="131"/>
  <c r="H42" i="131"/>
  <c r="K42" i="131"/>
  <c r="L42" i="131"/>
  <c r="M42" i="131"/>
  <c r="N42" i="131"/>
  <c r="P42" i="131"/>
  <c r="J38" i="131"/>
  <c r="F38" i="131"/>
  <c r="C38" i="131"/>
  <c r="H38" i="131"/>
  <c r="K38" i="131"/>
  <c r="L38" i="131"/>
  <c r="M38" i="131"/>
  <c r="N38" i="131"/>
  <c r="P38" i="131"/>
  <c r="J39" i="131"/>
  <c r="F39" i="131"/>
  <c r="C39" i="131"/>
  <c r="H39" i="131"/>
  <c r="K39" i="131"/>
  <c r="L39" i="131"/>
  <c r="M39" i="131"/>
  <c r="N39" i="131"/>
  <c r="P39" i="131"/>
  <c r="C3" i="103"/>
  <c r="P37" i="131"/>
  <c r="N37" i="131"/>
  <c r="M37" i="131"/>
  <c r="L37" i="131"/>
  <c r="K37" i="131"/>
  <c r="J37" i="131"/>
  <c r="H37" i="131"/>
  <c r="F37" i="131"/>
  <c r="C37" i="131"/>
  <c r="P36" i="131"/>
  <c r="N36" i="131"/>
  <c r="M36" i="131"/>
  <c r="L36" i="131"/>
  <c r="K36" i="131"/>
  <c r="J36" i="131"/>
  <c r="H36" i="131"/>
  <c r="F36" i="131"/>
  <c r="C36" i="131"/>
  <c r="J33" i="131"/>
  <c r="F33" i="131"/>
  <c r="C33" i="131"/>
  <c r="H33" i="131"/>
  <c r="K33" i="131"/>
  <c r="L33" i="131"/>
  <c r="M33" i="131"/>
  <c r="N33" i="131"/>
  <c r="P33" i="131"/>
  <c r="J34" i="131"/>
  <c r="F34" i="131"/>
  <c r="C34" i="131"/>
  <c r="H34" i="131"/>
  <c r="K34" i="131"/>
  <c r="L34" i="131"/>
  <c r="M34" i="131"/>
  <c r="N34" i="131"/>
  <c r="P34" i="131"/>
  <c r="J35" i="131"/>
  <c r="F35" i="131"/>
  <c r="C35" i="131"/>
  <c r="H35" i="131"/>
  <c r="K35" i="131"/>
  <c r="L35" i="131"/>
  <c r="M35" i="131"/>
  <c r="N35" i="131"/>
  <c r="P35" i="131"/>
  <c r="J31" i="131"/>
  <c r="F31" i="131"/>
  <c r="C31" i="131"/>
  <c r="H31" i="131"/>
  <c r="K31" i="131"/>
  <c r="L31" i="131"/>
  <c r="M31" i="131"/>
  <c r="N31" i="131"/>
  <c r="P31" i="131"/>
  <c r="J32" i="131"/>
  <c r="F32" i="131"/>
  <c r="C32" i="131"/>
  <c r="H32" i="131"/>
  <c r="K32" i="131"/>
  <c r="L32" i="131"/>
  <c r="M32" i="131"/>
  <c r="N32" i="131"/>
  <c r="P32" i="131"/>
  <c r="J22" i="131"/>
  <c r="F22" i="131"/>
  <c r="C22" i="131"/>
  <c r="H22" i="131"/>
  <c r="K22" i="131"/>
  <c r="L22" i="131"/>
  <c r="M22" i="131"/>
  <c r="N22" i="131"/>
  <c r="P22" i="131"/>
  <c r="J23" i="131"/>
  <c r="F23" i="131"/>
  <c r="C23" i="131"/>
  <c r="H23" i="131"/>
  <c r="K23" i="131"/>
  <c r="L23" i="131"/>
  <c r="M23" i="131"/>
  <c r="N23" i="131"/>
  <c r="P23" i="131"/>
  <c r="J24" i="131"/>
  <c r="F24" i="131"/>
  <c r="C24" i="131"/>
  <c r="H24" i="131"/>
  <c r="K24" i="131"/>
  <c r="L24" i="131"/>
  <c r="M24" i="131"/>
  <c r="N24" i="131"/>
  <c r="P24" i="131"/>
  <c r="J25" i="131"/>
  <c r="F25" i="131"/>
  <c r="C25" i="131"/>
  <c r="H25" i="131"/>
  <c r="K25" i="131"/>
  <c r="L25" i="131"/>
  <c r="M25" i="131"/>
  <c r="N25" i="131"/>
  <c r="P25" i="131"/>
  <c r="J2" i="131"/>
  <c r="F2" i="131"/>
  <c r="C2" i="131"/>
  <c r="J4" i="131"/>
  <c r="F4" i="131"/>
  <c r="C4" i="131"/>
  <c r="J6" i="131"/>
  <c r="F6" i="131"/>
  <c r="C6" i="131"/>
  <c r="J7" i="131"/>
  <c r="F7" i="131"/>
  <c r="C7" i="131"/>
  <c r="J8" i="131"/>
  <c r="F8" i="131"/>
  <c r="C8" i="131"/>
  <c r="J9" i="131"/>
  <c r="F9" i="131"/>
  <c r="C9" i="131"/>
  <c r="J10" i="131"/>
  <c r="F10" i="131"/>
  <c r="C10" i="131"/>
  <c r="J12" i="131"/>
  <c r="F12" i="131"/>
  <c r="C12" i="131"/>
  <c r="J14" i="131"/>
  <c r="F14" i="131"/>
  <c r="C14" i="131"/>
  <c r="J15" i="131"/>
  <c r="F15" i="131"/>
  <c r="C15" i="131"/>
  <c r="J16" i="131"/>
  <c r="F16" i="131"/>
  <c r="C16" i="131"/>
  <c r="J18" i="131"/>
  <c r="F18" i="131"/>
  <c r="C18" i="131"/>
  <c r="J19" i="131"/>
  <c r="F19" i="131"/>
  <c r="C19" i="131"/>
  <c r="J20" i="131"/>
  <c r="F20" i="131"/>
  <c r="C20" i="131"/>
  <c r="J26" i="131"/>
  <c r="F26" i="131"/>
  <c r="C26" i="131"/>
  <c r="J27" i="131"/>
  <c r="F27" i="131"/>
  <c r="C27" i="131"/>
  <c r="J28" i="131"/>
  <c r="F28" i="131"/>
  <c r="C28" i="131"/>
  <c r="J29" i="131"/>
  <c r="F29" i="131"/>
  <c r="C29" i="131"/>
  <c r="J30" i="131"/>
  <c r="F30" i="131"/>
  <c r="C30" i="131"/>
  <c r="H30" i="131"/>
  <c r="K30" i="131"/>
  <c r="L30" i="131"/>
  <c r="M30" i="131"/>
  <c r="N30" i="131"/>
  <c r="P30" i="131"/>
  <c r="H28" i="131"/>
  <c r="K28" i="131"/>
  <c r="L28" i="131"/>
  <c r="M28" i="131"/>
  <c r="N28" i="131"/>
  <c r="P28" i="131"/>
  <c r="H29" i="131"/>
  <c r="K29" i="131"/>
  <c r="L29" i="131"/>
  <c r="M29" i="131"/>
  <c r="N29" i="131"/>
  <c r="P29" i="131"/>
  <c r="H26" i="131"/>
  <c r="K26" i="131"/>
  <c r="L26" i="131"/>
  <c r="M26" i="131"/>
  <c r="N26" i="131"/>
  <c r="P26" i="131"/>
  <c r="H27" i="131"/>
  <c r="K27" i="131"/>
  <c r="L27" i="131"/>
  <c r="M27" i="131"/>
  <c r="N27" i="131"/>
  <c r="P27" i="131"/>
  <c r="H19" i="131"/>
  <c r="K19" i="131"/>
  <c r="L19" i="131"/>
  <c r="M19" i="131"/>
  <c r="N19" i="131"/>
  <c r="P19" i="131"/>
  <c r="H20" i="131"/>
  <c r="K20" i="131"/>
  <c r="L20" i="131"/>
  <c r="M20" i="131"/>
  <c r="N20" i="131"/>
  <c r="P20" i="131"/>
  <c r="H16" i="131"/>
  <c r="K16" i="131"/>
  <c r="L16" i="131"/>
  <c r="M16" i="131"/>
  <c r="N16" i="131"/>
  <c r="P16" i="131"/>
  <c r="H18" i="131"/>
  <c r="K18" i="131"/>
  <c r="L18" i="131"/>
  <c r="M18" i="131"/>
  <c r="N18" i="131"/>
  <c r="P18" i="131"/>
  <c r="H15" i="131"/>
  <c r="H14" i="131"/>
  <c r="K14" i="131"/>
  <c r="L14" i="131"/>
  <c r="M14" i="131"/>
  <c r="N14" i="131"/>
  <c r="P14" i="131"/>
  <c r="K15" i="131"/>
  <c r="L15" i="131"/>
  <c r="M15" i="131"/>
  <c r="N15" i="131"/>
  <c r="P15" i="131"/>
  <c r="H10" i="131"/>
  <c r="K10" i="131"/>
  <c r="L10" i="131"/>
  <c r="M10" i="131"/>
  <c r="N10" i="131"/>
  <c r="P10" i="131"/>
  <c r="H12" i="131"/>
  <c r="K12" i="131"/>
  <c r="L12" i="131"/>
  <c r="M12" i="131"/>
  <c r="N12" i="131"/>
  <c r="P12" i="131"/>
  <c r="H8" i="131"/>
  <c r="K8" i="131"/>
  <c r="L8" i="131"/>
  <c r="M8" i="131"/>
  <c r="N8" i="131"/>
  <c r="P8" i="131"/>
  <c r="H9" i="131"/>
  <c r="K9" i="131"/>
  <c r="L9" i="131"/>
  <c r="M9" i="131"/>
  <c r="N9" i="131"/>
  <c r="P9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4" i="131"/>
  <c r="N4" i="131"/>
  <c r="M4" i="131"/>
  <c r="L4" i="131"/>
  <c r="K4" i="131"/>
  <c r="H4" i="131"/>
  <c r="P2" i="131"/>
  <c r="N2" i="131"/>
  <c r="M2" i="131"/>
  <c r="L2" i="131"/>
  <c r="K2" i="131"/>
  <c r="H2" i="131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<sst xmlns="http://schemas.openxmlformats.org/spreadsheetml/2006/main" count="213" uniqueCount="146">
  <si>
    <t>character_id</t>
  </si>
  <si>
    <t>character_id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</si>
  <si>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</si>
  <si>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</si>
  <si>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</si>
  <si>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</si>
  <si>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</si>
  <si>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</si>
  <si>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</si>
  <si>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</si>
  <si>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</si>
  <si>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</si>
  <si>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</si>
  <si>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</si>
  <si>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</si>
  <si>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</si>
  <si>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</si>
  <si>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</si>
  <si>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</si>
  <si>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</si>
  <si>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</si>
  <si>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</si>
  <si>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</si>
  <si>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</si>
  <si>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</si>
  <si>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</si>
  <si>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</si>
  <si>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</si>
  <si>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</si>
  <si>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</si>
  <si>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</si>
  <si>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</si>
  <si>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</si>
  <si>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</si>
  <si>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</si>
  <si>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</si>
  <si>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</si>
  <si>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</si>
  <si>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性別</t>
    <rPh sb="0" eb="2">
      <t>セイベツ</t>
    </rPh>
    <phoneticPr fontId="17"/>
  </si>
  <si>
    <t>ピックアップ確率</t>
    <rPh sb="6" eb="8">
      <t>カクリツ</t>
    </rPh>
    <phoneticPr fontId="17"/>
  </si>
  <si>
    <t>確率</t>
    <rPh sb="0" eb="2">
      <t>カクリツ</t>
    </rPh>
    <phoneticPr fontId="17"/>
  </si>
  <si>
    <t>名前</t>
    <rPh sb="0" eb="2">
      <t>ナマエ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</si>
  <si>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</si>
  <si>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</si>
  <si>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</si>
  <si>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</si>
  <si>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table_no</t>
    <phoneticPr fontId="17"/>
  </si>
  <si>
    <t>skill_level</t>
  </si>
  <si>
    <t>level</t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</si>
  <si>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</si>
  <si>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</si>
  <si>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</si>
  <si>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</si>
  <si>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</si>
  <si>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</si>
  <si>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</si>
  <si>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</si>
  <si>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</si>
  <si>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</si>
  <si>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</si>
  <si>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</si>
  <si>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</si>
  <si>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</si>
  <si>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</si>
  <si>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</si>
  <si>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</si>
  <si>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</si>
  <si>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</si>
  <si>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</si>
  <si>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</si>
  <si>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</si>
  <si>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</si>
  <si>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</si>
  <si>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</si>
  <si>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</si>
  <si>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</si>
  <si>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</si>
  <si>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</si>
  <si>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</si>
  <si>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</si>
  <si>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</si>
  <si>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</si>
  <si>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</si>
  <si>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</si>
  <si>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</si>
  <si>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</si>
  <si>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</si>
  <si>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</si>
  <si>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</si>
  <si>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</si>
  <si>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</si>
  <si>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</si>
  <si>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</si>
  <si>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</si>
  <si>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</si>
  <si>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</si>
  <si>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</si>
  <si>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</si>
  <si>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</si>
  <si>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</si>
  <si>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</si>
  <si>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</si>
  <si>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</si>
  <si>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</si>
  <si>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</si>
  <si>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</si>
  <si>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</si>
  <si>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</si>
  <si>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</si>
  <si>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</si>
  <si>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</si>
  <si>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</si>
  <si>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</si>
  <si>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</si>
  <si>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</si>
  <si>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</si>
  <si>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</si>
  <si>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</si>
  <si>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</si>
  <si>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</si>
  <si>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</si>
  <si>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</si>
  <si>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</si>
  <si>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</si>
  <si>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</si>
  <si>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</si>
  <si>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</si>
  <si>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</si>
  <si>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</si>
  <si>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skip</t>
    <phoneticPr fontId="17"/>
  </si>
  <si>
    <t>hogehoge</t>
    <phoneticPr fontId="17"/>
  </si>
  <si>
    <t>gacha_settle_tables_</t>
    <phoneticPr fontId="17"/>
  </si>
  <si>
    <t>table_no</t>
    <phoneticPr fontId="17"/>
  </si>
  <si>
    <t>drop_label2</t>
    <phoneticPr fontId="17"/>
  </si>
  <si>
    <t>color2</t>
    <phoneticPr fontId="17"/>
  </si>
  <si>
    <t>name</t>
    <phoneticPr fontId="17"/>
  </si>
  <si>
    <t>drop_label</t>
    <phoneticPr fontId="17"/>
  </si>
  <si>
    <t>rare</t>
    <phoneticPr fontId="17"/>
  </si>
  <si>
    <t>color</t>
    <phoneticPr fontId="17"/>
  </si>
  <si>
    <t>character_type_id</t>
    <phoneticPr fontId="17"/>
  </si>
  <si>
    <t>character_tribe_id</t>
    <phoneticPr fontId="17"/>
  </si>
  <si>
    <t>weight</t>
    <phoneticPr fontId="17"/>
  </si>
  <si>
    <t>unit_level</t>
    <phoneticPr fontId="17"/>
  </si>
  <si>
    <t>old</t>
    <phoneticPr fontId="17"/>
  </si>
  <si>
    <t>tables_settle_7224100</t>
    <phoneticPr fontId="17"/>
  </si>
  <si>
    <t>tables_7325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</si>
</sst>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3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5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</cellStyleXfs>
  <cellXfs count="51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3" xfId="0" applyFont="1" applyFill="1" applyBorder="1" applyAlignment="1">
      <alignment horizontal="right" vertical="center"/>
    </xf>
    <xf numFmtId="0" fontId="22" fillId="2" borderId="1" xfId="2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1" borderId="1" xfId="2978" applyFont="1" applyFill="1" applyBorder="1"/>
    <xf numFmtId="0" fontId="10" fillId="21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1" borderId="1" xfId="0" applyFont="1" applyFill="1" applyBorder="1"/>
    <xf numFmtId="0" fontId="49" fillId="22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21" fillId="23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0" fontId="4" fillId="0" borderId="1" xfId="3036" applyFont="1" applyBorder="1"/>
    <xf numFmtId="0" fontId="4" fillId="0" borderId="1" xfId="2978" applyFont="1" applyBorder="1"/>
    <xf numFmtId="0" fontId="3" fillId="0" borderId="1" xfId="2978" applyFont="1" applyBorder="1"/>
    <xf numFmtId="0" fontId="22" fillId="23" borderId="1" xfId="2" applyFont="1" applyFill="1" applyBorder="1" applyAlignment="1">
      <alignment vertical="center"/>
    </xf>
    <xf numFmtId="0" fontId="2" fillId="0" borderId="1" xfId="3036" applyFont="1" applyBorder="1"/>
    <xf numFmtId="0" fontId="22" fillId="4" borderId="0" xfId="2" applyFont="1" applyFill="1" applyAlignment="1">
      <alignment vertical="center"/>
    </xf>
    <xf numFmtId="0" fontId="1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ライプニッツR6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ライプニッツ(超覚醒)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balance</v>
          </cell>
          <cell r="L1428" t="str">
            <v>バランスタイプ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balance</v>
          </cell>
          <cell r="L1429" t="str">
            <v>バランスタイプ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ブーディカR4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ブーディカR5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blue</v>
          </cell>
          <cell r="I1788">
            <v>6</v>
          </cell>
          <cell r="J1788" t="str">
            <v>PremiumSSS</v>
          </cell>
          <cell r="K1788" t="str">
            <v>balance</v>
          </cell>
          <cell r="L1788" t="str">
            <v>バランスタイプ</v>
          </cell>
          <cell r="M1788" t="str">
            <v>human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green</v>
          </cell>
          <cell r="I1789">
            <v>6</v>
          </cell>
          <cell r="J1789" t="str">
            <v>PremiumSS</v>
          </cell>
          <cell r="K1789" t="str">
            <v>attack</v>
          </cell>
          <cell r="L1789" t="str">
            <v>攻撃タイプ</v>
          </cell>
          <cell r="M1789" t="str">
            <v>dragon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green</v>
          </cell>
          <cell r="I1790">
            <v>6</v>
          </cell>
          <cell r="J1790" t="str">
            <v>PremiumSSw</v>
          </cell>
          <cell r="K1790" t="str">
            <v>heal</v>
          </cell>
          <cell r="L1790" t="str">
            <v>回復タイプ</v>
          </cell>
          <cell r="M1790" t="str">
            <v>dragon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yellow</v>
          </cell>
          <cell r="I1791">
            <v>6</v>
          </cell>
          <cell r="J1791" t="str">
            <v>PremiumSSS</v>
          </cell>
          <cell r="K1791" t="str">
            <v>attack</v>
          </cell>
          <cell r="L1791" t="str">
            <v>攻撃タイプ</v>
          </cell>
          <cell r="M1791" t="str">
            <v>academia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yellow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animal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38" customWidth="1"/>
    <col min="2" max="16384" width="13" style="38"/>
  </cols>
  <sheetData>
    <row r="1" spans="1:13" x14ac:dyDescent="0.15">
      <c r="A1" s="38" t="s">
        <v>50</v>
      </c>
      <c r="B1" s="38" t="s">
        <v>51</v>
      </c>
    </row>
    <row r="2" spans="1:13" x14ac:dyDescent="0.15">
      <c r="A2" s="38" t="s">
        <v>52</v>
      </c>
      <c r="B2" s="38" t="s">
        <v>53</v>
      </c>
      <c r="C2" s="38" t="s">
        <v>54</v>
      </c>
      <c r="D2" s="38" t="s">
        <v>55</v>
      </c>
      <c r="E2" s="38" t="s">
        <v>56</v>
      </c>
      <c r="F2" s="38" t="s">
        <v>57</v>
      </c>
      <c r="G2" s="38" t="s">
        <v>58</v>
      </c>
      <c r="H2" s="38" t="s">
        <v>59</v>
      </c>
    </row>
    <row r="3" spans="1:13" x14ac:dyDescent="0.15">
      <c r="A3" s="38">
        <v>3</v>
      </c>
      <c r="B3" s="39" t="s">
        <v>60</v>
      </c>
      <c r="C3" s="39" t="s">
        <v>61</v>
      </c>
      <c r="D3" s="38">
        <v>0</v>
      </c>
      <c r="E3" s="39" t="s">
        <v>62</v>
      </c>
      <c r="F3" s="38">
        <v>0</v>
      </c>
      <c r="G3" s="38">
        <v>0</v>
      </c>
      <c r="H3" s="40">
        <v>0.5</v>
      </c>
    </row>
    <row r="4" spans="1:13" x14ac:dyDescent="0.15">
      <c r="A4" s="38">
        <v>4</v>
      </c>
      <c r="B4" s="39" t="s">
        <v>63</v>
      </c>
      <c r="C4" s="39" t="s">
        <v>64</v>
      </c>
      <c r="D4" s="39" t="s">
        <v>65</v>
      </c>
      <c r="E4" s="39" t="s">
        <v>66</v>
      </c>
      <c r="F4" s="39" t="s">
        <v>67</v>
      </c>
      <c r="G4" s="38">
        <v>0</v>
      </c>
      <c r="H4" s="40">
        <v>0.45</v>
      </c>
    </row>
    <row r="5" spans="1:13" x14ac:dyDescent="0.15">
      <c r="A5" s="38">
        <v>5</v>
      </c>
      <c r="B5" s="41">
        <v>0</v>
      </c>
      <c r="C5" s="39" t="s">
        <v>68</v>
      </c>
      <c r="D5" s="39" t="s">
        <v>69</v>
      </c>
      <c r="E5" s="39" t="s">
        <v>70</v>
      </c>
      <c r="F5" s="39" t="s">
        <v>71</v>
      </c>
      <c r="G5" s="39" t="s">
        <v>72</v>
      </c>
      <c r="H5" s="40">
        <v>0.05</v>
      </c>
    </row>
    <row r="6" spans="1:13" x14ac:dyDescent="0.15">
      <c r="B6" s="40" t="s">
        <v>73</v>
      </c>
      <c r="C6" s="40" t="s">
        <v>73</v>
      </c>
      <c r="D6" s="40" t="s">
        <v>74</v>
      </c>
      <c r="E6" s="40" t="s">
        <v>73</v>
      </c>
      <c r="F6" s="40" t="s">
        <v>73</v>
      </c>
      <c r="G6" s="42" t="s">
        <v>75</v>
      </c>
      <c r="H6" s="40">
        <v>1</v>
      </c>
    </row>
    <row r="7" spans="1:13" x14ac:dyDescent="0.15">
      <c r="B7" s="40"/>
      <c r="C7" s="40"/>
      <c r="D7" s="40"/>
      <c r="E7" s="40"/>
      <c r="F7" s="40"/>
      <c r="G7" s="42"/>
      <c r="H7" s="40"/>
    </row>
    <row r="8" spans="1:13" x14ac:dyDescent="0.15">
      <c r="A8" s="38" t="s">
        <v>76</v>
      </c>
      <c r="B8" s="40"/>
      <c r="C8" s="40"/>
      <c r="D8" s="40"/>
      <c r="E8" s="40"/>
      <c r="F8" s="40"/>
      <c r="G8" s="42"/>
      <c r="H8" s="40"/>
    </row>
    <row r="9" spans="1:13" x14ac:dyDescent="0.15">
      <c r="A9" s="38" t="s">
        <v>77</v>
      </c>
      <c r="B9" s="40"/>
      <c r="C9" s="40"/>
      <c r="D9" s="40"/>
      <c r="E9" s="40"/>
      <c r="F9" s="40"/>
      <c r="G9" s="42"/>
      <c r="H9" s="40"/>
    </row>
    <row r="10" spans="1:13" x14ac:dyDescent="0.15">
      <c r="A10" s="38" t="s">
        <v>78</v>
      </c>
      <c r="B10" s="40"/>
      <c r="C10" s="40"/>
      <c r="D10" s="40"/>
      <c r="E10" s="40"/>
      <c r="F10" s="40"/>
      <c r="G10" s="42"/>
      <c r="H10" s="40"/>
    </row>
    <row r="11" spans="1:13" x14ac:dyDescent="0.15">
      <c r="A11" s="38" t="s">
        <v>79</v>
      </c>
      <c r="B11" s="40"/>
      <c r="C11" s="40"/>
      <c r="D11" s="40"/>
      <c r="E11" s="40"/>
      <c r="F11" s="40"/>
      <c r="G11" s="42"/>
      <c r="H11" s="40"/>
    </row>
    <row r="12" spans="1:13" x14ac:dyDescent="0.15">
      <c r="A12" s="38" t="s">
        <v>72</v>
      </c>
      <c r="B12" s="40" t="s">
        <v>80</v>
      </c>
      <c r="C12" s="40" t="s">
        <v>81</v>
      </c>
      <c r="D12" s="40"/>
      <c r="E12" s="40"/>
      <c r="F12" s="40"/>
      <c r="G12" s="42"/>
      <c r="H12" s="40"/>
    </row>
    <row r="13" spans="1:13" x14ac:dyDescent="0.15">
      <c r="A13" s="38" t="s">
        <v>82</v>
      </c>
      <c r="B13" s="38" t="s">
        <v>83</v>
      </c>
      <c r="C13" s="38" t="s">
        <v>84</v>
      </c>
    </row>
    <row r="14" spans="1:13" x14ac:dyDescent="0.15">
      <c r="A14" s="38" t="s">
        <v>85</v>
      </c>
      <c r="B14" s="38" t="s">
        <v>80</v>
      </c>
      <c r="C14" s="41" t="s">
        <v>86</v>
      </c>
      <c r="E14" s="41"/>
      <c r="F14" s="41"/>
      <c r="M14" s="40"/>
    </row>
    <row r="15" spans="1:13" x14ac:dyDescent="0.15">
      <c r="A15" s="38" t="s">
        <v>62</v>
      </c>
      <c r="B15" s="40" t="s">
        <v>80</v>
      </c>
      <c r="C15" s="40" t="s">
        <v>87</v>
      </c>
      <c r="H15" s="43"/>
      <c r="M15" s="40"/>
    </row>
    <row r="16" spans="1:13" x14ac:dyDescent="0.15">
      <c r="A16" s="38" t="s">
        <v>66</v>
      </c>
      <c r="B16" s="40" t="s">
        <v>80</v>
      </c>
      <c r="C16" s="40" t="s">
        <v>88</v>
      </c>
      <c r="M16" s="40"/>
    </row>
    <row r="17" spans="1:13" x14ac:dyDescent="0.15">
      <c r="A17" s="38" t="s">
        <v>89</v>
      </c>
      <c r="B17" s="40" t="s">
        <v>80</v>
      </c>
      <c r="C17" s="40" t="s">
        <v>90</v>
      </c>
      <c r="M17" s="40"/>
    </row>
    <row r="18" spans="1:13" x14ac:dyDescent="0.15">
      <c r="B18" s="40"/>
      <c r="C18" s="40"/>
    </row>
    <row r="19" spans="1:13" x14ac:dyDescent="0.15">
      <c r="A19" s="38" t="s">
        <v>91</v>
      </c>
    </row>
    <row r="20" spans="1:13" x14ac:dyDescent="0.15">
      <c r="A20" s="38" t="s">
        <v>92</v>
      </c>
      <c r="B20" s="40"/>
      <c r="C20" s="40"/>
    </row>
    <row r="21" spans="1:13" x14ac:dyDescent="0.15">
      <c r="A21" s="38" t="s">
        <v>93</v>
      </c>
      <c r="B21" s="40" t="s">
        <v>94</v>
      </c>
      <c r="C21" s="40" t="s">
        <v>95</v>
      </c>
      <c r="D21" s="38" t="s">
        <v>96</v>
      </c>
    </row>
    <row r="22" spans="1:13" x14ac:dyDescent="0.15">
      <c r="A22" s="38" t="s">
        <v>97</v>
      </c>
      <c r="B22" s="40" t="s">
        <v>80</v>
      </c>
      <c r="C22" s="40" t="s">
        <v>98</v>
      </c>
      <c r="D22" s="38" t="s">
        <v>99</v>
      </c>
    </row>
    <row r="23" spans="1:13" x14ac:dyDescent="0.15">
      <c r="A23" s="38" t="s">
        <v>100</v>
      </c>
      <c r="B23" s="40" t="s">
        <v>80</v>
      </c>
      <c r="C23" s="38" t="s">
        <v>101</v>
      </c>
      <c r="D23" s="38" t="s">
        <v>102</v>
      </c>
    </row>
    <row r="24" spans="1:13" x14ac:dyDescent="0.15">
      <c r="A24" s="38" t="s">
        <v>103</v>
      </c>
      <c r="B24" s="40" t="s">
        <v>80</v>
      </c>
      <c r="C24" s="40" t="s">
        <v>104</v>
      </c>
      <c r="D24" s="38" t="s">
        <v>105</v>
      </c>
    </row>
    <row r="25" spans="1:13" x14ac:dyDescent="0.15">
      <c r="A25" s="38" t="s">
        <v>106</v>
      </c>
      <c r="B25" s="40" t="s">
        <v>80</v>
      </c>
      <c r="C25" s="40" t="s">
        <v>107</v>
      </c>
      <c r="D25" s="38" t="s">
        <v>108</v>
      </c>
    </row>
    <row r="26" spans="1:13" x14ac:dyDescent="0.15">
      <c r="A26" s="38" t="s">
        <v>109</v>
      </c>
      <c r="B26" s="40" t="s">
        <v>80</v>
      </c>
      <c r="C26" s="40" t="s">
        <v>110</v>
      </c>
      <c r="D26" s="38" t="s">
        <v>111</v>
      </c>
    </row>
    <row r="27" spans="1:13" x14ac:dyDescent="0.15">
      <c r="A27" s="38" t="s">
        <v>112</v>
      </c>
      <c r="B27" s="40" t="s">
        <v>80</v>
      </c>
      <c r="C27" s="40" t="s">
        <v>74</v>
      </c>
      <c r="D27" s="38" t="s">
        <v>113</v>
      </c>
      <c r="E27" s="38" t="s">
        <v>114</v>
      </c>
    </row>
    <row r="28" spans="1:13" x14ac:dyDescent="0.15">
      <c r="A28" s="38" t="s">
        <v>61</v>
      </c>
      <c r="B28" s="40" t="s">
        <v>80</v>
      </c>
      <c r="C28" s="40" t="s">
        <v>115</v>
      </c>
      <c r="E28" s="38" t="s">
        <v>116</v>
      </c>
    </row>
    <row r="29" spans="1:13" x14ac:dyDescent="0.15">
      <c r="A29" s="38" t="s">
        <v>64</v>
      </c>
      <c r="B29" s="40" t="s">
        <v>80</v>
      </c>
      <c r="C29" s="40" t="s">
        <v>117</v>
      </c>
    </row>
    <row r="30" spans="1:13" x14ac:dyDescent="0.15">
      <c r="B30" s="40"/>
    </row>
    <row r="31" spans="1:13" x14ac:dyDescent="0.15">
      <c r="A31" s="38" t="s">
        <v>118</v>
      </c>
    </row>
    <row r="32" spans="1:13" x14ac:dyDescent="0.15">
      <c r="A32" s="38" t="s">
        <v>119</v>
      </c>
      <c r="B32" s="40" t="s">
        <v>80</v>
      </c>
      <c r="C32" s="40" t="s">
        <v>120</v>
      </c>
    </row>
    <row r="33" spans="1:3" x14ac:dyDescent="0.15">
      <c r="A33" s="38" t="s">
        <v>64</v>
      </c>
      <c r="B33" s="40" t="s">
        <v>80</v>
      </c>
      <c r="C33" s="40" t="s">
        <v>121</v>
      </c>
    </row>
    <row r="34" spans="1:3" x14ac:dyDescent="0.15">
      <c r="A34" s="38" t="s">
        <v>61</v>
      </c>
      <c r="B34" s="40" t="s">
        <v>80</v>
      </c>
      <c r="C34" s="40" t="s">
        <v>122</v>
      </c>
    </row>
    <row r="35" spans="1:3" x14ac:dyDescent="0.15">
      <c r="A35" s="38" t="s">
        <v>60</v>
      </c>
      <c r="B35" s="40" t="s">
        <v>80</v>
      </c>
      <c r="C35" s="40" t="s">
        <v>123</v>
      </c>
    </row>
    <row r="36" spans="1:3" x14ac:dyDescent="0.15">
      <c r="A36" s="38" t="s">
        <v>63</v>
      </c>
      <c r="B36" s="40" t="s">
        <v>80</v>
      </c>
      <c r="C36" s="40" t="s">
        <v>124</v>
      </c>
    </row>
    <row r="37" spans="1:3" x14ac:dyDescent="0.15">
      <c r="A37" s="38" t="s">
        <v>69</v>
      </c>
      <c r="B37" s="40" t="s">
        <v>80</v>
      </c>
      <c r="C37" s="40" t="s">
        <v>125</v>
      </c>
    </row>
    <row r="38" spans="1:3" x14ac:dyDescent="0.15">
      <c r="A38" s="38" t="s">
        <v>65</v>
      </c>
      <c r="B38" s="40" t="s">
        <v>80</v>
      </c>
      <c r="C38" s="40" t="s">
        <v>126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28" sqref="D28"/>
    </sheetView>
  </sheetViews>
  <sheetFormatPr baseColWidth="12" defaultRowHeight="14" x14ac:dyDescent="0.15"/>
  <sheetData>
    <row r="1" spans="1:1" x14ac:dyDescent="0.15">
      <c r="A1" t="s">
        <v>42</v>
      </c>
    </row>
    <row r="2" spans="1:1" x14ac:dyDescent="0.15">
      <c r="A2" t="s">
        <v>43</v>
      </c>
    </row>
    <row r="3" spans="1:1" x14ac:dyDescent="0.15">
      <c r="A3" t="s">
        <v>44</v>
      </c>
    </row>
    <row r="4" spans="1:1" x14ac:dyDescent="0.15">
      <c r="A4" t="s">
        <v>45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/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37</v>
      </c>
      <c r="B1" s="13" t="s">
        <v>25</v>
      </c>
      <c r="C1" s="13" t="s">
        <v>26</v>
      </c>
      <c r="D1" s="13" t="s">
        <v>27</v>
      </c>
      <c r="E1" s="13" t="s">
        <v>28</v>
      </c>
      <c r="F1" s="13" t="s">
        <v>29</v>
      </c>
      <c r="G1" s="13" t="s">
        <v>30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48" t="s">
        <v>143</v>
      </c>
      <c r="B2" s="37" t="s">
        <v>49</v>
      </c>
      <c r="C2" s="34">
        <v>7325</v>
      </c>
      <c r="D2" s="16" t="s">
        <v>31</v>
      </c>
      <c r="E2" s="14" t="str">
        <f t="shared" ref="E2:E6" si="0">B2&amp;C2&amp;D2</f>
        <v>gacha_select_tables_7325.tmp</v>
      </c>
      <c r="F2" s="50" t="s">
        <v>145</v>
      </c>
      <c r="G2" s="33" t="s">
        <v>46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44" t="s">
        <v>129</v>
      </c>
      <c r="B3" s="46" t="s">
        <v>131</v>
      </c>
      <c r="C3" s="34" t="str">
        <f>RIGHT(F3,7)</f>
        <v>7224100</v>
      </c>
      <c r="D3" s="16" t="s">
        <v>31</v>
      </c>
      <c r="E3" s="14" t="str">
        <f t="shared" ref="E3" si="1">B3&amp;C3&amp;D3</f>
        <v>gacha_settle_tables_7224100.tmp</v>
      </c>
      <c r="F3" s="50" t="s">
        <v>144</v>
      </c>
      <c r="G3" s="33" t="s">
        <v>46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44" t="s">
        <v>129</v>
      </c>
      <c r="B4" s="24" t="s">
        <v>36</v>
      </c>
      <c r="C4" s="45" t="s">
        <v>130</v>
      </c>
      <c r="D4" s="16" t="s">
        <v>32</v>
      </c>
      <c r="E4" s="14" t="str">
        <f t="shared" si="0"/>
        <v>gacha_bonus_tables_hogehoge.tmp</v>
      </c>
      <c r="F4" s="16" t="s">
        <v>33</v>
      </c>
      <c r="G4" s="18" t="s">
        <v>9</v>
      </c>
      <c r="H4" s="20" t="s">
        <v>12</v>
      </c>
      <c r="I4" s="18" t="s">
        <v>10</v>
      </c>
      <c r="J4" s="17"/>
      <c r="K4" s="17"/>
      <c r="L4" s="17"/>
      <c r="M4" s="17"/>
      <c r="N4" s="17"/>
      <c r="O4" s="17"/>
    </row>
    <row r="5" spans="1:21" x14ac:dyDescent="0.15">
      <c r="A5" s="44" t="s">
        <v>129</v>
      </c>
      <c r="B5" s="16" t="s">
        <v>34</v>
      </c>
      <c r="C5" s="45" t="s">
        <v>130</v>
      </c>
      <c r="D5" s="16" t="s">
        <v>32</v>
      </c>
      <c r="E5" s="14" t="str">
        <f t="shared" si="0"/>
        <v>gifts_tmp_hogehoge.tmp</v>
      </c>
      <c r="F5" s="16" t="s">
        <v>33</v>
      </c>
      <c r="G5" s="20" t="s">
        <v>13</v>
      </c>
      <c r="H5" s="21" t="s">
        <v>21</v>
      </c>
      <c r="I5" s="20" t="s">
        <v>14</v>
      </c>
      <c r="J5" s="20" t="s">
        <v>15</v>
      </c>
      <c r="K5" s="20" t="s">
        <v>15</v>
      </c>
      <c r="L5" s="20" t="s">
        <v>16</v>
      </c>
      <c r="M5" s="20" t="s">
        <v>16</v>
      </c>
      <c r="N5" s="20" t="s">
        <v>16</v>
      </c>
      <c r="O5" s="35" t="s">
        <v>6</v>
      </c>
      <c r="P5" s="35" t="s">
        <v>8</v>
      </c>
      <c r="Q5" s="35" t="s">
        <v>5</v>
      </c>
      <c r="R5" s="35" t="s">
        <v>47</v>
      </c>
      <c r="S5" s="35" t="s">
        <v>7</v>
      </c>
      <c r="T5" s="35" t="s">
        <v>48</v>
      </c>
      <c r="U5" s="35" t="s">
        <v>4</v>
      </c>
    </row>
    <row r="6" spans="1:21" x14ac:dyDescent="0.15">
      <c r="A6" s="44" t="s">
        <v>129</v>
      </c>
      <c r="B6" s="16" t="s">
        <v>35</v>
      </c>
      <c r="C6" s="45" t="s">
        <v>130</v>
      </c>
      <c r="D6" s="16" t="s">
        <v>32</v>
      </c>
      <c r="E6" s="14" t="str">
        <f t="shared" si="0"/>
        <v>gifts_i18n_hogehoge.tmp</v>
      </c>
      <c r="F6" s="16" t="s">
        <v>33</v>
      </c>
      <c r="G6" s="20" t="s">
        <v>11</v>
      </c>
      <c r="H6" s="22" t="s">
        <v>17</v>
      </c>
      <c r="I6" s="22" t="s">
        <v>18</v>
      </c>
      <c r="J6" s="22" t="s">
        <v>19</v>
      </c>
      <c r="K6" s="22" t="s">
        <v>20</v>
      </c>
      <c r="L6" s="23"/>
      <c r="M6" s="20"/>
      <c r="N6" s="20"/>
      <c r="O6" s="16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0"/>
  <sheetViews>
    <sheetView showGridLines="0" zoomScale="75" zoomScaleNormal="75" zoomScalePageLayoutView="75" workbookViewId="0">
      <pane ySplit="1" topLeftCell="A46" activePane="bottomLeft" state="frozen"/>
      <selection activeCell="E6" sqref="E6"/>
      <selection pane="bottomLeft" activeCell="E1" sqref="E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132</v>
      </c>
      <c r="B1" s="12" t="s">
        <v>1</v>
      </c>
      <c r="C1" s="3" t="s">
        <v>22</v>
      </c>
      <c r="D1" s="3" t="s">
        <v>133</v>
      </c>
      <c r="E1" s="3" t="s">
        <v>127</v>
      </c>
      <c r="F1" s="3" t="s">
        <v>128</v>
      </c>
      <c r="G1" s="3" t="s">
        <v>134</v>
      </c>
      <c r="H1" s="3" t="s">
        <v>135</v>
      </c>
      <c r="I1" s="3" t="s">
        <v>136</v>
      </c>
      <c r="J1" s="3" t="s">
        <v>137</v>
      </c>
      <c r="K1" s="3" t="s">
        <v>138</v>
      </c>
      <c r="L1" s="3" t="s">
        <v>139</v>
      </c>
      <c r="M1" s="3" t="s">
        <v>140</v>
      </c>
      <c r="N1" s="3" t="s">
        <v>38</v>
      </c>
      <c r="O1" s="12" t="s">
        <v>141</v>
      </c>
      <c r="P1" s="3" t="s">
        <v>40</v>
      </c>
      <c r="Q1" s="12" t="s">
        <v>142</v>
      </c>
      <c r="R1" s="26" t="s">
        <v>4</v>
      </c>
      <c r="S1" s="26" t="s">
        <v>5</v>
      </c>
      <c r="T1" s="26" t="s">
        <v>6</v>
      </c>
      <c r="U1" s="26" t="s">
        <v>7</v>
      </c>
      <c r="V1" s="26" t="s">
        <v>8</v>
      </c>
    </row>
    <row r="2" spans="1:22" ht="21" customHeight="1" x14ac:dyDescent="0.15">
      <c r="A2" s="2">
        <v>7325010</v>
      </c>
      <c r="B2" s="36">
        <v>321</v>
      </c>
      <c r="C2" s="7" t="str">
        <f t="shared" ref="C2:C7" si="0">D2&amp;J2&amp;E2&amp;F2&amp;G2</f>
        <v>PremiumSS5</v>
      </c>
      <c r="D2" s="7" t="str">
        <f t="shared" ref="D2:D45" si="1"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巌鉄の烈志士 近藤勇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31">
        <v>10</v>
      </c>
      <c r="P2" s="32">
        <f t="shared" ref="P2:P33" si="2">O2/SUM(O:O)</f>
        <v>1.3888888888888888E-2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>
        <v>7325010</v>
      </c>
      <c r="B3" s="36">
        <v>323</v>
      </c>
      <c r="C3" s="7" t="str">
        <f t="shared" ref="C3" si="3">D3&amp;J3&amp;E3&amp;F3&amp;G3</f>
        <v>PremiumSS5</v>
      </c>
      <c r="D3" s="7" t="str">
        <f t="shared" ref="D3" si="4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流麗の愛志士 土方歳三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1">
        <v>10</v>
      </c>
      <c r="P3" s="32">
        <f t="shared" si="2"/>
        <v>1.3888888888888888E-2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>
        <v>7325010</v>
      </c>
      <c r="B4" s="36">
        <v>325</v>
      </c>
      <c r="C4" s="7" t="str">
        <f t="shared" si="0"/>
        <v>PremiumSS5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天賦の凛志士 沖田総司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31">
        <v>10</v>
      </c>
      <c r="P4" s="32">
        <f t="shared" si="2"/>
        <v>1.3888888888888888E-2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>
        <v>7325010</v>
      </c>
      <c r="B5" s="36">
        <v>327</v>
      </c>
      <c r="C5" s="7" t="str">
        <f t="shared" ref="C5" si="5">D5&amp;J5&amp;E5&amp;F5&amp;G5</f>
        <v>PremiumSS5</v>
      </c>
      <c r="D5" s="7" t="str">
        <f t="shared" ref="D5" si="6">IF(OR(I5="PremiumSS",I5="PremiumSSw"),"PremiumSS",IF(I5="PremiumSSS",I5,IF(I5="PremiumW",I5,"Premium")))</f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千殺の妖志士 斎藤一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女性</v>
      </c>
      <c r="O5" s="31">
        <v>10</v>
      </c>
      <c r="P5" s="32">
        <f t="shared" si="2"/>
        <v>1.3888888888888888E-2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>
        <v>7325010</v>
      </c>
      <c r="B6" s="36">
        <v>384</v>
      </c>
      <c r="C6" s="7" t="str">
        <f t="shared" si="0"/>
        <v>PremiumSS5</v>
      </c>
      <c r="D6" s="7" t="str">
        <f t="shared" si="1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破国の呑龍 ヤマタノオロチ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31">
        <v>10</v>
      </c>
      <c r="P6" s="32">
        <f t="shared" si="2"/>
        <v>1.3888888888888888E-2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>
        <v>7325010</v>
      </c>
      <c r="B7" s="36">
        <v>386</v>
      </c>
      <c r="C7" s="7" t="str">
        <f t="shared" si="0"/>
        <v>PremiumSS5</v>
      </c>
      <c r="D7" s="7" t="str">
        <f t="shared" si="1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氾乱の海龍 リヴァイアサン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dragon</v>
      </c>
      <c r="N7" s="7" t="str">
        <f>VLOOKUP(B7,[1]characters!$A:$G,7,FALSE)</f>
        <v>女性</v>
      </c>
      <c r="O7" s="31">
        <v>10</v>
      </c>
      <c r="P7" s="32">
        <f t="shared" si="2"/>
        <v>1.3888888888888888E-2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>
        <v>7325010</v>
      </c>
      <c r="B8" s="36">
        <v>391</v>
      </c>
      <c r="C8" s="7" t="str">
        <f t="shared" ref="C8:C9" si="7">D8&amp;J8&amp;E8&amp;F8&amp;G8</f>
        <v>PremiumSS5</v>
      </c>
      <c r="D8" s="7" t="str">
        <f t="shared" si="1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燕翼の旅人 親指姫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heal</v>
      </c>
      <c r="M8" s="7" t="str">
        <f>VLOOKUP(B8,[1]characters!$A:$M,13,FALSE)</f>
        <v>human</v>
      </c>
      <c r="N8" s="7" t="str">
        <f>VLOOKUP(B8,[1]characters!$A:$G,7,FALSE)</f>
        <v>女性</v>
      </c>
      <c r="O8" s="31">
        <v>10</v>
      </c>
      <c r="P8" s="32">
        <f t="shared" si="2"/>
        <v>1.3888888888888888E-2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>
        <v>7325010</v>
      </c>
      <c r="B9" s="36">
        <v>399</v>
      </c>
      <c r="C9" s="7" t="str">
        <f t="shared" si="7"/>
        <v>PremiumSS5</v>
      </c>
      <c r="D9" s="7" t="str">
        <f t="shared" si="1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信愛の兄妹 ヘンゼル＆グレーテル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31">
        <v>10</v>
      </c>
      <c r="P9" s="32">
        <f t="shared" si="2"/>
        <v>1.3888888888888888E-2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>
        <v>7325010</v>
      </c>
      <c r="B10" s="36">
        <v>404</v>
      </c>
      <c r="C10" s="7" t="str">
        <f t="shared" ref="C10:C12" si="8">D10&amp;J10&amp;E10&amp;F10&amp;G10</f>
        <v>PremiumSS5</v>
      </c>
      <c r="D10" s="7" t="str">
        <f t="shared" si="1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空襲の神眼 八咫烏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balance</v>
      </c>
      <c r="M10" s="7" t="str">
        <f>VLOOKUP(B10,[1]characters!$A:$M,13,FALSE)</f>
        <v>animal</v>
      </c>
      <c r="N10" s="7" t="str">
        <f>VLOOKUP(B10,[1]characters!$A:$G,7,FALSE)</f>
        <v>女性</v>
      </c>
      <c r="O10" s="31">
        <v>10</v>
      </c>
      <c r="P10" s="32">
        <f t="shared" si="2"/>
        <v>1.3888888888888888E-2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>
        <v>7325010</v>
      </c>
      <c r="B11" s="36">
        <v>409</v>
      </c>
      <c r="C11" s="7" t="str">
        <f t="shared" ref="C11" si="9">D11&amp;J11&amp;E11&amp;F11&amp;G11</f>
        <v>PremiumSS5</v>
      </c>
      <c r="D11" s="7" t="str">
        <f t="shared" ref="D11" si="10">IF(OR(I11="PremiumSS",I11="PremiumSSw"),"PremiumSS",IF(I11="PremiumSSS",I11,IF(I11="PremiumW",I11,"Premium")))</f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天眼の皇貴魔 アスタロト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attack</v>
      </c>
      <c r="M11" s="7" t="str">
        <f>VLOOKUP(B11,[1]characters!$A:$M,13,FALSE)</f>
        <v>god</v>
      </c>
      <c r="N11" s="7" t="str">
        <f>VLOOKUP(B11,[1]characters!$A:$G,7,FALSE)</f>
        <v>男性</v>
      </c>
      <c r="O11" s="31">
        <v>10</v>
      </c>
      <c r="P11" s="32">
        <f t="shared" si="2"/>
        <v>1.3888888888888888E-2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>
        <v>7325010</v>
      </c>
      <c r="B12" s="36">
        <v>435</v>
      </c>
      <c r="C12" s="7" t="str">
        <f t="shared" si="8"/>
        <v>PremiumSS5</v>
      </c>
      <c r="D12" s="7" t="str">
        <f t="shared" si="1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曝弾の密偵 D.R.T.H.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1">
        <v>10</v>
      </c>
      <c r="P12" s="32">
        <f t="shared" si="2"/>
        <v>1.3888888888888888E-2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>
        <v>7325010</v>
      </c>
      <c r="B13" s="36">
        <v>443</v>
      </c>
      <c r="C13" s="7" t="str">
        <f t="shared" ref="C13" si="11">D13&amp;J13&amp;E13&amp;F13&amp;G13</f>
        <v>PremiumSS5</v>
      </c>
      <c r="D13" s="7" t="str">
        <f t="shared" ref="D13" si="12">IF(OR(I13="PremiumSS",I13="PremiumSSw"),"PremiumSS",IF(I13="PremiumSSS",I13,IF(I13="PremiumW",I13,"Premium")))</f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勇機結集 ブレイブリー・ライオン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hp</v>
      </c>
      <c r="M13" s="7" t="str">
        <f>VLOOKUP(B13,[1]characters!$A:$M,13,FALSE)</f>
        <v>animal</v>
      </c>
      <c r="N13" s="7" t="str">
        <f>VLOOKUP(B13,[1]characters!$A:$G,7,FALSE)</f>
        <v>不明</v>
      </c>
      <c r="O13" s="31">
        <v>10</v>
      </c>
      <c r="P13" s="32">
        <f t="shared" si="2"/>
        <v>1.3888888888888888E-2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>
        <v>7325010</v>
      </c>
      <c r="B14" s="36">
        <v>466</v>
      </c>
      <c r="C14" s="7" t="str">
        <f t="shared" ref="C14:C15" si="13">D14&amp;J14&amp;E14&amp;F14&amp;G14</f>
        <v>PremiumSS5</v>
      </c>
      <c r="D14" s="7" t="str">
        <f t="shared" si="1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真断の勇覇 ランスロット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31">
        <v>10</v>
      </c>
      <c r="P14" s="32">
        <f t="shared" si="2"/>
        <v>1.3888888888888888E-2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>
        <v>7325010</v>
      </c>
      <c r="B15" s="36">
        <v>468</v>
      </c>
      <c r="C15" s="7" t="str">
        <f t="shared" si="13"/>
        <v>PremiumSS5</v>
      </c>
      <c r="D15" s="7" t="str">
        <f t="shared" si="1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31">
        <v>10</v>
      </c>
      <c r="P15" s="32">
        <f t="shared" si="2"/>
        <v>1.3888888888888888E-2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>
        <v>7325010</v>
      </c>
      <c r="B16" s="47">
        <v>475</v>
      </c>
      <c r="C16" s="7" t="str">
        <f t="shared" ref="C16:C18" si="14">D16&amp;J16&amp;E16&amp;F16&amp;G16</f>
        <v>PremiumSS5</v>
      </c>
      <c r="D16" s="7" t="str">
        <f t="shared" si="1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31">
        <v>10</v>
      </c>
      <c r="P16" s="32">
        <f t="shared" si="2"/>
        <v>1.3888888888888888E-2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>
        <v>7325010</v>
      </c>
      <c r="B17" s="47">
        <v>480</v>
      </c>
      <c r="C17" s="7" t="str">
        <f t="shared" ref="C17" si="15">D17&amp;J17&amp;E17&amp;F17&amp;G17</f>
        <v>PremiumSS5</v>
      </c>
      <c r="D17" s="7" t="str">
        <f t="shared" ref="D17" si="16">IF(OR(I17="PremiumSS",I17="PremiumSSw"),"PremiumSS",IF(I17="PremiumSSS",I17,IF(I17="PremiumW",I17,"Premium")))</f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夢幻の愚者フール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god</v>
      </c>
      <c r="N17" s="7" t="str">
        <f>VLOOKUP(B17,[1]characters!$A:$G,7,FALSE)</f>
        <v>男性</v>
      </c>
      <c r="O17" s="31">
        <v>10</v>
      </c>
      <c r="P17" s="32">
        <f t="shared" si="2"/>
        <v>1.3888888888888888E-2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>
        <v>7325010</v>
      </c>
      <c r="B18" s="47">
        <v>493</v>
      </c>
      <c r="C18" s="7" t="str">
        <f t="shared" si="14"/>
        <v>PremiumSS5</v>
      </c>
      <c r="D18" s="7" t="str">
        <f t="shared" si="1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31">
        <v>10</v>
      </c>
      <c r="P18" s="32">
        <f t="shared" si="2"/>
        <v>1.3888888888888888E-2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>
        <v>7325010</v>
      </c>
      <c r="B19" s="47">
        <v>495</v>
      </c>
      <c r="C19" s="7" t="str">
        <f t="shared" ref="C19:C20" si="17">D19&amp;J19&amp;E19&amp;F19&amp;G19</f>
        <v>PremiumSS5</v>
      </c>
      <c r="D19" s="7" t="str">
        <f t="shared" si="1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31">
        <v>10</v>
      </c>
      <c r="P19" s="32">
        <f t="shared" si="2"/>
        <v>1.3888888888888888E-2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>
        <v>7325010</v>
      </c>
      <c r="B20" s="47">
        <v>500</v>
      </c>
      <c r="C20" s="7" t="str">
        <f t="shared" si="17"/>
        <v>PremiumSS5</v>
      </c>
      <c r="D20" s="7" t="str">
        <f t="shared" si="1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脈動の禁髪 ラプンツェル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女性</v>
      </c>
      <c r="O20" s="31">
        <v>10</v>
      </c>
      <c r="P20" s="32">
        <f t="shared" si="2"/>
        <v>1.3888888888888888E-2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>
        <v>7325010</v>
      </c>
      <c r="B21" s="47">
        <v>587</v>
      </c>
      <c r="C21" s="7" t="str">
        <f t="shared" ref="C21" si="18">D21&amp;J21&amp;E21&amp;F21&amp;G21</f>
        <v>PremiumSS5</v>
      </c>
      <c r="D21" s="7" t="str">
        <f t="shared" ref="D21" si="19">IF(OR(I21="PremiumSS",I21="PremiumSSw"),"PremiumSS",IF(I21="PremiumSSS",I21,IF(I21="PremiumW",I21,"Premium")))</f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原初の煉鋼巨刃 ユミル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hp</v>
      </c>
      <c r="M21" s="7" t="str">
        <f>VLOOKUP(B21,[1]characters!$A:$M,13,FALSE)</f>
        <v>machine</v>
      </c>
      <c r="N21" s="7" t="str">
        <f>VLOOKUP(B21,[1]characters!$A:$G,7,FALSE)</f>
        <v>不明</v>
      </c>
      <c r="O21" s="31">
        <v>10</v>
      </c>
      <c r="P21" s="32">
        <f t="shared" si="2"/>
        <v>1.3888888888888888E-2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>
        <v>7325010</v>
      </c>
      <c r="B22" s="47">
        <v>595</v>
      </c>
      <c r="C22" s="7" t="str">
        <f t="shared" ref="C22:C25" si="20">D22&amp;J22&amp;E22&amp;F22&amp;G22</f>
        <v>PremiumSS5</v>
      </c>
      <c r="D22" s="7" t="str">
        <f t="shared" si="1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光華なる神域 アルフヘイム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31">
        <v>10</v>
      </c>
      <c r="P22" s="32">
        <f t="shared" si="2"/>
        <v>1.3888888888888888E-2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>
        <v>7325010</v>
      </c>
      <c r="B23" s="47">
        <v>603</v>
      </c>
      <c r="C23" s="7" t="str">
        <f t="shared" si="20"/>
        <v>PremiumSS5</v>
      </c>
      <c r="D23" s="7" t="str">
        <f t="shared" si="1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31">
        <v>10</v>
      </c>
      <c r="P23" s="32">
        <f t="shared" si="2"/>
        <v>1.3888888888888888E-2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>
        <v>7325010</v>
      </c>
      <c r="B24" s="47">
        <v>659</v>
      </c>
      <c r="C24" s="7" t="str">
        <f t="shared" si="20"/>
        <v>PremiumSS5</v>
      </c>
      <c r="D24" s="7" t="str">
        <f t="shared" si="1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跳梁する化猫 クルミ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animal</v>
      </c>
      <c r="N24" s="7" t="str">
        <f>VLOOKUP(B24,[1]characters!$A:$G,7,FALSE)</f>
        <v>女性</v>
      </c>
      <c r="O24" s="31">
        <v>10</v>
      </c>
      <c r="P24" s="32">
        <f t="shared" si="2"/>
        <v>1.3888888888888888E-2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>
        <v>7325010</v>
      </c>
      <c r="B25" s="47">
        <v>661</v>
      </c>
      <c r="C25" s="7" t="str">
        <f t="shared" si="20"/>
        <v>PremiumSS5</v>
      </c>
      <c r="D25" s="7" t="str">
        <f t="shared" si="1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疾風の天狗礫 フウガ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男性</v>
      </c>
      <c r="O25" s="31">
        <v>10</v>
      </c>
      <c r="P25" s="32">
        <f t="shared" si="2"/>
        <v>1.3888888888888888E-2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>
        <v>7325010</v>
      </c>
      <c r="B26" s="47">
        <v>675</v>
      </c>
      <c r="C26" s="7" t="str">
        <f t="shared" ref="C26:C27" si="21">D26&amp;J26&amp;E26&amp;F26&amp;G26</f>
        <v>PremiumSS5</v>
      </c>
      <c r="D26" s="7" t="str">
        <f t="shared" si="1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芸楽の奔流 サラスヴァティ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女性</v>
      </c>
      <c r="O26" s="31">
        <v>10</v>
      </c>
      <c r="P26" s="32">
        <f t="shared" si="2"/>
        <v>1.3888888888888888E-2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>
        <v>7325010</v>
      </c>
      <c r="B27" s="47">
        <v>677</v>
      </c>
      <c r="C27" s="7" t="str">
        <f t="shared" si="21"/>
        <v>PremiumSS5</v>
      </c>
      <c r="D27" s="7" t="str">
        <f t="shared" si="1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武遊闊歩 ヴィシュヌ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god</v>
      </c>
      <c r="N27" s="7" t="str">
        <f>VLOOKUP(B27,[1]characters!$A:$G,7,FALSE)</f>
        <v>女性</v>
      </c>
      <c r="O27" s="31">
        <v>10</v>
      </c>
      <c r="P27" s="32">
        <f t="shared" si="2"/>
        <v>1.3888888888888888E-2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>
        <v>7325010</v>
      </c>
      <c r="B28" s="47">
        <v>732</v>
      </c>
      <c r="C28" s="7" t="str">
        <f t="shared" ref="C28:C29" si="22">D28&amp;J28&amp;E28&amp;F28&amp;G28</f>
        <v>PremiumSS5R5only</v>
      </c>
      <c r="D28" s="7" t="str">
        <f t="shared" si="1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上杉謙信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女性</v>
      </c>
      <c r="O28" s="31">
        <v>10</v>
      </c>
      <c r="P28" s="32">
        <f t="shared" si="2"/>
        <v>1.3888888888888888E-2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>
        <v>7325010</v>
      </c>
      <c r="B29" s="47">
        <v>734</v>
      </c>
      <c r="C29" s="7" t="str">
        <f t="shared" si="22"/>
        <v>PremiumSS5R5only</v>
      </c>
      <c r="D29" s="7" t="str">
        <f t="shared" si="1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伊達政宗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男性</v>
      </c>
      <c r="O29" s="31">
        <v>10</v>
      </c>
      <c r="P29" s="32">
        <f t="shared" si="2"/>
        <v>1.3888888888888888E-2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>
        <v>7325010</v>
      </c>
      <c r="B30" s="47">
        <v>742</v>
      </c>
      <c r="C30" s="7" t="str">
        <f t="shared" ref="C30" si="23">D30&amp;J30&amp;E30&amp;F30&amp;G30</f>
        <v>PremiumSS5R5only</v>
      </c>
      <c r="D30" s="7" t="str">
        <f t="shared" si="1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アポロン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31">
        <v>10</v>
      </c>
      <c r="P30" s="32">
        <f t="shared" si="2"/>
        <v>1.3888888888888888E-2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>
        <v>7325010</v>
      </c>
      <c r="B31" s="47">
        <v>744</v>
      </c>
      <c r="C31" s="7" t="str">
        <f t="shared" ref="C31:C32" si="24">D31&amp;J31&amp;E31&amp;F31&amp;G31</f>
        <v>PremiumSS5R5only</v>
      </c>
      <c r="D31" s="7" t="str">
        <f t="shared" si="1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ヘルメス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31">
        <v>10</v>
      </c>
      <c r="P31" s="32">
        <f t="shared" si="2"/>
        <v>1.3888888888888888E-2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>
        <v>7325010</v>
      </c>
      <c r="B32" s="47">
        <v>771</v>
      </c>
      <c r="C32" s="7" t="str">
        <f t="shared" si="24"/>
        <v>PremiumSS5</v>
      </c>
      <c r="D32" s="7" t="str">
        <f t="shared" si="1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天織羽鶴 ハヅル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女性</v>
      </c>
      <c r="O32" s="31">
        <v>10</v>
      </c>
      <c r="P32" s="32">
        <f t="shared" si="2"/>
        <v>1.3888888888888888E-2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>
        <v>7325010</v>
      </c>
      <c r="B33" s="47">
        <v>773</v>
      </c>
      <c r="C33" s="7" t="str">
        <f t="shared" ref="C33:C35" si="25">D33&amp;J33&amp;E33&amp;F33&amp;G33</f>
        <v>PremiumSS5</v>
      </c>
      <c r="D33" s="7" t="str">
        <f t="shared" si="1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浮跳天兎 イナバ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animal</v>
      </c>
      <c r="N33" s="7" t="str">
        <f>VLOOKUP(B33,[1]characters!$A:$G,7,FALSE)</f>
        <v>女性</v>
      </c>
      <c r="O33" s="31">
        <v>10</v>
      </c>
      <c r="P33" s="32">
        <f t="shared" si="2"/>
        <v>1.3888888888888888E-2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>
        <v>7325010</v>
      </c>
      <c r="B34" s="47">
        <v>848</v>
      </c>
      <c r="C34" s="7" t="str">
        <f t="shared" si="25"/>
        <v>PremiumSS5R5only</v>
      </c>
      <c r="D34" s="7" t="str">
        <f t="shared" si="1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メタトロン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balance</v>
      </c>
      <c r="M34" s="7" t="str">
        <f>VLOOKUP(B34,[1]characters!$A:$M,13,FALSE)</f>
        <v>god</v>
      </c>
      <c r="N34" s="7" t="str">
        <f>VLOOKUP(B34,[1]characters!$A:$G,7,FALSE)</f>
        <v>男性</v>
      </c>
      <c r="O34" s="31">
        <v>10</v>
      </c>
      <c r="P34" s="32">
        <f t="shared" ref="P34:P65" si="26">O34/SUM(O:O)</f>
        <v>1.3888888888888888E-2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>
        <v>7325010</v>
      </c>
      <c r="B35" s="47">
        <v>850</v>
      </c>
      <c r="C35" s="7" t="str">
        <f t="shared" si="25"/>
        <v>PremiumSS5R5only</v>
      </c>
      <c r="D35" s="7" t="str">
        <f t="shared" si="1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バアル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technical</v>
      </c>
      <c r="M35" s="7" t="str">
        <f>VLOOKUP(B35,[1]characters!$A:$M,13,FALSE)</f>
        <v>god</v>
      </c>
      <c r="N35" s="7" t="str">
        <f>VLOOKUP(B35,[1]characters!$A:$G,7,FALSE)</f>
        <v>男性</v>
      </c>
      <c r="O35" s="31">
        <v>10</v>
      </c>
      <c r="P35" s="32">
        <f t="shared" si="26"/>
        <v>1.3888888888888888E-2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>
        <v>7325010</v>
      </c>
      <c r="B36" s="47">
        <v>866</v>
      </c>
      <c r="C36" s="7" t="str">
        <f t="shared" ref="C36:C37" si="27">D36&amp;J36&amp;E36&amp;F36&amp;G36</f>
        <v>PremiumSS5R5only</v>
      </c>
      <c r="D36" s="7" t="str">
        <f t="shared" si="1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無敗の司令姫 白雪姫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男性</v>
      </c>
      <c r="O36" s="31">
        <v>10</v>
      </c>
      <c r="P36" s="32">
        <f t="shared" si="26"/>
        <v>1.3888888888888888E-2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>
        <v>7325010</v>
      </c>
      <c r="B37" s="47">
        <v>868</v>
      </c>
      <c r="C37" s="7" t="str">
        <f t="shared" si="27"/>
        <v>PremiumSS5R5only</v>
      </c>
      <c r="D37" s="7" t="str">
        <f t="shared" si="1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アラジンと殲滅機兵LAMP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hp</v>
      </c>
      <c r="M37" s="7" t="str">
        <f>VLOOKUP(B37,[1]characters!$A:$M,13,FALSE)</f>
        <v>human</v>
      </c>
      <c r="N37" s="7" t="str">
        <f>VLOOKUP(B37,[1]characters!$A:$G,7,FALSE)</f>
        <v>男性</v>
      </c>
      <c r="O37" s="31">
        <v>10</v>
      </c>
      <c r="P37" s="32">
        <f t="shared" si="26"/>
        <v>1.3888888888888888E-2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>
        <v>7325010</v>
      </c>
      <c r="B38" s="47">
        <v>937</v>
      </c>
      <c r="C38" s="7" t="str">
        <f t="shared" ref="C38:C39" si="28">D38&amp;J38&amp;E38&amp;F38&amp;G38</f>
        <v>PremiumSS5R5only</v>
      </c>
      <c r="D38" s="7" t="str">
        <f t="shared" si="1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ナポレオン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31">
        <v>10</v>
      </c>
      <c r="P38" s="32">
        <f t="shared" si="26"/>
        <v>1.3888888888888888E-2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>
        <v>7325010</v>
      </c>
      <c r="B39" s="47">
        <v>941</v>
      </c>
      <c r="C39" s="7" t="str">
        <f t="shared" si="28"/>
        <v>PremiumSS5R5only</v>
      </c>
      <c r="D39" s="7" t="str">
        <f t="shared" si="1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アントワネット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31">
        <v>10</v>
      </c>
      <c r="P39" s="32">
        <f t="shared" si="26"/>
        <v>1.3888888888888888E-2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>
        <v>7325010</v>
      </c>
      <c r="B40" s="5">
        <v>943</v>
      </c>
      <c r="C40" s="7" t="str">
        <f t="shared" ref="C40:C42" si="29">D40&amp;J40&amp;E40&amp;F40&amp;G40</f>
        <v>PremiumSS5R5only</v>
      </c>
      <c r="D40" s="7" t="str">
        <f t="shared" si="1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サンソン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human</v>
      </c>
      <c r="N40" s="7" t="str">
        <f>VLOOKUP(B40,[1]characters!$A:$G,7,FALSE)</f>
        <v>男性</v>
      </c>
      <c r="O40" s="31">
        <v>10</v>
      </c>
      <c r="P40" s="32">
        <f t="shared" si="26"/>
        <v>1.3888888888888888E-2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>
        <v>7325010</v>
      </c>
      <c r="B41" s="5">
        <v>1012</v>
      </c>
      <c r="C41" s="7" t="str">
        <f t="shared" si="29"/>
        <v>PremiumSS5R5only</v>
      </c>
      <c r="D41" s="7" t="str">
        <f t="shared" si="1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ラー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31">
        <v>10</v>
      </c>
      <c r="P41" s="32">
        <f t="shared" si="26"/>
        <v>1.3888888888888888E-2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>
        <v>7325010</v>
      </c>
      <c r="B42" s="5">
        <v>1014</v>
      </c>
      <c r="C42" s="7" t="str">
        <f t="shared" si="29"/>
        <v>PremiumSS5R5only</v>
      </c>
      <c r="D42" s="7" t="str">
        <f t="shared" si="1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イシス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31">
        <v>10</v>
      </c>
      <c r="P42" s="32">
        <f t="shared" si="26"/>
        <v>1.3888888888888888E-2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>
        <v>7325010</v>
      </c>
      <c r="B43" s="5">
        <v>1018</v>
      </c>
      <c r="C43" s="7" t="str">
        <f t="shared" ref="C43:C45" si="30">D43&amp;J43&amp;E43&amp;F43&amp;G43</f>
        <v>PremiumSS5R5only</v>
      </c>
      <c r="D43" s="7" t="str">
        <f t="shared" si="1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バステト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1">
        <v>10</v>
      </c>
      <c r="P43" s="32">
        <f t="shared" si="26"/>
        <v>1.3888888888888888E-2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>
        <v>7325010</v>
      </c>
      <c r="B44" s="5">
        <v>1028</v>
      </c>
      <c r="C44" s="7" t="str">
        <f t="shared" si="30"/>
        <v>PremiumSS5R5only</v>
      </c>
      <c r="D44" s="7" t="str">
        <f t="shared" si="1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牛若丸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31">
        <v>10</v>
      </c>
      <c r="P44" s="32">
        <f t="shared" si="26"/>
        <v>1.3888888888888888E-2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A45" s="2">
        <v>7325010</v>
      </c>
      <c r="B45" s="5">
        <v>1031</v>
      </c>
      <c r="C45" s="7" t="str">
        <f t="shared" si="30"/>
        <v>PremiumSS5R5only</v>
      </c>
      <c r="D45" s="7" t="str">
        <f t="shared" si="1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紫式部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31">
        <v>10</v>
      </c>
      <c r="P45" s="32">
        <f t="shared" si="26"/>
        <v>1.3888888888888888E-2</v>
      </c>
      <c r="Q45" s="27">
        <v>1</v>
      </c>
      <c r="R45" s="27">
        <v>0</v>
      </c>
      <c r="S45" s="27">
        <v>0</v>
      </c>
      <c r="T45" s="27">
        <v>0</v>
      </c>
      <c r="U45" s="27">
        <v>0</v>
      </c>
      <c r="V45" s="27">
        <v>1</v>
      </c>
    </row>
    <row r="46" spans="1:22" ht="21" customHeight="1" x14ac:dyDescent="0.15">
      <c r="A46" s="2">
        <v>7325010</v>
      </c>
      <c r="B46" s="2">
        <v>1033</v>
      </c>
      <c r="C46" s="7" t="str">
        <f t="shared" ref="C46" si="31">D46&amp;J46&amp;E46&amp;F46&amp;G46</f>
        <v>PremiumSS5R5only</v>
      </c>
      <c r="D46" s="7" t="str">
        <f t="shared" ref="D46" si="32">IF(OR(I46="PremiumSS",I46="PremiumSSw"),"PremiumSS",IF(I46="PremiumSSS",I46,IF(I46="PremiumW",I46,"Premium")))</f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清少納言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31">
        <v>10</v>
      </c>
      <c r="P46" s="32">
        <f t="shared" si="26"/>
        <v>1.3888888888888888E-2</v>
      </c>
      <c r="Q46" s="27">
        <v>1</v>
      </c>
      <c r="R46" s="27">
        <v>0</v>
      </c>
      <c r="S46" s="27">
        <v>0</v>
      </c>
      <c r="T46" s="27">
        <v>0</v>
      </c>
      <c r="U46" s="27">
        <v>0</v>
      </c>
      <c r="V46" s="27">
        <v>1</v>
      </c>
    </row>
    <row r="47" spans="1:22" ht="21" customHeight="1" x14ac:dyDescent="0.15">
      <c r="A47" s="2">
        <v>7325010</v>
      </c>
      <c r="B47" s="2">
        <v>1069</v>
      </c>
      <c r="C47" s="7" t="str">
        <f t="shared" ref="C47" si="33">D47&amp;J47&amp;E47&amp;F47&amp;G47</f>
        <v>PremiumSS5R5only</v>
      </c>
      <c r="D47" s="7" t="str">
        <f t="shared" ref="D47" si="34">IF(OR(I47="PremiumSS",I47="PremiumSSw"),"PremiumSS",IF(I47="PremiumSSS",I47,IF(I47="PremiumW",I47,"Premium")))</f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イシュタル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31">
        <v>10</v>
      </c>
      <c r="P47" s="32">
        <f t="shared" si="26"/>
        <v>1.3888888888888888E-2</v>
      </c>
      <c r="Q47" s="27">
        <v>1</v>
      </c>
      <c r="R47" s="27">
        <v>0</v>
      </c>
      <c r="S47" s="27">
        <v>0</v>
      </c>
      <c r="T47" s="27">
        <v>0</v>
      </c>
      <c r="U47" s="27">
        <v>0</v>
      </c>
      <c r="V47" s="27">
        <v>1</v>
      </c>
    </row>
    <row r="48" spans="1:22" ht="21" customHeight="1" x14ac:dyDescent="0.15">
      <c r="A48" s="2">
        <v>7325010</v>
      </c>
      <c r="B48" s="2">
        <v>1072</v>
      </c>
      <c r="C48" s="7" t="str">
        <f t="shared" ref="C48:C50" si="35">D48&amp;J48&amp;E48&amp;F48&amp;G48</f>
        <v>PremiumSS5R5only</v>
      </c>
      <c r="D48" s="7" t="str">
        <f t="shared" ref="D48:D50" si="36">IF(OR(I48="PremiumSS",I48="PremiumSSw"),"PremiumSS",IF(I48="PremiumSSS",I48,IF(I48="PremiumW",I48,"Premium")))</f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エンキドゥ</v>
      </c>
      <c r="I48" s="7" t="str">
        <f>VLOOKUP(B48,[1]characters!$A:$J,10,FALSE)</f>
        <v>PremiumSSw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31">
        <v>10</v>
      </c>
      <c r="P48" s="32">
        <f t="shared" si="26"/>
        <v>1.3888888888888888E-2</v>
      </c>
      <c r="Q48" s="27">
        <v>1</v>
      </c>
      <c r="R48" s="27">
        <v>0</v>
      </c>
      <c r="S48" s="27">
        <v>0</v>
      </c>
      <c r="T48" s="27">
        <v>0</v>
      </c>
      <c r="U48" s="27">
        <v>0</v>
      </c>
      <c r="V48" s="27">
        <v>1</v>
      </c>
    </row>
    <row r="49" spans="1:22" ht="21" customHeight="1" x14ac:dyDescent="0.15">
      <c r="A49" s="2">
        <v>7325010</v>
      </c>
      <c r="B49" s="2">
        <v>1074</v>
      </c>
      <c r="C49" s="7" t="str">
        <f t="shared" si="35"/>
        <v>PremiumSS5R5only</v>
      </c>
      <c r="D49" s="7" t="str">
        <f t="shared" si="36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マルドゥク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31">
        <v>10</v>
      </c>
      <c r="P49" s="32">
        <f t="shared" si="26"/>
        <v>1.3888888888888888E-2</v>
      </c>
      <c r="Q49" s="27">
        <v>1</v>
      </c>
      <c r="R49" s="27">
        <v>0</v>
      </c>
      <c r="S49" s="27">
        <v>0</v>
      </c>
      <c r="T49" s="27">
        <v>0</v>
      </c>
      <c r="U49" s="27">
        <v>0</v>
      </c>
      <c r="V49" s="27">
        <v>1</v>
      </c>
    </row>
    <row r="50" spans="1:22" ht="21" customHeight="1" x14ac:dyDescent="0.15">
      <c r="A50" s="2">
        <v>7325010</v>
      </c>
      <c r="B50" s="2">
        <v>1100</v>
      </c>
      <c r="C50" s="7" t="str">
        <f t="shared" si="35"/>
        <v>PremiumSS5R5only</v>
      </c>
      <c r="D50" s="7" t="str">
        <f t="shared" si="36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北斎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31">
        <v>10</v>
      </c>
      <c r="P50" s="32">
        <f t="shared" si="26"/>
        <v>1.3888888888888888E-2</v>
      </c>
      <c r="Q50" s="27">
        <v>1</v>
      </c>
      <c r="R50" s="27">
        <v>0</v>
      </c>
      <c r="S50" s="27">
        <v>0</v>
      </c>
      <c r="T50" s="27">
        <v>0</v>
      </c>
      <c r="U50" s="27">
        <v>0</v>
      </c>
      <c r="V50" s="27">
        <v>1</v>
      </c>
    </row>
    <row r="51" spans="1:22" ht="21" customHeight="1" x14ac:dyDescent="0.15">
      <c r="A51" s="2">
        <v>7325010</v>
      </c>
      <c r="B51" s="2">
        <v>1102</v>
      </c>
      <c r="C51" s="7" t="str">
        <f t="shared" ref="C51:C53" si="37">D51&amp;J51&amp;E51&amp;F51&amp;G51</f>
        <v>PremiumSS5R5only</v>
      </c>
      <c r="D51" s="7" t="str">
        <f t="shared" ref="D51:D53" si="38">IF(OR(I51="PremiumSS",I51="PremiumSSw"),"PremiumSS",IF(I51="PremiumSSS",I51,IF(I51="PremiumW",I51,"Premium")))</f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ドガ</v>
      </c>
      <c r="I51" s="7" t="str">
        <f>VLOOKUP(B51,[1]characters!$A:$J,10,FALSE)</f>
        <v>PremiumSSw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31">
        <v>10</v>
      </c>
      <c r="P51" s="32">
        <f t="shared" si="26"/>
        <v>1.3888888888888888E-2</v>
      </c>
      <c r="Q51" s="27">
        <v>1</v>
      </c>
      <c r="R51" s="27">
        <v>0</v>
      </c>
      <c r="S51" s="27">
        <v>0</v>
      </c>
      <c r="T51" s="27">
        <v>0</v>
      </c>
      <c r="U51" s="27">
        <v>0</v>
      </c>
      <c r="V51" s="27">
        <v>1</v>
      </c>
    </row>
    <row r="52" spans="1:22" ht="21" customHeight="1" x14ac:dyDescent="0.15">
      <c r="A52" s="2">
        <v>7325010</v>
      </c>
      <c r="B52" s="2">
        <v>1106</v>
      </c>
      <c r="C52" s="7" t="str">
        <f t="shared" si="37"/>
        <v>PremiumSS5R5only</v>
      </c>
      <c r="D52" s="7" t="str">
        <f t="shared" si="38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ラファエロ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31">
        <v>10</v>
      </c>
      <c r="P52" s="32">
        <f t="shared" si="26"/>
        <v>1.3888888888888888E-2</v>
      </c>
      <c r="Q52" s="27">
        <v>1</v>
      </c>
      <c r="R52" s="27">
        <v>0</v>
      </c>
      <c r="S52" s="27">
        <v>0</v>
      </c>
      <c r="T52" s="27">
        <v>0</v>
      </c>
      <c r="U52" s="27">
        <v>0</v>
      </c>
      <c r="V52" s="27">
        <v>1</v>
      </c>
    </row>
    <row r="53" spans="1:22" ht="21" customHeight="1" x14ac:dyDescent="0.15">
      <c r="A53" s="2">
        <v>7325010</v>
      </c>
      <c r="B53" s="2">
        <v>1137</v>
      </c>
      <c r="C53" s="7" t="str">
        <f t="shared" si="37"/>
        <v>PremiumSS5R5only</v>
      </c>
      <c r="D53" s="7" t="str">
        <f t="shared" si="38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諸葛亮</v>
      </c>
      <c r="I53" s="7" t="str">
        <f>VLOOKUP(B53,[1]characters!$A:$J,10,FALSE)</f>
        <v>PremiumSSw</v>
      </c>
      <c r="J53" s="7">
        <f>VLOOKUP(B53,[1]characters!$A:$I,9,FALSE)</f>
        <v>5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31">
        <v>10</v>
      </c>
      <c r="P53" s="32">
        <f t="shared" si="26"/>
        <v>1.3888888888888888E-2</v>
      </c>
      <c r="Q53" s="27">
        <v>1</v>
      </c>
      <c r="R53" s="27">
        <v>0</v>
      </c>
      <c r="S53" s="27">
        <v>0</v>
      </c>
      <c r="T53" s="27">
        <v>0</v>
      </c>
      <c r="U53" s="27">
        <v>0</v>
      </c>
      <c r="V53" s="27">
        <v>1</v>
      </c>
    </row>
    <row r="54" spans="1:22" ht="21" customHeight="1" x14ac:dyDescent="0.15">
      <c r="A54" s="2">
        <v>7325010</v>
      </c>
      <c r="B54" s="2">
        <v>1139</v>
      </c>
      <c r="C54" s="7" t="str">
        <f t="shared" ref="C54:C56" si="39">D54&amp;J54&amp;E54&amp;F54&amp;G54</f>
        <v>PremiumSS5R5only</v>
      </c>
      <c r="D54" s="7" t="str">
        <f t="shared" ref="D54:D56" si="40">IF(OR(I54="PremiumSS",I54="PremiumSSw"),"PremiumSS",IF(I54="PremiumSSS",I54,IF(I54="PremiumW",I54,"Premium")))</f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趙雲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31">
        <v>10</v>
      </c>
      <c r="P54" s="32">
        <f t="shared" si="26"/>
        <v>1.3888888888888888E-2</v>
      </c>
      <c r="Q54" s="27">
        <v>1</v>
      </c>
      <c r="R54" s="27">
        <v>0</v>
      </c>
      <c r="S54" s="27">
        <v>0</v>
      </c>
      <c r="T54" s="27">
        <v>0</v>
      </c>
      <c r="U54" s="27">
        <v>0</v>
      </c>
      <c r="V54" s="27">
        <v>1</v>
      </c>
    </row>
    <row r="55" spans="1:22" ht="21" customHeight="1" x14ac:dyDescent="0.15">
      <c r="A55" s="2">
        <v>7325010</v>
      </c>
      <c r="B55" s="2">
        <v>1141</v>
      </c>
      <c r="C55" s="7" t="str">
        <f t="shared" si="39"/>
        <v>PremiumSS5R5only</v>
      </c>
      <c r="D55" s="7" t="str">
        <f t="shared" si="40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月英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31">
        <v>10</v>
      </c>
      <c r="P55" s="32">
        <f t="shared" si="26"/>
        <v>1.3888888888888888E-2</v>
      </c>
      <c r="Q55" s="27">
        <v>1</v>
      </c>
      <c r="R55" s="27">
        <v>0</v>
      </c>
      <c r="S55" s="27">
        <v>0</v>
      </c>
      <c r="T55" s="27">
        <v>0</v>
      </c>
      <c r="U55" s="27">
        <v>0</v>
      </c>
      <c r="V55" s="27">
        <v>1</v>
      </c>
    </row>
    <row r="56" spans="1:22" ht="21" customHeight="1" x14ac:dyDescent="0.15">
      <c r="A56" s="2">
        <v>7325010</v>
      </c>
      <c r="B56" s="2">
        <v>1153</v>
      </c>
      <c r="C56" s="7" t="str">
        <f t="shared" si="39"/>
        <v>PremiumSS5R5only</v>
      </c>
      <c r="D56" s="7" t="str">
        <f t="shared" si="40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ラクシュミー</v>
      </c>
      <c r="I56" s="7" t="str">
        <f>VLOOKUP(B56,[1]characters!$A:$J,10,FALSE)</f>
        <v>PremiumSSw</v>
      </c>
      <c r="J56" s="7">
        <f>VLOOKUP(B56,[1]characters!$A:$I,9,FALSE)</f>
        <v>5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31">
        <v>10</v>
      </c>
      <c r="P56" s="32">
        <f t="shared" si="26"/>
        <v>1.3888888888888888E-2</v>
      </c>
      <c r="Q56" s="27">
        <v>1</v>
      </c>
      <c r="R56" s="27">
        <v>0</v>
      </c>
      <c r="S56" s="27">
        <v>0</v>
      </c>
      <c r="T56" s="27">
        <v>0</v>
      </c>
      <c r="U56" s="27">
        <v>0</v>
      </c>
      <c r="V56" s="27">
        <v>1</v>
      </c>
    </row>
    <row r="57" spans="1:22" ht="21" customHeight="1" x14ac:dyDescent="0.15">
      <c r="A57" s="2">
        <v>7325010</v>
      </c>
      <c r="B57" s="2">
        <v>1155</v>
      </c>
      <c r="C57" s="7" t="str">
        <f t="shared" ref="C57:C61" si="41">D57&amp;J57&amp;E57&amp;F57&amp;G57</f>
        <v>PremiumSS5R5only</v>
      </c>
      <c r="D57" s="7" t="str">
        <f t="shared" ref="D57:D61" si="42">IF(OR(I57="PremiumSS",I57="PremiumSSw"),"PremiumSS",IF(I57="PremiumSSS",I57,IF(I57="PremiumW",I57,"Premium")))</f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ドゥルガー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31">
        <v>10</v>
      </c>
      <c r="P57" s="32">
        <f t="shared" si="26"/>
        <v>1.3888888888888888E-2</v>
      </c>
      <c r="Q57" s="27">
        <v>1</v>
      </c>
      <c r="R57" s="27">
        <v>0</v>
      </c>
      <c r="S57" s="27">
        <v>0</v>
      </c>
      <c r="T57" s="27">
        <v>0</v>
      </c>
      <c r="U57" s="27">
        <v>0</v>
      </c>
      <c r="V57" s="27">
        <v>1</v>
      </c>
    </row>
    <row r="58" spans="1:22" ht="21" customHeight="1" x14ac:dyDescent="0.15">
      <c r="A58" s="2">
        <v>7325010</v>
      </c>
      <c r="B58" s="2">
        <v>1157</v>
      </c>
      <c r="C58" s="7" t="str">
        <f t="shared" si="41"/>
        <v>PremiumSS5R5only</v>
      </c>
      <c r="D58" s="7" t="str">
        <f t="shared" si="42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インドラ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31">
        <v>10</v>
      </c>
      <c r="P58" s="32">
        <f t="shared" si="26"/>
        <v>1.3888888888888888E-2</v>
      </c>
      <c r="Q58" s="27">
        <v>1</v>
      </c>
      <c r="R58" s="27">
        <v>0</v>
      </c>
      <c r="S58" s="27">
        <v>0</v>
      </c>
      <c r="T58" s="27">
        <v>0</v>
      </c>
      <c r="U58" s="27">
        <v>0</v>
      </c>
      <c r="V58" s="27">
        <v>1</v>
      </c>
    </row>
    <row r="59" spans="1:22" ht="21" customHeight="1" x14ac:dyDescent="0.15">
      <c r="A59" s="2">
        <v>7325010</v>
      </c>
      <c r="B59" s="2">
        <v>1208</v>
      </c>
      <c r="C59" s="7" t="str">
        <f t="shared" si="41"/>
        <v>PremiumSS5R5only</v>
      </c>
      <c r="D59" s="7" t="str">
        <f t="shared" si="42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ネメシス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red</v>
      </c>
      <c r="L59" s="7" t="str">
        <f>VLOOKUP(B59,[1]characters!$A:$K,11,FALSE)</f>
        <v>hp</v>
      </c>
      <c r="M59" s="7" t="str">
        <f>VLOOKUP(B59,[1]characters!$A:$M,13,FALSE)</f>
        <v>god</v>
      </c>
      <c r="N59" s="7">
        <f>VLOOKUP(B59,[1]characters!$A:$G,7,FALSE)</f>
        <v>0</v>
      </c>
      <c r="O59" s="31">
        <v>10</v>
      </c>
      <c r="P59" s="32">
        <f t="shared" si="26"/>
        <v>1.3888888888888888E-2</v>
      </c>
      <c r="Q59" s="27">
        <v>1</v>
      </c>
      <c r="R59" s="27">
        <v>0</v>
      </c>
      <c r="S59" s="27">
        <v>0</v>
      </c>
      <c r="T59" s="27">
        <v>0</v>
      </c>
      <c r="U59" s="27">
        <v>0</v>
      </c>
      <c r="V59" s="27">
        <v>1</v>
      </c>
    </row>
    <row r="60" spans="1:22" ht="21" customHeight="1" x14ac:dyDescent="0.15">
      <c r="A60" s="2">
        <v>7325010</v>
      </c>
      <c r="B60" s="2">
        <v>1212</v>
      </c>
      <c r="C60" s="7" t="str">
        <f t="shared" si="41"/>
        <v>PremiumSS5R5only</v>
      </c>
      <c r="D60" s="7" t="str">
        <f t="shared" si="42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クロノス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31">
        <v>10</v>
      </c>
      <c r="P60" s="32">
        <f t="shared" si="26"/>
        <v>1.3888888888888888E-2</v>
      </c>
      <c r="Q60" s="27">
        <v>1</v>
      </c>
      <c r="R60" s="27">
        <v>0</v>
      </c>
      <c r="S60" s="27">
        <v>0</v>
      </c>
      <c r="T60" s="27">
        <v>0</v>
      </c>
      <c r="U60" s="27">
        <v>0</v>
      </c>
      <c r="V60" s="27">
        <v>1</v>
      </c>
    </row>
    <row r="61" spans="1:22" ht="21" customHeight="1" x14ac:dyDescent="0.15">
      <c r="A61" s="2">
        <v>7325010</v>
      </c>
      <c r="B61" s="2">
        <v>1214</v>
      </c>
      <c r="C61" s="7" t="str">
        <f t="shared" si="41"/>
        <v>PremiumSS5R5only</v>
      </c>
      <c r="D61" s="7" t="str">
        <f t="shared" si="42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アルテミス</v>
      </c>
      <c r="I61" s="7" t="str">
        <f>VLOOKUP(B61,[1]characters!$A:$J,10,FALSE)</f>
        <v>PremiumSSw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balance</v>
      </c>
      <c r="M61" s="7" t="str">
        <f>VLOOKUP(B61,[1]characters!$A:$M,13,FALSE)</f>
        <v>god</v>
      </c>
      <c r="N61" s="7">
        <f>VLOOKUP(B61,[1]characters!$A:$G,7,FALSE)</f>
        <v>0</v>
      </c>
      <c r="O61" s="31">
        <v>10</v>
      </c>
      <c r="P61" s="32">
        <f t="shared" si="26"/>
        <v>1.3888888888888888E-2</v>
      </c>
      <c r="Q61" s="27">
        <v>1</v>
      </c>
      <c r="R61" s="27">
        <v>0</v>
      </c>
      <c r="S61" s="27">
        <v>0</v>
      </c>
      <c r="T61" s="27">
        <v>0</v>
      </c>
      <c r="U61" s="27">
        <v>0</v>
      </c>
      <c r="V61" s="27">
        <v>1</v>
      </c>
    </row>
    <row r="62" spans="1:22" ht="21" customHeight="1" x14ac:dyDescent="0.15">
      <c r="A62" s="2">
        <v>7325010</v>
      </c>
      <c r="B62" s="2">
        <v>1226</v>
      </c>
      <c r="C62" s="7" t="str">
        <f t="shared" ref="C62:C64" si="43">D62&amp;J62&amp;E62&amp;F62&amp;G62</f>
        <v>PremiumSS5R5only</v>
      </c>
      <c r="D62" s="7" t="str">
        <f t="shared" ref="D62:D64" si="44">IF(OR(I62="PremiumSS",I62="PremiumSSw"),"PremiumSS",IF(I62="PremiumSSS",I62,IF(I62="PremiumW",I62,"Premium")))</f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トルストイ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31">
        <v>10</v>
      </c>
      <c r="P62" s="32">
        <f t="shared" si="26"/>
        <v>1.3888888888888888E-2</v>
      </c>
      <c r="Q62" s="27">
        <v>1</v>
      </c>
      <c r="R62" s="27">
        <v>0</v>
      </c>
      <c r="S62" s="27">
        <v>0</v>
      </c>
      <c r="T62" s="27">
        <v>0</v>
      </c>
      <c r="U62" s="27">
        <v>0</v>
      </c>
      <c r="V62" s="27">
        <v>1</v>
      </c>
    </row>
    <row r="63" spans="1:22" ht="21" customHeight="1" x14ac:dyDescent="0.15">
      <c r="A63" s="2">
        <v>7325010</v>
      </c>
      <c r="B63" s="2">
        <v>1228</v>
      </c>
      <c r="C63" s="7" t="str">
        <f t="shared" si="43"/>
        <v>PremiumSS5R5only</v>
      </c>
      <c r="D63" s="7" t="str">
        <f t="shared" si="44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芥川龍之介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31">
        <v>10</v>
      </c>
      <c r="P63" s="32">
        <f t="shared" si="26"/>
        <v>1.3888888888888888E-2</v>
      </c>
      <c r="Q63" s="27">
        <v>1</v>
      </c>
      <c r="R63" s="27">
        <v>0</v>
      </c>
      <c r="S63" s="27">
        <v>0</v>
      </c>
      <c r="T63" s="27">
        <v>0</v>
      </c>
      <c r="U63" s="27">
        <v>0</v>
      </c>
      <c r="V63" s="27">
        <v>1</v>
      </c>
    </row>
    <row r="64" spans="1:22" ht="21" customHeight="1" x14ac:dyDescent="0.15">
      <c r="A64" s="2">
        <v>7325010</v>
      </c>
      <c r="B64" s="2">
        <v>1230</v>
      </c>
      <c r="C64" s="7" t="str">
        <f t="shared" si="43"/>
        <v>PremiumSS5R5only</v>
      </c>
      <c r="D64" s="7" t="str">
        <f t="shared" si="44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夏目漱石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31">
        <v>10</v>
      </c>
      <c r="P64" s="32">
        <f t="shared" si="26"/>
        <v>1.3888888888888888E-2</v>
      </c>
      <c r="Q64" s="27">
        <v>1</v>
      </c>
      <c r="R64" s="27">
        <v>0</v>
      </c>
      <c r="S64" s="27">
        <v>0</v>
      </c>
      <c r="T64" s="27">
        <v>0</v>
      </c>
      <c r="U64" s="27">
        <v>0</v>
      </c>
      <c r="V64" s="27">
        <v>1</v>
      </c>
    </row>
    <row r="65" spans="1:22" ht="21" customHeight="1" x14ac:dyDescent="0.15">
      <c r="A65" s="2">
        <v>7325010</v>
      </c>
      <c r="B65" s="2">
        <v>1244</v>
      </c>
      <c r="C65" s="7" t="str">
        <f t="shared" ref="C65:C67" si="45">D65&amp;J65&amp;E65&amp;F65&amp;G65</f>
        <v>PremiumSS5R5only</v>
      </c>
      <c r="D65" s="7" t="str">
        <f t="shared" ref="D65:D67" si="46">IF(OR(I65="PremiumSS",I65="PremiumSSw"),"PremiumSS",IF(I65="PremiumSSS",I65,IF(I65="PremiumW",I65,"Premium")))</f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猿飛佐助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red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31">
        <v>10</v>
      </c>
      <c r="P65" s="32">
        <f t="shared" si="26"/>
        <v>1.3888888888888888E-2</v>
      </c>
      <c r="Q65" s="27">
        <v>1</v>
      </c>
      <c r="R65" s="27">
        <v>0</v>
      </c>
      <c r="S65" s="27">
        <v>0</v>
      </c>
      <c r="T65" s="27">
        <v>0</v>
      </c>
      <c r="U65" s="27">
        <v>0</v>
      </c>
      <c r="V65" s="27">
        <v>1</v>
      </c>
    </row>
    <row r="66" spans="1:22" ht="21" customHeight="1" x14ac:dyDescent="0.15">
      <c r="A66" s="2">
        <v>7325010</v>
      </c>
      <c r="B66" s="2">
        <v>1246</v>
      </c>
      <c r="C66" s="7" t="str">
        <f t="shared" si="45"/>
        <v>PremiumSS5R5only</v>
      </c>
      <c r="D66" s="7" t="str">
        <f t="shared" si="46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望月千代女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31">
        <v>10</v>
      </c>
      <c r="P66" s="32">
        <f t="shared" ref="P66:P70" si="47">O66/SUM(O:O)</f>
        <v>1.3888888888888888E-2</v>
      </c>
      <c r="Q66" s="27">
        <v>1</v>
      </c>
      <c r="R66" s="27">
        <v>0</v>
      </c>
      <c r="S66" s="27">
        <v>0</v>
      </c>
      <c r="T66" s="27">
        <v>0</v>
      </c>
      <c r="U66" s="27">
        <v>0</v>
      </c>
      <c r="V66" s="27">
        <v>1</v>
      </c>
    </row>
    <row r="67" spans="1:22" ht="21" customHeight="1" x14ac:dyDescent="0.15">
      <c r="A67" s="2">
        <v>7325010</v>
      </c>
      <c r="B67" s="2">
        <v>1250</v>
      </c>
      <c r="C67" s="7" t="str">
        <f t="shared" si="45"/>
        <v>PremiumSS5R5only</v>
      </c>
      <c r="D67" s="7" t="str">
        <f t="shared" si="46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真田幸村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31">
        <v>10</v>
      </c>
      <c r="P67" s="32">
        <f t="shared" si="47"/>
        <v>1.3888888888888888E-2</v>
      </c>
      <c r="Q67" s="27">
        <v>1</v>
      </c>
      <c r="R67" s="27">
        <v>0</v>
      </c>
      <c r="S67" s="27">
        <v>0</v>
      </c>
      <c r="T67" s="27">
        <v>0</v>
      </c>
      <c r="U67" s="27">
        <v>0</v>
      </c>
      <c r="V67" s="27">
        <v>1</v>
      </c>
    </row>
    <row r="68" spans="1:22" ht="21" customHeight="1" x14ac:dyDescent="0.15">
      <c r="A68" s="2">
        <v>7325010</v>
      </c>
      <c r="B68" s="2">
        <v>1260</v>
      </c>
      <c r="C68" s="7" t="str">
        <f t="shared" ref="C68:C70" si="48">D68&amp;J68&amp;E68&amp;F68&amp;G68</f>
        <v>PremiumSS5R5only</v>
      </c>
      <c r="D68" s="7" t="str">
        <f t="shared" ref="D68:D70" si="49">IF(OR(I68="PremiumSS",I68="PremiumSSw"),"PremiumSS",IF(I68="PremiumSSS",I68,IF(I68="PremiumW",I68,"Premium")))</f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トール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god</v>
      </c>
      <c r="N68" s="7">
        <f>VLOOKUP(B68,[1]characters!$A:$G,7,FALSE)</f>
        <v>0</v>
      </c>
      <c r="O68" s="31">
        <v>10</v>
      </c>
      <c r="P68" s="32">
        <f t="shared" si="47"/>
        <v>1.3888888888888888E-2</v>
      </c>
      <c r="Q68" s="27">
        <v>1</v>
      </c>
      <c r="R68" s="27">
        <v>0</v>
      </c>
      <c r="S68" s="27">
        <v>0</v>
      </c>
      <c r="T68" s="27">
        <v>0</v>
      </c>
      <c r="U68" s="27">
        <v>0</v>
      </c>
      <c r="V68" s="27">
        <v>1</v>
      </c>
    </row>
    <row r="69" spans="1:22" ht="21" customHeight="1" x14ac:dyDescent="0.15">
      <c r="A69" s="2">
        <v>7325010</v>
      </c>
      <c r="B69" s="2">
        <v>1262</v>
      </c>
      <c r="C69" s="7" t="str">
        <f t="shared" si="48"/>
        <v>PremiumSS5R5only</v>
      </c>
      <c r="D69" s="7" t="str">
        <f t="shared" si="49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イズン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green</v>
      </c>
      <c r="L69" s="7" t="str">
        <f>VLOOKUP(B69,[1]characters!$A:$K,11,FALSE)</f>
        <v>heal</v>
      </c>
      <c r="M69" s="7" t="str">
        <f>VLOOKUP(B69,[1]characters!$A:$M,13,FALSE)</f>
        <v>god</v>
      </c>
      <c r="N69" s="7">
        <f>VLOOKUP(B69,[1]characters!$A:$G,7,FALSE)</f>
        <v>0</v>
      </c>
      <c r="O69" s="31">
        <v>10</v>
      </c>
      <c r="P69" s="32">
        <f t="shared" si="47"/>
        <v>1.3888888888888888E-2</v>
      </c>
      <c r="Q69" s="27">
        <v>1</v>
      </c>
      <c r="R69" s="27">
        <v>0</v>
      </c>
      <c r="S69" s="27">
        <v>0</v>
      </c>
      <c r="T69" s="27">
        <v>0</v>
      </c>
      <c r="U69" s="27">
        <v>0</v>
      </c>
      <c r="V69" s="27">
        <v>1</v>
      </c>
    </row>
    <row r="70" spans="1:22" ht="21" customHeight="1" x14ac:dyDescent="0.15">
      <c r="A70" s="2">
        <v>7325010</v>
      </c>
      <c r="B70" s="2">
        <v>1264</v>
      </c>
      <c r="C70" s="7" t="str">
        <f t="shared" si="48"/>
        <v>PremiumSS5R5only</v>
      </c>
      <c r="D70" s="7" t="str">
        <f t="shared" si="49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ウルズ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heal</v>
      </c>
      <c r="M70" s="7" t="str">
        <f>VLOOKUP(B70,[1]characters!$A:$M,13,FALSE)</f>
        <v>god</v>
      </c>
      <c r="N70" s="7">
        <f>VLOOKUP(B70,[1]characters!$A:$G,7,FALSE)</f>
        <v>0</v>
      </c>
      <c r="O70" s="31">
        <v>10</v>
      </c>
      <c r="P70" s="32">
        <f t="shared" si="47"/>
        <v>1.3888888888888888E-2</v>
      </c>
      <c r="Q70" s="27">
        <v>1</v>
      </c>
      <c r="R70" s="27">
        <v>0</v>
      </c>
      <c r="S70" s="27">
        <v>0</v>
      </c>
      <c r="T70" s="27">
        <v>0</v>
      </c>
      <c r="U70" s="27">
        <v>0</v>
      </c>
      <c r="V70" s="27">
        <v>1</v>
      </c>
    </row>
    <row r="71" spans="1:22" ht="21" customHeight="1" x14ac:dyDescent="0.15">
      <c r="A71" s="2">
        <v>7325010</v>
      </c>
      <c r="B71" s="49">
        <v>1332</v>
      </c>
      <c r="C71" s="7" t="str">
        <f t="shared" ref="C71:C73" si="50">D71&amp;J71&amp;E71&amp;F71&amp;G71</f>
        <v>PremiumSS5R5only</v>
      </c>
      <c r="D71" s="7" t="str">
        <f t="shared" ref="D71:D73" si="51">IF(OR(I71="PremiumSS",I71="PremiumSSw"),"PremiumSS",IF(I71="PremiumSSS",I71,IF(I71="PremiumW",I71,"Premium")))</f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クシナダヒメ</v>
      </c>
      <c r="I71" s="7" t="str">
        <f>VLOOKUP(B71,[1]characters!$A:$J,10,FALSE)</f>
        <v>PremiumSSw</v>
      </c>
      <c r="J71" s="7">
        <f>VLOOKUP(B71,[1]characters!$A:$I,9,FALSE)</f>
        <v>5</v>
      </c>
      <c r="K71" s="7" t="str">
        <f>VLOOKUP(B71,[1]characters!$A:$H,8,FALSE)</f>
        <v>red</v>
      </c>
      <c r="L71" s="7" t="str">
        <f>VLOOKUP(B71,[1]characters!$A:$K,11,FALSE)</f>
        <v>hp</v>
      </c>
      <c r="M71" s="7" t="str">
        <f>VLOOKUP(B71,[1]characters!$A:$M,13,FALSE)</f>
        <v>god</v>
      </c>
      <c r="N71" s="7">
        <f>VLOOKUP(B71,[1]characters!$A:$G,7,FALSE)</f>
        <v>0</v>
      </c>
      <c r="O71" s="31">
        <v>10</v>
      </c>
      <c r="P71" s="32">
        <f t="shared" ref="P71:P73" si="52">O71/SUM(O:O)</f>
        <v>1.3888888888888888E-2</v>
      </c>
      <c r="Q71" s="27">
        <v>1</v>
      </c>
      <c r="R71" s="27">
        <v>0</v>
      </c>
      <c r="S71" s="27">
        <v>0</v>
      </c>
      <c r="T71" s="27">
        <v>0</v>
      </c>
      <c r="U71" s="27">
        <v>0</v>
      </c>
      <c r="V71" s="27">
        <v>1</v>
      </c>
    </row>
    <row r="72" spans="1:22" ht="21" customHeight="1" x14ac:dyDescent="0.15">
      <c r="A72" s="2">
        <v>7325010</v>
      </c>
      <c r="B72" s="49">
        <v>1336</v>
      </c>
      <c r="C72" s="7" t="str">
        <f t="shared" si="50"/>
        <v>PremiumSS5R5only</v>
      </c>
      <c r="D72" s="7" t="str">
        <f t="shared" si="51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イザナギ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technical</v>
      </c>
      <c r="M72" s="7" t="str">
        <f>VLOOKUP(B72,[1]characters!$A:$M,13,FALSE)</f>
        <v>god</v>
      </c>
      <c r="N72" s="7">
        <f>VLOOKUP(B72,[1]characters!$A:$G,7,FALSE)</f>
        <v>0</v>
      </c>
      <c r="O72" s="31">
        <v>10</v>
      </c>
      <c r="P72" s="32">
        <f t="shared" si="52"/>
        <v>1.3888888888888888E-2</v>
      </c>
      <c r="Q72" s="27">
        <v>1</v>
      </c>
      <c r="R72" s="27">
        <v>0</v>
      </c>
      <c r="S72" s="27">
        <v>0</v>
      </c>
      <c r="T72" s="27">
        <v>0</v>
      </c>
      <c r="U72" s="27">
        <v>0</v>
      </c>
      <c r="V72" s="27">
        <v>1</v>
      </c>
    </row>
    <row r="73" spans="1:22" ht="21" customHeight="1" x14ac:dyDescent="0.15">
      <c r="A73" s="2">
        <v>7325010</v>
      </c>
      <c r="B73" s="49">
        <v>1338</v>
      </c>
      <c r="C73" s="7" t="str">
        <f t="shared" si="50"/>
        <v>PremiumSS5R5only</v>
      </c>
      <c r="D73" s="7" t="str">
        <f t="shared" si="51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アメノウズメ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attack</v>
      </c>
      <c r="M73" s="7" t="str">
        <f>VLOOKUP(B73,[1]characters!$A:$M,13,FALSE)</f>
        <v>god</v>
      </c>
      <c r="N73" s="7">
        <f>VLOOKUP(B73,[1]characters!$A:$G,7,FALSE)</f>
        <v>0</v>
      </c>
      <c r="O73" s="31">
        <v>10</v>
      </c>
      <c r="P73" s="32">
        <f t="shared" si="52"/>
        <v>1.3888888888888888E-2</v>
      </c>
      <c r="Q73" s="27">
        <v>1</v>
      </c>
      <c r="R73" s="27">
        <v>0</v>
      </c>
      <c r="S73" s="27">
        <v>0</v>
      </c>
      <c r="T73" s="27">
        <v>0</v>
      </c>
      <c r="U73" s="27">
        <v>0</v>
      </c>
      <c r="V73" s="27">
        <v>1</v>
      </c>
    </row>
    <row r="74" spans="1:22" ht="21" customHeight="1" x14ac:dyDescent="0.15">
      <c r="K74" s="1"/>
    </row>
    <row r="75" spans="1:22" ht="21" customHeight="1" x14ac:dyDescent="0.15">
      <c r="K75" s="1"/>
    </row>
    <row r="76" spans="1:22" ht="21" customHeight="1" x14ac:dyDescent="0.15">
      <c r="K76" s="1"/>
    </row>
    <row r="77" spans="1:22" ht="21" customHeight="1" x14ac:dyDescent="0.15">
      <c r="K77" s="1"/>
    </row>
    <row r="78" spans="1:22" ht="21" customHeight="1" x14ac:dyDescent="0.15">
      <c r="K78" s="1"/>
    </row>
    <row r="79" spans="1:22" ht="21" customHeight="1" x14ac:dyDescent="0.15">
      <c r="K79" s="1"/>
    </row>
    <row r="80" spans="1:22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  <row r="279" spans="11:11" ht="21" customHeight="1" x14ac:dyDescent="0.15">
      <c r="K279" s="1"/>
    </row>
    <row r="280" spans="11:11" ht="21" customHeight="1" x14ac:dyDescent="0.15">
      <c r="K280" s="1"/>
    </row>
  </sheetData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23</v>
      </c>
      <c r="B1" s="3" t="s">
        <v>24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6">
        <v>668</v>
      </c>
      <c r="B246" s="7" t="str">
        <f>VLOOKUP(A246,[1]characters!$A:$C,3,FALSE)</f>
        <v>アグニ</v>
      </c>
    </row>
    <row r="247" spans="1:2" x14ac:dyDescent="0.15">
      <c r="A247" s="36">
        <v>669</v>
      </c>
      <c r="B247" s="7" t="str">
        <f>VLOOKUP(A247,[1]characters!$A:$C,3,FALSE)</f>
        <v>天地の仲界 アグニ</v>
      </c>
    </row>
    <row r="248" spans="1:2" x14ac:dyDescent="0.15">
      <c r="A248" s="36">
        <v>670</v>
      </c>
      <c r="B248" s="7" t="str">
        <f>VLOOKUP(A248,[1]characters!$A:$C,3,FALSE)</f>
        <v>陽天の噴煙 アグニ</v>
      </c>
    </row>
    <row r="249" spans="1:2" x14ac:dyDescent="0.15">
      <c r="A249" s="36">
        <v>671</v>
      </c>
      <c r="B249" s="7" t="str">
        <f>VLOOKUP(A249,[1]characters!$A:$C,3,FALSE)</f>
        <v>ハヌマーン</v>
      </c>
    </row>
    <row r="250" spans="1:2" x14ac:dyDescent="0.15">
      <c r="A250" s="36">
        <v>672</v>
      </c>
      <c r="B250" s="7" t="str">
        <f>VLOOKUP(A250,[1]characters!$A:$C,3,FALSE)</f>
        <v>西遊韋駄天 ハヌマーン</v>
      </c>
    </row>
    <row r="251" spans="1:2" x14ac:dyDescent="0.15">
      <c r="A251" s="36">
        <v>673</v>
      </c>
      <c r="B251" s="7" t="str">
        <f>VLOOKUP(A251,[1]characters!$A:$C,3,FALSE)</f>
        <v>変幻自在の猿王 ハヌマーン</v>
      </c>
    </row>
    <row r="252" spans="1:2" x14ac:dyDescent="0.15">
      <c r="A252" s="36">
        <v>674</v>
      </c>
      <c r="B252" s="7" t="str">
        <f>VLOOKUP(A252,[1]characters!$A:$C,3,FALSE)</f>
        <v>サラスヴァティ</v>
      </c>
    </row>
    <row r="253" spans="1:2" x14ac:dyDescent="0.15">
      <c r="A253" s="36">
        <v>675</v>
      </c>
      <c r="B253" s="7" t="str">
        <f>VLOOKUP(A253,[1]characters!$A:$C,3,FALSE)</f>
        <v>芸楽の奔流 サラスヴァティ</v>
      </c>
    </row>
    <row r="254" spans="1:2" x14ac:dyDescent="0.15">
      <c r="A254" s="36">
        <v>676</v>
      </c>
      <c r="B254" s="7" t="str">
        <f>VLOOKUP(A254,[1]characters!$A:$C,3,FALSE)</f>
        <v>ヴィシュヌ</v>
      </c>
    </row>
    <row r="255" spans="1:2" x14ac:dyDescent="0.15">
      <c r="A255" s="36">
        <v>677</v>
      </c>
      <c r="B255" s="7" t="str">
        <f>VLOOKUP(A255,[1]characters!$A:$C,3,FALSE)</f>
        <v>武遊闊歩 ヴィシュヌ</v>
      </c>
    </row>
    <row r="256" spans="1:2" x14ac:dyDescent="0.15">
      <c r="A256" s="36">
        <v>770</v>
      </c>
      <c r="B256" s="7" t="str">
        <f>VLOOKUP(A256,[1]characters!$A:$C,3,FALSE)</f>
        <v>ハヅル</v>
      </c>
    </row>
    <row r="257" spans="1:2" x14ac:dyDescent="0.15">
      <c r="A257" s="36">
        <v>771</v>
      </c>
      <c r="B257" s="7" t="str">
        <f>VLOOKUP(A257,[1]characters!$A:$C,3,FALSE)</f>
        <v>天織羽鶴 ハヅル</v>
      </c>
    </row>
    <row r="258" spans="1:2" x14ac:dyDescent="0.15">
      <c r="A258" s="36">
        <v>772</v>
      </c>
      <c r="B258" s="7" t="str">
        <f>VLOOKUP(A258,[1]characters!$A:$C,3,FALSE)</f>
        <v>イナバ</v>
      </c>
    </row>
    <row r="259" spans="1:2" x14ac:dyDescent="0.15">
      <c r="A259" s="36">
        <v>773</v>
      </c>
      <c r="B259" s="7" t="str">
        <f>VLOOKUP(A259,[1]characters!$A:$C,3,FALSE)</f>
        <v>浮跳天兎 イナバ</v>
      </c>
    </row>
    <row r="260" spans="1:2" x14ac:dyDescent="0.15">
      <c r="A260" s="36">
        <v>774</v>
      </c>
      <c r="B260" s="7" t="str">
        <f>VLOOKUP(A260,[1]characters!$A:$C,3,FALSE)</f>
        <v>ミズチ</v>
      </c>
    </row>
    <row r="261" spans="1:2" x14ac:dyDescent="0.15">
      <c r="A261" s="36">
        <v>775</v>
      </c>
      <c r="B261" s="7" t="str">
        <f>VLOOKUP(A261,[1]characters!$A:$C,3,FALSE)</f>
        <v>水底霊竜 ミズチ</v>
      </c>
    </row>
    <row r="262" spans="1:2" x14ac:dyDescent="0.15">
      <c r="A262" s="36">
        <v>776</v>
      </c>
      <c r="B262" s="7" t="str">
        <f>VLOOKUP(A262,[1]characters!$A:$C,3,FALSE)</f>
        <v>水竜底主 ミズチ</v>
      </c>
    </row>
    <row r="263" spans="1:2" x14ac:dyDescent="0.15">
      <c r="A263" s="36">
        <v>777</v>
      </c>
      <c r="B263" s="7" t="str">
        <f>VLOOKUP(A263,[1]characters!$A:$C,3,FALSE)</f>
        <v>ガメック</v>
      </c>
    </row>
    <row r="264" spans="1:2" x14ac:dyDescent="0.15">
      <c r="A264" s="36">
        <v>778</v>
      </c>
      <c r="B264" s="7" t="str">
        <f>VLOOKUP(A264,[1]characters!$A:$C,3,FALSE)</f>
        <v>一亀懸明 ガメック</v>
      </c>
    </row>
    <row r="265" spans="1:2" x14ac:dyDescent="0.15">
      <c r="A265" s="36">
        <v>779</v>
      </c>
      <c r="B265" s="7" t="str">
        <f>VLOOKUP(A265,[1]characters!$A:$C,3,FALSE)</f>
        <v>頑堅咬亀 ガメック</v>
      </c>
    </row>
    <row r="266" spans="1:2" x14ac:dyDescent="0.15">
      <c r="A266" s="36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0" t="s">
        <v>39</v>
      </c>
      <c r="B1" s="30"/>
    </row>
    <row r="2" spans="1:2" x14ac:dyDescent="0.15">
      <c r="A2" s="28" t="s">
        <v>1</v>
      </c>
      <c r="B2" s="29" t="s">
        <v>41</v>
      </c>
    </row>
    <row r="3" spans="1:2" x14ac:dyDescent="0.15">
      <c r="A3" s="6">
        <v>166</v>
      </c>
      <c r="B3" s="29" t="str">
        <f>VLOOKUP(A3,[1]characters!$A:$C,3,FALSE)</f>
        <v>ベリアル</v>
      </c>
    </row>
    <row r="4" spans="1:2" x14ac:dyDescent="0.15">
      <c r="A4" s="6">
        <v>167</v>
      </c>
      <c r="B4" s="29" t="str">
        <f>VLOOKUP(A4,[1]characters!$A:$C,3,FALSE)</f>
        <v>逆徒 ベリアル</v>
      </c>
    </row>
    <row r="5" spans="1:2" x14ac:dyDescent="0.15">
      <c r="A5" s="6">
        <v>168</v>
      </c>
      <c r="B5" s="29" t="str">
        <f>VLOOKUP(A5,[1]characters!$A:$C,3,FALSE)</f>
        <v>猛進の大逆者 ベリアル</v>
      </c>
    </row>
    <row r="6" spans="1:2" x14ac:dyDescent="0.15">
      <c r="A6" s="28">
        <v>169</v>
      </c>
      <c r="B6" s="29" t="str">
        <f>VLOOKUP(A6,[1]characters!$A:$C,3,FALSE)</f>
        <v>オセ</v>
      </c>
    </row>
    <row r="7" spans="1:2" x14ac:dyDescent="0.15">
      <c r="A7" s="28">
        <v>170</v>
      </c>
      <c r="B7" s="29" t="str">
        <f>VLOOKUP(A7,[1]characters!$A:$C,3,FALSE)</f>
        <v>識徒 オセ</v>
      </c>
    </row>
    <row r="8" spans="1:2" x14ac:dyDescent="0.15">
      <c r="A8" s="28">
        <v>171</v>
      </c>
      <c r="B8" s="29" t="str">
        <f>VLOOKUP(A8,[1]characters!$A:$C,3,FALSE)</f>
        <v>精解の預知者 オセ</v>
      </c>
    </row>
    <row r="9" spans="1:2" x14ac:dyDescent="0.15">
      <c r="A9" s="28">
        <v>172</v>
      </c>
      <c r="B9" s="29" t="str">
        <f>VLOOKUP(A9,[1]characters!$A:$C,3,FALSE)</f>
        <v>フォルネウス</v>
      </c>
    </row>
    <row r="10" spans="1:2" x14ac:dyDescent="0.15">
      <c r="A10" s="28">
        <v>173</v>
      </c>
      <c r="B10" s="29" t="str">
        <f>VLOOKUP(A10,[1]characters!$A:$C,3,FALSE)</f>
        <v>公爵 フォルネウス</v>
      </c>
    </row>
    <row r="11" spans="1:2" x14ac:dyDescent="0.15">
      <c r="A11" s="28">
        <v>174</v>
      </c>
      <c r="B11" s="29" t="str">
        <f>VLOOKUP(A11,[1]characters!$A:$C,3,FALSE)</f>
        <v>偽愛の大公爵 フォルネウス</v>
      </c>
    </row>
    <row r="12" spans="1:2" x14ac:dyDescent="0.15">
      <c r="A12" s="28">
        <v>235</v>
      </c>
      <c r="B12" s="29" t="str">
        <f>VLOOKUP(A12,[1]characters!$A:$C,3,FALSE)</f>
        <v>イザナミ</v>
      </c>
    </row>
    <row r="13" spans="1:2" x14ac:dyDescent="0.15">
      <c r="A13" s="28">
        <v>236</v>
      </c>
      <c r="B13" s="29" t="str">
        <f>VLOOKUP(A13,[1]characters!$A:$C,3,FALSE)</f>
        <v>神産 イザナミ</v>
      </c>
    </row>
    <row r="14" spans="1:2" x14ac:dyDescent="0.15">
      <c r="A14" s="28">
        <v>237</v>
      </c>
      <c r="B14" s="29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確率の考え方</vt:lpstr>
      <vt:lpstr>Sheet1</vt:lpstr>
      <vt:lpstr>output</vt:lpstr>
      <vt:lpstr>tables_7325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2017-04-26T13:42:41Z</dcterms:modified>
</cp:coreProperties>
</file>