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6"/>
  </bookViews>
  <sheets>
    <sheet name="output" sheetId="103" r:id="rId1"/>
    <sheet name="gacha_179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gacha_179_base!$A$42:$B$68</definedName>
    <definedName name="_xlnm._FilterDatabase" localSheetId="4" hidden="1">gacha_bonus_tables!$B$1:$G$1</definedName>
    <definedName name="_xlnm._FilterDatabase" localSheetId="2" hidden="1">gacha_select_tables!$A$1:$S$394</definedName>
    <definedName name="_xlnm._FilterDatabase" localSheetId="3" hidden="1">gacha_settle_tables!$A$1:$R$60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2" i="96" l="1"/>
  <c r="Q2" i="96"/>
  <c r="P2" i="96"/>
  <c r="O2" i="96"/>
  <c r="N2" i="96"/>
  <c r="M2" i="96"/>
  <c r="K2" i="96"/>
  <c r="J2" i="96"/>
  <c r="I2" i="96"/>
  <c r="H2" i="96"/>
  <c r="G2" i="96"/>
  <c r="F2" i="96"/>
  <c r="C2" i="96"/>
  <c r="H389" i="82"/>
  <c r="I389" i="82"/>
  <c r="D389" i="82"/>
  <c r="M389" i="82"/>
  <c r="H390" i="82"/>
  <c r="I390" i="82"/>
  <c r="D390" i="82"/>
  <c r="M390" i="82"/>
  <c r="H391" i="82"/>
  <c r="I391" i="82"/>
  <c r="D391" i="82"/>
  <c r="M391" i="82"/>
  <c r="H392" i="82"/>
  <c r="I392" i="82"/>
  <c r="D392" i="82"/>
  <c r="M392" i="82"/>
  <c r="H225" i="82"/>
  <c r="I225" i="82"/>
  <c r="D225" i="82"/>
  <c r="M225" i="82"/>
  <c r="H226" i="82"/>
  <c r="I226" i="82"/>
  <c r="D226" i="82"/>
  <c r="M226" i="82"/>
  <c r="H227" i="82"/>
  <c r="I227" i="82"/>
  <c r="D227" i="82"/>
  <c r="M227" i="82"/>
  <c r="H228" i="82"/>
  <c r="I228" i="82"/>
  <c r="D228" i="82"/>
  <c r="M228" i="82"/>
  <c r="A34" i="94"/>
  <c r="A35" i="94"/>
  <c r="A14" i="94"/>
  <c r="A13" i="94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2" i="82"/>
  <c r="H394" i="82"/>
  <c r="I394" i="82"/>
  <c r="D394" i="82"/>
  <c r="H393" i="82"/>
  <c r="I393" i="82"/>
  <c r="D393" i="82"/>
  <c r="H232" i="82"/>
  <c r="I232" i="82"/>
  <c r="D232" i="82"/>
  <c r="H231" i="82"/>
  <c r="I231" i="82"/>
  <c r="D231" i="82"/>
  <c r="H230" i="82"/>
  <c r="I230" i="82"/>
  <c r="D230" i="82"/>
  <c r="H229" i="82"/>
  <c r="I229" i="82"/>
  <c r="D229" i="82"/>
  <c r="S229" i="82"/>
  <c r="R229" i="82"/>
  <c r="Q229" i="82"/>
  <c r="P229" i="82"/>
  <c r="O229" i="82"/>
  <c r="N229" i="82"/>
  <c r="A11" i="94"/>
  <c r="A12" i="94"/>
  <c r="L229" i="82"/>
  <c r="K229" i="82"/>
  <c r="J229" i="82"/>
  <c r="G229" i="82"/>
  <c r="C229" i="82"/>
  <c r="A229" i="82"/>
  <c r="S231" i="82"/>
  <c r="R231" i="82"/>
  <c r="Q231" i="82"/>
  <c r="P231" i="82"/>
  <c r="O231" i="82"/>
  <c r="N231" i="82"/>
  <c r="L231" i="82"/>
  <c r="K231" i="82"/>
  <c r="J231" i="82"/>
  <c r="G231" i="82"/>
  <c r="C231" i="82"/>
  <c r="A231" i="82"/>
  <c r="H233" i="82"/>
  <c r="I233" i="82"/>
  <c r="D233" i="82"/>
  <c r="S232" i="82"/>
  <c r="R232" i="82"/>
  <c r="Q232" i="82"/>
  <c r="P232" i="82"/>
  <c r="O232" i="82"/>
  <c r="N232" i="82"/>
  <c r="L232" i="82"/>
  <c r="K232" i="82"/>
  <c r="J232" i="82"/>
  <c r="G232" i="82"/>
  <c r="C232" i="82"/>
  <c r="A232" i="82"/>
  <c r="S230" i="82"/>
  <c r="R230" i="82"/>
  <c r="Q230" i="82"/>
  <c r="P230" i="82"/>
  <c r="O230" i="82"/>
  <c r="N230" i="82"/>
  <c r="L230" i="82"/>
  <c r="K230" i="82"/>
  <c r="J230" i="82"/>
  <c r="G230" i="82"/>
  <c r="C230" i="82"/>
  <c r="A230" i="82"/>
  <c r="S228" i="82"/>
  <c r="R228" i="82"/>
  <c r="Q228" i="82"/>
  <c r="P228" i="82"/>
  <c r="O228" i="82"/>
  <c r="N228" i="82"/>
  <c r="A32" i="94"/>
  <c r="L228" i="82"/>
  <c r="K228" i="82"/>
  <c r="J228" i="82"/>
  <c r="G228" i="82"/>
  <c r="C228" i="82"/>
  <c r="A228" i="82"/>
  <c r="S227" i="82"/>
  <c r="R227" i="82"/>
  <c r="Q227" i="82"/>
  <c r="P227" i="82"/>
  <c r="O227" i="82"/>
  <c r="N227" i="82"/>
  <c r="L227" i="82"/>
  <c r="K227" i="82"/>
  <c r="J227" i="82"/>
  <c r="G227" i="82"/>
  <c r="C227" i="82"/>
  <c r="A227" i="82"/>
  <c r="S226" i="82"/>
  <c r="R226" i="82"/>
  <c r="Q226" i="82"/>
  <c r="P226" i="82"/>
  <c r="O226" i="82"/>
  <c r="N226" i="82"/>
  <c r="L226" i="82"/>
  <c r="K226" i="82"/>
  <c r="J226" i="82"/>
  <c r="G226" i="82"/>
  <c r="C226" i="82"/>
  <c r="A226" i="82"/>
  <c r="S225" i="82"/>
  <c r="R225" i="82"/>
  <c r="Q225" i="82"/>
  <c r="P225" i="82"/>
  <c r="O225" i="82"/>
  <c r="N225" i="82"/>
  <c r="L225" i="82"/>
  <c r="K225" i="82"/>
  <c r="J225" i="82"/>
  <c r="G225" i="82"/>
  <c r="C225" i="82"/>
  <c r="A225" i="82"/>
  <c r="B2" i="104"/>
  <c r="B3" i="104"/>
  <c r="B4" i="104"/>
  <c r="B5" i="104"/>
  <c r="B6" i="104"/>
  <c r="B7" i="104"/>
  <c r="B8" i="104"/>
  <c r="B9" i="104"/>
  <c r="S394" i="82"/>
  <c r="R394" i="82"/>
  <c r="Q394" i="82"/>
  <c r="P394" i="82"/>
  <c r="O394" i="82"/>
  <c r="N394" i="82"/>
  <c r="L394" i="82"/>
  <c r="K394" i="82"/>
  <c r="J394" i="82"/>
  <c r="G394" i="82"/>
  <c r="C394" i="82"/>
  <c r="A394" i="82"/>
  <c r="A393" i="82"/>
  <c r="C393" i="82"/>
  <c r="G393" i="82"/>
  <c r="J393" i="82"/>
  <c r="K393" i="82"/>
  <c r="L393" i="82"/>
  <c r="N393" i="82"/>
  <c r="O393" i="82"/>
  <c r="P393" i="82"/>
  <c r="Q393" i="82"/>
  <c r="R393" i="82"/>
  <c r="S393" i="82"/>
  <c r="A391" i="82"/>
  <c r="C391" i="82"/>
  <c r="A392" i="82"/>
  <c r="C392" i="82"/>
  <c r="G391" i="82"/>
  <c r="J391" i="82"/>
  <c r="K391" i="82"/>
  <c r="L391" i="82"/>
  <c r="N391" i="82"/>
  <c r="O391" i="82"/>
  <c r="P391" i="82"/>
  <c r="Q391" i="82"/>
  <c r="R391" i="82"/>
  <c r="S391" i="82"/>
  <c r="G392" i="82"/>
  <c r="J392" i="82"/>
  <c r="K392" i="82"/>
  <c r="L392" i="82"/>
  <c r="N392" i="82"/>
  <c r="O392" i="82"/>
  <c r="P392" i="82"/>
  <c r="Q392" i="82"/>
  <c r="R392" i="82"/>
  <c r="S392" i="82"/>
  <c r="H3" i="82"/>
  <c r="I3" i="82"/>
  <c r="D3" i="82"/>
  <c r="A3" i="94"/>
  <c r="A4" i="94"/>
  <c r="A5" i="94"/>
  <c r="A6" i="94"/>
  <c r="A7" i="94"/>
  <c r="A8" i="94"/>
  <c r="A9" i="94"/>
  <c r="A10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3" i="94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H22" i="82"/>
  <c r="I22" i="82"/>
  <c r="D22" i="82"/>
  <c r="M22" i="82"/>
  <c r="H23" i="82"/>
  <c r="I23" i="82"/>
  <c r="D23" i="82"/>
  <c r="M23" i="82"/>
  <c r="H24" i="82"/>
  <c r="I24" i="82"/>
  <c r="D24" i="82"/>
  <c r="M24" i="82"/>
  <c r="H25" i="82"/>
  <c r="I25" i="82"/>
  <c r="D25" i="82"/>
  <c r="M25" i="82"/>
  <c r="H26" i="82"/>
  <c r="I26" i="82"/>
  <c r="D26" i="82"/>
  <c r="M26" i="82"/>
  <c r="H27" i="82"/>
  <c r="I27" i="82"/>
  <c r="D27" i="82"/>
  <c r="M27" i="82"/>
  <c r="H28" i="82"/>
  <c r="I28" i="82"/>
  <c r="D28" i="82"/>
  <c r="M28" i="82"/>
  <c r="H29" i="82"/>
  <c r="I29" i="82"/>
  <c r="D29" i="82"/>
  <c r="M29" i="82"/>
  <c r="H30" i="82"/>
  <c r="I30" i="82"/>
  <c r="D30" i="82"/>
  <c r="M30" i="82"/>
  <c r="H31" i="82"/>
  <c r="I31" i="82"/>
  <c r="D31" i="82"/>
  <c r="M31" i="82"/>
  <c r="H32" i="82"/>
  <c r="I32" i="82"/>
  <c r="D32" i="82"/>
  <c r="M32" i="82"/>
  <c r="H33" i="82"/>
  <c r="I33" i="82"/>
  <c r="D33" i="82"/>
  <c r="M33" i="82"/>
  <c r="H34" i="82"/>
  <c r="I34" i="82"/>
  <c r="D34" i="82"/>
  <c r="M34" i="82"/>
  <c r="H35" i="82"/>
  <c r="I35" i="82"/>
  <c r="D35" i="82"/>
  <c r="M35" i="82"/>
  <c r="H36" i="82"/>
  <c r="I36" i="82"/>
  <c r="D36" i="82"/>
  <c r="M36" i="82"/>
  <c r="H37" i="82"/>
  <c r="I37" i="82"/>
  <c r="D37" i="82"/>
  <c r="M37" i="82"/>
  <c r="H38" i="82"/>
  <c r="I38" i="82"/>
  <c r="D38" i="82"/>
  <c r="M38" i="82"/>
  <c r="H39" i="82"/>
  <c r="I39" i="82"/>
  <c r="D39" i="82"/>
  <c r="M39" i="82"/>
  <c r="H40" i="82"/>
  <c r="I40" i="82"/>
  <c r="D40" i="82"/>
  <c r="M40" i="82"/>
  <c r="H41" i="82"/>
  <c r="I41" i="82"/>
  <c r="D41" i="82"/>
  <c r="M41" i="82"/>
  <c r="H42" i="82"/>
  <c r="I42" i="82"/>
  <c r="D42" i="82"/>
  <c r="M42" i="82"/>
  <c r="H43" i="82"/>
  <c r="I43" i="82"/>
  <c r="D43" i="82"/>
  <c r="M43" i="82"/>
  <c r="H44" i="82"/>
  <c r="I44" i="82"/>
  <c r="D44" i="82"/>
  <c r="M44" i="82"/>
  <c r="H45" i="82"/>
  <c r="I45" i="82"/>
  <c r="D45" i="82"/>
  <c r="M45" i="82"/>
  <c r="H46" i="82"/>
  <c r="I46" i="82"/>
  <c r="D46" i="82"/>
  <c r="M46" i="82"/>
  <c r="H47" i="82"/>
  <c r="I47" i="82"/>
  <c r="D47" i="82"/>
  <c r="M47" i="82"/>
  <c r="H48" i="82"/>
  <c r="I48" i="82"/>
  <c r="D48" i="82"/>
  <c r="M48" i="82"/>
  <c r="H49" i="82"/>
  <c r="I49" i="82"/>
  <c r="D49" i="82"/>
  <c r="M49" i="82"/>
  <c r="H50" i="82"/>
  <c r="I50" i="82"/>
  <c r="D50" i="82"/>
  <c r="M50" i="82"/>
  <c r="H51" i="82"/>
  <c r="I51" i="82"/>
  <c r="D51" i="82"/>
  <c r="M51" i="82"/>
  <c r="H52" i="82"/>
  <c r="I52" i="82"/>
  <c r="D52" i="82"/>
  <c r="M52" i="82"/>
  <c r="H53" i="82"/>
  <c r="I53" i="82"/>
  <c r="D53" i="82"/>
  <c r="M53" i="82"/>
  <c r="H54" i="82"/>
  <c r="I54" i="82"/>
  <c r="D54" i="82"/>
  <c r="M54" i="82"/>
  <c r="H55" i="82"/>
  <c r="I55" i="82"/>
  <c r="D55" i="82"/>
  <c r="M55" i="82"/>
  <c r="H56" i="82"/>
  <c r="I56" i="82"/>
  <c r="D56" i="82"/>
  <c r="M56" i="82"/>
  <c r="H57" i="82"/>
  <c r="I57" i="82"/>
  <c r="D57" i="82"/>
  <c r="M57" i="82"/>
  <c r="H58" i="82"/>
  <c r="I58" i="82"/>
  <c r="D58" i="82"/>
  <c r="M58" i="82"/>
  <c r="H59" i="82"/>
  <c r="I59" i="82"/>
  <c r="D59" i="82"/>
  <c r="M59" i="82"/>
  <c r="H60" i="82"/>
  <c r="I60" i="82"/>
  <c r="D60" i="82"/>
  <c r="M60" i="82"/>
  <c r="H61" i="82"/>
  <c r="I61" i="82"/>
  <c r="D61" i="82"/>
  <c r="M61" i="82"/>
  <c r="H62" i="82"/>
  <c r="I62" i="82"/>
  <c r="D62" i="82"/>
  <c r="M62" i="82"/>
  <c r="H63" i="82"/>
  <c r="I63" i="82"/>
  <c r="D63" i="82"/>
  <c r="M63" i="82"/>
  <c r="H64" i="82"/>
  <c r="I64" i="82"/>
  <c r="D64" i="82"/>
  <c r="M64" i="82"/>
  <c r="H65" i="82"/>
  <c r="I65" i="82"/>
  <c r="D65" i="82"/>
  <c r="M65" i="82"/>
  <c r="H66" i="82"/>
  <c r="I66" i="82"/>
  <c r="D66" i="82"/>
  <c r="M66" i="82"/>
  <c r="H67" i="82"/>
  <c r="I67" i="82"/>
  <c r="D67" i="82"/>
  <c r="M67" i="82"/>
  <c r="H68" i="82"/>
  <c r="I68" i="82"/>
  <c r="D68" i="82"/>
  <c r="M68" i="82"/>
  <c r="H69" i="82"/>
  <c r="I69" i="82"/>
  <c r="D69" i="82"/>
  <c r="M69" i="82"/>
  <c r="H70" i="82"/>
  <c r="I70" i="82"/>
  <c r="D70" i="82"/>
  <c r="M70" i="82"/>
  <c r="H71" i="82"/>
  <c r="I71" i="82"/>
  <c r="D71" i="82"/>
  <c r="M71" i="82"/>
  <c r="H72" i="82"/>
  <c r="I72" i="82"/>
  <c r="D72" i="82"/>
  <c r="M72" i="82"/>
  <c r="H73" i="82"/>
  <c r="I73" i="82"/>
  <c r="D73" i="82"/>
  <c r="M73" i="82"/>
  <c r="H74" i="82"/>
  <c r="I74" i="82"/>
  <c r="D74" i="82"/>
  <c r="M74" i="82"/>
  <c r="H75" i="82"/>
  <c r="I75" i="82"/>
  <c r="D75" i="82"/>
  <c r="M75" i="82"/>
  <c r="H76" i="82"/>
  <c r="I76" i="82"/>
  <c r="D76" i="82"/>
  <c r="M76" i="82"/>
  <c r="H77" i="82"/>
  <c r="I77" i="82"/>
  <c r="D77" i="82"/>
  <c r="M77" i="82"/>
  <c r="H78" i="82"/>
  <c r="I78" i="82"/>
  <c r="D78" i="82"/>
  <c r="M78" i="82"/>
  <c r="H79" i="82"/>
  <c r="I79" i="82"/>
  <c r="D79" i="82"/>
  <c r="M79" i="82"/>
  <c r="H80" i="82"/>
  <c r="I80" i="82"/>
  <c r="D80" i="82"/>
  <c r="M80" i="82"/>
  <c r="H81" i="82"/>
  <c r="I81" i="82"/>
  <c r="D81" i="82"/>
  <c r="M81" i="82"/>
  <c r="H82" i="82"/>
  <c r="I82" i="82"/>
  <c r="D82" i="82"/>
  <c r="M82" i="82"/>
  <c r="H83" i="82"/>
  <c r="I83" i="82"/>
  <c r="D83" i="82"/>
  <c r="M83" i="82"/>
  <c r="H84" i="82"/>
  <c r="I84" i="82"/>
  <c r="D84" i="82"/>
  <c r="M84" i="82"/>
  <c r="H85" i="82"/>
  <c r="I85" i="82"/>
  <c r="D85" i="82"/>
  <c r="M85" i="82"/>
  <c r="H86" i="82"/>
  <c r="I86" i="82"/>
  <c r="D86" i="82"/>
  <c r="M86" i="82"/>
  <c r="H87" i="82"/>
  <c r="I87" i="82"/>
  <c r="D87" i="82"/>
  <c r="M87" i="82"/>
  <c r="H88" i="82"/>
  <c r="I88" i="82"/>
  <c r="D88" i="82"/>
  <c r="M88" i="82"/>
  <c r="H89" i="82"/>
  <c r="I89" i="82"/>
  <c r="D89" i="82"/>
  <c r="M89" i="82"/>
  <c r="H90" i="82"/>
  <c r="I90" i="82"/>
  <c r="D90" i="82"/>
  <c r="M90" i="82"/>
  <c r="H91" i="82"/>
  <c r="I91" i="82"/>
  <c r="D91" i="82"/>
  <c r="M91" i="82"/>
  <c r="H92" i="82"/>
  <c r="I92" i="82"/>
  <c r="D92" i="82"/>
  <c r="M92" i="82"/>
  <c r="H93" i="82"/>
  <c r="I93" i="82"/>
  <c r="D93" i="82"/>
  <c r="M93" i="82"/>
  <c r="H94" i="82"/>
  <c r="I94" i="82"/>
  <c r="D94" i="82"/>
  <c r="M94" i="82"/>
  <c r="H95" i="82"/>
  <c r="I95" i="82"/>
  <c r="D95" i="82"/>
  <c r="M95" i="82"/>
  <c r="H96" i="82"/>
  <c r="I96" i="82"/>
  <c r="D96" i="82"/>
  <c r="M96" i="82"/>
  <c r="H97" i="82"/>
  <c r="I97" i="82"/>
  <c r="D97" i="82"/>
  <c r="M97" i="82"/>
  <c r="H98" i="82"/>
  <c r="I98" i="82"/>
  <c r="D98" i="82"/>
  <c r="M98" i="82"/>
  <c r="H99" i="82"/>
  <c r="I99" i="82"/>
  <c r="D99" i="82"/>
  <c r="M99" i="82"/>
  <c r="H100" i="82"/>
  <c r="I100" i="82"/>
  <c r="D100" i="82"/>
  <c r="M100" i="82"/>
  <c r="H101" i="82"/>
  <c r="I101" i="82"/>
  <c r="D101" i="82"/>
  <c r="M101" i="82"/>
  <c r="H102" i="82"/>
  <c r="I102" i="82"/>
  <c r="D102" i="82"/>
  <c r="M102" i="82"/>
  <c r="H103" i="82"/>
  <c r="I103" i="82"/>
  <c r="D103" i="82"/>
  <c r="M103" i="82"/>
  <c r="H104" i="82"/>
  <c r="I104" i="82"/>
  <c r="D104" i="82"/>
  <c r="M104" i="82"/>
  <c r="H105" i="82"/>
  <c r="I105" i="82"/>
  <c r="D105" i="82"/>
  <c r="M105" i="82"/>
  <c r="H106" i="82"/>
  <c r="I106" i="82"/>
  <c r="D106" i="82"/>
  <c r="M106" i="82"/>
  <c r="H107" i="82"/>
  <c r="I107" i="82"/>
  <c r="D107" i="82"/>
  <c r="M107" i="82"/>
  <c r="H108" i="82"/>
  <c r="I108" i="82"/>
  <c r="D108" i="82"/>
  <c r="M108" i="82"/>
  <c r="H109" i="82"/>
  <c r="I109" i="82"/>
  <c r="D109" i="82"/>
  <c r="M109" i="82"/>
  <c r="H110" i="82"/>
  <c r="I110" i="82"/>
  <c r="D110" i="82"/>
  <c r="M110" i="82"/>
  <c r="H111" i="82"/>
  <c r="I111" i="82"/>
  <c r="D111" i="82"/>
  <c r="M111" i="82"/>
  <c r="H112" i="82"/>
  <c r="I112" i="82"/>
  <c r="D112" i="82"/>
  <c r="M112" i="82"/>
  <c r="H113" i="82"/>
  <c r="I113" i="82"/>
  <c r="D113" i="82"/>
  <c r="M113" i="82"/>
  <c r="H114" i="82"/>
  <c r="I114" i="82"/>
  <c r="D114" i="82"/>
  <c r="M114" i="82"/>
  <c r="H115" i="82"/>
  <c r="I115" i="82"/>
  <c r="D115" i="82"/>
  <c r="M115" i="82"/>
  <c r="H116" i="82"/>
  <c r="I116" i="82"/>
  <c r="D116" i="82"/>
  <c r="M116" i="82"/>
  <c r="H117" i="82"/>
  <c r="I117" i="82"/>
  <c r="D117" i="82"/>
  <c r="M117" i="82"/>
  <c r="H118" i="82"/>
  <c r="I118" i="82"/>
  <c r="D118" i="82"/>
  <c r="M118" i="82"/>
  <c r="H119" i="82"/>
  <c r="I119" i="82"/>
  <c r="D119" i="82"/>
  <c r="M119" i="82"/>
  <c r="H120" i="82"/>
  <c r="I120" i="82"/>
  <c r="D120" i="82"/>
  <c r="M120" i="82"/>
  <c r="H121" i="82"/>
  <c r="I121" i="82"/>
  <c r="D121" i="82"/>
  <c r="M121" i="82"/>
  <c r="H122" i="82"/>
  <c r="I122" i="82"/>
  <c r="D122" i="82"/>
  <c r="M122" i="82"/>
  <c r="H123" i="82"/>
  <c r="I123" i="82"/>
  <c r="D123" i="82"/>
  <c r="M123" i="82"/>
  <c r="H124" i="82"/>
  <c r="I124" i="82"/>
  <c r="D124" i="82"/>
  <c r="M124" i="82"/>
  <c r="H125" i="82"/>
  <c r="I125" i="82"/>
  <c r="D125" i="82"/>
  <c r="M125" i="82"/>
  <c r="H126" i="82"/>
  <c r="I126" i="82"/>
  <c r="D126" i="82"/>
  <c r="M126" i="82"/>
  <c r="H127" i="82"/>
  <c r="I127" i="82"/>
  <c r="D127" i="82"/>
  <c r="M127" i="82"/>
  <c r="H128" i="82"/>
  <c r="I128" i="82"/>
  <c r="D128" i="82"/>
  <c r="M128" i="82"/>
  <c r="H129" i="82"/>
  <c r="I129" i="82"/>
  <c r="D129" i="82"/>
  <c r="M129" i="82"/>
  <c r="H130" i="82"/>
  <c r="I130" i="82"/>
  <c r="D130" i="82"/>
  <c r="M130" i="82"/>
  <c r="H131" i="82"/>
  <c r="I131" i="82"/>
  <c r="D131" i="82"/>
  <c r="M131" i="82"/>
  <c r="H132" i="82"/>
  <c r="I132" i="82"/>
  <c r="D132" i="82"/>
  <c r="M132" i="82"/>
  <c r="H133" i="82"/>
  <c r="I133" i="82"/>
  <c r="D133" i="82"/>
  <c r="M133" i="82"/>
  <c r="H134" i="82"/>
  <c r="I134" i="82"/>
  <c r="D134" i="82"/>
  <c r="M134" i="82"/>
  <c r="H135" i="82"/>
  <c r="I135" i="82"/>
  <c r="D135" i="82"/>
  <c r="M135" i="82"/>
  <c r="H136" i="82"/>
  <c r="I136" i="82"/>
  <c r="D136" i="82"/>
  <c r="M136" i="82"/>
  <c r="H137" i="82"/>
  <c r="I137" i="82"/>
  <c r="D137" i="82"/>
  <c r="M137" i="82"/>
  <c r="H138" i="82"/>
  <c r="I138" i="82"/>
  <c r="D138" i="82"/>
  <c r="M138" i="82"/>
  <c r="H139" i="82"/>
  <c r="I139" i="82"/>
  <c r="D139" i="82"/>
  <c r="M139" i="82"/>
  <c r="H140" i="82"/>
  <c r="I140" i="82"/>
  <c r="D140" i="82"/>
  <c r="M140" i="82"/>
  <c r="H141" i="82"/>
  <c r="I141" i="82"/>
  <c r="D141" i="82"/>
  <c r="M141" i="82"/>
  <c r="H142" i="82"/>
  <c r="I142" i="82"/>
  <c r="D142" i="82"/>
  <c r="M142" i="82"/>
  <c r="H143" i="82"/>
  <c r="I143" i="82"/>
  <c r="D143" i="82"/>
  <c r="M143" i="82"/>
  <c r="H144" i="82"/>
  <c r="I144" i="82"/>
  <c r="D144" i="82"/>
  <c r="M144" i="82"/>
  <c r="H145" i="82"/>
  <c r="I145" i="82"/>
  <c r="D145" i="82"/>
  <c r="M145" i="82"/>
  <c r="H146" i="82"/>
  <c r="I146" i="82"/>
  <c r="D146" i="82"/>
  <c r="M146" i="82"/>
  <c r="H147" i="82"/>
  <c r="I147" i="82"/>
  <c r="D147" i="82"/>
  <c r="M147" i="82"/>
  <c r="H148" i="82"/>
  <c r="I148" i="82"/>
  <c r="D148" i="82"/>
  <c r="M148" i="82"/>
  <c r="H149" i="82"/>
  <c r="I149" i="82"/>
  <c r="D149" i="82"/>
  <c r="M149" i="82"/>
  <c r="H150" i="82"/>
  <c r="I150" i="82"/>
  <c r="D150" i="82"/>
  <c r="M150" i="82"/>
  <c r="H151" i="82"/>
  <c r="I151" i="82"/>
  <c r="D151" i="82"/>
  <c r="M151" i="82"/>
  <c r="H152" i="82"/>
  <c r="I152" i="82"/>
  <c r="D152" i="82"/>
  <c r="M152" i="82"/>
  <c r="H153" i="82"/>
  <c r="I153" i="82"/>
  <c r="D153" i="82"/>
  <c r="M153" i="82"/>
  <c r="H154" i="82"/>
  <c r="I154" i="82"/>
  <c r="D154" i="82"/>
  <c r="M154" i="82"/>
  <c r="H155" i="82"/>
  <c r="I155" i="82"/>
  <c r="D155" i="82"/>
  <c r="M155" i="82"/>
  <c r="H156" i="82"/>
  <c r="I156" i="82"/>
  <c r="D156" i="82"/>
  <c r="M156" i="82"/>
  <c r="H157" i="82"/>
  <c r="I157" i="82"/>
  <c r="D157" i="82"/>
  <c r="M157" i="82"/>
  <c r="H158" i="82"/>
  <c r="I158" i="82"/>
  <c r="D158" i="82"/>
  <c r="M158" i="82"/>
  <c r="H159" i="82"/>
  <c r="I159" i="82"/>
  <c r="D159" i="82"/>
  <c r="M159" i="82"/>
  <c r="H160" i="82"/>
  <c r="I160" i="82"/>
  <c r="D160" i="82"/>
  <c r="M160" i="82"/>
  <c r="H161" i="82"/>
  <c r="I161" i="82"/>
  <c r="D161" i="82"/>
  <c r="M161" i="82"/>
  <c r="H162" i="82"/>
  <c r="I162" i="82"/>
  <c r="D162" i="82"/>
  <c r="M162" i="82"/>
  <c r="H163" i="82"/>
  <c r="I163" i="82"/>
  <c r="D163" i="82"/>
  <c r="M163" i="82"/>
  <c r="H164" i="82"/>
  <c r="I164" i="82"/>
  <c r="D164" i="82"/>
  <c r="M164" i="82"/>
  <c r="H165" i="82"/>
  <c r="I165" i="82"/>
  <c r="D165" i="82"/>
  <c r="M165" i="82"/>
  <c r="H166" i="82"/>
  <c r="I166" i="82"/>
  <c r="D166" i="82"/>
  <c r="M166" i="82"/>
  <c r="H167" i="82"/>
  <c r="I167" i="82"/>
  <c r="D167" i="82"/>
  <c r="M167" i="82"/>
  <c r="H168" i="82"/>
  <c r="I168" i="82"/>
  <c r="D168" i="82"/>
  <c r="M168" i="82"/>
  <c r="H169" i="82"/>
  <c r="I169" i="82"/>
  <c r="D169" i="82"/>
  <c r="M169" i="82"/>
  <c r="H170" i="82"/>
  <c r="I170" i="82"/>
  <c r="D170" i="82"/>
  <c r="M170" i="82"/>
  <c r="H171" i="82"/>
  <c r="I171" i="82"/>
  <c r="D171" i="82"/>
  <c r="M171" i="82"/>
  <c r="H172" i="82"/>
  <c r="I172" i="82"/>
  <c r="D172" i="82"/>
  <c r="M172" i="82"/>
  <c r="H173" i="82"/>
  <c r="I173" i="82"/>
  <c r="D173" i="82"/>
  <c r="M173" i="82"/>
  <c r="H174" i="82"/>
  <c r="I174" i="82"/>
  <c r="D174" i="82"/>
  <c r="M174" i="82"/>
  <c r="H175" i="82"/>
  <c r="I175" i="82"/>
  <c r="D175" i="82"/>
  <c r="M175" i="82"/>
  <c r="H176" i="82"/>
  <c r="I176" i="82"/>
  <c r="D176" i="82"/>
  <c r="M176" i="82"/>
  <c r="H177" i="82"/>
  <c r="I177" i="82"/>
  <c r="D177" i="82"/>
  <c r="M177" i="82"/>
  <c r="H178" i="82"/>
  <c r="I178" i="82"/>
  <c r="D178" i="82"/>
  <c r="M178" i="82"/>
  <c r="H179" i="82"/>
  <c r="I179" i="82"/>
  <c r="D179" i="82"/>
  <c r="M179" i="82"/>
  <c r="H180" i="82"/>
  <c r="I180" i="82"/>
  <c r="D180" i="82"/>
  <c r="M180" i="82"/>
  <c r="H181" i="82"/>
  <c r="I181" i="82"/>
  <c r="D181" i="82"/>
  <c r="M181" i="82"/>
  <c r="H182" i="82"/>
  <c r="I182" i="82"/>
  <c r="D182" i="82"/>
  <c r="M182" i="82"/>
  <c r="H183" i="82"/>
  <c r="I183" i="82"/>
  <c r="D183" i="82"/>
  <c r="M183" i="82"/>
  <c r="H184" i="82"/>
  <c r="I184" i="82"/>
  <c r="D184" i="82"/>
  <c r="M184" i="82"/>
  <c r="H185" i="82"/>
  <c r="I185" i="82"/>
  <c r="D185" i="82"/>
  <c r="M185" i="82"/>
  <c r="H186" i="82"/>
  <c r="I186" i="82"/>
  <c r="D186" i="82"/>
  <c r="M186" i="82"/>
  <c r="H187" i="82"/>
  <c r="I187" i="82"/>
  <c r="D187" i="82"/>
  <c r="M187" i="82"/>
  <c r="H188" i="82"/>
  <c r="I188" i="82"/>
  <c r="D188" i="82"/>
  <c r="M188" i="82"/>
  <c r="H189" i="82"/>
  <c r="I189" i="82"/>
  <c r="D189" i="82"/>
  <c r="M189" i="82"/>
  <c r="H190" i="82"/>
  <c r="I190" i="82"/>
  <c r="D190" i="82"/>
  <c r="M190" i="82"/>
  <c r="H191" i="82"/>
  <c r="I191" i="82"/>
  <c r="D191" i="82"/>
  <c r="M191" i="82"/>
  <c r="H192" i="82"/>
  <c r="I192" i="82"/>
  <c r="D192" i="82"/>
  <c r="M192" i="82"/>
  <c r="H193" i="82"/>
  <c r="I193" i="82"/>
  <c r="D193" i="82"/>
  <c r="M193" i="82"/>
  <c r="H194" i="82"/>
  <c r="I194" i="82"/>
  <c r="D194" i="82"/>
  <c r="M194" i="82"/>
  <c r="H195" i="82"/>
  <c r="I195" i="82"/>
  <c r="D195" i="82"/>
  <c r="M195" i="82"/>
  <c r="H196" i="82"/>
  <c r="I196" i="82"/>
  <c r="D196" i="82"/>
  <c r="M196" i="82"/>
  <c r="H197" i="82"/>
  <c r="I197" i="82"/>
  <c r="D197" i="82"/>
  <c r="M197" i="82"/>
  <c r="H198" i="82"/>
  <c r="I198" i="82"/>
  <c r="D198" i="82"/>
  <c r="M198" i="82"/>
  <c r="H199" i="82"/>
  <c r="I199" i="82"/>
  <c r="D199" i="82"/>
  <c r="M199" i="82"/>
  <c r="H200" i="82"/>
  <c r="I200" i="82"/>
  <c r="D200" i="82"/>
  <c r="M200" i="82"/>
  <c r="H201" i="82"/>
  <c r="I201" i="82"/>
  <c r="D201" i="82"/>
  <c r="M201" i="82"/>
  <c r="H202" i="82"/>
  <c r="I202" i="82"/>
  <c r="D202" i="82"/>
  <c r="M202" i="82"/>
  <c r="H203" i="82"/>
  <c r="I203" i="82"/>
  <c r="D203" i="82"/>
  <c r="M203" i="82"/>
  <c r="H204" i="82"/>
  <c r="I204" i="82"/>
  <c r="D204" i="82"/>
  <c r="M204" i="82"/>
  <c r="H205" i="82"/>
  <c r="I205" i="82"/>
  <c r="D205" i="82"/>
  <c r="M205" i="82"/>
  <c r="H206" i="82"/>
  <c r="I206" i="82"/>
  <c r="D206" i="82"/>
  <c r="M206" i="82"/>
  <c r="H207" i="82"/>
  <c r="I207" i="82"/>
  <c r="D207" i="82"/>
  <c r="M207" i="82"/>
  <c r="H208" i="82"/>
  <c r="I208" i="82"/>
  <c r="D208" i="82"/>
  <c r="M208" i="82"/>
  <c r="H209" i="82"/>
  <c r="I209" i="82"/>
  <c r="D209" i="82"/>
  <c r="M209" i="82"/>
  <c r="H210" i="82"/>
  <c r="I210" i="82"/>
  <c r="D210" i="82"/>
  <c r="M210" i="82"/>
  <c r="H211" i="82"/>
  <c r="I211" i="82"/>
  <c r="D211" i="82"/>
  <c r="M211" i="82"/>
  <c r="H212" i="82"/>
  <c r="I212" i="82"/>
  <c r="D212" i="82"/>
  <c r="M212" i="82"/>
  <c r="H213" i="82"/>
  <c r="I213" i="82"/>
  <c r="D213" i="82"/>
  <c r="M213" i="82"/>
  <c r="H214" i="82"/>
  <c r="I214" i="82"/>
  <c r="D214" i="82"/>
  <c r="M214" i="82"/>
  <c r="H215" i="82"/>
  <c r="I215" i="82"/>
  <c r="D215" i="82"/>
  <c r="M215" i="82"/>
  <c r="H216" i="82"/>
  <c r="I216" i="82"/>
  <c r="D216" i="82"/>
  <c r="M216" i="82"/>
  <c r="H217" i="82"/>
  <c r="I217" i="82"/>
  <c r="D217" i="82"/>
  <c r="M217" i="82"/>
  <c r="H218" i="82"/>
  <c r="I218" i="82"/>
  <c r="D218" i="82"/>
  <c r="M218" i="82"/>
  <c r="H219" i="82"/>
  <c r="I219" i="82"/>
  <c r="D219" i="82"/>
  <c r="M219" i="82"/>
  <c r="H220" i="82"/>
  <c r="I220" i="82"/>
  <c r="D220" i="82"/>
  <c r="M220" i="82"/>
  <c r="H221" i="82"/>
  <c r="I221" i="82"/>
  <c r="D221" i="82"/>
  <c r="M221" i="82"/>
  <c r="H222" i="82"/>
  <c r="I222" i="82"/>
  <c r="D222" i="82"/>
  <c r="M222" i="82"/>
  <c r="H223" i="82"/>
  <c r="I223" i="82"/>
  <c r="D223" i="82"/>
  <c r="M223" i="82"/>
  <c r="H224" i="82"/>
  <c r="I224" i="82"/>
  <c r="D224" i="82"/>
  <c r="M224" i="82"/>
  <c r="M233" i="82"/>
  <c r="H234" i="82"/>
  <c r="I234" i="82"/>
  <c r="D234" i="82"/>
  <c r="M234" i="82"/>
  <c r="H235" i="82"/>
  <c r="I235" i="82"/>
  <c r="D235" i="82"/>
  <c r="M235" i="82"/>
  <c r="H236" i="82"/>
  <c r="I236" i="82"/>
  <c r="D236" i="82"/>
  <c r="M236" i="82"/>
  <c r="H237" i="82"/>
  <c r="I237" i="82"/>
  <c r="D237" i="82"/>
  <c r="M237" i="82"/>
  <c r="H238" i="82"/>
  <c r="I238" i="82"/>
  <c r="D238" i="82"/>
  <c r="M238" i="82"/>
  <c r="H239" i="82"/>
  <c r="I239" i="82"/>
  <c r="D239" i="82"/>
  <c r="M239" i="82"/>
  <c r="H240" i="82"/>
  <c r="I240" i="82"/>
  <c r="D240" i="82"/>
  <c r="M240" i="82"/>
  <c r="H241" i="82"/>
  <c r="I241" i="82"/>
  <c r="D241" i="82"/>
  <c r="M241" i="82"/>
  <c r="H242" i="82"/>
  <c r="I242" i="82"/>
  <c r="D242" i="82"/>
  <c r="M242" i="82"/>
  <c r="H243" i="82"/>
  <c r="I243" i="82"/>
  <c r="D243" i="82"/>
  <c r="M243" i="82"/>
  <c r="H244" i="82"/>
  <c r="I244" i="82"/>
  <c r="D244" i="82"/>
  <c r="M244" i="82"/>
  <c r="H245" i="82"/>
  <c r="I245" i="82"/>
  <c r="D245" i="82"/>
  <c r="M245" i="82"/>
  <c r="H246" i="82"/>
  <c r="I246" i="82"/>
  <c r="D246" i="82"/>
  <c r="M246" i="82"/>
  <c r="H247" i="82"/>
  <c r="I247" i="82"/>
  <c r="D247" i="82"/>
  <c r="M247" i="82"/>
  <c r="H248" i="82"/>
  <c r="I248" i="82"/>
  <c r="D248" i="82"/>
  <c r="M248" i="82"/>
  <c r="H249" i="82"/>
  <c r="I249" i="82"/>
  <c r="D249" i="82"/>
  <c r="M249" i="82"/>
  <c r="H250" i="82"/>
  <c r="I250" i="82"/>
  <c r="D250" i="82"/>
  <c r="M250" i="82"/>
  <c r="H251" i="82"/>
  <c r="I251" i="82"/>
  <c r="D251" i="82"/>
  <c r="M251" i="82"/>
  <c r="H252" i="82"/>
  <c r="I252" i="82"/>
  <c r="D252" i="82"/>
  <c r="M252" i="82"/>
  <c r="H253" i="82"/>
  <c r="I253" i="82"/>
  <c r="D253" i="82"/>
  <c r="M253" i="82"/>
  <c r="H254" i="82"/>
  <c r="I254" i="82"/>
  <c r="D254" i="82"/>
  <c r="M254" i="82"/>
  <c r="H255" i="82"/>
  <c r="I255" i="82"/>
  <c r="D255" i="82"/>
  <c r="M255" i="82"/>
  <c r="H256" i="82"/>
  <c r="I256" i="82"/>
  <c r="D256" i="82"/>
  <c r="M256" i="82"/>
  <c r="H257" i="82"/>
  <c r="I257" i="82"/>
  <c r="D257" i="82"/>
  <c r="M257" i="82"/>
  <c r="H258" i="82"/>
  <c r="I258" i="82"/>
  <c r="D258" i="82"/>
  <c r="M258" i="82"/>
  <c r="H259" i="82"/>
  <c r="I259" i="82"/>
  <c r="D259" i="82"/>
  <c r="M259" i="82"/>
  <c r="H260" i="82"/>
  <c r="I260" i="82"/>
  <c r="D260" i="82"/>
  <c r="M260" i="82"/>
  <c r="H261" i="82"/>
  <c r="I261" i="82"/>
  <c r="D261" i="82"/>
  <c r="M261" i="82"/>
  <c r="H262" i="82"/>
  <c r="I262" i="82"/>
  <c r="D262" i="82"/>
  <c r="M262" i="82"/>
  <c r="H263" i="82"/>
  <c r="I263" i="82"/>
  <c r="D263" i="82"/>
  <c r="M263" i="82"/>
  <c r="H264" i="82"/>
  <c r="I264" i="82"/>
  <c r="D264" i="82"/>
  <c r="M264" i="82"/>
  <c r="H265" i="82"/>
  <c r="I265" i="82"/>
  <c r="D265" i="82"/>
  <c r="M265" i="82"/>
  <c r="H266" i="82"/>
  <c r="I266" i="82"/>
  <c r="D266" i="82"/>
  <c r="M266" i="82"/>
  <c r="H267" i="82"/>
  <c r="I267" i="82"/>
  <c r="D267" i="82"/>
  <c r="M267" i="82"/>
  <c r="H268" i="82"/>
  <c r="I268" i="82"/>
  <c r="D268" i="82"/>
  <c r="M268" i="82"/>
  <c r="H269" i="82"/>
  <c r="I269" i="82"/>
  <c r="D269" i="82"/>
  <c r="M269" i="82"/>
  <c r="H270" i="82"/>
  <c r="I270" i="82"/>
  <c r="D270" i="82"/>
  <c r="M270" i="82"/>
  <c r="H271" i="82"/>
  <c r="I271" i="82"/>
  <c r="D271" i="82"/>
  <c r="M271" i="82"/>
  <c r="H272" i="82"/>
  <c r="I272" i="82"/>
  <c r="D272" i="82"/>
  <c r="M272" i="82"/>
  <c r="H273" i="82"/>
  <c r="I273" i="82"/>
  <c r="D273" i="82"/>
  <c r="M273" i="82"/>
  <c r="H274" i="82"/>
  <c r="I274" i="82"/>
  <c r="D274" i="82"/>
  <c r="M274" i="82"/>
  <c r="H275" i="82"/>
  <c r="I275" i="82"/>
  <c r="D275" i="82"/>
  <c r="M275" i="82"/>
  <c r="H276" i="82"/>
  <c r="I276" i="82"/>
  <c r="D276" i="82"/>
  <c r="M276" i="82"/>
  <c r="H277" i="82"/>
  <c r="I277" i="82"/>
  <c r="D277" i="82"/>
  <c r="M277" i="82"/>
  <c r="H278" i="82"/>
  <c r="I278" i="82"/>
  <c r="D278" i="82"/>
  <c r="M278" i="82"/>
  <c r="H279" i="82"/>
  <c r="I279" i="82"/>
  <c r="D279" i="82"/>
  <c r="M279" i="82"/>
  <c r="H280" i="82"/>
  <c r="I280" i="82"/>
  <c r="D280" i="82"/>
  <c r="M280" i="82"/>
  <c r="H281" i="82"/>
  <c r="I281" i="82"/>
  <c r="D281" i="82"/>
  <c r="M281" i="82"/>
  <c r="H282" i="82"/>
  <c r="I282" i="82"/>
  <c r="D282" i="82"/>
  <c r="M282" i="82"/>
  <c r="H283" i="82"/>
  <c r="I283" i="82"/>
  <c r="D283" i="82"/>
  <c r="M283" i="82"/>
  <c r="H284" i="82"/>
  <c r="I284" i="82"/>
  <c r="D284" i="82"/>
  <c r="M284" i="82"/>
  <c r="H285" i="82"/>
  <c r="I285" i="82"/>
  <c r="D285" i="82"/>
  <c r="M285" i="82"/>
  <c r="H286" i="82"/>
  <c r="I286" i="82"/>
  <c r="D286" i="82"/>
  <c r="M286" i="82"/>
  <c r="H287" i="82"/>
  <c r="I287" i="82"/>
  <c r="D287" i="82"/>
  <c r="M287" i="82"/>
  <c r="H288" i="82"/>
  <c r="I288" i="82"/>
  <c r="D288" i="82"/>
  <c r="M288" i="82"/>
  <c r="H289" i="82"/>
  <c r="I289" i="82"/>
  <c r="D289" i="82"/>
  <c r="M289" i="82"/>
  <c r="H290" i="82"/>
  <c r="I290" i="82"/>
  <c r="D290" i="82"/>
  <c r="M290" i="82"/>
  <c r="H291" i="82"/>
  <c r="I291" i="82"/>
  <c r="D291" i="82"/>
  <c r="M291" i="82"/>
  <c r="H292" i="82"/>
  <c r="I292" i="82"/>
  <c r="D292" i="82"/>
  <c r="M292" i="82"/>
  <c r="H293" i="82"/>
  <c r="I293" i="82"/>
  <c r="D293" i="82"/>
  <c r="M293" i="82"/>
  <c r="H294" i="82"/>
  <c r="I294" i="82"/>
  <c r="D294" i="82"/>
  <c r="M294" i="82"/>
  <c r="H295" i="82"/>
  <c r="I295" i="82"/>
  <c r="D295" i="82"/>
  <c r="M295" i="82"/>
  <c r="H296" i="82"/>
  <c r="I296" i="82"/>
  <c r="D296" i="82"/>
  <c r="M296" i="82"/>
  <c r="H297" i="82"/>
  <c r="I297" i="82"/>
  <c r="D297" i="82"/>
  <c r="M297" i="82"/>
  <c r="H298" i="82"/>
  <c r="I298" i="82"/>
  <c r="D298" i="82"/>
  <c r="M298" i="82"/>
  <c r="H299" i="82"/>
  <c r="I299" i="82"/>
  <c r="D299" i="82"/>
  <c r="M299" i="82"/>
  <c r="H300" i="82"/>
  <c r="I300" i="82"/>
  <c r="D300" i="82"/>
  <c r="M300" i="82"/>
  <c r="H301" i="82"/>
  <c r="I301" i="82"/>
  <c r="D301" i="82"/>
  <c r="M301" i="82"/>
  <c r="H302" i="82"/>
  <c r="I302" i="82"/>
  <c r="D302" i="82"/>
  <c r="M302" i="82"/>
  <c r="H303" i="82"/>
  <c r="I303" i="82"/>
  <c r="D303" i="82"/>
  <c r="M303" i="82"/>
  <c r="H304" i="82"/>
  <c r="I304" i="82"/>
  <c r="D304" i="82"/>
  <c r="M304" i="82"/>
  <c r="H305" i="82"/>
  <c r="I305" i="82"/>
  <c r="D305" i="82"/>
  <c r="M305" i="82"/>
  <c r="H306" i="82"/>
  <c r="I306" i="82"/>
  <c r="D306" i="82"/>
  <c r="M306" i="82"/>
  <c r="H307" i="82"/>
  <c r="I307" i="82"/>
  <c r="D307" i="82"/>
  <c r="M307" i="82"/>
  <c r="H308" i="82"/>
  <c r="I308" i="82"/>
  <c r="D308" i="82"/>
  <c r="M308" i="82"/>
  <c r="H309" i="82"/>
  <c r="I309" i="82"/>
  <c r="D309" i="82"/>
  <c r="M309" i="82"/>
  <c r="H310" i="82"/>
  <c r="I310" i="82"/>
  <c r="D310" i="82"/>
  <c r="M310" i="82"/>
  <c r="H311" i="82"/>
  <c r="I311" i="82"/>
  <c r="D311" i="82"/>
  <c r="M311" i="82"/>
  <c r="H312" i="82"/>
  <c r="I312" i="82"/>
  <c r="D312" i="82"/>
  <c r="M312" i="82"/>
  <c r="H313" i="82"/>
  <c r="I313" i="82"/>
  <c r="D313" i="82"/>
  <c r="M313" i="82"/>
  <c r="H314" i="82"/>
  <c r="I314" i="82"/>
  <c r="D314" i="82"/>
  <c r="M314" i="82"/>
  <c r="H315" i="82"/>
  <c r="I315" i="82"/>
  <c r="D315" i="82"/>
  <c r="M315" i="82"/>
  <c r="H316" i="82"/>
  <c r="I316" i="82"/>
  <c r="D316" i="82"/>
  <c r="M316" i="82"/>
  <c r="H317" i="82"/>
  <c r="I317" i="82"/>
  <c r="D317" i="82"/>
  <c r="M317" i="82"/>
  <c r="H318" i="82"/>
  <c r="I318" i="82"/>
  <c r="D318" i="82"/>
  <c r="M318" i="82"/>
  <c r="H319" i="82"/>
  <c r="I319" i="82"/>
  <c r="D319" i="82"/>
  <c r="M319" i="82"/>
  <c r="H320" i="82"/>
  <c r="I320" i="82"/>
  <c r="D320" i="82"/>
  <c r="M320" i="82"/>
  <c r="H321" i="82"/>
  <c r="I321" i="82"/>
  <c r="D321" i="82"/>
  <c r="M321" i="82"/>
  <c r="H322" i="82"/>
  <c r="I322" i="82"/>
  <c r="D322" i="82"/>
  <c r="M322" i="82"/>
  <c r="H323" i="82"/>
  <c r="I323" i="82"/>
  <c r="D323" i="82"/>
  <c r="M323" i="82"/>
  <c r="H324" i="82"/>
  <c r="I324" i="82"/>
  <c r="D324" i="82"/>
  <c r="M324" i="82"/>
  <c r="H325" i="82"/>
  <c r="I325" i="82"/>
  <c r="D325" i="82"/>
  <c r="M325" i="82"/>
  <c r="H326" i="82"/>
  <c r="I326" i="82"/>
  <c r="D326" i="82"/>
  <c r="M326" i="82"/>
  <c r="H327" i="82"/>
  <c r="I327" i="82"/>
  <c r="D327" i="82"/>
  <c r="M327" i="82"/>
  <c r="H328" i="82"/>
  <c r="I328" i="82"/>
  <c r="D328" i="82"/>
  <c r="M328" i="82"/>
  <c r="H329" i="82"/>
  <c r="I329" i="82"/>
  <c r="D329" i="82"/>
  <c r="M329" i="82"/>
  <c r="H330" i="82"/>
  <c r="I330" i="82"/>
  <c r="D330" i="82"/>
  <c r="M330" i="82"/>
  <c r="H331" i="82"/>
  <c r="I331" i="82"/>
  <c r="D331" i="82"/>
  <c r="M331" i="82"/>
  <c r="H332" i="82"/>
  <c r="I332" i="82"/>
  <c r="D332" i="82"/>
  <c r="M332" i="82"/>
  <c r="H333" i="82"/>
  <c r="I333" i="82"/>
  <c r="D333" i="82"/>
  <c r="M333" i="82"/>
  <c r="H334" i="82"/>
  <c r="I334" i="82"/>
  <c r="D334" i="82"/>
  <c r="M334" i="82"/>
  <c r="H335" i="82"/>
  <c r="I335" i="82"/>
  <c r="D335" i="82"/>
  <c r="M335" i="82"/>
  <c r="H336" i="82"/>
  <c r="I336" i="82"/>
  <c r="D336" i="82"/>
  <c r="M336" i="82"/>
  <c r="H337" i="82"/>
  <c r="I337" i="82"/>
  <c r="D337" i="82"/>
  <c r="M337" i="82"/>
  <c r="H338" i="82"/>
  <c r="I338" i="82"/>
  <c r="D338" i="82"/>
  <c r="M338" i="82"/>
  <c r="H339" i="82"/>
  <c r="I339" i="82"/>
  <c r="D339" i="82"/>
  <c r="M339" i="82"/>
  <c r="H340" i="82"/>
  <c r="I340" i="82"/>
  <c r="D340" i="82"/>
  <c r="M340" i="82"/>
  <c r="H341" i="82"/>
  <c r="I341" i="82"/>
  <c r="D341" i="82"/>
  <c r="M341" i="82"/>
  <c r="H342" i="82"/>
  <c r="I342" i="82"/>
  <c r="D342" i="82"/>
  <c r="M342" i="82"/>
  <c r="H343" i="82"/>
  <c r="I343" i="82"/>
  <c r="D343" i="82"/>
  <c r="M343" i="82"/>
  <c r="H344" i="82"/>
  <c r="I344" i="82"/>
  <c r="D344" i="82"/>
  <c r="M344" i="82"/>
  <c r="H345" i="82"/>
  <c r="I345" i="82"/>
  <c r="D345" i="82"/>
  <c r="M345" i="82"/>
  <c r="H346" i="82"/>
  <c r="I346" i="82"/>
  <c r="D346" i="82"/>
  <c r="M346" i="82"/>
  <c r="H347" i="82"/>
  <c r="I347" i="82"/>
  <c r="D347" i="82"/>
  <c r="M347" i="82"/>
  <c r="H348" i="82"/>
  <c r="I348" i="82"/>
  <c r="D348" i="82"/>
  <c r="M348" i="82"/>
  <c r="H349" i="82"/>
  <c r="I349" i="82"/>
  <c r="D349" i="82"/>
  <c r="M349" i="82"/>
  <c r="H350" i="82"/>
  <c r="I350" i="82"/>
  <c r="D350" i="82"/>
  <c r="M350" i="82"/>
  <c r="H351" i="82"/>
  <c r="I351" i="82"/>
  <c r="D351" i="82"/>
  <c r="M351" i="82"/>
  <c r="H352" i="82"/>
  <c r="I352" i="82"/>
  <c r="D352" i="82"/>
  <c r="M352" i="82"/>
  <c r="H353" i="82"/>
  <c r="I353" i="82"/>
  <c r="D353" i="82"/>
  <c r="M353" i="82"/>
  <c r="H354" i="82"/>
  <c r="I354" i="82"/>
  <c r="D354" i="82"/>
  <c r="M354" i="82"/>
  <c r="H355" i="82"/>
  <c r="I355" i="82"/>
  <c r="D355" i="82"/>
  <c r="M355" i="82"/>
  <c r="H356" i="82"/>
  <c r="I356" i="82"/>
  <c r="D356" i="82"/>
  <c r="M356" i="82"/>
  <c r="H357" i="82"/>
  <c r="I357" i="82"/>
  <c r="D357" i="82"/>
  <c r="M357" i="82"/>
  <c r="H358" i="82"/>
  <c r="I358" i="82"/>
  <c r="D358" i="82"/>
  <c r="M358" i="82"/>
  <c r="H359" i="82"/>
  <c r="I359" i="82"/>
  <c r="D359" i="82"/>
  <c r="M359" i="82"/>
  <c r="H360" i="82"/>
  <c r="I360" i="82"/>
  <c r="D360" i="82"/>
  <c r="M360" i="82"/>
  <c r="H361" i="82"/>
  <c r="I361" i="82"/>
  <c r="D361" i="82"/>
  <c r="M361" i="82"/>
  <c r="H362" i="82"/>
  <c r="I362" i="82"/>
  <c r="D362" i="82"/>
  <c r="M362" i="82"/>
  <c r="H363" i="82"/>
  <c r="I363" i="82"/>
  <c r="D363" i="82"/>
  <c r="M363" i="82"/>
  <c r="H364" i="82"/>
  <c r="I364" i="82"/>
  <c r="D364" i="82"/>
  <c r="M364" i="82"/>
  <c r="H365" i="82"/>
  <c r="I365" i="82"/>
  <c r="D365" i="82"/>
  <c r="M365" i="82"/>
  <c r="H366" i="82"/>
  <c r="I366" i="82"/>
  <c r="D366" i="82"/>
  <c r="M366" i="82"/>
  <c r="H367" i="82"/>
  <c r="I367" i="82"/>
  <c r="D367" i="82"/>
  <c r="M367" i="82"/>
  <c r="H368" i="82"/>
  <c r="I368" i="82"/>
  <c r="D368" i="82"/>
  <c r="M368" i="82"/>
  <c r="H369" i="82"/>
  <c r="I369" i="82"/>
  <c r="D369" i="82"/>
  <c r="M369" i="82"/>
  <c r="H370" i="82"/>
  <c r="I370" i="82"/>
  <c r="D370" i="82"/>
  <c r="M370" i="82"/>
  <c r="H371" i="82"/>
  <c r="I371" i="82"/>
  <c r="D371" i="82"/>
  <c r="M371" i="82"/>
  <c r="H372" i="82"/>
  <c r="I372" i="82"/>
  <c r="D372" i="82"/>
  <c r="M372" i="82"/>
  <c r="H373" i="82"/>
  <c r="I373" i="82"/>
  <c r="D373" i="82"/>
  <c r="M373" i="82"/>
  <c r="H374" i="82"/>
  <c r="I374" i="82"/>
  <c r="D374" i="82"/>
  <c r="M374" i="82"/>
  <c r="H375" i="82"/>
  <c r="I375" i="82"/>
  <c r="D375" i="82"/>
  <c r="M375" i="82"/>
  <c r="H376" i="82"/>
  <c r="I376" i="82"/>
  <c r="D376" i="82"/>
  <c r="M376" i="82"/>
  <c r="H377" i="82"/>
  <c r="I377" i="82"/>
  <c r="D377" i="82"/>
  <c r="M377" i="82"/>
  <c r="H378" i="82"/>
  <c r="I378" i="82"/>
  <c r="D378" i="82"/>
  <c r="M378" i="82"/>
  <c r="H379" i="82"/>
  <c r="I379" i="82"/>
  <c r="D379" i="82"/>
  <c r="M379" i="82"/>
  <c r="H380" i="82"/>
  <c r="I380" i="82"/>
  <c r="D380" i="82"/>
  <c r="M380" i="82"/>
  <c r="H381" i="82"/>
  <c r="I381" i="82"/>
  <c r="D381" i="82"/>
  <c r="M381" i="82"/>
  <c r="H382" i="82"/>
  <c r="I382" i="82"/>
  <c r="D382" i="82"/>
  <c r="M382" i="82"/>
  <c r="H383" i="82"/>
  <c r="I383" i="82"/>
  <c r="D383" i="82"/>
  <c r="M383" i="82"/>
  <c r="H384" i="82"/>
  <c r="I384" i="82"/>
  <c r="D384" i="82"/>
  <c r="M384" i="82"/>
  <c r="H385" i="82"/>
  <c r="I385" i="82"/>
  <c r="D385" i="82"/>
  <c r="M385" i="82"/>
  <c r="H386" i="82"/>
  <c r="I386" i="82"/>
  <c r="D386" i="82"/>
  <c r="M386" i="82"/>
  <c r="H387" i="82"/>
  <c r="I387" i="82"/>
  <c r="D387" i="82"/>
  <c r="M387" i="82"/>
  <c r="H388" i="82"/>
  <c r="I388" i="82"/>
  <c r="D388" i="82"/>
  <c r="M388" i="82"/>
  <c r="A389" i="82"/>
  <c r="A390" i="82"/>
  <c r="C389" i="82"/>
  <c r="C390" i="82"/>
  <c r="G389" i="82"/>
  <c r="J389" i="82"/>
  <c r="K389" i="82"/>
  <c r="L389" i="82"/>
  <c r="N389" i="82"/>
  <c r="O389" i="82"/>
  <c r="P389" i="82"/>
  <c r="Q389" i="82"/>
  <c r="R389" i="82"/>
  <c r="S389" i="82"/>
  <c r="G390" i="82"/>
  <c r="J390" i="82"/>
  <c r="K390" i="82"/>
  <c r="L390" i="82"/>
  <c r="N390" i="82"/>
  <c r="O390" i="82"/>
  <c r="P390" i="82"/>
  <c r="Q390" i="82"/>
  <c r="R390" i="82"/>
  <c r="S390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E5" i="105"/>
  <c r="D10" i="105"/>
  <c r="H2" i="82"/>
  <c r="D7" i="105"/>
  <c r="B5" i="105"/>
  <c r="A10" i="105"/>
  <c r="A7" i="105"/>
  <c r="R388" i="82"/>
  <c r="Q388" i="82"/>
  <c r="P388" i="82"/>
  <c r="O388" i="82"/>
  <c r="N388" i="82"/>
  <c r="L388" i="82"/>
  <c r="K388" i="82"/>
  <c r="J388" i="82"/>
  <c r="G388" i="82"/>
  <c r="C388" i="82"/>
  <c r="A388" i="82"/>
  <c r="R387" i="82"/>
  <c r="Q387" i="82"/>
  <c r="P387" i="82"/>
  <c r="O387" i="82"/>
  <c r="N387" i="82"/>
  <c r="L387" i="82"/>
  <c r="K387" i="82"/>
  <c r="J387" i="82"/>
  <c r="G387" i="82"/>
  <c r="C387" i="82"/>
  <c r="A387" i="82"/>
  <c r="R386" i="82"/>
  <c r="Q386" i="82"/>
  <c r="P386" i="82"/>
  <c r="O386" i="82"/>
  <c r="N386" i="82"/>
  <c r="L386" i="82"/>
  <c r="K386" i="82"/>
  <c r="J386" i="82"/>
  <c r="G386" i="82"/>
  <c r="C386" i="82"/>
  <c r="A386" i="82"/>
  <c r="R385" i="82"/>
  <c r="Q385" i="82"/>
  <c r="P385" i="82"/>
  <c r="O385" i="82"/>
  <c r="N385" i="82"/>
  <c r="L385" i="82"/>
  <c r="K385" i="82"/>
  <c r="J385" i="82"/>
  <c r="G385" i="82"/>
  <c r="C385" i="82"/>
  <c r="A385" i="82"/>
  <c r="R384" i="82"/>
  <c r="Q384" i="82"/>
  <c r="P384" i="82"/>
  <c r="O384" i="82"/>
  <c r="N384" i="82"/>
  <c r="L384" i="82"/>
  <c r="K384" i="82"/>
  <c r="J384" i="82"/>
  <c r="G384" i="82"/>
  <c r="C384" i="82"/>
  <c r="A384" i="82"/>
  <c r="R383" i="82"/>
  <c r="Q383" i="82"/>
  <c r="P383" i="82"/>
  <c r="O383" i="82"/>
  <c r="N383" i="82"/>
  <c r="L383" i="82"/>
  <c r="K383" i="82"/>
  <c r="J383" i="82"/>
  <c r="G383" i="82"/>
  <c r="C383" i="82"/>
  <c r="A383" i="82"/>
  <c r="R382" i="82"/>
  <c r="Q382" i="82"/>
  <c r="P382" i="82"/>
  <c r="O382" i="82"/>
  <c r="N382" i="82"/>
  <c r="L382" i="82"/>
  <c r="K382" i="82"/>
  <c r="J382" i="82"/>
  <c r="G382" i="82"/>
  <c r="C382" i="82"/>
  <c r="A382" i="82"/>
  <c r="R381" i="82"/>
  <c r="Q381" i="82"/>
  <c r="P381" i="82"/>
  <c r="O381" i="82"/>
  <c r="N381" i="82"/>
  <c r="L381" i="82"/>
  <c r="K381" i="82"/>
  <c r="J381" i="82"/>
  <c r="G381" i="82"/>
  <c r="C381" i="82"/>
  <c r="A381" i="82"/>
  <c r="R224" i="82"/>
  <c r="Q224" i="82"/>
  <c r="P224" i="82"/>
  <c r="O224" i="82"/>
  <c r="N224" i="82"/>
  <c r="L224" i="82"/>
  <c r="K224" i="82"/>
  <c r="J224" i="82"/>
  <c r="G224" i="82"/>
  <c r="C224" i="82"/>
  <c r="A224" i="82"/>
  <c r="R223" i="82"/>
  <c r="Q223" i="82"/>
  <c r="P223" i="82"/>
  <c r="O223" i="82"/>
  <c r="N223" i="82"/>
  <c r="L223" i="82"/>
  <c r="K223" i="82"/>
  <c r="J223" i="82"/>
  <c r="G223" i="82"/>
  <c r="C223" i="82"/>
  <c r="A223" i="82"/>
  <c r="R222" i="82"/>
  <c r="Q222" i="82"/>
  <c r="P222" i="82"/>
  <c r="O222" i="82"/>
  <c r="N222" i="82"/>
  <c r="L222" i="82"/>
  <c r="K222" i="82"/>
  <c r="J222" i="82"/>
  <c r="G222" i="82"/>
  <c r="C222" i="82"/>
  <c r="A222" i="82"/>
  <c r="R221" i="82"/>
  <c r="Q221" i="82"/>
  <c r="P221" i="82"/>
  <c r="O221" i="82"/>
  <c r="N221" i="82"/>
  <c r="L221" i="82"/>
  <c r="K221" i="82"/>
  <c r="J221" i="82"/>
  <c r="G221" i="82"/>
  <c r="C221" i="82"/>
  <c r="A221" i="82"/>
  <c r="R220" i="82"/>
  <c r="Q220" i="82"/>
  <c r="P220" i="82"/>
  <c r="O220" i="82"/>
  <c r="N220" i="82"/>
  <c r="L220" i="82"/>
  <c r="K220" i="82"/>
  <c r="J220" i="82"/>
  <c r="G220" i="82"/>
  <c r="C220" i="82"/>
  <c r="A220" i="82"/>
  <c r="R219" i="82"/>
  <c r="Q219" i="82"/>
  <c r="P219" i="82"/>
  <c r="O219" i="82"/>
  <c r="N219" i="82"/>
  <c r="L219" i="82"/>
  <c r="K219" i="82"/>
  <c r="J219" i="82"/>
  <c r="G219" i="82"/>
  <c r="C219" i="82"/>
  <c r="A219" i="82"/>
  <c r="R218" i="82"/>
  <c r="Q218" i="82"/>
  <c r="P218" i="82"/>
  <c r="O218" i="82"/>
  <c r="N218" i="82"/>
  <c r="L218" i="82"/>
  <c r="K218" i="82"/>
  <c r="J218" i="82"/>
  <c r="G218" i="82"/>
  <c r="C218" i="82"/>
  <c r="A218" i="82"/>
  <c r="R217" i="82"/>
  <c r="Q217" i="82"/>
  <c r="P217" i="82"/>
  <c r="O217" i="82"/>
  <c r="N217" i="82"/>
  <c r="L217" i="82"/>
  <c r="K217" i="82"/>
  <c r="J217" i="82"/>
  <c r="G217" i="82"/>
  <c r="C217" i="82"/>
  <c r="A217" i="82"/>
  <c r="R216" i="82"/>
  <c r="Q216" i="82"/>
  <c r="P216" i="82"/>
  <c r="O216" i="82"/>
  <c r="N216" i="82"/>
  <c r="L216" i="82"/>
  <c r="K216" i="82"/>
  <c r="J216" i="82"/>
  <c r="G216" i="82"/>
  <c r="C216" i="82"/>
  <c r="A216" i="82"/>
  <c r="R215" i="82"/>
  <c r="Q215" i="82"/>
  <c r="P215" i="82"/>
  <c r="O215" i="82"/>
  <c r="N215" i="82"/>
  <c r="L215" i="82"/>
  <c r="K215" i="82"/>
  <c r="J215" i="82"/>
  <c r="G215" i="82"/>
  <c r="C215" i="82"/>
  <c r="A215" i="82"/>
  <c r="N339" i="82"/>
  <c r="G379" i="82"/>
  <c r="R210" i="82"/>
  <c r="Q210" i="82"/>
  <c r="P210" i="82"/>
  <c r="O210" i="82"/>
  <c r="N210" i="82"/>
  <c r="L210" i="82"/>
  <c r="K210" i="82"/>
  <c r="J210" i="82"/>
  <c r="G210" i="82"/>
  <c r="C210" i="82"/>
  <c r="A210" i="82"/>
  <c r="R214" i="82"/>
  <c r="Q214" i="82"/>
  <c r="P214" i="82"/>
  <c r="O214" i="82"/>
  <c r="N214" i="82"/>
  <c r="L214" i="82"/>
  <c r="K214" i="82"/>
  <c r="J214" i="82"/>
  <c r="G214" i="82"/>
  <c r="C214" i="82"/>
  <c r="A214" i="82"/>
  <c r="R213" i="82"/>
  <c r="Q213" i="82"/>
  <c r="P213" i="82"/>
  <c r="O213" i="82"/>
  <c r="N213" i="82"/>
  <c r="L213" i="82"/>
  <c r="K213" i="82"/>
  <c r="J213" i="82"/>
  <c r="G213" i="82"/>
  <c r="C213" i="82"/>
  <c r="A213" i="82"/>
  <c r="R212" i="82"/>
  <c r="Q212" i="82"/>
  <c r="P212" i="82"/>
  <c r="O212" i="82"/>
  <c r="N212" i="82"/>
  <c r="L212" i="82"/>
  <c r="K212" i="82"/>
  <c r="J212" i="82"/>
  <c r="G212" i="82"/>
  <c r="C212" i="82"/>
  <c r="A212" i="82"/>
  <c r="R211" i="82"/>
  <c r="Q211" i="82"/>
  <c r="P211" i="82"/>
  <c r="O211" i="82"/>
  <c r="N211" i="82"/>
  <c r="L211" i="82"/>
  <c r="K211" i="82"/>
  <c r="J211" i="82"/>
  <c r="G211" i="82"/>
  <c r="C211" i="82"/>
  <c r="A211" i="82"/>
  <c r="R209" i="82"/>
  <c r="Q209" i="82"/>
  <c r="P209" i="82"/>
  <c r="O209" i="82"/>
  <c r="N209" i="82"/>
  <c r="L209" i="82"/>
  <c r="K209" i="82"/>
  <c r="J209" i="82"/>
  <c r="G209" i="82"/>
  <c r="C209" i="82"/>
  <c r="A209" i="82"/>
  <c r="R208" i="82"/>
  <c r="Q208" i="82"/>
  <c r="P208" i="82"/>
  <c r="O208" i="82"/>
  <c r="N208" i="82"/>
  <c r="L208" i="82"/>
  <c r="K208" i="82"/>
  <c r="J208" i="82"/>
  <c r="G208" i="82"/>
  <c r="C208" i="82"/>
  <c r="A208" i="82"/>
  <c r="R207" i="82"/>
  <c r="Q207" i="82"/>
  <c r="P207" i="82"/>
  <c r="O207" i="82"/>
  <c r="N207" i="82"/>
  <c r="L207" i="82"/>
  <c r="K207" i="82"/>
  <c r="J207" i="82"/>
  <c r="G207" i="82"/>
  <c r="C207" i="82"/>
  <c r="A207" i="82"/>
  <c r="R206" i="82"/>
  <c r="Q206" i="82"/>
  <c r="P206" i="82"/>
  <c r="O206" i="82"/>
  <c r="N206" i="82"/>
  <c r="L206" i="82"/>
  <c r="K206" i="82"/>
  <c r="J206" i="82"/>
  <c r="G206" i="82"/>
  <c r="C206" i="82"/>
  <c r="A206" i="82"/>
  <c r="A373" i="82"/>
  <c r="C373" i="82"/>
  <c r="G373" i="82"/>
  <c r="J373" i="82"/>
  <c r="K373" i="82"/>
  <c r="L373" i="82"/>
  <c r="N373" i="82"/>
  <c r="O373" i="82"/>
  <c r="P373" i="82"/>
  <c r="Q373" i="82"/>
  <c r="R373" i="82"/>
  <c r="A374" i="82"/>
  <c r="C374" i="82"/>
  <c r="G374" i="82"/>
  <c r="J374" i="82"/>
  <c r="K374" i="82"/>
  <c r="L374" i="82"/>
  <c r="N374" i="82"/>
  <c r="O374" i="82"/>
  <c r="P374" i="82"/>
  <c r="Q374" i="82"/>
  <c r="R374" i="82"/>
  <c r="A375" i="82"/>
  <c r="C375" i="82"/>
  <c r="G375" i="82"/>
  <c r="J375" i="82"/>
  <c r="K375" i="82"/>
  <c r="L375" i="82"/>
  <c r="N375" i="82"/>
  <c r="O375" i="82"/>
  <c r="P375" i="82"/>
  <c r="Q375" i="82"/>
  <c r="R375" i="82"/>
  <c r="A376" i="82"/>
  <c r="C376" i="82"/>
  <c r="G376" i="82"/>
  <c r="J376" i="82"/>
  <c r="K376" i="82"/>
  <c r="L376" i="82"/>
  <c r="N376" i="82"/>
  <c r="O376" i="82"/>
  <c r="P376" i="82"/>
  <c r="Q376" i="82"/>
  <c r="R376" i="82"/>
  <c r="A377" i="82"/>
  <c r="C377" i="82"/>
  <c r="G377" i="82"/>
  <c r="J377" i="82"/>
  <c r="K377" i="82"/>
  <c r="L377" i="82"/>
  <c r="N377" i="82"/>
  <c r="O377" i="82"/>
  <c r="P377" i="82"/>
  <c r="Q377" i="82"/>
  <c r="R377" i="82"/>
  <c r="A378" i="82"/>
  <c r="C378" i="82"/>
  <c r="G378" i="82"/>
  <c r="J378" i="82"/>
  <c r="K378" i="82"/>
  <c r="L378" i="82"/>
  <c r="N378" i="82"/>
  <c r="O378" i="82"/>
  <c r="P378" i="82"/>
  <c r="Q378" i="82"/>
  <c r="R378" i="82"/>
  <c r="A379" i="82"/>
  <c r="C379" i="82"/>
  <c r="J379" i="82"/>
  <c r="K379" i="82"/>
  <c r="L379" i="82"/>
  <c r="N379" i="82"/>
  <c r="O379" i="82"/>
  <c r="P379" i="82"/>
  <c r="Q379" i="82"/>
  <c r="R379" i="82"/>
  <c r="A380" i="82"/>
  <c r="C380" i="82"/>
  <c r="G380" i="82"/>
  <c r="J380" i="82"/>
  <c r="K380" i="82"/>
  <c r="L380" i="82"/>
  <c r="N380" i="82"/>
  <c r="O380" i="82"/>
  <c r="P380" i="82"/>
  <c r="Q380" i="82"/>
  <c r="R380" i="82"/>
  <c r="I2" i="82"/>
  <c r="D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33" i="82"/>
  <c r="P233" i="82"/>
  <c r="Q233" i="82"/>
  <c r="R233" i="82"/>
  <c r="O234" i="82"/>
  <c r="P234" i="82"/>
  <c r="Q234" i="82"/>
  <c r="R234" i="82"/>
  <c r="O235" i="82"/>
  <c r="P235" i="82"/>
  <c r="Q235" i="82"/>
  <c r="R23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356" i="82"/>
  <c r="P356" i="82"/>
  <c r="Q356" i="82"/>
  <c r="R356" i="82"/>
  <c r="O357" i="82"/>
  <c r="P357" i="82"/>
  <c r="Q357" i="82"/>
  <c r="R357" i="82"/>
  <c r="O358" i="82"/>
  <c r="P358" i="82"/>
  <c r="Q358" i="82"/>
  <c r="R358" i="82"/>
  <c r="O359" i="82"/>
  <c r="P359" i="82"/>
  <c r="Q359" i="82"/>
  <c r="R359" i="82"/>
  <c r="O360" i="82"/>
  <c r="P360" i="82"/>
  <c r="Q360" i="82"/>
  <c r="R360" i="82"/>
  <c r="O361" i="82"/>
  <c r="P361" i="82"/>
  <c r="Q361" i="82"/>
  <c r="R361" i="82"/>
  <c r="O362" i="82"/>
  <c r="P362" i="82"/>
  <c r="Q362" i="82"/>
  <c r="R362" i="82"/>
  <c r="O363" i="82"/>
  <c r="P363" i="82"/>
  <c r="Q363" i="82"/>
  <c r="R363" i="82"/>
  <c r="O364" i="82"/>
  <c r="P364" i="82"/>
  <c r="Q364" i="82"/>
  <c r="R364" i="82"/>
  <c r="O365" i="82"/>
  <c r="P365" i="82"/>
  <c r="Q365" i="82"/>
  <c r="R365" i="82"/>
  <c r="O366" i="82"/>
  <c r="P366" i="82"/>
  <c r="Q366" i="82"/>
  <c r="R366" i="82"/>
  <c r="O367" i="82"/>
  <c r="P367" i="82"/>
  <c r="Q367" i="82"/>
  <c r="R367" i="82"/>
  <c r="O368" i="82"/>
  <c r="P368" i="82"/>
  <c r="Q368" i="82"/>
  <c r="R368" i="82"/>
  <c r="O369" i="82"/>
  <c r="P369" i="82"/>
  <c r="Q369" i="82"/>
  <c r="R369" i="82"/>
  <c r="O370" i="82"/>
  <c r="P370" i="82"/>
  <c r="Q370" i="82"/>
  <c r="R370" i="82"/>
  <c r="O371" i="82"/>
  <c r="P371" i="82"/>
  <c r="Q371" i="82"/>
  <c r="R371" i="82"/>
  <c r="O372" i="82"/>
  <c r="P372" i="82"/>
  <c r="Q372" i="82"/>
  <c r="R372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356" i="82"/>
  <c r="L357" i="82"/>
  <c r="L358" i="82"/>
  <c r="L359" i="82"/>
  <c r="L360" i="82"/>
  <c r="L361" i="82"/>
  <c r="L362" i="82"/>
  <c r="L363" i="82"/>
  <c r="L364" i="82"/>
  <c r="L365" i="82"/>
  <c r="L366" i="82"/>
  <c r="L367" i="82"/>
  <c r="L368" i="82"/>
  <c r="L369" i="82"/>
  <c r="L370" i="82"/>
  <c r="L371" i="82"/>
  <c r="L372" i="82"/>
  <c r="L2" i="82"/>
  <c r="G10" i="105"/>
  <c r="H5" i="105"/>
  <c r="G7" i="105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65" i="82"/>
  <c r="C365" i="82"/>
  <c r="G365" i="82"/>
  <c r="J365" i="82"/>
  <c r="K365" i="82"/>
  <c r="A366" i="82"/>
  <c r="C366" i="82"/>
  <c r="G366" i="82"/>
  <c r="J366" i="82"/>
  <c r="K366" i="82"/>
  <c r="A367" i="82"/>
  <c r="C367" i="82"/>
  <c r="G367" i="82"/>
  <c r="J367" i="82"/>
  <c r="K367" i="82"/>
  <c r="A368" i="82"/>
  <c r="C368" i="82"/>
  <c r="G368" i="82"/>
  <c r="J368" i="82"/>
  <c r="K368" i="82"/>
  <c r="A369" i="82"/>
  <c r="C369" i="82"/>
  <c r="G369" i="82"/>
  <c r="J369" i="82"/>
  <c r="K369" i="82"/>
  <c r="A370" i="82"/>
  <c r="C370" i="82"/>
  <c r="G370" i="82"/>
  <c r="J370" i="82"/>
  <c r="K370" i="82"/>
  <c r="A371" i="82"/>
  <c r="C371" i="82"/>
  <c r="G371" i="82"/>
  <c r="J371" i="82"/>
  <c r="K371" i="82"/>
  <c r="A372" i="82"/>
  <c r="C372" i="82"/>
  <c r="G372" i="82"/>
  <c r="J372" i="82"/>
  <c r="K372" i="82"/>
  <c r="K195" i="82"/>
  <c r="J195" i="82"/>
  <c r="G195" i="82"/>
  <c r="C195" i="82"/>
  <c r="A19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2" i="82"/>
  <c r="K364" i="82"/>
  <c r="J364" i="82"/>
  <c r="G364" i="82"/>
  <c r="C364" i="82"/>
  <c r="K363" i="82"/>
  <c r="J363" i="82"/>
  <c r="G363" i="82"/>
  <c r="C363" i="82"/>
  <c r="K362" i="82"/>
  <c r="J362" i="82"/>
  <c r="G362" i="82"/>
  <c r="C362" i="82"/>
  <c r="K361" i="82"/>
  <c r="J361" i="82"/>
  <c r="G361" i="82"/>
  <c r="C361" i="82"/>
  <c r="K360" i="82"/>
  <c r="J360" i="82"/>
  <c r="G360" i="82"/>
  <c r="C360" i="82"/>
  <c r="K359" i="82"/>
  <c r="J359" i="82"/>
  <c r="G359" i="82"/>
  <c r="C359" i="82"/>
  <c r="K358" i="82"/>
  <c r="J358" i="82"/>
  <c r="G358" i="82"/>
  <c r="C358" i="82"/>
  <c r="K357" i="82"/>
  <c r="J357" i="82"/>
  <c r="G357" i="82"/>
  <c r="C357" i="82"/>
  <c r="K356" i="82"/>
  <c r="J356" i="82"/>
  <c r="G356" i="82"/>
  <c r="C356" i="82"/>
  <c r="K355" i="82"/>
  <c r="J355" i="82"/>
  <c r="G355" i="82"/>
  <c r="C355" i="82"/>
  <c r="K354" i="82"/>
  <c r="J354" i="82"/>
  <c r="G354" i="82"/>
  <c r="C354" i="82"/>
  <c r="K353" i="82"/>
  <c r="J353" i="82"/>
  <c r="G353" i="82"/>
  <c r="C353" i="82"/>
  <c r="K352" i="82"/>
  <c r="J352" i="82"/>
  <c r="G352" i="82"/>
  <c r="C352" i="82"/>
  <c r="K351" i="82"/>
  <c r="J351" i="82"/>
  <c r="G351" i="82"/>
  <c r="C351" i="82"/>
  <c r="K350" i="82"/>
  <c r="J350" i="82"/>
  <c r="G350" i="82"/>
  <c r="C350" i="82"/>
  <c r="K349" i="82"/>
  <c r="J349" i="82"/>
  <c r="G349" i="82"/>
  <c r="C349" i="82"/>
  <c r="K348" i="82"/>
  <c r="J348" i="82"/>
  <c r="G348" i="82"/>
  <c r="C348" i="82"/>
  <c r="K347" i="82"/>
  <c r="J347" i="82"/>
  <c r="G347" i="82"/>
  <c r="C347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K235" i="82"/>
  <c r="J235" i="82"/>
  <c r="G235" i="82"/>
  <c r="C235" i="82"/>
  <c r="K234" i="82"/>
  <c r="J234" i="82"/>
  <c r="G234" i="82"/>
  <c r="C234" i="82"/>
  <c r="K233" i="82"/>
  <c r="J233" i="82"/>
  <c r="G233" i="82"/>
  <c r="C233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<sst xmlns="http://schemas.openxmlformats.org/spreadsheetml/2006/main" count="172" uniqueCount="95">
  <si>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</si>
  <si>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</si>
  <si>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</si>
  <si>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</si>
  <si>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</si>
  <si>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</si>
  <si>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</si>
  <si>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</si>
  <si>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</si>
  <si>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</si>
  <si>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</si>
  <si>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</si>
  <si>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</si>
  <si>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</si>
  <si>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</si>
  <si>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</si>
  <si>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</si>
  <si>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</si>
  <si>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</si>
  <si>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</si>
  <si>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</si>
  <si>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</si>
  <si>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</si>
  <si>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</si>
  <si>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</si>
  <si>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</si>
  <si>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</si>
  <si>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</si>
  <si>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</si>
  <si>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</si>
  <si>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</si>
  <si>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</si>
  <si>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</si>
  <si>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</si>
  <si>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</si>
  <si>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</si>
  <si>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</si>
  <si>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</si>
  <si>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</si>
  <si>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</si>
  <si>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</si>
  <si>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</si>
  <si>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</si>
  <si>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</si>
  <si>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</si>
  <si>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</si>
  <si>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</si>
  <si>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</si>
  <si>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</si>
  <si>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</si>
  <si>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</si>
  <si>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</si>
  <si>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</si>
  <si>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</si>
  <si>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</si>
  <si>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</si>
  <si>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</si>
  <si>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</si>
  <si>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</si>
  <si>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</si>
  <si>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</si>
  <si>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</si>
  <si>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</si>
  <si>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</si>
  <si>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</si>
  <si>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</si>
  <si>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</si>
  <si>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</si>
  <si>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</si>
  <si>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</si>
  <si>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</si>
  <si>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</si>
  <si>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</si>
  <si>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</si>
  <si>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</si>
  <si>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</si>
  <si>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</si>
  <si>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</si>
  <si>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</si>
  <si>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</si>
  <si>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</si>
  <si>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</si>
  <si>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</si>
  <si>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</si>
  <si>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</si>
  <si>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</si>
  <si>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</si>
  <si>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</si>
  <si>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</si>
  <si>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pick</t>
    <phoneticPr fontId="11"/>
  </si>
  <si>
    <t>pick</t>
    <phoneticPr fontId="11"/>
  </si>
  <si>
    <t>pick</t>
    <phoneticPr fontId="11"/>
  </si>
  <si>
    <t>PremiumS</t>
    <phoneticPr fontId="11"/>
  </si>
  <si>
    <t>PremiumSS</t>
    <phoneticPr fontId="11"/>
  </si>
  <si>
    <t>PremiumSSS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</si>
</sst>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23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</cellXfs>
  <cellStyles count="352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ハッピー？バレンタイン！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ユークリッド</v>
          </cell>
          <cell r="D688" t="str">
            <v>各属性相性良3・黄・R306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各属性相性良3・黄・R307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5</v>
          </cell>
          <cell r="J689" t="str">
            <v>PremiumS</v>
          </cell>
          <cell r="K689" t="str">
            <v>attack</v>
          </cell>
          <cell r="L689" t="str">
            <v>攻撃タイプ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ユークリッド</v>
          </cell>
          <cell r="D690" t="str">
            <v>各属性相性良3・黄・R308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</v>
          </cell>
          <cell r="K690" t="str">
            <v>attack</v>
          </cell>
          <cell r="L690" t="str">
            <v>攻撃タイプ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黒沼青葉</v>
          </cell>
          <cell r="D691" t="str">
            <v>各属性相性良3・黄・R309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5</v>
          </cell>
          <cell r="J691" t="str">
            <v>PremiumS</v>
          </cell>
          <cell r="K691" t="str">
            <v>attack</v>
          </cell>
          <cell r="L691" t="str">
            <v>攻撃タイプ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各属性相性良3・黄・R310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紀田正臣</v>
          </cell>
          <cell r="D693" t="str">
            <v>各属性相性良3・黄・R311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各属性相性良3・黄・R312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セルティ</v>
          </cell>
          <cell r="D695" t="str">
            <v>各属性相性良3・黄・R313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各属性相性良3・黄・R314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各属性相性良3・黄・R315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園原杏里</v>
          </cell>
          <cell r="D698" t="str">
            <v>各属性相性良3・黄・R316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各属性相性良3・黄・R317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折原臨也</v>
          </cell>
          <cell r="D700" t="str">
            <v>各属性相性良3・黄・R318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各属性相性良3・黄・R319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サイモン</v>
          </cell>
          <cell r="D702" t="str">
            <v>各属性相性良3・黄・R320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贄川春奈</v>
          </cell>
          <cell r="D704" t="str">
            <v>各属性相性良3・黄・R322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各属性相性良3・黄・R323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岸谷新羅</v>
          </cell>
          <cell r="D706" t="str">
            <v>各属性相性良3・黄・R324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各属性相性良3・黄・R325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門田京介</v>
          </cell>
          <cell r="D708" t="str">
            <v>各属性相性良3・黄・R326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各属性相性良3・黄・R327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田中トム</v>
          </cell>
          <cell r="D710" t="str">
            <v>各属性相性良3・黄・R328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各属性相性良3・黄・R329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竜ヶ峰帝人</v>
          </cell>
          <cell r="D712" t="str">
            <v>各属性相性良3・黄・R330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粟楠茜</v>
          </cell>
          <cell r="D714" t="str">
            <v>各属性相性良3・黄・R332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各属性相性良3・黄・R333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平和島静雄</v>
          </cell>
          <cell r="D716" t="str">
            <v>各属性相性良3・黄・R334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各属性相性良3・黄・R335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ヴァローナ</v>
          </cell>
          <cell r="D718" t="str">
            <v>各属性相性良3・黄・R336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各属性相性良3・黄・R337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直江兼続</v>
          </cell>
          <cell r="D720" t="str">
            <v>各属性相性良3・黄・R338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各属性相性良3・黄・R339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蘭丸</v>
          </cell>
          <cell r="D722" t="str">
            <v>各属性相性良3・黄・R340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上杉謙信</v>
          </cell>
          <cell r="D724" t="str">
            <v>各属性相性良3・黄・R342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各属性相性良3・黄・R343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織田信長</v>
          </cell>
          <cell r="D726" t="str">
            <v>各属性相性良3・黄・R344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各属性相性良3・黄・R345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井伊直虎</v>
          </cell>
          <cell r="D728" t="str">
            <v>各属性相性良3・黄・R346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各属性相性良3・黄・R347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ガラシャ</v>
          </cell>
          <cell r="D730" t="str">
            <v>各属性相性良3・黄・R348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各属性相性良3・黄・R349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各属性相性良3・黄・R350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伊達政宗</v>
          </cell>
          <cell r="D733" t="str">
            <v>各属性相性良3・黄・R351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各属性相性良3・黄・R352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信玄</v>
          </cell>
          <cell r="D735" t="str">
            <v>各属性相性良3・黄・R353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各属性相性良3・黄・R354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各属性相性良3・黄・R355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各属性相性良3・黄・R356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各属性相性良3・黄・R357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各属性相性良3・黄・R358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各属性相性良3・黄・R359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各属性相性良3・黄・R360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  <cell r="D743" t="str">
            <v>各属性相性良3・黄・R361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各属性相性良3・黄・R362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各属性相性良3・黄・R363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各属性相性良3・黄・R364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各属性相性良3・黄・R365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各属性相性良3・黄・R366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各属性相性良3・黄・R367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アポロン</v>
          </cell>
          <cell r="D750" t="str">
            <v>各属性相性良3・黄・R368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各属性相性良3・黄・R369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ムラマサ</v>
          </cell>
          <cell r="D752" t="str">
            <v>各属性相性良3・黄・R370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マサムネ</v>
          </cell>
          <cell r="D754" t="str">
            <v>各属性相性良3・黄・R372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各属性相性良3・黄・R373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アメノムラクモ</v>
          </cell>
          <cell r="D756" t="str">
            <v>各属性相性良3・黄・R374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各属性相性良3・黄・R375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雷切</v>
          </cell>
          <cell r="D758" t="str">
            <v>各属性相性良3・黄・R376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各属性相性良3・黄・R377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クロネッカー</v>
          </cell>
          <cell r="D760" t="str">
            <v>各属性相性良3・黄・R378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各属性相性良3・黄・R379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フィボナッチ</v>
          </cell>
          <cell r="D762" t="str">
            <v>各属性相性良3・黄・R380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各属性相性良3・黄・R381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バジリスク</v>
          </cell>
          <cell r="D764" t="str">
            <v>各属性相性良3・黄・R382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各属性相性良3・黄・R383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イナバ</v>
          </cell>
          <cell r="D766" t="str">
            <v>各属性相性良3・黄・R384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各属性相性良3・黄・R385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各属性相性良3・黄・R386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ミケランジェロ</v>
          </cell>
          <cell r="D769" t="str">
            <v>各属性相性良3・黄・R387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侵食破壊性ミケランジェロ</v>
          </cell>
          <cell r="D770" t="str">
            <v>各属性相性良3・黄・R388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ミケランジェロ</v>
          </cell>
          <cell r="D771" t="str">
            <v>各属性相性良3・黄・R389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ガラハッド</v>
          </cell>
          <cell r="D772" t="str">
            <v>各属性相性良3・黄・R390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各属性相性良3・黄・R391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各属性相性良3・黄・R392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チャリオット</v>
          </cell>
          <cell r="D775" t="str">
            <v>各属性相性良3・黄・R393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各属性相性良3・黄・R394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ミズチ</v>
          </cell>
          <cell r="D777" t="str">
            <v>各属性相性良3・黄・R395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各属性相性良3・黄・R396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各属性相性良3・黄・R397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ラブレター</v>
          </cell>
          <cell r="D780" t="str">
            <v>各属性相性良3・黄・R398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連鎖告白型ラブレター</v>
          </cell>
          <cell r="D781" t="str">
            <v>各属性相性良3・黄・R399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ラブレター</v>
          </cell>
          <cell r="D782" t="str">
            <v>各属性相性良3・黄・R400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ガレス</v>
          </cell>
          <cell r="D783" t="str">
            <v>各属性相性良3・黄・R401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各属性相性良3・黄・R402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各属性相性良3・黄・R403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ヘイウェイ</v>
          </cell>
          <cell r="D786" t="str">
            <v>各属性相性良3・黄・R404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各属性相性良3・黄・R405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パブロフ</v>
          </cell>
          <cell r="D788" t="str">
            <v>各属性相性良3・黄・R406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各属性相性良3・黄・R407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ノイマン</v>
          </cell>
          <cell r="D790" t="str">
            <v>各属性相性良3・黄・R408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各属性相性良3・黄・R409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ゼノン</v>
          </cell>
          <cell r="D792" t="str">
            <v>各属性相性良3・黄・R410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各属性相性良3・黄・R411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制服ハッピー</v>
          </cell>
          <cell r="D794" t="str">
            <v>各属性相性良3・黄・R412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桜りんご</v>
          </cell>
          <cell r="D795" t="str">
            <v>各属性相性良3・黄・R413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ラグランジュ</v>
          </cell>
          <cell r="D796" t="str">
            <v>各属性相性良3・黄・R414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6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シュレディンガー</v>
          </cell>
          <cell r="D797" t="str">
            <v>各属性相性良3・黄・R415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オイラー</v>
          </cell>
          <cell r="D798" t="str">
            <v>各属性相性良3・黄・R416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チューリング</v>
          </cell>
          <cell r="D799" t="str">
            <v>各属性相性良3・黄・R417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ヘンペル</v>
          </cell>
          <cell r="D800" t="str">
            <v>各属性相性良3・黄・R418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オーディン</v>
          </cell>
          <cell r="D801" t="str">
            <v>各属性相性良3・黄・R419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麒麟</v>
          </cell>
          <cell r="D802" t="str">
            <v>各属性相性良3・黄・R420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パラケルスス(旧イゾルデ)</v>
          </cell>
          <cell r="D803" t="str">
            <v>各属性相性良3・黄・R421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ファラデー(旧トール)</v>
          </cell>
          <cell r="D804" t="str">
            <v>各属性相性良3・黄・R422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R6 ベリアル</v>
          </cell>
          <cell r="D805" t="str">
            <v>各属性相性良3・黄・R423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red</v>
          </cell>
          <cell r="I805">
            <v>6</v>
          </cell>
          <cell r="J805" t="str">
            <v>PremiumN</v>
          </cell>
          <cell r="K805" t="str">
            <v>attack</v>
          </cell>
          <cell r="L805" t="str">
            <v>攻撃タイプ</v>
          </cell>
          <cell r="M805" t="str">
            <v>god</v>
          </cell>
        </row>
        <row r="806">
          <cell r="A806">
            <v>805</v>
          </cell>
          <cell r="B806" t="str">
            <v>ja</v>
          </cell>
          <cell r="C806" t="str">
            <v>R6 オセ</v>
          </cell>
          <cell r="D806" t="str">
            <v>各属性相性良3・黄・R424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green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 xml:space="preserve">R6 フォルネウス </v>
          </cell>
          <cell r="D807" t="str">
            <v>各属性相性良3・黄・R425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blue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R6 イザナミ</v>
          </cell>
          <cell r="D808" t="str">
            <v>各属性相性良3・黄・R426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yellow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沖田総司</v>
          </cell>
          <cell r="D809" t="str">
            <v>各属性相性良3・黄・R427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blue</v>
          </cell>
          <cell r="I809">
            <v>6</v>
          </cell>
          <cell r="J809" t="str">
            <v>PremiumSS</v>
          </cell>
          <cell r="K809" t="str">
            <v>balance</v>
          </cell>
          <cell r="L809" t="str">
            <v>バランスタイプ</v>
          </cell>
          <cell r="M809" t="str">
            <v>human</v>
          </cell>
        </row>
        <row r="810">
          <cell r="A810">
            <v>809</v>
          </cell>
          <cell r="B810" t="str">
            <v>ja</v>
          </cell>
          <cell r="C810" t="str">
            <v>R6 アマテラス</v>
          </cell>
          <cell r="D810" t="str">
            <v>各属性相性良3・黄・R428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red</v>
          </cell>
          <cell r="I810">
            <v>6</v>
          </cell>
          <cell r="J810" t="str">
            <v>PremiumS</v>
          </cell>
          <cell r="K810" t="str">
            <v>attack</v>
          </cell>
          <cell r="L810" t="str">
            <v>攻撃タイプ</v>
          </cell>
          <cell r="M810" t="str">
            <v>god</v>
          </cell>
        </row>
        <row r="811">
          <cell r="A811">
            <v>810</v>
          </cell>
          <cell r="B811" t="str">
            <v>ja</v>
          </cell>
          <cell r="C811" t="str">
            <v>R6 親指姫</v>
          </cell>
          <cell r="D811" t="str">
            <v>各属性相性良3・黄・R429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PremiumSS</v>
          </cell>
          <cell r="K811" t="str">
            <v>heal</v>
          </cell>
          <cell r="L811" t="str">
            <v>回復タイプ</v>
          </cell>
          <cell r="M811" t="str">
            <v>human</v>
          </cell>
        </row>
        <row r="812">
          <cell r="A812">
            <v>811</v>
          </cell>
          <cell r="B812" t="str">
            <v>ja</v>
          </cell>
          <cell r="C812" t="str">
            <v>R6 アザゼル</v>
          </cell>
          <cell r="D812" t="str">
            <v>各属性相性良3・黄・R430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green</v>
          </cell>
          <cell r="I812">
            <v>6</v>
          </cell>
          <cell r="J812" t="str">
            <v>PremiumS</v>
          </cell>
          <cell r="K812" t="str">
            <v>attack</v>
          </cell>
          <cell r="L812" t="str">
            <v>攻撃タイプ</v>
          </cell>
          <cell r="M812" t="str">
            <v>god</v>
          </cell>
        </row>
        <row r="813">
          <cell r="A813">
            <v>812</v>
          </cell>
          <cell r="B813" t="str">
            <v>ja</v>
          </cell>
          <cell r="C813" t="str">
            <v>R6 ヘンゼル＆グレーテル</v>
          </cell>
          <cell r="D813" t="str">
            <v>各属性相性良3・黄・R431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yellow</v>
          </cell>
          <cell r="I813">
            <v>6</v>
          </cell>
          <cell r="J813" t="str">
            <v>PremiumSS</v>
          </cell>
          <cell r="K813" t="str">
            <v>balance</v>
          </cell>
          <cell r="L813" t="str">
            <v>バランスタイプ</v>
          </cell>
          <cell r="M813" t="str">
            <v>human</v>
          </cell>
        </row>
        <row r="814">
          <cell r="A814">
            <v>813</v>
          </cell>
          <cell r="B814" t="str">
            <v>ja</v>
          </cell>
          <cell r="C814" t="str">
            <v>R6 ジャンヌ</v>
          </cell>
          <cell r="D814" t="str">
            <v>各属性相性良3・黄・R432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blue</v>
          </cell>
          <cell r="I814">
            <v>6</v>
          </cell>
          <cell r="J814" t="str">
            <v>PremiumS</v>
          </cell>
          <cell r="K814" t="str">
            <v>heal</v>
          </cell>
          <cell r="L814" t="str">
            <v>回復タイプ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八咫烏</v>
          </cell>
          <cell r="D815" t="str">
            <v>各属性相性良3・黄・R433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PremiumSS</v>
          </cell>
          <cell r="K815" t="str">
            <v>attack</v>
          </cell>
          <cell r="L815" t="str">
            <v>攻撃タイプ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宮本武蔵</v>
          </cell>
          <cell r="D816" t="str">
            <v>各属性相性良3・黄・R434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ドロシー</v>
          </cell>
          <cell r="D817" t="str">
            <v>各属性相性良3・黄・R435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オズ</v>
          </cell>
          <cell r="D818" t="str">
            <v>各属性相性良3・黄・R436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モルドレッド</v>
          </cell>
          <cell r="D819" t="str">
            <v>各属性相性良3・黄・R437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アーサー</v>
          </cell>
          <cell r="D820" t="str">
            <v>各属性相性良3・黄・R438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ペロー(長靴をはいた猫)</v>
          </cell>
          <cell r="D821" t="str">
            <v>各属性相性良3・黄・R439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グリム兄弟</v>
          </cell>
          <cell r="D822" t="str">
            <v>各属性相性良3・黄・R440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ハーメルン</v>
          </cell>
          <cell r="D823" t="str">
            <v>各属性相性良3・黄・R441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子供</v>
          </cell>
          <cell r="D824" t="str">
            <v>各属性相性良3・黄・R442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フレイヤ</v>
          </cell>
          <cell r="D825" t="str">
            <v>各属性相性良3・黄・R443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</v>
          </cell>
          <cell r="D826" t="str">
            <v>各属性相性良3・黄・R444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アルフヘイム(雲ドラゴン)</v>
          </cell>
          <cell r="D827" t="str">
            <v>各属性相性良3・黄・R445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フギンとムニン</v>
          </cell>
          <cell r="D828" t="str">
            <v>各属性相性良3・黄・R446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猫又（化け猫)</v>
          </cell>
          <cell r="D829" t="str">
            <v>各属性相性良3・黄・R447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カラス天狗</v>
          </cell>
          <cell r="D830" t="str">
            <v>各属性相性良3・黄・R448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ぬらりひょん</v>
          </cell>
          <cell r="D831" t="str">
            <v>各属性相性良3・黄・R449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鬼（酒呑童子）</v>
          </cell>
          <cell r="D832" t="str">
            <v>各属性相性良3・黄・R450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ヴィシュヌ</v>
          </cell>
          <cell r="D833" t="str">
            <v>各属性相性良3・黄・R451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シヴァ</v>
          </cell>
          <cell r="D834" t="str">
            <v>各属性相性良3・黄・R452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サラスヴァティ</v>
          </cell>
          <cell r="D835" t="str">
            <v>各属性相性良3・黄・R453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マーラ</v>
          </cell>
          <cell r="D836" t="str">
            <v>各属性相性良3・黄・R454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ちびハンプティ</v>
          </cell>
          <cell r="D837" t="str">
            <v>各属性相性良3・黄・R455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近藤勇</v>
          </cell>
          <cell r="D838" t="str">
            <v>各属性相性良3・黄・R456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ランスロット</v>
          </cell>
          <cell r="D839" t="str">
            <v>各属性相性良3・黄・R457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D23" sqref="D23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179</v>
      </c>
      <c r="D2" s="25" t="s">
        <v>60</v>
      </c>
      <c r="E2" s="23" t="str">
        <f ca="1">B2&amp;C2&amp;D2</f>
        <v>gacha_select_tables_179.tmp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179</v>
      </c>
      <c r="D3" s="25" t="s">
        <v>61</v>
      </c>
      <c r="E3" s="23" t="str">
        <f ca="1">B3&amp;C3&amp;D3</f>
        <v>gacha_settle_tables_179.tmp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179</v>
      </c>
      <c r="D4" s="25" t="s">
        <v>61</v>
      </c>
      <c r="E4" s="23" t="str">
        <f ca="1">B4&amp;C4&amp;D4</f>
        <v>gacha_bonus_tables_179.tmp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179</v>
      </c>
      <c r="D5" s="25" t="s">
        <v>61</v>
      </c>
      <c r="E5" s="23" t="str">
        <f ca="1">B5&amp;C5&amp;D5</f>
        <v>gifts_tmp_179.tmp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179</v>
      </c>
      <c r="D6" s="25" t="s">
        <v>61</v>
      </c>
      <c r="E6" s="23" t="str">
        <f ca="1">B6&amp;C6&amp;D6</f>
        <v>gifts_i18n_179.tmp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45"/>
  <sheetViews>
    <sheetView workbookViewId="0">
      <selection activeCell="C36" sqref="C36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4" si="0">0&amp;C3&amp;D3&amp;E3</f>
        <v>0PremiumW4</v>
      </c>
      <c r="B3">
        <v>1116</v>
      </c>
      <c r="C3" s="37" t="s">
        <v>72</v>
      </c>
      <c r="D3">
        <v>4</v>
      </c>
    </row>
    <row r="4" spans="1:5">
      <c r="A4" s="15" t="str">
        <f t="shared" si="0"/>
        <v>0PremiumN4</v>
      </c>
      <c r="B4">
        <v>2075</v>
      </c>
      <c r="C4" s="37" t="s">
        <v>73</v>
      </c>
      <c r="D4">
        <v>4</v>
      </c>
    </row>
    <row r="5" spans="1:5">
      <c r="A5" s="15" t="str">
        <f t="shared" si="0"/>
        <v>0PremiumS4</v>
      </c>
      <c r="B5">
        <v>2075</v>
      </c>
      <c r="C5" s="37" t="s">
        <v>74</v>
      </c>
      <c r="D5">
        <v>4</v>
      </c>
    </row>
    <row r="6" spans="1:5">
      <c r="A6" s="15" t="str">
        <f t="shared" si="0"/>
        <v>0PremiumS4pick</v>
      </c>
      <c r="B6">
        <v>12960</v>
      </c>
      <c r="C6" s="37" t="s">
        <v>92</v>
      </c>
      <c r="D6">
        <v>4</v>
      </c>
      <c r="E6" t="s">
        <v>89</v>
      </c>
    </row>
    <row r="7" spans="1:5">
      <c r="A7" s="15" t="str">
        <f t="shared" si="0"/>
        <v>0PremiumSS4</v>
      </c>
      <c r="B7">
        <v>72</v>
      </c>
      <c r="C7" s="37" t="s">
        <v>75</v>
      </c>
      <c r="D7">
        <v>4</v>
      </c>
    </row>
    <row r="8" spans="1:5">
      <c r="A8" s="15" t="str">
        <f t="shared" si="0"/>
        <v>0PremiumSS4pick</v>
      </c>
      <c r="B8">
        <v>6026</v>
      </c>
      <c r="C8" s="37" t="s">
        <v>93</v>
      </c>
      <c r="D8">
        <v>4</v>
      </c>
      <c r="E8" t="s">
        <v>90</v>
      </c>
    </row>
    <row r="9" spans="1:5">
      <c r="A9" s="15" t="str">
        <f t="shared" si="0"/>
        <v>0PremiumSSS4pick</v>
      </c>
      <c r="B9">
        <v>753</v>
      </c>
      <c r="C9" s="38" t="s">
        <v>94</v>
      </c>
      <c r="D9">
        <v>4</v>
      </c>
      <c r="E9" t="s">
        <v>91</v>
      </c>
    </row>
    <row r="10" spans="1:5">
      <c r="A10" s="15" t="str">
        <f t="shared" si="0"/>
        <v>0PremiumN5</v>
      </c>
      <c r="B10">
        <v>156</v>
      </c>
      <c r="C10" s="37" t="s">
        <v>73</v>
      </c>
      <c r="D10">
        <v>5</v>
      </c>
    </row>
    <row r="11" spans="1:5">
      <c r="A11" s="15" t="str">
        <f t="shared" si="0"/>
        <v>0PremiumS5</v>
      </c>
      <c r="B11">
        <v>156</v>
      </c>
      <c r="C11" s="37" t="s">
        <v>74</v>
      </c>
      <c r="D11">
        <v>5</v>
      </c>
    </row>
    <row r="12" spans="1:5">
      <c r="A12" s="15" t="str">
        <f t="shared" si="0"/>
        <v>0PremiumSS5</v>
      </c>
      <c r="B12">
        <v>5</v>
      </c>
      <c r="C12" s="37" t="s">
        <v>75</v>
      </c>
      <c r="D12">
        <v>5</v>
      </c>
    </row>
    <row r="13" spans="1:5">
      <c r="A13" s="15" t="str">
        <f t="shared" si="0"/>
        <v>0PremiumSS5pick</v>
      </c>
      <c r="B13">
        <v>454</v>
      </c>
      <c r="C13" s="37" t="s">
        <v>93</v>
      </c>
      <c r="D13">
        <v>5</v>
      </c>
      <c r="E13" t="s">
        <v>90</v>
      </c>
    </row>
    <row r="14" spans="1:5">
      <c r="A14" s="15" t="str">
        <f t="shared" si="0"/>
        <v>0PremiumSSS5pick</v>
      </c>
      <c r="B14">
        <v>57</v>
      </c>
      <c r="C14" s="37" t="s">
        <v>94</v>
      </c>
      <c r="D14">
        <v>5</v>
      </c>
      <c r="E14" t="s">
        <v>91</v>
      </c>
    </row>
    <row r="15" spans="1:5">
      <c r="A15" s="15"/>
      <c r="C15" s="38"/>
    </row>
    <row r="16" spans="1:5">
      <c r="A16" s="15"/>
    </row>
    <row r="17" spans="1:9">
      <c r="A17" s="15"/>
    </row>
    <row r="18" spans="1:9">
      <c r="A18" s="15"/>
    </row>
    <row r="19" spans="1:9">
      <c r="A19" s="9"/>
    </row>
    <row r="20" spans="1:9">
      <c r="A20" s="9" t="str">
        <f t="shared" ref="A20:A35" si="1">1&amp;C20&amp;D20&amp;E20</f>
        <v>1PremiumW3</v>
      </c>
      <c r="B20">
        <v>1523</v>
      </c>
      <c r="C20" t="s">
        <v>72</v>
      </c>
      <c r="D20">
        <v>3</v>
      </c>
    </row>
    <row r="21" spans="1:9">
      <c r="A21" s="9" t="str">
        <f t="shared" si="1"/>
        <v>1PremiumN3</v>
      </c>
      <c r="B21">
        <v>2284</v>
      </c>
      <c r="C21" t="s">
        <v>73</v>
      </c>
      <c r="D21">
        <v>3</v>
      </c>
    </row>
    <row r="22" spans="1:9">
      <c r="A22" s="9" t="str">
        <f t="shared" si="1"/>
        <v>1PremiumS3</v>
      </c>
      <c r="B22">
        <v>2284</v>
      </c>
      <c r="C22" t="s">
        <v>74</v>
      </c>
      <c r="D22">
        <v>3</v>
      </c>
      <c r="H22" s="53"/>
      <c r="I22" s="53"/>
    </row>
    <row r="23" spans="1:9">
      <c r="A23" s="9" t="str">
        <f t="shared" si="1"/>
        <v>1PremiumS3pick</v>
      </c>
      <c r="B23">
        <v>14045</v>
      </c>
      <c r="C23" t="s">
        <v>92</v>
      </c>
      <c r="D23">
        <v>3</v>
      </c>
      <c r="E23" t="s">
        <v>91</v>
      </c>
    </row>
    <row r="24" spans="1:9">
      <c r="A24" s="9" t="str">
        <f t="shared" si="1"/>
        <v>1PremiumW4</v>
      </c>
      <c r="B24">
        <v>481</v>
      </c>
      <c r="C24" t="s">
        <v>72</v>
      </c>
      <c r="D24">
        <v>4</v>
      </c>
    </row>
    <row r="25" spans="1:9">
      <c r="A25" s="9" t="str">
        <f t="shared" si="1"/>
        <v>1PremiumN4</v>
      </c>
      <c r="B25">
        <v>496</v>
      </c>
      <c r="C25" t="s">
        <v>73</v>
      </c>
      <c r="D25">
        <v>4</v>
      </c>
    </row>
    <row r="26" spans="1:9">
      <c r="A26" s="9" t="str">
        <f t="shared" si="1"/>
        <v>1PremiumS4</v>
      </c>
      <c r="B26">
        <v>496</v>
      </c>
      <c r="C26" t="s">
        <v>74</v>
      </c>
      <c r="D26">
        <v>4</v>
      </c>
    </row>
    <row r="27" spans="1:9">
      <c r="A27" s="9" t="str">
        <f t="shared" si="1"/>
        <v>1PremiumS4pick</v>
      </c>
      <c r="B27">
        <v>4435</v>
      </c>
      <c r="C27" t="s">
        <v>92</v>
      </c>
      <c r="D27">
        <v>4</v>
      </c>
      <c r="E27" t="s">
        <v>91</v>
      </c>
    </row>
    <row r="28" spans="1:9">
      <c r="A28" s="9" t="str">
        <f t="shared" si="1"/>
        <v>1PremiumSS4</v>
      </c>
      <c r="B28">
        <v>102</v>
      </c>
      <c r="C28" t="s">
        <v>75</v>
      </c>
      <c r="D28">
        <v>4</v>
      </c>
    </row>
    <row r="29" spans="1:9">
      <c r="A29" s="9" t="str">
        <f t="shared" si="1"/>
        <v>1PremiumSS4pick</v>
      </c>
      <c r="B29">
        <v>8547</v>
      </c>
      <c r="C29" t="s">
        <v>93</v>
      </c>
      <c r="D29">
        <v>4</v>
      </c>
      <c r="E29" t="s">
        <v>91</v>
      </c>
    </row>
    <row r="30" spans="1:9">
      <c r="A30" s="9" t="str">
        <f t="shared" si="1"/>
        <v>1PremiumSSS4pick</v>
      </c>
      <c r="B30">
        <v>1068</v>
      </c>
      <c r="C30" t="s">
        <v>94</v>
      </c>
      <c r="D30">
        <v>4</v>
      </c>
      <c r="E30" t="s">
        <v>91</v>
      </c>
    </row>
    <row r="31" spans="1:9">
      <c r="A31" s="9" t="str">
        <f t="shared" si="1"/>
        <v>1PremiumN5</v>
      </c>
      <c r="B31">
        <v>225</v>
      </c>
      <c r="C31" t="s">
        <v>73</v>
      </c>
      <c r="D31">
        <v>5</v>
      </c>
    </row>
    <row r="32" spans="1:9">
      <c r="A32" s="9" t="str">
        <f t="shared" si="1"/>
        <v>1PremiumS5</v>
      </c>
      <c r="B32">
        <v>225</v>
      </c>
      <c r="C32" t="s">
        <v>74</v>
      </c>
      <c r="D32">
        <v>5</v>
      </c>
    </row>
    <row r="33" spans="1:5">
      <c r="A33" s="9" t="str">
        <f t="shared" si="1"/>
        <v>1PremiumSS5</v>
      </c>
      <c r="B33">
        <v>8</v>
      </c>
      <c r="C33" t="s">
        <v>75</v>
      </c>
      <c r="D33">
        <v>5</v>
      </c>
    </row>
    <row r="34" spans="1:5">
      <c r="A34" s="9" t="str">
        <f t="shared" si="1"/>
        <v>1PremiumSS5pick</v>
      </c>
      <c r="B34">
        <v>693</v>
      </c>
      <c r="C34" t="s">
        <v>93</v>
      </c>
      <c r="D34">
        <v>5</v>
      </c>
      <c r="E34" t="s">
        <v>91</v>
      </c>
    </row>
    <row r="35" spans="1:5">
      <c r="A35" s="9" t="str">
        <f t="shared" si="1"/>
        <v>1PremiumSSS5pick</v>
      </c>
      <c r="B35">
        <v>87</v>
      </c>
      <c r="C35" t="s">
        <v>94</v>
      </c>
      <c r="D35">
        <v>5</v>
      </c>
      <c r="E35" t="s">
        <v>90</v>
      </c>
    </row>
    <row r="36" spans="1:5">
      <c r="A36" s="9"/>
    </row>
    <row r="37" spans="1:5">
      <c r="A37" s="9"/>
    </row>
    <row r="38" spans="1:5">
      <c r="A38" s="9"/>
    </row>
    <row r="39" spans="1:5">
      <c r="A39" s="9"/>
    </row>
    <row r="40" spans="1:5">
      <c r="A40" s="9"/>
    </row>
    <row r="41" spans="1:5">
      <c r="A41" s="9"/>
    </row>
    <row r="42" spans="1:5">
      <c r="A42" s="9"/>
    </row>
    <row r="43" spans="1:5">
      <c r="A43" s="9"/>
    </row>
    <row r="44" spans="1:5">
      <c r="A44" s="9"/>
    </row>
    <row r="45" spans="1:5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4"/>
  <sheetViews>
    <sheetView showGridLines="0" zoomScale="75" zoomScaleNormal="75" zoomScalePageLayoutView="75" workbookViewId="0">
      <pane ySplit="1" topLeftCell="A370" activePane="bottomLeft" state="frozen"/>
      <selection activeCell="M24" sqref="M24"/>
      <selection pane="bottomLeft" activeCell="O389" sqref="O389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1791126</v>
      </c>
      <c r="B2" s="2" t="str">
        <f>179&amp;E2</f>
        <v>1791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VLOOKUP(D2,gacha_179_base!A:B,2,FALSE)</f>
        <v>1523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1791127</v>
      </c>
      <c r="B3" s="2" t="str">
        <f t="shared" ref="B3:B66" si="2">179&amp;E3</f>
        <v>1791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VLOOKUP(D3,gacha_179_base!A:B,2,FALSE)</f>
        <v>481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1791128</v>
      </c>
      <c r="B4" s="2" t="str">
        <f t="shared" si="2"/>
        <v>1791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VLOOKUP(D4,gacha_179_base!A:B,2,FALSE)</f>
        <v>1523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1791129</v>
      </c>
      <c r="B5" s="2" t="str">
        <f t="shared" si="2"/>
        <v>1791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VLOOKUP(D5,gacha_179_base!A:B,2,FALSE)</f>
        <v>481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1791130</v>
      </c>
      <c r="B6" s="2" t="str">
        <f t="shared" si="2"/>
        <v>1791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VLOOKUP(D6,gacha_179_base!A:B,2,FALSE)</f>
        <v>1523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1791131</v>
      </c>
      <c r="B7" s="2" t="str">
        <f t="shared" si="2"/>
        <v>1791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VLOOKUP(D7,gacha_179_base!A:B,2,FALSE)</f>
        <v>481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1791132</v>
      </c>
      <c r="B8" s="2" t="str">
        <f t="shared" si="2"/>
        <v>1791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VLOOKUP(D8,gacha_179_base!A:B,2,FALSE)</f>
        <v>1523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1791133</v>
      </c>
      <c r="B9" s="2" t="str">
        <f t="shared" si="2"/>
        <v>1791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VLOOKUP(D9,gacha_179_base!A:B,2,FALSE)</f>
        <v>481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1791134</v>
      </c>
      <c r="B10" s="2" t="str">
        <f t="shared" si="2"/>
        <v>1791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VLOOKUP(D10,gacha_179_base!A:B,2,FALSE)</f>
        <v>1523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1791135</v>
      </c>
      <c r="B11" s="2" t="str">
        <f t="shared" si="2"/>
        <v>1791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VLOOKUP(D11,gacha_179_base!A:B,2,FALSE)</f>
        <v>481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1791136</v>
      </c>
      <c r="B12" s="2" t="str">
        <f t="shared" si="2"/>
        <v>1791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VLOOKUP(D12,gacha_179_base!A:B,2,FALSE)</f>
        <v>1523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1791137</v>
      </c>
      <c r="B13" s="2" t="str">
        <f t="shared" si="2"/>
        <v>1791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VLOOKUP(D13,gacha_179_base!A:B,2,FALSE)</f>
        <v>481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1791138</v>
      </c>
      <c r="B14" s="2" t="str">
        <f t="shared" si="2"/>
        <v>1791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VLOOKUP(D14,gacha_179_base!A:B,2,FALSE)</f>
        <v>1523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1791139</v>
      </c>
      <c r="B15" s="2" t="str">
        <f t="shared" si="2"/>
        <v>1791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VLOOKUP(D15,gacha_179_base!A:B,2,FALSE)</f>
        <v>481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1791140</v>
      </c>
      <c r="B16" s="2" t="str">
        <f t="shared" si="2"/>
        <v>1791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VLOOKUP(D16,gacha_179_base!A:B,2,FALSE)</f>
        <v>1523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1791141</v>
      </c>
      <c r="B17" s="2" t="str">
        <f t="shared" si="2"/>
        <v>1791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VLOOKUP(D17,gacha_179_base!A:B,2,FALSE)</f>
        <v>481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1791142</v>
      </c>
      <c r="B18" s="2" t="str">
        <f t="shared" si="2"/>
        <v>1791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VLOOKUP(D18,gacha_179_base!A:B,2,FALSE)</f>
        <v>1523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1791143</v>
      </c>
      <c r="B19" s="2" t="str">
        <f t="shared" si="2"/>
        <v>1791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VLOOKUP(D19,gacha_179_base!A:B,2,FALSE)</f>
        <v>481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1791144</v>
      </c>
      <c r="B20" s="2" t="str">
        <f t="shared" si="2"/>
        <v>1791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VLOOKUP(D20,gacha_179_base!A:B,2,FALSE)</f>
        <v>1523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1791145</v>
      </c>
      <c r="B21" s="2" t="str">
        <f t="shared" si="2"/>
        <v>1791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VLOOKUP(D21,gacha_179_base!A:B,2,FALSE)</f>
        <v>481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1791146</v>
      </c>
      <c r="B22" s="2" t="str">
        <f t="shared" si="2"/>
        <v>1791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VLOOKUP(D22,gacha_179_base!A:B,2,FALSE)</f>
        <v>1523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1791147</v>
      </c>
      <c r="B23" s="2" t="str">
        <f t="shared" si="2"/>
        <v>1791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VLOOKUP(D23,gacha_179_base!A:B,2,FALSE)</f>
        <v>481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1791148</v>
      </c>
      <c r="B24" s="2" t="str">
        <f t="shared" si="2"/>
        <v>1791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VLOOKUP(D24,gacha_179_base!A:B,2,FALSE)</f>
        <v>1523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1791149</v>
      </c>
      <c r="B25" s="2" t="str">
        <f t="shared" si="2"/>
        <v>1791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VLOOKUP(D25,gacha_179_base!A:B,2,FALSE)</f>
        <v>481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1791150</v>
      </c>
      <c r="B26" s="2" t="str">
        <f t="shared" si="2"/>
        <v>1791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VLOOKUP(D26,gacha_179_base!A:B,2,FALSE)</f>
        <v>1523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1791151</v>
      </c>
      <c r="B27" s="2" t="str">
        <f t="shared" si="2"/>
        <v>1791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VLOOKUP(D27,gacha_179_base!A:B,2,FALSE)</f>
        <v>481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1791152</v>
      </c>
      <c r="B28" s="2" t="str">
        <f t="shared" si="2"/>
        <v>1791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VLOOKUP(D28,gacha_179_base!A:B,2,FALSE)</f>
        <v>1523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1791153</v>
      </c>
      <c r="B29" s="2" t="str">
        <f t="shared" si="2"/>
        <v>1791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VLOOKUP(D29,gacha_179_base!A:B,2,FALSE)</f>
        <v>481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1791154</v>
      </c>
      <c r="B30" s="2" t="str">
        <f t="shared" si="2"/>
        <v>1791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VLOOKUP(D30,gacha_179_base!A:B,2,FALSE)</f>
        <v>1523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1791155</v>
      </c>
      <c r="B31" s="2" t="str">
        <f t="shared" si="2"/>
        <v>1791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VLOOKUP(D31,gacha_179_base!A:B,2,FALSE)</f>
        <v>481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1791156</v>
      </c>
      <c r="B32" s="2" t="str">
        <f t="shared" si="2"/>
        <v>1791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VLOOKUP(D32,gacha_179_base!A:B,2,FALSE)</f>
        <v>1523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1791157</v>
      </c>
      <c r="B33" s="2" t="str">
        <f t="shared" si="2"/>
        <v>1791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VLOOKUP(D33,gacha_179_base!A:B,2,FALSE)</f>
        <v>481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1791158</v>
      </c>
      <c r="B34" s="2" t="str">
        <f t="shared" si="2"/>
        <v>1791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VLOOKUP(D34,gacha_179_base!A:B,2,FALSE)</f>
        <v>1523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1791159</v>
      </c>
      <c r="B35" s="2" t="str">
        <f t="shared" si="2"/>
        <v>1791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VLOOKUP(D35,gacha_179_base!A:B,2,FALSE)</f>
        <v>481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1791160</v>
      </c>
      <c r="B36" s="2" t="str">
        <f t="shared" si="2"/>
        <v>1791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VLOOKUP(D36,gacha_179_base!A:B,2,FALSE)</f>
        <v>1523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1791161</v>
      </c>
      <c r="B37" s="2" t="str">
        <f t="shared" si="2"/>
        <v>1791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VLOOKUP(D37,gacha_179_base!A:B,2,FALSE)</f>
        <v>481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1791162</v>
      </c>
      <c r="B38" s="2" t="str">
        <f t="shared" si="2"/>
        <v>1791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VLOOKUP(D38,gacha_179_base!A:B,2,FALSE)</f>
        <v>1523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1791163</v>
      </c>
      <c r="B39" s="2" t="str">
        <f t="shared" si="2"/>
        <v>1791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VLOOKUP(D39,gacha_179_base!A:B,2,FALSE)</f>
        <v>481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1791164</v>
      </c>
      <c r="B40" s="2" t="str">
        <f t="shared" si="2"/>
        <v>1791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VLOOKUP(D40,gacha_179_base!A:B,2,FALSE)</f>
        <v>1523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1791165</v>
      </c>
      <c r="B41" s="2" t="str">
        <f t="shared" si="2"/>
        <v>1791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VLOOKUP(D41,gacha_179_base!A:B,2,FALSE)</f>
        <v>481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1791166</v>
      </c>
      <c r="B42" s="2" t="str">
        <f t="shared" si="2"/>
        <v>1791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VLOOKUP(D42,gacha_179_base!A:B,2,FALSE)</f>
        <v>2284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1791167</v>
      </c>
      <c r="B43" s="2" t="str">
        <f t="shared" si="2"/>
        <v>1791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VLOOKUP(D43,gacha_179_base!A:B,2,FALSE)</f>
        <v>496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1791168</v>
      </c>
      <c r="B44" s="2" t="str">
        <f t="shared" si="2"/>
        <v>1791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VLOOKUP(D44,gacha_179_base!A:B,2,FALSE)</f>
        <v>225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1791169</v>
      </c>
      <c r="B45" s="2" t="str">
        <f t="shared" si="2"/>
        <v>1791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VLOOKUP(D45,gacha_179_base!A:B,2,FALSE)</f>
        <v>2284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1791170</v>
      </c>
      <c r="B46" s="2" t="str">
        <f t="shared" si="2"/>
        <v>1791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VLOOKUP(D46,gacha_179_base!A:B,2,FALSE)</f>
        <v>496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1791171</v>
      </c>
      <c r="B47" s="2" t="str">
        <f t="shared" si="2"/>
        <v>1791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VLOOKUP(D47,gacha_179_base!A:B,2,FALSE)</f>
        <v>225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1791172</v>
      </c>
      <c r="B48" s="2" t="str">
        <f t="shared" si="2"/>
        <v>1791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VLOOKUP(D48,gacha_179_base!A:B,2,FALSE)</f>
        <v>2284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1791173</v>
      </c>
      <c r="B49" s="2" t="str">
        <f t="shared" si="2"/>
        <v>1791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VLOOKUP(D49,gacha_179_base!A:B,2,FALSE)</f>
        <v>496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1791174</v>
      </c>
      <c r="B50" s="2" t="str">
        <f t="shared" si="2"/>
        <v>1791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VLOOKUP(D50,gacha_179_base!A:B,2,FALSE)</f>
        <v>225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1791175</v>
      </c>
      <c r="B51" s="2" t="str">
        <f t="shared" si="2"/>
        <v>1791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VLOOKUP(D51,gacha_179_base!A:B,2,FALSE)</f>
        <v>2284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1791176</v>
      </c>
      <c r="B52" s="2" t="str">
        <f t="shared" si="2"/>
        <v>1791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VLOOKUP(D52,gacha_179_base!A:B,2,FALSE)</f>
        <v>496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1791177</v>
      </c>
      <c r="B53" s="2" t="str">
        <f t="shared" si="2"/>
        <v>1791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VLOOKUP(D53,gacha_179_base!A:B,2,FALSE)</f>
        <v>225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1791178</v>
      </c>
      <c r="B54" s="2" t="str">
        <f t="shared" si="2"/>
        <v>1791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VLOOKUP(D54,gacha_179_base!A:B,2,FALSE)</f>
        <v>2284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1791179</v>
      </c>
      <c r="B55" s="2" t="str">
        <f t="shared" si="2"/>
        <v>1791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VLOOKUP(D55,gacha_179_base!A:B,2,FALSE)</f>
        <v>496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1791180</v>
      </c>
      <c r="B56" s="2" t="str">
        <f t="shared" si="2"/>
        <v>1791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VLOOKUP(D56,gacha_179_base!A:B,2,FALSE)</f>
        <v>225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1791181</v>
      </c>
      <c r="B57" s="2" t="str">
        <f t="shared" si="2"/>
        <v>1791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VLOOKUP(D57,gacha_179_base!A:B,2,FALSE)</f>
        <v>2284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1791182</v>
      </c>
      <c r="B58" s="2" t="str">
        <f t="shared" si="2"/>
        <v>1791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VLOOKUP(D58,gacha_179_base!A:B,2,FALSE)</f>
        <v>496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1791183</v>
      </c>
      <c r="B59" s="2" t="str">
        <f t="shared" si="2"/>
        <v>1791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VLOOKUP(D59,gacha_179_base!A:B,2,FALSE)</f>
        <v>225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1791184</v>
      </c>
      <c r="B60" s="2" t="str">
        <f t="shared" si="2"/>
        <v>1791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VLOOKUP(D60,gacha_179_base!A:B,2,FALSE)</f>
        <v>2284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1791185</v>
      </c>
      <c r="B61" s="2" t="str">
        <f t="shared" si="2"/>
        <v>1791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VLOOKUP(D61,gacha_179_base!A:B,2,FALSE)</f>
        <v>496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1791186</v>
      </c>
      <c r="B62" s="2" t="str">
        <f t="shared" si="2"/>
        <v>1791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VLOOKUP(D62,gacha_179_base!A:B,2,FALSE)</f>
        <v>225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1791187</v>
      </c>
      <c r="B63" s="2" t="str">
        <f t="shared" si="2"/>
        <v>1791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VLOOKUP(D63,gacha_179_base!A:B,2,FALSE)</f>
        <v>2284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1791188</v>
      </c>
      <c r="B64" s="2" t="str">
        <f t="shared" si="2"/>
        <v>1791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VLOOKUP(D64,gacha_179_base!A:B,2,FALSE)</f>
        <v>496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1791189</v>
      </c>
      <c r="B65" s="2" t="str">
        <f t="shared" si="2"/>
        <v>1791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VLOOKUP(D65,gacha_179_base!A:B,2,FALSE)</f>
        <v>225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1791190</v>
      </c>
      <c r="B66" s="2" t="str">
        <f t="shared" si="2"/>
        <v>1791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VLOOKUP(D66,gacha_179_base!A:B,2,FALSE)</f>
        <v>2284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1791191</v>
      </c>
      <c r="B67" s="2" t="str">
        <f t="shared" ref="B67:B130" si="6">179&amp;E67</f>
        <v>1791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VLOOKUP(D67,gacha_179_base!A:B,2,FALSE)</f>
        <v>496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1791192</v>
      </c>
      <c r="B68" s="2" t="str">
        <f t="shared" si="6"/>
        <v>1791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VLOOKUP(D68,gacha_179_base!A:B,2,FALSE)</f>
        <v>225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1791193</v>
      </c>
      <c r="B69" s="2" t="str">
        <f t="shared" si="6"/>
        <v>1791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VLOOKUP(D69,gacha_179_base!A:B,2,FALSE)</f>
        <v>2284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1791194</v>
      </c>
      <c r="B70" s="2" t="str">
        <f t="shared" si="6"/>
        <v>1791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VLOOKUP(D70,gacha_179_base!A:B,2,FALSE)</f>
        <v>496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1791195</v>
      </c>
      <c r="B71" s="2" t="str">
        <f t="shared" si="6"/>
        <v>1791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VLOOKUP(D71,gacha_179_base!A:B,2,FALSE)</f>
        <v>225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1791196</v>
      </c>
      <c r="B72" s="2" t="str">
        <f t="shared" si="6"/>
        <v>1791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VLOOKUP(D72,gacha_179_base!A:B,2,FALSE)</f>
        <v>2284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1791197</v>
      </c>
      <c r="B73" s="2" t="str">
        <f t="shared" si="6"/>
        <v>1791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VLOOKUP(D73,gacha_179_base!A:B,2,FALSE)</f>
        <v>496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1791198</v>
      </c>
      <c r="B74" s="2" t="str">
        <f t="shared" si="6"/>
        <v>1791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VLOOKUP(D74,gacha_179_base!A:B,2,FALSE)</f>
        <v>225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1791199</v>
      </c>
      <c r="B75" s="2" t="str">
        <f t="shared" si="6"/>
        <v>1791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VLOOKUP(D75,gacha_179_base!A:B,2,FALSE)</f>
        <v>2284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1791200</v>
      </c>
      <c r="B76" s="2" t="str">
        <f t="shared" si="6"/>
        <v>1791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VLOOKUP(D76,gacha_179_base!A:B,2,FALSE)</f>
        <v>496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1791201</v>
      </c>
      <c r="B77" s="2" t="str">
        <f t="shared" si="6"/>
        <v>1791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VLOOKUP(D77,gacha_179_base!A:B,2,FALSE)</f>
        <v>225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1791202</v>
      </c>
      <c r="B78" s="2" t="str">
        <f t="shared" si="6"/>
        <v>1791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VLOOKUP(D78,gacha_179_base!A:B,2,FALSE)</f>
        <v>2284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1791203</v>
      </c>
      <c r="B79" s="2" t="str">
        <f t="shared" si="6"/>
        <v>1791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VLOOKUP(D79,gacha_179_base!A:B,2,FALSE)</f>
        <v>496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1791204</v>
      </c>
      <c r="B80" s="2" t="str">
        <f t="shared" si="6"/>
        <v>1791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VLOOKUP(D80,gacha_179_base!A:B,2,FALSE)</f>
        <v>225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1791205</v>
      </c>
      <c r="B81" s="2" t="str">
        <f t="shared" si="6"/>
        <v>1791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VLOOKUP(D81,gacha_179_base!A:B,2,FALSE)</f>
        <v>2284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1791206</v>
      </c>
      <c r="B82" s="2" t="str">
        <f t="shared" si="6"/>
        <v>1791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VLOOKUP(D82,gacha_179_base!A:B,2,FALSE)</f>
        <v>496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1791207</v>
      </c>
      <c r="B83" s="2" t="str">
        <f t="shared" si="6"/>
        <v>1791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VLOOKUP(D83,gacha_179_base!A:B,2,FALSE)</f>
        <v>225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1791208</v>
      </c>
      <c r="B84" s="2" t="str">
        <f t="shared" si="6"/>
        <v>1791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VLOOKUP(D84,gacha_179_base!A:B,2,FALSE)</f>
        <v>2284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1791209</v>
      </c>
      <c r="B85" s="2" t="str">
        <f t="shared" si="6"/>
        <v>1791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VLOOKUP(D85,gacha_179_base!A:B,2,FALSE)</f>
        <v>496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1791210</v>
      </c>
      <c r="B86" s="2" t="str">
        <f t="shared" si="6"/>
        <v>1791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VLOOKUP(D86,gacha_179_base!A:B,2,FALSE)</f>
        <v>225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1791211</v>
      </c>
      <c r="B87" s="2" t="str">
        <f t="shared" si="6"/>
        <v>1791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VLOOKUP(D87,gacha_179_base!A:B,2,FALSE)</f>
        <v>2284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1791212</v>
      </c>
      <c r="B88" s="2" t="str">
        <f t="shared" si="6"/>
        <v>1791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VLOOKUP(D88,gacha_179_base!A:B,2,FALSE)</f>
        <v>496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1791213</v>
      </c>
      <c r="B89" s="2" t="str">
        <f t="shared" si="6"/>
        <v>1791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VLOOKUP(D89,gacha_179_base!A:B,2,FALSE)</f>
        <v>225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1791214</v>
      </c>
      <c r="B90" s="2" t="str">
        <f t="shared" si="6"/>
        <v>1791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VLOOKUP(D90,gacha_179_base!A:B,2,FALSE)</f>
        <v>2284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1791215</v>
      </c>
      <c r="B91" s="2" t="str">
        <f t="shared" si="6"/>
        <v>1791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VLOOKUP(D91,gacha_179_base!A:B,2,FALSE)</f>
        <v>496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1791216</v>
      </c>
      <c r="B92" s="2" t="str">
        <f t="shared" si="6"/>
        <v>1791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VLOOKUP(D92,gacha_179_base!A:B,2,FALSE)</f>
        <v>225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1791217</v>
      </c>
      <c r="B93" s="2" t="str">
        <f t="shared" si="6"/>
        <v>1791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VLOOKUP(D93,gacha_179_base!A:B,2,FALSE)</f>
        <v>2284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1791218</v>
      </c>
      <c r="B94" s="2" t="str">
        <f t="shared" si="6"/>
        <v>1791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VLOOKUP(D94,gacha_179_base!A:B,2,FALSE)</f>
        <v>496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1791219</v>
      </c>
      <c r="B95" s="2" t="str">
        <f t="shared" si="6"/>
        <v>1791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VLOOKUP(D95,gacha_179_base!A:B,2,FALSE)</f>
        <v>225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1791220</v>
      </c>
      <c r="B96" s="2" t="str">
        <f t="shared" si="6"/>
        <v>1791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VLOOKUP(D96,gacha_179_base!A:B,2,FALSE)</f>
        <v>2284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1791221</v>
      </c>
      <c r="B97" s="2" t="str">
        <f t="shared" si="6"/>
        <v>1791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VLOOKUP(D97,gacha_179_base!A:B,2,FALSE)</f>
        <v>496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1791222</v>
      </c>
      <c r="B98" s="2" t="str">
        <f t="shared" si="6"/>
        <v>1791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VLOOKUP(D98,gacha_179_base!A:B,2,FALSE)</f>
        <v>225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1791223</v>
      </c>
      <c r="B99" s="2" t="str">
        <f t="shared" si="6"/>
        <v>1791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VLOOKUP(D99,gacha_179_base!A:B,2,FALSE)</f>
        <v>2284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1791224</v>
      </c>
      <c r="B100" s="2" t="str">
        <f t="shared" si="6"/>
        <v>1791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VLOOKUP(D100,gacha_179_base!A:B,2,FALSE)</f>
        <v>496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1791225</v>
      </c>
      <c r="B101" s="2" t="str">
        <f t="shared" si="6"/>
        <v>1791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VLOOKUP(D101,gacha_179_base!A:B,2,FALSE)</f>
        <v>225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1791226</v>
      </c>
      <c r="B102" s="2" t="str">
        <f t="shared" si="6"/>
        <v>1791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VLOOKUP(D102,gacha_179_base!A:B,2,FALSE)</f>
        <v>2284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1791227</v>
      </c>
      <c r="B103" s="2" t="str">
        <f t="shared" si="6"/>
        <v>1791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VLOOKUP(D103,gacha_179_base!A:B,2,FALSE)</f>
        <v>496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1791228</v>
      </c>
      <c r="B104" s="2" t="str">
        <f t="shared" si="6"/>
        <v>1791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VLOOKUP(D104,gacha_179_base!A:B,2,FALSE)</f>
        <v>225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1791229</v>
      </c>
      <c r="B105" s="2" t="str">
        <f t="shared" si="6"/>
        <v>1791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VLOOKUP(D105,gacha_179_base!A:B,2,FALSE)</f>
        <v>2284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1791230</v>
      </c>
      <c r="B106" s="2" t="str">
        <f t="shared" si="6"/>
        <v>1791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VLOOKUP(D106,gacha_179_base!A:B,2,FALSE)</f>
        <v>496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1791231</v>
      </c>
      <c r="B107" s="2" t="str">
        <f t="shared" si="6"/>
        <v>1791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VLOOKUP(D107,gacha_179_base!A:B,2,FALSE)</f>
        <v>225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1791232</v>
      </c>
      <c r="B108" s="2" t="str">
        <f t="shared" si="6"/>
        <v>1791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VLOOKUP(D108,gacha_179_base!A:B,2,FALSE)</f>
        <v>2284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1791233</v>
      </c>
      <c r="B109" s="2" t="str">
        <f t="shared" si="6"/>
        <v>1791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VLOOKUP(D109,gacha_179_base!A:B,2,FALSE)</f>
        <v>496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1791234</v>
      </c>
      <c r="B110" s="2" t="str">
        <f t="shared" si="6"/>
        <v>1791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VLOOKUP(D110,gacha_179_base!A:B,2,FALSE)</f>
        <v>225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1791235</v>
      </c>
      <c r="B111" s="2" t="str">
        <f t="shared" si="6"/>
        <v>1791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VLOOKUP(D111,gacha_179_base!A:B,2,FALSE)</f>
        <v>2284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1791236</v>
      </c>
      <c r="B112" s="2" t="str">
        <f t="shared" si="6"/>
        <v>1791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VLOOKUP(D112,gacha_179_base!A:B,2,FALSE)</f>
        <v>496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1791237</v>
      </c>
      <c r="B113" s="2" t="str">
        <f t="shared" si="6"/>
        <v>1791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VLOOKUP(D113,gacha_179_base!A:B,2,FALSE)</f>
        <v>225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1791238</v>
      </c>
      <c r="B114" s="2" t="str">
        <f t="shared" si="6"/>
        <v>1791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VLOOKUP(D114,gacha_179_base!A:B,2,FALSE)</f>
        <v>2284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1791239</v>
      </c>
      <c r="B115" s="2" t="str">
        <f t="shared" si="6"/>
        <v>1791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VLOOKUP(D115,gacha_179_base!A:B,2,FALSE)</f>
        <v>496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1791240</v>
      </c>
      <c r="B116" s="2" t="str">
        <f t="shared" si="6"/>
        <v>1791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VLOOKUP(D116,gacha_179_base!A:B,2,FALSE)</f>
        <v>225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1791241</v>
      </c>
      <c r="B117" s="2" t="str">
        <f t="shared" si="6"/>
        <v>1791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VLOOKUP(D117,gacha_179_base!A:B,2,FALSE)</f>
        <v>2284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1791242</v>
      </c>
      <c r="B118" s="2" t="str">
        <f t="shared" si="6"/>
        <v>1791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VLOOKUP(D118,gacha_179_base!A:B,2,FALSE)</f>
        <v>496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1791243</v>
      </c>
      <c r="B119" s="2" t="str">
        <f t="shared" si="6"/>
        <v>1791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VLOOKUP(D119,gacha_179_base!A:B,2,FALSE)</f>
        <v>225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1791244</v>
      </c>
      <c r="B120" s="2" t="str">
        <f t="shared" si="6"/>
        <v>1791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VLOOKUP(D120,gacha_179_base!A:B,2,FALSE)</f>
        <v>2284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1791245</v>
      </c>
      <c r="B121" s="2" t="str">
        <f t="shared" si="6"/>
        <v>1791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VLOOKUP(D121,gacha_179_base!A:B,2,FALSE)</f>
        <v>496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1791246</v>
      </c>
      <c r="B122" s="2" t="str">
        <f t="shared" si="6"/>
        <v>1791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VLOOKUP(D122,gacha_179_base!A:B,2,FALSE)</f>
        <v>225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1791247</v>
      </c>
      <c r="B123" s="2" t="str">
        <f t="shared" si="6"/>
        <v>1791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VLOOKUP(D123,gacha_179_base!A:B,2,FALSE)</f>
        <v>2284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1791248</v>
      </c>
      <c r="B124" s="2" t="str">
        <f t="shared" si="6"/>
        <v>1791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VLOOKUP(D124,gacha_179_base!A:B,2,FALSE)</f>
        <v>496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1791249</v>
      </c>
      <c r="B125" s="2" t="str">
        <f t="shared" si="6"/>
        <v>1791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VLOOKUP(D125,gacha_179_base!A:B,2,FALSE)</f>
        <v>225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1791250</v>
      </c>
      <c r="B126" s="2" t="str">
        <f t="shared" si="6"/>
        <v>1791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VLOOKUP(D126,gacha_179_base!A:B,2,FALSE)</f>
        <v>2284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1791251</v>
      </c>
      <c r="B127" s="2" t="str">
        <f t="shared" si="6"/>
        <v>1791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VLOOKUP(D127,gacha_179_base!A:B,2,FALSE)</f>
        <v>496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1791252</v>
      </c>
      <c r="B128" s="2" t="str">
        <f t="shared" si="6"/>
        <v>1791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VLOOKUP(D128,gacha_179_base!A:B,2,FALSE)</f>
        <v>225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1791253</v>
      </c>
      <c r="B129" s="2" t="str">
        <f t="shared" si="6"/>
        <v>1791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VLOOKUP(D129,gacha_179_base!A:B,2,FALSE)</f>
        <v>2284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1791254</v>
      </c>
      <c r="B130" s="2" t="str">
        <f t="shared" si="6"/>
        <v>1791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VLOOKUP(D130,gacha_179_base!A:B,2,FALSE)</f>
        <v>496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1791255</v>
      </c>
      <c r="B131" s="2" t="str">
        <f t="shared" ref="B131:B194" si="10">179&amp;E131</f>
        <v>1791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VLOOKUP(D131,gacha_179_base!A:B,2,FALSE)</f>
        <v>225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1791256</v>
      </c>
      <c r="B132" s="2" t="str">
        <f t="shared" si="10"/>
        <v>1791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VLOOKUP(D132,gacha_179_base!A:B,2,FALSE)</f>
        <v>2284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1791257</v>
      </c>
      <c r="B133" s="2" t="str">
        <f t="shared" si="10"/>
        <v>1791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VLOOKUP(D133,gacha_179_base!A:B,2,FALSE)</f>
        <v>496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1791258</v>
      </c>
      <c r="B134" s="2" t="str">
        <f t="shared" si="10"/>
        <v>1791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VLOOKUP(D134,gacha_179_base!A:B,2,FALSE)</f>
        <v>225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1791259</v>
      </c>
      <c r="B135" s="2" t="str">
        <f t="shared" si="10"/>
        <v>1791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VLOOKUP(D135,gacha_179_base!A:B,2,FALSE)</f>
        <v>2284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1791260</v>
      </c>
      <c r="B136" s="2" t="str">
        <f t="shared" si="10"/>
        <v>1791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VLOOKUP(D136,gacha_179_base!A:B,2,FALSE)</f>
        <v>496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1791261</v>
      </c>
      <c r="B137" s="2" t="str">
        <f t="shared" si="10"/>
        <v>1791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VLOOKUP(D137,gacha_179_base!A:B,2,FALSE)</f>
        <v>225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1791320</v>
      </c>
      <c r="B138" s="2" t="str">
        <f t="shared" si="10"/>
        <v>1791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VLOOKUP(D138,gacha_179_base!A:B,2,FALSE)</f>
        <v>102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1791321</v>
      </c>
      <c r="B139" s="2" t="str">
        <f t="shared" si="10"/>
        <v>1791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VLOOKUP(D139,gacha_179_base!A:B,2,FALSE)</f>
        <v>8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1791322</v>
      </c>
      <c r="B140" s="2" t="str">
        <f t="shared" si="10"/>
        <v>1791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VLOOKUP(D140,gacha_179_base!A:B,2,FALSE)</f>
        <v>102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1791323</v>
      </c>
      <c r="B141" s="2" t="str">
        <f t="shared" si="10"/>
        <v>1791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VLOOKUP(D141,gacha_179_base!A:B,2,FALSE)</f>
        <v>8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1791324</v>
      </c>
      <c r="B142" s="2" t="str">
        <f t="shared" si="10"/>
        <v>1791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VLOOKUP(D142,gacha_179_base!A:B,2,FALSE)</f>
        <v>102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1791325</v>
      </c>
      <c r="B143" s="2" t="str">
        <f t="shared" si="10"/>
        <v>1791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VLOOKUP(D143,gacha_179_base!A:B,2,FALSE)</f>
        <v>8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1791326</v>
      </c>
      <c r="B144" s="2" t="str">
        <f t="shared" si="10"/>
        <v>1791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VLOOKUP(D144,gacha_179_base!A:B,2,FALSE)</f>
        <v>102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1791327</v>
      </c>
      <c r="B145" s="2" t="str">
        <f t="shared" si="10"/>
        <v>1791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VLOOKUP(D145,gacha_179_base!A:B,2,FALSE)</f>
        <v>8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1791380</v>
      </c>
      <c r="B146" s="2" t="str">
        <f t="shared" si="10"/>
        <v>1791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VLOOKUP(D146,gacha_179_base!A:B,2,FALSE)</f>
        <v>2284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1791381</v>
      </c>
      <c r="B147" s="2" t="str">
        <f t="shared" si="10"/>
        <v>1791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VLOOKUP(D147,gacha_179_base!A:B,2,FALSE)</f>
        <v>496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1791382</v>
      </c>
      <c r="B148" s="2" t="str">
        <f t="shared" si="10"/>
        <v>1791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VLOOKUP(D148,gacha_179_base!A:B,2,FALSE)</f>
        <v>225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1791383</v>
      </c>
      <c r="B149" s="2" t="str">
        <f t="shared" si="10"/>
        <v>1791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VLOOKUP(D149,gacha_179_base!A:B,2,FALSE)</f>
        <v>102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1791384</v>
      </c>
      <c r="B150" s="2" t="str">
        <f t="shared" si="10"/>
        <v>1791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VLOOKUP(D150,gacha_179_base!A:B,2,FALSE)</f>
        <v>8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1791385</v>
      </c>
      <c r="B151" s="2" t="str">
        <f t="shared" si="10"/>
        <v>1791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VLOOKUP(D151,gacha_179_base!A:B,2,FALSE)</f>
        <v>102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1791386</v>
      </c>
      <c r="B152" s="2" t="str">
        <f t="shared" si="10"/>
        <v>1791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VLOOKUP(D152,gacha_179_base!A:B,2,FALSE)</f>
        <v>8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1791387</v>
      </c>
      <c r="B153" s="2" t="str">
        <f t="shared" si="10"/>
        <v>1791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VLOOKUP(D153,gacha_179_base!A:B,2,FALSE)</f>
        <v>2284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1791388</v>
      </c>
      <c r="B154" s="2" t="str">
        <f t="shared" si="10"/>
        <v>1791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VLOOKUP(D154,gacha_179_base!A:B,2,FALSE)</f>
        <v>496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1791389</v>
      </c>
      <c r="B155" s="2" t="str">
        <f t="shared" si="10"/>
        <v>1791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VLOOKUP(D155,gacha_179_base!A:B,2,FALSE)</f>
        <v>225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1791390</v>
      </c>
      <c r="B156" s="2" t="str">
        <f t="shared" si="10"/>
        <v>1791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VLOOKUP(D156,gacha_179_base!A:B,2,FALSE)</f>
        <v>102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1791391</v>
      </c>
      <c r="B157" s="2" t="str">
        <f t="shared" si="10"/>
        <v>1791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VLOOKUP(D157,gacha_179_base!A:B,2,FALSE)</f>
        <v>8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1791392</v>
      </c>
      <c r="B158" s="2" t="str">
        <f t="shared" si="10"/>
        <v>1791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VLOOKUP(D158,gacha_179_base!A:B,2,FALSE)</f>
        <v>2284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1791393</v>
      </c>
      <c r="B159" s="2" t="str">
        <f t="shared" si="10"/>
        <v>1791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VLOOKUP(D159,gacha_179_base!A:B,2,FALSE)</f>
        <v>496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1791394</v>
      </c>
      <c r="B160" s="2" t="str">
        <f t="shared" si="10"/>
        <v>1791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VLOOKUP(D160,gacha_179_base!A:B,2,FALSE)</f>
        <v>225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1791395</v>
      </c>
      <c r="B161" s="2" t="str">
        <f t="shared" si="10"/>
        <v>1791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VLOOKUP(D161,gacha_179_base!A:B,2,FALSE)</f>
        <v>2284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1791396</v>
      </c>
      <c r="B162" s="2" t="str">
        <f t="shared" si="10"/>
        <v>1791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VLOOKUP(D162,gacha_179_base!A:B,2,FALSE)</f>
        <v>496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1791397</v>
      </c>
      <c r="B163" s="2" t="str">
        <f t="shared" si="10"/>
        <v>1791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VLOOKUP(D163,gacha_179_base!A:B,2,FALSE)</f>
        <v>225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1791398</v>
      </c>
      <c r="B164" s="2" t="str">
        <f t="shared" si="10"/>
        <v>1791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VLOOKUP(D164,gacha_179_base!A:B,2,FALSE)</f>
        <v>102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1791399</v>
      </c>
      <c r="B165" s="2" t="str">
        <f t="shared" si="10"/>
        <v>1791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VLOOKUP(D165,gacha_179_base!A:B,2,FALSE)</f>
        <v>8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1791400</v>
      </c>
      <c r="B166" s="2" t="str">
        <f t="shared" si="10"/>
        <v>1791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VLOOKUP(D166,gacha_179_base!A:B,2,FALSE)</f>
        <v>2284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1791401</v>
      </c>
      <c r="B167" s="2" t="str">
        <f t="shared" si="10"/>
        <v>1791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VLOOKUP(D167,gacha_179_base!A:B,2,FALSE)</f>
        <v>496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1791402</v>
      </c>
      <c r="B168" s="2" t="str">
        <f t="shared" si="10"/>
        <v>1791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VLOOKUP(D168,gacha_179_base!A:B,2,FALSE)</f>
        <v>225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1791403</v>
      </c>
      <c r="B169" s="2" t="str">
        <f t="shared" si="10"/>
        <v>1791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VLOOKUP(D169,gacha_179_base!A:B,2,FALSE)</f>
        <v>102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1791404</v>
      </c>
      <c r="B170" s="2" t="str">
        <f t="shared" si="10"/>
        <v>1791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VLOOKUP(D170,gacha_179_base!A:B,2,FALSE)</f>
        <v>8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1791405</v>
      </c>
      <c r="B171" s="2" t="str">
        <f t="shared" si="10"/>
        <v>1791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VLOOKUP(D171,gacha_179_base!A:B,2,FALSE)</f>
        <v>2284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1791406</v>
      </c>
      <c r="B172" s="2" t="str">
        <f t="shared" si="10"/>
        <v>1791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VLOOKUP(D172,gacha_179_base!A:B,2,FALSE)</f>
        <v>496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1791407</v>
      </c>
      <c r="B173" s="2" t="str">
        <f t="shared" si="10"/>
        <v>1791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VLOOKUP(D173,gacha_179_base!A:B,2,FALSE)</f>
        <v>225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1791408</v>
      </c>
      <c r="B174" s="2" t="str">
        <f t="shared" si="10"/>
        <v>1791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VLOOKUP(D174,gacha_179_base!A:B,2,FALSE)</f>
        <v>102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1791409</v>
      </c>
      <c r="B175" s="2" t="str">
        <f t="shared" si="10"/>
        <v>1791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VLOOKUP(D175,gacha_179_base!A:B,2,FALSE)</f>
        <v>8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1791434</v>
      </c>
      <c r="B176" s="2" t="str">
        <f t="shared" si="10"/>
        <v>1791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VLOOKUP(D176,gacha_179_base!A:B,2,FALSE)</f>
        <v>102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1791435</v>
      </c>
      <c r="B177" s="2" t="str">
        <f t="shared" si="10"/>
        <v>1791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VLOOKUP(D177,gacha_179_base!A:B,2,FALSE)</f>
        <v>8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1791436</v>
      </c>
      <c r="B178" s="2" t="str">
        <f t="shared" si="10"/>
        <v>1791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VLOOKUP(D178,gacha_179_base!A:B,2,FALSE)</f>
        <v>2284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1791437</v>
      </c>
      <c r="B179" s="2" t="str">
        <f t="shared" si="10"/>
        <v>1791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VLOOKUP(D179,gacha_179_base!A:B,2,FALSE)</f>
        <v>496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1791438</v>
      </c>
      <c r="B180" s="2" t="str">
        <f t="shared" si="10"/>
        <v>1791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VLOOKUP(D180,gacha_179_base!A:B,2,FALSE)</f>
        <v>225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1791439</v>
      </c>
      <c r="B181" s="2" t="str">
        <f t="shared" si="10"/>
        <v>1791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VLOOKUP(D181,gacha_179_base!A:B,2,FALSE)</f>
        <v>2284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1791440</v>
      </c>
      <c r="B182" s="2" t="str">
        <f t="shared" si="10"/>
        <v>1791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VLOOKUP(D182,gacha_179_base!A:B,2,FALSE)</f>
        <v>496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1791441</v>
      </c>
      <c r="B183" s="2" t="str">
        <f t="shared" si="10"/>
        <v>1791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VLOOKUP(D183,gacha_179_base!A:B,2,FALSE)</f>
        <v>225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1791442</v>
      </c>
      <c r="B184" s="2" t="str">
        <f t="shared" si="10"/>
        <v>1791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VLOOKUP(D184,gacha_179_base!A:B,2,FALSE)</f>
        <v>102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1791443</v>
      </c>
      <c r="B185" s="2" t="str">
        <f t="shared" si="10"/>
        <v>1791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VLOOKUP(D185,gacha_179_base!A:B,2,FALSE)</f>
        <v>8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1791462</v>
      </c>
      <c r="B186" s="2" t="str">
        <f t="shared" si="10"/>
        <v>1791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VLOOKUP(D186,gacha_179_base!A:B,2,FALSE)</f>
        <v>2284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1791463</v>
      </c>
      <c r="B187" s="2" t="str">
        <f t="shared" si="10"/>
        <v>1791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VLOOKUP(D187,gacha_179_base!A:B,2,FALSE)</f>
        <v>496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1791464</v>
      </c>
      <c r="B188" s="2" t="str">
        <f t="shared" si="10"/>
        <v>1791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VLOOKUP(D188,gacha_179_base!A:B,2,FALSE)</f>
        <v>225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1791465</v>
      </c>
      <c r="B189" s="2" t="str">
        <f t="shared" si="10"/>
        <v>1791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VLOOKUP(D189,gacha_179_base!A:B,2,FALSE)</f>
        <v>102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1791466</v>
      </c>
      <c r="B190" s="2" t="str">
        <f t="shared" si="10"/>
        <v>1791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VLOOKUP(D190,gacha_179_base!A:B,2,FALSE)</f>
        <v>8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1791467</v>
      </c>
      <c r="B191" s="2" t="str">
        <f t="shared" si="10"/>
        <v>1791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VLOOKUP(D191,gacha_179_base!A:B,2,FALSE)</f>
        <v>102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1791468</v>
      </c>
      <c r="B192" s="2" t="str">
        <f t="shared" si="10"/>
        <v>1791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VLOOKUP(D192,gacha_179_base!A:B,2,FALSE)</f>
        <v>8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1791469</v>
      </c>
      <c r="B193" s="2" t="str">
        <f t="shared" si="10"/>
        <v>1791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VLOOKUP(D193,gacha_179_base!A:B,2,FALSE)</f>
        <v>2284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1791470</v>
      </c>
      <c r="B194" s="2" t="str">
        <f t="shared" si="10"/>
        <v>1791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VLOOKUP(D194,gacha_179_base!A:B,2,FALSE)</f>
        <v>496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1791471</v>
      </c>
      <c r="B195" s="2" t="str">
        <f t="shared" ref="B195:B258" si="14">179&amp;E195</f>
        <v>1791</v>
      </c>
      <c r="C195" s="8" t="str">
        <f t="shared" ref="C195:C203" si="15">E195&amp;H195&amp;I195</f>
        <v>1PremiumS5</v>
      </c>
      <c r="D195" s="8" t="str">
        <f t="shared" ref="D195:D266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VLOOKUP(D195,gacha_179_base!A:B,2,FALSE)</f>
        <v>225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1791474</v>
      </c>
      <c r="B196" s="2" t="str">
        <f t="shared" si="14"/>
        <v>1791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VLOOKUP(D196,gacha_179_base!A:B,2,FALSE)</f>
        <v>102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1791475</v>
      </c>
      <c r="B197" s="2" t="str">
        <f t="shared" si="14"/>
        <v>1791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VLOOKUP(D197,gacha_179_base!A:B,2,FALSE)</f>
        <v>8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1791476</v>
      </c>
      <c r="B198" s="2" t="str">
        <f t="shared" si="14"/>
        <v>1791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VLOOKUP(D198,gacha_179_base!A:B,2,FALSE)</f>
        <v>2284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1791477</v>
      </c>
      <c r="B199" s="2" t="str">
        <f t="shared" si="14"/>
        <v>1791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VLOOKUP(D199,gacha_179_base!A:B,2,FALSE)</f>
        <v>496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1791478</v>
      </c>
      <c r="B200" s="2" t="str">
        <f t="shared" si="14"/>
        <v>1791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VLOOKUP(D200,gacha_179_base!A:B,2,FALSE)</f>
        <v>225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1791479</v>
      </c>
      <c r="B201" s="2" t="str">
        <f t="shared" si="14"/>
        <v>1791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VLOOKUP(D201,gacha_179_base!A:B,2,FALSE)</f>
        <v>102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1791480</v>
      </c>
      <c r="B202" s="2" t="str">
        <f t="shared" si="14"/>
        <v>1791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VLOOKUP(D202,gacha_179_base!A:B,2,FALSE)</f>
        <v>8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1791481</v>
      </c>
      <c r="B203" s="2" t="str">
        <f t="shared" si="14"/>
        <v>1791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VLOOKUP(D203,gacha_179_base!A:B,2,FALSE)</f>
        <v>2284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1791482</v>
      </c>
      <c r="B204" s="2" t="str">
        <f t="shared" si="14"/>
        <v>1791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VLOOKUP(D204,gacha_179_base!A:B,2,FALSE)</f>
        <v>496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1791483</v>
      </c>
      <c r="B205" s="2" t="str">
        <f t="shared" si="14"/>
        <v>1791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VLOOKUP(D205,gacha_179_base!A:B,2,FALSE)</f>
        <v>225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1791492</v>
      </c>
      <c r="B206" s="2" t="str">
        <f t="shared" si="14"/>
        <v>1791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VLOOKUP(D206,gacha_179_base!A:B,2,FALSE)</f>
        <v>102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1791493</v>
      </c>
      <c r="B207" s="2" t="str">
        <f t="shared" si="14"/>
        <v>1791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VLOOKUP(D207,gacha_179_base!A:B,2,FALSE)</f>
        <v>8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1791494</v>
      </c>
      <c r="B208" s="2" t="str">
        <f t="shared" si="14"/>
        <v>1791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VLOOKUP(D208,gacha_179_base!A:B,2,FALSE)</f>
        <v>102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1791495</v>
      </c>
      <c r="B209" s="2" t="str">
        <f t="shared" si="14"/>
        <v>1791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VLOOKUP(D209,gacha_179_base!A:B,2,FALSE)</f>
        <v>8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1791496</v>
      </c>
      <c r="B210" s="2" t="str">
        <f t="shared" si="14"/>
        <v>1791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VLOOKUP(D210,gacha_179_base!A:B,2,FALSE)</f>
        <v>2284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1791497</v>
      </c>
      <c r="B211" s="2" t="str">
        <f t="shared" si="14"/>
        <v>1791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VLOOKUP(D211,gacha_179_base!A:B,2,FALSE)</f>
        <v>496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1791498</v>
      </c>
      <c r="B212" s="2" t="str">
        <f t="shared" si="14"/>
        <v>1791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VLOOKUP(D212,gacha_179_base!A:B,2,FALSE)</f>
        <v>225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1791499</v>
      </c>
      <c r="B213" s="2" t="str">
        <f t="shared" si="14"/>
        <v>1791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VLOOKUP(D213,gacha_179_base!A:B,2,FALSE)</f>
        <v>102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1791500</v>
      </c>
      <c r="B214" s="2" t="str">
        <f t="shared" si="14"/>
        <v>1791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VLOOKUP(D214,gacha_179_base!A:B,2,FALSE)</f>
        <v>8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customHeight="1">
      <c r="A215" s="7" t="str">
        <f t="shared" ref="A215:A232" si="21">B215&amp;F215</f>
        <v>1791586</v>
      </c>
      <c r="B215" s="2" t="str">
        <f t="shared" si="14"/>
        <v>1791</v>
      </c>
      <c r="C215" s="8" t="str">
        <f t="shared" ref="C215:C232" si="22">E215&amp;H215&amp;I215</f>
        <v>1PremiumSS4</v>
      </c>
      <c r="D215" s="8" t="str">
        <f t="shared" si="16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VLOOKUP(D215,gacha_179_base!A:B,2,FALSE)</f>
        <v>102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1791587</v>
      </c>
      <c r="B216" s="2" t="str">
        <f t="shared" si="14"/>
        <v>1791</v>
      </c>
      <c r="C216" s="8" t="str">
        <f t="shared" si="22"/>
        <v>1PremiumSS5</v>
      </c>
      <c r="D216" s="8" t="str">
        <f t="shared" si="16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VLOOKUP(D216,gacha_179_base!A:B,2,FALSE)</f>
        <v>8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1791588</v>
      </c>
      <c r="B217" s="2" t="str">
        <f t="shared" si="14"/>
        <v>1791</v>
      </c>
      <c r="C217" s="8" t="str">
        <f t="shared" si="22"/>
        <v>1PremiumS3</v>
      </c>
      <c r="D217" s="8" t="str">
        <f t="shared" si="16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VLOOKUP(D217,gacha_179_base!A:B,2,FALSE)</f>
        <v>2284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1791589</v>
      </c>
      <c r="B218" s="2" t="str">
        <f t="shared" si="14"/>
        <v>1791</v>
      </c>
      <c r="C218" s="8" t="str">
        <f t="shared" si="22"/>
        <v>1PremiumS4</v>
      </c>
      <c r="D218" s="8" t="str">
        <f t="shared" si="16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VLOOKUP(D218,gacha_179_base!A:B,2,FALSE)</f>
        <v>496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1791590</v>
      </c>
      <c r="B219" s="2" t="str">
        <f t="shared" si="14"/>
        <v>1791</v>
      </c>
      <c r="C219" s="8" t="str">
        <f t="shared" si="22"/>
        <v>1PremiumS5</v>
      </c>
      <c r="D219" s="8" t="str">
        <f t="shared" si="16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VLOOKUP(D219,gacha_179_base!A:B,2,FALSE)</f>
        <v>225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1791591</v>
      </c>
      <c r="B220" s="2" t="str">
        <f t="shared" si="14"/>
        <v>1791</v>
      </c>
      <c r="C220" s="8" t="str">
        <f t="shared" si="22"/>
        <v>1PremiumS3</v>
      </c>
      <c r="D220" s="8" t="str">
        <f t="shared" si="16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VLOOKUP(D220,gacha_179_base!A:B,2,FALSE)</f>
        <v>2284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1791592</v>
      </c>
      <c r="B221" s="2" t="str">
        <f t="shared" si="14"/>
        <v>1791</v>
      </c>
      <c r="C221" s="8" t="str">
        <f t="shared" si="22"/>
        <v>1PremiumS4</v>
      </c>
      <c r="D221" s="8" t="str">
        <f t="shared" si="16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VLOOKUP(D221,gacha_179_base!A:B,2,FALSE)</f>
        <v>496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1791593</v>
      </c>
      <c r="B222" s="2" t="str">
        <f t="shared" si="14"/>
        <v>1791</v>
      </c>
      <c r="C222" s="8" t="str">
        <f t="shared" si="22"/>
        <v>1PremiumS5</v>
      </c>
      <c r="D222" s="8" t="str">
        <f t="shared" si="16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VLOOKUP(D222,gacha_179_base!A:B,2,FALSE)</f>
        <v>225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1791594</v>
      </c>
      <c r="B223" s="2" t="str">
        <f t="shared" si="14"/>
        <v>1791</v>
      </c>
      <c r="C223" s="8" t="str">
        <f t="shared" si="22"/>
        <v>1PremiumSS4</v>
      </c>
      <c r="D223" s="8" t="str">
        <f t="shared" si="16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VLOOKUP(D223,gacha_179_base!A:B,2,FALSE)</f>
        <v>102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1791595</v>
      </c>
      <c r="B224" s="2" t="str">
        <f t="shared" si="14"/>
        <v>1791</v>
      </c>
      <c r="C224" s="8" t="str">
        <f t="shared" si="22"/>
        <v>1PremiumSS5</v>
      </c>
      <c r="D224" s="8" t="str">
        <f t="shared" si="16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VLOOKUP(D224,gacha_179_base!A:B,2,FALSE)</f>
        <v>8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customHeight="1">
      <c r="A225" s="7" t="str">
        <f t="shared" si="21"/>
        <v>1791539</v>
      </c>
      <c r="B225" s="2" t="str">
        <f t="shared" si="14"/>
        <v>1791</v>
      </c>
      <c r="C225" s="8" t="str">
        <f t="shared" si="22"/>
        <v>1PremiumSSS4</v>
      </c>
      <c r="D225" s="8" t="str">
        <f>E225&amp;H225&amp;I225&amp;"pick"</f>
        <v>1PremiumSSS4pick</v>
      </c>
      <c r="E225" s="5">
        <v>1</v>
      </c>
      <c r="F225" s="5">
        <v>539</v>
      </c>
      <c r="G225" s="8" t="str">
        <f>VLOOKUP(F225,[1]characters!$A:$C,3,FALSE)</f>
        <v>初音ミク・アペンド</v>
      </c>
      <c r="H225" s="8" t="str">
        <f>VLOOKUP(F225,[1]characters!$A:$J,10,FALSE)</f>
        <v>PremiumSSS</v>
      </c>
      <c r="I225" s="8">
        <f>VLOOKUP(F225,[1]characters!$A:$I,9,FALSE)</f>
        <v>4</v>
      </c>
      <c r="J225" s="8" t="str">
        <f>VLOOKUP(F225,[1]characters!$A:$H,8,FALSE)</f>
        <v>green</v>
      </c>
      <c r="K225" s="8" t="str">
        <f>VLOOKUP(F225,[1]characters!$A:$K,11,FALSE)</f>
        <v>technical</v>
      </c>
      <c r="L225" s="8" t="str">
        <f>VLOOKUP(F225,[1]characters!$A:$M,13,FALSE)</f>
        <v>unknown</v>
      </c>
      <c r="M225" s="16">
        <f>VLOOKUP(D225,gacha_179_base!A:B,2,FALSE)</f>
        <v>1068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5</v>
      </c>
    </row>
    <row r="226" spans="1:19" ht="21" customHeight="1">
      <c r="A226" s="7" t="str">
        <f t="shared" si="21"/>
        <v>1791540</v>
      </c>
      <c r="B226" s="2" t="str">
        <f t="shared" si="14"/>
        <v>1791</v>
      </c>
      <c r="C226" s="8" t="str">
        <f t="shared" si="22"/>
        <v>1PremiumSSS5</v>
      </c>
      <c r="D226" s="8" t="str">
        <f t="shared" ref="D226:D232" si="23">E226&amp;H226&amp;I226&amp;"pick"</f>
        <v>1PremiumSSS5pick</v>
      </c>
      <c r="E226" s="5">
        <v>1</v>
      </c>
      <c r="F226" s="5">
        <v>540</v>
      </c>
      <c r="G226" s="8" t="str">
        <f>VLOOKUP(F226,[1]characters!$A:$C,3,FALSE)</f>
        <v>来訪の歌姫 初音ミク・アペンド</v>
      </c>
      <c r="H226" s="8" t="str">
        <f>VLOOKUP(F226,[1]characters!$A:$J,10,FALSE)</f>
        <v>PremiumSSS</v>
      </c>
      <c r="I226" s="8">
        <f>VLOOKUP(F226,[1]characters!$A:$I,9,FALSE)</f>
        <v>5</v>
      </c>
      <c r="J226" s="8" t="str">
        <f>VLOOKUP(F226,[1]characters!$A:$H,8,FALSE)</f>
        <v>green</v>
      </c>
      <c r="K226" s="8" t="str">
        <f>VLOOKUP(F226,[1]characters!$A:$K,11,FALSE)</f>
        <v>technical</v>
      </c>
      <c r="L226" s="8" t="str">
        <f>VLOOKUP(F226,[1]characters!$A:$M,13,FALSE)</f>
        <v>unknown</v>
      </c>
      <c r="M226" s="16">
        <f>VLOOKUP(D226,gacha_179_base!A:B,2,FALSE)</f>
        <v>87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5</v>
      </c>
    </row>
    <row r="227" spans="1:19" ht="21" customHeight="1">
      <c r="A227" s="7" t="str">
        <f t="shared" si="21"/>
        <v>1791545</v>
      </c>
      <c r="B227" s="2" t="str">
        <f t="shared" si="14"/>
        <v>1791</v>
      </c>
      <c r="C227" s="8" t="str">
        <f t="shared" si="22"/>
        <v>1PremiumSS4</v>
      </c>
      <c r="D227" s="8" t="str">
        <f t="shared" si="23"/>
        <v>1PremiumSS4pick</v>
      </c>
      <c r="E227" s="5">
        <v>1</v>
      </c>
      <c r="F227" s="5">
        <v>545</v>
      </c>
      <c r="G227" s="8" t="str">
        <f>VLOOKUP(F227,[1]characters!$A:$C,3,FALSE)</f>
        <v>鏡音レン</v>
      </c>
      <c r="H227" s="8" t="str">
        <f>VLOOKUP(F227,[1]characters!$A:$J,10,FALSE)</f>
        <v>PremiumSS</v>
      </c>
      <c r="I227" s="8">
        <f>VLOOKUP(F227,[1]characters!$A:$I,9,FALSE)</f>
        <v>4</v>
      </c>
      <c r="J227" s="8" t="str">
        <f>VLOOKUP(F227,[1]characters!$A:$H,8,FALSE)</f>
        <v>yellow</v>
      </c>
      <c r="K227" s="8" t="str">
        <f>VLOOKUP(F227,[1]characters!$A:$K,11,FALSE)</f>
        <v>heal</v>
      </c>
      <c r="L227" s="8" t="str">
        <f>VLOOKUP(F227,[1]characters!$A:$M,13,FALSE)</f>
        <v>unknown</v>
      </c>
      <c r="M227" s="16">
        <f>VLOOKUP(D227,gacha_179_base!A:B,2,FALSE)</f>
        <v>8547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5</v>
      </c>
    </row>
    <row r="228" spans="1:19" ht="21" customHeight="1">
      <c r="A228" s="7" t="str">
        <f t="shared" si="21"/>
        <v>1791546</v>
      </c>
      <c r="B228" s="2" t="str">
        <f t="shared" si="14"/>
        <v>1791</v>
      </c>
      <c r="C228" s="8" t="str">
        <f t="shared" si="22"/>
        <v>1PremiumSS5</v>
      </c>
      <c r="D228" s="8" t="str">
        <f t="shared" si="23"/>
        <v>1PremiumSS5pick</v>
      </c>
      <c r="E228" s="5">
        <v>1</v>
      </c>
      <c r="F228" s="5">
        <v>546</v>
      </c>
      <c r="G228" s="8" t="str">
        <f>VLOOKUP(F228,[1]characters!$A:$C,3,FALSE)</f>
        <v>残響の連符 鏡音レン</v>
      </c>
      <c r="H228" s="8" t="str">
        <f>VLOOKUP(F228,[1]characters!$A:$J,10,FALSE)</f>
        <v>PremiumSS</v>
      </c>
      <c r="I228" s="8">
        <f>VLOOKUP(F228,[1]characters!$A:$I,9,FALSE)</f>
        <v>5</v>
      </c>
      <c r="J228" s="8" t="str">
        <f>VLOOKUP(F228,[1]characters!$A:$H,8,FALSE)</f>
        <v>yellow</v>
      </c>
      <c r="K228" s="8" t="str">
        <f>VLOOKUP(F228,[1]characters!$A:$K,11,FALSE)</f>
        <v>heal</v>
      </c>
      <c r="L228" s="8" t="str">
        <f>VLOOKUP(F228,[1]characters!$A:$M,13,FALSE)</f>
        <v>unknown</v>
      </c>
      <c r="M228" s="16">
        <f>VLOOKUP(D228,gacha_179_base!A:B,2,FALSE)</f>
        <v>693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5</v>
      </c>
    </row>
    <row r="229" spans="1:19" ht="21" customHeight="1">
      <c r="A229" s="7" t="str">
        <f t="shared" ref="A229" si="24">B229&amp;F229</f>
        <v>1791547</v>
      </c>
      <c r="B229" s="2" t="str">
        <f t="shared" si="14"/>
        <v>1791</v>
      </c>
      <c r="C229" s="8" t="str">
        <f t="shared" ref="C229" si="25">E229&amp;H229&amp;I229</f>
        <v>1PremiumS3</v>
      </c>
      <c r="D229" s="8" t="str">
        <f t="shared" si="23"/>
        <v>1PremiumS3pick</v>
      </c>
      <c r="E229" s="5">
        <v>1</v>
      </c>
      <c r="F229" s="5">
        <v>547</v>
      </c>
      <c r="G229" s="8" t="str">
        <f>VLOOKUP(F229,[1]characters!$A:$C,3,FALSE)</f>
        <v>巡音ルカ</v>
      </c>
      <c r="H229" s="8" t="str">
        <f>VLOOKUP(F229,[1]characters!$A:$J,10,FALSE)</f>
        <v>PremiumS</v>
      </c>
      <c r="I229" s="8">
        <f>VLOOKUP(F229,[1]characters!$A:$I,9,FALSE)</f>
        <v>3</v>
      </c>
      <c r="J229" s="8" t="str">
        <f>VLOOKUP(F229,[1]characters!$A:$H,8,FALSE)</f>
        <v>red</v>
      </c>
      <c r="K229" s="8" t="str">
        <f>VLOOKUP(F229,[1]characters!$A:$K,11,FALSE)</f>
        <v>attack</v>
      </c>
      <c r="L229" s="8" t="str">
        <f>VLOOKUP(F229,[1]characters!$A:$M,13,FALSE)</f>
        <v>unknown</v>
      </c>
      <c r="M229" s="16">
        <v>10534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5</v>
      </c>
    </row>
    <row r="230" spans="1:19" ht="21" customHeight="1">
      <c r="A230" s="7" t="str">
        <f t="shared" si="21"/>
        <v>1791548</v>
      </c>
      <c r="B230" s="2" t="str">
        <f t="shared" si="14"/>
        <v>1791</v>
      </c>
      <c r="C230" s="8" t="str">
        <f t="shared" si="22"/>
        <v>1PremiumS4</v>
      </c>
      <c r="D230" s="8" t="str">
        <f t="shared" si="23"/>
        <v>1PremiumS4pick</v>
      </c>
      <c r="E230" s="5">
        <v>1</v>
      </c>
      <c r="F230" s="5">
        <v>548</v>
      </c>
      <c r="G230" s="8" t="str">
        <f>VLOOKUP(F230,[1]characters!$A:$C,3,FALSE)</f>
        <v>乱舞の音環 巡音ルカ</v>
      </c>
      <c r="H230" s="8" t="str">
        <f>VLOOKUP(F230,[1]characters!$A:$J,10,FALSE)</f>
        <v>PremiumS</v>
      </c>
      <c r="I230" s="8">
        <f>VLOOKUP(F230,[1]characters!$A:$I,9,FALSE)</f>
        <v>4</v>
      </c>
      <c r="J230" s="8" t="str">
        <f>VLOOKUP(F230,[1]characters!$A:$H,8,FALSE)</f>
        <v>red</v>
      </c>
      <c r="K230" s="8" t="str">
        <f>VLOOKUP(F230,[1]characters!$A:$K,11,FALSE)</f>
        <v>attack</v>
      </c>
      <c r="L230" s="8" t="str">
        <f>VLOOKUP(F230,[1]characters!$A:$M,13,FALSE)</f>
        <v>unknown</v>
      </c>
      <c r="M230" s="16">
        <v>3326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5</v>
      </c>
    </row>
    <row r="231" spans="1:19" ht="21" customHeight="1">
      <c r="A231" s="7" t="str">
        <f t="shared" ref="A231" si="26">B231&amp;F231</f>
        <v>1791551</v>
      </c>
      <c r="B231" s="2" t="str">
        <f t="shared" si="14"/>
        <v>1791</v>
      </c>
      <c r="C231" s="8" t="str">
        <f t="shared" ref="C231" si="27">E231&amp;H231&amp;I231</f>
        <v>1PremiumS3</v>
      </c>
      <c r="D231" s="8" t="str">
        <f t="shared" si="23"/>
        <v>1PremiumS3pick</v>
      </c>
      <c r="E231" s="5">
        <v>1</v>
      </c>
      <c r="F231" s="5">
        <v>551</v>
      </c>
      <c r="G231" s="8" t="str">
        <f>VLOOKUP(F231,[1]characters!$A:$C,3,FALSE)</f>
        <v>KAITO</v>
      </c>
      <c r="H231" s="8" t="str">
        <f>VLOOKUP(F231,[1]characters!$A:$J,10,FALSE)</f>
        <v>PremiumS</v>
      </c>
      <c r="I231" s="8">
        <f>VLOOKUP(F231,[1]characters!$A:$I,9,FALSE)</f>
        <v>3</v>
      </c>
      <c r="J231" s="8" t="str">
        <f>VLOOKUP(F231,[1]characters!$A:$H,8,FALSE)</f>
        <v>blue</v>
      </c>
      <c r="K231" s="8" t="str">
        <f>VLOOKUP(F231,[1]characters!$A:$K,11,FALSE)</f>
        <v>technical</v>
      </c>
      <c r="L231" s="8" t="str">
        <f>VLOOKUP(F231,[1]characters!$A:$M,13,FALSE)</f>
        <v>unknown</v>
      </c>
      <c r="M231" s="16">
        <v>17556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5</v>
      </c>
    </row>
    <row r="232" spans="1:19" ht="21" customHeight="1">
      <c r="A232" s="7" t="str">
        <f t="shared" si="21"/>
        <v>1791552</v>
      </c>
      <c r="B232" s="2" t="str">
        <f t="shared" si="14"/>
        <v>1791</v>
      </c>
      <c r="C232" s="8" t="str">
        <f t="shared" si="22"/>
        <v>1PremiumS4</v>
      </c>
      <c r="D232" s="8" t="str">
        <f t="shared" si="23"/>
        <v>1PremiumS4pick</v>
      </c>
      <c r="E232" s="5">
        <v>1</v>
      </c>
      <c r="F232" s="5">
        <v>552</v>
      </c>
      <c r="G232" s="8" t="str">
        <f>VLOOKUP(F232,[1]characters!$A:$C,3,FALSE)</f>
        <v>愉悦の愛唱 KAITO</v>
      </c>
      <c r="H232" s="8" t="str">
        <f>VLOOKUP(F232,[1]characters!$A:$J,10,FALSE)</f>
        <v>PremiumS</v>
      </c>
      <c r="I232" s="8">
        <f>VLOOKUP(F232,[1]characters!$A:$I,9,FALSE)</f>
        <v>4</v>
      </c>
      <c r="J232" s="8" t="str">
        <f>VLOOKUP(F232,[1]characters!$A:$H,8,FALSE)</f>
        <v>blue</v>
      </c>
      <c r="K232" s="8" t="str">
        <f>VLOOKUP(F232,[1]characters!$A:$K,11,FALSE)</f>
        <v>technical</v>
      </c>
      <c r="L232" s="8" t="str">
        <f>VLOOKUP(F232,[1]characters!$A:$M,13,FALSE)</f>
        <v>unknown</v>
      </c>
      <c r="M232" s="16">
        <v>5544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5</v>
      </c>
    </row>
    <row r="233" spans="1:19" ht="21" customHeight="1">
      <c r="A233" s="7" t="str">
        <f t="shared" ref="A233:A295" si="28">B233&amp;F233</f>
        <v>1790127</v>
      </c>
      <c r="B233" s="2" t="str">
        <f t="shared" si="14"/>
        <v>1790</v>
      </c>
      <c r="C233" s="8" t="str">
        <f t="shared" ref="C233:C267" si="29">E233&amp;H233&amp;I233</f>
        <v>0PremiumW4</v>
      </c>
      <c r="D233" s="8" t="str">
        <f>E233&amp;H233&amp;I233</f>
        <v>0PremiumW4</v>
      </c>
      <c r="E233" s="10">
        <v>0</v>
      </c>
      <c r="F233" s="6">
        <v>127</v>
      </c>
      <c r="G233" s="8" t="str">
        <f>VLOOKUP(F233,[1]characters!$A:$C,3,FALSE)</f>
        <v>狂喜の賢者 ユノ</v>
      </c>
      <c r="H233" s="8" t="str">
        <f>VLOOKUP(F233,[1]characters!$A:$J,10,FALSE)</f>
        <v>PremiumW</v>
      </c>
      <c r="I233" s="8">
        <f>VLOOKUP(F233,[1]characters!$A:$I,9,FALSE)</f>
        <v>4</v>
      </c>
      <c r="J233" s="8" t="str">
        <f>VLOOKUP(F233,[1]characters!$A:$H,8,FALSE)</f>
        <v>red</v>
      </c>
      <c r="K233" s="8" t="str">
        <f>VLOOKUP(F233,[1]characters!$A:$K,11,FALSE)</f>
        <v>attack</v>
      </c>
      <c r="L233" s="8" t="str">
        <f>VLOOKUP(F233,[1]characters!$A:$M,13,FALSE)</f>
        <v>human</v>
      </c>
      <c r="M233" s="16">
        <f>VLOOKUP(D233,gacha_179_base!A:B,2,FALSE)</f>
        <v>1116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customHeight="1">
      <c r="A234" s="7" t="str">
        <f t="shared" si="28"/>
        <v>1790129</v>
      </c>
      <c r="B234" s="2" t="str">
        <f t="shared" si="14"/>
        <v>1790</v>
      </c>
      <c r="C234" s="8" t="str">
        <f t="shared" si="29"/>
        <v>0PremiumW4</v>
      </c>
      <c r="D234" s="8" t="str">
        <f t="shared" si="16"/>
        <v>0PremiumW4</v>
      </c>
      <c r="E234" s="10">
        <v>0</v>
      </c>
      <c r="F234" s="6">
        <v>129</v>
      </c>
      <c r="G234" s="8" t="str">
        <f>VLOOKUP(F234,[1]characters!$A:$C,3,FALSE)</f>
        <v>孤高の狼憑き アマラ</v>
      </c>
      <c r="H234" s="8" t="str">
        <f>VLOOKUP(F234,[1]characters!$A:$J,10,FALSE)</f>
        <v>PremiumW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attack</v>
      </c>
      <c r="L234" s="8" t="str">
        <f>VLOOKUP(F234,[1]characters!$A:$M,13,FALSE)</f>
        <v>human</v>
      </c>
      <c r="M234" s="16">
        <f>VLOOKUP(D234,gacha_179_base!A:B,2,FALSE)</f>
        <v>1116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customHeight="1">
      <c r="A235" s="7" t="str">
        <f t="shared" si="28"/>
        <v>1790131</v>
      </c>
      <c r="B235" s="2" t="str">
        <f t="shared" si="14"/>
        <v>1790</v>
      </c>
      <c r="C235" s="8" t="str">
        <f t="shared" si="29"/>
        <v>0PremiumW4</v>
      </c>
      <c r="D235" s="8" t="str">
        <f t="shared" si="16"/>
        <v>0PremiumW4</v>
      </c>
      <c r="E235" s="10">
        <v>0</v>
      </c>
      <c r="F235" s="6">
        <v>131</v>
      </c>
      <c r="G235" s="8" t="str">
        <f>VLOOKUP(F235,[1]characters!$A:$C,3,FALSE)</f>
        <v>月下の人狼 ローレンス</v>
      </c>
      <c r="H235" s="8" t="str">
        <f>VLOOKUP(F235,[1]characters!$A:$J,10,FALSE)</f>
        <v>PremiumW</v>
      </c>
      <c r="I235" s="8">
        <f>VLOOKUP(F235,[1]characters!$A:$I,9,FALSE)</f>
        <v>4</v>
      </c>
      <c r="J235" s="8" t="str">
        <f>VLOOKUP(F235,[1]characters!$A:$H,8,FALSE)</f>
        <v>blue</v>
      </c>
      <c r="K235" s="8" t="str">
        <f>VLOOKUP(F235,[1]characters!$A:$K,11,FALSE)</f>
        <v>attack</v>
      </c>
      <c r="L235" s="8" t="str">
        <f>VLOOKUP(F235,[1]characters!$A:$M,13,FALSE)</f>
        <v>animal</v>
      </c>
      <c r="M235" s="16">
        <f>VLOOKUP(D235,gacha_179_base!A:B,2,FALSE)</f>
        <v>1116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customHeight="1">
      <c r="A236" s="7" t="str">
        <f t="shared" si="28"/>
        <v>1790133</v>
      </c>
      <c r="B236" s="2" t="str">
        <f t="shared" si="14"/>
        <v>1790</v>
      </c>
      <c r="C236" s="8" t="str">
        <f t="shared" si="29"/>
        <v>0PremiumW4</v>
      </c>
      <c r="D236" s="8" t="str">
        <f t="shared" si="16"/>
        <v>0PremiumW4</v>
      </c>
      <c r="E236" s="10">
        <v>0</v>
      </c>
      <c r="F236" s="6">
        <v>133</v>
      </c>
      <c r="G236" s="8" t="str">
        <f>VLOOKUP(F236,[1]characters!$A:$C,3,FALSE)</f>
        <v>迅雷の刀剣 ハヤト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16">
        <f>VLOOKUP(D236,gacha_179_base!A:B,2,FALSE)</f>
        <v>1116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customHeight="1">
      <c r="A237" s="7" t="str">
        <f t="shared" si="28"/>
        <v>1790135</v>
      </c>
      <c r="B237" s="2" t="str">
        <f t="shared" si="14"/>
        <v>1790</v>
      </c>
      <c r="C237" s="8" t="str">
        <f t="shared" si="29"/>
        <v>0PremiumW4</v>
      </c>
      <c r="D237" s="8" t="str">
        <f t="shared" si="16"/>
        <v>0PremiumW4</v>
      </c>
      <c r="E237" s="10">
        <v>0</v>
      </c>
      <c r="F237" s="6">
        <v>135</v>
      </c>
      <c r="G237" s="8" t="str">
        <f>VLOOKUP(F237,[1]characters!$A:$C,3,FALSE)</f>
        <v>京の炎華夕霧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red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VLOOKUP(D237,gacha_179_base!A:B,2,FALSE)</f>
        <v>1116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customHeight="1">
      <c r="A238" s="7" t="str">
        <f t="shared" si="28"/>
        <v>1790137</v>
      </c>
      <c r="B238" s="2" t="str">
        <f t="shared" si="14"/>
        <v>1790</v>
      </c>
      <c r="C238" s="8" t="str">
        <f t="shared" si="29"/>
        <v>0PremiumW4</v>
      </c>
      <c r="D238" s="8" t="str">
        <f t="shared" si="16"/>
        <v>0PremiumW4</v>
      </c>
      <c r="E238" s="10">
        <v>0</v>
      </c>
      <c r="F238" s="9">
        <v>137</v>
      </c>
      <c r="G238" s="8" t="str">
        <f>VLOOKUP(F238,[1]characters!$A:$C,3,FALSE)</f>
        <v>清福の仕立屋 チハヤ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VLOOKUP(D238,gacha_179_base!A:B,2,FALSE)</f>
        <v>1116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customHeight="1">
      <c r="A239" s="7" t="str">
        <f t="shared" si="28"/>
        <v>1790139</v>
      </c>
      <c r="B239" s="2" t="str">
        <f t="shared" si="14"/>
        <v>1790</v>
      </c>
      <c r="C239" s="8" t="str">
        <f t="shared" si="29"/>
        <v>0PremiumW4</v>
      </c>
      <c r="D239" s="8" t="str">
        <f t="shared" si="16"/>
        <v>0PremiumW4</v>
      </c>
      <c r="E239" s="10">
        <v>0</v>
      </c>
      <c r="F239" s="6">
        <v>139</v>
      </c>
      <c r="G239" s="8" t="str">
        <f>VLOOKUP(F239,[1]characters!$A:$C,3,FALSE)</f>
        <v>蒼昇刃姫 トモエ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VLOOKUP(D239,gacha_179_base!A:B,2,FALSE)</f>
        <v>1116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customHeight="1">
      <c r="A240" s="7" t="str">
        <f t="shared" si="28"/>
        <v>1790141</v>
      </c>
      <c r="B240" s="2" t="str">
        <f t="shared" si="14"/>
        <v>1790</v>
      </c>
      <c r="C240" s="8" t="str">
        <f t="shared" si="29"/>
        <v>0PremiumW4</v>
      </c>
      <c r="D240" s="8" t="str">
        <f t="shared" si="16"/>
        <v>0PremiumW4</v>
      </c>
      <c r="E240" s="10">
        <v>0</v>
      </c>
      <c r="F240" s="6">
        <v>141</v>
      </c>
      <c r="G240" s="8" t="str">
        <f>VLOOKUP(F240,[1]characters!$A:$C,3,FALSE)</f>
        <v>妖狐演舞 タマモ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yellow</v>
      </c>
      <c r="K240" s="8" t="str">
        <f>VLOOKUP(F240,[1]characters!$A:$K,11,FALSE)</f>
        <v>balance</v>
      </c>
      <c r="L240" s="8" t="str">
        <f>VLOOKUP(F240,[1]characters!$A:$M,13,FALSE)</f>
        <v>animal</v>
      </c>
      <c r="M240" s="16">
        <f>VLOOKUP(D240,gacha_179_base!A:B,2,FALSE)</f>
        <v>1116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customHeight="1">
      <c r="A241" s="7" t="str">
        <f t="shared" si="28"/>
        <v>1790143</v>
      </c>
      <c r="B241" s="2" t="str">
        <f t="shared" si="14"/>
        <v>1790</v>
      </c>
      <c r="C241" s="8" t="str">
        <f t="shared" si="29"/>
        <v>0PremiumW4</v>
      </c>
      <c r="D241" s="8" t="str">
        <f t="shared" si="16"/>
        <v>0PremiumW4</v>
      </c>
      <c r="E241" s="10">
        <v>0</v>
      </c>
      <c r="F241" s="6">
        <v>143</v>
      </c>
      <c r="G241" s="8" t="str">
        <f>VLOOKUP(F241,[1]characters!$A:$C,3,FALSE)</f>
        <v>深紅の死神 赤ずきん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red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VLOOKUP(D241,gacha_179_base!A:B,2,FALSE)</f>
        <v>1116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customHeight="1">
      <c r="A242" s="7" t="str">
        <f t="shared" si="28"/>
        <v>1790145</v>
      </c>
      <c r="B242" s="2" t="str">
        <f t="shared" si="14"/>
        <v>1790</v>
      </c>
      <c r="C242" s="8" t="str">
        <f t="shared" si="29"/>
        <v>0PremiumW4</v>
      </c>
      <c r="D242" s="8" t="str">
        <f t="shared" si="16"/>
        <v>0PremiumW4</v>
      </c>
      <c r="E242" s="10">
        <v>0</v>
      </c>
      <c r="F242" s="6">
        <v>145</v>
      </c>
      <c r="G242" s="8" t="str">
        <f>VLOOKUP(F242,[1]characters!$A:$C,3,FALSE)</f>
        <v>魔性妖艶 かぐや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human</v>
      </c>
      <c r="M242" s="16">
        <f>VLOOKUP(D242,gacha_179_base!A:B,2,FALSE)</f>
        <v>1116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customHeight="1">
      <c r="A243" s="7" t="str">
        <f t="shared" si="28"/>
        <v>1790147</v>
      </c>
      <c r="B243" s="2" t="str">
        <f t="shared" si="14"/>
        <v>1790</v>
      </c>
      <c r="C243" s="8" t="str">
        <f t="shared" si="29"/>
        <v>0PremiumW4</v>
      </c>
      <c r="D243" s="8" t="str">
        <f t="shared" si="16"/>
        <v>0PremiumW4</v>
      </c>
      <c r="E243" s="10">
        <v>0</v>
      </c>
      <c r="F243" s="6">
        <v>147</v>
      </c>
      <c r="G243" s="8" t="str">
        <f>VLOOKUP(F243,[1]characters!$A:$C,3,FALSE)</f>
        <v>蒼き閃光 元マーメイド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blue</v>
      </c>
      <c r="K243" s="8" t="str">
        <f>VLOOKUP(F243,[1]characters!$A:$K,11,FALSE)</f>
        <v>hp</v>
      </c>
      <c r="L243" s="8" t="str">
        <f>VLOOKUP(F243,[1]characters!$A:$M,13,FALSE)</f>
        <v>human</v>
      </c>
      <c r="M243" s="16">
        <f>VLOOKUP(D243,gacha_179_base!A:B,2,FALSE)</f>
        <v>1116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customHeight="1">
      <c r="A244" s="7" t="str">
        <f t="shared" si="28"/>
        <v>1790149</v>
      </c>
      <c r="B244" s="2" t="str">
        <f t="shared" si="14"/>
        <v>1790</v>
      </c>
      <c r="C244" s="8" t="str">
        <f t="shared" si="29"/>
        <v>0PremiumW4</v>
      </c>
      <c r="D244" s="8" t="str">
        <f t="shared" si="16"/>
        <v>0PremiumW4</v>
      </c>
      <c r="E244" s="10">
        <v>0</v>
      </c>
      <c r="F244" s="6">
        <v>149</v>
      </c>
      <c r="G244" s="8" t="str">
        <f>VLOOKUP(F244,[1]characters!$A:$C,3,FALSE)</f>
        <v>雷撃蹴技を極めし者 シンデレラ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VLOOKUP(D244,gacha_179_base!A:B,2,FALSE)</f>
        <v>1116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customHeight="1">
      <c r="A245" s="7" t="str">
        <f t="shared" si="28"/>
        <v>1790151</v>
      </c>
      <c r="B245" s="2" t="str">
        <f t="shared" si="14"/>
        <v>1790</v>
      </c>
      <c r="C245" s="8" t="str">
        <f t="shared" si="29"/>
        <v>0PremiumW4</v>
      </c>
      <c r="D245" s="8" t="str">
        <f t="shared" si="16"/>
        <v>0PremiumW4</v>
      </c>
      <c r="E245" s="10">
        <v>0</v>
      </c>
      <c r="F245" s="6">
        <v>151</v>
      </c>
      <c r="G245" s="8" t="str">
        <f>VLOOKUP(F245,[1]characters!$A:$C,3,FALSE)</f>
        <v>毒煙の処刑人サキ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red</v>
      </c>
      <c r="K245" s="8" t="str">
        <f>VLOOKUP(F245,[1]characters!$A:$K,11,FALSE)</f>
        <v>technical</v>
      </c>
      <c r="L245" s="8" t="str">
        <f>VLOOKUP(F245,[1]characters!$A:$M,13,FALSE)</f>
        <v>human</v>
      </c>
      <c r="M245" s="16">
        <f>VLOOKUP(D245,gacha_179_base!A:B,2,FALSE)</f>
        <v>1116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customHeight="1">
      <c r="A246" s="7" t="str">
        <f t="shared" si="28"/>
        <v>1790153</v>
      </c>
      <c r="B246" s="2" t="str">
        <f t="shared" si="14"/>
        <v>1790</v>
      </c>
      <c r="C246" s="8" t="str">
        <f t="shared" si="29"/>
        <v>0PremiumW4</v>
      </c>
      <c r="D246" s="8" t="str">
        <f t="shared" si="16"/>
        <v>0PremiumW4</v>
      </c>
      <c r="E246" s="10">
        <v>0</v>
      </c>
      <c r="F246" s="6">
        <v>153</v>
      </c>
      <c r="G246" s="8" t="str">
        <f>VLOOKUP(F246,[1]characters!$A:$C,3,FALSE)</f>
        <v>拳聖ランラン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heal</v>
      </c>
      <c r="L246" s="8" t="str">
        <f>VLOOKUP(F246,[1]characters!$A:$M,13,FALSE)</f>
        <v>human</v>
      </c>
      <c r="M246" s="16">
        <f>VLOOKUP(D246,gacha_179_base!A:B,2,FALSE)</f>
        <v>1116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customHeight="1">
      <c r="A247" s="7" t="str">
        <f t="shared" si="28"/>
        <v>1790155</v>
      </c>
      <c r="B247" s="2" t="str">
        <f t="shared" si="14"/>
        <v>1790</v>
      </c>
      <c r="C247" s="8" t="str">
        <f t="shared" si="29"/>
        <v>0PremiumW4</v>
      </c>
      <c r="D247" s="8" t="str">
        <f t="shared" si="16"/>
        <v>0PremiumW4</v>
      </c>
      <c r="E247" s="10">
        <v>0</v>
      </c>
      <c r="F247" s="6">
        <v>155</v>
      </c>
      <c r="G247" s="8" t="str">
        <f>VLOOKUP(F247,[1]characters!$A:$C,3,FALSE)</f>
        <v>隻眼の掃除屋 ハンナ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blue</v>
      </c>
      <c r="K247" s="8" t="str">
        <f>VLOOKUP(F247,[1]characters!$A:$K,11,FALSE)</f>
        <v>heal</v>
      </c>
      <c r="L247" s="8" t="str">
        <f>VLOOKUP(F247,[1]characters!$A:$M,13,FALSE)</f>
        <v>human</v>
      </c>
      <c r="M247" s="16">
        <f>VLOOKUP(D247,gacha_179_base!A:B,2,FALSE)</f>
        <v>1116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customHeight="1">
      <c r="A248" s="7" t="str">
        <f t="shared" si="28"/>
        <v>1790157</v>
      </c>
      <c r="B248" s="2" t="str">
        <f t="shared" si="14"/>
        <v>1790</v>
      </c>
      <c r="C248" s="8" t="str">
        <f t="shared" si="29"/>
        <v>0PremiumW4</v>
      </c>
      <c r="D248" s="8" t="str">
        <f t="shared" si="16"/>
        <v>0PremiumW4</v>
      </c>
      <c r="E248" s="10">
        <v>0</v>
      </c>
      <c r="F248" s="6">
        <v>157</v>
      </c>
      <c r="G248" s="8" t="str">
        <f>VLOOKUP(F248,[1]characters!$A:$C,3,FALSE)</f>
        <v>雷光舞姫 エレナ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yellow</v>
      </c>
      <c r="K248" s="8" t="str">
        <f>VLOOKUP(F248,[1]characters!$A:$K,11,FALSE)</f>
        <v>heal</v>
      </c>
      <c r="L248" s="8" t="str">
        <f>VLOOKUP(F248,[1]characters!$A:$M,13,FALSE)</f>
        <v>human</v>
      </c>
      <c r="M248" s="16">
        <f>VLOOKUP(D248,gacha_179_base!A:B,2,FALSE)</f>
        <v>1116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customHeight="1">
      <c r="A249" s="7" t="str">
        <f t="shared" si="28"/>
        <v>1790159</v>
      </c>
      <c r="B249" s="2" t="str">
        <f t="shared" si="14"/>
        <v>1790</v>
      </c>
      <c r="C249" s="8" t="str">
        <f t="shared" si="29"/>
        <v>0PremiumW4</v>
      </c>
      <c r="D249" s="8" t="str">
        <f t="shared" si="16"/>
        <v>0PremiumW4</v>
      </c>
      <c r="E249" s="10">
        <v>0</v>
      </c>
      <c r="F249" s="6">
        <v>159</v>
      </c>
      <c r="G249" s="8" t="str">
        <f>VLOOKUP(F249,[1]characters!$A:$C,3,FALSE)</f>
        <v>邪を狩りし者 シャルロッテ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red</v>
      </c>
      <c r="K249" s="8" t="str">
        <f>VLOOKUP(F249,[1]characters!$A:$K,11,FALSE)</f>
        <v>heal</v>
      </c>
      <c r="L249" s="8" t="str">
        <f>VLOOKUP(F249,[1]characters!$A:$M,13,FALSE)</f>
        <v>human</v>
      </c>
      <c r="M249" s="16">
        <f>VLOOKUP(D249,gacha_179_base!A:B,2,FALSE)</f>
        <v>1116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customHeight="1">
      <c r="A250" s="7" t="str">
        <f t="shared" si="28"/>
        <v>1790161</v>
      </c>
      <c r="B250" s="2" t="str">
        <f t="shared" si="14"/>
        <v>1790</v>
      </c>
      <c r="C250" s="8" t="str">
        <f t="shared" si="29"/>
        <v>0PremiumW4</v>
      </c>
      <c r="D250" s="8" t="str">
        <f t="shared" si="16"/>
        <v>0PremiumW4</v>
      </c>
      <c r="E250" s="10">
        <v>0</v>
      </c>
      <c r="F250" s="6">
        <v>161</v>
      </c>
      <c r="G250" s="8" t="str">
        <f>VLOOKUP(F250,[1]characters!$A:$C,3,FALSE)</f>
        <v>咆哮の先導者 クリエ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balance</v>
      </c>
      <c r="L250" s="8" t="str">
        <f>VLOOKUP(F250,[1]characters!$A:$M,13,FALSE)</f>
        <v>human</v>
      </c>
      <c r="M250" s="16">
        <f>VLOOKUP(D250,gacha_179_base!A:B,2,FALSE)</f>
        <v>1116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customHeight="1">
      <c r="A251" s="7" t="str">
        <f t="shared" si="28"/>
        <v>1790163</v>
      </c>
      <c r="B251" s="2" t="str">
        <f t="shared" si="14"/>
        <v>1790</v>
      </c>
      <c r="C251" s="8" t="str">
        <f t="shared" si="29"/>
        <v>0PremiumW4</v>
      </c>
      <c r="D251" s="8" t="str">
        <f t="shared" si="16"/>
        <v>0PremiumW4</v>
      </c>
      <c r="E251" s="10">
        <v>0</v>
      </c>
      <c r="F251" s="6">
        <v>163</v>
      </c>
      <c r="G251" s="8" t="str">
        <f>VLOOKUP(F251,[1]characters!$A:$C,3,FALSE)</f>
        <v>冷酷な狂嬢 クララ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blue</v>
      </c>
      <c r="K251" s="8" t="str">
        <f>VLOOKUP(F251,[1]characters!$A:$K,11,FALSE)</f>
        <v>attack</v>
      </c>
      <c r="L251" s="8" t="str">
        <f>VLOOKUP(F251,[1]characters!$A:$M,13,FALSE)</f>
        <v>human</v>
      </c>
      <c r="M251" s="16">
        <f>VLOOKUP(D251,gacha_179_base!A:B,2,FALSE)</f>
        <v>1116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customHeight="1">
      <c r="A252" s="7" t="str">
        <f t="shared" si="28"/>
        <v>1790165</v>
      </c>
      <c r="B252" s="2" t="str">
        <f t="shared" si="14"/>
        <v>1790</v>
      </c>
      <c r="C252" s="8" t="str">
        <f t="shared" si="29"/>
        <v>0PremiumW4</v>
      </c>
      <c r="D252" s="8" t="str">
        <f t="shared" si="16"/>
        <v>0PremiumW4</v>
      </c>
      <c r="E252" s="10">
        <v>0</v>
      </c>
      <c r="F252" s="6">
        <v>165</v>
      </c>
      <c r="G252" s="8" t="str">
        <f>VLOOKUP(F252,[1]characters!$A:$C,3,FALSE)</f>
        <v>イブとたったひとりのトモダチ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yellow</v>
      </c>
      <c r="K252" s="8" t="str">
        <f>VLOOKUP(F252,[1]characters!$A:$K,11,FALSE)</f>
        <v>technical</v>
      </c>
      <c r="L252" s="8" t="str">
        <f>VLOOKUP(F252,[1]characters!$A:$M,13,FALSE)</f>
        <v>human</v>
      </c>
      <c r="M252" s="16">
        <f>VLOOKUP(D252,gacha_179_base!A:B,2,FALSE)</f>
        <v>1116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customHeight="1">
      <c r="A253" s="7" t="str">
        <f t="shared" si="28"/>
        <v>1790167</v>
      </c>
      <c r="B253" s="2" t="str">
        <f t="shared" si="14"/>
        <v>1790</v>
      </c>
      <c r="C253" s="8" t="str">
        <f t="shared" si="29"/>
        <v>0PremiumN4</v>
      </c>
      <c r="D253" s="8" t="str">
        <f t="shared" si="16"/>
        <v>0PremiumN4</v>
      </c>
      <c r="E253" s="10">
        <v>0</v>
      </c>
      <c r="F253" s="6">
        <v>167</v>
      </c>
      <c r="G253" s="8" t="str">
        <f>VLOOKUP(F253,[1]characters!$A:$C,3,FALSE)</f>
        <v>逆徒 ベリアル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red</v>
      </c>
      <c r="K253" s="8" t="str">
        <f>VLOOKUP(F253,[1]characters!$A:$K,11,FALSE)</f>
        <v>attack</v>
      </c>
      <c r="L253" s="8" t="str">
        <f>VLOOKUP(F253,[1]characters!$A:$M,13,FALSE)</f>
        <v>god</v>
      </c>
      <c r="M253" s="16">
        <f>VLOOKUP(D253,gacha_179_base!A:B,2,FALSE)</f>
        <v>2075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customHeight="1">
      <c r="A254" s="7" t="str">
        <f t="shared" si="28"/>
        <v>1790168</v>
      </c>
      <c r="B254" s="2" t="str">
        <f t="shared" si="14"/>
        <v>1790</v>
      </c>
      <c r="C254" s="8" t="str">
        <f t="shared" si="29"/>
        <v>0PremiumN5</v>
      </c>
      <c r="D254" s="8" t="str">
        <f t="shared" si="16"/>
        <v>0PremiumN5</v>
      </c>
      <c r="E254" s="10">
        <v>0</v>
      </c>
      <c r="F254" s="6">
        <v>168</v>
      </c>
      <c r="G254" s="8" t="str">
        <f>VLOOKUP(F254,[1]characters!$A:$C,3,FALSE)</f>
        <v>猛進の大逆者 ベリアル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red</v>
      </c>
      <c r="K254" s="8" t="str">
        <f>VLOOKUP(F254,[1]characters!$A:$K,11,FALSE)</f>
        <v>attack</v>
      </c>
      <c r="L254" s="8" t="str">
        <f>VLOOKUP(F254,[1]characters!$A:$M,13,FALSE)</f>
        <v>god</v>
      </c>
      <c r="M254" s="16">
        <f>VLOOKUP(D254,gacha_179_base!A:B,2,FALSE)</f>
        <v>156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customHeight="1">
      <c r="A255" s="7" t="str">
        <f t="shared" si="28"/>
        <v>1790170</v>
      </c>
      <c r="B255" s="2" t="str">
        <f t="shared" si="14"/>
        <v>1790</v>
      </c>
      <c r="C255" s="8" t="str">
        <f t="shared" si="29"/>
        <v>0PremiumN4</v>
      </c>
      <c r="D255" s="8" t="str">
        <f t="shared" si="16"/>
        <v>0PremiumN4</v>
      </c>
      <c r="E255" s="10">
        <v>0</v>
      </c>
      <c r="F255" s="6">
        <v>170</v>
      </c>
      <c r="G255" s="8" t="str">
        <f>VLOOKUP(F255,[1]characters!$A:$C,3,FALSE)</f>
        <v>識徒 オセ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green</v>
      </c>
      <c r="K255" s="8" t="str">
        <f>VLOOKUP(F255,[1]characters!$A:$K,11,FALSE)</f>
        <v>attack</v>
      </c>
      <c r="L255" s="8" t="str">
        <f>VLOOKUP(F255,[1]characters!$A:$M,13,FALSE)</f>
        <v>god</v>
      </c>
      <c r="M255" s="16">
        <f>VLOOKUP(D255,gacha_179_base!A:B,2,FALSE)</f>
        <v>2075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customHeight="1">
      <c r="A256" s="7" t="str">
        <f t="shared" si="28"/>
        <v>1790171</v>
      </c>
      <c r="B256" s="2" t="str">
        <f t="shared" si="14"/>
        <v>1790</v>
      </c>
      <c r="C256" s="8" t="str">
        <f t="shared" si="29"/>
        <v>0PremiumN5</v>
      </c>
      <c r="D256" s="8" t="str">
        <f t="shared" si="16"/>
        <v>0PremiumN5</v>
      </c>
      <c r="E256" s="10">
        <v>0</v>
      </c>
      <c r="F256" s="6">
        <v>171</v>
      </c>
      <c r="G256" s="8" t="str">
        <f>VLOOKUP(F256,[1]characters!$A:$C,3,FALSE)</f>
        <v>精解の預知者 オセ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green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16">
        <f>VLOOKUP(D256,gacha_179_base!A:B,2,FALSE)</f>
        <v>156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customHeight="1">
      <c r="A257" s="7" t="str">
        <f t="shared" si="28"/>
        <v>1790173</v>
      </c>
      <c r="B257" s="2" t="str">
        <f t="shared" si="14"/>
        <v>1790</v>
      </c>
      <c r="C257" s="8" t="str">
        <f t="shared" si="29"/>
        <v>0PremiumN4</v>
      </c>
      <c r="D257" s="8" t="str">
        <f t="shared" si="16"/>
        <v>0PremiumN4</v>
      </c>
      <c r="E257" s="10">
        <v>0</v>
      </c>
      <c r="F257" s="6">
        <v>173</v>
      </c>
      <c r="G257" s="8" t="str">
        <f>VLOOKUP(F257,[1]characters!$A:$C,3,FALSE)</f>
        <v>公爵 フォルネウス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16">
        <f>VLOOKUP(D257,gacha_179_base!A:B,2,FALSE)</f>
        <v>2075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customHeight="1">
      <c r="A258" s="7" t="str">
        <f t="shared" si="28"/>
        <v>1790174</v>
      </c>
      <c r="B258" s="2" t="str">
        <f t="shared" si="14"/>
        <v>1790</v>
      </c>
      <c r="C258" s="8" t="str">
        <f t="shared" si="29"/>
        <v>0PremiumN5</v>
      </c>
      <c r="D258" s="8" t="str">
        <f t="shared" si="16"/>
        <v>0PremiumN5</v>
      </c>
      <c r="E258" s="10">
        <v>0</v>
      </c>
      <c r="F258" s="6">
        <v>174</v>
      </c>
      <c r="G258" s="8" t="str">
        <f>VLOOKUP(F258,[1]characters!$A:$C,3,FALSE)</f>
        <v>偽愛の大公爵 フォルネウス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VLOOKUP(D258,gacha_179_base!A:B,2,FALSE)</f>
        <v>156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customHeight="1">
      <c r="A259" s="7" t="str">
        <f t="shared" si="28"/>
        <v>1790176</v>
      </c>
      <c r="B259" s="2" t="str">
        <f t="shared" ref="B259:B322" si="30">179&amp;E259</f>
        <v>1790</v>
      </c>
      <c r="C259" s="8" t="str">
        <f t="shared" si="29"/>
        <v>0PremiumN4</v>
      </c>
      <c r="D259" s="8" t="str">
        <f t="shared" si="16"/>
        <v>0PremiumN4</v>
      </c>
      <c r="E259" s="10">
        <v>0</v>
      </c>
      <c r="F259" s="6">
        <v>176</v>
      </c>
      <c r="G259" s="8" t="str">
        <f>VLOOKUP(F259,[1]characters!$A:$C,3,FALSE)</f>
        <v>異教徒 バフォメット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yellow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VLOOKUP(D259,gacha_179_base!A:B,2,FALSE)</f>
        <v>2075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28"/>
        <v>1790177</v>
      </c>
      <c r="B260" s="2" t="str">
        <f t="shared" si="30"/>
        <v>1790</v>
      </c>
      <c r="C260" s="8" t="str">
        <f t="shared" si="29"/>
        <v>0PremiumN5</v>
      </c>
      <c r="D260" s="8" t="str">
        <f t="shared" si="16"/>
        <v>0PremiumN5</v>
      </c>
      <c r="E260" s="10">
        <v>0</v>
      </c>
      <c r="F260" s="6">
        <v>177</v>
      </c>
      <c r="G260" s="8" t="str">
        <f>VLOOKUP(F260,[1]characters!$A:$C,3,FALSE)</f>
        <v>黒魔の異端師 バフォメット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yellow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VLOOKUP(D260,gacha_179_base!A:B,2,FALSE)</f>
        <v>156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28"/>
        <v>1790179</v>
      </c>
      <c r="B261" s="2" t="str">
        <f t="shared" si="30"/>
        <v>1790</v>
      </c>
      <c r="C261" s="8" t="str">
        <f t="shared" si="29"/>
        <v>0PremiumN4</v>
      </c>
      <c r="D261" s="8" t="str">
        <f t="shared" si="16"/>
        <v>0PremiumN4</v>
      </c>
      <c r="E261" s="10">
        <v>0</v>
      </c>
      <c r="F261" s="6">
        <v>179</v>
      </c>
      <c r="G261" s="8" t="str">
        <f>VLOOKUP(F261,[1]characters!$A:$C,3,FALSE)</f>
        <v>番犬 ケルベロス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red</v>
      </c>
      <c r="K261" s="8" t="str">
        <f>VLOOKUP(F261,[1]characters!$A:$K,11,FALSE)</f>
        <v>balance</v>
      </c>
      <c r="L261" s="8" t="str">
        <f>VLOOKUP(F261,[1]characters!$A:$M,13,FALSE)</f>
        <v>animal</v>
      </c>
      <c r="M261" s="16">
        <f>VLOOKUP(D261,gacha_179_base!A:B,2,FALSE)</f>
        <v>2075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customHeight="1">
      <c r="A262" s="7" t="str">
        <f t="shared" si="28"/>
        <v>1790180</v>
      </c>
      <c r="B262" s="2" t="str">
        <f t="shared" si="30"/>
        <v>1790</v>
      </c>
      <c r="C262" s="8" t="str">
        <f t="shared" si="29"/>
        <v>0PremiumN5</v>
      </c>
      <c r="D262" s="8" t="str">
        <f t="shared" si="16"/>
        <v>0PremiumN5</v>
      </c>
      <c r="E262" s="10">
        <v>0</v>
      </c>
      <c r="F262" s="6">
        <v>180</v>
      </c>
      <c r="G262" s="8" t="str">
        <f>VLOOKUP(F262,[1]characters!$A:$C,3,FALSE)</f>
        <v>地獄の大門番 ケルベロス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red</v>
      </c>
      <c r="K262" s="8" t="str">
        <f>VLOOKUP(F262,[1]characters!$A:$K,11,FALSE)</f>
        <v>balance</v>
      </c>
      <c r="L262" s="8" t="str">
        <f>VLOOKUP(F262,[1]characters!$A:$M,13,FALSE)</f>
        <v>animal</v>
      </c>
      <c r="M262" s="16">
        <f>VLOOKUP(D262,gacha_179_base!A:B,2,FALSE)</f>
        <v>156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customHeight="1">
      <c r="A263" s="7" t="str">
        <f t="shared" si="28"/>
        <v>1790182</v>
      </c>
      <c r="B263" s="2" t="str">
        <f t="shared" si="30"/>
        <v>1790</v>
      </c>
      <c r="C263" s="8" t="str">
        <f t="shared" si="29"/>
        <v>0PremiumN4</v>
      </c>
      <c r="D263" s="8" t="str">
        <f t="shared" si="16"/>
        <v>0PremiumN4</v>
      </c>
      <c r="E263" s="10">
        <v>0</v>
      </c>
      <c r="F263" s="6">
        <v>182</v>
      </c>
      <c r="G263" s="8" t="str">
        <f>VLOOKUP(F263,[1]characters!$A:$C,3,FALSE)</f>
        <v>放蕩者 ベヒモス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green</v>
      </c>
      <c r="K263" s="8" t="str">
        <f>VLOOKUP(F263,[1]characters!$A:$K,11,FALSE)</f>
        <v>hp</v>
      </c>
      <c r="L263" s="8" t="str">
        <f>VLOOKUP(F263,[1]characters!$A:$M,13,FALSE)</f>
        <v>animal</v>
      </c>
      <c r="M263" s="16">
        <f>VLOOKUP(D263,gacha_179_base!A:B,2,FALSE)</f>
        <v>2075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customHeight="1">
      <c r="A264" s="7" t="str">
        <f t="shared" si="28"/>
        <v>1790183</v>
      </c>
      <c r="B264" s="2" t="str">
        <f t="shared" si="30"/>
        <v>1790</v>
      </c>
      <c r="C264" s="8" t="str">
        <f t="shared" si="29"/>
        <v>0PremiumN5</v>
      </c>
      <c r="D264" s="8" t="str">
        <f t="shared" si="16"/>
        <v>0PremiumN5</v>
      </c>
      <c r="E264" s="10">
        <v>0</v>
      </c>
      <c r="F264" s="6">
        <v>183</v>
      </c>
      <c r="G264" s="8" t="str">
        <f>VLOOKUP(F264,[1]characters!$A:$C,3,FALSE)</f>
        <v>鈍重な彷徨者 ベヒモス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green</v>
      </c>
      <c r="K264" s="8" t="str">
        <f>VLOOKUP(F264,[1]characters!$A:$K,11,FALSE)</f>
        <v>hp</v>
      </c>
      <c r="L264" s="8" t="str">
        <f>VLOOKUP(F264,[1]characters!$A:$M,13,FALSE)</f>
        <v>animal</v>
      </c>
      <c r="M264" s="16">
        <f>VLOOKUP(D264,gacha_179_base!A:B,2,FALSE)</f>
        <v>156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customHeight="1">
      <c r="A265" s="7" t="str">
        <f t="shared" si="28"/>
        <v>1790185</v>
      </c>
      <c r="B265" s="2" t="str">
        <f t="shared" si="30"/>
        <v>1790</v>
      </c>
      <c r="C265" s="8" t="str">
        <f t="shared" si="29"/>
        <v>0PremiumN4</v>
      </c>
      <c r="D265" s="8" t="str">
        <f t="shared" si="16"/>
        <v>0PremiumN4</v>
      </c>
      <c r="E265" s="10">
        <v>0</v>
      </c>
      <c r="F265" s="6">
        <v>185</v>
      </c>
      <c r="G265" s="8" t="str">
        <f>VLOOKUP(F265,[1]characters!$A:$C,3,FALSE)</f>
        <v>海姫 クラーケン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blue</v>
      </c>
      <c r="K265" s="8" t="str">
        <f>VLOOKUP(F265,[1]characters!$A:$K,11,FALSE)</f>
        <v>heal</v>
      </c>
      <c r="L265" s="8" t="str">
        <f>VLOOKUP(F265,[1]characters!$A:$M,13,FALSE)</f>
        <v>animal</v>
      </c>
      <c r="M265" s="16">
        <f>VLOOKUP(D265,gacha_179_base!A:B,2,FALSE)</f>
        <v>2075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customHeight="1">
      <c r="A266" s="7" t="str">
        <f t="shared" si="28"/>
        <v>1790186</v>
      </c>
      <c r="B266" s="2" t="str">
        <f t="shared" si="30"/>
        <v>1790</v>
      </c>
      <c r="C266" s="8" t="str">
        <f t="shared" si="29"/>
        <v>0PremiumN5</v>
      </c>
      <c r="D266" s="8" t="str">
        <f t="shared" si="16"/>
        <v>0PremiumN5</v>
      </c>
      <c r="E266" s="10">
        <v>0</v>
      </c>
      <c r="F266" s="9">
        <v>186</v>
      </c>
      <c r="G266" s="8" t="str">
        <f>VLOOKUP(F266,[1]characters!$A:$C,3,FALSE)</f>
        <v>誇り高き多触姫・クラーケン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blue</v>
      </c>
      <c r="K266" s="8" t="str">
        <f>VLOOKUP(F266,[1]characters!$A:$K,11,FALSE)</f>
        <v>heal</v>
      </c>
      <c r="L266" s="8" t="str">
        <f>VLOOKUP(F266,[1]characters!$A:$M,13,FALSE)</f>
        <v>animal</v>
      </c>
      <c r="M266" s="16">
        <f>VLOOKUP(D266,gacha_179_base!A:B,2,FALSE)</f>
        <v>156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customHeight="1">
      <c r="A267" s="7" t="str">
        <f t="shared" si="28"/>
        <v>1790188</v>
      </c>
      <c r="B267" s="2" t="str">
        <f t="shared" si="30"/>
        <v>1790</v>
      </c>
      <c r="C267" s="8" t="str">
        <f t="shared" si="29"/>
        <v>0PremiumN4</v>
      </c>
      <c r="D267" s="8" t="str">
        <f t="shared" ref="D267:D330" si="31">E267&amp;H267&amp;I267</f>
        <v>0PremiumN4</v>
      </c>
      <c r="E267" s="10">
        <v>0</v>
      </c>
      <c r="F267" s="9">
        <v>188</v>
      </c>
      <c r="G267" s="8" t="str">
        <f>VLOOKUP(F267,[1]characters!$A:$C,3,FALSE)</f>
        <v>猛禽 ホルス</v>
      </c>
      <c r="H267" s="8" t="str">
        <f>VLOOKUP(F267,[1]characters!$A:$J,10,FALSE)</f>
        <v>PremiumN</v>
      </c>
      <c r="I267" s="8">
        <f>VLOOKUP(F267,[1]characters!$A:$I,9,FALSE)</f>
        <v>4</v>
      </c>
      <c r="J267" s="8" t="str">
        <f>VLOOKUP(F267,[1]characters!$A:$H,8,FALSE)</f>
        <v>yellow</v>
      </c>
      <c r="K267" s="8" t="str">
        <f>VLOOKUP(F267,[1]characters!$A:$K,11,FALSE)</f>
        <v>attack</v>
      </c>
      <c r="L267" s="8" t="str">
        <f>VLOOKUP(F267,[1]characters!$A:$M,13,FALSE)</f>
        <v>animal</v>
      </c>
      <c r="M267" s="16">
        <f>VLOOKUP(D267,gacha_179_base!A:B,2,FALSE)</f>
        <v>2075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28"/>
        <v>1790189</v>
      </c>
      <c r="B268" s="2" t="str">
        <f t="shared" si="30"/>
        <v>1790</v>
      </c>
      <c r="C268" s="8" t="str">
        <f t="shared" ref="C268:C310" si="32">E268&amp;H268&amp;I268</f>
        <v>0PremiumN5</v>
      </c>
      <c r="D268" s="8" t="str">
        <f t="shared" si="31"/>
        <v>0PremiumN5</v>
      </c>
      <c r="E268" s="10">
        <v>0</v>
      </c>
      <c r="F268" s="9">
        <v>189</v>
      </c>
      <c r="G268" s="8" t="str">
        <f>VLOOKUP(F268,[1]characters!$A:$C,3,FALSE)</f>
        <v>迅雷の王禽 ホルス</v>
      </c>
      <c r="H268" s="8" t="str">
        <f>VLOOKUP(F268,[1]characters!$A:$J,10,FALSE)</f>
        <v>PremiumN</v>
      </c>
      <c r="I268" s="8">
        <f>VLOOKUP(F268,[1]characters!$A:$I,9,FALSE)</f>
        <v>5</v>
      </c>
      <c r="J268" s="8" t="str">
        <f>VLOOKUP(F268,[1]characters!$A:$H,8,FALSE)</f>
        <v>yellow</v>
      </c>
      <c r="K268" s="8" t="str">
        <f>VLOOKUP(F268,[1]characters!$A:$K,11,FALSE)</f>
        <v>attack</v>
      </c>
      <c r="L268" s="8" t="str">
        <f>VLOOKUP(F268,[1]characters!$A:$M,13,FALSE)</f>
        <v>animal</v>
      </c>
      <c r="M268" s="16">
        <f>VLOOKUP(D268,gacha_179_base!A:B,2,FALSE)</f>
        <v>156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si="28"/>
        <v>1790191</v>
      </c>
      <c r="B269" s="2" t="str">
        <f t="shared" si="30"/>
        <v>1790</v>
      </c>
      <c r="C269" s="8" t="str">
        <f t="shared" si="32"/>
        <v>0PremiumN4</v>
      </c>
      <c r="D269" s="8" t="str">
        <f t="shared" si="31"/>
        <v>0PremiumN4</v>
      </c>
      <c r="E269" s="10">
        <v>0</v>
      </c>
      <c r="F269" s="6">
        <v>191</v>
      </c>
      <c r="G269" s="8" t="str">
        <f>VLOOKUP(F269,[1]characters!$A:$C,3,FALSE)</f>
        <v>始祖 卑弥呼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red</v>
      </c>
      <c r="K269" s="8" t="str">
        <f>VLOOKUP(F269,[1]characters!$A:$K,11,FALSE)</f>
        <v>balance</v>
      </c>
      <c r="L269" s="8" t="str">
        <f>VLOOKUP(F269,[1]characters!$A:$M,13,FALSE)</f>
        <v>human</v>
      </c>
      <c r="M269" s="16">
        <f>VLOOKUP(D269,gacha_179_base!A:B,2,FALSE)</f>
        <v>2075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customHeight="1">
      <c r="A270" s="7" t="str">
        <f t="shared" si="28"/>
        <v>1790192</v>
      </c>
      <c r="B270" s="2" t="str">
        <f t="shared" si="30"/>
        <v>1790</v>
      </c>
      <c r="C270" s="8" t="str">
        <f t="shared" si="32"/>
        <v>0PremiumN5</v>
      </c>
      <c r="D270" s="8" t="str">
        <f t="shared" si="31"/>
        <v>0PremiumN5</v>
      </c>
      <c r="E270" s="10">
        <v>0</v>
      </c>
      <c r="F270" s="6">
        <v>192</v>
      </c>
      <c r="G270" s="8" t="str">
        <f>VLOOKUP(F270,[1]characters!$A:$C,3,FALSE)</f>
        <v>荘厳なる始祖帝 卑弥呼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red</v>
      </c>
      <c r="K270" s="8" t="str">
        <f>VLOOKUP(F270,[1]characters!$A:$K,11,FALSE)</f>
        <v>balance</v>
      </c>
      <c r="L270" s="8" t="str">
        <f>VLOOKUP(F270,[1]characters!$A:$M,13,FALSE)</f>
        <v>human</v>
      </c>
      <c r="M270" s="16">
        <f>VLOOKUP(D270,gacha_179_base!A:B,2,FALSE)</f>
        <v>156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customHeight="1">
      <c r="A271" s="7" t="str">
        <f t="shared" si="28"/>
        <v>1790194</v>
      </c>
      <c r="B271" s="2" t="str">
        <f t="shared" si="30"/>
        <v>1790</v>
      </c>
      <c r="C271" s="8" t="str">
        <f t="shared" si="32"/>
        <v>0PremiumN4</v>
      </c>
      <c r="D271" s="8" t="str">
        <f t="shared" si="31"/>
        <v>0PremiumN4</v>
      </c>
      <c r="E271" s="10">
        <v>0</v>
      </c>
      <c r="F271" s="6">
        <v>194</v>
      </c>
      <c r="G271" s="8" t="str">
        <f>VLOOKUP(F271,[1]characters!$A:$C,3,FALSE)</f>
        <v>スナイパー ロビンフッド</v>
      </c>
      <c r="H271" s="8" t="str">
        <f>VLOOKUP(F271,[1]characters!$A:$J,10,FALSE)</f>
        <v>PremiumN</v>
      </c>
      <c r="I271" s="8">
        <f>VLOOKUP(F271,[1]characters!$A:$I,9,FALSE)</f>
        <v>4</v>
      </c>
      <c r="J271" s="8" t="str">
        <f>VLOOKUP(F271,[1]characters!$A:$H,8,FALSE)</f>
        <v>green</v>
      </c>
      <c r="K271" s="8" t="str">
        <f>VLOOKUP(F271,[1]characters!$A:$K,11,FALSE)</f>
        <v>balance</v>
      </c>
      <c r="L271" s="8" t="str">
        <f>VLOOKUP(F271,[1]characters!$A:$M,13,FALSE)</f>
        <v>human</v>
      </c>
      <c r="M271" s="16">
        <f>VLOOKUP(D271,gacha_179_base!A:B,2,FALSE)</f>
        <v>2075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customHeight="1">
      <c r="A272" s="7" t="str">
        <f t="shared" si="28"/>
        <v>1790195</v>
      </c>
      <c r="B272" s="2" t="str">
        <f t="shared" si="30"/>
        <v>1790</v>
      </c>
      <c r="C272" s="8" t="str">
        <f t="shared" si="32"/>
        <v>0PremiumN5</v>
      </c>
      <c r="D272" s="8" t="str">
        <f t="shared" si="31"/>
        <v>0PremiumN5</v>
      </c>
      <c r="E272" s="10">
        <v>0</v>
      </c>
      <c r="F272" s="6">
        <v>195</v>
      </c>
      <c r="G272" s="8" t="str">
        <f>VLOOKUP(F272,[1]characters!$A:$C,3,FALSE)</f>
        <v>グランドハンター ロビンフッド</v>
      </c>
      <c r="H272" s="8" t="str">
        <f>VLOOKUP(F272,[1]characters!$A:$J,10,FALSE)</f>
        <v>PremiumN</v>
      </c>
      <c r="I272" s="8">
        <f>VLOOKUP(F272,[1]characters!$A:$I,9,FALSE)</f>
        <v>5</v>
      </c>
      <c r="J272" s="8" t="str">
        <f>VLOOKUP(F272,[1]characters!$A:$H,8,FALSE)</f>
        <v>green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VLOOKUP(D272,gacha_179_base!A:B,2,FALSE)</f>
        <v>156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customHeight="1">
      <c r="A273" s="7" t="str">
        <f t="shared" si="28"/>
        <v>1790197</v>
      </c>
      <c r="B273" s="2" t="str">
        <f t="shared" si="30"/>
        <v>1790</v>
      </c>
      <c r="C273" s="8" t="str">
        <f t="shared" si="32"/>
        <v>0PremiumN4</v>
      </c>
      <c r="D273" s="8" t="str">
        <f t="shared" si="31"/>
        <v>0PremiumN4</v>
      </c>
      <c r="E273" s="10">
        <v>0</v>
      </c>
      <c r="F273" s="6">
        <v>197</v>
      </c>
      <c r="G273" s="8" t="str">
        <f>VLOOKUP(F273,[1]characters!$A:$C,3,FALSE)</f>
        <v>鉄腕 アキレス</v>
      </c>
      <c r="H273" s="8" t="str">
        <f>VLOOKUP(F273,[1]characters!$A:$J,10,FALSE)</f>
        <v>PremiumN</v>
      </c>
      <c r="I273" s="8">
        <f>VLOOKUP(F273,[1]characters!$A:$I,9,FALSE)</f>
        <v>4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VLOOKUP(D273,gacha_179_base!A:B,2,FALSE)</f>
        <v>2075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customHeight="1">
      <c r="A274" s="7" t="str">
        <f t="shared" si="28"/>
        <v>1790198</v>
      </c>
      <c r="B274" s="2" t="str">
        <f t="shared" si="30"/>
        <v>1790</v>
      </c>
      <c r="C274" s="8" t="str">
        <f t="shared" si="32"/>
        <v>0PremiumN5</v>
      </c>
      <c r="D274" s="8" t="str">
        <f t="shared" si="31"/>
        <v>0PremiumN5</v>
      </c>
      <c r="E274" s="10">
        <v>0</v>
      </c>
      <c r="F274" s="6">
        <v>198</v>
      </c>
      <c r="G274" s="8" t="str">
        <f>VLOOKUP(F274,[1]characters!$A:$C,3,FALSE)</f>
        <v>砕骨の剛腕 アキレス</v>
      </c>
      <c r="H274" s="8" t="str">
        <f>VLOOKUP(F274,[1]characters!$A:$J,10,FALSE)</f>
        <v>PremiumN</v>
      </c>
      <c r="I274" s="8">
        <f>VLOOKUP(F274,[1]characters!$A:$I,9,FALSE)</f>
        <v>5</v>
      </c>
      <c r="J274" s="8" t="str">
        <f>VLOOKUP(F274,[1]characters!$A:$H,8,FALSE)</f>
        <v>yellow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VLOOKUP(D274,gacha_179_base!A:B,2,FALSE)</f>
        <v>156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customHeight="1">
      <c r="A275" s="7" t="str">
        <f t="shared" si="28"/>
        <v>1790200</v>
      </c>
      <c r="B275" s="2" t="str">
        <f t="shared" si="30"/>
        <v>1790</v>
      </c>
      <c r="C275" s="8" t="str">
        <f t="shared" si="32"/>
        <v>0PremiumN4</v>
      </c>
      <c r="D275" s="8" t="str">
        <f t="shared" si="31"/>
        <v>0PremiumN4</v>
      </c>
      <c r="E275" s="10">
        <v>0</v>
      </c>
      <c r="F275" s="6">
        <v>200</v>
      </c>
      <c r="G275" s="8" t="str">
        <f>VLOOKUP(F275,[1]characters!$A:$C,3,FALSE)</f>
        <v>大剣士 ジークフリート</v>
      </c>
      <c r="H275" s="8" t="str">
        <f>VLOOKUP(F275,[1]characters!$A:$J,10,FALSE)</f>
        <v>PremiumN</v>
      </c>
      <c r="I275" s="8">
        <f>VLOOKUP(F275,[1]characters!$A:$I,9,FALSE)</f>
        <v>4</v>
      </c>
      <c r="J275" s="8" t="str">
        <f>VLOOKUP(F275,[1]characters!$A:$H,8,FALSE)</f>
        <v>blue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VLOOKUP(D275,gacha_179_base!A:B,2,FALSE)</f>
        <v>2075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customHeight="1">
      <c r="A276" s="7" t="str">
        <f t="shared" si="28"/>
        <v>1790201</v>
      </c>
      <c r="B276" s="2" t="str">
        <f t="shared" si="30"/>
        <v>1790</v>
      </c>
      <c r="C276" s="8" t="str">
        <f t="shared" si="32"/>
        <v>0PremiumN5</v>
      </c>
      <c r="D276" s="8" t="str">
        <f t="shared" si="31"/>
        <v>0PremiumN5</v>
      </c>
      <c r="E276" s="10">
        <v>0</v>
      </c>
      <c r="F276" s="5">
        <v>201</v>
      </c>
      <c r="G276" s="8" t="str">
        <f>VLOOKUP(F276,[1]characters!$A:$C,3,FALSE)</f>
        <v>斬空の大破剣 ジークフリート</v>
      </c>
      <c r="H276" s="8" t="str">
        <f>VLOOKUP(F276,[1]characters!$A:$J,10,FALSE)</f>
        <v>PremiumN</v>
      </c>
      <c r="I276" s="8">
        <f>VLOOKUP(F276,[1]characters!$A:$I,9,FALSE)</f>
        <v>5</v>
      </c>
      <c r="J276" s="8" t="str">
        <f>VLOOKUP(F276,[1]characters!$A:$H,8,FALSE)</f>
        <v>blue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16">
        <f>VLOOKUP(D276,gacha_179_base!A:B,2,FALSE)</f>
        <v>156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customHeight="1">
      <c r="A277" s="7" t="str">
        <f t="shared" si="28"/>
        <v>1790203</v>
      </c>
      <c r="B277" s="2" t="str">
        <f t="shared" si="30"/>
        <v>1790</v>
      </c>
      <c r="C277" s="8" t="str">
        <f t="shared" si="32"/>
        <v>0PremiumN4</v>
      </c>
      <c r="D277" s="8" t="str">
        <f t="shared" si="31"/>
        <v>0PremiumN4</v>
      </c>
      <c r="E277" s="10">
        <v>0</v>
      </c>
      <c r="F277" s="5">
        <v>203</v>
      </c>
      <c r="G277" s="8" t="str">
        <f>VLOOKUP(F277,[1]characters!$A:$C,3,FALSE)</f>
        <v>焔神 プロメテウス</v>
      </c>
      <c r="H277" s="8" t="str">
        <f>VLOOKUP(F277,[1]characters!$A:$J,10,FALSE)</f>
        <v>PremiumN</v>
      </c>
      <c r="I277" s="8">
        <f>VLOOKUP(F277,[1]characters!$A:$I,9,FALSE)</f>
        <v>4</v>
      </c>
      <c r="J277" s="8" t="str">
        <f>VLOOKUP(F277,[1]characters!$A:$H,8,FALSE)</f>
        <v>red</v>
      </c>
      <c r="K277" s="8" t="str">
        <f>VLOOKUP(F277,[1]characters!$A:$K,11,FALSE)</f>
        <v>hp</v>
      </c>
      <c r="L277" s="8" t="str">
        <f>VLOOKUP(F277,[1]characters!$A:$M,13,FALSE)</f>
        <v>god</v>
      </c>
      <c r="M277" s="16">
        <f>VLOOKUP(D277,gacha_179_base!A:B,2,FALSE)</f>
        <v>2075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customHeight="1">
      <c r="A278" s="7" t="str">
        <f t="shared" si="28"/>
        <v>1790204</v>
      </c>
      <c r="B278" s="2" t="str">
        <f t="shared" si="30"/>
        <v>1790</v>
      </c>
      <c r="C278" s="8" t="str">
        <f t="shared" si="32"/>
        <v>0PremiumN5</v>
      </c>
      <c r="D278" s="8" t="str">
        <f t="shared" si="31"/>
        <v>0PremiumN5</v>
      </c>
      <c r="E278" s="10">
        <v>0</v>
      </c>
      <c r="F278" s="5">
        <v>204</v>
      </c>
      <c r="G278" s="8" t="str">
        <f>VLOOKUP(F278,[1]characters!$A:$C,3,FALSE)</f>
        <v>慟哭の巨焔 プロメテウス</v>
      </c>
      <c r="H278" s="8" t="str">
        <f>VLOOKUP(F278,[1]characters!$A:$J,10,FALSE)</f>
        <v>PremiumN</v>
      </c>
      <c r="I278" s="8">
        <f>VLOOKUP(F278,[1]characters!$A:$I,9,FALSE)</f>
        <v>5</v>
      </c>
      <c r="J278" s="8" t="str">
        <f>VLOOKUP(F278,[1]characters!$A:$H,8,FALSE)</f>
        <v>red</v>
      </c>
      <c r="K278" s="8" t="str">
        <f>VLOOKUP(F278,[1]characters!$A:$K,11,FALSE)</f>
        <v>hp</v>
      </c>
      <c r="L278" s="8" t="str">
        <f>VLOOKUP(F278,[1]characters!$A:$M,13,FALSE)</f>
        <v>god</v>
      </c>
      <c r="M278" s="16">
        <f>VLOOKUP(D278,gacha_179_base!A:B,2,FALSE)</f>
        <v>156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customHeight="1">
      <c r="A279" s="7" t="str">
        <f t="shared" si="28"/>
        <v>1790206</v>
      </c>
      <c r="B279" s="2" t="str">
        <f t="shared" si="30"/>
        <v>1790</v>
      </c>
      <c r="C279" s="8" t="str">
        <f t="shared" si="32"/>
        <v>0PremiumN4</v>
      </c>
      <c r="D279" s="8" t="str">
        <f t="shared" si="31"/>
        <v>0PremiumN4</v>
      </c>
      <c r="E279" s="10">
        <v>0</v>
      </c>
      <c r="F279" s="5">
        <v>206</v>
      </c>
      <c r="G279" s="8" t="str">
        <f>VLOOKUP(F279,[1]characters!$A:$C,3,FALSE)</f>
        <v>美神 アフロディーテ</v>
      </c>
      <c r="H279" s="8" t="str">
        <f>VLOOKUP(F279,[1]characters!$A:$J,10,FALSE)</f>
        <v>PremiumN</v>
      </c>
      <c r="I279" s="8">
        <f>VLOOKUP(F279,[1]characters!$A:$I,9,FALSE)</f>
        <v>4</v>
      </c>
      <c r="J279" s="8" t="str">
        <f>VLOOKUP(F279,[1]characters!$A:$H,8,FALSE)</f>
        <v>green</v>
      </c>
      <c r="K279" s="8" t="str">
        <f>VLOOKUP(F279,[1]characters!$A:$K,11,FALSE)</f>
        <v>hp</v>
      </c>
      <c r="L279" s="8" t="str">
        <f>VLOOKUP(F279,[1]characters!$A:$M,13,FALSE)</f>
        <v>god</v>
      </c>
      <c r="M279" s="16">
        <f>VLOOKUP(D279,gacha_179_base!A:B,2,FALSE)</f>
        <v>2075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customHeight="1">
      <c r="A280" s="7" t="str">
        <f t="shared" si="28"/>
        <v>1790207</v>
      </c>
      <c r="B280" s="2" t="str">
        <f t="shared" si="30"/>
        <v>1790</v>
      </c>
      <c r="C280" s="8" t="str">
        <f t="shared" si="32"/>
        <v>0PremiumN5</v>
      </c>
      <c r="D280" s="8" t="str">
        <f t="shared" si="31"/>
        <v>0PremiumN5</v>
      </c>
      <c r="E280" s="10">
        <v>0</v>
      </c>
      <c r="F280" s="5">
        <v>207</v>
      </c>
      <c r="G280" s="8" t="str">
        <f>VLOOKUP(F280,[1]characters!$A:$C,3,FALSE)</f>
        <v>豊穣の麗神・アフロディーテ</v>
      </c>
      <c r="H280" s="8" t="str">
        <f>VLOOKUP(F280,[1]characters!$A:$J,10,FALSE)</f>
        <v>PremiumN</v>
      </c>
      <c r="I280" s="8">
        <f>VLOOKUP(F280,[1]characters!$A:$I,9,FALSE)</f>
        <v>5</v>
      </c>
      <c r="J280" s="8" t="str">
        <f>VLOOKUP(F280,[1]characters!$A:$H,8,FALSE)</f>
        <v>green</v>
      </c>
      <c r="K280" s="8" t="str">
        <f>VLOOKUP(F280,[1]characters!$A:$K,11,FALSE)</f>
        <v>hp</v>
      </c>
      <c r="L280" s="8" t="str">
        <f>VLOOKUP(F280,[1]characters!$A:$M,13,FALSE)</f>
        <v>god</v>
      </c>
      <c r="M280" s="16">
        <f>VLOOKUP(D280,gacha_179_base!A:B,2,FALSE)</f>
        <v>156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customHeight="1">
      <c r="A281" s="7" t="str">
        <f t="shared" si="28"/>
        <v>1790209</v>
      </c>
      <c r="B281" s="2" t="str">
        <f t="shared" si="30"/>
        <v>1790</v>
      </c>
      <c r="C281" s="8" t="str">
        <f t="shared" si="32"/>
        <v>0PremiumN4</v>
      </c>
      <c r="D281" s="8" t="str">
        <f t="shared" si="31"/>
        <v>0PremiumN4</v>
      </c>
      <c r="E281" s="10">
        <v>0</v>
      </c>
      <c r="F281" s="5">
        <v>209</v>
      </c>
      <c r="G281" s="8" t="str">
        <f>VLOOKUP(F281,[1]characters!$A:$C,3,FALSE)</f>
        <v>孤神 テティス</v>
      </c>
      <c r="H281" s="8" t="str">
        <f>VLOOKUP(F281,[1]characters!$A:$J,10,FALSE)</f>
        <v>PremiumN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hp</v>
      </c>
      <c r="L281" s="8" t="str">
        <f>VLOOKUP(F281,[1]characters!$A:$M,13,FALSE)</f>
        <v>god</v>
      </c>
      <c r="M281" s="16">
        <f>VLOOKUP(D281,gacha_179_base!A:B,2,FALSE)</f>
        <v>2075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customHeight="1">
      <c r="A282" s="7" t="str">
        <f t="shared" si="28"/>
        <v>1790210</v>
      </c>
      <c r="B282" s="2" t="str">
        <f t="shared" si="30"/>
        <v>1790</v>
      </c>
      <c r="C282" s="8" t="str">
        <f t="shared" si="32"/>
        <v>0PremiumN5</v>
      </c>
      <c r="D282" s="8" t="str">
        <f t="shared" si="31"/>
        <v>0PremiumN5</v>
      </c>
      <c r="E282" s="10">
        <v>0</v>
      </c>
      <c r="F282" s="5">
        <v>210</v>
      </c>
      <c r="G282" s="8" t="str">
        <f>VLOOKUP(F282,[1]characters!$A:$C,3,FALSE)</f>
        <v>海底の孤高神 テティス</v>
      </c>
      <c r="H282" s="8" t="str">
        <f>VLOOKUP(F282,[1]characters!$A:$J,10,FALSE)</f>
        <v>PremiumN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hp</v>
      </c>
      <c r="L282" s="8" t="str">
        <f>VLOOKUP(F282,[1]characters!$A:$M,13,FALSE)</f>
        <v>god</v>
      </c>
      <c r="M282" s="16">
        <f>VLOOKUP(D282,gacha_179_base!A:B,2,FALSE)</f>
        <v>156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customHeight="1">
      <c r="A283" s="7" t="str">
        <f t="shared" si="28"/>
        <v>1790212</v>
      </c>
      <c r="B283" s="2" t="str">
        <f t="shared" si="30"/>
        <v>1790</v>
      </c>
      <c r="C283" s="8" t="str">
        <f t="shared" si="32"/>
        <v>0PremiumN4</v>
      </c>
      <c r="D283" s="8" t="str">
        <f t="shared" si="31"/>
        <v>0PremiumN4</v>
      </c>
      <c r="E283" s="10">
        <v>0</v>
      </c>
      <c r="F283" s="5">
        <v>212</v>
      </c>
      <c r="G283" s="8" t="str">
        <f>VLOOKUP(F283,[1]characters!$A:$C,3,FALSE)</f>
        <v>星神 アストライアー</v>
      </c>
      <c r="H283" s="8" t="str">
        <f>VLOOKUP(F283,[1]characters!$A:$J,10,FALSE)</f>
        <v>PremiumN</v>
      </c>
      <c r="I283" s="8">
        <f>VLOOKUP(F283,[1]characters!$A:$I,9,FALSE)</f>
        <v>4</v>
      </c>
      <c r="J283" s="8" t="str">
        <f>VLOOKUP(F283,[1]characters!$A:$H,8,FALSE)</f>
        <v>yellow</v>
      </c>
      <c r="K283" s="8" t="str">
        <f>VLOOKUP(F283,[1]characters!$A:$K,11,FALSE)</f>
        <v>balance</v>
      </c>
      <c r="L283" s="8" t="str">
        <f>VLOOKUP(F283,[1]characters!$A:$M,13,FALSE)</f>
        <v>god</v>
      </c>
      <c r="M283" s="16">
        <f>VLOOKUP(D283,gacha_179_base!A:B,2,FALSE)</f>
        <v>2075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customHeight="1">
      <c r="A284" s="7" t="str">
        <f t="shared" si="28"/>
        <v>1790213</v>
      </c>
      <c r="B284" s="2" t="str">
        <f t="shared" si="30"/>
        <v>1790</v>
      </c>
      <c r="C284" s="8" t="str">
        <f t="shared" si="32"/>
        <v>0PremiumN5</v>
      </c>
      <c r="D284" s="8" t="str">
        <f t="shared" si="31"/>
        <v>0PremiumN5</v>
      </c>
      <c r="E284" s="10">
        <v>0</v>
      </c>
      <c r="F284" s="5">
        <v>213</v>
      </c>
      <c r="G284" s="8" t="str">
        <f>VLOOKUP(F284,[1]characters!$A:$C,3,FALSE)</f>
        <v>満天の星降神 アストライアー</v>
      </c>
      <c r="H284" s="8" t="str">
        <f>VLOOKUP(F284,[1]characters!$A:$J,10,FALSE)</f>
        <v>PremiumN</v>
      </c>
      <c r="I284" s="8">
        <f>VLOOKUP(F284,[1]characters!$A:$I,9,FALSE)</f>
        <v>5</v>
      </c>
      <c r="J284" s="8" t="str">
        <f>VLOOKUP(F284,[1]characters!$A:$H,8,FALSE)</f>
        <v>yellow</v>
      </c>
      <c r="K284" s="8" t="str">
        <f>VLOOKUP(F284,[1]characters!$A:$K,11,FALSE)</f>
        <v>balance</v>
      </c>
      <c r="L284" s="8" t="str">
        <f>VLOOKUP(F284,[1]characters!$A:$M,13,FALSE)</f>
        <v>god</v>
      </c>
      <c r="M284" s="16">
        <f>VLOOKUP(D284,gacha_179_base!A:B,2,FALSE)</f>
        <v>156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customHeight="1">
      <c r="A285" s="7" t="str">
        <f t="shared" si="28"/>
        <v>1790215</v>
      </c>
      <c r="B285" s="2" t="str">
        <f t="shared" si="30"/>
        <v>1790</v>
      </c>
      <c r="C285" s="8" t="str">
        <f t="shared" si="32"/>
        <v>0PremiumN4</v>
      </c>
      <c r="D285" s="8" t="str">
        <f t="shared" si="31"/>
        <v>0PremiumN4</v>
      </c>
      <c r="E285" s="10">
        <v>0</v>
      </c>
      <c r="F285" s="5">
        <v>215</v>
      </c>
      <c r="G285" s="8" t="str">
        <f>VLOOKUP(F285,[1]characters!$A:$C,3,FALSE)</f>
        <v>死導者 アズラエル</v>
      </c>
      <c r="H285" s="8" t="str">
        <f>VLOOKUP(F285,[1]characters!$A:$J,10,FALSE)</f>
        <v>PremiumN</v>
      </c>
      <c r="I285" s="8">
        <f>VLOOKUP(F285,[1]characters!$A:$I,9,FALSE)</f>
        <v>4</v>
      </c>
      <c r="J285" s="8" t="str">
        <f>VLOOKUP(F285,[1]characters!$A:$H,8,FALSE)</f>
        <v>red</v>
      </c>
      <c r="K285" s="8" t="str">
        <f>VLOOKUP(F285,[1]characters!$A:$K,11,FALSE)</f>
        <v>balance</v>
      </c>
      <c r="L285" s="8" t="str">
        <f>VLOOKUP(F285,[1]characters!$A:$M,13,FALSE)</f>
        <v>god</v>
      </c>
      <c r="M285" s="16">
        <f>VLOOKUP(D285,gacha_179_base!A:B,2,FALSE)</f>
        <v>2075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customHeight="1">
      <c r="A286" s="7" t="str">
        <f t="shared" si="28"/>
        <v>1790216</v>
      </c>
      <c r="B286" s="2" t="str">
        <f t="shared" si="30"/>
        <v>1790</v>
      </c>
      <c r="C286" s="8" t="str">
        <f t="shared" si="32"/>
        <v>0PremiumN5</v>
      </c>
      <c r="D286" s="8" t="str">
        <f t="shared" si="31"/>
        <v>0PremiumN5</v>
      </c>
      <c r="E286" s="10">
        <v>0</v>
      </c>
      <c r="F286" s="5">
        <v>216</v>
      </c>
      <c r="G286" s="8" t="str">
        <f>VLOOKUP(F286,[1]characters!$A:$C,3,FALSE)</f>
        <v>百読の死導司書 アズラエル</v>
      </c>
      <c r="H286" s="8" t="str">
        <f>VLOOKUP(F286,[1]characters!$A:$J,10,FALSE)</f>
        <v>PremiumN</v>
      </c>
      <c r="I286" s="8">
        <f>VLOOKUP(F286,[1]characters!$A:$I,9,FALSE)</f>
        <v>5</v>
      </c>
      <c r="J286" s="8" t="str">
        <f>VLOOKUP(F286,[1]characters!$A:$H,8,FALSE)</f>
        <v>red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VLOOKUP(D286,gacha_179_base!A:B,2,FALSE)</f>
        <v>156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customHeight="1">
      <c r="A287" s="7" t="str">
        <f t="shared" si="28"/>
        <v>1790218</v>
      </c>
      <c r="B287" s="2" t="str">
        <f t="shared" si="30"/>
        <v>1790</v>
      </c>
      <c r="C287" s="8" t="str">
        <f t="shared" si="32"/>
        <v>0PremiumN4</v>
      </c>
      <c r="D287" s="8" t="str">
        <f t="shared" si="31"/>
        <v>0PremiumN4</v>
      </c>
      <c r="E287" s="10">
        <v>0</v>
      </c>
      <c r="F287" s="5">
        <v>218</v>
      </c>
      <c r="G287" s="8" t="str">
        <f>VLOOKUP(F287,[1]characters!$A:$C,3,FALSE)</f>
        <v>聖蛇 ケツァクアトル</v>
      </c>
      <c r="H287" s="8" t="str">
        <f>VLOOKUP(F287,[1]characters!$A:$J,10,FALSE)</f>
        <v>PremiumN</v>
      </c>
      <c r="I287" s="8">
        <f>VLOOKUP(F287,[1]characters!$A:$I,9,FALSE)</f>
        <v>4</v>
      </c>
      <c r="J287" s="8" t="str">
        <f>VLOOKUP(F287,[1]characters!$A:$H,8,FALSE)</f>
        <v>green</v>
      </c>
      <c r="K287" s="8" t="str">
        <f>VLOOKUP(F287,[1]characters!$A:$K,11,FALSE)</f>
        <v>hp</v>
      </c>
      <c r="L287" s="8" t="str">
        <f>VLOOKUP(F287,[1]characters!$A:$M,13,FALSE)</f>
        <v>dragon</v>
      </c>
      <c r="M287" s="16">
        <f>VLOOKUP(D287,gacha_179_base!A:B,2,FALSE)</f>
        <v>2075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si="28"/>
        <v>1790219</v>
      </c>
      <c r="B288" s="2" t="str">
        <f t="shared" si="30"/>
        <v>1790</v>
      </c>
      <c r="C288" s="8" t="str">
        <f t="shared" si="32"/>
        <v>0PremiumN5</v>
      </c>
      <c r="D288" s="8" t="str">
        <f t="shared" si="31"/>
        <v>0PremiumN5</v>
      </c>
      <c r="E288" s="10">
        <v>0</v>
      </c>
      <c r="F288" s="5">
        <v>219</v>
      </c>
      <c r="G288" s="8" t="str">
        <f>VLOOKUP(F288,[1]characters!$A:$C,3,FALSE)</f>
        <v>覇翼の聖蛇竜 ケツァクアトル</v>
      </c>
      <c r="H288" s="8" t="str">
        <f>VLOOKUP(F288,[1]characters!$A:$J,10,FALSE)</f>
        <v>PremiumN</v>
      </c>
      <c r="I288" s="8">
        <f>VLOOKUP(F288,[1]characters!$A:$I,9,FALSE)</f>
        <v>5</v>
      </c>
      <c r="J288" s="8" t="str">
        <f>VLOOKUP(F288,[1]characters!$A:$H,8,FALSE)</f>
        <v>green</v>
      </c>
      <c r="K288" s="8" t="str">
        <f>VLOOKUP(F288,[1]characters!$A:$K,11,FALSE)</f>
        <v>hp</v>
      </c>
      <c r="L288" s="8" t="str">
        <f>VLOOKUP(F288,[1]characters!$A:$M,13,FALSE)</f>
        <v>dragon</v>
      </c>
      <c r="M288" s="16">
        <f>VLOOKUP(D288,gacha_179_base!A:B,2,FALSE)</f>
        <v>156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28"/>
        <v>1790221</v>
      </c>
      <c r="B289" s="2" t="str">
        <f t="shared" si="30"/>
        <v>1790</v>
      </c>
      <c r="C289" s="8" t="str">
        <f t="shared" si="32"/>
        <v>0PremiumN4</v>
      </c>
      <c r="D289" s="8" t="str">
        <f t="shared" si="31"/>
        <v>0PremiumN4</v>
      </c>
      <c r="E289" s="10">
        <v>0</v>
      </c>
      <c r="F289" s="5">
        <v>221</v>
      </c>
      <c r="G289" s="8" t="str">
        <f>VLOOKUP(F289,[1]characters!$A:$C,3,FALSE)</f>
        <v>宰相 ルキフグス</v>
      </c>
      <c r="H289" s="8" t="str">
        <f>VLOOKUP(F289,[1]characters!$A:$J,10,FALSE)</f>
        <v>PremiumN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balance</v>
      </c>
      <c r="L289" s="8" t="str">
        <f>VLOOKUP(F289,[1]characters!$A:$M,13,FALSE)</f>
        <v>god</v>
      </c>
      <c r="M289" s="16">
        <f>VLOOKUP(D289,gacha_179_base!A:B,2,FALSE)</f>
        <v>2075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customHeight="1">
      <c r="A290" s="7" t="str">
        <f t="shared" si="28"/>
        <v>1790222</v>
      </c>
      <c r="B290" s="2" t="str">
        <f t="shared" si="30"/>
        <v>1790</v>
      </c>
      <c r="C290" s="8" t="str">
        <f t="shared" si="32"/>
        <v>0PremiumN5</v>
      </c>
      <c r="D290" s="8" t="str">
        <f t="shared" si="31"/>
        <v>0PremiumN5</v>
      </c>
      <c r="E290" s="10">
        <v>0</v>
      </c>
      <c r="F290" s="5">
        <v>222</v>
      </c>
      <c r="G290" s="8" t="str">
        <f>VLOOKUP(F290,[1]characters!$A:$C,3,FALSE)</f>
        <v>避光の鉄鎖宰相 ルキフグス</v>
      </c>
      <c r="H290" s="8" t="str">
        <f>VLOOKUP(F290,[1]characters!$A:$J,10,FALSE)</f>
        <v>PremiumN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balance</v>
      </c>
      <c r="L290" s="8" t="str">
        <f>VLOOKUP(F290,[1]characters!$A:$M,13,FALSE)</f>
        <v>god</v>
      </c>
      <c r="M290" s="16">
        <f>VLOOKUP(D290,gacha_179_base!A:B,2,FALSE)</f>
        <v>156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customHeight="1">
      <c r="A291" s="7" t="str">
        <f t="shared" si="28"/>
        <v>1790224</v>
      </c>
      <c r="B291" s="2" t="str">
        <f t="shared" si="30"/>
        <v>1790</v>
      </c>
      <c r="C291" s="8" t="str">
        <f t="shared" si="32"/>
        <v>0PremiumN4</v>
      </c>
      <c r="D291" s="8" t="str">
        <f t="shared" si="31"/>
        <v>0PremiumN4</v>
      </c>
      <c r="E291" s="10">
        <v>0</v>
      </c>
      <c r="F291" s="5">
        <v>224</v>
      </c>
      <c r="G291" s="8" t="str">
        <f>VLOOKUP(F291,[1]characters!$A:$C,3,FALSE)</f>
        <v>巨腕 ヘラクレス</v>
      </c>
      <c r="H291" s="8" t="str">
        <f>VLOOKUP(F291,[1]characters!$A:$J,10,FALSE)</f>
        <v>PremiumN</v>
      </c>
      <c r="I291" s="8">
        <f>VLOOKUP(F291,[1]characters!$A:$I,9,FALSE)</f>
        <v>4</v>
      </c>
      <c r="J291" s="8" t="str">
        <f>VLOOKUP(F291,[1]characters!$A:$H,8,FALSE)</f>
        <v>yellow</v>
      </c>
      <c r="K291" s="8" t="str">
        <f>VLOOKUP(F291,[1]characters!$A:$K,11,FALSE)</f>
        <v>balance</v>
      </c>
      <c r="L291" s="8" t="str">
        <f>VLOOKUP(F291,[1]characters!$A:$M,13,FALSE)</f>
        <v>human</v>
      </c>
      <c r="M291" s="16">
        <f>VLOOKUP(D291,gacha_179_base!A:B,2,FALSE)</f>
        <v>2075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customHeight="1">
      <c r="A292" s="7" t="str">
        <f t="shared" si="28"/>
        <v>1790225</v>
      </c>
      <c r="B292" s="2" t="str">
        <f t="shared" si="30"/>
        <v>1790</v>
      </c>
      <c r="C292" s="8" t="str">
        <f t="shared" si="32"/>
        <v>0PremiumN5</v>
      </c>
      <c r="D292" s="8" t="str">
        <f t="shared" si="31"/>
        <v>0PremiumN5</v>
      </c>
      <c r="E292" s="10">
        <v>0</v>
      </c>
      <c r="F292" s="5">
        <v>225</v>
      </c>
      <c r="G292" s="8" t="str">
        <f>VLOOKUP(F292,[1]characters!$A:$C,3,FALSE)</f>
        <v>咆哮の巨獅腕 ヘラクレス</v>
      </c>
      <c r="H292" s="8" t="str">
        <f>VLOOKUP(F292,[1]characters!$A:$J,10,FALSE)</f>
        <v>PremiumN</v>
      </c>
      <c r="I292" s="8">
        <f>VLOOKUP(F292,[1]characters!$A:$I,9,FALSE)</f>
        <v>5</v>
      </c>
      <c r="J292" s="8" t="str">
        <f>VLOOKUP(F292,[1]characters!$A:$H,8,FALSE)</f>
        <v>yellow</v>
      </c>
      <c r="K292" s="8" t="str">
        <f>VLOOKUP(F292,[1]characters!$A:$K,11,FALSE)</f>
        <v>balance</v>
      </c>
      <c r="L292" s="8" t="str">
        <f>VLOOKUP(F292,[1]characters!$A:$M,13,FALSE)</f>
        <v>human</v>
      </c>
      <c r="M292" s="16">
        <f>VLOOKUP(D292,gacha_179_base!A:B,2,FALSE)</f>
        <v>156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customHeight="1">
      <c r="A293" s="7" t="str">
        <f t="shared" si="28"/>
        <v>1790227</v>
      </c>
      <c r="B293" s="2" t="str">
        <f t="shared" si="30"/>
        <v>1790</v>
      </c>
      <c r="C293" s="8" t="str">
        <f t="shared" si="32"/>
        <v>0PremiumS4</v>
      </c>
      <c r="D293" s="8" t="str">
        <f t="shared" si="31"/>
        <v>0PremiumS4</v>
      </c>
      <c r="E293" s="10">
        <v>0</v>
      </c>
      <c r="F293" s="5">
        <v>227</v>
      </c>
      <c r="G293" s="8" t="str">
        <f>VLOOKUP(F293,[1]characters!$A:$C,3,FALSE)</f>
        <v>滅弾 アレス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red</v>
      </c>
      <c r="K293" s="8" t="str">
        <f>VLOOKUP(F293,[1]characters!$A:$K,11,FALSE)</f>
        <v>attack</v>
      </c>
      <c r="L293" s="8" t="str">
        <f>VLOOKUP(F293,[1]characters!$A:$M,13,FALSE)</f>
        <v>god</v>
      </c>
      <c r="M293" s="16">
        <f>VLOOKUP(D293,gacha_179_base!A:B,2,FALSE)</f>
        <v>2075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customHeight="1">
      <c r="A294" s="7" t="str">
        <f t="shared" si="28"/>
        <v>1790228</v>
      </c>
      <c r="B294" s="2" t="str">
        <f t="shared" si="30"/>
        <v>1790</v>
      </c>
      <c r="C294" s="8" t="str">
        <f t="shared" si="32"/>
        <v>0PremiumS5</v>
      </c>
      <c r="D294" s="8" t="str">
        <f t="shared" si="31"/>
        <v>0PremiumS5</v>
      </c>
      <c r="E294" s="10">
        <v>0</v>
      </c>
      <c r="F294" s="5">
        <v>228</v>
      </c>
      <c r="G294" s="8" t="str">
        <f>VLOOKUP(F294,[1]characters!$A:$C,3,FALSE)</f>
        <v>殲滅の掃射砲 アレス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red</v>
      </c>
      <c r="K294" s="8" t="str">
        <f>VLOOKUP(F294,[1]characters!$A:$K,11,FALSE)</f>
        <v>attack</v>
      </c>
      <c r="L294" s="8" t="str">
        <f>VLOOKUP(F294,[1]characters!$A:$M,13,FALSE)</f>
        <v>god</v>
      </c>
      <c r="M294" s="16">
        <f>VLOOKUP(D294,gacha_179_base!A:B,2,FALSE)</f>
        <v>156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customHeight="1">
      <c r="A295" s="7" t="str">
        <f t="shared" si="28"/>
        <v>1790230</v>
      </c>
      <c r="B295" s="2" t="str">
        <f t="shared" si="30"/>
        <v>1790</v>
      </c>
      <c r="C295" s="8" t="str">
        <f t="shared" si="32"/>
        <v>0PremiumS4</v>
      </c>
      <c r="D295" s="8" t="str">
        <f t="shared" si="31"/>
        <v>0PremiumS4</v>
      </c>
      <c r="E295" s="10">
        <v>0</v>
      </c>
      <c r="F295" s="5">
        <v>230</v>
      </c>
      <c r="G295" s="8" t="str">
        <f>VLOOKUP(F295,[1]characters!$A:$C,3,FALSE)</f>
        <v>毒銃 ヨルムンガンド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green</v>
      </c>
      <c r="K295" s="8" t="str">
        <f>VLOOKUP(F295,[1]characters!$A:$K,11,FALSE)</f>
        <v>technical</v>
      </c>
      <c r="L295" s="8" t="str">
        <f>VLOOKUP(F295,[1]characters!$A:$M,13,FALSE)</f>
        <v>dragon</v>
      </c>
      <c r="M295" s="16">
        <f>VLOOKUP(D295,gacha_179_base!A:B,2,FALSE)</f>
        <v>2075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customHeight="1">
      <c r="A296" s="7" t="str">
        <f t="shared" ref="A296:A359" si="33">B296&amp;F296</f>
        <v>1790231</v>
      </c>
      <c r="B296" s="2" t="str">
        <f t="shared" si="30"/>
        <v>1790</v>
      </c>
      <c r="C296" s="8" t="str">
        <f t="shared" si="32"/>
        <v>0PremiumS5</v>
      </c>
      <c r="D296" s="8" t="str">
        <f t="shared" si="31"/>
        <v>0PremiumS5</v>
      </c>
      <c r="E296" s="10">
        <v>0</v>
      </c>
      <c r="F296" s="5">
        <v>231</v>
      </c>
      <c r="G296" s="8" t="str">
        <f>VLOOKUP(F296,[1]characters!$A:$C,3,FALSE)</f>
        <v>必中の咬銃 ヨルムンガンド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green</v>
      </c>
      <c r="K296" s="8" t="str">
        <f>VLOOKUP(F296,[1]characters!$A:$K,11,FALSE)</f>
        <v>technical</v>
      </c>
      <c r="L296" s="8" t="str">
        <f>VLOOKUP(F296,[1]characters!$A:$M,13,FALSE)</f>
        <v>dragon</v>
      </c>
      <c r="M296" s="16">
        <f>VLOOKUP(D296,gacha_179_base!A:B,2,FALSE)</f>
        <v>156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customHeight="1">
      <c r="A297" s="7" t="str">
        <f t="shared" si="33"/>
        <v>1790233</v>
      </c>
      <c r="B297" s="2" t="str">
        <f t="shared" si="30"/>
        <v>1790</v>
      </c>
      <c r="C297" s="8" t="str">
        <f t="shared" si="32"/>
        <v>0PremiumS4</v>
      </c>
      <c r="D297" s="8" t="str">
        <f t="shared" si="31"/>
        <v>0PremiumS4</v>
      </c>
      <c r="E297" s="10">
        <v>0</v>
      </c>
      <c r="F297" s="5">
        <v>233</v>
      </c>
      <c r="G297" s="8" t="str">
        <f>VLOOKUP(F297,[1]characters!$A:$C,3,FALSE)</f>
        <v>遂行 パーシヴァル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blue</v>
      </c>
      <c r="K297" s="8" t="str">
        <f>VLOOKUP(F297,[1]characters!$A:$K,11,FALSE)</f>
        <v>technical</v>
      </c>
      <c r="L297" s="8" t="str">
        <f>VLOOKUP(F297,[1]characters!$A:$M,13,FALSE)</f>
        <v>human</v>
      </c>
      <c r="M297" s="16">
        <f>VLOOKUP(D297,gacha_179_base!A:B,2,FALSE)</f>
        <v>2075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33"/>
        <v>1790234</v>
      </c>
      <c r="B298" s="2" t="str">
        <f t="shared" si="30"/>
        <v>1790</v>
      </c>
      <c r="C298" s="8" t="str">
        <f t="shared" si="32"/>
        <v>0PremiumS5</v>
      </c>
      <c r="D298" s="8" t="str">
        <f t="shared" si="31"/>
        <v>0PremiumS5</v>
      </c>
      <c r="E298" s="10">
        <v>0</v>
      </c>
      <c r="F298" s="5">
        <v>234</v>
      </c>
      <c r="G298" s="8" t="str">
        <f>VLOOKUP(F298,[1]characters!$A:$C,3,FALSE)</f>
        <v>精密なる照準 パーシヴァル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blue</v>
      </c>
      <c r="K298" s="8" t="str">
        <f>VLOOKUP(F298,[1]characters!$A:$K,11,FALSE)</f>
        <v>technical</v>
      </c>
      <c r="L298" s="8" t="str">
        <f>VLOOKUP(F298,[1]characters!$A:$M,13,FALSE)</f>
        <v>human</v>
      </c>
      <c r="M298" s="16">
        <f>VLOOKUP(D298,gacha_179_base!A:B,2,FALSE)</f>
        <v>156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33"/>
        <v>1790236</v>
      </c>
      <c r="B299" s="2" t="str">
        <f t="shared" si="30"/>
        <v>1790</v>
      </c>
      <c r="C299" s="8" t="str">
        <f t="shared" si="32"/>
        <v>0PremiumS4</v>
      </c>
      <c r="D299" s="8" t="str">
        <f t="shared" si="31"/>
        <v>0PremiumS4</v>
      </c>
      <c r="E299" s="10">
        <v>0</v>
      </c>
      <c r="F299" s="5">
        <v>236</v>
      </c>
      <c r="G299" s="8" t="str">
        <f>VLOOKUP(F299,[1]characters!$A:$C,3,FALSE)</f>
        <v>神産 イザナミ</v>
      </c>
      <c r="H299" s="8" t="str">
        <f>VLOOKUP(F299,[1]characters!$A:$J,10,FALSE)</f>
        <v>PremiumS</v>
      </c>
      <c r="I299" s="8">
        <f>VLOOKUP(F299,[1]characters!$A:$I,9,FALSE)</f>
        <v>4</v>
      </c>
      <c r="J299" s="8" t="str">
        <f>VLOOKUP(F299,[1]characters!$A:$H,8,FALSE)</f>
        <v>yellow</v>
      </c>
      <c r="K299" s="8" t="str">
        <f>VLOOKUP(F299,[1]characters!$A:$K,11,FALSE)</f>
        <v>attack</v>
      </c>
      <c r="L299" s="8" t="str">
        <f>VLOOKUP(F299,[1]characters!$A:$M,13,FALSE)</f>
        <v>god</v>
      </c>
      <c r="M299" s="16">
        <f>VLOOKUP(D299,gacha_179_base!A:B,2,FALSE)</f>
        <v>2075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33"/>
        <v>1790237</v>
      </c>
      <c r="B300" s="2" t="str">
        <f t="shared" si="30"/>
        <v>1790</v>
      </c>
      <c r="C300" s="8" t="str">
        <f t="shared" si="32"/>
        <v>0PremiumS5</v>
      </c>
      <c r="D300" s="8" t="str">
        <f t="shared" si="31"/>
        <v>0PremiumS5</v>
      </c>
      <c r="E300" s="10">
        <v>0</v>
      </c>
      <c r="F300" s="5">
        <v>237</v>
      </c>
      <c r="G300" s="8" t="str">
        <f>VLOOKUP(F300,[1]characters!$A:$C,3,FALSE)</f>
        <v>森羅万象の神母 イザナミ</v>
      </c>
      <c r="H300" s="8" t="str">
        <f>VLOOKUP(F300,[1]characters!$A:$J,10,FALSE)</f>
        <v>PremiumS</v>
      </c>
      <c r="I300" s="8">
        <f>VLOOKUP(F300,[1]characters!$A:$I,9,FALSE)</f>
        <v>5</v>
      </c>
      <c r="J300" s="8" t="str">
        <f>VLOOKUP(F300,[1]characters!$A:$H,8,FALSE)</f>
        <v>yellow</v>
      </c>
      <c r="K300" s="8" t="str">
        <f>VLOOKUP(F300,[1]characters!$A:$K,11,FALSE)</f>
        <v>attack</v>
      </c>
      <c r="L300" s="8" t="str">
        <f>VLOOKUP(F300,[1]characters!$A:$M,13,FALSE)</f>
        <v>god</v>
      </c>
      <c r="M300" s="16">
        <f>VLOOKUP(D300,gacha_179_base!A:B,2,FALSE)</f>
        <v>156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33"/>
        <v>1790239</v>
      </c>
      <c r="B301" s="2" t="str">
        <f t="shared" si="30"/>
        <v>1790</v>
      </c>
      <c r="C301" s="8" t="str">
        <f t="shared" si="32"/>
        <v>0PremiumS4</v>
      </c>
      <c r="D301" s="8" t="str">
        <f t="shared" si="31"/>
        <v>0PremiumS4</v>
      </c>
      <c r="E301" s="10">
        <v>0</v>
      </c>
      <c r="F301" s="5">
        <v>239</v>
      </c>
      <c r="G301" s="8" t="str">
        <f>VLOOKUP(F301,[1]characters!$A:$C,3,FALSE)</f>
        <v>豪炎の天使 ウリエル</v>
      </c>
      <c r="H301" s="8" t="str">
        <f>VLOOKUP(F301,[1]characters!$A:$J,10,FALSE)</f>
        <v>PremiumS</v>
      </c>
      <c r="I301" s="8">
        <f>VLOOKUP(F301,[1]characters!$A:$I,9,FALSE)</f>
        <v>4</v>
      </c>
      <c r="J301" s="8" t="str">
        <f>VLOOKUP(F301,[1]characters!$A:$H,8,FALSE)</f>
        <v>red</v>
      </c>
      <c r="K301" s="8" t="str">
        <f>VLOOKUP(F301,[1]characters!$A:$K,11,FALSE)</f>
        <v>hp</v>
      </c>
      <c r="L301" s="8" t="str">
        <f>VLOOKUP(F301,[1]characters!$A:$M,13,FALSE)</f>
        <v>machine</v>
      </c>
      <c r="M301" s="16">
        <f>VLOOKUP(D301,gacha_179_base!A:B,2,FALSE)</f>
        <v>2075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33"/>
        <v>1790240</v>
      </c>
      <c r="B302" s="2" t="str">
        <f t="shared" si="30"/>
        <v>1790</v>
      </c>
      <c r="C302" s="8" t="str">
        <f t="shared" si="32"/>
        <v>0PremiumS5</v>
      </c>
      <c r="D302" s="8" t="str">
        <f t="shared" si="31"/>
        <v>0PremiumS5</v>
      </c>
      <c r="E302" s="10">
        <v>0</v>
      </c>
      <c r="F302" s="5">
        <v>240</v>
      </c>
      <c r="G302" s="8" t="str">
        <f>VLOOKUP(F302,[1]characters!$A:$C,3,FALSE)</f>
        <v>轟炎の天使 ウリエル・スレイヤー</v>
      </c>
      <c r="H302" s="8" t="str">
        <f>VLOOKUP(F302,[1]characters!$A:$J,10,FALSE)</f>
        <v>PremiumS</v>
      </c>
      <c r="I302" s="8">
        <f>VLOOKUP(F302,[1]characters!$A:$I,9,FALSE)</f>
        <v>5</v>
      </c>
      <c r="J302" s="8" t="str">
        <f>VLOOKUP(F302,[1]characters!$A:$H,8,FALSE)</f>
        <v>red</v>
      </c>
      <c r="K302" s="8" t="str">
        <f>VLOOKUP(F302,[1]characters!$A:$K,11,FALSE)</f>
        <v>hp</v>
      </c>
      <c r="L302" s="8" t="str">
        <f>VLOOKUP(F302,[1]characters!$A:$M,13,FALSE)</f>
        <v>machine</v>
      </c>
      <c r="M302" s="16">
        <f>VLOOKUP(D302,gacha_179_base!A:B,2,FALSE)</f>
        <v>156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33"/>
        <v>1790242</v>
      </c>
      <c r="B303" s="2" t="str">
        <f t="shared" si="30"/>
        <v>1790</v>
      </c>
      <c r="C303" s="8" t="str">
        <f t="shared" si="32"/>
        <v>0PremiumS4</v>
      </c>
      <c r="D303" s="8" t="str">
        <f t="shared" si="31"/>
        <v>0PremiumS4</v>
      </c>
      <c r="E303" s="10">
        <v>0</v>
      </c>
      <c r="F303" s="5">
        <v>242</v>
      </c>
      <c r="G303" s="8" t="str">
        <f>VLOOKUP(F303,[1]characters!$A:$C,3,FALSE)</f>
        <v>百花の天使 ガブリエル</v>
      </c>
      <c r="H303" s="8" t="str">
        <f>VLOOKUP(F303,[1]characters!$A:$J,10,FALSE)</f>
        <v>PremiumS</v>
      </c>
      <c r="I303" s="8">
        <f>VLOOKUP(F303,[1]characters!$A:$I,9,FALSE)</f>
        <v>4</v>
      </c>
      <c r="J303" s="8" t="str">
        <f>VLOOKUP(F303,[1]characters!$A:$H,8,FALSE)</f>
        <v>green</v>
      </c>
      <c r="K303" s="8" t="str">
        <f>VLOOKUP(F303,[1]characters!$A:$K,11,FALSE)</f>
        <v>balance</v>
      </c>
      <c r="L303" s="8" t="str">
        <f>VLOOKUP(F303,[1]characters!$A:$M,13,FALSE)</f>
        <v>machine</v>
      </c>
      <c r="M303" s="16">
        <f>VLOOKUP(D303,gacha_179_base!A:B,2,FALSE)</f>
        <v>2075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customHeight="1">
      <c r="A304" s="7" t="str">
        <f t="shared" si="33"/>
        <v>1790243</v>
      </c>
      <c r="B304" s="2" t="str">
        <f t="shared" si="30"/>
        <v>1790</v>
      </c>
      <c r="C304" s="8" t="str">
        <f t="shared" si="32"/>
        <v>0PremiumS5</v>
      </c>
      <c r="D304" s="8" t="str">
        <f t="shared" si="31"/>
        <v>0PremiumS5</v>
      </c>
      <c r="E304" s="10">
        <v>0</v>
      </c>
      <c r="F304" s="5">
        <v>243</v>
      </c>
      <c r="G304" s="8" t="str">
        <f>VLOOKUP(F304,[1]characters!$A:$C,3,FALSE)</f>
        <v>万花の天使 ガブリエル・ブルーム</v>
      </c>
      <c r="H304" s="8" t="str">
        <f>VLOOKUP(F304,[1]characters!$A:$J,10,FALSE)</f>
        <v>PremiumS</v>
      </c>
      <c r="I304" s="8">
        <f>VLOOKUP(F304,[1]characters!$A:$I,9,FALSE)</f>
        <v>5</v>
      </c>
      <c r="J304" s="8" t="str">
        <f>VLOOKUP(F304,[1]characters!$A:$H,8,FALSE)</f>
        <v>green</v>
      </c>
      <c r="K304" s="8" t="str">
        <f>VLOOKUP(F304,[1]characters!$A:$K,11,FALSE)</f>
        <v>balance</v>
      </c>
      <c r="L304" s="8" t="str">
        <f>VLOOKUP(F304,[1]characters!$A:$M,13,FALSE)</f>
        <v>machine</v>
      </c>
      <c r="M304" s="16">
        <f>VLOOKUP(D304,gacha_179_base!A:B,2,FALSE)</f>
        <v>156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customHeight="1">
      <c r="A305" s="7" t="str">
        <f t="shared" si="33"/>
        <v>1790245</v>
      </c>
      <c r="B305" s="2" t="str">
        <f t="shared" si="30"/>
        <v>1790</v>
      </c>
      <c r="C305" s="8" t="str">
        <f t="shared" si="32"/>
        <v>0PremiumS4</v>
      </c>
      <c r="D305" s="8" t="str">
        <f t="shared" si="31"/>
        <v>0PremiumS4</v>
      </c>
      <c r="E305" s="10">
        <v>0</v>
      </c>
      <c r="F305" s="5">
        <v>245</v>
      </c>
      <c r="G305" s="8" t="str">
        <f>VLOOKUP(F305,[1]characters!$A:$C,3,FALSE)</f>
        <v>鎮癒の天使 ラファエル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blue</v>
      </c>
      <c r="K305" s="8" t="str">
        <f>VLOOKUP(F305,[1]characters!$A:$K,11,FALSE)</f>
        <v>balance</v>
      </c>
      <c r="L305" s="8" t="str">
        <f>VLOOKUP(F305,[1]characters!$A:$M,13,FALSE)</f>
        <v>machine</v>
      </c>
      <c r="M305" s="16">
        <f>VLOOKUP(D305,gacha_179_base!A:B,2,FALSE)</f>
        <v>2075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customHeight="1">
      <c r="A306" s="7" t="str">
        <f t="shared" si="33"/>
        <v>1790246</v>
      </c>
      <c r="B306" s="2" t="str">
        <f t="shared" si="30"/>
        <v>1790</v>
      </c>
      <c r="C306" s="8" t="str">
        <f t="shared" si="32"/>
        <v>0PremiumS5</v>
      </c>
      <c r="D306" s="8" t="str">
        <f t="shared" si="31"/>
        <v>0PremiumS5</v>
      </c>
      <c r="E306" s="10">
        <v>0</v>
      </c>
      <c r="F306" s="5">
        <v>246</v>
      </c>
      <c r="G306" s="8" t="str">
        <f>VLOOKUP(F306,[1]characters!$A:$C,3,FALSE)</f>
        <v>真癒の天使 ラファエル・メディカ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blue</v>
      </c>
      <c r="K306" s="8" t="str">
        <f>VLOOKUP(F306,[1]characters!$A:$K,11,FALSE)</f>
        <v>balance</v>
      </c>
      <c r="L306" s="8" t="str">
        <f>VLOOKUP(F306,[1]characters!$A:$M,13,FALSE)</f>
        <v>machine</v>
      </c>
      <c r="M306" s="16">
        <f>VLOOKUP(D306,gacha_179_base!A:B,2,FALSE)</f>
        <v>156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customHeight="1">
      <c r="A307" s="7" t="str">
        <f t="shared" si="33"/>
        <v>1790248</v>
      </c>
      <c r="B307" s="2" t="str">
        <f t="shared" si="30"/>
        <v>1790</v>
      </c>
      <c r="C307" s="8" t="str">
        <f t="shared" si="32"/>
        <v>0PremiumS4</v>
      </c>
      <c r="D307" s="8" t="str">
        <f t="shared" si="31"/>
        <v>0PremiumS4</v>
      </c>
      <c r="E307" s="10">
        <v>0</v>
      </c>
      <c r="F307" s="5">
        <v>248</v>
      </c>
      <c r="G307" s="8" t="str">
        <f>VLOOKUP(F307,[1]characters!$A:$C,3,FALSE)</f>
        <v>彩電の天使 ミカエル</v>
      </c>
      <c r="H307" s="8" t="str">
        <f>VLOOKUP(F307,[1]characters!$A:$J,10,FALSE)</f>
        <v>PremiumS</v>
      </c>
      <c r="I307" s="8">
        <f>VLOOKUP(F307,[1]characters!$A:$I,9,FALSE)</f>
        <v>4</v>
      </c>
      <c r="J307" s="8" t="str">
        <f>VLOOKUP(F307,[1]characters!$A:$H,8,FALSE)</f>
        <v>yellow</v>
      </c>
      <c r="K307" s="8" t="str">
        <f>VLOOKUP(F307,[1]characters!$A:$K,11,FALSE)</f>
        <v>attack</v>
      </c>
      <c r="L307" s="8" t="str">
        <f>VLOOKUP(F307,[1]characters!$A:$M,13,FALSE)</f>
        <v>machine</v>
      </c>
      <c r="M307" s="16">
        <f>VLOOKUP(D307,gacha_179_base!A:B,2,FALSE)</f>
        <v>2075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customHeight="1">
      <c r="A308" s="7" t="str">
        <f t="shared" si="33"/>
        <v>1790249</v>
      </c>
      <c r="B308" s="2" t="str">
        <f t="shared" si="30"/>
        <v>1790</v>
      </c>
      <c r="C308" s="8" t="str">
        <f t="shared" si="32"/>
        <v>0PremiumS5</v>
      </c>
      <c r="D308" s="8" t="str">
        <f t="shared" si="31"/>
        <v>0PremiumS5</v>
      </c>
      <c r="E308" s="10">
        <v>0</v>
      </c>
      <c r="F308" s="6">
        <v>249</v>
      </c>
      <c r="G308" s="8" t="str">
        <f>VLOOKUP(F308,[1]characters!$A:$C,3,FALSE)</f>
        <v>雷電の天使 ミカエル・ゲイナー</v>
      </c>
      <c r="H308" s="8" t="str">
        <f>VLOOKUP(F308,[1]characters!$A:$J,10,FALSE)</f>
        <v>PremiumS</v>
      </c>
      <c r="I308" s="8">
        <f>VLOOKUP(F308,[1]characters!$A:$I,9,FALSE)</f>
        <v>5</v>
      </c>
      <c r="J308" s="8" t="str">
        <f>VLOOKUP(F308,[1]characters!$A:$H,8,FALSE)</f>
        <v>yellow</v>
      </c>
      <c r="K308" s="8" t="str">
        <f>VLOOKUP(F308,[1]characters!$A:$K,11,FALSE)</f>
        <v>attack</v>
      </c>
      <c r="L308" s="8" t="str">
        <f>VLOOKUP(F308,[1]characters!$A:$M,13,FALSE)</f>
        <v>machine</v>
      </c>
      <c r="M308" s="16">
        <f>VLOOKUP(D308,gacha_179_base!A:B,2,FALSE)</f>
        <v>156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customHeight="1">
      <c r="A309" s="7" t="str">
        <f t="shared" si="33"/>
        <v>1790251</v>
      </c>
      <c r="B309" s="2" t="str">
        <f t="shared" si="30"/>
        <v>1790</v>
      </c>
      <c r="C309" s="8" t="str">
        <f t="shared" si="32"/>
        <v>0PremiumS4</v>
      </c>
      <c r="D309" s="8" t="str">
        <f t="shared" si="31"/>
        <v>0PremiumS4</v>
      </c>
      <c r="E309" s="10">
        <v>0</v>
      </c>
      <c r="F309" s="6">
        <v>251</v>
      </c>
      <c r="G309" s="8" t="str">
        <f>VLOOKUP(F309,[1]characters!$A:$C,3,FALSE)</f>
        <v>強欲 マンモン</v>
      </c>
      <c r="H309" s="8" t="str">
        <f>VLOOKUP(F309,[1]characters!$A:$J,10,FALSE)</f>
        <v>PremiumS</v>
      </c>
      <c r="I309" s="8">
        <f>VLOOKUP(F309,[1]characters!$A:$I,9,FALSE)</f>
        <v>4</v>
      </c>
      <c r="J309" s="8" t="str">
        <f>VLOOKUP(F309,[1]characters!$A:$H,8,FALSE)</f>
        <v>red</v>
      </c>
      <c r="K309" s="8" t="str">
        <f>VLOOKUP(F309,[1]characters!$A:$K,11,FALSE)</f>
        <v>balance</v>
      </c>
      <c r="L309" s="8" t="str">
        <f>VLOOKUP(F309,[1]characters!$A:$M,13,FALSE)</f>
        <v>god</v>
      </c>
      <c r="M309" s="16">
        <f>VLOOKUP(D309,gacha_179_base!A:B,2,FALSE)</f>
        <v>2075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customHeight="1">
      <c r="A310" s="7" t="str">
        <f t="shared" si="33"/>
        <v>1790252</v>
      </c>
      <c r="B310" s="2" t="str">
        <f t="shared" si="30"/>
        <v>1790</v>
      </c>
      <c r="C310" s="8" t="str">
        <f t="shared" si="32"/>
        <v>0PremiumS5</v>
      </c>
      <c r="D310" s="8" t="str">
        <f t="shared" si="31"/>
        <v>0PremiumS5</v>
      </c>
      <c r="E310" s="10">
        <v>0</v>
      </c>
      <c r="F310" s="6">
        <v>252</v>
      </c>
      <c r="G310" s="8" t="str">
        <f>VLOOKUP(F310,[1]characters!$A:$C,3,FALSE)</f>
        <v>強欲の沸騰 マンモン</v>
      </c>
      <c r="H310" s="8" t="str">
        <f>VLOOKUP(F310,[1]characters!$A:$J,10,FALSE)</f>
        <v>PremiumS</v>
      </c>
      <c r="I310" s="8">
        <f>VLOOKUP(F310,[1]characters!$A:$I,9,FALSE)</f>
        <v>5</v>
      </c>
      <c r="J310" s="8" t="str">
        <f>VLOOKUP(F310,[1]characters!$A:$H,8,FALSE)</f>
        <v>red</v>
      </c>
      <c r="K310" s="8" t="str">
        <f>VLOOKUP(F310,[1]characters!$A:$K,11,FALSE)</f>
        <v>balance</v>
      </c>
      <c r="L310" s="8" t="str">
        <f>VLOOKUP(F310,[1]characters!$A:$M,13,FALSE)</f>
        <v>god</v>
      </c>
      <c r="M310" s="16">
        <f>VLOOKUP(D310,gacha_179_base!A:B,2,FALSE)</f>
        <v>156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customHeight="1">
      <c r="A311" s="7" t="str">
        <f t="shared" si="33"/>
        <v>1790254</v>
      </c>
      <c r="B311" s="2" t="str">
        <f t="shared" si="30"/>
        <v>1790</v>
      </c>
      <c r="C311" s="8" t="str">
        <f t="shared" ref="C311:C362" si="34">E311&amp;H311&amp;I311</f>
        <v>0PremiumS4</v>
      </c>
      <c r="D311" s="8" t="str">
        <f t="shared" si="31"/>
        <v>0PremiumS4</v>
      </c>
      <c r="E311" s="10">
        <v>0</v>
      </c>
      <c r="F311" s="6">
        <v>254</v>
      </c>
      <c r="G311" s="8" t="str">
        <f>VLOOKUP(F311,[1]characters!$A:$C,3,FALSE)</f>
        <v>怠惰 ベルフェゴール</v>
      </c>
      <c r="H311" s="8" t="str">
        <f>VLOOKUP(F311,[1]characters!$A:$J,10,FALSE)</f>
        <v>PremiumS</v>
      </c>
      <c r="I311" s="8">
        <f>VLOOKUP(F311,[1]characters!$A:$I,9,FALSE)</f>
        <v>4</v>
      </c>
      <c r="J311" s="8" t="str">
        <f>VLOOKUP(F311,[1]characters!$A:$H,8,FALSE)</f>
        <v>green</v>
      </c>
      <c r="K311" s="8" t="str">
        <f>VLOOKUP(F311,[1]characters!$A:$K,11,FALSE)</f>
        <v>technical</v>
      </c>
      <c r="L311" s="8" t="str">
        <f>VLOOKUP(F311,[1]characters!$A:$M,13,FALSE)</f>
        <v>god</v>
      </c>
      <c r="M311" s="16">
        <f>VLOOKUP(D311,gacha_179_base!A:B,2,FALSE)</f>
        <v>2075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customHeight="1">
      <c r="A312" s="7" t="str">
        <f t="shared" si="33"/>
        <v>1790255</v>
      </c>
      <c r="B312" s="2" t="str">
        <f t="shared" si="30"/>
        <v>1790</v>
      </c>
      <c r="C312" s="8" t="str">
        <f t="shared" si="34"/>
        <v>0PremiumS5</v>
      </c>
      <c r="D312" s="8" t="str">
        <f t="shared" si="31"/>
        <v>0PremiumS5</v>
      </c>
      <c r="E312" s="10">
        <v>0</v>
      </c>
      <c r="F312" s="6">
        <v>255</v>
      </c>
      <c r="G312" s="8" t="str">
        <f>VLOOKUP(F312,[1]characters!$A:$C,3,FALSE)</f>
        <v>怠惰の頂点 ベルフェゴール</v>
      </c>
      <c r="H312" s="8" t="str">
        <f>VLOOKUP(F312,[1]characters!$A:$J,10,FALSE)</f>
        <v>PremiumS</v>
      </c>
      <c r="I312" s="8">
        <f>VLOOKUP(F312,[1]characters!$A:$I,9,FALSE)</f>
        <v>5</v>
      </c>
      <c r="J312" s="8" t="str">
        <f>VLOOKUP(F312,[1]characters!$A:$H,8,FALSE)</f>
        <v>green</v>
      </c>
      <c r="K312" s="8" t="str">
        <f>VLOOKUP(F312,[1]characters!$A:$K,11,FALSE)</f>
        <v>technical</v>
      </c>
      <c r="L312" s="8" t="str">
        <f>VLOOKUP(F312,[1]characters!$A:$M,13,FALSE)</f>
        <v>god</v>
      </c>
      <c r="M312" s="16">
        <f>VLOOKUP(D312,gacha_179_base!A:B,2,FALSE)</f>
        <v>156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customHeight="1">
      <c r="A313" s="7" t="str">
        <f t="shared" si="33"/>
        <v>1790257</v>
      </c>
      <c r="B313" s="2" t="str">
        <f t="shared" si="30"/>
        <v>1790</v>
      </c>
      <c r="C313" s="8" t="str">
        <f t="shared" si="34"/>
        <v>0PremiumS4</v>
      </c>
      <c r="D313" s="8" t="str">
        <f t="shared" si="31"/>
        <v>0PremiumS4</v>
      </c>
      <c r="E313" s="10">
        <v>0</v>
      </c>
      <c r="F313" s="6">
        <v>257</v>
      </c>
      <c r="G313" s="8" t="str">
        <f>VLOOKUP(F313,[1]characters!$A:$C,3,FALSE)</f>
        <v>色欲 アスモデウス</v>
      </c>
      <c r="H313" s="8" t="str">
        <f>VLOOKUP(F313,[1]characters!$A:$J,10,FALSE)</f>
        <v>PremiumS</v>
      </c>
      <c r="I313" s="8">
        <f>VLOOKUP(F313,[1]characters!$A:$I,9,FALSE)</f>
        <v>4</v>
      </c>
      <c r="J313" s="8" t="str">
        <f>VLOOKUP(F313,[1]characters!$A:$H,8,FALSE)</f>
        <v>blue</v>
      </c>
      <c r="K313" s="8" t="str">
        <f>VLOOKUP(F313,[1]characters!$A:$K,11,FALSE)</f>
        <v>attack</v>
      </c>
      <c r="L313" s="8" t="str">
        <f>VLOOKUP(F313,[1]characters!$A:$M,13,FALSE)</f>
        <v>god</v>
      </c>
      <c r="M313" s="16">
        <f>VLOOKUP(D313,gacha_179_base!A:B,2,FALSE)</f>
        <v>2075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customHeight="1">
      <c r="A314" s="7" t="str">
        <f t="shared" si="33"/>
        <v>1790258</v>
      </c>
      <c r="B314" s="2" t="str">
        <f t="shared" si="30"/>
        <v>1790</v>
      </c>
      <c r="C314" s="8" t="str">
        <f t="shared" si="34"/>
        <v>0PremiumS5</v>
      </c>
      <c r="D314" s="8" t="str">
        <f t="shared" si="31"/>
        <v>0PremiumS5</v>
      </c>
      <c r="E314" s="10">
        <v>0</v>
      </c>
      <c r="F314" s="6">
        <v>258</v>
      </c>
      <c r="G314" s="8" t="str">
        <f>VLOOKUP(F314,[1]characters!$A:$C,3,FALSE)</f>
        <v>色欲の源流 アスモデウス</v>
      </c>
      <c r="H314" s="8" t="str">
        <f>VLOOKUP(F314,[1]characters!$A:$J,10,FALSE)</f>
        <v>PremiumS</v>
      </c>
      <c r="I314" s="8">
        <f>VLOOKUP(F314,[1]characters!$A:$I,9,FALSE)</f>
        <v>5</v>
      </c>
      <c r="J314" s="8" t="str">
        <f>VLOOKUP(F314,[1]characters!$A:$H,8,FALSE)</f>
        <v>blue</v>
      </c>
      <c r="K314" s="8" t="str">
        <f>VLOOKUP(F314,[1]characters!$A:$K,11,FALSE)</f>
        <v>attack</v>
      </c>
      <c r="L314" s="8" t="str">
        <f>VLOOKUP(F314,[1]characters!$A:$M,13,FALSE)</f>
        <v>god</v>
      </c>
      <c r="M314" s="16">
        <f>VLOOKUP(D314,gacha_179_base!A:B,2,FALSE)</f>
        <v>156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customHeight="1">
      <c r="A315" s="7" t="str">
        <f t="shared" si="33"/>
        <v>1790260</v>
      </c>
      <c r="B315" s="2" t="str">
        <f t="shared" si="30"/>
        <v>1790</v>
      </c>
      <c r="C315" s="8" t="str">
        <f t="shared" si="34"/>
        <v>0PremiumS4</v>
      </c>
      <c r="D315" s="8" t="str">
        <f t="shared" si="31"/>
        <v>0PremiumS4</v>
      </c>
      <c r="E315" s="10">
        <v>0</v>
      </c>
      <c r="F315" s="9">
        <v>260</v>
      </c>
      <c r="G315" s="8" t="str">
        <f>VLOOKUP(F315,[1]characters!$A:$C,3,FALSE)</f>
        <v>輪廻 ウロボロス</v>
      </c>
      <c r="H315" s="8" t="str">
        <f>VLOOKUP(F315,[1]characters!$A:$J,10,FALSE)</f>
        <v>PremiumS</v>
      </c>
      <c r="I315" s="8">
        <f>VLOOKUP(F315,[1]characters!$A:$I,9,FALSE)</f>
        <v>4</v>
      </c>
      <c r="J315" s="8" t="str">
        <f>VLOOKUP(F315,[1]characters!$A:$H,8,FALSE)</f>
        <v>yellow</v>
      </c>
      <c r="K315" s="8" t="str">
        <f>VLOOKUP(F315,[1]characters!$A:$K,11,FALSE)</f>
        <v>balance</v>
      </c>
      <c r="L315" s="8" t="str">
        <f>VLOOKUP(F315,[1]characters!$A:$M,13,FALSE)</f>
        <v>dragon</v>
      </c>
      <c r="M315" s="16">
        <f>VLOOKUP(D315,gacha_179_base!A:B,2,FALSE)</f>
        <v>2075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customHeight="1">
      <c r="A316" s="7" t="str">
        <f t="shared" si="33"/>
        <v>1790261</v>
      </c>
      <c r="B316" s="2" t="str">
        <f t="shared" si="30"/>
        <v>1790</v>
      </c>
      <c r="C316" s="8" t="str">
        <f t="shared" si="34"/>
        <v>0PremiumS5</v>
      </c>
      <c r="D316" s="8" t="str">
        <f t="shared" si="31"/>
        <v>0PremiumS5</v>
      </c>
      <c r="E316" s="10">
        <v>0</v>
      </c>
      <c r="F316" s="9">
        <v>261</v>
      </c>
      <c r="G316" s="8" t="str">
        <f>VLOOKUP(F316,[1]characters!$A:$C,3,FALSE)</f>
        <v>輪廻の蛇龍 ウロボロス</v>
      </c>
      <c r="H316" s="8" t="str">
        <f>VLOOKUP(F316,[1]characters!$A:$J,10,FALSE)</f>
        <v>PremiumS</v>
      </c>
      <c r="I316" s="8">
        <f>VLOOKUP(F316,[1]characters!$A:$I,9,FALSE)</f>
        <v>5</v>
      </c>
      <c r="J316" s="8" t="str">
        <f>VLOOKUP(F316,[1]characters!$A:$H,8,FALSE)</f>
        <v>yellow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16">
        <f>VLOOKUP(D316,gacha_179_base!A:B,2,FALSE)</f>
        <v>156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customHeight="1">
      <c r="A317" s="7" t="str">
        <f t="shared" si="33"/>
        <v>1790320</v>
      </c>
      <c r="B317" s="2" t="str">
        <f t="shared" si="30"/>
        <v>1790</v>
      </c>
      <c r="C317" s="8" t="str">
        <f t="shared" si="34"/>
        <v>0PremiumSS4</v>
      </c>
      <c r="D317" s="8" t="str">
        <f t="shared" si="31"/>
        <v>0PremiumSS4</v>
      </c>
      <c r="E317" s="10">
        <v>0</v>
      </c>
      <c r="F317" s="6">
        <v>320</v>
      </c>
      <c r="G317" s="8" t="str">
        <f>VLOOKUP(F317,[1]characters!$A:$C,3,FALSE)</f>
        <v>烈志士 近藤勇</v>
      </c>
      <c r="H317" s="8" t="str">
        <f>VLOOKUP(F317,[1]characters!$A:$J,10,FALSE)</f>
        <v>PremiumSS</v>
      </c>
      <c r="I317" s="8">
        <f>VLOOKUP(F317,[1]characters!$A:$I,9,FALSE)</f>
        <v>4</v>
      </c>
      <c r="J317" s="8" t="str">
        <f>VLOOKUP(F317,[1]characters!$A:$H,8,FALSE)</f>
        <v>red</v>
      </c>
      <c r="K317" s="8" t="str">
        <f>VLOOKUP(F317,[1]characters!$A:$K,11,FALSE)</f>
        <v>hp</v>
      </c>
      <c r="L317" s="8" t="str">
        <f>VLOOKUP(F317,[1]characters!$A:$M,13,FALSE)</f>
        <v>human</v>
      </c>
      <c r="M317" s="16">
        <f>VLOOKUP(D317,gacha_179_base!A:B,2,FALSE)</f>
        <v>72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customHeight="1">
      <c r="A318" s="7" t="str">
        <f t="shared" si="33"/>
        <v>1790321</v>
      </c>
      <c r="B318" s="2" t="str">
        <f t="shared" si="30"/>
        <v>1790</v>
      </c>
      <c r="C318" s="8" t="str">
        <f t="shared" si="34"/>
        <v>0PremiumSS5</v>
      </c>
      <c r="D318" s="8" t="str">
        <f t="shared" si="31"/>
        <v>0PremiumSS5</v>
      </c>
      <c r="E318" s="10">
        <v>0</v>
      </c>
      <c r="F318" s="6">
        <v>321</v>
      </c>
      <c r="G318" s="8" t="str">
        <f>VLOOKUP(F318,[1]characters!$A:$C,3,FALSE)</f>
        <v>巌鉄の烈志士 近藤勇</v>
      </c>
      <c r="H318" s="8" t="str">
        <f>VLOOKUP(F318,[1]characters!$A:$J,10,FALSE)</f>
        <v>PremiumSS</v>
      </c>
      <c r="I318" s="8">
        <f>VLOOKUP(F318,[1]characters!$A:$I,9,FALSE)</f>
        <v>5</v>
      </c>
      <c r="J318" s="8" t="str">
        <f>VLOOKUP(F318,[1]characters!$A:$H,8,FALSE)</f>
        <v>red</v>
      </c>
      <c r="K318" s="8" t="str">
        <f>VLOOKUP(F318,[1]characters!$A:$K,11,FALSE)</f>
        <v>hp</v>
      </c>
      <c r="L318" s="8" t="str">
        <f>VLOOKUP(F318,[1]characters!$A:$M,13,FALSE)</f>
        <v>human</v>
      </c>
      <c r="M318" s="16">
        <f>VLOOKUP(D318,gacha_179_base!A:B,2,FALSE)</f>
        <v>5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customHeight="1">
      <c r="A319" s="7" t="str">
        <f t="shared" si="33"/>
        <v>1790322</v>
      </c>
      <c r="B319" s="2" t="str">
        <f t="shared" si="30"/>
        <v>1790</v>
      </c>
      <c r="C319" s="8" t="str">
        <f t="shared" si="34"/>
        <v>0PremiumSS4</v>
      </c>
      <c r="D319" s="8" t="str">
        <f t="shared" si="31"/>
        <v>0PremiumSS4</v>
      </c>
      <c r="E319" s="10">
        <v>0</v>
      </c>
      <c r="F319" s="6">
        <v>322</v>
      </c>
      <c r="G319" s="8" t="str">
        <f>VLOOKUP(F319,[1]characters!$A:$C,3,FALSE)</f>
        <v>愛志士 土方歳三</v>
      </c>
      <c r="H319" s="8" t="str">
        <f>VLOOKUP(F319,[1]characters!$A:$J,10,FALSE)</f>
        <v>PremiumSS</v>
      </c>
      <c r="I319" s="8">
        <f>VLOOKUP(F319,[1]characters!$A:$I,9,FALSE)</f>
        <v>4</v>
      </c>
      <c r="J319" s="8" t="str">
        <f>VLOOKUP(F319,[1]characters!$A:$H,8,FALSE)</f>
        <v>green</v>
      </c>
      <c r="K319" s="8" t="str">
        <f>VLOOKUP(F319,[1]characters!$A:$K,11,FALSE)</f>
        <v>attack</v>
      </c>
      <c r="L319" s="8" t="str">
        <f>VLOOKUP(F319,[1]characters!$A:$M,13,FALSE)</f>
        <v>human</v>
      </c>
      <c r="M319" s="16">
        <f>VLOOKUP(D319,gacha_179_base!A:B,2,FALSE)</f>
        <v>72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customHeight="1">
      <c r="A320" s="7" t="str">
        <f t="shared" si="33"/>
        <v>1790323</v>
      </c>
      <c r="B320" s="2" t="str">
        <f t="shared" si="30"/>
        <v>1790</v>
      </c>
      <c r="C320" s="8" t="str">
        <f t="shared" si="34"/>
        <v>0PremiumSS5</v>
      </c>
      <c r="D320" s="8" t="str">
        <f t="shared" si="31"/>
        <v>0PremiumSS5</v>
      </c>
      <c r="E320" s="10">
        <v>0</v>
      </c>
      <c r="F320" s="6">
        <v>323</v>
      </c>
      <c r="G320" s="8" t="str">
        <f>VLOOKUP(F320,[1]characters!$A:$C,3,FALSE)</f>
        <v>流麗の愛志士 土方歳三</v>
      </c>
      <c r="H320" s="8" t="str">
        <f>VLOOKUP(F320,[1]characters!$A:$J,10,FALSE)</f>
        <v>PremiumSS</v>
      </c>
      <c r="I320" s="8">
        <f>VLOOKUP(F320,[1]characters!$A:$I,9,FALSE)</f>
        <v>5</v>
      </c>
      <c r="J320" s="8" t="str">
        <f>VLOOKUP(F320,[1]characters!$A:$H,8,FALSE)</f>
        <v>green</v>
      </c>
      <c r="K320" s="8" t="str">
        <f>VLOOKUP(F320,[1]characters!$A:$K,11,FALSE)</f>
        <v>attack</v>
      </c>
      <c r="L320" s="8" t="str">
        <f>VLOOKUP(F320,[1]characters!$A:$M,13,FALSE)</f>
        <v>human</v>
      </c>
      <c r="M320" s="16">
        <f>VLOOKUP(D320,gacha_179_base!A:B,2,FALSE)</f>
        <v>5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customHeight="1">
      <c r="A321" s="7" t="str">
        <f t="shared" si="33"/>
        <v>1790324</v>
      </c>
      <c r="B321" s="2" t="str">
        <f t="shared" si="30"/>
        <v>1790</v>
      </c>
      <c r="C321" s="8" t="str">
        <f t="shared" si="34"/>
        <v>0PremiumSS4</v>
      </c>
      <c r="D321" s="8" t="str">
        <f t="shared" si="31"/>
        <v>0PremiumSS4</v>
      </c>
      <c r="E321" s="10">
        <v>0</v>
      </c>
      <c r="F321" s="6">
        <v>324</v>
      </c>
      <c r="G321" s="8" t="str">
        <f>VLOOKUP(F321,[1]characters!$A:$C,3,FALSE)</f>
        <v>凛志士 沖田総司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blue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16">
        <f>VLOOKUP(D321,gacha_179_base!A:B,2,FALSE)</f>
        <v>72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customHeight="1">
      <c r="A322" s="7" t="str">
        <f t="shared" si="33"/>
        <v>1790325</v>
      </c>
      <c r="B322" s="2" t="str">
        <f t="shared" si="30"/>
        <v>1790</v>
      </c>
      <c r="C322" s="8" t="str">
        <f t="shared" si="34"/>
        <v>0PremiumSS5</v>
      </c>
      <c r="D322" s="8" t="str">
        <f t="shared" si="31"/>
        <v>0PremiumSS5</v>
      </c>
      <c r="E322" s="10">
        <v>0</v>
      </c>
      <c r="F322" s="6">
        <v>325</v>
      </c>
      <c r="G322" s="8" t="str">
        <f>VLOOKUP(F322,[1]characters!$A:$C,3,FALSE)</f>
        <v>天賦の凛志士 沖田総司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blue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VLOOKUP(D322,gacha_179_base!A:B,2,FALSE)</f>
        <v>5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customHeight="1">
      <c r="A323" s="7" t="str">
        <f t="shared" si="33"/>
        <v>1790326</v>
      </c>
      <c r="B323" s="2" t="str">
        <f t="shared" ref="B323:B386" si="35">179&amp;E323</f>
        <v>1790</v>
      </c>
      <c r="C323" s="8" t="str">
        <f t="shared" si="34"/>
        <v>0PremiumSS4</v>
      </c>
      <c r="D323" s="8" t="str">
        <f t="shared" si="31"/>
        <v>0PremiumSS4</v>
      </c>
      <c r="E323" s="10">
        <v>0</v>
      </c>
      <c r="F323" s="6">
        <v>326</v>
      </c>
      <c r="G323" s="8" t="str">
        <f>VLOOKUP(F323,[1]characters!$A:$C,3,FALSE)</f>
        <v>妖志士 斎藤一</v>
      </c>
      <c r="H323" s="8" t="str">
        <f>VLOOKUP(F323,[1]characters!$A:$J,10,FALSE)</f>
        <v>PremiumSS</v>
      </c>
      <c r="I323" s="8">
        <f>VLOOKUP(F323,[1]characters!$A:$I,9,FALSE)</f>
        <v>4</v>
      </c>
      <c r="J323" s="8" t="str">
        <f>VLOOKUP(F323,[1]characters!$A:$H,8,FALSE)</f>
        <v>yellow</v>
      </c>
      <c r="K323" s="8" t="str">
        <f>VLOOKUP(F323,[1]characters!$A:$K,11,FALSE)</f>
        <v>technical</v>
      </c>
      <c r="L323" s="8" t="str">
        <f>VLOOKUP(F323,[1]characters!$A:$M,13,FALSE)</f>
        <v>human</v>
      </c>
      <c r="M323" s="16">
        <f>VLOOKUP(D323,gacha_179_base!A:B,2,FALSE)</f>
        <v>72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customHeight="1">
      <c r="A324" s="7" t="str">
        <f t="shared" si="33"/>
        <v>1790327</v>
      </c>
      <c r="B324" s="2" t="str">
        <f t="shared" si="35"/>
        <v>1790</v>
      </c>
      <c r="C324" s="8" t="str">
        <f t="shared" si="34"/>
        <v>0PremiumSS5</v>
      </c>
      <c r="D324" s="8" t="str">
        <f t="shared" si="31"/>
        <v>0PremiumSS5</v>
      </c>
      <c r="E324" s="10">
        <v>0</v>
      </c>
      <c r="F324" s="6">
        <v>327</v>
      </c>
      <c r="G324" s="8" t="str">
        <f>VLOOKUP(F324,[1]characters!$A:$C,3,FALSE)</f>
        <v>千殺の妖志士 斎藤一</v>
      </c>
      <c r="H324" s="8" t="str">
        <f>VLOOKUP(F324,[1]characters!$A:$J,10,FALSE)</f>
        <v>PremiumSS</v>
      </c>
      <c r="I324" s="8">
        <f>VLOOKUP(F324,[1]characters!$A:$I,9,FALSE)</f>
        <v>5</v>
      </c>
      <c r="J324" s="8" t="str">
        <f>VLOOKUP(F324,[1]characters!$A:$H,8,FALSE)</f>
        <v>yellow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16">
        <f>VLOOKUP(D324,gacha_179_base!A:B,2,FALSE)</f>
        <v>5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customHeight="1">
      <c r="A325" s="7" t="str">
        <f t="shared" si="33"/>
        <v>1790381</v>
      </c>
      <c r="B325" s="2" t="str">
        <f t="shared" si="35"/>
        <v>1790</v>
      </c>
      <c r="C325" s="8" t="str">
        <f t="shared" si="34"/>
        <v>0PremiumS4</v>
      </c>
      <c r="D325" s="8" t="str">
        <f t="shared" si="31"/>
        <v>0PremiumS4</v>
      </c>
      <c r="E325" s="10">
        <v>0</v>
      </c>
      <c r="F325" s="6">
        <v>381</v>
      </c>
      <c r="G325" s="8" t="str">
        <f>VLOOKUP(F325,[1]characters!$A:$C,3,FALSE)</f>
        <v>肉食の恋火 バハムート</v>
      </c>
      <c r="H325" s="8" t="str">
        <f>VLOOKUP(F325,[1]characters!$A:$J,10,FALSE)</f>
        <v>PremiumS</v>
      </c>
      <c r="I325" s="8">
        <f>VLOOKUP(F325,[1]characters!$A:$I,9,FALSE)</f>
        <v>4</v>
      </c>
      <c r="J325" s="8" t="str">
        <f>VLOOKUP(F325,[1]characters!$A:$H,8,FALSE)</f>
        <v>red</v>
      </c>
      <c r="K325" s="8" t="str">
        <f>VLOOKUP(F325,[1]characters!$A:$K,11,FALSE)</f>
        <v>technical</v>
      </c>
      <c r="L325" s="8" t="str">
        <f>VLOOKUP(F325,[1]characters!$A:$M,13,FALSE)</f>
        <v>dragon</v>
      </c>
      <c r="M325" s="16">
        <f>VLOOKUP(D325,gacha_179_base!A:B,2,FALSE)</f>
        <v>2075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customHeight="1">
      <c r="A326" s="7" t="str">
        <f t="shared" si="33"/>
        <v>1790382</v>
      </c>
      <c r="B326" s="2" t="str">
        <f t="shared" si="35"/>
        <v>1790</v>
      </c>
      <c r="C326" s="8" t="str">
        <f t="shared" si="34"/>
        <v>0PremiumS5</v>
      </c>
      <c r="D326" s="8" t="str">
        <f t="shared" si="31"/>
        <v>0PremiumS5</v>
      </c>
      <c r="E326" s="10">
        <v>0</v>
      </c>
      <c r="F326" s="6">
        <v>382</v>
      </c>
      <c r="G326" s="8" t="str">
        <f>VLOOKUP(F326,[1]characters!$A:$C,3,FALSE)</f>
        <v>激情の愛炎 バハムート</v>
      </c>
      <c r="H326" s="8" t="str">
        <f>VLOOKUP(F326,[1]characters!$A:$J,10,FALSE)</f>
        <v>PremiumS</v>
      </c>
      <c r="I326" s="8">
        <f>VLOOKUP(F326,[1]characters!$A:$I,9,FALSE)</f>
        <v>5</v>
      </c>
      <c r="J326" s="8" t="str">
        <f>VLOOKUP(F326,[1]characters!$A:$H,8,FALSE)</f>
        <v>red</v>
      </c>
      <c r="K326" s="8" t="str">
        <f>VLOOKUP(F326,[1]characters!$A:$K,11,FALSE)</f>
        <v>technical</v>
      </c>
      <c r="L326" s="8" t="str">
        <f>VLOOKUP(F326,[1]characters!$A:$M,13,FALSE)</f>
        <v>dragon</v>
      </c>
      <c r="M326" s="16">
        <f>VLOOKUP(D326,gacha_179_base!A:B,2,FALSE)</f>
        <v>156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customHeight="1">
      <c r="A327" s="7" t="str">
        <f t="shared" si="33"/>
        <v>1790383</v>
      </c>
      <c r="B327" s="2" t="str">
        <f t="shared" si="35"/>
        <v>1790</v>
      </c>
      <c r="C327" s="8" t="str">
        <f t="shared" si="34"/>
        <v>0PremiumSS4</v>
      </c>
      <c r="D327" s="8" t="str">
        <f t="shared" si="31"/>
        <v>0PremiumSS4</v>
      </c>
      <c r="E327" s="10">
        <v>0</v>
      </c>
      <c r="F327" s="6">
        <v>383</v>
      </c>
      <c r="G327" s="8" t="str">
        <f>VLOOKUP(F327,[1]characters!$A:$C,3,FALSE)</f>
        <v>酒宴の蟒蛇 ヤマタノオロチ</v>
      </c>
      <c r="H327" s="8" t="str">
        <f>VLOOKUP(F327,[1]characters!$A:$J,10,FALSE)</f>
        <v>PremiumSS</v>
      </c>
      <c r="I327" s="8">
        <f>VLOOKUP(F327,[1]characters!$A:$I,9,FALSE)</f>
        <v>4</v>
      </c>
      <c r="J327" s="8" t="str">
        <f>VLOOKUP(F327,[1]characters!$A:$H,8,FALSE)</f>
        <v>green</v>
      </c>
      <c r="K327" s="8" t="str">
        <f>VLOOKUP(F327,[1]characters!$A:$K,11,FALSE)</f>
        <v>hp</v>
      </c>
      <c r="L327" s="8" t="str">
        <f>VLOOKUP(F327,[1]characters!$A:$M,13,FALSE)</f>
        <v>dragon</v>
      </c>
      <c r="M327" s="16">
        <f>VLOOKUP(D327,gacha_179_base!A:B,2,FALSE)</f>
        <v>72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customHeight="1">
      <c r="A328" s="7" t="str">
        <f t="shared" si="33"/>
        <v>1790384</v>
      </c>
      <c r="B328" s="2" t="str">
        <f t="shared" si="35"/>
        <v>1790</v>
      </c>
      <c r="C328" s="8" t="str">
        <f t="shared" si="34"/>
        <v>0PremiumSS5</v>
      </c>
      <c r="D328" s="8" t="str">
        <f t="shared" si="31"/>
        <v>0PremiumSS5</v>
      </c>
      <c r="E328" s="10">
        <v>0</v>
      </c>
      <c r="F328" s="6">
        <v>384</v>
      </c>
      <c r="G328" s="8" t="str">
        <f>VLOOKUP(F328,[1]characters!$A:$C,3,FALSE)</f>
        <v>破国の呑龍 ヤマタノオロチ</v>
      </c>
      <c r="H328" s="8" t="str">
        <f>VLOOKUP(F328,[1]characters!$A:$J,10,FALSE)</f>
        <v>PremiumSS</v>
      </c>
      <c r="I328" s="8">
        <f>VLOOKUP(F328,[1]characters!$A:$I,9,FALSE)</f>
        <v>5</v>
      </c>
      <c r="J328" s="8" t="str">
        <f>VLOOKUP(F328,[1]characters!$A:$H,8,FALSE)</f>
        <v>green</v>
      </c>
      <c r="K328" s="8" t="str">
        <f>VLOOKUP(F328,[1]characters!$A:$K,11,FALSE)</f>
        <v>hp</v>
      </c>
      <c r="L328" s="8" t="str">
        <f>VLOOKUP(F328,[1]characters!$A:$M,13,FALSE)</f>
        <v>dragon</v>
      </c>
      <c r="M328" s="16">
        <f>VLOOKUP(D328,gacha_179_base!A:B,2,FALSE)</f>
        <v>5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customHeight="1">
      <c r="A329" s="7" t="str">
        <f t="shared" si="33"/>
        <v>1790385</v>
      </c>
      <c r="B329" s="2" t="str">
        <f t="shared" si="35"/>
        <v>1790</v>
      </c>
      <c r="C329" s="8" t="str">
        <f t="shared" si="34"/>
        <v>0PremiumSS4</v>
      </c>
      <c r="D329" s="8" t="str">
        <f t="shared" si="31"/>
        <v>0PremiumSS4</v>
      </c>
      <c r="E329" s="10">
        <v>0</v>
      </c>
      <c r="F329" s="6">
        <v>385</v>
      </c>
      <c r="G329" s="8" t="str">
        <f>VLOOKUP(F329,[1]characters!$A:$C,3,FALSE)</f>
        <v>波烈の出奔 リヴァイアサン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blue</v>
      </c>
      <c r="K329" s="8" t="str">
        <f>VLOOKUP(F329,[1]characters!$A:$K,11,FALSE)</f>
        <v>balance</v>
      </c>
      <c r="L329" s="8" t="str">
        <f>VLOOKUP(F329,[1]characters!$A:$M,13,FALSE)</f>
        <v>dragon</v>
      </c>
      <c r="M329" s="16">
        <f>VLOOKUP(D329,gacha_179_base!A:B,2,FALSE)</f>
        <v>72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customHeight="1">
      <c r="A330" s="7" t="str">
        <f t="shared" si="33"/>
        <v>1790386</v>
      </c>
      <c r="B330" s="2" t="str">
        <f t="shared" si="35"/>
        <v>1790</v>
      </c>
      <c r="C330" s="8" t="str">
        <f t="shared" si="34"/>
        <v>0PremiumSS5</v>
      </c>
      <c r="D330" s="8" t="str">
        <f t="shared" si="31"/>
        <v>0PremiumSS5</v>
      </c>
      <c r="E330" s="10">
        <v>0</v>
      </c>
      <c r="F330" s="6">
        <v>386</v>
      </c>
      <c r="G330" s="8" t="str">
        <f>VLOOKUP(F330,[1]characters!$A:$C,3,FALSE)</f>
        <v>氾乱の海龍 リヴァイアサン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blue</v>
      </c>
      <c r="K330" s="8" t="str">
        <f>VLOOKUP(F330,[1]characters!$A:$K,11,FALSE)</f>
        <v>balance</v>
      </c>
      <c r="L330" s="8" t="str">
        <f>VLOOKUP(F330,[1]characters!$A:$M,13,FALSE)</f>
        <v>dragon</v>
      </c>
      <c r="M330" s="16">
        <f>VLOOKUP(D330,gacha_179_base!A:B,2,FALSE)</f>
        <v>5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customHeight="1">
      <c r="A331" s="7" t="str">
        <f t="shared" si="33"/>
        <v>1790388</v>
      </c>
      <c r="B331" s="2" t="str">
        <f t="shared" si="35"/>
        <v>1790</v>
      </c>
      <c r="C331" s="8" t="str">
        <f t="shared" si="34"/>
        <v>0PremiumS4</v>
      </c>
      <c r="D331" s="8" t="str">
        <f t="shared" ref="D331:D388" si="36">E331&amp;H331&amp;I331</f>
        <v>0PremiumS4</v>
      </c>
      <c r="E331" s="10">
        <v>0</v>
      </c>
      <c r="F331" s="6">
        <v>388</v>
      </c>
      <c r="G331" s="8" t="str">
        <f>VLOOKUP(F331,[1]characters!$A:$C,3,FALSE)</f>
        <v>神円の恋姫 スフィンクス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yellow</v>
      </c>
      <c r="K331" s="8" t="str">
        <f>VLOOKUP(F331,[1]characters!$A:$K,11,FALSE)</f>
        <v>heal</v>
      </c>
      <c r="L331" s="8" t="str">
        <f>VLOOKUP(F331,[1]characters!$A:$M,13,FALSE)</f>
        <v>animal</v>
      </c>
      <c r="M331" s="16">
        <f>VLOOKUP(D331,gacha_179_base!A:B,2,FALSE)</f>
        <v>2075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customHeight="1">
      <c r="A332" s="7" t="str">
        <f t="shared" si="33"/>
        <v>1790389</v>
      </c>
      <c r="B332" s="2" t="str">
        <f t="shared" si="35"/>
        <v>1790</v>
      </c>
      <c r="C332" s="8" t="str">
        <f t="shared" si="34"/>
        <v>0PremiumS5</v>
      </c>
      <c r="D332" s="8" t="str">
        <f t="shared" si="36"/>
        <v>0PremiumS5</v>
      </c>
      <c r="E332" s="10">
        <v>0</v>
      </c>
      <c r="F332" s="6">
        <v>389</v>
      </c>
      <c r="G332" s="8" t="str">
        <f>VLOOKUP(F332,[1]characters!$A:$C,3,FALSE)</f>
        <v>操神の愛姫 スフィンクス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yellow</v>
      </c>
      <c r="K332" s="8" t="str">
        <f>VLOOKUP(F332,[1]characters!$A:$K,11,FALSE)</f>
        <v>heal</v>
      </c>
      <c r="L332" s="8" t="str">
        <f>VLOOKUP(F332,[1]characters!$A:$M,13,FALSE)</f>
        <v>animal</v>
      </c>
      <c r="M332" s="16">
        <f>VLOOKUP(D332,gacha_179_base!A:B,2,FALSE)</f>
        <v>156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customHeight="1">
      <c r="A333" s="7" t="str">
        <f t="shared" si="33"/>
        <v>1790390</v>
      </c>
      <c r="B333" s="2" t="str">
        <f t="shared" si="35"/>
        <v>1790</v>
      </c>
      <c r="C333" s="8" t="str">
        <f t="shared" si="34"/>
        <v>0PremiumSS4</v>
      </c>
      <c r="D333" s="8" t="str">
        <f t="shared" si="36"/>
        <v>0PremiumSS4</v>
      </c>
      <c r="E333" s="10">
        <v>0</v>
      </c>
      <c r="F333" s="6">
        <v>390</v>
      </c>
      <c r="G333" s="8" t="str">
        <f>VLOOKUP(F333,[1]characters!$A:$C,3,FALSE)</f>
        <v>華環の旅客 親指姫</v>
      </c>
      <c r="H333" s="8" t="str">
        <f>VLOOKUP(F333,[1]characters!$A:$J,10,FALSE)</f>
        <v>PremiumSS</v>
      </c>
      <c r="I333" s="8">
        <f>VLOOKUP(F333,[1]characters!$A:$I,9,FALSE)</f>
        <v>4</v>
      </c>
      <c r="J333" s="8" t="str">
        <f>VLOOKUP(F333,[1]characters!$A:$H,8,FALSE)</f>
        <v>red</v>
      </c>
      <c r="K333" s="8" t="str">
        <f>VLOOKUP(F333,[1]characters!$A:$K,11,FALSE)</f>
        <v>heal</v>
      </c>
      <c r="L333" s="8" t="str">
        <f>VLOOKUP(F333,[1]characters!$A:$M,13,FALSE)</f>
        <v>human</v>
      </c>
      <c r="M333" s="16">
        <f>VLOOKUP(D333,gacha_179_base!A:B,2,FALSE)</f>
        <v>72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customHeight="1">
      <c r="A334" s="7" t="str">
        <f t="shared" si="33"/>
        <v>1790391</v>
      </c>
      <c r="B334" s="2" t="str">
        <f t="shared" si="35"/>
        <v>1790</v>
      </c>
      <c r="C334" s="8" t="str">
        <f t="shared" si="34"/>
        <v>0PremiumSS5</v>
      </c>
      <c r="D334" s="8" t="str">
        <f t="shared" si="36"/>
        <v>0PremiumSS5</v>
      </c>
      <c r="E334" s="10">
        <v>0</v>
      </c>
      <c r="F334" s="6">
        <v>391</v>
      </c>
      <c r="G334" s="8" t="str">
        <f>VLOOKUP(F334,[1]characters!$A:$C,3,FALSE)</f>
        <v>燕翼の旅人 親指姫</v>
      </c>
      <c r="H334" s="8" t="str">
        <f>VLOOKUP(F334,[1]characters!$A:$J,10,FALSE)</f>
        <v>PremiumSS</v>
      </c>
      <c r="I334" s="8">
        <f>VLOOKUP(F334,[1]characters!$A:$I,9,FALSE)</f>
        <v>5</v>
      </c>
      <c r="J334" s="8" t="str">
        <f>VLOOKUP(F334,[1]characters!$A:$H,8,FALSE)</f>
        <v>red</v>
      </c>
      <c r="K334" s="8" t="str">
        <f>VLOOKUP(F334,[1]characters!$A:$K,11,FALSE)</f>
        <v>heal</v>
      </c>
      <c r="L334" s="8" t="str">
        <f>VLOOKUP(F334,[1]characters!$A:$M,13,FALSE)</f>
        <v>human</v>
      </c>
      <c r="M334" s="16">
        <f>VLOOKUP(D334,gacha_179_base!A:B,2,FALSE)</f>
        <v>5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customHeight="1">
      <c r="A335" s="7" t="str">
        <f t="shared" si="33"/>
        <v>1790393</v>
      </c>
      <c r="B335" s="2" t="str">
        <f t="shared" si="35"/>
        <v>1790</v>
      </c>
      <c r="C335" s="8" t="str">
        <f t="shared" si="34"/>
        <v>0PremiumS4</v>
      </c>
      <c r="D335" s="8" t="str">
        <f t="shared" si="36"/>
        <v>0PremiumS4</v>
      </c>
      <c r="E335" s="10">
        <v>0</v>
      </c>
      <c r="F335" s="6">
        <v>393</v>
      </c>
      <c r="G335" s="8" t="str">
        <f>VLOOKUP(F335,[1]characters!$A:$C,3,FALSE)</f>
        <v>影縫い ピーターパン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green</v>
      </c>
      <c r="K335" s="8" t="str">
        <f>VLOOKUP(F335,[1]characters!$A:$K,11,FALSE)</f>
        <v>attack</v>
      </c>
      <c r="L335" s="8" t="str">
        <f>VLOOKUP(F335,[1]characters!$A:$M,13,FALSE)</f>
        <v>human</v>
      </c>
      <c r="M335" s="16">
        <f>VLOOKUP(D335,gacha_179_base!A:B,2,FALSE)</f>
        <v>2075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customHeight="1">
      <c r="A336" s="7" t="str">
        <f t="shared" si="33"/>
        <v>1790394</v>
      </c>
      <c r="B336" s="2" t="str">
        <f t="shared" si="35"/>
        <v>1790</v>
      </c>
      <c r="C336" s="8" t="str">
        <f t="shared" si="34"/>
        <v>0PremiumS5</v>
      </c>
      <c r="D336" s="8" t="str">
        <f t="shared" si="36"/>
        <v>0PremiumS5</v>
      </c>
      <c r="E336" s="10">
        <v>0</v>
      </c>
      <c r="F336" s="6">
        <v>394</v>
      </c>
      <c r="G336" s="8" t="str">
        <f>VLOOKUP(F336,[1]characters!$A:$C,3,FALSE)</f>
        <v>影求の悪童 ピーターパン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green</v>
      </c>
      <c r="K336" s="8" t="str">
        <f>VLOOKUP(F336,[1]characters!$A:$K,11,FALSE)</f>
        <v>attack</v>
      </c>
      <c r="L336" s="8" t="str">
        <f>VLOOKUP(F336,[1]characters!$A:$M,13,FALSE)</f>
        <v>human</v>
      </c>
      <c r="M336" s="16">
        <f>VLOOKUP(D336,gacha_179_base!A:B,2,FALSE)</f>
        <v>156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customHeight="1">
      <c r="A337" s="7" t="str">
        <f t="shared" si="33"/>
        <v>1790396</v>
      </c>
      <c r="B337" s="2" t="str">
        <f t="shared" si="35"/>
        <v>1790</v>
      </c>
      <c r="C337" s="8" t="str">
        <f t="shared" si="34"/>
        <v>0PremiumS4</v>
      </c>
      <c r="D337" s="8" t="str">
        <f t="shared" si="36"/>
        <v>0PremiumS4</v>
      </c>
      <c r="E337" s="10">
        <v>0</v>
      </c>
      <c r="F337" s="6">
        <v>396</v>
      </c>
      <c r="G337" s="8" t="str">
        <f>VLOOKUP(F337,[1]characters!$A:$C,3,FALSE)</f>
        <v>竜宮の水雷 乙姫</v>
      </c>
      <c r="H337" s="8" t="str">
        <f>VLOOKUP(F337,[1]characters!$A:$J,10,FALSE)</f>
        <v>PremiumS</v>
      </c>
      <c r="I337" s="8">
        <f>VLOOKUP(F337,[1]characters!$A:$I,9,FALSE)</f>
        <v>4</v>
      </c>
      <c r="J337" s="8" t="str">
        <f>VLOOKUP(F337,[1]characters!$A:$H,8,FALSE)</f>
        <v>blue</v>
      </c>
      <c r="K337" s="8" t="str">
        <f>VLOOKUP(F337,[1]characters!$A:$K,11,FALSE)</f>
        <v>hp</v>
      </c>
      <c r="L337" s="8" t="str">
        <f>VLOOKUP(F337,[1]characters!$A:$M,13,FALSE)</f>
        <v>human</v>
      </c>
      <c r="M337" s="16">
        <f>VLOOKUP(D337,gacha_179_base!A:B,2,FALSE)</f>
        <v>2075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si="33"/>
        <v>1790397</v>
      </c>
      <c r="B338" s="2" t="str">
        <f t="shared" si="35"/>
        <v>1790</v>
      </c>
      <c r="C338" s="8" t="str">
        <f t="shared" si="34"/>
        <v>0PremiumS5</v>
      </c>
      <c r="D338" s="8" t="str">
        <f t="shared" si="36"/>
        <v>0PremiumS5</v>
      </c>
      <c r="E338" s="10">
        <v>0</v>
      </c>
      <c r="F338" s="6">
        <v>397</v>
      </c>
      <c r="G338" s="8" t="str">
        <f>VLOOKUP(F338,[1]characters!$A:$C,3,FALSE)</f>
        <v>禁断の追箱 乙姫</v>
      </c>
      <c r="H338" s="8" t="str">
        <f>VLOOKUP(F338,[1]characters!$A:$J,10,FALSE)</f>
        <v>PremiumS</v>
      </c>
      <c r="I338" s="8">
        <f>VLOOKUP(F338,[1]characters!$A:$I,9,FALSE)</f>
        <v>5</v>
      </c>
      <c r="J338" s="8" t="str">
        <f>VLOOKUP(F338,[1]characters!$A:$H,8,FALSE)</f>
        <v>blue</v>
      </c>
      <c r="K338" s="8" t="str">
        <f>VLOOKUP(F338,[1]characters!$A:$K,11,FALSE)</f>
        <v>hp</v>
      </c>
      <c r="L338" s="8" t="str">
        <f>VLOOKUP(F338,[1]characters!$A:$M,13,FALSE)</f>
        <v>human</v>
      </c>
      <c r="M338" s="16">
        <f>VLOOKUP(D338,gacha_179_base!A:B,2,FALSE)</f>
        <v>156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customHeight="1">
      <c r="A339" s="7" t="str">
        <f t="shared" si="33"/>
        <v>1790398</v>
      </c>
      <c r="B339" s="2" t="str">
        <f t="shared" si="35"/>
        <v>1790</v>
      </c>
      <c r="C339" s="8" t="str">
        <f t="shared" si="34"/>
        <v>0PremiumSS4</v>
      </c>
      <c r="D339" s="8" t="str">
        <f t="shared" si="36"/>
        <v>0PremiumSS4</v>
      </c>
      <c r="E339" s="10">
        <v>0</v>
      </c>
      <c r="F339" s="6">
        <v>398</v>
      </c>
      <c r="G339" s="8" t="str">
        <f>VLOOKUP(F339,[1]characters!$A:$C,3,FALSE)</f>
        <v>ヘンゼル＆グレーテル</v>
      </c>
      <c r="H339" s="8" t="str">
        <f>VLOOKUP(F339,[1]characters!$A:$J,10,FALSE)</f>
        <v>PremiumSS</v>
      </c>
      <c r="I339" s="8">
        <f>VLOOKUP(F339,[1]characters!$A:$I,9,FALSE)</f>
        <v>4</v>
      </c>
      <c r="J339" s="8" t="str">
        <f>VLOOKUP(F339,[1]characters!$A:$H,8,FALSE)</f>
        <v>yellow</v>
      </c>
      <c r="K339" s="8" t="str">
        <f>VLOOKUP(F339,[1]characters!$A:$K,11,FALSE)</f>
        <v>balance</v>
      </c>
      <c r="L339" s="8" t="str">
        <f>VLOOKUP(F339,[1]characters!$A:$M,13,FALSE)</f>
        <v>human</v>
      </c>
      <c r="M339" s="16">
        <f>VLOOKUP(D339,gacha_179_base!A:B,2,FALSE)</f>
        <v>72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customHeight="1">
      <c r="A340" s="7" t="str">
        <f t="shared" si="33"/>
        <v>1790399</v>
      </c>
      <c r="B340" s="2" t="str">
        <f t="shared" si="35"/>
        <v>1790</v>
      </c>
      <c r="C340" s="8" t="str">
        <f t="shared" si="34"/>
        <v>0PremiumSS5</v>
      </c>
      <c r="D340" s="8" t="str">
        <f t="shared" si="36"/>
        <v>0PremiumSS5</v>
      </c>
      <c r="E340" s="10">
        <v>0</v>
      </c>
      <c r="F340" s="6">
        <v>399</v>
      </c>
      <c r="G340" s="8" t="str">
        <f>VLOOKUP(F340,[1]characters!$A:$C,3,FALSE)</f>
        <v>信愛の兄妹 ヘンゼル＆グレーテル</v>
      </c>
      <c r="H340" s="8" t="str">
        <f>VLOOKUP(F340,[1]characters!$A:$J,10,FALSE)</f>
        <v>PremiumSS</v>
      </c>
      <c r="I340" s="8">
        <f>VLOOKUP(F340,[1]characters!$A:$I,9,FALSE)</f>
        <v>5</v>
      </c>
      <c r="J340" s="8" t="str">
        <f>VLOOKUP(F340,[1]characters!$A:$H,8,FALSE)</f>
        <v>yellow</v>
      </c>
      <c r="K340" s="8" t="str">
        <f>VLOOKUP(F340,[1]characters!$A:$K,11,FALSE)</f>
        <v>balance</v>
      </c>
      <c r="L340" s="8" t="str">
        <f>VLOOKUP(F340,[1]characters!$A:$M,13,FALSE)</f>
        <v>human</v>
      </c>
      <c r="M340" s="16">
        <f>VLOOKUP(D340,gacha_179_base!A:B,2,FALSE)</f>
        <v>5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customHeight="1">
      <c r="A341" s="7" t="str">
        <f t="shared" si="33"/>
        <v>1790401</v>
      </c>
      <c r="B341" s="2" t="str">
        <f t="shared" si="35"/>
        <v>1790</v>
      </c>
      <c r="C341" s="8" t="str">
        <f t="shared" si="34"/>
        <v>0PremiumS4</v>
      </c>
      <c r="D341" s="8" t="str">
        <f t="shared" si="36"/>
        <v>0PremiumS4</v>
      </c>
      <c r="E341" s="10">
        <v>0</v>
      </c>
      <c r="F341" s="6">
        <v>401</v>
      </c>
      <c r="G341" s="8" t="str">
        <f>VLOOKUP(F341,[1]characters!$A:$C,3,FALSE)</f>
        <v>紅銀の孤狼 フェンリル</v>
      </c>
      <c r="H341" s="8" t="str">
        <f>VLOOKUP(F341,[1]characters!$A:$J,10,FALSE)</f>
        <v>PremiumS</v>
      </c>
      <c r="I341" s="8">
        <f>VLOOKUP(F341,[1]characters!$A:$I,9,FALSE)</f>
        <v>4</v>
      </c>
      <c r="J341" s="8" t="str">
        <f>VLOOKUP(F341,[1]characters!$A:$H,8,FALSE)</f>
        <v>red</v>
      </c>
      <c r="K341" s="8" t="str">
        <f>VLOOKUP(F341,[1]characters!$A:$K,11,FALSE)</f>
        <v>attack</v>
      </c>
      <c r="L341" s="8" t="str">
        <f>VLOOKUP(F341,[1]characters!$A:$M,13,FALSE)</f>
        <v>animal</v>
      </c>
      <c r="M341" s="16">
        <f>VLOOKUP(D341,gacha_179_base!A:B,2,FALSE)</f>
        <v>2075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customHeight="1">
      <c r="A342" s="7" t="str">
        <f t="shared" si="33"/>
        <v>1790402</v>
      </c>
      <c r="B342" s="2" t="str">
        <f t="shared" si="35"/>
        <v>1790</v>
      </c>
      <c r="C342" s="8" t="str">
        <f t="shared" si="34"/>
        <v>0PremiumS5</v>
      </c>
      <c r="D342" s="8" t="str">
        <f t="shared" si="36"/>
        <v>0PremiumS5</v>
      </c>
      <c r="E342" s="10">
        <v>0</v>
      </c>
      <c r="F342" s="6">
        <v>402</v>
      </c>
      <c r="G342" s="8" t="str">
        <f>VLOOKUP(F342,[1]characters!$A:$C,3,FALSE)</f>
        <v>天災の神狼 フェンリル</v>
      </c>
      <c r="H342" s="8" t="str">
        <f>VLOOKUP(F342,[1]characters!$A:$J,10,FALSE)</f>
        <v>PremiumS</v>
      </c>
      <c r="I342" s="8">
        <f>VLOOKUP(F342,[1]characters!$A:$I,9,FALSE)</f>
        <v>5</v>
      </c>
      <c r="J342" s="8" t="str">
        <f>VLOOKUP(F342,[1]characters!$A:$H,8,FALSE)</f>
        <v>red</v>
      </c>
      <c r="K342" s="8" t="str">
        <f>VLOOKUP(F342,[1]characters!$A:$K,11,FALSE)</f>
        <v>attack</v>
      </c>
      <c r="L342" s="8" t="str">
        <f>VLOOKUP(F342,[1]characters!$A:$M,13,FALSE)</f>
        <v>animal</v>
      </c>
      <c r="M342" s="16">
        <f>VLOOKUP(D342,gacha_179_base!A:B,2,FALSE)</f>
        <v>156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customHeight="1">
      <c r="A343" s="7" t="str">
        <f t="shared" si="33"/>
        <v>1790403</v>
      </c>
      <c r="B343" s="2" t="str">
        <f t="shared" si="35"/>
        <v>1790</v>
      </c>
      <c r="C343" s="8" t="str">
        <f t="shared" si="34"/>
        <v>0PremiumSS4</v>
      </c>
      <c r="D343" s="8" t="str">
        <f t="shared" si="36"/>
        <v>0PremiumSS4</v>
      </c>
      <c r="E343" s="10">
        <v>0</v>
      </c>
      <c r="F343" s="6">
        <v>403</v>
      </c>
      <c r="G343" s="8" t="str">
        <f>VLOOKUP(F343,[1]characters!$A:$C,3,FALSE)</f>
        <v>静撃の翠眼 八咫烏</v>
      </c>
      <c r="H343" s="8" t="str">
        <f>VLOOKUP(F343,[1]characters!$A:$J,10,FALSE)</f>
        <v>PremiumSS</v>
      </c>
      <c r="I343" s="8">
        <f>VLOOKUP(F343,[1]characters!$A:$I,9,FALSE)</f>
        <v>4</v>
      </c>
      <c r="J343" s="8" t="str">
        <f>VLOOKUP(F343,[1]characters!$A:$H,8,FALSE)</f>
        <v>green</v>
      </c>
      <c r="K343" s="8" t="str">
        <f>VLOOKUP(F343,[1]characters!$A:$K,11,FALSE)</f>
        <v>balance</v>
      </c>
      <c r="L343" s="8" t="str">
        <f>VLOOKUP(F343,[1]characters!$A:$M,13,FALSE)</f>
        <v>animal</v>
      </c>
      <c r="M343" s="16">
        <f>VLOOKUP(D343,gacha_179_base!A:B,2,FALSE)</f>
        <v>72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customHeight="1">
      <c r="A344" s="7" t="str">
        <f t="shared" si="33"/>
        <v>1790404</v>
      </c>
      <c r="B344" s="2" t="str">
        <f t="shared" si="35"/>
        <v>1790</v>
      </c>
      <c r="C344" s="8" t="str">
        <f t="shared" si="34"/>
        <v>0PremiumSS5</v>
      </c>
      <c r="D344" s="8" t="str">
        <f t="shared" si="36"/>
        <v>0PremiumSS5</v>
      </c>
      <c r="E344" s="10">
        <v>0</v>
      </c>
      <c r="F344" s="6">
        <v>404</v>
      </c>
      <c r="G344" s="8" t="str">
        <f>VLOOKUP(F344,[1]characters!$A:$C,3,FALSE)</f>
        <v>空襲の神眼 八咫烏</v>
      </c>
      <c r="H344" s="8" t="str">
        <f>VLOOKUP(F344,[1]characters!$A:$J,10,FALSE)</f>
        <v>PremiumSS</v>
      </c>
      <c r="I344" s="8">
        <f>VLOOKUP(F344,[1]characters!$A:$I,9,FALSE)</f>
        <v>5</v>
      </c>
      <c r="J344" s="8" t="str">
        <f>VLOOKUP(F344,[1]characters!$A:$H,8,FALSE)</f>
        <v>green</v>
      </c>
      <c r="K344" s="8" t="str">
        <f>VLOOKUP(F344,[1]characters!$A:$K,11,FALSE)</f>
        <v>balance</v>
      </c>
      <c r="L344" s="8" t="str">
        <f>VLOOKUP(F344,[1]characters!$A:$M,13,FALSE)</f>
        <v>animal</v>
      </c>
      <c r="M344" s="16">
        <f>VLOOKUP(D344,gacha_179_base!A:B,2,FALSE)</f>
        <v>5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customHeight="1">
      <c r="A345" s="7" t="str">
        <f t="shared" si="33"/>
        <v>1790406</v>
      </c>
      <c r="B345" s="2" t="str">
        <f t="shared" si="35"/>
        <v>1790</v>
      </c>
      <c r="C345" s="8" t="str">
        <f t="shared" si="34"/>
        <v>0PremiumS4</v>
      </c>
      <c r="D345" s="8" t="str">
        <f t="shared" si="36"/>
        <v>0PremiumS4</v>
      </c>
      <c r="E345" s="10">
        <v>0</v>
      </c>
      <c r="F345" s="6">
        <v>406</v>
      </c>
      <c r="G345" s="8" t="str">
        <f>VLOOKUP(F345,[1]characters!$A:$C,3,FALSE)</f>
        <v>美笑の蒼蛇 エキドナ</v>
      </c>
      <c r="H345" s="8" t="str">
        <f>VLOOKUP(F345,[1]characters!$A:$J,10,FALSE)</f>
        <v>PremiumS</v>
      </c>
      <c r="I345" s="8">
        <f>VLOOKUP(F345,[1]characters!$A:$I,9,FALSE)</f>
        <v>4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animal</v>
      </c>
      <c r="M345" s="16">
        <f>VLOOKUP(D345,gacha_179_base!A:B,2,FALSE)</f>
        <v>2075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customHeight="1">
      <c r="A346" s="7" t="str">
        <f t="shared" si="33"/>
        <v>1790407</v>
      </c>
      <c r="B346" s="2" t="str">
        <f t="shared" si="35"/>
        <v>1790</v>
      </c>
      <c r="C346" s="8" t="str">
        <f t="shared" si="34"/>
        <v>0PremiumS5</v>
      </c>
      <c r="D346" s="8" t="str">
        <f t="shared" si="36"/>
        <v>0PremiumS5</v>
      </c>
      <c r="E346" s="10">
        <v>0</v>
      </c>
      <c r="F346" s="6">
        <v>407</v>
      </c>
      <c r="G346" s="8" t="str">
        <f>VLOOKUP(F346,[1]characters!$A:$C,3,FALSE)</f>
        <v>蠱惑の飛刀 エキドナ</v>
      </c>
      <c r="H346" s="8" t="str">
        <f>VLOOKUP(F346,[1]characters!$A:$J,10,FALSE)</f>
        <v>PremiumS</v>
      </c>
      <c r="I346" s="8">
        <f>VLOOKUP(F346,[1]characters!$A:$I,9,FALSE)</f>
        <v>5</v>
      </c>
      <c r="J346" s="8" t="str">
        <f>VLOOKUP(F346,[1]characters!$A:$H,8,FALSE)</f>
        <v>blue</v>
      </c>
      <c r="K346" s="8" t="str">
        <f>VLOOKUP(F346,[1]characters!$A:$K,11,FALSE)</f>
        <v>technical</v>
      </c>
      <c r="L346" s="8" t="str">
        <f>VLOOKUP(F346,[1]characters!$A:$M,13,FALSE)</f>
        <v>animal</v>
      </c>
      <c r="M346" s="16">
        <f>VLOOKUP(D346,gacha_179_base!A:B,2,FALSE)</f>
        <v>156</v>
      </c>
      <c r="N346" s="41">
        <f>IFERROR(VLOOKUP($F346,bug_conf_sheet!$A:$H,3,FALSE),VLOOKUP("other",bug_conf_sheet!$A:$H,3,FALSE))</f>
        <v>1</v>
      </c>
      <c r="O346" s="41">
        <f>IFERROR(VLOOKUP($F346,bug_conf_sheet!$A:$H,4,FALSE),VLOOKUP("other",bug_conf_sheet!$A:$H,4,FALSE))</f>
        <v>0</v>
      </c>
      <c r="P346" s="41">
        <f>IFERROR(VLOOKUP($F346,bug_conf_sheet!$A:$H,5,FALSE),VLOOKUP("other",bug_conf_sheet!$A:$H,5,FALSE))</f>
        <v>0</v>
      </c>
      <c r="Q346" s="41">
        <f>IFERROR(VLOOKUP($F346,bug_conf_sheet!$A:$H,6,FALSE),VLOOKUP("other",bug_conf_sheet!$A:$H,6,FALSE))</f>
        <v>0</v>
      </c>
      <c r="R346" s="41">
        <f>IFERROR(VLOOKUP($F346,bug_conf_sheet!$A:$H,7,FALSE),VLOOKUP("other",bug_conf_sheet!$A:$H,7,FALSE))</f>
        <v>0</v>
      </c>
      <c r="S346" s="41">
        <f>IFERROR(VLOOKUP($F346,bug_conf_sheet!$A:$H,8,FALSE),VLOOKUP("other",bug_conf_sheet!$A:$H,8,FALSE))</f>
        <v>1</v>
      </c>
    </row>
    <row r="347" spans="1:19" ht="21" customHeight="1">
      <c r="A347" s="7" t="str">
        <f t="shared" si="33"/>
        <v>1790408</v>
      </c>
      <c r="B347" s="2" t="str">
        <f t="shared" si="35"/>
        <v>1790</v>
      </c>
      <c r="C347" s="8" t="str">
        <f t="shared" si="34"/>
        <v>0PremiumSS4</v>
      </c>
      <c r="D347" s="8" t="str">
        <f t="shared" si="36"/>
        <v>0PremiumSS4</v>
      </c>
      <c r="E347" s="10">
        <v>0</v>
      </c>
      <c r="F347" s="6">
        <v>408</v>
      </c>
      <c r="G347" s="8" t="str">
        <f>VLOOKUP(F347,[1]characters!$A:$C,3,FALSE)</f>
        <v>皇魔 アスタロト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god</v>
      </c>
      <c r="M347" s="16">
        <f>VLOOKUP(D347,gacha_179_base!A:B,2,FALSE)</f>
        <v>72</v>
      </c>
      <c r="N347" s="41">
        <f>IFERROR(VLOOKUP($F347,bug_conf_sheet!$A:$H,3,FALSE),VLOOKUP("other",bug_conf_sheet!$A:$H,3,FALSE))</f>
        <v>1</v>
      </c>
      <c r="O347" s="41">
        <f>IFERROR(VLOOKUP($F347,bug_conf_sheet!$A:$H,4,FALSE),VLOOKUP("other",bug_conf_sheet!$A:$H,4,FALSE))</f>
        <v>0</v>
      </c>
      <c r="P347" s="41">
        <f>IFERROR(VLOOKUP($F347,bug_conf_sheet!$A:$H,5,FALSE),VLOOKUP("other",bug_conf_sheet!$A:$H,5,FALSE))</f>
        <v>0</v>
      </c>
      <c r="Q347" s="41">
        <f>IFERROR(VLOOKUP($F347,bug_conf_sheet!$A:$H,6,FALSE),VLOOKUP("other",bug_conf_sheet!$A:$H,6,FALSE))</f>
        <v>0</v>
      </c>
      <c r="R347" s="41">
        <f>IFERROR(VLOOKUP($F347,bug_conf_sheet!$A:$H,7,FALSE),VLOOKUP("other",bug_conf_sheet!$A:$H,7,FALSE))</f>
        <v>0</v>
      </c>
      <c r="S347" s="41">
        <f>IFERROR(VLOOKUP($F347,bug_conf_sheet!$A:$H,8,FALSE),VLOOKUP("other",bug_conf_sheet!$A:$H,8,FALSE))</f>
        <v>1</v>
      </c>
    </row>
    <row r="348" spans="1:19" ht="21" customHeight="1">
      <c r="A348" s="7" t="str">
        <f t="shared" si="33"/>
        <v>1790409</v>
      </c>
      <c r="B348" s="2" t="str">
        <f t="shared" si="35"/>
        <v>1790</v>
      </c>
      <c r="C348" s="8" t="str">
        <f t="shared" si="34"/>
        <v>0PremiumSS5</v>
      </c>
      <c r="D348" s="8" t="str">
        <f t="shared" si="36"/>
        <v>0PremiumSS5</v>
      </c>
      <c r="E348" s="10">
        <v>0</v>
      </c>
      <c r="F348" s="6">
        <v>409</v>
      </c>
      <c r="G348" s="8" t="str">
        <f>VLOOKUP(F348,[1]characters!$A:$C,3,FALSE)</f>
        <v>天眼の皇貴魔 アスタロト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yellow</v>
      </c>
      <c r="K348" s="8" t="str">
        <f>VLOOKUP(F348,[1]characters!$A:$K,11,FALSE)</f>
        <v>attack</v>
      </c>
      <c r="L348" s="8" t="str">
        <f>VLOOKUP(F348,[1]characters!$A:$M,13,FALSE)</f>
        <v>god</v>
      </c>
      <c r="M348" s="16">
        <f>VLOOKUP(D348,gacha_179_base!A:B,2,FALSE)</f>
        <v>5</v>
      </c>
      <c r="N348" s="41">
        <f>IFERROR(VLOOKUP($F348,bug_conf_sheet!$A:$H,3,FALSE),VLOOKUP("other",bug_conf_sheet!$A:$H,3,FALSE))</f>
        <v>1</v>
      </c>
      <c r="O348" s="41">
        <f>IFERROR(VLOOKUP($F348,bug_conf_sheet!$A:$H,4,FALSE),VLOOKUP("other",bug_conf_sheet!$A:$H,4,FALSE))</f>
        <v>0</v>
      </c>
      <c r="P348" s="41">
        <f>IFERROR(VLOOKUP($F348,bug_conf_sheet!$A:$H,5,FALSE),VLOOKUP("other",bug_conf_sheet!$A:$H,5,FALSE))</f>
        <v>0</v>
      </c>
      <c r="Q348" s="41">
        <f>IFERROR(VLOOKUP($F348,bug_conf_sheet!$A:$H,6,FALSE),VLOOKUP("other",bug_conf_sheet!$A:$H,6,FALSE))</f>
        <v>0</v>
      </c>
      <c r="R348" s="41">
        <f>IFERROR(VLOOKUP($F348,bug_conf_sheet!$A:$H,7,FALSE),VLOOKUP("other",bug_conf_sheet!$A:$H,7,FALSE))</f>
        <v>0</v>
      </c>
      <c r="S348" s="41">
        <f>IFERROR(VLOOKUP($F348,bug_conf_sheet!$A:$H,8,FALSE),VLOOKUP("other",bug_conf_sheet!$A:$H,8,FALSE))</f>
        <v>1</v>
      </c>
    </row>
    <row r="349" spans="1:19" ht="21" customHeight="1">
      <c r="A349" s="7" t="str">
        <f t="shared" si="33"/>
        <v>1790434</v>
      </c>
      <c r="B349" s="2" t="str">
        <f t="shared" si="35"/>
        <v>1790</v>
      </c>
      <c r="C349" s="8" t="str">
        <f t="shared" si="34"/>
        <v>0PremiumSS4</v>
      </c>
      <c r="D349" s="8" t="str">
        <f t="shared" si="36"/>
        <v>0PremiumSS4</v>
      </c>
      <c r="E349" s="10">
        <v>0</v>
      </c>
      <c r="F349" s="6">
        <v>434</v>
      </c>
      <c r="G349" s="8" t="str">
        <f>VLOOKUP(F349,[1]characters!$A:$C,3,FALSE)</f>
        <v>D.R.T.H.</v>
      </c>
      <c r="H349" s="8" t="str">
        <f>VLOOKUP(F349,[1]characters!$A:$J,10,FALSE)</f>
        <v>PremiumSS</v>
      </c>
      <c r="I349" s="8">
        <f>VLOOKUP(F349,[1]characters!$A:$I,9,FALSE)</f>
        <v>4</v>
      </c>
      <c r="J349" s="8" t="str">
        <f>VLOOKUP(F349,[1]characters!$A:$H,8,FALSE)</f>
        <v>red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16">
        <f>VLOOKUP(D349,gacha_179_base!A:B,2,FALSE)</f>
        <v>72</v>
      </c>
      <c r="N349" s="41">
        <f>IFERROR(VLOOKUP($F349,bug_conf_sheet!$A:$H,3,FALSE),VLOOKUP("other",bug_conf_sheet!$A:$H,3,FALSE))</f>
        <v>1</v>
      </c>
      <c r="O349" s="41">
        <f>IFERROR(VLOOKUP($F349,bug_conf_sheet!$A:$H,4,FALSE),VLOOKUP("other",bug_conf_sheet!$A:$H,4,FALSE))</f>
        <v>0</v>
      </c>
      <c r="P349" s="41">
        <f>IFERROR(VLOOKUP($F349,bug_conf_sheet!$A:$H,5,FALSE),VLOOKUP("other",bug_conf_sheet!$A:$H,5,FALSE))</f>
        <v>0</v>
      </c>
      <c r="Q349" s="41">
        <f>IFERROR(VLOOKUP($F349,bug_conf_sheet!$A:$H,6,FALSE),VLOOKUP("other",bug_conf_sheet!$A:$H,6,FALSE))</f>
        <v>0</v>
      </c>
      <c r="R349" s="41">
        <f>IFERROR(VLOOKUP($F349,bug_conf_sheet!$A:$H,7,FALSE),VLOOKUP("other",bug_conf_sheet!$A:$H,7,FALSE))</f>
        <v>0</v>
      </c>
      <c r="S349" s="41">
        <f>IFERROR(VLOOKUP($F349,bug_conf_sheet!$A:$H,8,FALSE),VLOOKUP("other",bug_conf_sheet!$A:$H,8,FALSE))</f>
        <v>1</v>
      </c>
    </row>
    <row r="350" spans="1:19" ht="21" customHeight="1">
      <c r="A350" s="7" t="str">
        <f t="shared" si="33"/>
        <v>1790435</v>
      </c>
      <c r="B350" s="2" t="str">
        <f t="shared" si="35"/>
        <v>1790</v>
      </c>
      <c r="C350" s="8" t="str">
        <f t="shared" si="34"/>
        <v>0PremiumSS5</v>
      </c>
      <c r="D350" s="8" t="str">
        <f t="shared" si="36"/>
        <v>0PremiumSS5</v>
      </c>
      <c r="E350" s="10">
        <v>0</v>
      </c>
      <c r="F350" s="6">
        <v>435</v>
      </c>
      <c r="G350" s="8" t="str">
        <f>VLOOKUP(F350,[1]characters!$A:$C,3,FALSE)</f>
        <v>曝弾の密偵 D.R.T.H.</v>
      </c>
      <c r="H350" s="8" t="str">
        <f>VLOOKUP(F350,[1]characters!$A:$J,10,FALSE)</f>
        <v>PremiumSS</v>
      </c>
      <c r="I350" s="8">
        <f>VLOOKUP(F350,[1]characters!$A:$I,9,FALSE)</f>
        <v>5</v>
      </c>
      <c r="J350" s="8" t="str">
        <f>VLOOKUP(F350,[1]characters!$A:$H,8,FALSE)</f>
        <v>red</v>
      </c>
      <c r="K350" s="8" t="str">
        <f>VLOOKUP(F350,[1]characters!$A:$K,11,FALSE)</f>
        <v>balance</v>
      </c>
      <c r="L350" s="8" t="str">
        <f>VLOOKUP(F350,[1]characters!$A:$M,13,FALSE)</f>
        <v>human</v>
      </c>
      <c r="M350" s="16">
        <f>VLOOKUP(D350,gacha_179_base!A:B,2,FALSE)</f>
        <v>5</v>
      </c>
      <c r="N350" s="41">
        <f>IFERROR(VLOOKUP($F350,bug_conf_sheet!$A:$H,3,FALSE),VLOOKUP("other",bug_conf_sheet!$A:$H,3,FALSE))</f>
        <v>1</v>
      </c>
      <c r="O350" s="41">
        <f>IFERROR(VLOOKUP($F350,bug_conf_sheet!$A:$H,4,FALSE),VLOOKUP("other",bug_conf_sheet!$A:$H,4,FALSE))</f>
        <v>0</v>
      </c>
      <c r="P350" s="41">
        <f>IFERROR(VLOOKUP($F350,bug_conf_sheet!$A:$H,5,FALSE),VLOOKUP("other",bug_conf_sheet!$A:$H,5,FALSE))</f>
        <v>0</v>
      </c>
      <c r="Q350" s="41">
        <f>IFERROR(VLOOKUP($F350,bug_conf_sheet!$A:$H,6,FALSE),VLOOKUP("other",bug_conf_sheet!$A:$H,6,FALSE))</f>
        <v>0</v>
      </c>
      <c r="R350" s="41">
        <f>IFERROR(VLOOKUP($F350,bug_conf_sheet!$A:$H,7,FALSE),VLOOKUP("other",bug_conf_sheet!$A:$H,7,FALSE))</f>
        <v>0</v>
      </c>
      <c r="S350" s="41">
        <f>IFERROR(VLOOKUP($F350,bug_conf_sheet!$A:$H,8,FALSE),VLOOKUP("other",bug_conf_sheet!$A:$H,8,FALSE))</f>
        <v>1</v>
      </c>
    </row>
    <row r="351" spans="1:19" ht="21" customHeight="1">
      <c r="A351" s="7" t="str">
        <f t="shared" si="33"/>
        <v>1790437</v>
      </c>
      <c r="B351" s="2" t="str">
        <f t="shared" si="35"/>
        <v>1790</v>
      </c>
      <c r="C351" s="8" t="str">
        <f t="shared" si="34"/>
        <v>0PremiumS4</v>
      </c>
      <c r="D351" s="8" t="str">
        <f t="shared" si="36"/>
        <v>0PremiumS4</v>
      </c>
      <c r="E351" s="10">
        <v>0</v>
      </c>
      <c r="F351" s="6">
        <v>437</v>
      </c>
      <c r="G351" s="8" t="str">
        <f>VLOOKUP(F351,[1]characters!$A:$C,3,FALSE)</f>
        <v>忘却者 カカシ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green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16">
        <f>VLOOKUP(D351,gacha_179_base!A:B,2,FALSE)</f>
        <v>2075</v>
      </c>
      <c r="N351" s="41">
        <f>IFERROR(VLOOKUP($F351,bug_conf_sheet!$A:$H,3,FALSE),VLOOKUP("other",bug_conf_sheet!$A:$H,3,FALSE))</f>
        <v>1</v>
      </c>
      <c r="O351" s="41">
        <f>IFERROR(VLOOKUP($F351,bug_conf_sheet!$A:$H,4,FALSE),VLOOKUP("other",bug_conf_sheet!$A:$H,4,FALSE))</f>
        <v>0</v>
      </c>
      <c r="P351" s="41">
        <f>IFERROR(VLOOKUP($F351,bug_conf_sheet!$A:$H,5,FALSE),VLOOKUP("other",bug_conf_sheet!$A:$H,5,FALSE))</f>
        <v>0</v>
      </c>
      <c r="Q351" s="41">
        <f>IFERROR(VLOOKUP($F351,bug_conf_sheet!$A:$H,6,FALSE),VLOOKUP("other",bug_conf_sheet!$A:$H,6,FALSE))</f>
        <v>0</v>
      </c>
      <c r="R351" s="41">
        <f>IFERROR(VLOOKUP($F351,bug_conf_sheet!$A:$H,7,FALSE),VLOOKUP("other",bug_conf_sheet!$A:$H,7,FALSE))</f>
        <v>0</v>
      </c>
      <c r="S351" s="41">
        <f>IFERROR(VLOOKUP($F351,bug_conf_sheet!$A:$H,8,FALSE),VLOOKUP("other",bug_conf_sheet!$A:$H,8,FALSE))</f>
        <v>1</v>
      </c>
    </row>
    <row r="352" spans="1:19" ht="21" customHeight="1">
      <c r="A352" s="7" t="str">
        <f t="shared" si="33"/>
        <v>1790438</v>
      </c>
      <c r="B352" s="2" t="str">
        <f t="shared" si="35"/>
        <v>1790</v>
      </c>
      <c r="C352" s="8" t="str">
        <f t="shared" si="34"/>
        <v>0PremiumS5</v>
      </c>
      <c r="D352" s="8" t="str">
        <f t="shared" si="36"/>
        <v>0PremiumS5</v>
      </c>
      <c r="E352" s="10">
        <v>0</v>
      </c>
      <c r="F352" s="6">
        <v>438</v>
      </c>
      <c r="G352" s="8" t="str">
        <f>VLOOKUP(F352,[1]characters!$A:$C,3,FALSE)</f>
        <v>記憶の奪還 カカシ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green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16">
        <f>VLOOKUP(D352,gacha_179_base!A:B,2,FALSE)</f>
        <v>156</v>
      </c>
      <c r="N352" s="41">
        <f>IFERROR(VLOOKUP($F352,bug_conf_sheet!$A:$H,3,FALSE),VLOOKUP("other",bug_conf_sheet!$A:$H,3,FALSE))</f>
        <v>1</v>
      </c>
      <c r="O352" s="41">
        <f>IFERROR(VLOOKUP($F352,bug_conf_sheet!$A:$H,4,FALSE),VLOOKUP("other",bug_conf_sheet!$A:$H,4,FALSE))</f>
        <v>0</v>
      </c>
      <c r="P352" s="41">
        <f>IFERROR(VLOOKUP($F352,bug_conf_sheet!$A:$H,5,FALSE),VLOOKUP("other",bug_conf_sheet!$A:$H,5,FALSE))</f>
        <v>0</v>
      </c>
      <c r="Q352" s="41">
        <f>IFERROR(VLOOKUP($F352,bug_conf_sheet!$A:$H,6,FALSE),VLOOKUP("other",bug_conf_sheet!$A:$H,6,FALSE))</f>
        <v>0</v>
      </c>
      <c r="R352" s="41">
        <f>IFERROR(VLOOKUP($F352,bug_conf_sheet!$A:$H,7,FALSE),VLOOKUP("other",bug_conf_sheet!$A:$H,7,FALSE))</f>
        <v>0</v>
      </c>
      <c r="S352" s="41">
        <f>IFERROR(VLOOKUP($F352,bug_conf_sheet!$A:$H,8,FALSE),VLOOKUP("other",bug_conf_sheet!$A:$H,8,FALSE))</f>
        <v>1</v>
      </c>
    </row>
    <row r="353" spans="1:19" ht="21" customHeight="1">
      <c r="A353" s="7" t="str">
        <f t="shared" si="33"/>
        <v>1790440</v>
      </c>
      <c r="B353" s="2" t="str">
        <f t="shared" si="35"/>
        <v>1790</v>
      </c>
      <c r="C353" s="8" t="str">
        <f t="shared" si="34"/>
        <v>0PremiumS4</v>
      </c>
      <c r="D353" s="8" t="str">
        <f t="shared" si="36"/>
        <v>0PremiumS4</v>
      </c>
      <c r="E353" s="10">
        <v>0</v>
      </c>
      <c r="F353" s="6">
        <v>440</v>
      </c>
      <c r="G353" s="8" t="str">
        <f>VLOOKUP(F353,[1]characters!$A:$C,3,FALSE)</f>
        <v>改良型 ブリキロガー</v>
      </c>
      <c r="H353" s="8" t="str">
        <f>VLOOKUP(F353,[1]characters!$A:$J,10,FALSE)</f>
        <v>PremiumS</v>
      </c>
      <c r="I353" s="8">
        <f>VLOOKUP(F353,[1]characters!$A:$I,9,FALSE)</f>
        <v>4</v>
      </c>
      <c r="J353" s="8" t="str">
        <f>VLOOKUP(F353,[1]characters!$A:$H,8,FALSE)</f>
        <v>blue</v>
      </c>
      <c r="K353" s="8" t="str">
        <f>VLOOKUP(F353,[1]characters!$A:$K,11,FALSE)</f>
        <v>attack</v>
      </c>
      <c r="L353" s="8" t="str">
        <f>VLOOKUP(F353,[1]characters!$A:$M,13,FALSE)</f>
        <v>machine</v>
      </c>
      <c r="M353" s="16">
        <f>VLOOKUP(D353,gacha_179_base!A:B,2,FALSE)</f>
        <v>2075</v>
      </c>
      <c r="N353" s="41">
        <f>IFERROR(VLOOKUP($F353,bug_conf_sheet!$A:$H,3,FALSE),VLOOKUP("other",bug_conf_sheet!$A:$H,3,FALSE))</f>
        <v>1</v>
      </c>
      <c r="O353" s="41">
        <f>IFERROR(VLOOKUP($F353,bug_conf_sheet!$A:$H,4,FALSE),VLOOKUP("other",bug_conf_sheet!$A:$H,4,FALSE))</f>
        <v>0</v>
      </c>
      <c r="P353" s="41">
        <f>IFERROR(VLOOKUP($F353,bug_conf_sheet!$A:$H,5,FALSE),VLOOKUP("other",bug_conf_sheet!$A:$H,5,FALSE))</f>
        <v>0</v>
      </c>
      <c r="Q353" s="41">
        <f>IFERROR(VLOOKUP($F353,bug_conf_sheet!$A:$H,6,FALSE),VLOOKUP("other",bug_conf_sheet!$A:$H,6,FALSE))</f>
        <v>0</v>
      </c>
      <c r="R353" s="41">
        <f>IFERROR(VLOOKUP($F353,bug_conf_sheet!$A:$H,7,FALSE),VLOOKUP("other",bug_conf_sheet!$A:$H,7,FALSE))</f>
        <v>0</v>
      </c>
      <c r="S353" s="41">
        <f>IFERROR(VLOOKUP($F353,bug_conf_sheet!$A:$H,8,FALSE),VLOOKUP("other",bug_conf_sheet!$A:$H,8,FALSE))</f>
        <v>1</v>
      </c>
    </row>
    <row r="354" spans="1:19" ht="21" customHeight="1">
      <c r="A354" s="7" t="str">
        <f t="shared" si="33"/>
        <v>1790441</v>
      </c>
      <c r="B354" s="2" t="str">
        <f t="shared" si="35"/>
        <v>1790</v>
      </c>
      <c r="C354" s="8" t="str">
        <f t="shared" si="34"/>
        <v>0PremiumS5</v>
      </c>
      <c r="D354" s="8" t="str">
        <f t="shared" si="36"/>
        <v>0PremiumS5</v>
      </c>
      <c r="E354" s="10">
        <v>0</v>
      </c>
      <c r="F354" s="6">
        <v>441</v>
      </c>
      <c r="G354" s="8" t="str">
        <f>VLOOKUP(F354,[1]characters!$A:$C,3,FALSE)</f>
        <v>求心の錻装 ブリキロガー</v>
      </c>
      <c r="H354" s="8" t="str">
        <f>VLOOKUP(F354,[1]characters!$A:$J,10,FALSE)</f>
        <v>PremiumS</v>
      </c>
      <c r="I354" s="8">
        <f>VLOOKUP(F354,[1]characters!$A:$I,9,FALSE)</f>
        <v>5</v>
      </c>
      <c r="J354" s="8" t="str">
        <f>VLOOKUP(F354,[1]characters!$A:$H,8,FALSE)</f>
        <v>blue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16">
        <f>VLOOKUP(D354,gacha_179_base!A:B,2,FALSE)</f>
        <v>156</v>
      </c>
      <c r="N354" s="41">
        <f>IFERROR(VLOOKUP($F354,bug_conf_sheet!$A:$H,3,FALSE),VLOOKUP("other",bug_conf_sheet!$A:$H,3,FALSE))</f>
        <v>1</v>
      </c>
      <c r="O354" s="41">
        <f>IFERROR(VLOOKUP($F354,bug_conf_sheet!$A:$H,4,FALSE),VLOOKUP("other",bug_conf_sheet!$A:$H,4,FALSE))</f>
        <v>0</v>
      </c>
      <c r="P354" s="41">
        <f>IFERROR(VLOOKUP($F354,bug_conf_sheet!$A:$H,5,FALSE),VLOOKUP("other",bug_conf_sheet!$A:$H,5,FALSE))</f>
        <v>0</v>
      </c>
      <c r="Q354" s="41">
        <f>IFERROR(VLOOKUP($F354,bug_conf_sheet!$A:$H,6,FALSE),VLOOKUP("other",bug_conf_sheet!$A:$H,6,FALSE))</f>
        <v>0</v>
      </c>
      <c r="R354" s="41">
        <f>IFERROR(VLOOKUP($F354,bug_conf_sheet!$A:$H,7,FALSE),VLOOKUP("other",bug_conf_sheet!$A:$H,7,FALSE))</f>
        <v>0</v>
      </c>
      <c r="S354" s="41">
        <f>IFERROR(VLOOKUP($F354,bug_conf_sheet!$A:$H,8,FALSE),VLOOKUP("other",bug_conf_sheet!$A:$H,8,FALSE))</f>
        <v>1</v>
      </c>
    </row>
    <row r="355" spans="1:19" ht="21" customHeight="1">
      <c r="A355" s="7" t="str">
        <f t="shared" si="33"/>
        <v>1790442</v>
      </c>
      <c r="B355" s="2" t="str">
        <f t="shared" si="35"/>
        <v>1790</v>
      </c>
      <c r="C355" s="8" t="str">
        <f t="shared" si="34"/>
        <v>0PremiumSS4</v>
      </c>
      <c r="D355" s="8" t="str">
        <f t="shared" si="36"/>
        <v>0PremiumSS4</v>
      </c>
      <c r="E355" s="10">
        <v>0</v>
      </c>
      <c r="F355" s="6">
        <v>442</v>
      </c>
      <c r="G355" s="8" t="str">
        <f>VLOOKUP(F355,[1]characters!$A:$C,3,FALSE)</f>
        <v>ブレイブリー・ライオン</v>
      </c>
      <c r="H355" s="8" t="str">
        <f>VLOOKUP(F355,[1]characters!$A:$J,10,FALSE)</f>
        <v>PremiumSS</v>
      </c>
      <c r="I355" s="8">
        <f>VLOOKUP(F355,[1]characters!$A:$I,9,FALSE)</f>
        <v>4</v>
      </c>
      <c r="J355" s="8" t="str">
        <f>VLOOKUP(F355,[1]characters!$A:$H,8,FALSE)</f>
        <v>yellow</v>
      </c>
      <c r="K355" s="8" t="str">
        <f>VLOOKUP(F355,[1]characters!$A:$K,11,FALSE)</f>
        <v>hp</v>
      </c>
      <c r="L355" s="8" t="str">
        <f>VLOOKUP(F355,[1]characters!$A:$M,13,FALSE)</f>
        <v>animal</v>
      </c>
      <c r="M355" s="16">
        <f>VLOOKUP(D355,gacha_179_base!A:B,2,FALSE)</f>
        <v>72</v>
      </c>
      <c r="N355" s="41">
        <f>IFERROR(VLOOKUP($F355,bug_conf_sheet!$A:$H,3,FALSE),VLOOKUP("other",bug_conf_sheet!$A:$H,3,FALSE))</f>
        <v>1</v>
      </c>
      <c r="O355" s="41">
        <f>IFERROR(VLOOKUP($F355,bug_conf_sheet!$A:$H,4,FALSE),VLOOKUP("other",bug_conf_sheet!$A:$H,4,FALSE))</f>
        <v>0</v>
      </c>
      <c r="P355" s="41">
        <f>IFERROR(VLOOKUP($F355,bug_conf_sheet!$A:$H,5,FALSE),VLOOKUP("other",bug_conf_sheet!$A:$H,5,FALSE))</f>
        <v>0</v>
      </c>
      <c r="Q355" s="41">
        <f>IFERROR(VLOOKUP($F355,bug_conf_sheet!$A:$H,6,FALSE),VLOOKUP("other",bug_conf_sheet!$A:$H,6,FALSE))</f>
        <v>0</v>
      </c>
      <c r="R355" s="41">
        <f>IFERROR(VLOOKUP($F355,bug_conf_sheet!$A:$H,7,FALSE),VLOOKUP("other",bug_conf_sheet!$A:$H,7,FALSE))</f>
        <v>0</v>
      </c>
      <c r="S355" s="41">
        <f>IFERROR(VLOOKUP($F355,bug_conf_sheet!$A:$H,8,FALSE),VLOOKUP("other",bug_conf_sheet!$A:$H,8,FALSE))</f>
        <v>1</v>
      </c>
    </row>
    <row r="356" spans="1:19" ht="21" customHeight="1">
      <c r="A356" s="7" t="str">
        <f t="shared" si="33"/>
        <v>1790443</v>
      </c>
      <c r="B356" s="2" t="str">
        <f t="shared" si="35"/>
        <v>1790</v>
      </c>
      <c r="C356" s="8" t="str">
        <f t="shared" si="34"/>
        <v>0PremiumSS5</v>
      </c>
      <c r="D356" s="8" t="str">
        <f t="shared" si="36"/>
        <v>0PremiumSS5</v>
      </c>
      <c r="E356" s="10">
        <v>0</v>
      </c>
      <c r="F356" s="6">
        <v>443</v>
      </c>
      <c r="G356" s="8" t="str">
        <f>VLOOKUP(F356,[1]characters!$A:$C,3,FALSE)</f>
        <v>勇機結集 ブレイブリー・ライオン</v>
      </c>
      <c r="H356" s="8" t="str">
        <f>VLOOKUP(F356,[1]characters!$A:$J,10,FALSE)</f>
        <v>PremiumSS</v>
      </c>
      <c r="I356" s="8">
        <f>VLOOKUP(F356,[1]characters!$A:$I,9,FALSE)</f>
        <v>5</v>
      </c>
      <c r="J356" s="8" t="str">
        <f>VLOOKUP(F356,[1]characters!$A:$H,8,FALSE)</f>
        <v>yellow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f>VLOOKUP(D356,gacha_179_base!A:B,2,FALSE)</f>
        <v>5</v>
      </c>
      <c r="N356" s="41">
        <f>IFERROR(VLOOKUP($F356,bug_conf_sheet!$A:$H,3,FALSE),VLOOKUP("other",bug_conf_sheet!$A:$H,3,FALSE))</f>
        <v>1</v>
      </c>
      <c r="O356" s="41">
        <f>IFERROR(VLOOKUP($F356,bug_conf_sheet!$A:$H,4,FALSE),VLOOKUP("other",bug_conf_sheet!$A:$H,4,FALSE))</f>
        <v>0</v>
      </c>
      <c r="P356" s="41">
        <f>IFERROR(VLOOKUP($F356,bug_conf_sheet!$A:$H,5,FALSE),VLOOKUP("other",bug_conf_sheet!$A:$H,5,FALSE))</f>
        <v>0</v>
      </c>
      <c r="Q356" s="41">
        <f>IFERROR(VLOOKUP($F356,bug_conf_sheet!$A:$H,6,FALSE),VLOOKUP("other",bug_conf_sheet!$A:$H,6,FALSE))</f>
        <v>0</v>
      </c>
      <c r="R356" s="41">
        <f>IFERROR(VLOOKUP($F356,bug_conf_sheet!$A:$H,7,FALSE),VLOOKUP("other",bug_conf_sheet!$A:$H,7,FALSE))</f>
        <v>0</v>
      </c>
      <c r="S356" s="41">
        <f>IFERROR(VLOOKUP($F356,bug_conf_sheet!$A:$H,8,FALSE),VLOOKUP("other",bug_conf_sheet!$A:$H,8,FALSE))</f>
        <v>1</v>
      </c>
    </row>
    <row r="357" spans="1:19" ht="21" customHeight="1">
      <c r="A357" s="7" t="str">
        <f t="shared" si="33"/>
        <v>1790463</v>
      </c>
      <c r="B357" s="2" t="str">
        <f t="shared" si="35"/>
        <v>1790</v>
      </c>
      <c r="C357" s="8" t="str">
        <f t="shared" si="34"/>
        <v>0PremiumS4</v>
      </c>
      <c r="D357" s="8" t="str">
        <f t="shared" si="36"/>
        <v>0PremiumS4</v>
      </c>
      <c r="E357" s="10">
        <v>0</v>
      </c>
      <c r="F357" s="9">
        <v>463</v>
      </c>
      <c r="G357" s="8" t="str">
        <f>VLOOKUP(F357,[1]characters!$A:$C,3,FALSE)</f>
        <v>燻銀 ガウェイン</v>
      </c>
      <c r="H357" s="8" t="str">
        <f>VLOOKUP(F357,[1]characters!$A:$J,10,FALSE)</f>
        <v>PremiumS</v>
      </c>
      <c r="I357" s="8">
        <f>VLOOKUP(F357,[1]characters!$A:$I,9,FALSE)</f>
        <v>4</v>
      </c>
      <c r="J357" s="8" t="str">
        <f>VLOOKUP(F357,[1]characters!$A:$H,8,FALSE)</f>
        <v>red</v>
      </c>
      <c r="K357" s="8" t="str">
        <f>VLOOKUP(F357,[1]characters!$A:$K,11,FALSE)</f>
        <v>hp</v>
      </c>
      <c r="L357" s="8" t="str">
        <f>VLOOKUP(F357,[1]characters!$A:$M,13,FALSE)</f>
        <v>human</v>
      </c>
      <c r="M357" s="16">
        <f>VLOOKUP(D357,gacha_179_base!A:B,2,FALSE)</f>
        <v>2075</v>
      </c>
      <c r="N357" s="41">
        <f>IFERROR(VLOOKUP($F357,bug_conf_sheet!$A:$H,3,FALSE),VLOOKUP("other",bug_conf_sheet!$A:$H,3,FALSE))</f>
        <v>1</v>
      </c>
      <c r="O357" s="41">
        <f>IFERROR(VLOOKUP($F357,bug_conf_sheet!$A:$H,4,FALSE),VLOOKUP("other",bug_conf_sheet!$A:$H,4,FALSE))</f>
        <v>0</v>
      </c>
      <c r="P357" s="41">
        <f>IFERROR(VLOOKUP($F357,bug_conf_sheet!$A:$H,5,FALSE),VLOOKUP("other",bug_conf_sheet!$A:$H,5,FALSE))</f>
        <v>0</v>
      </c>
      <c r="Q357" s="41">
        <f>IFERROR(VLOOKUP($F357,bug_conf_sheet!$A:$H,6,FALSE),VLOOKUP("other",bug_conf_sheet!$A:$H,6,FALSE))</f>
        <v>0</v>
      </c>
      <c r="R357" s="41">
        <f>IFERROR(VLOOKUP($F357,bug_conf_sheet!$A:$H,7,FALSE),VLOOKUP("other",bug_conf_sheet!$A:$H,7,FALSE))</f>
        <v>0</v>
      </c>
      <c r="S357" s="41">
        <f>IFERROR(VLOOKUP($F357,bug_conf_sheet!$A:$H,8,FALSE),VLOOKUP("other",bug_conf_sheet!$A:$H,8,FALSE))</f>
        <v>1</v>
      </c>
    </row>
    <row r="358" spans="1:19" ht="21" customHeight="1">
      <c r="A358" s="7" t="str">
        <f t="shared" si="33"/>
        <v>1790464</v>
      </c>
      <c r="B358" s="2" t="str">
        <f t="shared" si="35"/>
        <v>1790</v>
      </c>
      <c r="C358" s="8" t="str">
        <f t="shared" si="34"/>
        <v>0PremiumS5</v>
      </c>
      <c r="D358" s="8" t="str">
        <f t="shared" si="36"/>
        <v>0PremiumS5</v>
      </c>
      <c r="E358" s="10">
        <v>0</v>
      </c>
      <c r="F358" s="9">
        <v>464</v>
      </c>
      <c r="G358" s="8" t="str">
        <f>VLOOKUP(F358,[1]characters!$A:$C,3,FALSE)</f>
        <v>円熟の弾導 ガウェイン</v>
      </c>
      <c r="H358" s="8" t="str">
        <f>VLOOKUP(F358,[1]characters!$A:$J,10,FALSE)</f>
        <v>PremiumS</v>
      </c>
      <c r="I358" s="8">
        <f>VLOOKUP(F358,[1]characters!$A:$I,9,FALSE)</f>
        <v>5</v>
      </c>
      <c r="J358" s="8" t="str">
        <f>VLOOKUP(F358,[1]characters!$A:$H,8,FALSE)</f>
        <v>red</v>
      </c>
      <c r="K358" s="8" t="str">
        <f>VLOOKUP(F358,[1]characters!$A:$K,11,FALSE)</f>
        <v>hp</v>
      </c>
      <c r="L358" s="8" t="str">
        <f>VLOOKUP(F358,[1]characters!$A:$M,13,FALSE)</f>
        <v>human</v>
      </c>
      <c r="M358" s="16">
        <f>VLOOKUP(D358,gacha_179_base!A:B,2,FALSE)</f>
        <v>156</v>
      </c>
      <c r="N358" s="41">
        <f>IFERROR(VLOOKUP($F358,bug_conf_sheet!$A:$H,3,FALSE),VLOOKUP("other",bug_conf_sheet!$A:$H,3,FALSE))</f>
        <v>1</v>
      </c>
      <c r="O358" s="41">
        <f>IFERROR(VLOOKUP($F358,bug_conf_sheet!$A:$H,4,FALSE),VLOOKUP("other",bug_conf_sheet!$A:$H,4,FALSE))</f>
        <v>0</v>
      </c>
      <c r="P358" s="41">
        <f>IFERROR(VLOOKUP($F358,bug_conf_sheet!$A:$H,5,FALSE),VLOOKUP("other",bug_conf_sheet!$A:$H,5,FALSE))</f>
        <v>0</v>
      </c>
      <c r="Q358" s="41">
        <f>IFERROR(VLOOKUP($F358,bug_conf_sheet!$A:$H,6,FALSE),VLOOKUP("other",bug_conf_sheet!$A:$H,6,FALSE))</f>
        <v>0</v>
      </c>
      <c r="R358" s="41">
        <f>IFERROR(VLOOKUP($F358,bug_conf_sheet!$A:$H,7,FALSE),VLOOKUP("other",bug_conf_sheet!$A:$H,7,FALSE))</f>
        <v>0</v>
      </c>
      <c r="S358" s="41">
        <f>IFERROR(VLOOKUP($F358,bug_conf_sheet!$A:$H,8,FALSE),VLOOKUP("other",bug_conf_sheet!$A:$H,8,FALSE))</f>
        <v>1</v>
      </c>
    </row>
    <row r="359" spans="1:19" ht="21" customHeight="1">
      <c r="A359" s="7" t="str">
        <f t="shared" si="33"/>
        <v>1790465</v>
      </c>
      <c r="B359" s="2" t="str">
        <f t="shared" si="35"/>
        <v>1790</v>
      </c>
      <c r="C359" s="8" t="str">
        <f t="shared" si="34"/>
        <v>0PremiumSS4</v>
      </c>
      <c r="D359" s="8" t="str">
        <f t="shared" si="36"/>
        <v>0PremiumSS4</v>
      </c>
      <c r="E359" s="10">
        <v>0</v>
      </c>
      <c r="F359" s="9">
        <v>465</v>
      </c>
      <c r="G359" s="8" t="str">
        <f>VLOOKUP(F359,[1]characters!$A:$C,3,FALSE)</f>
        <v>真撃 ランスロット</v>
      </c>
      <c r="H359" s="8" t="str">
        <f>VLOOKUP(F359,[1]characters!$A:$J,10,FALSE)</f>
        <v>PremiumSS</v>
      </c>
      <c r="I359" s="8">
        <f>VLOOKUP(F359,[1]characters!$A:$I,9,FALSE)</f>
        <v>4</v>
      </c>
      <c r="J359" s="8" t="str">
        <f>VLOOKUP(F359,[1]characters!$A:$H,8,FALSE)</f>
        <v>green</v>
      </c>
      <c r="K359" s="8" t="str">
        <f>VLOOKUP(F359,[1]characters!$A:$K,11,FALSE)</f>
        <v>balance</v>
      </c>
      <c r="L359" s="8" t="str">
        <f>VLOOKUP(F359,[1]characters!$A:$M,13,FALSE)</f>
        <v>human</v>
      </c>
      <c r="M359" s="16">
        <f>VLOOKUP(D359,gacha_179_base!A:B,2,FALSE)</f>
        <v>72</v>
      </c>
      <c r="N359" s="41">
        <f>IFERROR(VLOOKUP($F359,bug_conf_sheet!$A:$H,3,FALSE),VLOOKUP("other",bug_conf_sheet!$A:$H,3,FALSE))</f>
        <v>1</v>
      </c>
      <c r="O359" s="41">
        <f>IFERROR(VLOOKUP($F359,bug_conf_sheet!$A:$H,4,FALSE),VLOOKUP("other",bug_conf_sheet!$A:$H,4,FALSE))</f>
        <v>0</v>
      </c>
      <c r="P359" s="41">
        <f>IFERROR(VLOOKUP($F359,bug_conf_sheet!$A:$H,5,FALSE),VLOOKUP("other",bug_conf_sheet!$A:$H,5,FALSE))</f>
        <v>0</v>
      </c>
      <c r="Q359" s="41">
        <f>IFERROR(VLOOKUP($F359,bug_conf_sheet!$A:$H,6,FALSE),VLOOKUP("other",bug_conf_sheet!$A:$H,6,FALSE))</f>
        <v>0</v>
      </c>
      <c r="R359" s="41">
        <f>IFERROR(VLOOKUP($F359,bug_conf_sheet!$A:$H,7,FALSE),VLOOKUP("other",bug_conf_sheet!$A:$H,7,FALSE))</f>
        <v>0</v>
      </c>
      <c r="S359" s="41">
        <f>IFERROR(VLOOKUP($F359,bug_conf_sheet!$A:$H,8,FALSE),VLOOKUP("other",bug_conf_sheet!$A:$H,8,FALSE))</f>
        <v>1</v>
      </c>
    </row>
    <row r="360" spans="1:19" ht="21" customHeight="1">
      <c r="A360" s="7" t="str">
        <f t="shared" ref="A360:A364" si="37">B360&amp;F360</f>
        <v>1790466</v>
      </c>
      <c r="B360" s="2" t="str">
        <f t="shared" si="35"/>
        <v>1790</v>
      </c>
      <c r="C360" s="8" t="str">
        <f t="shared" si="34"/>
        <v>0PremiumSS5</v>
      </c>
      <c r="D360" s="8" t="str">
        <f t="shared" si="36"/>
        <v>0PremiumSS5</v>
      </c>
      <c r="E360" s="10">
        <v>0</v>
      </c>
      <c r="F360" s="6">
        <v>466</v>
      </c>
      <c r="G360" s="8" t="str">
        <f>VLOOKUP(F360,[1]characters!$A:$C,3,FALSE)</f>
        <v>真断の勇覇 ランスロット</v>
      </c>
      <c r="H360" s="8" t="str">
        <f>VLOOKUP(F360,[1]characters!$A:$J,10,FALSE)</f>
        <v>PremiumSS</v>
      </c>
      <c r="I360" s="8">
        <f>VLOOKUP(F360,[1]characters!$A:$I,9,FALSE)</f>
        <v>5</v>
      </c>
      <c r="J360" s="8" t="str">
        <f>VLOOKUP(F360,[1]characters!$A:$H,8,FALSE)</f>
        <v>green</v>
      </c>
      <c r="K360" s="8" t="str">
        <f>VLOOKUP(F360,[1]characters!$A:$K,11,FALSE)</f>
        <v>balance</v>
      </c>
      <c r="L360" s="8" t="str">
        <f>VLOOKUP(F360,[1]characters!$A:$M,13,FALSE)</f>
        <v>human</v>
      </c>
      <c r="M360" s="16">
        <f>VLOOKUP(D360,gacha_179_base!A:B,2,FALSE)</f>
        <v>5</v>
      </c>
      <c r="N360" s="41">
        <f>IFERROR(VLOOKUP($F360,bug_conf_sheet!$A:$H,3,FALSE),VLOOKUP("other",bug_conf_sheet!$A:$H,3,FALSE))</f>
        <v>1</v>
      </c>
      <c r="O360" s="41">
        <f>IFERROR(VLOOKUP($F360,bug_conf_sheet!$A:$H,4,FALSE),VLOOKUP("other",bug_conf_sheet!$A:$H,4,FALSE))</f>
        <v>0</v>
      </c>
      <c r="P360" s="41">
        <f>IFERROR(VLOOKUP($F360,bug_conf_sheet!$A:$H,5,FALSE),VLOOKUP("other",bug_conf_sheet!$A:$H,5,FALSE))</f>
        <v>0</v>
      </c>
      <c r="Q360" s="41">
        <f>IFERROR(VLOOKUP($F360,bug_conf_sheet!$A:$H,6,FALSE),VLOOKUP("other",bug_conf_sheet!$A:$H,6,FALSE))</f>
        <v>0</v>
      </c>
      <c r="R360" s="41">
        <f>IFERROR(VLOOKUP($F360,bug_conf_sheet!$A:$H,7,FALSE),VLOOKUP("other",bug_conf_sheet!$A:$H,7,FALSE))</f>
        <v>0</v>
      </c>
      <c r="S360" s="41">
        <f>IFERROR(VLOOKUP($F360,bug_conf_sheet!$A:$H,8,FALSE),VLOOKUP("other",bug_conf_sheet!$A:$H,8,FALSE))</f>
        <v>1</v>
      </c>
    </row>
    <row r="361" spans="1:19" ht="21" customHeight="1">
      <c r="A361" s="7" t="str">
        <f t="shared" si="37"/>
        <v>1790467</v>
      </c>
      <c r="B361" s="2" t="str">
        <f t="shared" si="35"/>
        <v>1790</v>
      </c>
      <c r="C361" s="8" t="str">
        <f t="shared" si="34"/>
        <v>0PremiumSS4</v>
      </c>
      <c r="D361" s="8" t="str">
        <f t="shared" si="36"/>
        <v>0PremiumSS4</v>
      </c>
      <c r="E361" s="10">
        <v>0</v>
      </c>
      <c r="F361" s="6">
        <v>467</v>
      </c>
      <c r="G361" s="8" t="str">
        <f>VLOOKUP(F361,[1]characters!$A:$C,3,FALSE)</f>
        <v>報復 モルドレッド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blue</v>
      </c>
      <c r="K361" s="8" t="str">
        <f>VLOOKUP(F361,[1]characters!$A:$K,11,FALSE)</f>
        <v>technical</v>
      </c>
      <c r="L361" s="8" t="str">
        <f>VLOOKUP(F361,[1]characters!$A:$M,13,FALSE)</f>
        <v>human</v>
      </c>
      <c r="M361" s="16">
        <f>VLOOKUP(D361,gacha_179_base!A:B,2,FALSE)</f>
        <v>72</v>
      </c>
      <c r="N361" s="41">
        <f>IFERROR(VLOOKUP($F361,bug_conf_sheet!$A:$H,3,FALSE),VLOOKUP("other",bug_conf_sheet!$A:$H,3,FALSE))</f>
        <v>1</v>
      </c>
      <c r="O361" s="41">
        <f>IFERROR(VLOOKUP($F361,bug_conf_sheet!$A:$H,4,FALSE),VLOOKUP("other",bug_conf_sheet!$A:$H,4,FALSE))</f>
        <v>0</v>
      </c>
      <c r="P361" s="41">
        <f>IFERROR(VLOOKUP($F361,bug_conf_sheet!$A:$H,5,FALSE),VLOOKUP("other",bug_conf_sheet!$A:$H,5,FALSE))</f>
        <v>0</v>
      </c>
      <c r="Q361" s="41">
        <f>IFERROR(VLOOKUP($F361,bug_conf_sheet!$A:$H,6,FALSE),VLOOKUP("other",bug_conf_sheet!$A:$H,6,FALSE))</f>
        <v>0</v>
      </c>
      <c r="R361" s="41">
        <f>IFERROR(VLOOKUP($F361,bug_conf_sheet!$A:$H,7,FALSE),VLOOKUP("other",bug_conf_sheet!$A:$H,7,FALSE))</f>
        <v>0</v>
      </c>
      <c r="S361" s="41">
        <f>IFERROR(VLOOKUP($F361,bug_conf_sheet!$A:$H,8,FALSE),VLOOKUP("other",bug_conf_sheet!$A:$H,8,FALSE))</f>
        <v>1</v>
      </c>
    </row>
    <row r="362" spans="1:19" ht="21" customHeight="1">
      <c r="A362" s="7" t="str">
        <f t="shared" si="37"/>
        <v>1790468</v>
      </c>
      <c r="B362" s="2" t="str">
        <f t="shared" si="35"/>
        <v>1790</v>
      </c>
      <c r="C362" s="8" t="str">
        <f t="shared" si="34"/>
        <v>0PremiumSS5</v>
      </c>
      <c r="D362" s="8" t="str">
        <f t="shared" si="36"/>
        <v>0PremiumSS5</v>
      </c>
      <c r="E362" s="10">
        <v>0</v>
      </c>
      <c r="F362" s="6">
        <v>468</v>
      </c>
      <c r="G362" s="8" t="str">
        <f>VLOOKUP(F362,[1]characters!$A:$C,3,FALSE)</f>
        <v>憎愛の尖鋒 モルドレッド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blue</v>
      </c>
      <c r="K362" s="8" t="str">
        <f>VLOOKUP(F362,[1]characters!$A:$K,11,FALSE)</f>
        <v>technical</v>
      </c>
      <c r="L362" s="8" t="str">
        <f>VLOOKUP(F362,[1]characters!$A:$M,13,FALSE)</f>
        <v>human</v>
      </c>
      <c r="M362" s="16">
        <f>VLOOKUP(D362,gacha_179_base!A:B,2,FALSE)</f>
        <v>5</v>
      </c>
      <c r="N362" s="41">
        <f>IFERROR(VLOOKUP($F362,bug_conf_sheet!$A:$H,3,FALSE),VLOOKUP("other",bug_conf_sheet!$A:$H,3,FALSE))</f>
        <v>1</v>
      </c>
      <c r="O362" s="41">
        <f>IFERROR(VLOOKUP($F362,bug_conf_sheet!$A:$H,4,FALSE),VLOOKUP("other",bug_conf_sheet!$A:$H,4,FALSE))</f>
        <v>0</v>
      </c>
      <c r="P362" s="41">
        <f>IFERROR(VLOOKUP($F362,bug_conf_sheet!$A:$H,5,FALSE),VLOOKUP("other",bug_conf_sheet!$A:$H,5,FALSE))</f>
        <v>0</v>
      </c>
      <c r="Q362" s="41">
        <f>IFERROR(VLOOKUP($F362,bug_conf_sheet!$A:$H,6,FALSE),VLOOKUP("other",bug_conf_sheet!$A:$H,6,FALSE))</f>
        <v>0</v>
      </c>
      <c r="R362" s="41">
        <f>IFERROR(VLOOKUP($F362,bug_conf_sheet!$A:$H,7,FALSE),VLOOKUP("other",bug_conf_sheet!$A:$H,7,FALSE))</f>
        <v>0</v>
      </c>
      <c r="S362" s="41">
        <f>IFERROR(VLOOKUP($F362,bug_conf_sheet!$A:$H,8,FALSE),VLOOKUP("other",bug_conf_sheet!$A:$H,8,FALSE))</f>
        <v>1</v>
      </c>
    </row>
    <row r="363" spans="1:19" ht="21" customHeight="1">
      <c r="A363" s="7" t="str">
        <f t="shared" si="37"/>
        <v>1790470</v>
      </c>
      <c r="B363" s="2" t="str">
        <f t="shared" si="35"/>
        <v>1790</v>
      </c>
      <c r="C363" s="8" t="str">
        <f t="shared" ref="C363:C364" si="38">E363&amp;H363&amp;I363</f>
        <v>0PremiumS4</v>
      </c>
      <c r="D363" s="8" t="str">
        <f t="shared" si="36"/>
        <v>0PremiumS4</v>
      </c>
      <c r="E363" s="10">
        <v>0</v>
      </c>
      <c r="F363" s="6">
        <v>470</v>
      </c>
      <c r="G363" s="8" t="str">
        <f>VLOOKUP(F363,[1]characters!$A:$C,3,FALSE)</f>
        <v>純心 トリスタン</v>
      </c>
      <c r="H363" s="8" t="str">
        <f>VLOOKUP(F363,[1]characters!$A:$J,10,FALSE)</f>
        <v>PremiumS</v>
      </c>
      <c r="I363" s="8">
        <f>VLOOKUP(F363,[1]characters!$A:$I,9,FALSE)</f>
        <v>4</v>
      </c>
      <c r="J363" s="8" t="str">
        <f>VLOOKUP(F363,[1]characters!$A:$H,8,FALSE)</f>
        <v>yellow</v>
      </c>
      <c r="K363" s="8" t="str">
        <f>VLOOKUP(F363,[1]characters!$A:$K,11,FALSE)</f>
        <v>attack</v>
      </c>
      <c r="L363" s="8" t="str">
        <f>VLOOKUP(F363,[1]characters!$A:$M,13,FALSE)</f>
        <v>human</v>
      </c>
      <c r="M363" s="16">
        <f>VLOOKUP(D363,gacha_179_base!A:B,2,FALSE)</f>
        <v>2075</v>
      </c>
      <c r="N363" s="41">
        <f>IFERROR(VLOOKUP($F363,bug_conf_sheet!$A:$H,3,FALSE),VLOOKUP("other",bug_conf_sheet!$A:$H,3,FALSE))</f>
        <v>1</v>
      </c>
      <c r="O363" s="41">
        <f>IFERROR(VLOOKUP($F363,bug_conf_sheet!$A:$H,4,FALSE),VLOOKUP("other",bug_conf_sheet!$A:$H,4,FALSE))</f>
        <v>0</v>
      </c>
      <c r="P363" s="41">
        <f>IFERROR(VLOOKUP($F363,bug_conf_sheet!$A:$H,5,FALSE),VLOOKUP("other",bug_conf_sheet!$A:$H,5,FALSE))</f>
        <v>0</v>
      </c>
      <c r="Q363" s="41">
        <f>IFERROR(VLOOKUP($F363,bug_conf_sheet!$A:$H,6,FALSE),VLOOKUP("other",bug_conf_sheet!$A:$H,6,FALSE))</f>
        <v>0</v>
      </c>
      <c r="R363" s="41">
        <f>IFERROR(VLOOKUP($F363,bug_conf_sheet!$A:$H,7,FALSE),VLOOKUP("other",bug_conf_sheet!$A:$H,7,FALSE))</f>
        <v>0</v>
      </c>
      <c r="S363" s="41">
        <f>IFERROR(VLOOKUP($F363,bug_conf_sheet!$A:$H,8,FALSE),VLOOKUP("other",bug_conf_sheet!$A:$H,8,FALSE))</f>
        <v>1</v>
      </c>
    </row>
    <row r="364" spans="1:19" ht="21" customHeight="1">
      <c r="A364" s="7" t="str">
        <f t="shared" si="37"/>
        <v>1790471</v>
      </c>
      <c r="B364" s="2" t="str">
        <f t="shared" si="35"/>
        <v>1790</v>
      </c>
      <c r="C364" s="8" t="str">
        <f t="shared" si="38"/>
        <v>0PremiumS5</v>
      </c>
      <c r="D364" s="8" t="str">
        <f t="shared" si="36"/>
        <v>0PremiumS5</v>
      </c>
      <c r="E364" s="10">
        <v>0</v>
      </c>
      <c r="F364" s="6">
        <v>471</v>
      </c>
      <c r="G364" s="8" t="str">
        <f>VLOOKUP(F364,[1]characters!$A:$C,3,FALSE)</f>
        <v>不可避の爆激 トリスタン</v>
      </c>
      <c r="H364" s="8" t="str">
        <f>VLOOKUP(F364,[1]characters!$A:$J,10,FALSE)</f>
        <v>PremiumS</v>
      </c>
      <c r="I364" s="8">
        <f>VLOOKUP(F364,[1]characters!$A:$I,9,FALSE)</f>
        <v>5</v>
      </c>
      <c r="J364" s="8" t="str">
        <f>VLOOKUP(F364,[1]characters!$A:$H,8,FALSE)</f>
        <v>yellow</v>
      </c>
      <c r="K364" s="8" t="str">
        <f>VLOOKUP(F364,[1]characters!$A:$K,11,FALSE)</f>
        <v>attack</v>
      </c>
      <c r="L364" s="8" t="str">
        <f>VLOOKUP(F364,[1]characters!$A:$M,13,FALSE)</f>
        <v>human</v>
      </c>
      <c r="M364" s="16">
        <f>VLOOKUP(D364,gacha_179_base!A:B,2,FALSE)</f>
        <v>156</v>
      </c>
      <c r="N364" s="41">
        <f>IFERROR(VLOOKUP($F364,bug_conf_sheet!$A:$H,3,FALSE),VLOOKUP("other",bug_conf_sheet!$A:$H,3,FALSE))</f>
        <v>1</v>
      </c>
      <c r="O364" s="41">
        <f>IFERROR(VLOOKUP($F364,bug_conf_sheet!$A:$H,4,FALSE),VLOOKUP("other",bug_conf_sheet!$A:$H,4,FALSE))</f>
        <v>0</v>
      </c>
      <c r="P364" s="41">
        <f>IFERROR(VLOOKUP($F364,bug_conf_sheet!$A:$H,5,FALSE),VLOOKUP("other",bug_conf_sheet!$A:$H,5,FALSE))</f>
        <v>0</v>
      </c>
      <c r="Q364" s="41">
        <f>IFERROR(VLOOKUP($F364,bug_conf_sheet!$A:$H,6,FALSE),VLOOKUP("other",bug_conf_sheet!$A:$H,6,FALSE))</f>
        <v>0</v>
      </c>
      <c r="R364" s="41">
        <f>IFERROR(VLOOKUP($F364,bug_conf_sheet!$A:$H,7,FALSE),VLOOKUP("other",bug_conf_sheet!$A:$H,7,FALSE))</f>
        <v>0</v>
      </c>
      <c r="S364" s="41">
        <f>IFERROR(VLOOKUP($F364,bug_conf_sheet!$A:$H,8,FALSE),VLOOKUP("other",bug_conf_sheet!$A:$H,8,FALSE))</f>
        <v>1</v>
      </c>
    </row>
    <row r="365" spans="1:19" ht="21" customHeight="1">
      <c r="A365" s="7" t="str">
        <f t="shared" ref="A365:A372" si="39">B365&amp;F365</f>
        <v>1790474</v>
      </c>
      <c r="B365" s="2" t="str">
        <f t="shared" si="35"/>
        <v>1790</v>
      </c>
      <c r="C365" s="8" t="str">
        <f t="shared" ref="C365:C372" si="40">E365&amp;H365&amp;I365</f>
        <v>0PremiumSS4</v>
      </c>
      <c r="D365" s="8" t="str">
        <f t="shared" si="36"/>
        <v>0PremiumSS4</v>
      </c>
      <c r="E365" s="10">
        <v>0</v>
      </c>
      <c r="F365" s="6">
        <v>474</v>
      </c>
      <c r="G365" s="8" t="str">
        <f>VLOOKUP(F365,[1]characters!$A:$C,3,FALSE)</f>
        <v>キング・ドライグ</v>
      </c>
      <c r="H365" s="8" t="str">
        <f>VLOOKUP(F365,[1]characters!$A:$J,10,FALSE)</f>
        <v>PremiumSS</v>
      </c>
      <c r="I365" s="8">
        <f>VLOOKUP(F365,[1]characters!$A:$I,9,FALSE)</f>
        <v>4</v>
      </c>
      <c r="J365" s="8" t="str">
        <f>VLOOKUP(F365,[1]characters!$A:$H,8,FALSE)</f>
        <v>red</v>
      </c>
      <c r="K365" s="8" t="str">
        <f>VLOOKUP(F365,[1]characters!$A:$K,11,FALSE)</f>
        <v>attack</v>
      </c>
      <c r="L365" s="8" t="str">
        <f>VLOOKUP(F365,[1]characters!$A:$M,13,FALSE)</f>
        <v>dragon</v>
      </c>
      <c r="M365" s="16">
        <f>VLOOKUP(D365,gacha_179_base!A:B,2,FALSE)</f>
        <v>72</v>
      </c>
      <c r="N365" s="41">
        <f>IFERROR(VLOOKUP($F365,bug_conf_sheet!$A:$H,3,FALSE),VLOOKUP("other",bug_conf_sheet!$A:$H,3,FALSE))</f>
        <v>1</v>
      </c>
      <c r="O365" s="41">
        <f>IFERROR(VLOOKUP($F365,bug_conf_sheet!$A:$H,4,FALSE),VLOOKUP("other",bug_conf_sheet!$A:$H,4,FALSE))</f>
        <v>0</v>
      </c>
      <c r="P365" s="41">
        <f>IFERROR(VLOOKUP($F365,bug_conf_sheet!$A:$H,5,FALSE),VLOOKUP("other",bug_conf_sheet!$A:$H,5,FALSE))</f>
        <v>0</v>
      </c>
      <c r="Q365" s="41">
        <f>IFERROR(VLOOKUP($F365,bug_conf_sheet!$A:$H,6,FALSE),VLOOKUP("other",bug_conf_sheet!$A:$H,6,FALSE))</f>
        <v>0</v>
      </c>
      <c r="R365" s="41">
        <f>IFERROR(VLOOKUP($F365,bug_conf_sheet!$A:$H,7,FALSE),VLOOKUP("other",bug_conf_sheet!$A:$H,7,FALSE))</f>
        <v>0</v>
      </c>
      <c r="S365" s="41">
        <f>IFERROR(VLOOKUP($F365,bug_conf_sheet!$A:$H,8,FALSE),VLOOKUP("other",bug_conf_sheet!$A:$H,8,FALSE))</f>
        <v>1</v>
      </c>
    </row>
    <row r="366" spans="1:19" ht="21" customHeight="1">
      <c r="A366" s="7" t="str">
        <f t="shared" si="39"/>
        <v>1790475</v>
      </c>
      <c r="B366" s="2" t="str">
        <f t="shared" si="35"/>
        <v>1790</v>
      </c>
      <c r="C366" s="8" t="str">
        <f t="shared" si="40"/>
        <v>0PremiumSS5</v>
      </c>
      <c r="D366" s="8" t="str">
        <f t="shared" si="36"/>
        <v>0PremiumSS5</v>
      </c>
      <c r="E366" s="10">
        <v>0</v>
      </c>
      <c r="F366" s="6">
        <v>475</v>
      </c>
      <c r="G366" s="8" t="str">
        <f>VLOOKUP(F366,[1]characters!$A:$C,3,FALSE)</f>
        <v>緋王 キング・ドライグ</v>
      </c>
      <c r="H366" s="8" t="str">
        <f>VLOOKUP(F366,[1]characters!$A:$J,10,FALSE)</f>
        <v>PremiumSS</v>
      </c>
      <c r="I366" s="8">
        <f>VLOOKUP(F366,[1]characters!$A:$I,9,FALSE)</f>
        <v>5</v>
      </c>
      <c r="J366" s="8" t="str">
        <f>VLOOKUP(F366,[1]characters!$A:$H,8,FALSE)</f>
        <v>red</v>
      </c>
      <c r="K366" s="8" t="str">
        <f>VLOOKUP(F366,[1]characters!$A:$K,11,FALSE)</f>
        <v>attack</v>
      </c>
      <c r="L366" s="8" t="str">
        <f>VLOOKUP(F366,[1]characters!$A:$M,13,FALSE)</f>
        <v>dragon</v>
      </c>
      <c r="M366" s="16">
        <f>VLOOKUP(D366,gacha_179_base!A:B,2,FALSE)</f>
        <v>5</v>
      </c>
      <c r="N366" s="41">
        <f>IFERROR(VLOOKUP($F366,bug_conf_sheet!$A:$H,3,FALSE),VLOOKUP("other",bug_conf_sheet!$A:$H,3,FALSE))</f>
        <v>1</v>
      </c>
      <c r="O366" s="41">
        <f>IFERROR(VLOOKUP($F366,bug_conf_sheet!$A:$H,4,FALSE),VLOOKUP("other",bug_conf_sheet!$A:$H,4,FALSE))</f>
        <v>0</v>
      </c>
      <c r="P366" s="41">
        <f>IFERROR(VLOOKUP($F366,bug_conf_sheet!$A:$H,5,FALSE),VLOOKUP("other",bug_conf_sheet!$A:$H,5,FALSE))</f>
        <v>0</v>
      </c>
      <c r="Q366" s="41">
        <f>IFERROR(VLOOKUP($F366,bug_conf_sheet!$A:$H,6,FALSE),VLOOKUP("other",bug_conf_sheet!$A:$H,6,FALSE))</f>
        <v>0</v>
      </c>
      <c r="R366" s="41">
        <f>IFERROR(VLOOKUP($F366,bug_conf_sheet!$A:$H,7,FALSE),VLOOKUP("other",bug_conf_sheet!$A:$H,7,FALSE))</f>
        <v>0</v>
      </c>
      <c r="S366" s="41">
        <f>IFERROR(VLOOKUP($F366,bug_conf_sheet!$A:$H,8,FALSE),VLOOKUP("other",bug_conf_sheet!$A:$H,8,FALSE))</f>
        <v>1</v>
      </c>
    </row>
    <row r="367" spans="1:19" ht="21" customHeight="1">
      <c r="A367" s="7" t="str">
        <f t="shared" si="39"/>
        <v>1790477</v>
      </c>
      <c r="B367" s="2" t="str">
        <f t="shared" si="35"/>
        <v>1790</v>
      </c>
      <c r="C367" s="8" t="str">
        <f t="shared" si="40"/>
        <v>0PremiumS4</v>
      </c>
      <c r="D367" s="8" t="str">
        <f t="shared" si="36"/>
        <v>0PremiumS4</v>
      </c>
      <c r="E367" s="10">
        <v>0</v>
      </c>
      <c r="F367" s="6">
        <v>477</v>
      </c>
      <c r="G367" s="8" t="str">
        <f>VLOOKUP(F367,[1]characters!$A:$C,3,FALSE)</f>
        <v>愛羽妖精 ファータ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green</v>
      </c>
      <c r="K367" s="8" t="str">
        <f>VLOOKUP(F367,[1]characters!$A:$K,11,FALSE)</f>
        <v>heal</v>
      </c>
      <c r="L367" s="8" t="str">
        <f>VLOOKUP(F367,[1]characters!$A:$M,13,FALSE)</f>
        <v>unknown</v>
      </c>
      <c r="M367" s="16">
        <f>VLOOKUP(D367,gacha_179_base!A:B,2,FALSE)</f>
        <v>2075</v>
      </c>
      <c r="N367" s="41">
        <f>IFERROR(VLOOKUP($F367,bug_conf_sheet!$A:$H,3,FALSE),VLOOKUP("other",bug_conf_sheet!$A:$H,3,FALSE))</f>
        <v>1</v>
      </c>
      <c r="O367" s="41">
        <f>IFERROR(VLOOKUP($F367,bug_conf_sheet!$A:$H,4,FALSE),VLOOKUP("other",bug_conf_sheet!$A:$H,4,FALSE))</f>
        <v>0</v>
      </c>
      <c r="P367" s="41">
        <f>IFERROR(VLOOKUP($F367,bug_conf_sheet!$A:$H,5,FALSE),VLOOKUP("other",bug_conf_sheet!$A:$H,5,FALSE))</f>
        <v>0</v>
      </c>
      <c r="Q367" s="41">
        <f>IFERROR(VLOOKUP($F367,bug_conf_sheet!$A:$H,6,FALSE),VLOOKUP("other",bug_conf_sheet!$A:$H,6,FALSE))</f>
        <v>0</v>
      </c>
      <c r="R367" s="41">
        <f>IFERROR(VLOOKUP($F367,bug_conf_sheet!$A:$H,7,FALSE),VLOOKUP("other",bug_conf_sheet!$A:$H,7,FALSE))</f>
        <v>0</v>
      </c>
      <c r="S367" s="41">
        <f>IFERROR(VLOOKUP($F367,bug_conf_sheet!$A:$H,8,FALSE),VLOOKUP("other",bug_conf_sheet!$A:$H,8,FALSE))</f>
        <v>1</v>
      </c>
    </row>
    <row r="368" spans="1:19" ht="21" customHeight="1">
      <c r="A368" s="7" t="str">
        <f t="shared" si="39"/>
        <v>1790478</v>
      </c>
      <c r="B368" s="2" t="str">
        <f t="shared" si="35"/>
        <v>1790</v>
      </c>
      <c r="C368" s="8" t="str">
        <f t="shared" si="40"/>
        <v>0PremiumS5</v>
      </c>
      <c r="D368" s="8" t="str">
        <f t="shared" si="36"/>
        <v>0PremiumS5</v>
      </c>
      <c r="E368" s="10">
        <v>0</v>
      </c>
      <c r="F368" s="6">
        <v>478</v>
      </c>
      <c r="G368" s="8" t="str">
        <f>VLOOKUP(F368,[1]characters!$A:$C,3,FALSE)</f>
        <v>時計仕掛けの愛羽妖精 ファータ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green</v>
      </c>
      <c r="K368" s="8" t="str">
        <f>VLOOKUP(F368,[1]characters!$A:$K,11,FALSE)</f>
        <v>heal</v>
      </c>
      <c r="L368" s="8" t="str">
        <f>VLOOKUP(F368,[1]characters!$A:$M,13,FALSE)</f>
        <v>unknown</v>
      </c>
      <c r="M368" s="16">
        <f>VLOOKUP(D368,gacha_179_base!A:B,2,FALSE)</f>
        <v>156</v>
      </c>
      <c r="N368" s="41">
        <f>IFERROR(VLOOKUP($F368,bug_conf_sheet!$A:$H,3,FALSE),VLOOKUP("other",bug_conf_sheet!$A:$H,3,FALSE))</f>
        <v>1</v>
      </c>
      <c r="O368" s="41">
        <f>IFERROR(VLOOKUP($F368,bug_conf_sheet!$A:$H,4,FALSE),VLOOKUP("other",bug_conf_sheet!$A:$H,4,FALSE))</f>
        <v>0</v>
      </c>
      <c r="P368" s="41">
        <f>IFERROR(VLOOKUP($F368,bug_conf_sheet!$A:$H,5,FALSE),VLOOKUP("other",bug_conf_sheet!$A:$H,5,FALSE))</f>
        <v>0</v>
      </c>
      <c r="Q368" s="41">
        <f>IFERROR(VLOOKUP($F368,bug_conf_sheet!$A:$H,6,FALSE),VLOOKUP("other",bug_conf_sheet!$A:$H,6,FALSE))</f>
        <v>0</v>
      </c>
      <c r="R368" s="41">
        <f>IFERROR(VLOOKUP($F368,bug_conf_sheet!$A:$H,7,FALSE),VLOOKUP("other",bug_conf_sheet!$A:$H,7,FALSE))</f>
        <v>0</v>
      </c>
      <c r="S368" s="41">
        <f>IFERROR(VLOOKUP($F368,bug_conf_sheet!$A:$H,8,FALSE),VLOOKUP("other",bug_conf_sheet!$A:$H,8,FALSE))</f>
        <v>1</v>
      </c>
    </row>
    <row r="369" spans="1:19" ht="21" customHeight="1">
      <c r="A369" s="7" t="str">
        <f t="shared" si="39"/>
        <v>1790479</v>
      </c>
      <c r="B369" s="2" t="str">
        <f t="shared" si="35"/>
        <v>1790</v>
      </c>
      <c r="C369" s="8" t="str">
        <f t="shared" si="40"/>
        <v>0PremiumSS4</v>
      </c>
      <c r="D369" s="8" t="str">
        <f t="shared" si="36"/>
        <v>0PremiumSS4</v>
      </c>
      <c r="E369" s="10">
        <v>0</v>
      </c>
      <c r="F369" s="6">
        <v>479</v>
      </c>
      <c r="G369" s="8" t="str">
        <f>VLOOKUP(F369,[1]characters!$A:$C,3,FALSE)</f>
        <v>フール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blue</v>
      </c>
      <c r="K369" s="8" t="str">
        <f>VLOOKUP(F369,[1]characters!$A:$K,11,FALSE)</f>
        <v>technical</v>
      </c>
      <c r="L369" s="8" t="str">
        <f>VLOOKUP(F369,[1]characters!$A:$M,13,FALSE)</f>
        <v>god</v>
      </c>
      <c r="M369" s="16">
        <f>VLOOKUP(D369,gacha_179_base!A:B,2,FALSE)</f>
        <v>72</v>
      </c>
      <c r="N369" s="41">
        <f>IFERROR(VLOOKUP($F369,bug_conf_sheet!$A:$H,3,FALSE),VLOOKUP("other",bug_conf_sheet!$A:$H,3,FALSE))</f>
        <v>1</v>
      </c>
      <c r="O369" s="41">
        <f>IFERROR(VLOOKUP($F369,bug_conf_sheet!$A:$H,4,FALSE),VLOOKUP("other",bug_conf_sheet!$A:$H,4,FALSE))</f>
        <v>0</v>
      </c>
      <c r="P369" s="41">
        <f>IFERROR(VLOOKUP($F369,bug_conf_sheet!$A:$H,5,FALSE),VLOOKUP("other",bug_conf_sheet!$A:$H,5,FALSE))</f>
        <v>0</v>
      </c>
      <c r="Q369" s="41">
        <f>IFERROR(VLOOKUP($F369,bug_conf_sheet!$A:$H,6,FALSE),VLOOKUP("other",bug_conf_sheet!$A:$H,6,FALSE))</f>
        <v>0</v>
      </c>
      <c r="R369" s="41">
        <f>IFERROR(VLOOKUP($F369,bug_conf_sheet!$A:$H,7,FALSE),VLOOKUP("other",bug_conf_sheet!$A:$H,7,FALSE))</f>
        <v>0</v>
      </c>
      <c r="S369" s="41">
        <f>IFERROR(VLOOKUP($F369,bug_conf_sheet!$A:$H,8,FALSE),VLOOKUP("other",bug_conf_sheet!$A:$H,8,FALSE))</f>
        <v>1</v>
      </c>
    </row>
    <row r="370" spans="1:19" ht="21" customHeight="1">
      <c r="A370" s="7" t="str">
        <f t="shared" si="39"/>
        <v>1790480</v>
      </c>
      <c r="B370" s="2" t="str">
        <f t="shared" si="35"/>
        <v>1790</v>
      </c>
      <c r="C370" s="8" t="str">
        <f t="shared" si="40"/>
        <v>0PremiumSS5</v>
      </c>
      <c r="D370" s="8" t="str">
        <f t="shared" si="36"/>
        <v>0PremiumSS5</v>
      </c>
      <c r="E370" s="10">
        <v>0</v>
      </c>
      <c r="F370" s="6">
        <v>480</v>
      </c>
      <c r="G370" s="8" t="str">
        <f>VLOOKUP(F370,[1]characters!$A:$C,3,FALSE)</f>
        <v>夢幻の愚者フール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blue</v>
      </c>
      <c r="K370" s="8" t="str">
        <f>VLOOKUP(F370,[1]characters!$A:$K,11,FALSE)</f>
        <v>technical</v>
      </c>
      <c r="L370" s="8" t="str">
        <f>VLOOKUP(F370,[1]characters!$A:$M,13,FALSE)</f>
        <v>god</v>
      </c>
      <c r="M370" s="16">
        <f>VLOOKUP(D370,gacha_179_base!A:B,2,FALSE)</f>
        <v>5</v>
      </c>
      <c r="N370" s="41">
        <f>IFERROR(VLOOKUP($F370,bug_conf_sheet!$A:$H,3,FALSE),VLOOKUP("other",bug_conf_sheet!$A:$H,3,FALSE))</f>
        <v>1</v>
      </c>
      <c r="O370" s="41">
        <f>IFERROR(VLOOKUP($F370,bug_conf_sheet!$A:$H,4,FALSE),VLOOKUP("other",bug_conf_sheet!$A:$H,4,FALSE))</f>
        <v>0</v>
      </c>
      <c r="P370" s="41">
        <f>IFERROR(VLOOKUP($F370,bug_conf_sheet!$A:$H,5,FALSE),VLOOKUP("other",bug_conf_sheet!$A:$H,5,FALSE))</f>
        <v>0</v>
      </c>
      <c r="Q370" s="41">
        <f>IFERROR(VLOOKUP($F370,bug_conf_sheet!$A:$H,6,FALSE),VLOOKUP("other",bug_conf_sheet!$A:$H,6,FALSE))</f>
        <v>0</v>
      </c>
      <c r="R370" s="41">
        <f>IFERROR(VLOOKUP($F370,bug_conf_sheet!$A:$H,7,FALSE),VLOOKUP("other",bug_conf_sheet!$A:$H,7,FALSE))</f>
        <v>0</v>
      </c>
      <c r="S370" s="41">
        <f>IFERROR(VLOOKUP($F370,bug_conf_sheet!$A:$H,8,FALSE),VLOOKUP("other",bug_conf_sheet!$A:$H,8,FALSE))</f>
        <v>1</v>
      </c>
    </row>
    <row r="371" spans="1:19" ht="21" customHeight="1">
      <c r="A371" s="7" t="str">
        <f t="shared" si="39"/>
        <v>1790482</v>
      </c>
      <c r="B371" s="2" t="str">
        <f t="shared" si="35"/>
        <v>1790</v>
      </c>
      <c r="C371" s="8" t="str">
        <f t="shared" si="40"/>
        <v>0PremiumS4</v>
      </c>
      <c r="D371" s="8" t="str">
        <f t="shared" si="36"/>
        <v>0PremiumS4</v>
      </c>
      <c r="E371" s="10">
        <v>0</v>
      </c>
      <c r="F371" s="6">
        <v>482</v>
      </c>
      <c r="G371" s="8" t="str">
        <f>VLOOKUP(F371,[1]characters!$A:$C,3,FALSE)</f>
        <v>魁僧 沢庵宗彭</v>
      </c>
      <c r="H371" s="8" t="str">
        <f>VLOOKUP(F371,[1]characters!$A:$J,10,FALSE)</f>
        <v>PremiumS</v>
      </c>
      <c r="I371" s="8">
        <f>VLOOKUP(F371,[1]characters!$A:$I,9,FALSE)</f>
        <v>4</v>
      </c>
      <c r="J371" s="8" t="str">
        <f>VLOOKUP(F371,[1]characters!$A:$H,8,FALSE)</f>
        <v>yellow</v>
      </c>
      <c r="K371" s="8" t="str">
        <f>VLOOKUP(F371,[1]characters!$A:$K,11,FALSE)</f>
        <v>hp</v>
      </c>
      <c r="L371" s="8" t="str">
        <f>VLOOKUP(F371,[1]characters!$A:$M,13,FALSE)</f>
        <v>human</v>
      </c>
      <c r="M371" s="16">
        <f>VLOOKUP(D371,gacha_179_base!A:B,2,FALSE)</f>
        <v>2075</v>
      </c>
      <c r="N371" s="41">
        <f>IFERROR(VLOOKUP($F371,bug_conf_sheet!$A:$H,3,FALSE),VLOOKUP("other",bug_conf_sheet!$A:$H,3,FALSE))</f>
        <v>1</v>
      </c>
      <c r="O371" s="41">
        <f>IFERROR(VLOOKUP($F371,bug_conf_sheet!$A:$H,4,FALSE),VLOOKUP("other",bug_conf_sheet!$A:$H,4,FALSE))</f>
        <v>0</v>
      </c>
      <c r="P371" s="41">
        <f>IFERROR(VLOOKUP($F371,bug_conf_sheet!$A:$H,5,FALSE),VLOOKUP("other",bug_conf_sheet!$A:$H,5,FALSE))</f>
        <v>0</v>
      </c>
      <c r="Q371" s="41">
        <f>IFERROR(VLOOKUP($F371,bug_conf_sheet!$A:$H,6,FALSE),VLOOKUP("other",bug_conf_sheet!$A:$H,6,FALSE))</f>
        <v>0</v>
      </c>
      <c r="R371" s="41">
        <f>IFERROR(VLOOKUP($F371,bug_conf_sheet!$A:$H,7,FALSE),VLOOKUP("other",bug_conf_sheet!$A:$H,7,FALSE))</f>
        <v>0</v>
      </c>
      <c r="S371" s="41">
        <f>IFERROR(VLOOKUP($F371,bug_conf_sheet!$A:$H,8,FALSE),VLOOKUP("other",bug_conf_sheet!$A:$H,8,FALSE))</f>
        <v>1</v>
      </c>
    </row>
    <row r="372" spans="1:19" ht="21" customHeight="1">
      <c r="A372" s="7" t="str">
        <f t="shared" si="39"/>
        <v>1790483</v>
      </c>
      <c r="B372" s="2" t="str">
        <f t="shared" si="35"/>
        <v>1790</v>
      </c>
      <c r="C372" s="8" t="str">
        <f t="shared" si="40"/>
        <v>0PremiumS5</v>
      </c>
      <c r="D372" s="8" t="str">
        <f t="shared" si="36"/>
        <v>0PremiumS5</v>
      </c>
      <c r="E372" s="10">
        <v>0</v>
      </c>
      <c r="F372" s="6">
        <v>483</v>
      </c>
      <c r="G372" s="8" t="str">
        <f>VLOOKUP(F372,[1]characters!$A:$C,3,FALSE)</f>
        <v xml:space="preserve">命経死遂 沢庵宗彭 </v>
      </c>
      <c r="H372" s="8" t="str">
        <f>VLOOKUP(F372,[1]characters!$A:$J,10,FALSE)</f>
        <v>PremiumS</v>
      </c>
      <c r="I372" s="8">
        <f>VLOOKUP(F372,[1]characters!$A:$I,9,FALSE)</f>
        <v>5</v>
      </c>
      <c r="J372" s="8" t="str">
        <f>VLOOKUP(F372,[1]characters!$A:$H,8,FALSE)</f>
        <v>yellow</v>
      </c>
      <c r="K372" s="8" t="str">
        <f>VLOOKUP(F372,[1]characters!$A:$K,11,FALSE)</f>
        <v>hp</v>
      </c>
      <c r="L372" s="8" t="str">
        <f>VLOOKUP(F372,[1]characters!$A:$M,13,FALSE)</f>
        <v>human</v>
      </c>
      <c r="M372" s="16">
        <f>VLOOKUP(D372,gacha_179_base!A:B,2,FALSE)</f>
        <v>156</v>
      </c>
      <c r="N372" s="41">
        <f>IFERROR(VLOOKUP($F372,bug_conf_sheet!$A:$H,3,FALSE),VLOOKUP("other",bug_conf_sheet!$A:$H,3,FALSE))</f>
        <v>1</v>
      </c>
      <c r="O372" s="41">
        <f>IFERROR(VLOOKUP($F372,bug_conf_sheet!$A:$H,4,FALSE),VLOOKUP("other",bug_conf_sheet!$A:$H,4,FALSE))</f>
        <v>0</v>
      </c>
      <c r="P372" s="41">
        <f>IFERROR(VLOOKUP($F372,bug_conf_sheet!$A:$H,5,FALSE),VLOOKUP("other",bug_conf_sheet!$A:$H,5,FALSE))</f>
        <v>0</v>
      </c>
      <c r="Q372" s="41">
        <f>IFERROR(VLOOKUP($F372,bug_conf_sheet!$A:$H,6,FALSE),VLOOKUP("other",bug_conf_sheet!$A:$H,6,FALSE))</f>
        <v>0</v>
      </c>
      <c r="R372" s="41">
        <f>IFERROR(VLOOKUP($F372,bug_conf_sheet!$A:$H,7,FALSE),VLOOKUP("other",bug_conf_sheet!$A:$H,7,FALSE))</f>
        <v>0</v>
      </c>
      <c r="S372" s="41">
        <f>IFERROR(VLOOKUP($F372,bug_conf_sheet!$A:$H,8,FALSE),VLOOKUP("other",bug_conf_sheet!$A:$H,8,FALSE))</f>
        <v>1</v>
      </c>
    </row>
    <row r="373" spans="1:19" ht="21" customHeight="1">
      <c r="A373" s="7" t="str">
        <f t="shared" ref="A373:A390" si="41">B373&amp;F373</f>
        <v>1790492</v>
      </c>
      <c r="B373" s="2" t="str">
        <f t="shared" si="35"/>
        <v>1790</v>
      </c>
      <c r="C373" s="8" t="str">
        <f t="shared" ref="C373:C388" si="42">E373&amp;H373&amp;I373</f>
        <v>0PremiumSS4</v>
      </c>
      <c r="D373" s="8" t="str">
        <f t="shared" si="36"/>
        <v>0PremiumSS4</v>
      </c>
      <c r="E373" s="10">
        <v>0</v>
      </c>
      <c r="F373" s="6">
        <v>492</v>
      </c>
      <c r="G373" s="8" t="str">
        <f>VLOOKUP(F373,[1]characters!$A:$C,3,FALSE)</f>
        <v>ブートレグ・ペロー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red</v>
      </c>
      <c r="K373" s="8" t="str">
        <f>VLOOKUP(F373,[1]characters!$A:$K,11,FALSE)</f>
        <v>hp</v>
      </c>
      <c r="L373" s="8" t="str">
        <f>VLOOKUP(F373,[1]characters!$A:$M,13,FALSE)</f>
        <v>animal</v>
      </c>
      <c r="M373" s="16">
        <f>VLOOKUP(D373,gacha_179_base!A:B,2,FALSE)</f>
        <v>72</v>
      </c>
      <c r="N373" s="41">
        <f>IFERROR(VLOOKUP($F373,bug_conf_sheet!$A:$H,3,FALSE),VLOOKUP("other",bug_conf_sheet!$A:$H,3,FALSE))</f>
        <v>1</v>
      </c>
      <c r="O373" s="41">
        <f>IFERROR(VLOOKUP($F373,bug_conf_sheet!$A:$H,4,FALSE),VLOOKUP("other",bug_conf_sheet!$A:$H,4,FALSE))</f>
        <v>0</v>
      </c>
      <c r="P373" s="41">
        <f>IFERROR(VLOOKUP($F373,bug_conf_sheet!$A:$H,5,FALSE),VLOOKUP("other",bug_conf_sheet!$A:$H,5,FALSE))</f>
        <v>0</v>
      </c>
      <c r="Q373" s="41">
        <f>IFERROR(VLOOKUP($F373,bug_conf_sheet!$A:$H,6,FALSE),VLOOKUP("other",bug_conf_sheet!$A:$H,6,FALSE))</f>
        <v>0</v>
      </c>
      <c r="R373" s="41">
        <f>IFERROR(VLOOKUP($F373,bug_conf_sheet!$A:$H,7,FALSE),VLOOKUP("other",bug_conf_sheet!$A:$H,7,FALSE))</f>
        <v>0</v>
      </c>
      <c r="S373" s="41">
        <f>IFERROR(VLOOKUP($F373,bug_conf_sheet!$A:$H,8,FALSE),VLOOKUP("other",bug_conf_sheet!$A:$H,8,FALSE))</f>
        <v>1</v>
      </c>
    </row>
    <row r="374" spans="1:19" ht="21" customHeight="1">
      <c r="A374" s="7" t="str">
        <f t="shared" si="41"/>
        <v>1790493</v>
      </c>
      <c r="B374" s="2" t="str">
        <f t="shared" si="35"/>
        <v>1790</v>
      </c>
      <c r="C374" s="8" t="str">
        <f t="shared" si="42"/>
        <v>0PremiumSS5</v>
      </c>
      <c r="D374" s="8" t="str">
        <f t="shared" si="36"/>
        <v>0PremiumSS5</v>
      </c>
      <c r="E374" s="10">
        <v>0</v>
      </c>
      <c r="F374" s="6">
        <v>493</v>
      </c>
      <c r="G374" s="8" t="str">
        <f>VLOOKUP(F374,[1]characters!$A:$C,3,FALSE)</f>
        <v>跋扈の機脚 ブートレグ・ペロー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red</v>
      </c>
      <c r="K374" s="8" t="str">
        <f>VLOOKUP(F374,[1]characters!$A:$K,11,FALSE)</f>
        <v>hp</v>
      </c>
      <c r="L374" s="8" t="str">
        <f>VLOOKUP(F374,[1]characters!$A:$M,13,FALSE)</f>
        <v>animal</v>
      </c>
      <c r="M374" s="16">
        <f>VLOOKUP(D374,gacha_179_base!A:B,2,FALSE)</f>
        <v>5</v>
      </c>
      <c r="N374" s="41">
        <f>IFERROR(VLOOKUP($F374,bug_conf_sheet!$A:$H,3,FALSE),VLOOKUP("other",bug_conf_sheet!$A:$H,3,FALSE))</f>
        <v>1</v>
      </c>
      <c r="O374" s="41">
        <f>IFERROR(VLOOKUP($F374,bug_conf_sheet!$A:$H,4,FALSE),VLOOKUP("other",bug_conf_sheet!$A:$H,4,FALSE))</f>
        <v>0</v>
      </c>
      <c r="P374" s="41">
        <f>IFERROR(VLOOKUP($F374,bug_conf_sheet!$A:$H,5,FALSE),VLOOKUP("other",bug_conf_sheet!$A:$H,5,FALSE))</f>
        <v>0</v>
      </c>
      <c r="Q374" s="41">
        <f>IFERROR(VLOOKUP($F374,bug_conf_sheet!$A:$H,6,FALSE),VLOOKUP("other",bug_conf_sheet!$A:$H,6,FALSE))</f>
        <v>0</v>
      </c>
      <c r="R374" s="41">
        <f>IFERROR(VLOOKUP($F374,bug_conf_sheet!$A:$H,7,FALSE),VLOOKUP("other",bug_conf_sheet!$A:$H,7,FALSE))</f>
        <v>0</v>
      </c>
      <c r="S374" s="41">
        <f>IFERROR(VLOOKUP($F374,bug_conf_sheet!$A:$H,8,FALSE),VLOOKUP("other",bug_conf_sheet!$A:$H,8,FALSE))</f>
        <v>1</v>
      </c>
    </row>
    <row r="375" spans="1:19" ht="21" customHeight="1">
      <c r="A375" s="7" t="str">
        <f t="shared" si="41"/>
        <v>1790494</v>
      </c>
      <c r="B375" s="2" t="str">
        <f t="shared" si="35"/>
        <v>1790</v>
      </c>
      <c r="C375" s="8" t="str">
        <f t="shared" si="42"/>
        <v>0PremiumSS4</v>
      </c>
      <c r="D375" s="8" t="str">
        <f t="shared" si="36"/>
        <v>0PremiumSS4</v>
      </c>
      <c r="E375" s="10">
        <v>0</v>
      </c>
      <c r="F375" s="6">
        <v>494</v>
      </c>
      <c r="G375" s="8" t="str">
        <f>VLOOKUP(F375,[1]characters!$A:$C,3,FALSE)</f>
        <v>ハーメルン</v>
      </c>
      <c r="H375" s="8" t="str">
        <f>VLOOKUP(F375,[1]characters!$A:$J,10,FALSE)</f>
        <v>PremiumSS</v>
      </c>
      <c r="I375" s="8">
        <f>VLOOKUP(F375,[1]characters!$A:$I,9,FALSE)</f>
        <v>4</v>
      </c>
      <c r="J375" s="8" t="str">
        <f>VLOOKUP(F375,[1]characters!$A:$H,8,FALSE)</f>
        <v>green</v>
      </c>
      <c r="K375" s="8" t="str">
        <f>VLOOKUP(F375,[1]characters!$A:$K,11,FALSE)</f>
        <v>technical</v>
      </c>
      <c r="L375" s="8" t="str">
        <f>VLOOKUP(F375,[1]characters!$A:$M,13,FALSE)</f>
        <v>human</v>
      </c>
      <c r="M375" s="16">
        <f>VLOOKUP(D375,gacha_179_base!A:B,2,FALSE)</f>
        <v>72</v>
      </c>
      <c r="N375" s="41">
        <f>IFERROR(VLOOKUP($F375,bug_conf_sheet!$A:$H,3,FALSE),VLOOKUP("other",bug_conf_sheet!$A:$H,3,FALSE))</f>
        <v>1</v>
      </c>
      <c r="O375" s="41">
        <f>IFERROR(VLOOKUP($F375,bug_conf_sheet!$A:$H,4,FALSE),VLOOKUP("other",bug_conf_sheet!$A:$H,4,FALSE))</f>
        <v>0</v>
      </c>
      <c r="P375" s="41">
        <f>IFERROR(VLOOKUP($F375,bug_conf_sheet!$A:$H,5,FALSE),VLOOKUP("other",bug_conf_sheet!$A:$H,5,FALSE))</f>
        <v>0</v>
      </c>
      <c r="Q375" s="41">
        <f>IFERROR(VLOOKUP($F375,bug_conf_sheet!$A:$H,6,FALSE),VLOOKUP("other",bug_conf_sheet!$A:$H,6,FALSE))</f>
        <v>0</v>
      </c>
      <c r="R375" s="41">
        <f>IFERROR(VLOOKUP($F375,bug_conf_sheet!$A:$H,7,FALSE),VLOOKUP("other",bug_conf_sheet!$A:$H,7,FALSE))</f>
        <v>0</v>
      </c>
      <c r="S375" s="41">
        <f>IFERROR(VLOOKUP($F375,bug_conf_sheet!$A:$H,8,FALSE),VLOOKUP("other",bug_conf_sheet!$A:$H,8,FALSE))</f>
        <v>1</v>
      </c>
    </row>
    <row r="376" spans="1:19" ht="21" customHeight="1">
      <c r="A376" s="7" t="str">
        <f t="shared" si="41"/>
        <v>1790495</v>
      </c>
      <c r="B376" s="2" t="str">
        <f t="shared" si="35"/>
        <v>1790</v>
      </c>
      <c r="C376" s="8" t="str">
        <f t="shared" si="42"/>
        <v>0PremiumSS5</v>
      </c>
      <c r="D376" s="8" t="str">
        <f t="shared" si="36"/>
        <v>0PremiumSS5</v>
      </c>
      <c r="E376" s="10">
        <v>0</v>
      </c>
      <c r="F376" s="6">
        <v>495</v>
      </c>
      <c r="G376" s="8" t="str">
        <f>VLOOKUP(F376,[1]characters!$A:$C,3,FALSE)</f>
        <v>鼠災呼ぶ笛音 ハーメルン</v>
      </c>
      <c r="H376" s="8" t="str">
        <f>VLOOKUP(F376,[1]characters!$A:$J,10,FALSE)</f>
        <v>PremiumSS</v>
      </c>
      <c r="I376" s="8">
        <f>VLOOKUP(F376,[1]characters!$A:$I,9,FALSE)</f>
        <v>5</v>
      </c>
      <c r="J376" s="8" t="str">
        <f>VLOOKUP(F376,[1]characters!$A:$H,8,FALSE)</f>
        <v>green</v>
      </c>
      <c r="K376" s="8" t="str">
        <f>VLOOKUP(F376,[1]characters!$A:$K,11,FALSE)</f>
        <v>technical</v>
      </c>
      <c r="L376" s="8" t="str">
        <f>VLOOKUP(F376,[1]characters!$A:$M,13,FALSE)</f>
        <v>human</v>
      </c>
      <c r="M376" s="16">
        <f>VLOOKUP(D376,gacha_179_base!A:B,2,FALSE)</f>
        <v>5</v>
      </c>
      <c r="N376" s="41">
        <f>IFERROR(VLOOKUP($F376,bug_conf_sheet!$A:$H,3,FALSE),VLOOKUP("other",bug_conf_sheet!$A:$H,3,FALSE))</f>
        <v>1</v>
      </c>
      <c r="O376" s="41">
        <f>IFERROR(VLOOKUP($F376,bug_conf_sheet!$A:$H,4,FALSE),VLOOKUP("other",bug_conf_sheet!$A:$H,4,FALSE))</f>
        <v>0</v>
      </c>
      <c r="P376" s="41">
        <f>IFERROR(VLOOKUP($F376,bug_conf_sheet!$A:$H,5,FALSE),VLOOKUP("other",bug_conf_sheet!$A:$H,5,FALSE))</f>
        <v>0</v>
      </c>
      <c r="Q376" s="41">
        <f>IFERROR(VLOOKUP($F376,bug_conf_sheet!$A:$H,6,FALSE),VLOOKUP("other",bug_conf_sheet!$A:$H,6,FALSE))</f>
        <v>0</v>
      </c>
      <c r="R376" s="41">
        <f>IFERROR(VLOOKUP($F376,bug_conf_sheet!$A:$H,7,FALSE),VLOOKUP("other",bug_conf_sheet!$A:$H,7,FALSE))</f>
        <v>0</v>
      </c>
      <c r="S376" s="41">
        <f>IFERROR(VLOOKUP($F376,bug_conf_sheet!$A:$H,8,FALSE),VLOOKUP("other",bug_conf_sheet!$A:$H,8,FALSE))</f>
        <v>1</v>
      </c>
    </row>
    <row r="377" spans="1:19" ht="21" customHeight="1">
      <c r="A377" s="7" t="str">
        <f t="shared" si="41"/>
        <v>1790497</v>
      </c>
      <c r="B377" s="2" t="str">
        <f t="shared" si="35"/>
        <v>1790</v>
      </c>
      <c r="C377" s="8" t="str">
        <f t="shared" si="42"/>
        <v>0PremiumS4</v>
      </c>
      <c r="D377" s="8" t="str">
        <f t="shared" si="36"/>
        <v>0PremiumS4</v>
      </c>
      <c r="E377" s="10">
        <v>0</v>
      </c>
      <c r="F377" s="6">
        <v>497</v>
      </c>
      <c r="G377" s="8" t="str">
        <f>VLOOKUP(F377,[1]characters!$A:$C,3,FALSE)</f>
        <v>偏愛の野獣 エスタブ</v>
      </c>
      <c r="H377" s="8" t="str">
        <f>VLOOKUP(F377,[1]characters!$A:$J,10,FALSE)</f>
        <v>PremiumS</v>
      </c>
      <c r="I377" s="8">
        <f>VLOOKUP(F377,[1]characters!$A:$I,9,FALSE)</f>
        <v>4</v>
      </c>
      <c r="J377" s="8" t="str">
        <f>VLOOKUP(F377,[1]characters!$A:$H,8,FALSE)</f>
        <v>blue</v>
      </c>
      <c r="K377" s="8" t="str">
        <f>VLOOKUP(F377,[1]characters!$A:$K,11,FALSE)</f>
        <v>attack</v>
      </c>
      <c r="L377" s="8" t="str">
        <f>VLOOKUP(F377,[1]characters!$A:$M,13,FALSE)</f>
        <v>human</v>
      </c>
      <c r="M377" s="16">
        <f>VLOOKUP(D377,gacha_179_base!A:B,2,FALSE)</f>
        <v>2075</v>
      </c>
      <c r="N377" s="41">
        <f>IFERROR(VLOOKUP($F377,bug_conf_sheet!$A:$H,3,FALSE),VLOOKUP("other",bug_conf_sheet!$A:$H,3,FALSE))</f>
        <v>1</v>
      </c>
      <c r="O377" s="41">
        <f>IFERROR(VLOOKUP($F377,bug_conf_sheet!$A:$H,4,FALSE),VLOOKUP("other",bug_conf_sheet!$A:$H,4,FALSE))</f>
        <v>0</v>
      </c>
      <c r="P377" s="41">
        <f>IFERROR(VLOOKUP($F377,bug_conf_sheet!$A:$H,5,FALSE),VLOOKUP("other",bug_conf_sheet!$A:$H,5,FALSE))</f>
        <v>0</v>
      </c>
      <c r="Q377" s="41">
        <f>IFERROR(VLOOKUP($F377,bug_conf_sheet!$A:$H,6,FALSE),VLOOKUP("other",bug_conf_sheet!$A:$H,6,FALSE))</f>
        <v>0</v>
      </c>
      <c r="R377" s="41">
        <f>IFERROR(VLOOKUP($F377,bug_conf_sheet!$A:$H,7,FALSE),VLOOKUP("other",bug_conf_sheet!$A:$H,7,FALSE))</f>
        <v>0</v>
      </c>
      <c r="S377" s="41">
        <f>IFERROR(VLOOKUP($F377,bug_conf_sheet!$A:$H,8,FALSE),VLOOKUP("other",bug_conf_sheet!$A:$H,8,FALSE))</f>
        <v>1</v>
      </c>
    </row>
    <row r="378" spans="1:19" ht="21" customHeight="1">
      <c r="A378" s="7" t="str">
        <f t="shared" si="41"/>
        <v>1790498</v>
      </c>
      <c r="B378" s="2" t="str">
        <f t="shared" si="35"/>
        <v>1790</v>
      </c>
      <c r="C378" s="8" t="str">
        <f t="shared" si="42"/>
        <v>0PremiumS5</v>
      </c>
      <c r="D378" s="8" t="str">
        <f t="shared" si="36"/>
        <v>0PremiumS5</v>
      </c>
      <c r="E378" s="10">
        <v>0</v>
      </c>
      <c r="F378" s="6">
        <v>498</v>
      </c>
      <c r="G378" s="8" t="str">
        <f>VLOOKUP(F378,[1]characters!$A:$C,3,FALSE)</f>
        <v>自愛の高魔 エスタブ</v>
      </c>
      <c r="H378" s="8" t="str">
        <f>VLOOKUP(F378,[1]characters!$A:$J,10,FALSE)</f>
        <v>PremiumS</v>
      </c>
      <c r="I378" s="8">
        <f>VLOOKUP(F378,[1]characters!$A:$I,9,FALSE)</f>
        <v>5</v>
      </c>
      <c r="J378" s="8" t="str">
        <f>VLOOKUP(F378,[1]characters!$A:$H,8,FALSE)</f>
        <v>blue</v>
      </c>
      <c r="K378" s="8" t="str">
        <f>VLOOKUP(F378,[1]characters!$A:$K,11,FALSE)</f>
        <v>attack</v>
      </c>
      <c r="L378" s="8" t="str">
        <f>VLOOKUP(F378,[1]characters!$A:$M,13,FALSE)</f>
        <v>human</v>
      </c>
      <c r="M378" s="16">
        <f>VLOOKUP(D378,gacha_179_base!A:B,2,FALSE)</f>
        <v>156</v>
      </c>
      <c r="N378" s="41">
        <f>IFERROR(VLOOKUP($F378,bug_conf_sheet!$A:$H,3,FALSE),VLOOKUP("other",bug_conf_sheet!$A:$H,3,FALSE))</f>
        <v>1</v>
      </c>
      <c r="O378" s="41">
        <f>IFERROR(VLOOKUP($F378,bug_conf_sheet!$A:$H,4,FALSE),VLOOKUP("other",bug_conf_sheet!$A:$H,4,FALSE))</f>
        <v>0</v>
      </c>
      <c r="P378" s="41">
        <f>IFERROR(VLOOKUP($F378,bug_conf_sheet!$A:$H,5,FALSE),VLOOKUP("other",bug_conf_sheet!$A:$H,5,FALSE))</f>
        <v>0</v>
      </c>
      <c r="Q378" s="41">
        <f>IFERROR(VLOOKUP($F378,bug_conf_sheet!$A:$H,6,FALSE),VLOOKUP("other",bug_conf_sheet!$A:$H,6,FALSE))</f>
        <v>0</v>
      </c>
      <c r="R378" s="41">
        <f>IFERROR(VLOOKUP($F378,bug_conf_sheet!$A:$H,7,FALSE),VLOOKUP("other",bug_conf_sheet!$A:$H,7,FALSE))</f>
        <v>0</v>
      </c>
      <c r="S378" s="41">
        <f>IFERROR(VLOOKUP($F378,bug_conf_sheet!$A:$H,8,FALSE),VLOOKUP("other",bug_conf_sheet!$A:$H,8,FALSE))</f>
        <v>1</v>
      </c>
    </row>
    <row r="379" spans="1:19" ht="21" customHeight="1">
      <c r="A379" s="7" t="str">
        <f t="shared" si="41"/>
        <v>1790499</v>
      </c>
      <c r="B379" s="2" t="str">
        <f t="shared" si="35"/>
        <v>1790</v>
      </c>
      <c r="C379" s="8" t="str">
        <f t="shared" si="42"/>
        <v>0PremiumSS4</v>
      </c>
      <c r="D379" s="8" t="str">
        <f t="shared" si="36"/>
        <v>0PremiumSS4</v>
      </c>
      <c r="E379" s="10">
        <v>0</v>
      </c>
      <c r="F379" s="6">
        <v>499</v>
      </c>
      <c r="G379" s="8" t="str">
        <f>VLOOKUP(F379,[1]characters!$A:$C,3,FALSE)</f>
        <v>ラプンツェル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yellow</v>
      </c>
      <c r="K379" s="8" t="str">
        <f>VLOOKUP(F379,[1]characters!$A:$K,11,FALSE)</f>
        <v>balance</v>
      </c>
      <c r="L379" s="8" t="str">
        <f>VLOOKUP(F379,[1]characters!$A:$M,13,FALSE)</f>
        <v>human</v>
      </c>
      <c r="M379" s="16">
        <f>VLOOKUP(D379,gacha_179_base!A:B,2,FALSE)</f>
        <v>72</v>
      </c>
      <c r="N379" s="41">
        <f>IFERROR(VLOOKUP($F379,bug_conf_sheet!$A:$H,3,FALSE),VLOOKUP("other",bug_conf_sheet!$A:$H,3,FALSE))</f>
        <v>1</v>
      </c>
      <c r="O379" s="41">
        <f>IFERROR(VLOOKUP($F379,bug_conf_sheet!$A:$H,4,FALSE),VLOOKUP("other",bug_conf_sheet!$A:$H,4,FALSE))</f>
        <v>0</v>
      </c>
      <c r="P379" s="41">
        <f>IFERROR(VLOOKUP($F379,bug_conf_sheet!$A:$H,5,FALSE),VLOOKUP("other",bug_conf_sheet!$A:$H,5,FALSE))</f>
        <v>0</v>
      </c>
      <c r="Q379" s="41">
        <f>IFERROR(VLOOKUP($F379,bug_conf_sheet!$A:$H,6,FALSE),VLOOKUP("other",bug_conf_sheet!$A:$H,6,FALSE))</f>
        <v>0</v>
      </c>
      <c r="R379" s="41">
        <f>IFERROR(VLOOKUP($F379,bug_conf_sheet!$A:$H,7,FALSE),VLOOKUP("other",bug_conf_sheet!$A:$H,7,FALSE))</f>
        <v>0</v>
      </c>
      <c r="S379" s="41">
        <f>IFERROR(VLOOKUP($F379,bug_conf_sheet!$A:$H,8,FALSE),VLOOKUP("other",bug_conf_sheet!$A:$H,8,FALSE))</f>
        <v>1</v>
      </c>
    </row>
    <row r="380" spans="1:19" ht="21" customHeight="1">
      <c r="A380" s="7" t="str">
        <f t="shared" si="41"/>
        <v>1790500</v>
      </c>
      <c r="B380" s="2" t="str">
        <f t="shared" si="35"/>
        <v>1790</v>
      </c>
      <c r="C380" s="8" t="str">
        <f t="shared" si="42"/>
        <v>0PremiumSS5</v>
      </c>
      <c r="D380" s="8" t="str">
        <f t="shared" si="36"/>
        <v>0PremiumSS5</v>
      </c>
      <c r="E380" s="10">
        <v>0</v>
      </c>
      <c r="F380" s="6">
        <v>500</v>
      </c>
      <c r="G380" s="8" t="str">
        <f>VLOOKUP(F380,[1]characters!$A:$C,3,FALSE)</f>
        <v>脈動の禁髪 ラプンツェル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yellow</v>
      </c>
      <c r="K380" s="8" t="str">
        <f>VLOOKUP(F380,[1]characters!$A:$K,11,FALSE)</f>
        <v>balance</v>
      </c>
      <c r="L380" s="8" t="str">
        <f>VLOOKUP(F380,[1]characters!$A:$M,13,FALSE)</f>
        <v>human</v>
      </c>
      <c r="M380" s="16">
        <f>VLOOKUP(D380,gacha_179_base!A:B,2,FALSE)</f>
        <v>5</v>
      </c>
      <c r="N380" s="41">
        <f>IFERROR(VLOOKUP($F380,bug_conf_sheet!$A:$H,3,FALSE),VLOOKUP("other",bug_conf_sheet!$A:$H,3,FALSE))</f>
        <v>1</v>
      </c>
      <c r="O380" s="41">
        <f>IFERROR(VLOOKUP($F380,bug_conf_sheet!$A:$H,4,FALSE),VLOOKUP("other",bug_conf_sheet!$A:$H,4,FALSE))</f>
        <v>0</v>
      </c>
      <c r="P380" s="41">
        <f>IFERROR(VLOOKUP($F380,bug_conf_sheet!$A:$H,5,FALSE),VLOOKUP("other",bug_conf_sheet!$A:$H,5,FALSE))</f>
        <v>0</v>
      </c>
      <c r="Q380" s="41">
        <f>IFERROR(VLOOKUP($F380,bug_conf_sheet!$A:$H,6,FALSE),VLOOKUP("other",bug_conf_sheet!$A:$H,6,FALSE))</f>
        <v>0</v>
      </c>
      <c r="R380" s="41">
        <f>IFERROR(VLOOKUP($F380,bug_conf_sheet!$A:$H,7,FALSE),VLOOKUP("other",bug_conf_sheet!$A:$H,7,FALSE))</f>
        <v>0</v>
      </c>
      <c r="S380" s="41">
        <f>IFERROR(VLOOKUP($F380,bug_conf_sheet!$A:$H,8,FALSE),VLOOKUP("other",bug_conf_sheet!$A:$H,8,FALSE))</f>
        <v>1</v>
      </c>
    </row>
    <row r="381" spans="1:19" ht="21" customHeight="1">
      <c r="A381" s="7" t="str">
        <f t="shared" si="41"/>
        <v>1790586</v>
      </c>
      <c r="B381" s="2" t="str">
        <f t="shared" si="35"/>
        <v>1790</v>
      </c>
      <c r="C381" s="8" t="str">
        <f t="shared" si="42"/>
        <v>0PremiumSS4</v>
      </c>
      <c r="D381" s="8" t="str">
        <f t="shared" si="36"/>
        <v>0PremiumSS4</v>
      </c>
      <c r="E381" s="10">
        <v>0</v>
      </c>
      <c r="F381" s="6">
        <v>586</v>
      </c>
      <c r="G381" s="8" t="str">
        <f>VLOOKUP(F381,[1]characters!$A:$C,3,FALSE)</f>
        <v>ユミル</v>
      </c>
      <c r="H381" s="8" t="str">
        <f>VLOOKUP(F381,[1]characters!$A:$J,10,FALSE)</f>
        <v>PremiumSS</v>
      </c>
      <c r="I381" s="8">
        <f>VLOOKUP(F381,[1]characters!$A:$I,9,FALSE)</f>
        <v>4</v>
      </c>
      <c r="J381" s="8" t="str">
        <f>VLOOKUP(F381,[1]characters!$A:$H,8,FALSE)</f>
        <v>red</v>
      </c>
      <c r="K381" s="8" t="str">
        <f>VLOOKUP(F381,[1]characters!$A:$K,11,FALSE)</f>
        <v>hp</v>
      </c>
      <c r="L381" s="8" t="str">
        <f>VLOOKUP(F381,[1]characters!$A:$M,13,FALSE)</f>
        <v>machine</v>
      </c>
      <c r="M381" s="16">
        <f>VLOOKUP(D381,gacha_179_base!A:B,2,FALSE)</f>
        <v>72</v>
      </c>
      <c r="N381" s="41">
        <f>IFERROR(VLOOKUP($F381,bug_conf_sheet!$A:$H,3,FALSE),VLOOKUP("other",bug_conf_sheet!$A:$H,3,FALSE))</f>
        <v>1</v>
      </c>
      <c r="O381" s="41">
        <f>IFERROR(VLOOKUP($F381,bug_conf_sheet!$A:$H,4,FALSE),VLOOKUP("other",bug_conf_sheet!$A:$H,4,FALSE))</f>
        <v>0</v>
      </c>
      <c r="P381" s="41">
        <f>IFERROR(VLOOKUP($F381,bug_conf_sheet!$A:$H,5,FALSE),VLOOKUP("other",bug_conf_sheet!$A:$H,5,FALSE))</f>
        <v>0</v>
      </c>
      <c r="Q381" s="41">
        <f>IFERROR(VLOOKUP($F381,bug_conf_sheet!$A:$H,6,FALSE),VLOOKUP("other",bug_conf_sheet!$A:$H,6,FALSE))</f>
        <v>0</v>
      </c>
      <c r="R381" s="41">
        <f>IFERROR(VLOOKUP($F381,bug_conf_sheet!$A:$H,7,FALSE),VLOOKUP("other",bug_conf_sheet!$A:$H,7,FALSE))</f>
        <v>0</v>
      </c>
      <c r="S381" s="41">
        <f>IFERROR(VLOOKUP($F381,bug_conf_sheet!$A:$H,8,FALSE),VLOOKUP("other",bug_conf_sheet!$A:$H,8,FALSE))</f>
        <v>1</v>
      </c>
    </row>
    <row r="382" spans="1:19" ht="21" customHeight="1">
      <c r="A382" s="7" t="str">
        <f t="shared" si="41"/>
        <v>1790587</v>
      </c>
      <c r="B382" s="2" t="str">
        <f t="shared" si="35"/>
        <v>1790</v>
      </c>
      <c r="C382" s="8" t="str">
        <f t="shared" si="42"/>
        <v>0PremiumSS5</v>
      </c>
      <c r="D382" s="8" t="str">
        <f t="shared" si="36"/>
        <v>0PremiumSS5</v>
      </c>
      <c r="E382" s="10">
        <v>0</v>
      </c>
      <c r="F382" s="6">
        <v>587</v>
      </c>
      <c r="G382" s="8" t="str">
        <f>VLOOKUP(F382,[1]characters!$A:$C,3,FALSE)</f>
        <v>原初の煉鋼巨刃 ユミル</v>
      </c>
      <c r="H382" s="8" t="str">
        <f>VLOOKUP(F382,[1]characters!$A:$J,10,FALSE)</f>
        <v>PremiumSS</v>
      </c>
      <c r="I382" s="8">
        <f>VLOOKUP(F382,[1]characters!$A:$I,9,FALSE)</f>
        <v>5</v>
      </c>
      <c r="J382" s="8" t="str">
        <f>VLOOKUP(F382,[1]characters!$A:$H,8,FALSE)</f>
        <v>red</v>
      </c>
      <c r="K382" s="8" t="str">
        <f>VLOOKUP(F382,[1]characters!$A:$K,11,FALSE)</f>
        <v>hp</v>
      </c>
      <c r="L382" s="8" t="str">
        <f>VLOOKUP(F382,[1]characters!$A:$M,13,FALSE)</f>
        <v>machine</v>
      </c>
      <c r="M382" s="16">
        <f>VLOOKUP(D382,gacha_179_base!A:B,2,FALSE)</f>
        <v>5</v>
      </c>
      <c r="N382" s="41">
        <f>IFERROR(VLOOKUP($F382,bug_conf_sheet!$A:$H,3,FALSE),VLOOKUP("other",bug_conf_sheet!$A:$H,3,FALSE))</f>
        <v>1</v>
      </c>
      <c r="O382" s="41">
        <f>IFERROR(VLOOKUP($F382,bug_conf_sheet!$A:$H,4,FALSE),VLOOKUP("other",bug_conf_sheet!$A:$H,4,FALSE))</f>
        <v>0</v>
      </c>
      <c r="P382" s="41">
        <f>IFERROR(VLOOKUP($F382,bug_conf_sheet!$A:$H,5,FALSE),VLOOKUP("other",bug_conf_sheet!$A:$H,5,FALSE))</f>
        <v>0</v>
      </c>
      <c r="Q382" s="41">
        <f>IFERROR(VLOOKUP($F382,bug_conf_sheet!$A:$H,6,FALSE),VLOOKUP("other",bug_conf_sheet!$A:$H,6,FALSE))</f>
        <v>0</v>
      </c>
      <c r="R382" s="41">
        <f>IFERROR(VLOOKUP($F382,bug_conf_sheet!$A:$H,7,FALSE),VLOOKUP("other",bug_conf_sheet!$A:$H,7,FALSE))</f>
        <v>0</v>
      </c>
      <c r="S382" s="41">
        <f>IFERROR(VLOOKUP($F382,bug_conf_sheet!$A:$H,8,FALSE),VLOOKUP("other",bug_conf_sheet!$A:$H,8,FALSE))</f>
        <v>1</v>
      </c>
    </row>
    <row r="383" spans="1:19" ht="21" customHeight="1">
      <c r="A383" s="7" t="str">
        <f t="shared" si="41"/>
        <v>1790589</v>
      </c>
      <c r="B383" s="2" t="str">
        <f t="shared" si="35"/>
        <v>1790</v>
      </c>
      <c r="C383" s="8" t="str">
        <f t="shared" si="42"/>
        <v>0PremiumS4</v>
      </c>
      <c r="D383" s="8" t="str">
        <f t="shared" si="36"/>
        <v>0PremiumS4</v>
      </c>
      <c r="E383" s="10">
        <v>0</v>
      </c>
      <c r="F383" s="6">
        <v>589</v>
      </c>
      <c r="G383" s="8" t="str">
        <f>VLOOKUP(F383,[1]characters!$A:$C,3,FALSE)</f>
        <v>不幸の円環 ニーベルゲン</v>
      </c>
      <c r="H383" s="8" t="str">
        <f>VLOOKUP(F383,[1]characters!$A:$J,10,FALSE)</f>
        <v>PremiumS</v>
      </c>
      <c r="I383" s="8">
        <f>VLOOKUP(F383,[1]characters!$A:$I,9,FALSE)</f>
        <v>4</v>
      </c>
      <c r="J383" s="8" t="str">
        <f>VLOOKUP(F383,[1]characters!$A:$H,8,FALSE)</f>
        <v>green</v>
      </c>
      <c r="K383" s="8" t="str">
        <f>VLOOKUP(F383,[1]characters!$A:$K,11,FALSE)</f>
        <v>balance</v>
      </c>
      <c r="L383" s="8" t="str">
        <f>VLOOKUP(F383,[1]characters!$A:$M,13,FALSE)</f>
        <v>unknown</v>
      </c>
      <c r="M383" s="16">
        <f>VLOOKUP(D383,gacha_179_base!A:B,2,FALSE)</f>
        <v>2075</v>
      </c>
      <c r="N383" s="41">
        <f>IFERROR(VLOOKUP($F383,bug_conf_sheet!$A:$H,3,FALSE),VLOOKUP("other",bug_conf_sheet!$A:$H,3,FALSE))</f>
        <v>1</v>
      </c>
      <c r="O383" s="41">
        <f>IFERROR(VLOOKUP($F383,bug_conf_sheet!$A:$H,4,FALSE),VLOOKUP("other",bug_conf_sheet!$A:$H,4,FALSE))</f>
        <v>0</v>
      </c>
      <c r="P383" s="41">
        <f>IFERROR(VLOOKUP($F383,bug_conf_sheet!$A:$H,5,FALSE),VLOOKUP("other",bug_conf_sheet!$A:$H,5,FALSE))</f>
        <v>0</v>
      </c>
      <c r="Q383" s="41">
        <f>IFERROR(VLOOKUP($F383,bug_conf_sheet!$A:$H,6,FALSE),VLOOKUP("other",bug_conf_sheet!$A:$H,6,FALSE))</f>
        <v>0</v>
      </c>
      <c r="R383" s="41">
        <f>IFERROR(VLOOKUP($F383,bug_conf_sheet!$A:$H,7,FALSE),VLOOKUP("other",bug_conf_sheet!$A:$H,7,FALSE))</f>
        <v>0</v>
      </c>
      <c r="S383" s="41">
        <f>IFERROR(VLOOKUP($F383,bug_conf_sheet!$A:$H,8,FALSE),VLOOKUP("other",bug_conf_sheet!$A:$H,8,FALSE))</f>
        <v>1</v>
      </c>
    </row>
    <row r="384" spans="1:19" ht="21" customHeight="1">
      <c r="A384" s="7" t="str">
        <f t="shared" si="41"/>
        <v>1790590</v>
      </c>
      <c r="B384" s="2" t="str">
        <f t="shared" si="35"/>
        <v>1790</v>
      </c>
      <c r="C384" s="8" t="str">
        <f t="shared" si="42"/>
        <v>0PremiumS5</v>
      </c>
      <c r="D384" s="8" t="str">
        <f t="shared" si="36"/>
        <v>0PremiumS5</v>
      </c>
      <c r="E384" s="10">
        <v>0</v>
      </c>
      <c r="F384" s="6">
        <v>590</v>
      </c>
      <c r="G384" s="8" t="str">
        <f>VLOOKUP(F384,[1]characters!$A:$C,3,FALSE)</f>
        <v>永遠を廻る呪い ニーベルゲン</v>
      </c>
      <c r="H384" s="8" t="str">
        <f>VLOOKUP(F384,[1]characters!$A:$J,10,FALSE)</f>
        <v>PremiumS</v>
      </c>
      <c r="I384" s="8">
        <f>VLOOKUP(F384,[1]characters!$A:$I,9,FALSE)</f>
        <v>5</v>
      </c>
      <c r="J384" s="8" t="str">
        <f>VLOOKUP(F384,[1]characters!$A:$H,8,FALSE)</f>
        <v>green</v>
      </c>
      <c r="K384" s="8" t="str">
        <f>VLOOKUP(F384,[1]characters!$A:$K,11,FALSE)</f>
        <v>balance</v>
      </c>
      <c r="L384" s="8" t="str">
        <f>VLOOKUP(F384,[1]characters!$A:$M,13,FALSE)</f>
        <v>unknown</v>
      </c>
      <c r="M384" s="16">
        <f>VLOOKUP(D384,gacha_179_base!A:B,2,FALSE)</f>
        <v>156</v>
      </c>
      <c r="N384" s="41">
        <f>IFERROR(VLOOKUP($F384,bug_conf_sheet!$A:$H,3,FALSE),VLOOKUP("other",bug_conf_sheet!$A:$H,3,FALSE))</f>
        <v>1</v>
      </c>
      <c r="O384" s="41">
        <f>IFERROR(VLOOKUP($F384,bug_conf_sheet!$A:$H,4,FALSE),VLOOKUP("other",bug_conf_sheet!$A:$H,4,FALSE))</f>
        <v>0</v>
      </c>
      <c r="P384" s="41">
        <f>IFERROR(VLOOKUP($F384,bug_conf_sheet!$A:$H,5,FALSE),VLOOKUP("other",bug_conf_sheet!$A:$H,5,FALSE))</f>
        <v>0</v>
      </c>
      <c r="Q384" s="41">
        <f>IFERROR(VLOOKUP($F384,bug_conf_sheet!$A:$H,6,FALSE),VLOOKUP("other",bug_conf_sheet!$A:$H,6,FALSE))</f>
        <v>0</v>
      </c>
      <c r="R384" s="41">
        <f>IFERROR(VLOOKUP($F384,bug_conf_sheet!$A:$H,7,FALSE),VLOOKUP("other",bug_conf_sheet!$A:$H,7,FALSE))</f>
        <v>0</v>
      </c>
      <c r="S384" s="41">
        <f>IFERROR(VLOOKUP($F384,bug_conf_sheet!$A:$H,8,FALSE),VLOOKUP("other",bug_conf_sheet!$A:$H,8,FALSE))</f>
        <v>1</v>
      </c>
    </row>
    <row r="385" spans="1:19" ht="21" customHeight="1">
      <c r="A385" s="7" t="str">
        <f t="shared" si="41"/>
        <v>1790592</v>
      </c>
      <c r="B385" s="2" t="str">
        <f t="shared" si="35"/>
        <v>1790</v>
      </c>
      <c r="C385" s="8" t="str">
        <f t="shared" si="42"/>
        <v>0PremiumS4</v>
      </c>
      <c r="D385" s="8" t="str">
        <f t="shared" si="36"/>
        <v>0PremiumS4</v>
      </c>
      <c r="E385" s="10">
        <v>0</v>
      </c>
      <c r="F385" s="6">
        <v>592</v>
      </c>
      <c r="G385" s="8" t="str">
        <f>VLOOKUP(F385,[1]characters!$A:$C,3,FALSE)</f>
        <v>財宝への執着 ファフニール</v>
      </c>
      <c r="H385" s="8" t="str">
        <f>VLOOKUP(F385,[1]characters!$A:$J,10,FALSE)</f>
        <v>PremiumS</v>
      </c>
      <c r="I385" s="8">
        <f>VLOOKUP(F385,[1]characters!$A:$I,9,FALSE)</f>
        <v>4</v>
      </c>
      <c r="J385" s="8" t="str">
        <f>VLOOKUP(F385,[1]characters!$A:$H,8,FALSE)</f>
        <v>blue</v>
      </c>
      <c r="K385" s="8" t="str">
        <f>VLOOKUP(F385,[1]characters!$A:$K,11,FALSE)</f>
        <v>technical</v>
      </c>
      <c r="L385" s="8" t="str">
        <f>VLOOKUP(F385,[1]characters!$A:$M,13,FALSE)</f>
        <v>dragon</v>
      </c>
      <c r="M385" s="16">
        <f>VLOOKUP(D385,gacha_179_base!A:B,2,FALSE)</f>
        <v>2075</v>
      </c>
      <c r="N385" s="41">
        <f>IFERROR(VLOOKUP($F385,bug_conf_sheet!$A:$H,3,FALSE),VLOOKUP("other",bug_conf_sheet!$A:$H,3,FALSE))</f>
        <v>1</v>
      </c>
      <c r="O385" s="41">
        <f>IFERROR(VLOOKUP($F385,bug_conf_sheet!$A:$H,4,FALSE),VLOOKUP("other",bug_conf_sheet!$A:$H,4,FALSE))</f>
        <v>0</v>
      </c>
      <c r="P385" s="41">
        <f>IFERROR(VLOOKUP($F385,bug_conf_sheet!$A:$H,5,FALSE),VLOOKUP("other",bug_conf_sheet!$A:$H,5,FALSE))</f>
        <v>0</v>
      </c>
      <c r="Q385" s="41">
        <f>IFERROR(VLOOKUP($F385,bug_conf_sheet!$A:$H,6,FALSE),VLOOKUP("other",bug_conf_sheet!$A:$H,6,FALSE))</f>
        <v>0</v>
      </c>
      <c r="R385" s="41">
        <f>IFERROR(VLOOKUP($F385,bug_conf_sheet!$A:$H,7,FALSE),VLOOKUP("other",bug_conf_sheet!$A:$H,7,FALSE))</f>
        <v>0</v>
      </c>
      <c r="S385" s="41">
        <f>IFERROR(VLOOKUP($F385,bug_conf_sheet!$A:$H,8,FALSE),VLOOKUP("other",bug_conf_sheet!$A:$H,8,FALSE))</f>
        <v>1</v>
      </c>
    </row>
    <row r="386" spans="1:19" ht="21" customHeight="1">
      <c r="A386" s="7" t="str">
        <f t="shared" si="41"/>
        <v>1790593</v>
      </c>
      <c r="B386" s="2" t="str">
        <f t="shared" si="35"/>
        <v>1790</v>
      </c>
      <c r="C386" s="8" t="str">
        <f t="shared" si="42"/>
        <v>0PremiumS5</v>
      </c>
      <c r="D386" s="8" t="str">
        <f t="shared" si="36"/>
        <v>0PremiumS5</v>
      </c>
      <c r="E386" s="10">
        <v>0</v>
      </c>
      <c r="F386" s="6">
        <v>593</v>
      </c>
      <c r="G386" s="8" t="str">
        <f>VLOOKUP(F386,[1]characters!$A:$C,3,FALSE)</f>
        <v>妄執する邪毒龍 ファフニール</v>
      </c>
      <c r="H386" s="8" t="str">
        <f>VLOOKUP(F386,[1]characters!$A:$J,10,FALSE)</f>
        <v>PremiumS</v>
      </c>
      <c r="I386" s="8">
        <f>VLOOKUP(F386,[1]characters!$A:$I,9,FALSE)</f>
        <v>5</v>
      </c>
      <c r="J386" s="8" t="str">
        <f>VLOOKUP(F386,[1]characters!$A:$H,8,FALSE)</f>
        <v>blue</v>
      </c>
      <c r="K386" s="8" t="str">
        <f>VLOOKUP(F386,[1]characters!$A:$K,11,FALSE)</f>
        <v>technical</v>
      </c>
      <c r="L386" s="8" t="str">
        <f>VLOOKUP(F386,[1]characters!$A:$M,13,FALSE)</f>
        <v>dragon</v>
      </c>
      <c r="M386" s="16">
        <f>VLOOKUP(D386,gacha_179_base!A:B,2,FALSE)</f>
        <v>156</v>
      </c>
      <c r="N386" s="41">
        <f>IFERROR(VLOOKUP($F386,bug_conf_sheet!$A:$H,3,FALSE),VLOOKUP("other",bug_conf_sheet!$A:$H,3,FALSE))</f>
        <v>1</v>
      </c>
      <c r="O386" s="41">
        <f>IFERROR(VLOOKUP($F386,bug_conf_sheet!$A:$H,4,FALSE),VLOOKUP("other",bug_conf_sheet!$A:$H,4,FALSE))</f>
        <v>0</v>
      </c>
      <c r="P386" s="41">
        <f>IFERROR(VLOOKUP($F386,bug_conf_sheet!$A:$H,5,FALSE),VLOOKUP("other",bug_conf_sheet!$A:$H,5,FALSE))</f>
        <v>0</v>
      </c>
      <c r="Q386" s="41">
        <f>IFERROR(VLOOKUP($F386,bug_conf_sheet!$A:$H,6,FALSE),VLOOKUP("other",bug_conf_sheet!$A:$H,6,FALSE))</f>
        <v>0</v>
      </c>
      <c r="R386" s="41">
        <f>IFERROR(VLOOKUP($F386,bug_conf_sheet!$A:$H,7,FALSE),VLOOKUP("other",bug_conf_sheet!$A:$H,7,FALSE))</f>
        <v>0</v>
      </c>
      <c r="S386" s="41">
        <f>IFERROR(VLOOKUP($F386,bug_conf_sheet!$A:$H,8,FALSE),VLOOKUP("other",bug_conf_sheet!$A:$H,8,FALSE))</f>
        <v>1</v>
      </c>
    </row>
    <row r="387" spans="1:19" ht="21" customHeight="1">
      <c r="A387" s="7" t="str">
        <f t="shared" si="41"/>
        <v>1790594</v>
      </c>
      <c r="B387" s="2" t="str">
        <f t="shared" ref="B387:B394" si="43">179&amp;E387</f>
        <v>1790</v>
      </c>
      <c r="C387" s="8" t="str">
        <f t="shared" si="42"/>
        <v>0PremiumSS4</v>
      </c>
      <c r="D387" s="8" t="str">
        <f t="shared" si="36"/>
        <v>0PremiumSS4</v>
      </c>
      <c r="E387" s="10">
        <v>0</v>
      </c>
      <c r="F387" s="6">
        <v>594</v>
      </c>
      <c r="G387" s="8" t="str">
        <f>VLOOKUP(F387,[1]characters!$A:$C,3,FALSE)</f>
        <v>アルフヘイム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yellow</v>
      </c>
      <c r="K387" s="8" t="str">
        <f>VLOOKUP(F387,[1]characters!$A:$K,11,FALSE)</f>
        <v>attack</v>
      </c>
      <c r="L387" s="8" t="str">
        <f>VLOOKUP(F387,[1]characters!$A:$M,13,FALSE)</f>
        <v>dragon</v>
      </c>
      <c r="M387" s="16">
        <f>VLOOKUP(D387,gacha_179_base!A:B,2,FALSE)</f>
        <v>72</v>
      </c>
      <c r="N387" s="41">
        <f>IFERROR(VLOOKUP($F387,bug_conf_sheet!$A:$H,3,FALSE),VLOOKUP("other",bug_conf_sheet!$A:$H,3,FALSE))</f>
        <v>1</v>
      </c>
      <c r="O387" s="41">
        <f>IFERROR(VLOOKUP($F387,bug_conf_sheet!$A:$H,4,FALSE),VLOOKUP("other",bug_conf_sheet!$A:$H,4,FALSE))</f>
        <v>0</v>
      </c>
      <c r="P387" s="41">
        <f>IFERROR(VLOOKUP($F387,bug_conf_sheet!$A:$H,5,FALSE),VLOOKUP("other",bug_conf_sheet!$A:$H,5,FALSE))</f>
        <v>0</v>
      </c>
      <c r="Q387" s="41">
        <f>IFERROR(VLOOKUP($F387,bug_conf_sheet!$A:$H,6,FALSE),VLOOKUP("other",bug_conf_sheet!$A:$H,6,FALSE))</f>
        <v>0</v>
      </c>
      <c r="R387" s="41">
        <f>IFERROR(VLOOKUP($F387,bug_conf_sheet!$A:$H,7,FALSE),VLOOKUP("other",bug_conf_sheet!$A:$H,7,FALSE))</f>
        <v>0</v>
      </c>
      <c r="S387" s="41">
        <f>IFERROR(VLOOKUP($F387,bug_conf_sheet!$A:$H,8,FALSE),VLOOKUP("other",bug_conf_sheet!$A:$H,8,FALSE))</f>
        <v>1</v>
      </c>
    </row>
    <row r="388" spans="1:19" ht="21" customHeight="1">
      <c r="A388" s="7" t="str">
        <f t="shared" si="41"/>
        <v>1790595</v>
      </c>
      <c r="B388" s="2" t="str">
        <f t="shared" si="43"/>
        <v>1790</v>
      </c>
      <c r="C388" s="8" t="str">
        <f t="shared" si="42"/>
        <v>0PremiumSS5</v>
      </c>
      <c r="D388" s="8" t="str">
        <f t="shared" si="36"/>
        <v>0PremiumSS5</v>
      </c>
      <c r="E388" s="10">
        <v>0</v>
      </c>
      <c r="F388" s="6">
        <v>595</v>
      </c>
      <c r="G388" s="8" t="str">
        <f>VLOOKUP(F388,[1]characters!$A:$C,3,FALSE)</f>
        <v>光華なる神域 アルフヘイム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yellow</v>
      </c>
      <c r="K388" s="8" t="str">
        <f>VLOOKUP(F388,[1]characters!$A:$K,11,FALSE)</f>
        <v>attack</v>
      </c>
      <c r="L388" s="8" t="str">
        <f>VLOOKUP(F388,[1]characters!$A:$M,13,FALSE)</f>
        <v>dragon</v>
      </c>
      <c r="M388" s="16">
        <f>VLOOKUP(D388,gacha_179_base!A:B,2,FALSE)</f>
        <v>5</v>
      </c>
      <c r="N388" s="41">
        <f>IFERROR(VLOOKUP($F388,bug_conf_sheet!$A:$H,3,FALSE),VLOOKUP("other",bug_conf_sheet!$A:$H,3,FALSE))</f>
        <v>1</v>
      </c>
      <c r="O388" s="41">
        <f>IFERROR(VLOOKUP($F388,bug_conf_sheet!$A:$H,4,FALSE),VLOOKUP("other",bug_conf_sheet!$A:$H,4,FALSE))</f>
        <v>0</v>
      </c>
      <c r="P388" s="41">
        <f>IFERROR(VLOOKUP($F388,bug_conf_sheet!$A:$H,5,FALSE),VLOOKUP("other",bug_conf_sheet!$A:$H,5,FALSE))</f>
        <v>0</v>
      </c>
      <c r="Q388" s="41">
        <f>IFERROR(VLOOKUP($F388,bug_conf_sheet!$A:$H,6,FALSE),VLOOKUP("other",bug_conf_sheet!$A:$H,6,FALSE))</f>
        <v>0</v>
      </c>
      <c r="R388" s="41">
        <f>IFERROR(VLOOKUP($F388,bug_conf_sheet!$A:$H,7,FALSE),VLOOKUP("other",bug_conf_sheet!$A:$H,7,FALSE))</f>
        <v>0</v>
      </c>
      <c r="S388" s="41">
        <f>IFERROR(VLOOKUP($F388,bug_conf_sheet!$A:$H,8,FALSE),VLOOKUP("other",bug_conf_sheet!$A:$H,8,FALSE))</f>
        <v>1</v>
      </c>
    </row>
    <row r="389" spans="1:19" ht="21" customHeight="1">
      <c r="A389" s="7" t="str">
        <f t="shared" si="41"/>
        <v>1790539</v>
      </c>
      <c r="B389" s="2" t="str">
        <f t="shared" si="43"/>
        <v>1790</v>
      </c>
      <c r="C389" s="8" t="str">
        <f t="shared" ref="C389:C390" si="44">E389&amp;H389&amp;I389</f>
        <v>0PremiumSSS4</v>
      </c>
      <c r="D389" s="8" t="str">
        <f t="shared" ref="D389:D394" si="45">E389&amp;H389&amp;I389&amp;"pick"</f>
        <v>0PremiumSSS4pick</v>
      </c>
      <c r="E389" s="5">
        <v>0</v>
      </c>
      <c r="F389" s="5">
        <v>539</v>
      </c>
      <c r="G389" s="8" t="str">
        <f>VLOOKUP(F389,[1]characters!$A:$C,3,FALSE)</f>
        <v>初音ミク・アペンド</v>
      </c>
      <c r="H389" s="8" t="str">
        <f>VLOOKUP(F389,[1]characters!$A:$J,10,FALSE)</f>
        <v>PremiumSSS</v>
      </c>
      <c r="I389" s="8">
        <f>VLOOKUP(F389,[1]characters!$A:$I,9,FALSE)</f>
        <v>4</v>
      </c>
      <c r="J389" s="8" t="str">
        <f>VLOOKUP(F389,[1]characters!$A:$H,8,FALSE)</f>
        <v>green</v>
      </c>
      <c r="K389" s="8" t="str">
        <f>VLOOKUP(F389,[1]characters!$A:$K,11,FALSE)</f>
        <v>technical</v>
      </c>
      <c r="L389" s="8" t="str">
        <f>VLOOKUP(F389,[1]characters!$A:$M,13,FALSE)</f>
        <v>unknown</v>
      </c>
      <c r="M389" s="16">
        <f>VLOOKUP(D389,gacha_179_base!A:B,2,FALSE)</f>
        <v>753</v>
      </c>
      <c r="N389" s="41">
        <f>IFERROR(VLOOKUP($F389,bug_conf_sheet!$A:$H,3,FALSE),VLOOKUP("other",bug_conf_sheet!$A:$H,3,FALSE))</f>
        <v>1</v>
      </c>
      <c r="O389" s="41">
        <f>IFERROR(VLOOKUP($F389,bug_conf_sheet!$A:$H,4,FALSE),VLOOKUP("other",bug_conf_sheet!$A:$H,4,FALSE))</f>
        <v>0</v>
      </c>
      <c r="P389" s="41">
        <f>IFERROR(VLOOKUP($F389,bug_conf_sheet!$A:$H,5,FALSE),VLOOKUP("other",bug_conf_sheet!$A:$H,5,FALSE))</f>
        <v>0</v>
      </c>
      <c r="Q389" s="41">
        <f>IFERROR(VLOOKUP($F389,bug_conf_sheet!$A:$H,6,FALSE),VLOOKUP("other",bug_conf_sheet!$A:$H,6,FALSE))</f>
        <v>0</v>
      </c>
      <c r="R389" s="41">
        <f>IFERROR(VLOOKUP($F389,bug_conf_sheet!$A:$H,7,FALSE),VLOOKUP("other",bug_conf_sheet!$A:$H,7,FALSE))</f>
        <v>0</v>
      </c>
      <c r="S389" s="41">
        <f>IFERROR(VLOOKUP($F389,bug_conf_sheet!$A:$H,8,FALSE),VLOOKUP("other",bug_conf_sheet!$A:$H,8,FALSE))</f>
        <v>5</v>
      </c>
    </row>
    <row r="390" spans="1:19" ht="21" customHeight="1">
      <c r="A390" s="7" t="str">
        <f t="shared" si="41"/>
        <v>1790540</v>
      </c>
      <c r="B390" s="2" t="str">
        <f t="shared" si="43"/>
        <v>1790</v>
      </c>
      <c r="C390" s="8" t="str">
        <f t="shared" si="44"/>
        <v>0PremiumSSS5</v>
      </c>
      <c r="D390" s="8" t="str">
        <f t="shared" si="45"/>
        <v>0PremiumSSS5pick</v>
      </c>
      <c r="E390" s="5">
        <v>0</v>
      </c>
      <c r="F390" s="5">
        <v>540</v>
      </c>
      <c r="G390" s="8" t="str">
        <f>VLOOKUP(F390,[1]characters!$A:$C,3,FALSE)</f>
        <v>来訪の歌姫 初音ミク・アペンド</v>
      </c>
      <c r="H390" s="8" t="str">
        <f>VLOOKUP(F390,[1]characters!$A:$J,10,FALSE)</f>
        <v>PremiumSSS</v>
      </c>
      <c r="I390" s="8">
        <f>VLOOKUP(F390,[1]characters!$A:$I,9,FALSE)</f>
        <v>5</v>
      </c>
      <c r="J390" s="8" t="str">
        <f>VLOOKUP(F390,[1]characters!$A:$H,8,FALSE)</f>
        <v>green</v>
      </c>
      <c r="K390" s="8" t="str">
        <f>VLOOKUP(F390,[1]characters!$A:$K,11,FALSE)</f>
        <v>technical</v>
      </c>
      <c r="L390" s="8" t="str">
        <f>VLOOKUP(F390,[1]characters!$A:$M,13,FALSE)</f>
        <v>unknown</v>
      </c>
      <c r="M390" s="16">
        <f>VLOOKUP(D390,gacha_179_base!A:B,2,FALSE)</f>
        <v>57</v>
      </c>
      <c r="N390" s="41">
        <f>IFERROR(VLOOKUP($F390,bug_conf_sheet!$A:$H,3,FALSE),VLOOKUP("other",bug_conf_sheet!$A:$H,3,FALSE))</f>
        <v>1</v>
      </c>
      <c r="O390" s="41">
        <f>IFERROR(VLOOKUP($F390,bug_conf_sheet!$A:$H,4,FALSE),VLOOKUP("other",bug_conf_sheet!$A:$H,4,FALSE))</f>
        <v>0</v>
      </c>
      <c r="P390" s="41">
        <f>IFERROR(VLOOKUP($F390,bug_conf_sheet!$A:$H,5,FALSE),VLOOKUP("other",bug_conf_sheet!$A:$H,5,FALSE))</f>
        <v>0</v>
      </c>
      <c r="Q390" s="41">
        <f>IFERROR(VLOOKUP($F390,bug_conf_sheet!$A:$H,6,FALSE),VLOOKUP("other",bug_conf_sheet!$A:$H,6,FALSE))</f>
        <v>0</v>
      </c>
      <c r="R390" s="41">
        <f>IFERROR(VLOOKUP($F390,bug_conf_sheet!$A:$H,7,FALSE),VLOOKUP("other",bug_conf_sheet!$A:$H,7,FALSE))</f>
        <v>0</v>
      </c>
      <c r="S390" s="41">
        <f>IFERROR(VLOOKUP($F390,bug_conf_sheet!$A:$H,8,FALSE),VLOOKUP("other",bug_conf_sheet!$A:$H,8,FALSE))</f>
        <v>5</v>
      </c>
    </row>
    <row r="391" spans="1:19" ht="21" customHeight="1">
      <c r="A391" s="7" t="str">
        <f t="shared" ref="A391:A392" si="46">B391&amp;F391</f>
        <v>1790545</v>
      </c>
      <c r="B391" s="2" t="str">
        <f t="shared" si="43"/>
        <v>1790</v>
      </c>
      <c r="C391" s="8" t="str">
        <f t="shared" ref="C391:C392" si="47">E391&amp;H391&amp;I391</f>
        <v>0PremiumSS4</v>
      </c>
      <c r="D391" s="8" t="str">
        <f t="shared" si="45"/>
        <v>0PremiumSS4pick</v>
      </c>
      <c r="E391" s="5">
        <v>0</v>
      </c>
      <c r="F391" s="5">
        <v>545</v>
      </c>
      <c r="G391" s="8" t="str">
        <f>VLOOKUP(F391,[1]characters!$A:$C,3,FALSE)</f>
        <v>鏡音レン</v>
      </c>
      <c r="H391" s="8" t="str">
        <f>VLOOKUP(F391,[1]characters!$A:$J,10,FALSE)</f>
        <v>PremiumSS</v>
      </c>
      <c r="I391" s="8">
        <f>VLOOKUP(F391,[1]characters!$A:$I,9,FALSE)</f>
        <v>4</v>
      </c>
      <c r="J391" s="8" t="str">
        <f>VLOOKUP(F391,[1]characters!$A:$H,8,FALSE)</f>
        <v>yellow</v>
      </c>
      <c r="K391" s="8" t="str">
        <f>VLOOKUP(F391,[1]characters!$A:$K,11,FALSE)</f>
        <v>heal</v>
      </c>
      <c r="L391" s="8" t="str">
        <f>VLOOKUP(F391,[1]characters!$A:$M,13,FALSE)</f>
        <v>unknown</v>
      </c>
      <c r="M391" s="16">
        <f>VLOOKUP(D391,gacha_179_base!A:B,2,FALSE)</f>
        <v>6026</v>
      </c>
      <c r="N391" s="41">
        <f>IFERROR(VLOOKUP($F391,bug_conf_sheet!$A:$H,3,FALSE),VLOOKUP("other",bug_conf_sheet!$A:$H,3,FALSE))</f>
        <v>1</v>
      </c>
      <c r="O391" s="41">
        <f>IFERROR(VLOOKUP($F391,bug_conf_sheet!$A:$H,4,FALSE),VLOOKUP("other",bug_conf_sheet!$A:$H,4,FALSE))</f>
        <v>0</v>
      </c>
      <c r="P391" s="41">
        <f>IFERROR(VLOOKUP($F391,bug_conf_sheet!$A:$H,5,FALSE),VLOOKUP("other",bug_conf_sheet!$A:$H,5,FALSE))</f>
        <v>0</v>
      </c>
      <c r="Q391" s="41">
        <f>IFERROR(VLOOKUP($F391,bug_conf_sheet!$A:$H,6,FALSE),VLOOKUP("other",bug_conf_sheet!$A:$H,6,FALSE))</f>
        <v>0</v>
      </c>
      <c r="R391" s="41">
        <f>IFERROR(VLOOKUP($F391,bug_conf_sheet!$A:$H,7,FALSE),VLOOKUP("other",bug_conf_sheet!$A:$H,7,FALSE))</f>
        <v>0</v>
      </c>
      <c r="S391" s="41">
        <f>IFERROR(VLOOKUP($F391,bug_conf_sheet!$A:$H,8,FALSE),VLOOKUP("other",bug_conf_sheet!$A:$H,8,FALSE))</f>
        <v>5</v>
      </c>
    </row>
    <row r="392" spans="1:19" ht="21" customHeight="1">
      <c r="A392" s="7" t="str">
        <f t="shared" si="46"/>
        <v>1790546</v>
      </c>
      <c r="B392" s="2" t="str">
        <f t="shared" si="43"/>
        <v>1790</v>
      </c>
      <c r="C392" s="8" t="str">
        <f t="shared" si="47"/>
        <v>0PremiumSS5</v>
      </c>
      <c r="D392" s="8" t="str">
        <f t="shared" si="45"/>
        <v>0PremiumSS5pick</v>
      </c>
      <c r="E392" s="5">
        <v>0</v>
      </c>
      <c r="F392" s="5">
        <v>546</v>
      </c>
      <c r="G392" s="8" t="str">
        <f>VLOOKUP(F392,[1]characters!$A:$C,3,FALSE)</f>
        <v>残響の連符 鏡音レン</v>
      </c>
      <c r="H392" s="8" t="str">
        <f>VLOOKUP(F392,[1]characters!$A:$J,10,FALSE)</f>
        <v>PremiumSS</v>
      </c>
      <c r="I392" s="8">
        <f>VLOOKUP(F392,[1]characters!$A:$I,9,FALSE)</f>
        <v>5</v>
      </c>
      <c r="J392" s="8" t="str">
        <f>VLOOKUP(F392,[1]characters!$A:$H,8,FALSE)</f>
        <v>yellow</v>
      </c>
      <c r="K392" s="8" t="str">
        <f>VLOOKUP(F392,[1]characters!$A:$K,11,FALSE)</f>
        <v>heal</v>
      </c>
      <c r="L392" s="8" t="str">
        <f>VLOOKUP(F392,[1]characters!$A:$M,13,FALSE)</f>
        <v>unknown</v>
      </c>
      <c r="M392" s="16">
        <f>VLOOKUP(D392,gacha_179_base!A:B,2,FALSE)</f>
        <v>454</v>
      </c>
      <c r="N392" s="41">
        <f>IFERROR(VLOOKUP($F392,bug_conf_sheet!$A:$H,3,FALSE),VLOOKUP("other",bug_conf_sheet!$A:$H,3,FALSE))</f>
        <v>1</v>
      </c>
      <c r="O392" s="41">
        <f>IFERROR(VLOOKUP($F392,bug_conf_sheet!$A:$H,4,FALSE),VLOOKUP("other",bug_conf_sheet!$A:$H,4,FALSE))</f>
        <v>0</v>
      </c>
      <c r="P392" s="41">
        <f>IFERROR(VLOOKUP($F392,bug_conf_sheet!$A:$H,5,FALSE),VLOOKUP("other",bug_conf_sheet!$A:$H,5,FALSE))</f>
        <v>0</v>
      </c>
      <c r="Q392" s="41">
        <f>IFERROR(VLOOKUP($F392,bug_conf_sheet!$A:$H,6,FALSE),VLOOKUP("other",bug_conf_sheet!$A:$H,6,FALSE))</f>
        <v>0</v>
      </c>
      <c r="R392" s="41">
        <f>IFERROR(VLOOKUP($F392,bug_conf_sheet!$A:$H,7,FALSE),VLOOKUP("other",bug_conf_sheet!$A:$H,7,FALSE))</f>
        <v>0</v>
      </c>
      <c r="S392" s="41">
        <f>IFERROR(VLOOKUP($F392,bug_conf_sheet!$A:$H,8,FALSE),VLOOKUP("other",bug_conf_sheet!$A:$H,8,FALSE))</f>
        <v>5</v>
      </c>
    </row>
    <row r="393" spans="1:19" ht="21" customHeight="1">
      <c r="A393" s="7" t="str">
        <f t="shared" ref="A393" si="48">B393&amp;F393</f>
        <v>1790548</v>
      </c>
      <c r="B393" s="2" t="str">
        <f t="shared" si="43"/>
        <v>1790</v>
      </c>
      <c r="C393" s="8" t="str">
        <f t="shared" ref="C393" si="49">E393&amp;H393&amp;I393</f>
        <v>0PremiumS4</v>
      </c>
      <c r="D393" s="8" t="str">
        <f t="shared" si="45"/>
        <v>0PremiumS4pick</v>
      </c>
      <c r="E393" s="5">
        <v>0</v>
      </c>
      <c r="F393" s="5">
        <v>548</v>
      </c>
      <c r="G393" s="8" t="str">
        <f>VLOOKUP(F393,[1]characters!$A:$C,3,FALSE)</f>
        <v>乱舞の音環 巡音ルカ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red</v>
      </c>
      <c r="K393" s="8" t="str">
        <f>VLOOKUP(F393,[1]characters!$A:$K,11,FALSE)</f>
        <v>attack</v>
      </c>
      <c r="L393" s="8" t="str">
        <f>VLOOKUP(F393,[1]characters!$A:$M,13,FALSE)</f>
        <v>unknown</v>
      </c>
      <c r="M393" s="16">
        <v>9720</v>
      </c>
      <c r="N393" s="41">
        <f>IFERROR(VLOOKUP($F393,bug_conf_sheet!$A:$H,3,FALSE),VLOOKUP("other",bug_conf_sheet!$A:$H,3,FALSE))</f>
        <v>1</v>
      </c>
      <c r="O393" s="41">
        <f>IFERROR(VLOOKUP($F393,bug_conf_sheet!$A:$H,4,FALSE),VLOOKUP("other",bug_conf_sheet!$A:$H,4,FALSE))</f>
        <v>0</v>
      </c>
      <c r="P393" s="41">
        <f>IFERROR(VLOOKUP($F393,bug_conf_sheet!$A:$H,5,FALSE),VLOOKUP("other",bug_conf_sheet!$A:$H,5,FALSE))</f>
        <v>0</v>
      </c>
      <c r="Q393" s="41">
        <f>IFERROR(VLOOKUP($F393,bug_conf_sheet!$A:$H,6,FALSE),VLOOKUP("other",bug_conf_sheet!$A:$H,6,FALSE))</f>
        <v>0</v>
      </c>
      <c r="R393" s="41">
        <f>IFERROR(VLOOKUP($F393,bug_conf_sheet!$A:$H,7,FALSE),VLOOKUP("other",bug_conf_sheet!$A:$H,7,FALSE))</f>
        <v>0</v>
      </c>
      <c r="S393" s="41">
        <f>IFERROR(VLOOKUP($F393,bug_conf_sheet!$A:$H,8,FALSE),VLOOKUP("other",bug_conf_sheet!$A:$H,8,FALSE))</f>
        <v>5</v>
      </c>
    </row>
    <row r="394" spans="1:19" ht="21" customHeight="1">
      <c r="A394" s="7" t="str">
        <f t="shared" ref="A394" si="50">B394&amp;F394</f>
        <v>1790552</v>
      </c>
      <c r="B394" s="2" t="str">
        <f t="shared" si="43"/>
        <v>1790</v>
      </c>
      <c r="C394" s="8" t="str">
        <f t="shared" ref="C394" si="51">E394&amp;H394&amp;I394</f>
        <v>0PremiumS4</v>
      </c>
      <c r="D394" s="8" t="str">
        <f t="shared" si="45"/>
        <v>0PremiumS4pick</v>
      </c>
      <c r="E394" s="5">
        <v>0</v>
      </c>
      <c r="F394" s="5">
        <v>552</v>
      </c>
      <c r="G394" s="8" t="str">
        <f>VLOOKUP(F394,[1]characters!$A:$C,3,FALSE)</f>
        <v>愉悦の愛唱 KAITO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blue</v>
      </c>
      <c r="K394" s="8" t="str">
        <f>VLOOKUP(F394,[1]characters!$A:$K,11,FALSE)</f>
        <v>technical</v>
      </c>
      <c r="L394" s="8" t="str">
        <f>VLOOKUP(F394,[1]characters!$A:$M,13,FALSE)</f>
        <v>unknown</v>
      </c>
      <c r="M394" s="16">
        <v>16200</v>
      </c>
      <c r="N394" s="41">
        <f>IFERROR(VLOOKUP($F394,bug_conf_sheet!$A:$H,3,FALSE),VLOOKUP("other",bug_conf_sheet!$A:$H,3,FALSE))</f>
        <v>1</v>
      </c>
      <c r="O394" s="41">
        <f>IFERROR(VLOOKUP($F394,bug_conf_sheet!$A:$H,4,FALSE),VLOOKUP("other",bug_conf_sheet!$A:$H,4,FALSE))</f>
        <v>0</v>
      </c>
      <c r="P394" s="41">
        <f>IFERROR(VLOOKUP($F394,bug_conf_sheet!$A:$H,5,FALSE),VLOOKUP("other",bug_conf_sheet!$A:$H,5,FALSE))</f>
        <v>0</v>
      </c>
      <c r="Q394" s="41">
        <f>IFERROR(VLOOKUP($F394,bug_conf_sheet!$A:$H,6,FALSE),VLOOKUP("other",bug_conf_sheet!$A:$H,6,FALSE))</f>
        <v>0</v>
      </c>
      <c r="R394" s="41">
        <f>IFERROR(VLOOKUP($F394,bug_conf_sheet!$A:$H,7,FALSE),VLOOKUP("other",bug_conf_sheet!$A:$H,7,FALSE))</f>
        <v>0</v>
      </c>
      <c r="S394" s="41">
        <f>IFERROR(VLOOKUP($F394,bug_conf_sheet!$A:$H,8,FALSE),VLOOKUP("other",bug_conf_sheet!$A:$H,8,FALSE))</f>
        <v>5</v>
      </c>
    </row>
  </sheetData>
  <autoFilter ref="A1:S394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9"/>
  <sheetViews>
    <sheetView showGridLines="0" workbookViewId="0">
      <pane ySplit="1" topLeftCell="A2" activePane="bottomLeft" state="frozen"/>
      <selection activeCell="M24" sqref="M24"/>
      <selection pane="bottomLeft" activeCell="E2" sqref="E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B2" s="2">
        <v>1793</v>
      </c>
      <c r="C2" s="8" t="str">
        <f>D2&amp;G2&amp;H2</f>
        <v>PremiumSSS4</v>
      </c>
      <c r="E2" s="5">
        <v>539</v>
      </c>
      <c r="F2" s="8" t="str">
        <f>VLOOKUP(E2,[1]characters!$A:$C,3,FALSE)</f>
        <v>初音ミク・アペンド</v>
      </c>
      <c r="G2" s="8" t="str">
        <f>VLOOKUP(E2,[1]characters!$A:$J,10,FALSE)</f>
        <v>PremiumSSS</v>
      </c>
      <c r="H2" s="8">
        <f>VLOOKUP(E2,[1]characters!$A:$I,9,FALSE)</f>
        <v>4</v>
      </c>
      <c r="I2" s="8" t="str">
        <f>VLOOKUP(E2,[1]characters!$A:$H,8,FALSE)</f>
        <v>green</v>
      </c>
      <c r="J2" s="8" t="str">
        <f>VLOOKUP(E2,[1]characters!$A:$K,11,FALSE)</f>
        <v>technical</v>
      </c>
      <c r="K2" s="8" t="str">
        <f>VLOOKUP(E2,[1]characters!$A:$M,13,FALSE)</f>
        <v>unknown</v>
      </c>
      <c r="L2" s="39">
        <v>100</v>
      </c>
      <c r="M2" s="41">
        <f>IFERROR(VLOOKUP(E2,bug_conf_sheet!$A:$H,3,FALSE),VLOOKUP("other",bug_conf_sheet!$A:$H,3,FALSE))</f>
        <v>1</v>
      </c>
      <c r="N2" s="41">
        <f>IFERROR(VLOOKUP(E2,bug_conf_sheet!$A:$H,4,FALSE),VLOOKUP("other",bug_conf_sheet!$A:$H,4,FALSE))</f>
        <v>0</v>
      </c>
      <c r="O2" s="41">
        <f>IFERROR(VLOOKUP(E2,bug_conf_sheet!$A:$H,5,FALSE),VLOOKUP("other",bug_conf_sheet!$A:$H,5,FALSE))</f>
        <v>0</v>
      </c>
      <c r="P2" s="41">
        <f>IFERROR(VLOOKUP(E2,bug_conf_sheet!$A:$H,6,FALSE),VLOOKUP("other",bug_conf_sheet!$A:$H,6,FALSE))</f>
        <v>0</v>
      </c>
      <c r="Q2" s="41">
        <f>IFERROR(VLOOKUP(E2,bug_conf_sheet!$A:$H,7,FALSE),VLOOKUP("other",bug_conf_sheet!$A:$H,7,FALSE))</f>
        <v>0</v>
      </c>
      <c r="R2" s="41">
        <f>IFERROR(VLOOKUP(E2,bug_conf_sheet!$A:$H,8,FALSE),VLOOKUP("other",bug_conf_sheet!$A:$H,8,FALSE))</f>
        <v>5</v>
      </c>
    </row>
    <row r="3" spans="1:18" ht="21" customHeight="1">
      <c r="B3" s="2"/>
      <c r="C3" s="8"/>
      <c r="E3" s="5"/>
      <c r="F3" s="8"/>
      <c r="G3" s="8"/>
      <c r="H3" s="8"/>
      <c r="I3" s="8"/>
      <c r="J3" s="8"/>
      <c r="K3" s="8"/>
      <c r="L3" s="39"/>
      <c r="M3" s="41"/>
      <c r="N3" s="41"/>
      <c r="O3" s="41"/>
      <c r="P3" s="41"/>
      <c r="Q3" s="41"/>
      <c r="R3" s="41"/>
    </row>
    <row r="4" spans="1:18" ht="21" customHeight="1">
      <c r="B4" s="2"/>
      <c r="C4" s="8"/>
      <c r="E4" s="6"/>
      <c r="F4" s="8"/>
      <c r="G4" s="8"/>
      <c r="H4" s="8"/>
      <c r="I4" s="8"/>
      <c r="J4" s="8"/>
      <c r="K4" s="8"/>
      <c r="L4" s="39"/>
      <c r="M4" s="41"/>
      <c r="N4" s="41"/>
      <c r="O4" s="41"/>
      <c r="P4" s="41"/>
      <c r="Q4" s="41"/>
      <c r="R4" s="41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9"/>
      <c r="M5" s="41"/>
      <c r="N5" s="41"/>
      <c r="O5" s="41"/>
      <c r="P5" s="41"/>
      <c r="Q5" s="41"/>
      <c r="R5" s="41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9"/>
      <c r="M6" s="41"/>
      <c r="N6" s="41"/>
      <c r="O6" s="41"/>
      <c r="P6" s="41"/>
      <c r="Q6" s="41"/>
      <c r="R6" s="41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9"/>
      <c r="M7" s="41"/>
      <c r="N7" s="41"/>
      <c r="O7" s="41"/>
      <c r="P7" s="41"/>
      <c r="Q7" s="41"/>
      <c r="R7" s="41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9"/>
      <c r="M8" s="41"/>
      <c r="N8" s="41"/>
      <c r="O8" s="41"/>
      <c r="P8" s="41"/>
      <c r="Q8" s="41"/>
      <c r="R8" s="41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9"/>
      <c r="M9" s="41"/>
      <c r="N9" s="41"/>
      <c r="O9" s="41"/>
      <c r="P9" s="41"/>
      <c r="Q9" s="41"/>
      <c r="R9" s="41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9"/>
      <c r="M10" s="41"/>
      <c r="N10" s="41"/>
      <c r="O10" s="41"/>
      <c r="P10" s="41"/>
      <c r="Q10" s="41"/>
      <c r="R10" s="41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9"/>
      <c r="M11" s="41"/>
      <c r="N11" s="41"/>
      <c r="O11" s="41"/>
      <c r="P11" s="41"/>
      <c r="Q11" s="41"/>
      <c r="R11" s="41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9"/>
      <c r="M12" s="41"/>
      <c r="N12" s="41"/>
      <c r="O12" s="41"/>
      <c r="P12" s="41"/>
      <c r="Q12" s="41"/>
      <c r="R12" s="41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9"/>
      <c r="M13" s="41"/>
      <c r="N13" s="41"/>
      <c r="O13" s="41"/>
      <c r="P13" s="41"/>
      <c r="Q13" s="41"/>
      <c r="R13" s="41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9"/>
      <c r="M14" s="41"/>
      <c r="N14" s="41"/>
      <c r="O14" s="41"/>
      <c r="P14" s="41"/>
      <c r="Q14" s="41"/>
      <c r="R14" s="41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9"/>
      <c r="M15" s="41"/>
      <c r="N15" s="41"/>
      <c r="O15" s="41"/>
      <c r="P15" s="41"/>
      <c r="Q15" s="41"/>
      <c r="R15" s="41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9"/>
      <c r="M16" s="41"/>
      <c r="N16" s="41"/>
      <c r="O16" s="41"/>
      <c r="P16" s="41"/>
      <c r="Q16" s="41"/>
      <c r="R16" s="41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9"/>
      <c r="M17" s="41"/>
      <c r="N17" s="41"/>
      <c r="O17" s="41"/>
      <c r="P17" s="41"/>
      <c r="Q17" s="41"/>
      <c r="R17" s="41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9"/>
      <c r="M18" s="41"/>
      <c r="N18" s="41"/>
      <c r="O18" s="41"/>
      <c r="P18" s="41"/>
      <c r="Q18" s="41"/>
      <c r="R18" s="41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9"/>
      <c r="M19" s="41"/>
      <c r="N19" s="41"/>
      <c r="O19" s="41"/>
      <c r="P19" s="41"/>
      <c r="Q19" s="41"/>
      <c r="R19" s="41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9"/>
      <c r="M20" s="41"/>
      <c r="N20" s="41"/>
      <c r="O20" s="41"/>
      <c r="P20" s="41"/>
      <c r="Q20" s="41"/>
      <c r="R20" s="41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9"/>
      <c r="M21" s="41"/>
      <c r="N21" s="41"/>
      <c r="O21" s="41"/>
      <c r="P21" s="41"/>
      <c r="Q21" s="41"/>
      <c r="R21" s="41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9"/>
      <c r="M22" s="41"/>
      <c r="N22" s="41"/>
      <c r="O22" s="41"/>
      <c r="P22" s="41"/>
      <c r="Q22" s="41"/>
      <c r="R22" s="41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9"/>
      <c r="M23" s="41"/>
      <c r="N23" s="41"/>
      <c r="O23" s="41"/>
      <c r="P23" s="41"/>
      <c r="Q23" s="41"/>
      <c r="R23" s="41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9"/>
      <c r="M24" s="41"/>
      <c r="N24" s="41"/>
      <c r="O24" s="41"/>
      <c r="P24" s="41"/>
      <c r="Q24" s="41"/>
      <c r="R24" s="41"/>
    </row>
    <row r="25" spans="2:18" ht="21" customHeight="1">
      <c r="B25" s="2"/>
      <c r="C25" s="8"/>
      <c r="E25" s="5"/>
      <c r="F25" s="8"/>
      <c r="G25" s="8"/>
      <c r="H25" s="8"/>
      <c r="I25" s="8"/>
      <c r="J25" s="8"/>
      <c r="K25" s="8"/>
      <c r="L25" s="39"/>
      <c r="M25" s="41"/>
      <c r="N25" s="41"/>
      <c r="O25" s="41"/>
      <c r="P25" s="41"/>
      <c r="Q25" s="41"/>
      <c r="R25" s="41"/>
    </row>
    <row r="26" spans="2:18" ht="21" customHeight="1">
      <c r="B26" s="2"/>
      <c r="C26" s="8"/>
      <c r="E26" s="5"/>
      <c r="F26" s="8"/>
      <c r="G26" s="8"/>
      <c r="H26" s="8"/>
      <c r="I26" s="8"/>
      <c r="J26" s="8"/>
      <c r="K26" s="8"/>
      <c r="L26" s="39"/>
      <c r="M26" s="41"/>
      <c r="N26" s="41"/>
      <c r="O26" s="41"/>
      <c r="P26" s="41"/>
      <c r="Q26" s="41"/>
      <c r="R26" s="41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9"/>
      <c r="M27" s="41"/>
      <c r="N27" s="41"/>
      <c r="O27" s="41"/>
      <c r="P27" s="41"/>
      <c r="Q27" s="41"/>
      <c r="R27" s="41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9"/>
      <c r="M28" s="41"/>
      <c r="N28" s="41"/>
      <c r="O28" s="41"/>
      <c r="P28" s="41"/>
      <c r="Q28" s="41"/>
      <c r="R28" s="41"/>
    </row>
    <row r="29" spans="2:18" ht="21" customHeight="1">
      <c r="B29" s="2"/>
      <c r="C29" s="8"/>
      <c r="E29" s="6"/>
      <c r="F29" s="8"/>
      <c r="G29" s="8"/>
      <c r="H29" s="8"/>
      <c r="I29" s="8"/>
      <c r="J29" s="8"/>
      <c r="K29" s="8"/>
      <c r="L29" s="39"/>
      <c r="M29" s="41"/>
      <c r="N29" s="41"/>
      <c r="O29" s="41"/>
      <c r="P29" s="41"/>
      <c r="Q29" s="41"/>
      <c r="R29" s="41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9"/>
      <c r="M30" s="41"/>
      <c r="N30" s="41"/>
      <c r="O30" s="41"/>
      <c r="P30" s="41"/>
      <c r="Q30" s="41"/>
      <c r="R30" s="41"/>
    </row>
    <row r="31" spans="2:18" ht="21" customHeight="1">
      <c r="B31" s="2"/>
      <c r="C31" s="8"/>
      <c r="E31" s="9"/>
      <c r="F31" s="8"/>
      <c r="G31" s="8"/>
      <c r="H31" s="8"/>
      <c r="I31" s="8"/>
      <c r="J31" s="8"/>
      <c r="K31" s="8"/>
      <c r="L31" s="39"/>
      <c r="M31" s="41"/>
      <c r="N31" s="41"/>
      <c r="O31" s="41"/>
      <c r="P31" s="41"/>
      <c r="Q31" s="41"/>
      <c r="R31" s="41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9"/>
      <c r="M32" s="41"/>
      <c r="N32" s="41"/>
      <c r="O32" s="41"/>
      <c r="P32" s="41"/>
      <c r="Q32" s="41"/>
      <c r="R32" s="41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9"/>
      <c r="M33" s="41"/>
      <c r="N33" s="41"/>
      <c r="O33" s="41"/>
      <c r="P33" s="41"/>
      <c r="Q33" s="41"/>
      <c r="R33" s="41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9"/>
      <c r="M34" s="41"/>
      <c r="N34" s="41"/>
      <c r="O34" s="41"/>
      <c r="P34" s="41"/>
      <c r="Q34" s="41"/>
      <c r="R34" s="41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9"/>
      <c r="M35" s="41"/>
      <c r="N35" s="41"/>
      <c r="O35" s="41"/>
      <c r="P35" s="41"/>
      <c r="Q35" s="41"/>
      <c r="R35" s="41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9"/>
      <c r="M36" s="41"/>
      <c r="N36" s="41"/>
      <c r="O36" s="41"/>
      <c r="P36" s="41"/>
      <c r="Q36" s="41"/>
      <c r="R36" s="41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9"/>
      <c r="M37" s="41"/>
      <c r="N37" s="41"/>
      <c r="O37" s="41"/>
      <c r="P37" s="41"/>
      <c r="Q37" s="41"/>
      <c r="R37" s="41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9"/>
      <c r="M38" s="41"/>
      <c r="N38" s="41"/>
      <c r="O38" s="41"/>
      <c r="P38" s="41"/>
      <c r="Q38" s="41"/>
      <c r="R38" s="41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9"/>
      <c r="M39" s="41"/>
      <c r="N39" s="41"/>
      <c r="O39" s="41"/>
      <c r="P39" s="41"/>
      <c r="Q39" s="41"/>
      <c r="R39" s="41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9"/>
      <c r="M40" s="41"/>
      <c r="N40" s="41"/>
      <c r="O40" s="41"/>
      <c r="P40" s="41"/>
      <c r="Q40" s="41"/>
      <c r="R40" s="41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9"/>
      <c r="M41" s="41"/>
      <c r="N41" s="41"/>
      <c r="O41" s="41"/>
      <c r="P41" s="41"/>
      <c r="Q41" s="41"/>
      <c r="R41" s="41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9"/>
      <c r="M42" s="41"/>
      <c r="N42" s="41"/>
      <c r="O42" s="41"/>
      <c r="P42" s="41"/>
      <c r="Q42" s="41"/>
      <c r="R42" s="41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9"/>
      <c r="M43" s="41"/>
      <c r="N43" s="41"/>
      <c r="O43" s="41"/>
      <c r="P43" s="41"/>
      <c r="Q43" s="41"/>
      <c r="R43" s="41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9"/>
      <c r="M44" s="41"/>
      <c r="N44" s="41"/>
      <c r="O44" s="41"/>
      <c r="P44" s="41"/>
      <c r="Q44" s="41"/>
      <c r="R44" s="41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9"/>
      <c r="M45" s="41"/>
      <c r="N45" s="41"/>
      <c r="O45" s="41"/>
      <c r="P45" s="41"/>
      <c r="Q45" s="41"/>
      <c r="R45" s="41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9"/>
      <c r="M46" s="41"/>
      <c r="N46" s="41"/>
      <c r="O46" s="41"/>
      <c r="P46" s="41"/>
      <c r="Q46" s="41"/>
      <c r="R46" s="41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9"/>
      <c r="M47" s="41"/>
      <c r="N47" s="41"/>
      <c r="O47" s="41"/>
      <c r="P47" s="41"/>
      <c r="Q47" s="41"/>
      <c r="R47" s="41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9"/>
      <c r="M48" s="41"/>
      <c r="N48" s="41"/>
      <c r="O48" s="41"/>
      <c r="P48" s="41"/>
      <c r="Q48" s="41"/>
      <c r="R48" s="41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9"/>
      <c r="M49" s="41"/>
      <c r="N49" s="41"/>
      <c r="O49" s="41"/>
      <c r="P49" s="41"/>
      <c r="Q49" s="41"/>
      <c r="R49" s="41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9"/>
      <c r="M50" s="41"/>
      <c r="N50" s="41"/>
      <c r="O50" s="41"/>
      <c r="P50" s="41"/>
      <c r="Q50" s="41"/>
      <c r="R50" s="41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9"/>
      <c r="M51" s="41"/>
      <c r="N51" s="41"/>
      <c r="O51" s="41"/>
      <c r="P51" s="41"/>
      <c r="Q51" s="41"/>
      <c r="R51" s="41"/>
    </row>
    <row r="52" spans="2:18" ht="21" customHeight="1">
      <c r="B52" s="2"/>
      <c r="C52" s="8"/>
      <c r="E52" s="9"/>
      <c r="F52" s="8"/>
      <c r="G52" s="8"/>
      <c r="H52" s="8"/>
      <c r="I52" s="8"/>
      <c r="J52" s="8"/>
      <c r="K52" s="8"/>
      <c r="L52" s="39"/>
      <c r="M52" s="41"/>
      <c r="N52" s="41"/>
      <c r="O52" s="41"/>
      <c r="P52" s="41"/>
      <c r="Q52" s="41"/>
      <c r="R52" s="41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9"/>
      <c r="M53" s="41"/>
      <c r="N53" s="41"/>
      <c r="O53" s="41"/>
      <c r="P53" s="41"/>
      <c r="Q53" s="41"/>
      <c r="R53" s="41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9"/>
      <c r="M54" s="41"/>
      <c r="N54" s="41"/>
      <c r="O54" s="41"/>
      <c r="P54" s="41"/>
      <c r="Q54" s="41"/>
      <c r="R54" s="41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9"/>
      <c r="M55" s="41"/>
      <c r="N55" s="41"/>
      <c r="O55" s="41"/>
      <c r="P55" s="41"/>
      <c r="Q55" s="41"/>
      <c r="R55" s="41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9"/>
      <c r="M56" s="41"/>
      <c r="N56" s="41"/>
      <c r="O56" s="41"/>
      <c r="P56" s="41"/>
      <c r="Q56" s="41"/>
      <c r="R56" s="41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9"/>
      <c r="M57" s="41"/>
      <c r="N57" s="41"/>
      <c r="O57" s="41"/>
      <c r="P57" s="41"/>
      <c r="Q57" s="41"/>
      <c r="R57" s="41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9"/>
      <c r="M58" s="41"/>
      <c r="N58" s="41"/>
      <c r="O58" s="41"/>
      <c r="P58" s="41"/>
      <c r="Q58" s="41"/>
      <c r="R58" s="41"/>
    </row>
    <row r="59" spans="2:18" ht="21" customHeight="1">
      <c r="B59" s="2"/>
      <c r="C59" s="8"/>
      <c r="E59" s="6"/>
      <c r="F59" s="8"/>
      <c r="G59" s="8"/>
      <c r="H59" s="8"/>
      <c r="I59" s="8"/>
      <c r="J59" s="8"/>
      <c r="K59" s="8"/>
      <c r="L59" s="39"/>
      <c r="M59" s="41"/>
      <c r="N59" s="41"/>
      <c r="O59" s="41"/>
      <c r="P59" s="41"/>
      <c r="Q59" s="41"/>
      <c r="R59" s="41"/>
    </row>
  </sheetData>
  <autoFilter ref="A1:R60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E10" sqref="E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6">
        <v>539</v>
      </c>
      <c r="B2" s="8" t="str">
        <f>IFERROR(VLOOKUP(A2,[1]characters!$A:$C,3,FALSE),"")</f>
        <v>初音ミク・アペンド</v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5</v>
      </c>
    </row>
    <row r="3" spans="1:8">
      <c r="A3" s="6">
        <v>540</v>
      </c>
      <c r="B3" s="8" t="str">
        <f>IFERROR(VLOOKUP(A3,[1]characters!$A:$C,3,FALSE),"")</f>
        <v>来訪の歌姫 初音ミク・アペンド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5</v>
      </c>
    </row>
    <row r="4" spans="1:8">
      <c r="A4" s="6">
        <v>545</v>
      </c>
      <c r="B4" s="8" t="str">
        <f>IFERROR(VLOOKUP(A4,[1]characters!$A:$C,3,FALSE),"")</f>
        <v>鏡音レン</v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5</v>
      </c>
    </row>
    <row r="5" spans="1:8">
      <c r="A5" s="6">
        <v>546</v>
      </c>
      <c r="B5" s="8" t="str">
        <f>IFERROR(VLOOKUP(A5,[1]characters!$A:$C,3,FALSE),"")</f>
        <v>残響の連符 鏡音レン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5</v>
      </c>
    </row>
    <row r="6" spans="1:8">
      <c r="A6" s="6">
        <v>547</v>
      </c>
      <c r="B6" s="8" t="str">
        <f>IFERROR(VLOOKUP(A6,[1]characters!$A:$C,3,FALSE),"")</f>
        <v>巡音ルカ</v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5</v>
      </c>
    </row>
    <row r="7" spans="1:8">
      <c r="A7" s="6">
        <v>548</v>
      </c>
      <c r="B7" s="8" t="str">
        <f>IFERROR(VLOOKUP(A7,[1]characters!$A:$C,3,FALSE),"")</f>
        <v>乱舞の音環 巡音ルカ</v>
      </c>
      <c r="C7" s="5">
        <v>1</v>
      </c>
      <c r="D7" s="5">
        <v>0</v>
      </c>
      <c r="E7" s="5">
        <v>0</v>
      </c>
      <c r="F7" s="5">
        <v>0</v>
      </c>
      <c r="G7" s="5">
        <v>0</v>
      </c>
      <c r="H7" s="16">
        <v>5</v>
      </c>
    </row>
    <row r="8" spans="1:8">
      <c r="A8" s="6">
        <v>551</v>
      </c>
      <c r="B8" s="8" t="str">
        <f>IFERROR(VLOOKUP(A8,[1]characters!$A:$C,3,FALSE),"")</f>
        <v>KAITO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16">
        <v>5</v>
      </c>
    </row>
    <row r="9" spans="1:8">
      <c r="A9" s="6">
        <v>552</v>
      </c>
      <c r="B9" s="8" t="str">
        <f>IFERROR(VLOOKUP(A9,[1]characters!$A:$C,3,FALSE),"")</f>
        <v>愉悦の愛唱 KAITO</v>
      </c>
      <c r="C9" s="5">
        <v>1</v>
      </c>
      <c r="D9" s="5">
        <v>0</v>
      </c>
      <c r="E9" s="5">
        <v>0</v>
      </c>
      <c r="F9" s="5">
        <v>0</v>
      </c>
      <c r="G9" s="5">
        <v>0</v>
      </c>
      <c r="H9" s="16">
        <v>5</v>
      </c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16" t="s">
        <v>88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tabSelected="1" workbookViewId="0">
      <selection activeCell="H26" sqref="H26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179</v>
      </c>
    </row>
    <row r="5" spans="1:8">
      <c r="A5" s="45" t="s">
        <v>82</v>
      </c>
      <c r="B5" s="46" t="str">
        <f>$A$3 &amp; "1"</f>
        <v>1791</v>
      </c>
      <c r="D5" s="45" t="s">
        <v>85</v>
      </c>
      <c r="E5" s="46" t="str">
        <f>$A$3 &amp; "0"</f>
        <v>1790</v>
      </c>
      <c r="G5" s="45" t="s">
        <v>86</v>
      </c>
      <c r="H5" s="46" t="str">
        <f>$A$3 &amp; "3"</f>
        <v>1793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2</v>
      </c>
      <c r="B7" s="48"/>
      <c r="D7" s="50">
        <f>COUNTIFS(gacha_select_tables!$H:$H,"PremiumSSS",gacha_select_tables!$B:$B,E5)</f>
        <v>2</v>
      </c>
      <c r="E7" s="48"/>
      <c r="G7" s="50">
        <f>COUNTIF(gacha_settle_tables!G:G,"PremiumSSS")</f>
        <v>1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8</v>
      </c>
      <c r="B10" s="49"/>
      <c r="D10" s="51">
        <f>COUNTIFS(gacha_select_tables!$S:$S,"&gt;1", gacha_select_tables!$B:$B,E5)</f>
        <v>6</v>
      </c>
      <c r="E10" s="49"/>
      <c r="G10" s="51">
        <f>COUNTIF(gacha_settle_tables!$R:$R,"&gt;1")</f>
        <v>1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gacha_179_base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2016-02-01T07:43:38Z</dcterms:modified>
</cp:coreProperties>
</file>