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0" yWindow="460" windowWidth="28800" windowHeight="174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22" r:id="rId8"/>
    <sheet name="stage_hints_complete" sheetId="19" r:id="rId9"/>
    <sheet name="stage_hints_failure" sheetId="21" r:id="rId10"/>
    <sheet name="stage_bonuses" sheetId="23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6" i="11" l="1"/>
  <c r="J67" i="11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A109" i="9"/>
  <c r="D109" i="9"/>
  <c r="E109" i="9"/>
  <c r="G109" i="9"/>
  <c r="H109" i="9"/>
  <c r="I109" i="9"/>
  <c r="J109" i="9"/>
  <c r="K109" i="9"/>
  <c r="L109" i="9"/>
  <c r="M109" i="9"/>
  <c r="N109" i="9"/>
  <c r="O109" i="9"/>
  <c r="A110" i="9"/>
  <c r="D110" i="9"/>
  <c r="E110" i="9"/>
  <c r="G110" i="9"/>
  <c r="H110" i="9"/>
  <c r="I110" i="9"/>
  <c r="J110" i="9"/>
  <c r="K110" i="9"/>
  <c r="L110" i="9"/>
  <c r="M110" i="9"/>
  <c r="N110" i="9"/>
  <c r="O110" i="9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I18" i="21"/>
  <c r="J18" i="21"/>
  <c r="I19" i="21"/>
  <c r="J19" i="21"/>
  <c r="I20" i="21"/>
  <c r="B20" i="21"/>
  <c r="J20" i="21"/>
  <c r="I21" i="21"/>
  <c r="B21" i="21"/>
  <c r="J21" i="21"/>
  <c r="I22" i="21"/>
  <c r="B22" i="21"/>
  <c r="J22" i="21"/>
  <c r="I23" i="21"/>
  <c r="B23" i="21"/>
  <c r="J23" i="21"/>
  <c r="I24" i="21"/>
  <c r="B24" i="21"/>
  <c r="J24" i="21"/>
  <c r="I25" i="21"/>
  <c r="B25" i="21"/>
  <c r="J25" i="21"/>
  <c r="I26" i="21"/>
  <c r="B26" i="21"/>
  <c r="J26" i="21"/>
  <c r="I27" i="21"/>
  <c r="B27" i="21"/>
  <c r="J27" i="21"/>
  <c r="I28" i="21"/>
  <c r="B28" i="21"/>
  <c r="J28" i="21"/>
  <c r="I29" i="21"/>
  <c r="B29" i="21"/>
  <c r="J29" i="21"/>
  <c r="I30" i="21"/>
  <c r="B30" i="21"/>
  <c r="J30" i="21"/>
  <c r="I31" i="21"/>
  <c r="B31" i="21"/>
  <c r="J31" i="21"/>
  <c r="I32" i="21"/>
  <c r="B32" i="21"/>
  <c r="J32" i="21"/>
  <c r="I33" i="21"/>
  <c r="B33" i="21"/>
  <c r="J33" i="21"/>
  <c r="I34" i="21"/>
  <c r="B34" i="21"/>
  <c r="J34" i="21"/>
  <c r="I35" i="21"/>
  <c r="B35" i="21"/>
  <c r="J35" i="21"/>
  <c r="I36" i="21"/>
  <c r="B36" i="21"/>
  <c r="J36" i="21"/>
  <c r="I37" i="21"/>
  <c r="B37" i="21"/>
  <c r="J37" i="21"/>
  <c r="I38" i="21"/>
  <c r="B38" i="21"/>
  <c r="J38" i="21"/>
  <c r="I39" i="21"/>
  <c r="B39" i="21"/>
  <c r="J39" i="21"/>
  <c r="I40" i="21"/>
  <c r="B40" i="21"/>
  <c r="J40" i="21"/>
  <c r="I41" i="21"/>
  <c r="B41" i="21"/>
  <c r="J41" i="21"/>
  <c r="I42" i="21"/>
  <c r="B42" i="21"/>
  <c r="J42" i="21"/>
  <c r="I43" i="21"/>
  <c r="B43" i="21"/>
  <c r="J43" i="21"/>
  <c r="I44" i="21"/>
  <c r="B44" i="21"/>
  <c r="J44" i="21"/>
  <c r="I45" i="21"/>
  <c r="B45" i="21"/>
  <c r="J45" i="21"/>
  <c r="I46" i="21"/>
  <c r="B46" i="21"/>
  <c r="J46" i="21"/>
  <c r="I47" i="21"/>
  <c r="B47" i="21"/>
  <c r="J47" i="21"/>
  <c r="I48" i="21"/>
  <c r="B48" i="21"/>
  <c r="J48" i="21"/>
  <c r="I49" i="21"/>
  <c r="B49" i="21"/>
  <c r="J49" i="21"/>
  <c r="I50" i="21"/>
  <c r="B50" i="21"/>
  <c r="J50" i="21"/>
  <c r="I51" i="21"/>
  <c r="B51" i="21"/>
  <c r="J51" i="21"/>
  <c r="I52" i="21"/>
  <c r="B52" i="21"/>
  <c r="J52" i="21"/>
  <c r="I53" i="21"/>
  <c r="B53" i="21"/>
  <c r="J53" i="21"/>
  <c r="I54" i="21"/>
  <c r="B54" i="21"/>
  <c r="J54" i="21"/>
  <c r="I55" i="21"/>
  <c r="B55" i="21"/>
  <c r="J55" i="21"/>
  <c r="I56" i="21"/>
  <c r="B56" i="21"/>
  <c r="J56" i="21"/>
  <c r="I57" i="21"/>
  <c r="B57" i="21"/>
  <c r="J57" i="21"/>
  <c r="B18" i="21"/>
  <c r="C18" i="21"/>
  <c r="D18" i="21"/>
  <c r="F18" i="21"/>
  <c r="G18" i="21"/>
  <c r="B19" i="21"/>
  <c r="C19" i="21"/>
  <c r="D19" i="21"/>
  <c r="F19" i="21"/>
  <c r="G19" i="21"/>
  <c r="C20" i="21"/>
  <c r="D20" i="21"/>
  <c r="F20" i="21"/>
  <c r="G20" i="21"/>
  <c r="C21" i="21"/>
  <c r="D21" i="21"/>
  <c r="F21" i="21"/>
  <c r="G21" i="21"/>
  <c r="C22" i="21"/>
  <c r="D22" i="21"/>
  <c r="F22" i="21"/>
  <c r="G22" i="21"/>
  <c r="C23" i="21"/>
  <c r="D23" i="21"/>
  <c r="F23" i="21"/>
  <c r="G23" i="21"/>
  <c r="C24" i="21"/>
  <c r="D24" i="21"/>
  <c r="F24" i="21"/>
  <c r="G24" i="21"/>
  <c r="C25" i="21"/>
  <c r="D25" i="21"/>
  <c r="F25" i="21"/>
  <c r="G25" i="21"/>
  <c r="C26" i="21"/>
  <c r="D26" i="21"/>
  <c r="F26" i="21"/>
  <c r="G26" i="21"/>
  <c r="C27" i="21"/>
  <c r="D27" i="21"/>
  <c r="F27" i="21"/>
  <c r="G27" i="21"/>
  <c r="C28" i="21"/>
  <c r="D28" i="21"/>
  <c r="F28" i="21"/>
  <c r="G28" i="21"/>
  <c r="C29" i="21"/>
  <c r="D29" i="21"/>
  <c r="F29" i="21"/>
  <c r="G29" i="21"/>
  <c r="C30" i="21"/>
  <c r="D30" i="21"/>
  <c r="F30" i="21"/>
  <c r="G30" i="21"/>
  <c r="C31" i="21"/>
  <c r="D31" i="21"/>
  <c r="F31" i="21"/>
  <c r="G31" i="21"/>
  <c r="C32" i="21"/>
  <c r="D32" i="21"/>
  <c r="F32" i="21"/>
  <c r="G32" i="21"/>
  <c r="C33" i="21"/>
  <c r="D33" i="21"/>
  <c r="F33" i="21"/>
  <c r="G33" i="21"/>
  <c r="C34" i="21"/>
  <c r="D34" i="21"/>
  <c r="F34" i="21"/>
  <c r="G34" i="21"/>
  <c r="C35" i="21"/>
  <c r="D35" i="21"/>
  <c r="F35" i="21"/>
  <c r="G35" i="21"/>
  <c r="C36" i="21"/>
  <c r="D36" i="21"/>
  <c r="F36" i="21"/>
  <c r="G36" i="21"/>
  <c r="C37" i="21"/>
  <c r="D37" i="21"/>
  <c r="F37" i="21"/>
  <c r="G37" i="21"/>
  <c r="C38" i="21"/>
  <c r="D38" i="21"/>
  <c r="F38" i="21"/>
  <c r="G38" i="21"/>
  <c r="C39" i="21"/>
  <c r="D39" i="21"/>
  <c r="F39" i="21"/>
  <c r="G39" i="21"/>
  <c r="C40" i="21"/>
  <c r="D40" i="21"/>
  <c r="F40" i="21"/>
  <c r="G40" i="21"/>
  <c r="C41" i="21"/>
  <c r="D41" i="21"/>
  <c r="F41" i="21"/>
  <c r="G41" i="21"/>
  <c r="C42" i="21"/>
  <c r="D42" i="21"/>
  <c r="F42" i="21"/>
  <c r="G42" i="21"/>
  <c r="C43" i="21"/>
  <c r="D43" i="21"/>
  <c r="F43" i="21"/>
  <c r="G43" i="21"/>
  <c r="C44" i="21"/>
  <c r="D44" i="21"/>
  <c r="F44" i="21"/>
  <c r="G44" i="21"/>
  <c r="C45" i="21"/>
  <c r="D45" i="21"/>
  <c r="F45" i="21"/>
  <c r="G45" i="21"/>
  <c r="C46" i="21"/>
  <c r="D46" i="21"/>
  <c r="F46" i="21"/>
  <c r="G46" i="21"/>
  <c r="C47" i="21"/>
  <c r="D47" i="21"/>
  <c r="F47" i="21"/>
  <c r="G47" i="21"/>
  <c r="C48" i="21"/>
  <c r="D48" i="21"/>
  <c r="F48" i="21"/>
  <c r="G48" i="21"/>
  <c r="C49" i="21"/>
  <c r="D49" i="21"/>
  <c r="F49" i="21"/>
  <c r="G49" i="21"/>
  <c r="C50" i="21"/>
  <c r="D50" i="21"/>
  <c r="F50" i="21"/>
  <c r="G50" i="21"/>
  <c r="C51" i="21"/>
  <c r="D51" i="21"/>
  <c r="F51" i="21"/>
  <c r="G51" i="21"/>
  <c r="C52" i="21"/>
  <c r="D52" i="21"/>
  <c r="F52" i="21"/>
  <c r="G52" i="21"/>
  <c r="C53" i="21"/>
  <c r="D53" i="21"/>
  <c r="F53" i="21"/>
  <c r="G53" i="21"/>
  <c r="C54" i="21"/>
  <c r="D54" i="21"/>
  <c r="F54" i="21"/>
  <c r="G54" i="21"/>
  <c r="C55" i="21"/>
  <c r="D55" i="21"/>
  <c r="F55" i="21"/>
  <c r="G55" i="21"/>
  <c r="C56" i="21"/>
  <c r="D56" i="21"/>
  <c r="F56" i="21"/>
  <c r="G56" i="21"/>
  <c r="C57" i="21"/>
  <c r="D57" i="21"/>
  <c r="F57" i="21"/>
  <c r="G57" i="21"/>
  <c r="J65" i="11"/>
  <c r="J64" i="11"/>
  <c r="J63" i="11"/>
  <c r="J62" i="11"/>
  <c r="J61" i="11"/>
  <c r="J60" i="11"/>
  <c r="J59" i="11"/>
  <c r="J58" i="11"/>
  <c r="J57" i="11"/>
  <c r="J56" i="11"/>
  <c r="J55" i="11"/>
  <c r="J54" i="11"/>
  <c r="A97" i="9"/>
  <c r="D97" i="9"/>
  <c r="E97" i="9"/>
  <c r="G97" i="9"/>
  <c r="H97" i="9"/>
  <c r="I97" i="9"/>
  <c r="J97" i="9"/>
  <c r="K97" i="9"/>
  <c r="L97" i="9"/>
  <c r="M97" i="9"/>
  <c r="N97" i="9"/>
  <c r="O97" i="9"/>
  <c r="A98" i="9"/>
  <c r="D98" i="9"/>
  <c r="E98" i="9"/>
  <c r="G98" i="9"/>
  <c r="H98" i="9"/>
  <c r="I98" i="9"/>
  <c r="J98" i="9"/>
  <c r="K98" i="9"/>
  <c r="L98" i="9"/>
  <c r="M98" i="9"/>
  <c r="N98" i="9"/>
  <c r="O98" i="9"/>
  <c r="A99" i="9"/>
  <c r="D99" i="9"/>
  <c r="E99" i="9"/>
  <c r="G99" i="9"/>
  <c r="H99" i="9"/>
  <c r="I99" i="9"/>
  <c r="J99" i="9"/>
  <c r="K99" i="9"/>
  <c r="L99" i="9"/>
  <c r="M99" i="9"/>
  <c r="N99" i="9"/>
  <c r="O99" i="9"/>
  <c r="A100" i="9"/>
  <c r="D100" i="9"/>
  <c r="E100" i="9"/>
  <c r="G100" i="9"/>
  <c r="H100" i="9"/>
  <c r="I100" i="9"/>
  <c r="J100" i="9"/>
  <c r="K100" i="9"/>
  <c r="L100" i="9"/>
  <c r="M100" i="9"/>
  <c r="N100" i="9"/>
  <c r="O100" i="9"/>
  <c r="A101" i="9"/>
  <c r="D101" i="9"/>
  <c r="E101" i="9"/>
  <c r="G101" i="9"/>
  <c r="H101" i="9"/>
  <c r="I101" i="9"/>
  <c r="J101" i="9"/>
  <c r="K101" i="9"/>
  <c r="L101" i="9"/>
  <c r="M101" i="9"/>
  <c r="N101" i="9"/>
  <c r="O101" i="9"/>
  <c r="A102" i="9"/>
  <c r="D102" i="9"/>
  <c r="E102" i="9"/>
  <c r="G102" i="9"/>
  <c r="H102" i="9"/>
  <c r="I102" i="9"/>
  <c r="J102" i="9"/>
  <c r="K102" i="9"/>
  <c r="L102" i="9"/>
  <c r="M102" i="9"/>
  <c r="N102" i="9"/>
  <c r="O102" i="9"/>
  <c r="A103" i="9"/>
  <c r="D103" i="9"/>
  <c r="E103" i="9"/>
  <c r="G103" i="9"/>
  <c r="H103" i="9"/>
  <c r="I103" i="9"/>
  <c r="J103" i="9"/>
  <c r="K103" i="9"/>
  <c r="L103" i="9"/>
  <c r="M103" i="9"/>
  <c r="N103" i="9"/>
  <c r="O103" i="9"/>
  <c r="A104" i="9"/>
  <c r="D104" i="9"/>
  <c r="E104" i="9"/>
  <c r="G104" i="9"/>
  <c r="H104" i="9"/>
  <c r="I104" i="9"/>
  <c r="J104" i="9"/>
  <c r="K104" i="9"/>
  <c r="L104" i="9"/>
  <c r="M104" i="9"/>
  <c r="N104" i="9"/>
  <c r="O104" i="9"/>
  <c r="A105" i="9"/>
  <c r="D105" i="9"/>
  <c r="E105" i="9"/>
  <c r="G105" i="9"/>
  <c r="H105" i="9"/>
  <c r="I105" i="9"/>
  <c r="J105" i="9"/>
  <c r="K105" i="9"/>
  <c r="L105" i="9"/>
  <c r="M105" i="9"/>
  <c r="N105" i="9"/>
  <c r="O105" i="9"/>
  <c r="A106" i="9"/>
  <c r="D106" i="9"/>
  <c r="E106" i="9"/>
  <c r="G106" i="9"/>
  <c r="H106" i="9"/>
  <c r="I106" i="9"/>
  <c r="J106" i="9"/>
  <c r="K106" i="9"/>
  <c r="L106" i="9"/>
  <c r="M106" i="9"/>
  <c r="N106" i="9"/>
  <c r="O106" i="9"/>
  <c r="A107" i="9"/>
  <c r="D107" i="9"/>
  <c r="E107" i="9"/>
  <c r="G107" i="9"/>
  <c r="H107" i="9"/>
  <c r="I107" i="9"/>
  <c r="J107" i="9"/>
  <c r="K107" i="9"/>
  <c r="L107" i="9"/>
  <c r="M107" i="9"/>
  <c r="N107" i="9"/>
  <c r="O107" i="9"/>
  <c r="A108" i="9"/>
  <c r="D108" i="9"/>
  <c r="E108" i="9"/>
  <c r="G108" i="9"/>
  <c r="H108" i="9"/>
  <c r="I108" i="9"/>
  <c r="J108" i="9"/>
  <c r="K108" i="9"/>
  <c r="L108" i="9"/>
  <c r="M108" i="9"/>
  <c r="N108" i="9"/>
  <c r="O108" i="9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U53" i="22"/>
  <c r="T53" i="22"/>
  <c r="C53" i="22"/>
  <c r="D53" i="22"/>
  <c r="U52" i="22"/>
  <c r="T52" i="22"/>
  <c r="C52" i="22"/>
  <c r="D52" i="22"/>
  <c r="U51" i="22"/>
  <c r="T51" i="22"/>
  <c r="C51" i="22"/>
  <c r="D51" i="22"/>
  <c r="U37" i="22"/>
  <c r="T37" i="22"/>
  <c r="C37" i="22"/>
  <c r="D37" i="22"/>
  <c r="U36" i="22"/>
  <c r="T36" i="22"/>
  <c r="C36" i="22"/>
  <c r="D36" i="22"/>
  <c r="U35" i="22"/>
  <c r="T35" i="22"/>
  <c r="C35" i="22"/>
  <c r="D35" i="22"/>
  <c r="C59" i="22"/>
  <c r="D59" i="22"/>
  <c r="T59" i="22"/>
  <c r="U59" i="22"/>
  <c r="C43" i="22"/>
  <c r="D43" i="22"/>
  <c r="T43" i="22"/>
  <c r="U43" i="22"/>
  <c r="U28" i="22"/>
  <c r="T28" i="22"/>
  <c r="C28" i="22"/>
  <c r="D28" i="22"/>
  <c r="U44" i="22"/>
  <c r="T44" i="22"/>
  <c r="C44" i="22"/>
  <c r="D44" i="22"/>
  <c r="U60" i="22"/>
  <c r="T60" i="22"/>
  <c r="C60" i="22"/>
  <c r="D60" i="22"/>
  <c r="U21" i="22"/>
  <c r="T21" i="22"/>
  <c r="C21" i="22"/>
  <c r="D21" i="22"/>
  <c r="U20" i="22"/>
  <c r="T20" i="22"/>
  <c r="C20" i="22"/>
  <c r="D20" i="22"/>
  <c r="U19" i="22"/>
  <c r="T19" i="22"/>
  <c r="C19" i="22"/>
  <c r="D19" i="22"/>
  <c r="U18" i="22"/>
  <c r="T18" i="22"/>
  <c r="C18" i="22"/>
  <c r="D18" i="22"/>
  <c r="U14" i="22"/>
  <c r="T14" i="22"/>
  <c r="C14" i="22"/>
  <c r="D14" i="22"/>
  <c r="U27" i="22"/>
  <c r="T27" i="22"/>
  <c r="C27" i="22"/>
  <c r="D27" i="22"/>
  <c r="U7" i="22"/>
  <c r="T7" i="22"/>
  <c r="C7" i="22"/>
  <c r="D7" i="22"/>
  <c r="U6" i="22"/>
  <c r="T6" i="22"/>
  <c r="C6" i="22"/>
  <c r="D6" i="22"/>
  <c r="C13" i="22"/>
  <c r="D13" i="22"/>
  <c r="T13" i="22"/>
  <c r="U13" i="22"/>
  <c r="U61" i="22"/>
  <c r="T61" i="22"/>
  <c r="C61" i="22"/>
  <c r="D61" i="22"/>
  <c r="U58" i="22"/>
  <c r="T58" i="22"/>
  <c r="C58" i="22"/>
  <c r="D58" i="22"/>
  <c r="U57" i="22"/>
  <c r="T57" i="22"/>
  <c r="C57" i="22"/>
  <c r="D57" i="22"/>
  <c r="U56" i="22"/>
  <c r="T56" i="22"/>
  <c r="C56" i="22"/>
  <c r="D56" i="22"/>
  <c r="U55" i="22"/>
  <c r="T55" i="22"/>
  <c r="C55" i="22"/>
  <c r="D55" i="22"/>
  <c r="U54" i="22"/>
  <c r="T54" i="22"/>
  <c r="C54" i="22"/>
  <c r="D54" i="22"/>
  <c r="U50" i="22"/>
  <c r="T50" i="22"/>
  <c r="C50" i="22"/>
  <c r="D50" i="22"/>
  <c r="U49" i="22"/>
  <c r="T49" i="22"/>
  <c r="C49" i="22"/>
  <c r="D49" i="22"/>
  <c r="U48" i="22"/>
  <c r="T48" i="22"/>
  <c r="C48" i="22"/>
  <c r="D48" i="22"/>
  <c r="U47" i="22"/>
  <c r="T47" i="22"/>
  <c r="C47" i="22"/>
  <c r="D47" i="22"/>
  <c r="U46" i="22"/>
  <c r="T46" i="22"/>
  <c r="C46" i="22"/>
  <c r="D46" i="22"/>
  <c r="U45" i="22"/>
  <c r="T45" i="22"/>
  <c r="C45" i="22"/>
  <c r="D45" i="22"/>
  <c r="U42" i="22"/>
  <c r="T42" i="22"/>
  <c r="C42" i="22"/>
  <c r="D42" i="22"/>
  <c r="U41" i="22"/>
  <c r="T41" i="22"/>
  <c r="C41" i="22"/>
  <c r="D41" i="22"/>
  <c r="U40" i="22"/>
  <c r="T40" i="22"/>
  <c r="C40" i="22"/>
  <c r="D40" i="22"/>
  <c r="U39" i="22"/>
  <c r="T39" i="22"/>
  <c r="C39" i="22"/>
  <c r="D39" i="22"/>
  <c r="U38" i="22"/>
  <c r="T38" i="22"/>
  <c r="C38" i="22"/>
  <c r="D38" i="22"/>
  <c r="U34" i="22"/>
  <c r="T34" i="22"/>
  <c r="C34" i="22"/>
  <c r="D34" i="22"/>
  <c r="U33" i="22"/>
  <c r="T33" i="22"/>
  <c r="C33" i="22"/>
  <c r="D33" i="22"/>
  <c r="U32" i="22"/>
  <c r="T32" i="22"/>
  <c r="C32" i="22"/>
  <c r="D32" i="22"/>
  <c r="U31" i="22"/>
  <c r="T31" i="22"/>
  <c r="C31" i="22"/>
  <c r="D31" i="22"/>
  <c r="U30" i="22"/>
  <c r="T30" i="22"/>
  <c r="C30" i="22"/>
  <c r="D30" i="22"/>
  <c r="U29" i="22"/>
  <c r="T29" i="22"/>
  <c r="C29" i="22"/>
  <c r="D29" i="22"/>
  <c r="U26" i="22"/>
  <c r="T26" i="22"/>
  <c r="C26" i="22"/>
  <c r="D26" i="22"/>
  <c r="U25" i="22"/>
  <c r="T25" i="22"/>
  <c r="C25" i="22"/>
  <c r="D25" i="22"/>
  <c r="U24" i="22"/>
  <c r="T24" i="22"/>
  <c r="C24" i="22"/>
  <c r="D24" i="22"/>
  <c r="U23" i="22"/>
  <c r="T23" i="22"/>
  <c r="C23" i="22"/>
  <c r="D23" i="22"/>
  <c r="U22" i="22"/>
  <c r="T22" i="22"/>
  <c r="C22" i="22"/>
  <c r="D22" i="22"/>
  <c r="U17" i="22"/>
  <c r="T17" i="22"/>
  <c r="C17" i="22"/>
  <c r="D17" i="22"/>
  <c r="U16" i="22"/>
  <c r="T16" i="22"/>
  <c r="C16" i="22"/>
  <c r="D16" i="22"/>
  <c r="U15" i="22"/>
  <c r="T15" i="22"/>
  <c r="C15" i="22"/>
  <c r="D15" i="22"/>
  <c r="U12" i="22"/>
  <c r="T12" i="22"/>
  <c r="C12" i="22"/>
  <c r="D12" i="22"/>
  <c r="U11" i="22"/>
  <c r="T11" i="22"/>
  <c r="C11" i="22"/>
  <c r="D11" i="22"/>
  <c r="U10" i="22"/>
  <c r="T10" i="22"/>
  <c r="C10" i="22"/>
  <c r="D10" i="22"/>
  <c r="U9" i="22"/>
  <c r="T9" i="22"/>
  <c r="C9" i="22"/>
  <c r="D9" i="22"/>
  <c r="U8" i="22"/>
  <c r="T8" i="22"/>
  <c r="C8" i="22"/>
  <c r="D8" i="22"/>
  <c r="U5" i="22"/>
  <c r="T5" i="22"/>
  <c r="C5" i="22"/>
  <c r="D5" i="22"/>
  <c r="U4" i="22"/>
  <c r="T4" i="22"/>
  <c r="C4" i="22"/>
  <c r="D4" i="22"/>
  <c r="U3" i="22"/>
  <c r="T3" i="22"/>
  <c r="C3" i="22"/>
  <c r="D3" i="22"/>
  <c r="U2" i="22"/>
  <c r="T2" i="22"/>
  <c r="C2" i="22"/>
  <c r="D2" i="22"/>
  <c r="B5" i="21"/>
  <c r="C5" i="21"/>
  <c r="D5" i="21"/>
  <c r="F5" i="21"/>
  <c r="G5" i="21"/>
  <c r="I5" i="21"/>
  <c r="J5" i="21"/>
  <c r="B9" i="21"/>
  <c r="C9" i="21"/>
  <c r="D9" i="21"/>
  <c r="F9" i="21"/>
  <c r="G9" i="21"/>
  <c r="I9" i="21"/>
  <c r="J9" i="21"/>
  <c r="B13" i="21"/>
  <c r="C13" i="21"/>
  <c r="D13" i="21"/>
  <c r="F13" i="21"/>
  <c r="G13" i="21"/>
  <c r="I13" i="21"/>
  <c r="J13" i="21"/>
  <c r="B17" i="21"/>
  <c r="C17" i="21"/>
  <c r="D17" i="21"/>
  <c r="F17" i="21"/>
  <c r="G17" i="21"/>
  <c r="I17" i="21"/>
  <c r="J17" i="21"/>
  <c r="AB9" i="1"/>
  <c r="AC9" i="1"/>
  <c r="M25" i="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A94" i="9"/>
  <c r="D94" i="9"/>
  <c r="E94" i="9"/>
  <c r="G94" i="9"/>
  <c r="H94" i="9"/>
  <c r="I94" i="9"/>
  <c r="J94" i="9"/>
  <c r="K94" i="9"/>
  <c r="L94" i="9"/>
  <c r="M94" i="9"/>
  <c r="N94" i="9"/>
  <c r="O94" i="9"/>
  <c r="A95" i="9"/>
  <c r="D95" i="9"/>
  <c r="E95" i="9"/>
  <c r="G95" i="9"/>
  <c r="H95" i="9"/>
  <c r="I95" i="9"/>
  <c r="J95" i="9"/>
  <c r="K95" i="9"/>
  <c r="L95" i="9"/>
  <c r="M95" i="9"/>
  <c r="N95" i="9"/>
  <c r="J52" i="11"/>
  <c r="O95" i="9"/>
  <c r="A96" i="9"/>
  <c r="D96" i="9"/>
  <c r="E96" i="9"/>
  <c r="G96" i="9"/>
  <c r="H96" i="9"/>
  <c r="I96" i="9"/>
  <c r="J96" i="9"/>
  <c r="K96" i="9"/>
  <c r="L96" i="9"/>
  <c r="M96" i="9"/>
  <c r="N96" i="9"/>
  <c r="J53" i="11"/>
  <c r="O96" i="9"/>
  <c r="A64" i="9"/>
  <c r="D64" i="9"/>
  <c r="E64" i="9"/>
  <c r="G64" i="9"/>
  <c r="H64" i="9"/>
  <c r="I64" i="9"/>
  <c r="J64" i="9"/>
  <c r="K64" i="9"/>
  <c r="L64" i="9"/>
  <c r="M64" i="9"/>
  <c r="N64" i="9"/>
  <c r="O64" i="9"/>
  <c r="A65" i="9"/>
  <c r="D65" i="9"/>
  <c r="E65" i="9"/>
  <c r="G65" i="9"/>
  <c r="H65" i="9"/>
  <c r="I65" i="9"/>
  <c r="J65" i="9"/>
  <c r="K65" i="9"/>
  <c r="L65" i="9"/>
  <c r="M65" i="9"/>
  <c r="N65" i="9"/>
  <c r="O65" i="9"/>
  <c r="A66" i="9"/>
  <c r="D66" i="9"/>
  <c r="E66" i="9"/>
  <c r="G66" i="9"/>
  <c r="H66" i="9"/>
  <c r="I66" i="9"/>
  <c r="J66" i="9"/>
  <c r="K66" i="9"/>
  <c r="L66" i="9"/>
  <c r="M66" i="9"/>
  <c r="N66" i="9"/>
  <c r="O66" i="9"/>
  <c r="A67" i="9"/>
  <c r="D67" i="9"/>
  <c r="E67" i="9"/>
  <c r="G67" i="9"/>
  <c r="H67" i="9"/>
  <c r="I67" i="9"/>
  <c r="J67" i="9"/>
  <c r="K67" i="9"/>
  <c r="L67" i="9"/>
  <c r="M67" i="9"/>
  <c r="N67" i="9"/>
  <c r="O67" i="9"/>
  <c r="A68" i="9"/>
  <c r="D68" i="9"/>
  <c r="E68" i="9"/>
  <c r="G68" i="9"/>
  <c r="H68" i="9"/>
  <c r="I68" i="9"/>
  <c r="J68" i="9"/>
  <c r="K68" i="9"/>
  <c r="L68" i="9"/>
  <c r="M68" i="9"/>
  <c r="N68" i="9"/>
  <c r="O68" i="9"/>
  <c r="A69" i="9"/>
  <c r="D69" i="9"/>
  <c r="E69" i="9"/>
  <c r="G69" i="9"/>
  <c r="H69" i="9"/>
  <c r="I69" i="9"/>
  <c r="J69" i="9"/>
  <c r="K69" i="9"/>
  <c r="L69" i="9"/>
  <c r="M69" i="9"/>
  <c r="N69" i="9"/>
  <c r="O69" i="9"/>
  <c r="A70" i="9"/>
  <c r="D70" i="9"/>
  <c r="E70" i="9"/>
  <c r="G70" i="9"/>
  <c r="H70" i="9"/>
  <c r="I70" i="9"/>
  <c r="J70" i="9"/>
  <c r="K70" i="9"/>
  <c r="L70" i="9"/>
  <c r="M70" i="9"/>
  <c r="N70" i="9"/>
  <c r="O70" i="9"/>
  <c r="A71" i="9"/>
  <c r="D71" i="9"/>
  <c r="E71" i="9"/>
  <c r="G71" i="9"/>
  <c r="H71" i="9"/>
  <c r="I71" i="9"/>
  <c r="J71" i="9"/>
  <c r="K71" i="9"/>
  <c r="L71" i="9"/>
  <c r="M71" i="9"/>
  <c r="N71" i="9"/>
  <c r="O71" i="9"/>
  <c r="A72" i="9"/>
  <c r="D72" i="9"/>
  <c r="E72" i="9"/>
  <c r="G72" i="9"/>
  <c r="H72" i="9"/>
  <c r="I72" i="9"/>
  <c r="J72" i="9"/>
  <c r="K72" i="9"/>
  <c r="L72" i="9"/>
  <c r="M72" i="9"/>
  <c r="N72" i="9"/>
  <c r="O72" i="9"/>
  <c r="A73" i="9"/>
  <c r="D73" i="9"/>
  <c r="E73" i="9"/>
  <c r="G73" i="9"/>
  <c r="H73" i="9"/>
  <c r="I73" i="9"/>
  <c r="J73" i="9"/>
  <c r="K73" i="9"/>
  <c r="L73" i="9"/>
  <c r="M73" i="9"/>
  <c r="N73" i="9"/>
  <c r="O73" i="9"/>
  <c r="A74" i="9"/>
  <c r="D74" i="9"/>
  <c r="E74" i="9"/>
  <c r="G74" i="9"/>
  <c r="H74" i="9"/>
  <c r="I74" i="9"/>
  <c r="J74" i="9"/>
  <c r="K74" i="9"/>
  <c r="L74" i="9"/>
  <c r="M74" i="9"/>
  <c r="N74" i="9"/>
  <c r="O74" i="9"/>
  <c r="A75" i="9"/>
  <c r="D75" i="9"/>
  <c r="E75" i="9"/>
  <c r="G75" i="9"/>
  <c r="H75" i="9"/>
  <c r="I75" i="9"/>
  <c r="J75" i="9"/>
  <c r="K75" i="9"/>
  <c r="L75" i="9"/>
  <c r="M75" i="9"/>
  <c r="N75" i="9"/>
  <c r="O75" i="9"/>
  <c r="A76" i="9"/>
  <c r="D76" i="9"/>
  <c r="E76" i="9"/>
  <c r="G76" i="9"/>
  <c r="H76" i="9"/>
  <c r="I76" i="9"/>
  <c r="J76" i="9"/>
  <c r="K76" i="9"/>
  <c r="L76" i="9"/>
  <c r="M76" i="9"/>
  <c r="N76" i="9"/>
  <c r="O76" i="9"/>
  <c r="A77" i="9"/>
  <c r="D77" i="9"/>
  <c r="E77" i="9"/>
  <c r="G77" i="9"/>
  <c r="H77" i="9"/>
  <c r="I77" i="9"/>
  <c r="J77" i="9"/>
  <c r="K77" i="9"/>
  <c r="L77" i="9"/>
  <c r="M77" i="9"/>
  <c r="N77" i="9"/>
  <c r="O77" i="9"/>
  <c r="A78" i="9"/>
  <c r="D78" i="9"/>
  <c r="E78" i="9"/>
  <c r="G78" i="9"/>
  <c r="H78" i="9"/>
  <c r="I78" i="9"/>
  <c r="J78" i="9"/>
  <c r="K78" i="9"/>
  <c r="L78" i="9"/>
  <c r="M78" i="9"/>
  <c r="N78" i="9"/>
  <c r="O78" i="9"/>
  <c r="A79" i="9"/>
  <c r="D79" i="9"/>
  <c r="E79" i="9"/>
  <c r="G79" i="9"/>
  <c r="H79" i="9"/>
  <c r="I79" i="9"/>
  <c r="J79" i="9"/>
  <c r="K79" i="9"/>
  <c r="L79" i="9"/>
  <c r="M79" i="9"/>
  <c r="N79" i="9"/>
  <c r="O79" i="9"/>
  <c r="A80" i="9"/>
  <c r="D80" i="9"/>
  <c r="E80" i="9"/>
  <c r="G80" i="9"/>
  <c r="H80" i="9"/>
  <c r="I80" i="9"/>
  <c r="J80" i="9"/>
  <c r="K80" i="9"/>
  <c r="L80" i="9"/>
  <c r="M80" i="9"/>
  <c r="N80" i="9"/>
  <c r="O80" i="9"/>
  <c r="A81" i="9"/>
  <c r="D81" i="9"/>
  <c r="E81" i="9"/>
  <c r="G81" i="9"/>
  <c r="H81" i="9"/>
  <c r="I81" i="9"/>
  <c r="J81" i="9"/>
  <c r="K81" i="9"/>
  <c r="L81" i="9"/>
  <c r="M81" i="9"/>
  <c r="N81" i="9"/>
  <c r="O81" i="9"/>
  <c r="A82" i="9"/>
  <c r="D82" i="9"/>
  <c r="E82" i="9"/>
  <c r="G82" i="9"/>
  <c r="H82" i="9"/>
  <c r="I82" i="9"/>
  <c r="J82" i="9"/>
  <c r="K82" i="9"/>
  <c r="L82" i="9"/>
  <c r="M82" i="9"/>
  <c r="N82" i="9"/>
  <c r="O82" i="9"/>
  <c r="A83" i="9"/>
  <c r="D83" i="9"/>
  <c r="E83" i="9"/>
  <c r="G83" i="9"/>
  <c r="H83" i="9"/>
  <c r="I83" i="9"/>
  <c r="J83" i="9"/>
  <c r="K83" i="9"/>
  <c r="L83" i="9"/>
  <c r="M83" i="9"/>
  <c r="N83" i="9"/>
  <c r="O83" i="9"/>
  <c r="A84" i="9"/>
  <c r="D84" i="9"/>
  <c r="E84" i="9"/>
  <c r="G84" i="9"/>
  <c r="H84" i="9"/>
  <c r="I84" i="9"/>
  <c r="J84" i="9"/>
  <c r="K84" i="9"/>
  <c r="L84" i="9"/>
  <c r="M84" i="9"/>
  <c r="N84" i="9"/>
  <c r="O84" i="9"/>
  <c r="A85" i="9"/>
  <c r="D85" i="9"/>
  <c r="E85" i="9"/>
  <c r="G85" i="9"/>
  <c r="H85" i="9"/>
  <c r="I85" i="9"/>
  <c r="J85" i="9"/>
  <c r="K85" i="9"/>
  <c r="L85" i="9"/>
  <c r="M85" i="9"/>
  <c r="N85" i="9"/>
  <c r="O85" i="9"/>
  <c r="A86" i="9"/>
  <c r="D86" i="9"/>
  <c r="E86" i="9"/>
  <c r="G86" i="9"/>
  <c r="H86" i="9"/>
  <c r="I86" i="9"/>
  <c r="J86" i="9"/>
  <c r="K86" i="9"/>
  <c r="L86" i="9"/>
  <c r="M86" i="9"/>
  <c r="N86" i="9"/>
  <c r="O86" i="9"/>
  <c r="A87" i="9"/>
  <c r="D87" i="9"/>
  <c r="E87" i="9"/>
  <c r="G87" i="9"/>
  <c r="H87" i="9"/>
  <c r="I87" i="9"/>
  <c r="J87" i="9"/>
  <c r="K87" i="9"/>
  <c r="L87" i="9"/>
  <c r="M87" i="9"/>
  <c r="N87" i="9"/>
  <c r="O87" i="9"/>
  <c r="A88" i="9"/>
  <c r="D88" i="9"/>
  <c r="E88" i="9"/>
  <c r="G88" i="9"/>
  <c r="H88" i="9"/>
  <c r="I88" i="9"/>
  <c r="J88" i="9"/>
  <c r="K88" i="9"/>
  <c r="L88" i="9"/>
  <c r="M88" i="9"/>
  <c r="N88" i="9"/>
  <c r="O88" i="9"/>
  <c r="A89" i="9"/>
  <c r="D89" i="9"/>
  <c r="E89" i="9"/>
  <c r="G89" i="9"/>
  <c r="H89" i="9"/>
  <c r="I89" i="9"/>
  <c r="J89" i="9"/>
  <c r="K89" i="9"/>
  <c r="L89" i="9"/>
  <c r="M89" i="9"/>
  <c r="N89" i="9"/>
  <c r="O89" i="9"/>
  <c r="A90" i="9"/>
  <c r="D90" i="9"/>
  <c r="E90" i="9"/>
  <c r="G90" i="9"/>
  <c r="H90" i="9"/>
  <c r="I90" i="9"/>
  <c r="J90" i="9"/>
  <c r="K90" i="9"/>
  <c r="L90" i="9"/>
  <c r="M90" i="9"/>
  <c r="N90" i="9"/>
  <c r="O90" i="9"/>
  <c r="A91" i="9"/>
  <c r="D91" i="9"/>
  <c r="E91" i="9"/>
  <c r="G91" i="9"/>
  <c r="H91" i="9"/>
  <c r="I91" i="9"/>
  <c r="J91" i="9"/>
  <c r="K91" i="9"/>
  <c r="L91" i="9"/>
  <c r="M91" i="9"/>
  <c r="N91" i="9"/>
  <c r="O91" i="9"/>
  <c r="A92" i="9"/>
  <c r="D92" i="9"/>
  <c r="E92" i="9"/>
  <c r="G92" i="9"/>
  <c r="H92" i="9"/>
  <c r="I92" i="9"/>
  <c r="J92" i="9"/>
  <c r="K92" i="9"/>
  <c r="L92" i="9"/>
  <c r="M92" i="9"/>
  <c r="N92" i="9"/>
  <c r="O92" i="9"/>
  <c r="A93" i="9"/>
  <c r="D93" i="9"/>
  <c r="E93" i="9"/>
  <c r="G93" i="9"/>
  <c r="H93" i="9"/>
  <c r="I93" i="9"/>
  <c r="J93" i="9"/>
  <c r="K93" i="9"/>
  <c r="L93" i="9"/>
  <c r="M93" i="9"/>
  <c r="N93" i="9"/>
  <c r="O93" i="9"/>
  <c r="D58" i="9"/>
  <c r="G15" i="9"/>
  <c r="H15" i="9"/>
  <c r="I15" i="9"/>
  <c r="J15" i="9"/>
  <c r="K15" i="9"/>
  <c r="L15" i="9"/>
  <c r="M15" i="9"/>
  <c r="N15" i="9"/>
  <c r="J9" i="11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J8" i="11"/>
  <c r="O17" i="9"/>
  <c r="D15" i="9"/>
  <c r="E15" i="9"/>
  <c r="D16" i="9"/>
  <c r="E16" i="9"/>
  <c r="D17" i="9"/>
  <c r="E17" i="9"/>
  <c r="A15" i="9"/>
  <c r="A16" i="9"/>
  <c r="A17" i="9"/>
  <c r="D3" i="9"/>
  <c r="E3" i="9"/>
  <c r="G3" i="9"/>
  <c r="H3" i="9"/>
  <c r="I3" i="9"/>
  <c r="J3" i="9"/>
  <c r="K3" i="9"/>
  <c r="L3" i="9"/>
  <c r="M3" i="9"/>
  <c r="N3" i="9"/>
  <c r="O3" i="9"/>
  <c r="D4" i="9"/>
  <c r="E4" i="9"/>
  <c r="G4" i="9"/>
  <c r="H4" i="9"/>
  <c r="I4" i="9"/>
  <c r="J4" i="9"/>
  <c r="K4" i="9"/>
  <c r="L4" i="9"/>
  <c r="M4" i="9"/>
  <c r="N4" i="9"/>
  <c r="O4" i="9"/>
  <c r="D5" i="9"/>
  <c r="E5" i="9"/>
  <c r="G5" i="9"/>
  <c r="H5" i="9"/>
  <c r="I5" i="9"/>
  <c r="J5" i="9"/>
  <c r="K5" i="9"/>
  <c r="L5" i="9"/>
  <c r="M5" i="9"/>
  <c r="N5" i="9"/>
  <c r="O5" i="9"/>
  <c r="D6" i="9"/>
  <c r="E6" i="9"/>
  <c r="G6" i="9"/>
  <c r="H6" i="9"/>
  <c r="I6" i="9"/>
  <c r="J6" i="9"/>
  <c r="K6" i="9"/>
  <c r="L6" i="9"/>
  <c r="M6" i="9"/>
  <c r="N6" i="9"/>
  <c r="O6" i="9"/>
  <c r="D7" i="9"/>
  <c r="E7" i="9"/>
  <c r="G7" i="9"/>
  <c r="H7" i="9"/>
  <c r="I7" i="9"/>
  <c r="J7" i="9"/>
  <c r="K7" i="9"/>
  <c r="L7" i="9"/>
  <c r="M7" i="9"/>
  <c r="N7" i="9"/>
  <c r="O7" i="9"/>
  <c r="D8" i="9"/>
  <c r="E8" i="9"/>
  <c r="G8" i="9"/>
  <c r="H8" i="9"/>
  <c r="I8" i="9"/>
  <c r="J8" i="9"/>
  <c r="K8" i="9"/>
  <c r="L8" i="9"/>
  <c r="M8" i="9"/>
  <c r="N8" i="9"/>
  <c r="O8" i="9"/>
  <c r="D9" i="9"/>
  <c r="E9" i="9"/>
  <c r="G9" i="9"/>
  <c r="H9" i="9"/>
  <c r="I9" i="9"/>
  <c r="J9" i="9"/>
  <c r="K9" i="9"/>
  <c r="L9" i="9"/>
  <c r="M9" i="9"/>
  <c r="N9" i="9"/>
  <c r="O9" i="9"/>
  <c r="D10" i="9"/>
  <c r="E10" i="9"/>
  <c r="G10" i="9"/>
  <c r="H10" i="9"/>
  <c r="I10" i="9"/>
  <c r="J10" i="9"/>
  <c r="K10" i="9"/>
  <c r="L10" i="9"/>
  <c r="M10" i="9"/>
  <c r="N10" i="9"/>
  <c r="O10" i="9"/>
  <c r="D11" i="9"/>
  <c r="E11" i="9"/>
  <c r="G11" i="9"/>
  <c r="H11" i="9"/>
  <c r="I11" i="9"/>
  <c r="J11" i="9"/>
  <c r="K11" i="9"/>
  <c r="L11" i="9"/>
  <c r="M11" i="9"/>
  <c r="N11" i="9"/>
  <c r="O11" i="9"/>
  <c r="D12" i="9"/>
  <c r="E12" i="9"/>
  <c r="G12" i="9"/>
  <c r="H12" i="9"/>
  <c r="I12" i="9"/>
  <c r="J12" i="9"/>
  <c r="K12" i="9"/>
  <c r="L12" i="9"/>
  <c r="M12" i="9"/>
  <c r="N12" i="9"/>
  <c r="O12" i="9"/>
  <c r="D13" i="9"/>
  <c r="E13" i="9"/>
  <c r="G13" i="9"/>
  <c r="H13" i="9"/>
  <c r="I13" i="9"/>
  <c r="J13" i="9"/>
  <c r="K13" i="9"/>
  <c r="L13" i="9"/>
  <c r="M13" i="9"/>
  <c r="N13" i="9"/>
  <c r="O13" i="9"/>
  <c r="A9" i="9"/>
  <c r="A10" i="9"/>
  <c r="A11" i="9"/>
  <c r="A12" i="9"/>
  <c r="A13" i="9"/>
  <c r="A6" i="9"/>
  <c r="A7" i="9"/>
  <c r="A3" i="9"/>
  <c r="A4" i="9"/>
  <c r="A5" i="9"/>
  <c r="A8" i="9"/>
  <c r="G3" i="10"/>
  <c r="H3" i="10"/>
  <c r="I3" i="10"/>
  <c r="J3" i="10"/>
  <c r="K3" i="10"/>
  <c r="L3" i="10"/>
  <c r="M3" i="10"/>
  <c r="M16" i="10"/>
  <c r="M26" i="10"/>
  <c r="M36" i="10"/>
  <c r="M46" i="10"/>
  <c r="N46" i="10"/>
  <c r="Q46" i="10"/>
  <c r="P46" i="10"/>
  <c r="R46" i="10"/>
  <c r="O46" i="10"/>
  <c r="S46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7" i="10"/>
  <c r="M27" i="10"/>
  <c r="M37" i="10"/>
  <c r="M47" i="10"/>
  <c r="N47" i="10"/>
  <c r="Q47" i="10"/>
  <c r="P47" i="10"/>
  <c r="R47" i="10"/>
  <c r="O47" i="10"/>
  <c r="S47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8" i="10"/>
  <c r="M28" i="10"/>
  <c r="M38" i="10"/>
  <c r="M48" i="10"/>
  <c r="N48" i="10"/>
  <c r="Q48" i="10"/>
  <c r="P48" i="10"/>
  <c r="R48" i="10"/>
  <c r="O48" i="10"/>
  <c r="S48" i="10"/>
  <c r="N38" i="10"/>
  <c r="Q38" i="10"/>
  <c r="P38" i="10"/>
  <c r="R38" i="10"/>
  <c r="O38" i="10"/>
  <c r="S3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5" i="10"/>
  <c r="O5" i="10"/>
  <c r="P5" i="10"/>
  <c r="Q5" i="10"/>
  <c r="R5" i="10"/>
  <c r="S5" i="10"/>
  <c r="T5" i="10"/>
  <c r="U5" i="10"/>
  <c r="V5" i="10"/>
  <c r="W5" i="10"/>
  <c r="X5" i="10"/>
  <c r="Y5" i="10"/>
  <c r="E53" i="9"/>
  <c r="J3" i="11"/>
  <c r="J4" i="11"/>
  <c r="J5" i="11"/>
  <c r="J6" i="11"/>
  <c r="J7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9" i="10"/>
  <c r="M39" i="10"/>
  <c r="M4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M30" i="10"/>
  <c r="M40" i="10"/>
  <c r="M5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M41" i="10"/>
  <c r="M51" i="10"/>
  <c r="N51" i="10"/>
  <c r="Q51" i="10"/>
  <c r="P51" i="10"/>
  <c r="R51" i="10"/>
  <c r="O51" i="10"/>
  <c r="S5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M32" i="10"/>
  <c r="M42" i="10"/>
  <c r="M52" i="10"/>
  <c r="N52" i="10"/>
  <c r="Q52" i="10"/>
  <c r="P52" i="10"/>
  <c r="R52" i="10"/>
  <c r="O52" i="10"/>
  <c r="S52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23" i="10"/>
  <c r="M33" i="10"/>
  <c r="M43" i="10"/>
  <c r="M53" i="10"/>
  <c r="N53" i="10"/>
  <c r="Q53" i="10"/>
  <c r="P53" i="10"/>
  <c r="R53" i="10"/>
  <c r="O53" i="10"/>
  <c r="S53" i="10"/>
  <c r="N43" i="10"/>
  <c r="Q43" i="10"/>
  <c r="P43" i="10"/>
  <c r="R43" i="10"/>
  <c r="O43" i="10"/>
  <c r="S43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M24" i="10"/>
  <c r="M34" i="10"/>
  <c r="M44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M25" i="10"/>
  <c r="M35" i="10"/>
  <c r="M45" i="10"/>
  <c r="N45" i="10"/>
  <c r="Q45" i="10"/>
  <c r="P45" i="10"/>
  <c r="R45" i="10"/>
  <c r="O45" i="10"/>
  <c r="S45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A14" i="9"/>
  <c r="D14" i="9"/>
  <c r="E14" i="9"/>
  <c r="G14" i="9"/>
  <c r="H14" i="9"/>
  <c r="I14" i="9"/>
  <c r="J14" i="9"/>
  <c r="K14" i="9"/>
  <c r="L14" i="9"/>
  <c r="M14" i="9"/>
  <c r="N14" i="9"/>
  <c r="O14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O54" i="9"/>
  <c r="A55" i="9"/>
  <c r="D55" i="9"/>
  <c r="E55" i="9"/>
  <c r="G55" i="9"/>
  <c r="H55" i="9"/>
  <c r="I55" i="9"/>
  <c r="J55" i="9"/>
  <c r="K55" i="9"/>
  <c r="L55" i="9"/>
  <c r="M55" i="9"/>
  <c r="N55" i="9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A57" i="9"/>
  <c r="D57" i="9"/>
  <c r="E57" i="9"/>
  <c r="G57" i="9"/>
  <c r="H57" i="9"/>
  <c r="I57" i="9"/>
  <c r="J57" i="9"/>
  <c r="K57" i="9"/>
  <c r="L57" i="9"/>
  <c r="M57" i="9"/>
  <c r="N57" i="9"/>
  <c r="O57" i="9"/>
  <c r="A58" i="9"/>
  <c r="E58" i="9"/>
  <c r="G58" i="9"/>
  <c r="H58" i="9"/>
  <c r="I58" i="9"/>
  <c r="J58" i="9"/>
  <c r="K58" i="9"/>
  <c r="L58" i="9"/>
  <c r="M58" i="9"/>
  <c r="N58" i="9"/>
  <c r="O58" i="9"/>
  <c r="A59" i="9"/>
  <c r="D59" i="9"/>
  <c r="E59" i="9"/>
  <c r="G59" i="9"/>
  <c r="H59" i="9"/>
  <c r="I59" i="9"/>
  <c r="J59" i="9"/>
  <c r="K59" i="9"/>
  <c r="L59" i="9"/>
  <c r="M59" i="9"/>
  <c r="N59" i="9"/>
  <c r="O59" i="9"/>
  <c r="A60" i="9"/>
  <c r="D60" i="9"/>
  <c r="E60" i="9"/>
  <c r="G60" i="9"/>
  <c r="H60" i="9"/>
  <c r="I60" i="9"/>
  <c r="J60" i="9"/>
  <c r="K60" i="9"/>
  <c r="L60" i="9"/>
  <c r="M60" i="9"/>
  <c r="N60" i="9"/>
  <c r="O60" i="9"/>
  <c r="A61" i="9"/>
  <c r="D61" i="9"/>
  <c r="E61" i="9"/>
  <c r="G61" i="9"/>
  <c r="H61" i="9"/>
  <c r="I61" i="9"/>
  <c r="J61" i="9"/>
  <c r="K61" i="9"/>
  <c r="L61" i="9"/>
  <c r="M61" i="9"/>
  <c r="N61" i="9"/>
  <c r="O61" i="9"/>
  <c r="A62" i="9"/>
  <c r="D62" i="9"/>
  <c r="E62" i="9"/>
  <c r="G62" i="9"/>
  <c r="H62" i="9"/>
  <c r="I62" i="9"/>
  <c r="J62" i="9"/>
  <c r="K62" i="9"/>
  <c r="L62" i="9"/>
  <c r="M62" i="9"/>
  <c r="N62" i="9"/>
  <c r="O62" i="9"/>
  <c r="A63" i="9"/>
  <c r="D63" i="9"/>
  <c r="E63" i="9"/>
  <c r="G63" i="9"/>
  <c r="H63" i="9"/>
  <c r="I63" i="9"/>
  <c r="J63" i="9"/>
  <c r="K63" i="9"/>
  <c r="L63" i="9"/>
  <c r="M63" i="9"/>
  <c r="N63" i="9"/>
  <c r="O63" i="9"/>
  <c r="AD37" i="1"/>
  <c r="AG37" i="1"/>
  <c r="AE37" i="1"/>
  <c r="AC37" i="1"/>
  <c r="AA37" i="1"/>
  <c r="V37" i="1"/>
  <c r="Q37" i="1"/>
  <c r="P37" i="1"/>
  <c r="O37" i="1"/>
  <c r="N37" i="1"/>
  <c r="M37" i="1"/>
  <c r="H37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J37" i="1"/>
  <c r="I37" i="1"/>
  <c r="D37" i="1"/>
  <c r="F37" i="1"/>
  <c r="E37" i="1"/>
  <c r="A37" i="1"/>
  <c r="AD36" i="1"/>
  <c r="AG36" i="1"/>
  <c r="AE36" i="1"/>
  <c r="AC36" i="1"/>
  <c r="AA36" i="1"/>
  <c r="V36" i="1"/>
  <c r="Q36" i="1"/>
  <c r="P36" i="1"/>
  <c r="O36" i="1"/>
  <c r="N36" i="1"/>
  <c r="M36" i="1"/>
  <c r="H36" i="1"/>
  <c r="J36" i="1"/>
  <c r="I36" i="1"/>
  <c r="D36" i="1"/>
  <c r="F36" i="1"/>
  <c r="E36" i="1"/>
  <c r="A36" i="1"/>
  <c r="AB35" i="1"/>
  <c r="AD35" i="1"/>
  <c r="AG35" i="1"/>
  <c r="AE35" i="1"/>
  <c r="AC35" i="1"/>
  <c r="AA35" i="1"/>
  <c r="V35" i="1"/>
  <c r="Q35" i="1"/>
  <c r="P35" i="1"/>
  <c r="O35" i="1"/>
  <c r="N35" i="1"/>
  <c r="M35" i="1"/>
  <c r="H35" i="1"/>
  <c r="J35" i="1"/>
  <c r="I35" i="1"/>
  <c r="D35" i="1"/>
  <c r="F35" i="1"/>
  <c r="E35" i="1"/>
  <c r="A35" i="1"/>
  <c r="AB34" i="1"/>
  <c r="AD34" i="1"/>
  <c r="AG34" i="1"/>
  <c r="AE34" i="1"/>
  <c r="AC34" i="1"/>
  <c r="AA34" i="1"/>
  <c r="V34" i="1"/>
  <c r="Q34" i="1"/>
  <c r="P34" i="1"/>
  <c r="O34" i="1"/>
  <c r="N34" i="1"/>
  <c r="M34" i="1"/>
  <c r="H34" i="1"/>
  <c r="J34" i="1"/>
  <c r="I34" i="1"/>
  <c r="D34" i="1"/>
  <c r="F34" i="1"/>
  <c r="E34" i="1"/>
  <c r="A34" i="1"/>
  <c r="AB33" i="1"/>
  <c r="AD33" i="1"/>
  <c r="AG33" i="1"/>
  <c r="AE33" i="1"/>
  <c r="AC33" i="1"/>
  <c r="AA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32" i="1"/>
  <c r="AD32" i="1"/>
  <c r="AG32" i="1"/>
  <c r="AE32" i="1"/>
  <c r="AC32" i="1"/>
  <c r="AA32" i="1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AA31" i="1"/>
  <c r="W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AA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AA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D28" i="1"/>
  <c r="AG28" i="1"/>
  <c r="AE28" i="1"/>
  <c r="AC28" i="1"/>
  <c r="AA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D27" i="1"/>
  <c r="AG27" i="1"/>
  <c r="AE27" i="1"/>
  <c r="AC27" i="1"/>
  <c r="AA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AA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AA25" i="1"/>
  <c r="V25" i="1"/>
  <c r="Q25" i="1"/>
  <c r="P25" i="1"/>
  <c r="O25" i="1"/>
  <c r="N25" i="1"/>
  <c r="H25" i="1"/>
  <c r="J25" i="1"/>
  <c r="I25" i="1"/>
  <c r="D25" i="1"/>
  <c r="F25" i="1"/>
  <c r="E25" i="1"/>
  <c r="A25" i="1"/>
  <c r="AB24" i="1"/>
  <c r="AD24" i="1"/>
  <c r="AG24" i="1"/>
  <c r="AE24" i="1"/>
  <c r="AC24" i="1"/>
  <c r="AA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W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AA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D20" i="1"/>
  <c r="AG20" i="1"/>
  <c r="AE20" i="1"/>
  <c r="AC20" i="1"/>
  <c r="AA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D19" i="1"/>
  <c r="AG19" i="1"/>
  <c r="AE19" i="1"/>
  <c r="AC19" i="1"/>
  <c r="AA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W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Y9" i="7"/>
  <c r="W9" i="7"/>
  <c r="R9" i="7"/>
  <c r="Q9" i="7"/>
  <c r="P9" i="7"/>
  <c r="O9" i="7"/>
  <c r="N9" i="7"/>
  <c r="H9" i="7"/>
  <c r="J9" i="7"/>
  <c r="I9" i="7"/>
  <c r="D9" i="7"/>
  <c r="F9" i="7"/>
  <c r="E9" i="7"/>
  <c r="A9" i="7"/>
  <c r="Y8" i="7"/>
  <c r="W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A3" i="7"/>
  <c r="D3" i="7"/>
  <c r="E3" i="7"/>
  <c r="F3" i="7"/>
  <c r="H3" i="7"/>
  <c r="I3" i="7"/>
  <c r="J3" i="7"/>
  <c r="N3" i="7"/>
  <c r="O3" i="7"/>
  <c r="P3" i="7"/>
  <c r="Q3" i="7"/>
  <c r="R3" i="7"/>
  <c r="W3" i="7"/>
  <c r="Y3" i="7"/>
  <c r="AA7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A8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A9" i="1"/>
  <c r="A9" i="1"/>
  <c r="D9" i="1"/>
  <c r="E9" i="1"/>
  <c r="F9" i="1"/>
  <c r="H9" i="1"/>
  <c r="I9" i="1"/>
  <c r="J9" i="1"/>
  <c r="M9" i="1"/>
  <c r="N9" i="1"/>
  <c r="O9" i="1"/>
  <c r="P9" i="1"/>
  <c r="Q9" i="1"/>
  <c r="V9" i="1"/>
  <c r="AD9" i="1"/>
  <c r="AE9" i="1"/>
  <c r="AG9" i="1"/>
  <c r="AA10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C10" i="1"/>
  <c r="AD10" i="1"/>
  <c r="AE10" i="1"/>
  <c r="AG10" i="1"/>
  <c r="AA11" i="1"/>
  <c r="A11" i="1"/>
  <c r="D11" i="1"/>
  <c r="E11" i="1"/>
  <c r="F11" i="1"/>
  <c r="H11" i="1"/>
  <c r="I11" i="1"/>
  <c r="J11" i="1"/>
  <c r="M11" i="1"/>
  <c r="N11" i="1"/>
  <c r="O11" i="1"/>
  <c r="P11" i="1"/>
  <c r="Q11" i="1"/>
  <c r="V11" i="1"/>
  <c r="AC11" i="1"/>
  <c r="AD11" i="1"/>
  <c r="AE11" i="1"/>
  <c r="AG11" i="1"/>
  <c r="AA3" i="1"/>
  <c r="A3" i="1"/>
  <c r="D3" i="1"/>
  <c r="E3" i="1"/>
  <c r="F3" i="1"/>
  <c r="H3" i="1"/>
  <c r="I3" i="1"/>
  <c r="J3" i="1"/>
  <c r="M3" i="1"/>
  <c r="N3" i="1"/>
  <c r="O3" i="1"/>
  <c r="P3" i="1"/>
  <c r="Q3" i="1"/>
  <c r="V3" i="1"/>
  <c r="AB3" i="1"/>
  <c r="AC3" i="1"/>
  <c r="AD3" i="1"/>
  <c r="AE3" i="1"/>
  <c r="AG3" i="1"/>
  <c r="AA4" i="1"/>
  <c r="A4" i="1"/>
  <c r="D4" i="1"/>
  <c r="E4" i="1"/>
  <c r="F4" i="1"/>
  <c r="H4" i="1"/>
  <c r="I4" i="1"/>
  <c r="J4" i="1"/>
  <c r="M4" i="1"/>
  <c r="N4" i="1"/>
  <c r="O4" i="1"/>
  <c r="P4" i="1"/>
  <c r="Q4" i="1"/>
  <c r="W4" i="1"/>
  <c r="V4" i="1"/>
  <c r="AB4" i="1"/>
  <c r="AC4" i="1"/>
  <c r="AD4" i="1"/>
  <c r="AE4" i="1"/>
  <c r="AG4" i="1"/>
  <c r="AA5" i="1"/>
  <c r="A5" i="1"/>
  <c r="D5" i="1"/>
  <c r="E5" i="1"/>
  <c r="F5" i="1"/>
  <c r="H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A6" i="1"/>
  <c r="A6" i="1"/>
  <c r="D6" i="1"/>
  <c r="E6" i="1"/>
  <c r="F6" i="1"/>
  <c r="H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B16" i="2"/>
  <c r="D16" i="2"/>
  <c r="E16" i="2"/>
  <c r="H16" i="2"/>
  <c r="B17" i="2"/>
  <c r="D17" i="2"/>
  <c r="E17" i="2"/>
  <c r="H17" i="2"/>
  <c r="E13" i="16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Y2" i="7"/>
  <c r="E9" i="16"/>
  <c r="W2" i="7"/>
  <c r="V2" i="1"/>
  <c r="R2" i="7"/>
  <c r="Q2" i="7"/>
  <c r="P2" i="7"/>
  <c r="O2" i="7"/>
  <c r="N2" i="7"/>
  <c r="AB2" i="1"/>
  <c r="AE2" i="1"/>
  <c r="AD2" i="1"/>
  <c r="AC2" i="1"/>
  <c r="AA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<sst xmlns="http://schemas.openxmlformats.org/spreadsheetml/2006/main" count="1692" uniqueCount="580">
  <si>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</si>
  <si>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</si>
  <si>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</si>
  <si>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</si>
  <si>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</si>
  <si>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</si>
  <si>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</si>
  <si>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</si>
  <si>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</si>
  <si>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</si>
  <si>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</si>
  <si>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</si>
  <si>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</si>
  <si>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</si>
  <si>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</si>
  <si>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</si>
  <si>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</si>
  <si>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</si>
  <si>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</si>
  <si>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</si>
  <si>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</si>
  <si>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</si>
  <si>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</si>
  <si>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</si>
  <si>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</si>
  <si>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</si>
  <si>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</si>
  <si>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</si>
  <si>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</si>
  <si>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</si>
  <si>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</si>
  <si>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</si>
  <si>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</si>
  <si>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</si>
  <si>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</si>
  <si>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</si>
  <si>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</si>
  <si>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</si>
  <si>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</si>
  <si>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</si>
  <si>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</si>
  <si>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</si>
  <si>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</si>
  <si>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</si>
  <si>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</si>
  <si>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</si>
  <si>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</si>
  <si>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</si>
  <si>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</si>
  <si>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</si>
  <si>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</si>
  <si>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</si>
  <si>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</si>
  <si>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</si>
  <si>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</si>
  <si>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</si>
  <si>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</si>
  <si>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</si>
  <si>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</si>
  <si>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</si>
  <si>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</si>
  <si>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</si>
  <si>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</si>
  <si>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</si>
  <si>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</si>
  <si>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</si>
  <si>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</si>
  <si>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</si>
  <si>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</si>
  <si>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</si>
  <si>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</si>
  <si>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</si>
  <si>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</si>
  <si>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</si>
  <si>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</si>
  <si>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</si>
  <si>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</si>
  <si>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</si>
  <si>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</si>
  <si>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</si>
  <si>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</si>
  <si>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</si>
  <si>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</si>
  <si>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</si>
  <si>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</si>
  <si>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</si>
  <si>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</si>
  <si>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</si>
  <si>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</si>
  <si>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</si>
  <si>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</si>
  <si>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</si>
  <si>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</si>
  <si>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</si>
  <si>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</si>
  <si>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</si>
  <si>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</si>
  <si>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</si>
  <si>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</si>
  <si>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</si>
  <si>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</si>
  <si>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</si>
  <si>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</si>
  <si>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</si>
  <si>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</si>
  <si>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</si>
  <si>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</si>
  <si>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</si>
  <si>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</si>
  <si>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</si>
  <si>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</si>
  <si>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</si>
  <si>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</si>
  <si>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</si>
  <si>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</si>
  <si>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</si>
  <si>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</si>
  <si>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</si>
  <si>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</si>
  <si>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</si>
  <si>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</si>
  <si>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</si>
  <si>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</si>
  <si>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</si>
  <si>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</si>
  <si>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</si>
  <si>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</si>
  <si>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</si>
  <si>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</si>
  <si>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</si>
  <si>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</si>
  <si>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</si>
  <si>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</si>
  <si>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</si>
  <si>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</si>
  <si>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</si>
  <si>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</si>
  <si>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</si>
  <si>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</si>
  <si>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</si>
  <si>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</si>
  <si>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</si>
  <si>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</si>
  <si>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</si>
  <si>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</si>
  <si>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</si>
  <si>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</si>
  <si>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</si>
  <si>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</si>
  <si>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</si>
  <si>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</si>
  <si>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</si>
  <si>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</si>
  <si>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</si>
  <si>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</si>
  <si>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</si>
  <si>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</si>
  <si>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</si>
  <si>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</si>
  <si>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</si>
  <si>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</si>
  <si>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</si>
  <si>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</si>
  <si>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</si>
  <si>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</si>
  <si>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</si>
  <si>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</si>
  <si>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</si>
  <si>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</si>
  <si>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</si>
  <si>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</si>
  <si>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</si>
  <si>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</si>
  <si>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</si>
  <si>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</si>
  <si>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</si>
  <si>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</si>
  <si>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</si>
  <si>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</si>
  <si>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</si>
  <si>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</si>
  <si>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</si>
  <si>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</si>
  <si>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</si>
  <si>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</si>
  <si>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</si>
  <si>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</si>
  <si>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</si>
  <si>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</si>
  <si>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</si>
  <si>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</si>
  <si>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</si>
  <si>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</si>
  <si>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</si>
  <si>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</si>
  <si>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</si>
  <si>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complete</t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</si>
  <si>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</si>
  <si>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</si>
  <si>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</si>
  <si>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</si>
  <si>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</si>
  <si>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</si>
  <si>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</si>
  <si>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</si>
  <si>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</si>
  <si>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NULL</t>
    <phoneticPr fontId="6"/>
  </si>
  <si>
    <t>stage_hints_failure</t>
    <phoneticPr fontId="6"/>
  </si>
  <si>
    <t>stage_hints_failure</t>
    <phoneticPr fontId="6"/>
  </si>
  <si>
    <t>stage_bonuses</t>
    <phoneticPr fontId="6"/>
  </si>
  <si>
    <t>.tmp</t>
    <phoneticPr fontId="6"/>
  </si>
  <si>
    <t>quest_id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</si>
  <si>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</si>
  <si>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</si>
  <si>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</si>
  <si>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</si>
  <si>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</si>
  <si>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</si>
  <si>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</si>
  <si>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</si>
  <si>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</si>
  <si>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</si>
  <si>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</si>
  <si>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</si>
  <si>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</si>
  <si>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</si>
  <si>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</si>
  <si>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</si>
  <si>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</si>
  <si>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stage_bonuses_</t>
    <phoneticPr fontId="6"/>
  </si>
  <si>
    <t>１F鎧の巨人通常</t>
    <rPh sb="2" eb="3">
      <t>ヨロイノキョジｎ</t>
    </rPh>
    <rPh sb="6" eb="8">
      <t>ツウジョウ</t>
    </rPh>
    <phoneticPr fontId="6"/>
  </si>
  <si>
    <t>１F鎧の巨人撃破時</t>
    <rPh sb="2" eb="3">
      <t>ヨロイノキョジｎ</t>
    </rPh>
    <rPh sb="6" eb="8">
      <t>ゲキハ</t>
    </rPh>
    <rPh sb="8" eb="9">
      <t>ジ</t>
    </rPh>
    <phoneticPr fontId="6"/>
  </si>
  <si>
    <t>２F女型の巨人撃破時</t>
    <rPh sb="2" eb="4">
      <t>megata</t>
    </rPh>
    <rPh sb="5" eb="7">
      <t>キョジｎ</t>
    </rPh>
    <rPh sb="7" eb="9">
      <t>ゲキハ</t>
    </rPh>
    <rPh sb="9" eb="10">
      <t>ジ</t>
    </rPh>
    <phoneticPr fontId="6"/>
  </si>
  <si>
    <t>２F女型の巨人先制スキル</t>
    <rPh sb="2" eb="3">
      <t>オンナ</t>
    </rPh>
    <rPh sb="3" eb="4">
      <t>メガタ</t>
    </rPh>
    <rPh sb="5" eb="7">
      <t>キョジｎ</t>
    </rPh>
    <rPh sb="7" eb="9">
      <t>センセイ</t>
    </rPh>
    <phoneticPr fontId="6"/>
  </si>
  <si>
    <t>２F女型の巨人通常</t>
    <rPh sb="2" eb="4">
      <t>megata</t>
    </rPh>
    <rPh sb="5" eb="7">
      <t>キョジｎ</t>
    </rPh>
    <rPh sb="7" eb="9">
      <t>ツウジョウ</t>
    </rPh>
    <phoneticPr fontId="6"/>
  </si>
  <si>
    <t>２F女型の巨人通常2</t>
    <rPh sb="2" eb="4">
      <t>megata</t>
    </rPh>
    <rPh sb="5" eb="7">
      <t>キョジｎ</t>
    </rPh>
    <rPh sb="7" eb="9">
      <t>ツウジョウ</t>
    </rPh>
    <phoneticPr fontId="6"/>
  </si>
  <si>
    <t>４F女型の巨人開幕</t>
    <rPh sb="2" eb="4">
      <t>メガタ</t>
    </rPh>
    <rPh sb="5" eb="7">
      <t>キョジｎ</t>
    </rPh>
    <rPh sb="7" eb="9">
      <t>カイマク</t>
    </rPh>
    <phoneticPr fontId="6"/>
  </si>
  <si>
    <t>４F女型の巨人２連続攻撃</t>
    <rPh sb="5" eb="7">
      <t>キョジｎ</t>
    </rPh>
    <rPh sb="10" eb="12">
      <t>コウゲキ</t>
    </rPh>
    <phoneticPr fontId="6"/>
  </si>
  <si>
    <t>４F女型の巨人3連続攻撃</t>
    <rPh sb="5" eb="7">
      <t>キョジｎ</t>
    </rPh>
    <rPh sb="10" eb="12">
      <t>コウゲキ</t>
    </rPh>
    <phoneticPr fontId="6"/>
  </si>
  <si>
    <t>４F女型の巨人4連続攻撃</t>
    <rPh sb="5" eb="7">
      <t>キョジｎ</t>
    </rPh>
    <rPh sb="10" eb="12">
      <t>コウゲキ</t>
    </rPh>
    <phoneticPr fontId="6"/>
  </si>
  <si>
    <t>４F女型の巨人全体攻撃</t>
    <rPh sb="5" eb="7">
      <t>キョジｎ</t>
    </rPh>
    <rPh sb="7" eb="9">
      <t>ゼンタイ</t>
    </rPh>
    <rPh sb="9" eb="11">
      <t>コウゲキ</t>
    </rPh>
    <phoneticPr fontId="6"/>
  </si>
  <si>
    <t>４F女型の巨人５T毎初級</t>
    <rPh sb="9" eb="10">
      <t>ゴト</t>
    </rPh>
    <rPh sb="10" eb="12">
      <t>ショキュウ</t>
    </rPh>
    <phoneticPr fontId="6"/>
  </si>
  <si>
    <t>４F女型の巨人５T毎中級</t>
    <rPh sb="9" eb="10">
      <t>ゴト</t>
    </rPh>
    <rPh sb="10" eb="11">
      <t>チュウ</t>
    </rPh>
    <rPh sb="11" eb="12">
      <t>ショキュウ</t>
    </rPh>
    <phoneticPr fontId="6"/>
  </si>
  <si>
    <t>４F女型の巨人５T毎上級</t>
    <rPh sb="9" eb="10">
      <t>ゴト</t>
    </rPh>
    <rPh sb="10" eb="11">
      <t>ウエ</t>
    </rPh>
    <rPh sb="11" eb="12">
      <t>ショキュウ</t>
    </rPh>
    <phoneticPr fontId="6"/>
  </si>
  <si>
    <t>４F女型の巨人５T毎超級</t>
    <rPh sb="9" eb="10">
      <t>ゴト</t>
    </rPh>
    <rPh sb="10" eb="11">
      <t>チョウ</t>
    </rPh>
    <rPh sb="11" eb="12">
      <t>ショキュウ</t>
    </rPh>
    <phoneticPr fontId="6"/>
  </si>
  <si>
    <t>４F女型の巨人HP半減</t>
    <rPh sb="9" eb="11">
      <t>ハンゲン</t>
    </rPh>
    <phoneticPr fontId="6"/>
  </si>
  <si>
    <t>４F女型の巨人２G目開幕初級</t>
    <rPh sb="9" eb="10">
      <t>メ</t>
    </rPh>
    <rPh sb="10" eb="12">
      <t>カイマク</t>
    </rPh>
    <rPh sb="12" eb="14">
      <t>ショキュウ</t>
    </rPh>
    <phoneticPr fontId="6"/>
  </si>
  <si>
    <t>４F女型の巨人２G目開幕中級</t>
    <rPh sb="9" eb="10">
      <t>メ</t>
    </rPh>
    <rPh sb="10" eb="12">
      <t>カイマク</t>
    </rPh>
    <rPh sb="12" eb="13">
      <t>チュウ</t>
    </rPh>
    <rPh sb="13" eb="14">
      <t>ショキュウ</t>
    </rPh>
    <phoneticPr fontId="6"/>
  </si>
  <si>
    <t>４F女型の巨人２G目開幕上級</t>
    <rPh sb="9" eb="10">
      <t>メ</t>
    </rPh>
    <rPh sb="10" eb="12">
      <t>カイマク</t>
    </rPh>
    <rPh sb="12" eb="13">
      <t>ジョウ</t>
    </rPh>
    <rPh sb="13" eb="14">
      <t>ショキュウ</t>
    </rPh>
    <phoneticPr fontId="6"/>
  </si>
  <si>
    <t>４F女型の巨人２G目開幕超級</t>
    <rPh sb="9" eb="10">
      <t>メ</t>
    </rPh>
    <rPh sb="10" eb="12">
      <t>カイマク</t>
    </rPh>
    <rPh sb="12" eb="13">
      <t>チョウ</t>
    </rPh>
    <rPh sb="13" eb="14">
      <t>ショキュウ</t>
    </rPh>
    <phoneticPr fontId="6"/>
  </si>
  <si>
    <t>４F女型の巨人２G目通常連撃</t>
    <rPh sb="9" eb="10">
      <t>メ</t>
    </rPh>
    <rPh sb="10" eb="12">
      <t>ツウジョウ</t>
    </rPh>
    <rPh sb="12" eb="14">
      <t>レンゲキ</t>
    </rPh>
    <phoneticPr fontId="6"/>
  </si>
  <si>
    <t>４F女型の巨人２G目通常全体</t>
    <rPh sb="9" eb="10">
      <t>メ</t>
    </rPh>
    <rPh sb="10" eb="12">
      <t>ツウジョウ</t>
    </rPh>
    <rPh sb="12" eb="14">
      <t>ゼンタイ</t>
    </rPh>
    <phoneticPr fontId="6"/>
  </si>
  <si>
    <t>４F女型の巨人２G目HP50%以下</t>
    <rPh sb="9" eb="10">
      <t>メ</t>
    </rPh>
    <rPh sb="15" eb="17">
      <t>イカ</t>
    </rPh>
    <phoneticPr fontId="6"/>
  </si>
  <si>
    <t>４F女型の巨人２G目HP４０％以下</t>
    <rPh sb="9" eb="10">
      <t>メ</t>
    </rPh>
    <rPh sb="15" eb="17">
      <t>イカ</t>
    </rPh>
    <phoneticPr fontId="6"/>
  </si>
  <si>
    <t>４F鎧の巨人開幕初級</t>
    <rPh sb="2" eb="3">
      <t>ヨロイノキョジｎ</t>
    </rPh>
    <rPh sb="6" eb="8">
      <t>カイマク</t>
    </rPh>
    <rPh sb="8" eb="10">
      <t>ショキュウ</t>
    </rPh>
    <phoneticPr fontId="6"/>
  </si>
  <si>
    <t>４F鎧の巨人開幕中級</t>
    <rPh sb="2" eb="3">
      <t>ヨロイノキョジｎ</t>
    </rPh>
    <rPh sb="6" eb="8">
      <t>カイマク</t>
    </rPh>
    <rPh sb="8" eb="9">
      <t>チュウ</t>
    </rPh>
    <rPh sb="9" eb="10">
      <t>ショキュウ</t>
    </rPh>
    <phoneticPr fontId="6"/>
  </si>
  <si>
    <t>４F鎧の巨人開幕上級</t>
    <rPh sb="2" eb="3">
      <t>ヨロイノキョジｎ</t>
    </rPh>
    <rPh sb="6" eb="8">
      <t>カイマク</t>
    </rPh>
    <rPh sb="8" eb="9">
      <t>ジョウ</t>
    </rPh>
    <rPh sb="9" eb="10">
      <t>ショキュウ</t>
    </rPh>
    <phoneticPr fontId="6"/>
  </si>
  <si>
    <t>４F鎧の巨人開幕超級</t>
    <rPh sb="2" eb="3">
      <t>ヨロイノキョジｎ</t>
    </rPh>
    <rPh sb="6" eb="8">
      <t>カイマク</t>
    </rPh>
    <rPh sb="8" eb="9">
      <t>チョウ</t>
    </rPh>
    <rPh sb="9" eb="10">
      <t>ショキュウ</t>
    </rPh>
    <phoneticPr fontId="6"/>
  </si>
  <si>
    <t>４F鎧の巨人赤吸収攻撃</t>
    <rPh sb="2" eb="3">
      <t>ヨロイノキョジｎ</t>
    </rPh>
    <rPh sb="6" eb="7">
      <t>aka</t>
    </rPh>
    <rPh sb="7" eb="11">
      <t>キュウシュウコウゲキ</t>
    </rPh>
    <phoneticPr fontId="6"/>
  </si>
  <si>
    <t>４F鎧の巨人緑吸収攻撃</t>
    <rPh sb="2" eb="3">
      <t>ヨロイノキョジｎ</t>
    </rPh>
    <rPh sb="6" eb="7">
      <t>ミドリ</t>
    </rPh>
    <rPh sb="7" eb="11">
      <t>キュウシュウコウゲキ</t>
    </rPh>
    <phoneticPr fontId="6"/>
  </si>
  <si>
    <t>４F鎧の巨人青吸収攻撃</t>
    <rPh sb="2" eb="3">
      <t>ヨロイノキョジｎ</t>
    </rPh>
    <rPh sb="6" eb="7">
      <t>アオ</t>
    </rPh>
    <rPh sb="7" eb="11">
      <t>キュウシュウコウゲキ</t>
    </rPh>
    <phoneticPr fontId="6"/>
  </si>
  <si>
    <t>４F鎧の巨人黄吸収攻撃</t>
    <rPh sb="2" eb="3">
      <t>ヨロイノキョジｎ</t>
    </rPh>
    <rPh sb="6" eb="7">
      <t>キ</t>
    </rPh>
    <rPh sb="7" eb="11">
      <t>キュウシュウコウゲキ</t>
    </rPh>
    <phoneticPr fontId="6"/>
  </si>
  <si>
    <t>４F鎧の巨人ハート吸収+回復</t>
    <rPh sb="2" eb="3">
      <t>ヨロイノキョジｎ</t>
    </rPh>
    <rPh sb="9" eb="11">
      <t>キュウシュウコウゲキ</t>
    </rPh>
    <rPh sb="12" eb="14">
      <t>カイフク</t>
    </rPh>
    <phoneticPr fontId="6"/>
  </si>
  <si>
    <t>４F鎧の巨人２G開幕</t>
    <rPh sb="2" eb="3">
      <t>ヨロイノキョジｎ</t>
    </rPh>
    <rPh sb="8" eb="10">
      <t>カイマク</t>
    </rPh>
    <phoneticPr fontId="6"/>
  </si>
  <si>
    <t>４F鎧の巨人２GHP30%連撃</t>
    <rPh sb="2" eb="3">
      <t>ヨロイノキョジｎ</t>
    </rPh>
    <rPh sb="13" eb="15">
      <t>レンゲキ</t>
    </rPh>
    <phoneticPr fontId="6"/>
  </si>
  <si>
    <t>４F鎧の巨人２GHP30%攻撃頻度</t>
    <rPh sb="2" eb="3">
      <t>ヨロイノキョジｎ</t>
    </rPh>
    <rPh sb="13" eb="17">
      <t>コウゲキヒンド</t>
    </rPh>
    <phoneticPr fontId="6"/>
  </si>
  <si>
    <t>LB小原</t>
    <rPh sb="2" eb="4">
      <t>オバラ</t>
    </rPh>
    <phoneticPr fontId="6"/>
  </si>
  <si>
    <t>１F鎧の巨人先制初級</t>
    <rPh sb="2" eb="3">
      <t>ヨロイ</t>
    </rPh>
    <rPh sb="4" eb="6">
      <t>キョジｎ</t>
    </rPh>
    <rPh sb="6" eb="8">
      <t>センセイ</t>
    </rPh>
    <rPh sb="8" eb="10">
      <t>ショキュウ</t>
    </rPh>
    <phoneticPr fontId="6"/>
  </si>
  <si>
    <t>１F鎧の巨人先制中級</t>
    <rPh sb="2" eb="3">
      <t>ヨロイ</t>
    </rPh>
    <rPh sb="4" eb="6">
      <t>キョジｎ</t>
    </rPh>
    <rPh sb="6" eb="8">
      <t>センセイ</t>
    </rPh>
    <rPh sb="8" eb="10">
      <t>チュウキュウ</t>
    </rPh>
    <phoneticPr fontId="6"/>
  </si>
  <si>
    <t>１F鎧の巨人先制上級</t>
    <rPh sb="2" eb="3">
      <t>ヨロイ</t>
    </rPh>
    <rPh sb="4" eb="6">
      <t>キョジｎ</t>
    </rPh>
    <rPh sb="6" eb="8">
      <t>センセイ</t>
    </rPh>
    <rPh sb="8" eb="10">
      <t>ジョウキュウ</t>
    </rPh>
    <phoneticPr fontId="6"/>
  </si>
  <si>
    <t>１F鎧の巨人先制超級</t>
    <rPh sb="2" eb="3">
      <t>ヨロイ</t>
    </rPh>
    <rPh sb="4" eb="6">
      <t>キョジｎ</t>
    </rPh>
    <rPh sb="6" eb="8">
      <t>センセイ</t>
    </rPh>
    <rPh sb="8" eb="10">
      <t>チョウキュウ</t>
    </rPh>
    <phoneticPr fontId="6"/>
  </si>
  <si>
    <t>撤退</t>
    <rPh sb="0" eb="2">
      <t>テッタイ</t>
    </rPh>
    <phoneticPr fontId="6"/>
  </si>
  <si>
    <t>全体攻撃</t>
    <rPh sb="0" eb="4">
      <t>ゼンタイコウゲキ</t>
    </rPh>
    <phoneticPr fontId="6"/>
  </si>
  <si>
    <t>蹴り払い</t>
    <rPh sb="0" eb="1">
      <t>ケリハライ</t>
    </rPh>
    <phoneticPr fontId="6"/>
  </si>
  <si>
    <t>（こちらの様子を伺っているようだ…）</t>
    <phoneticPr fontId="6"/>
  </si>
  <si>
    <t>2回連続攻撃</t>
    <rPh sb="1" eb="2">
      <t>カイ</t>
    </rPh>
    <phoneticPr fontId="6"/>
  </si>
  <si>
    <t>3回連続攻撃</t>
    <rPh sb="1" eb="2">
      <t>カイ</t>
    </rPh>
    <phoneticPr fontId="6"/>
  </si>
  <si>
    <t>4回連続攻撃</t>
    <rPh sb="1" eb="2">
      <t>カイ</t>
    </rPh>
    <phoneticPr fontId="6"/>
  </si>
  <si>
    <t>4回連続攻撃＋全体攻撃</t>
    <rPh sb="4" eb="6">
      <t>コウゲキ</t>
    </rPh>
    <rPh sb="7" eb="11">
      <t>ゼンタイコウゲキ</t>
    </rPh>
    <phoneticPr fontId="6"/>
  </si>
  <si>
    <t>迎撃体勢</t>
    <rPh sb="0" eb="2">
      <t>ゲイゲキ</t>
    </rPh>
    <rPh sb="2" eb="4">
      <t>taisei</t>
    </rPh>
    <phoneticPr fontId="6"/>
  </si>
  <si>
    <t>2回連続攻撃</t>
    <rPh sb="2" eb="6">
      <t>レンゾクコウゲキ</t>
    </rPh>
    <phoneticPr fontId="6"/>
  </si>
  <si>
    <t>行動頻度が2にUP</t>
    <rPh sb="0" eb="4">
      <t>コウドウヒンド</t>
    </rPh>
    <phoneticPr fontId="6"/>
  </si>
  <si>
    <t>行動頻度が1にUP</t>
    <rPh sb="0" eb="4">
      <t>コウドウヒンド</t>
    </rPh>
    <phoneticPr fontId="6"/>
  </si>
  <si>
    <t>鎧の巨人の行方を見失った…</t>
    <rPh sb="0" eb="1">
      <t>ヨロイ</t>
    </rPh>
    <rPh sb="2" eb="4">
      <t>キョジｎ</t>
    </rPh>
    <rPh sb="5" eb="7">
      <t>ユクエ</t>
    </rPh>
    <rPh sb="8" eb="10">
      <t>ミウシナッタ</t>
    </rPh>
    <phoneticPr fontId="6"/>
  </si>
  <si>
    <t>null</t>
    <phoneticPr fontId="6"/>
  </si>
  <si>
    <t xml:space="preserve">[effect:spread, val:0.5]    </t>
    <phoneticPr fontId="6"/>
  </si>
  <si>
    <t>３F超級リヴァイ</t>
    <rPh sb="2" eb="4">
      <t>チョウキュウ</t>
    </rPh>
    <phoneticPr fontId="6"/>
  </si>
  <si>
    <t>３F超級エレンR6</t>
    <rPh sb="2" eb="4">
      <t>チョウキュウ</t>
    </rPh>
    <phoneticPr fontId="6"/>
  </si>
  <si>
    <t>３F超級エレンR6Titan</t>
    <rPh sb="2" eb="4">
      <t>チョウキュウ</t>
    </rPh>
    <phoneticPr fontId="6"/>
  </si>
  <si>
    <t>３F上級ハンジ</t>
    <rPh sb="2" eb="4">
      <t>ジョウキュウ</t>
    </rPh>
    <phoneticPr fontId="6"/>
  </si>
  <si>
    <t>３F上級エルヴィン</t>
    <rPh sb="2" eb="4">
      <t>ジョウキュウ</t>
    </rPh>
    <phoneticPr fontId="6"/>
  </si>
  <si>
    <t>３F中級アルミン</t>
    <rPh sb="2" eb="4">
      <t>チュウキュウ</t>
    </rPh>
    <phoneticPr fontId="6"/>
  </si>
  <si>
    <t>３F中級ミカサ</t>
    <rPh sb="2" eb="4">
      <t>チュウキュウ</t>
    </rPh>
    <phoneticPr fontId="6"/>
  </si>
  <si>
    <t>３F初級クリスタ</t>
    <rPh sb="2" eb="4">
      <t>ショキュウ</t>
    </rPh>
    <phoneticPr fontId="6"/>
  </si>
  <si>
    <t>３F初級サシャ</t>
    <rPh sb="2" eb="4">
      <t>ショキュウ</t>
    </rPh>
    <phoneticPr fontId="6"/>
  </si>
  <si>
    <t xml:space="preserve">[effect:enemy_message, val1:1.2, val2:2.2]    </t>
    <phoneticPr fontId="6"/>
  </si>
  <si>
    <t>（徐々に間合いを詰めてきている）</t>
    <rPh sb="1" eb="2">
      <t>ジョジョニ</t>
    </rPh>
    <rPh sb="4" eb="6">
      <t>マアイ</t>
    </rPh>
    <rPh sb="8" eb="9">
      <t>ツメテクル</t>
    </rPh>
    <phoneticPr fontId="6"/>
  </si>
  <si>
    <t xml:space="preserve">[effect:rush, count:3, val:0.5]    </t>
    <phoneticPr fontId="6"/>
  </si>
  <si>
    <t xml:space="preserve">[effect:rush, count:4, val:0.45]    </t>
    <phoneticPr fontId="6"/>
  </si>
  <si>
    <t xml:space="preserve">[effect:rush, count:2, val:0.6]    </t>
    <phoneticPr fontId="6"/>
  </si>
  <si>
    <t xml:space="preserve">[effect:heal, target:enemy_one, val:0.1, animation:enemy_heal],[effect:rush, count:1, val:1.0]  </t>
    <phoneticPr fontId="6"/>
  </si>
  <si>
    <t xml:space="preserve">[effect:heal, target:enemy_one, val:0.15, animation:enemy_heal],[effect:rush, count:2, val:0.6]  </t>
    <phoneticPr fontId="6"/>
  </si>
  <si>
    <t xml:space="preserve">[effect:heal, target:enemy_one, val:0.2, animation:enemy_heal],[effect:rush, count:3, val:0.5]    </t>
    <phoneticPr fontId="6"/>
  </si>
  <si>
    <t xml:space="preserve">[effect:heal, target:enemy_one, val:0.25, animation:enemy_heal],[effect:rush, count:4, val:0.45]    </t>
    <phoneticPr fontId="6"/>
  </si>
  <si>
    <t xml:space="preserve">[effect:rush, count:4, val:0.4],[effect:spread, val:0.35]     </t>
    <phoneticPr fontId="6"/>
  </si>
  <si>
    <t xml:space="preserve">[effect:enemy_counter, target:myself, invoke_condition:unit_all, counter_target:attacker, turn:2, val:0.35, animation:enemy_counter],[effect:crash_condition, target:unit_all, val:2, turn:4, animation:enemy_crash_extend]        </t>
    <phoneticPr fontId="6"/>
  </si>
  <si>
    <t xml:space="preserve">[effect:enhance_enemy, target:myself, turn:-1, status:defense, val:2000, calc:add, animation:enemy_enhance_defense],[effect:fix_speed, target:myself, turn:3]    </t>
    <phoneticPr fontId="6"/>
  </si>
  <si>
    <t xml:space="preserve">[effect:fix_speed, target:myself, turn:2]    </t>
    <phoneticPr fontId="6"/>
  </si>
  <si>
    <t xml:space="preserve">[effect:fix_speed, target:myself, turn:1]    </t>
    <phoneticPr fontId="6"/>
  </si>
  <si>
    <t xml:space="preserve">[effect:enemy_counter, target:myself, invoke_condition:unit_all, counter_target:attacker, turn:3, val:0.45, animation:enemy_counter],[effect:crash_condition, target:unit_all, val:2, turn:4, animation:enemy_crash_extend]        </t>
    <phoneticPr fontId="6"/>
  </si>
  <si>
    <t xml:space="preserve">[effect:enemy_counter, target:myself, invoke_condition:unit_all, counter_target:attacker, turn:3, val:0.6, animation:enemy_counter],[effect:crash_condition, target:unit_all, val:2, turn:4, animation:enemy_crash_extend]        </t>
    <phoneticPr fontId="6"/>
  </si>
  <si>
    <t xml:space="preserve">[effect:spread, val:0.55]  </t>
    <phoneticPr fontId="6"/>
  </si>
  <si>
    <t>３Fお掃除リヴァイ</t>
  </si>
  <si>
    <t>null</t>
    <phoneticPr fontId="6"/>
  </si>
  <si>
    <t>null</t>
    <phoneticPr fontId="6"/>
  </si>
  <si>
    <t>null</t>
    <phoneticPr fontId="6"/>
  </si>
  <si>
    <t>３F初級エレンR5
駆逐してやる…！この世から…一匹残らず…！！</t>
    <rPh sb="2" eb="4">
      <t>ショキュウ</t>
    </rPh>
    <phoneticPr fontId="6"/>
  </si>
  <si>
    <t>３Fお掃除リヴァイ
全然なってない　すべてやり直せ</t>
    <phoneticPr fontId="6"/>
  </si>
  <si>
    <t>every_time_count</t>
    <phoneticPr fontId="6"/>
  </si>
  <si>
    <t>old</t>
  </si>
  <si>
    <t>３F中級エレンR5</t>
    <rPh sb="2" eb="3">
      <t>チュウ</t>
    </rPh>
    <rPh sb="3" eb="4">
      <t>ジョウキュウ</t>
    </rPh>
    <phoneticPr fontId="6"/>
  </si>
  <si>
    <t>３F初級ジャン</t>
    <rPh sb="2" eb="4">
      <t>ショキュウ</t>
    </rPh>
    <phoneticPr fontId="6"/>
  </si>
  <si>
    <t>４F鎧の巨人ハート吸収攻撃</t>
    <rPh sb="2" eb="3">
      <t>ヨロイノキョジｎ</t>
    </rPh>
    <rPh sb="9" eb="11">
      <t>キュウシュウコウゲキ</t>
    </rPh>
    <rPh sb="11" eb="13">
      <t>コウゲキ</t>
    </rPh>
    <phoneticPr fontId="6"/>
  </si>
  <si>
    <t xml:space="preserve">[effect:spread, val:0.3]    </t>
    <phoneticPr fontId="6"/>
  </si>
  <si>
    <t xml:space="preserve">[effect:rush, count:2, val:0.6]    </t>
    <phoneticPr fontId="6"/>
  </si>
  <si>
    <t xml:space="preserve">[effect:enemy_counter, target:myself, invoke_condition:unit_all, counter_target:attacker, turn:2, val:1.0, animation:enemy_counter]    </t>
    <phoneticPr fontId="6"/>
  </si>
  <si>
    <t>[effect:damage_fix_absolute, target:unit_one, val:4500],[effect:enhance_enemy, target:myself, turn:-1, status:defense, val:100, calc:add, animation:enemy_enhance_defense]</t>
    <phoneticPr fontId="6"/>
  </si>
  <si>
    <t xml:space="preserve">[effect:damage_fix_absolute, target:unit_one, val:5500],[effect:enhance_enemy, target:myself, turn:-1, status:defense, val:200, calc:add, animation:enemy_enhance_defense]    </t>
    <phoneticPr fontId="6"/>
  </si>
  <si>
    <t xml:space="preserve">[effect:damage_fix_absolute, target:unit_one, val:6500],[effect:enhance_enemy, target:myself, turn:-1, status:defense, val:300, calc:add, animation:enemy_enhance_defense]    </t>
    <phoneticPr fontId="6"/>
  </si>
  <si>
    <t xml:space="preserve">[effect:damage_fix_absolute, target:unit_one, val:7500],[effect:enhance_enemy, target:myself, turn:-1, status:defense, val:400, calc:add, animation:enemy_enhance_defense]    </t>
    <phoneticPr fontId="6"/>
  </si>
  <si>
    <t xml:space="preserve">[effect:rush, count:1, val:1.5],[effect:enhance_enemy, target:myself, turn:-1, status:defense, val:250, calc:add, animation:enemy_enhance_defense]    </t>
    <phoneticPr fontId="6"/>
  </si>
  <si>
    <t xml:space="preserve">[effect:rush, count:1, val:1.20],[effect:enhance_enemy, target:myself, turn:-1, status:defense, val:200, calc:add, animation:enemy_enhance_defense]    </t>
    <phoneticPr fontId="6"/>
  </si>
  <si>
    <t xml:space="preserve">[effect:rush, count:1, val:1.1],[effect:enhance_enemy, target:myself, turn:-1, status:defense, val:150, calc:add, animation:enemy_enhance_defense]    </t>
    <phoneticPr fontId="6"/>
  </si>
  <si>
    <t xml:space="preserve">[effect:enemy_counter, target:myself, invoke_condition:unit_all, counter_target:attacker, turn:2, val:0.25, animation:enemy_counter],[effect:crash_condition, target:unit_all, val:2, turn:4, animation:enemy_crash_extend]        </t>
    <phoneticPr fontId="6"/>
  </si>
  <si>
    <t xml:space="preserve">[effect:rush, count:2, val:0.7]    </t>
    <phoneticPr fontId="6"/>
  </si>
  <si>
    <t>F2は自爆攻撃が強力なため
優先的に倒しましょう</t>
    <rPh sb="3" eb="5">
      <t>ジバク</t>
    </rPh>
    <rPh sb="5" eb="7">
      <t>コウゲキ</t>
    </rPh>
    <rPh sb="8" eb="10">
      <t>キョウリョク</t>
    </rPh>
    <rPh sb="14" eb="17">
      <t>ユウセンテキニ</t>
    </rPh>
    <rPh sb="18" eb="19">
      <t>タオシテシマイマショウ</t>
    </rPh>
    <phoneticPr fontId="6"/>
  </si>
  <si>
    <t>鎧の巨人が使用するパネル吸収攻撃は
赤＞緑＞黄＞青＞ハート　の順番です
吸収数を減らして被害を軽減しましょう</t>
    <rPh sb="0" eb="1">
      <t>ヨロイノキョジｎ</t>
    </rPh>
    <rPh sb="5" eb="7">
      <t>シヨウ</t>
    </rPh>
    <rPh sb="12" eb="14">
      <t>キュウシュウ</t>
    </rPh>
    <rPh sb="14" eb="16">
      <t>コウゲキ</t>
    </rPh>
    <rPh sb="18" eb="19">
      <t>アカ</t>
    </rPh>
    <rPh sb="20" eb="21">
      <t>ミドリ</t>
    </rPh>
    <rPh sb="22" eb="23">
      <t>キ</t>
    </rPh>
    <rPh sb="24" eb="25">
      <t>アオ</t>
    </rPh>
    <rPh sb="31" eb="33">
      <t>ジュンバｎ</t>
    </rPh>
    <rPh sb="36" eb="38">
      <t>キュウシュウ</t>
    </rPh>
    <rPh sb="40" eb="41">
      <t>ヘラシテ</t>
    </rPh>
    <rPh sb="44" eb="46">
      <t>ヒガイ</t>
    </rPh>
    <rPh sb="47" eb="49">
      <t>ケイゲｎ</t>
    </rPh>
    <phoneticPr fontId="6"/>
  </si>
  <si>
    <t>鎧の巨人が使用するパネル吸収攻撃は
赤＞緑＞青＞黄＞ハート　の順番です
吸収数を減らして被害を軽減しましょう</t>
    <rPh sb="0" eb="1">
      <t>ヨロイノキョジｎ</t>
    </rPh>
    <rPh sb="5" eb="7">
      <t>シヨウ</t>
    </rPh>
    <rPh sb="12" eb="14">
      <t>キュウシュウ</t>
    </rPh>
    <rPh sb="14" eb="16">
      <t>コウゲキ</t>
    </rPh>
    <rPh sb="18" eb="19">
      <t>アカ</t>
    </rPh>
    <rPh sb="20" eb="21">
      <t>ミドリ</t>
    </rPh>
    <rPh sb="22" eb="23">
      <t>アオ</t>
    </rPh>
    <rPh sb="24" eb="25">
      <t>キ</t>
    </rPh>
    <rPh sb="31" eb="33">
      <t>ジュンバｎ</t>
    </rPh>
    <rPh sb="36" eb="38">
      <t>キュウシュウ</t>
    </rPh>
    <rPh sb="40" eb="41">
      <t>ヘラシテ</t>
    </rPh>
    <rPh sb="44" eb="46">
      <t>ヒガイ</t>
    </rPh>
    <rPh sb="47" eb="49">
      <t>ケイゲｎ</t>
    </rPh>
    <phoneticPr fontId="6"/>
  </si>
  <si>
    <t>女型の巨人は攻撃の緩急に優れています
カウンター状態の間は攻撃を控えて
体制を整えると良いでしょう</t>
    <rPh sb="0" eb="2">
      <t>メガタノキョジｎ</t>
    </rPh>
    <rPh sb="6" eb="8">
      <t>コウゲキ</t>
    </rPh>
    <rPh sb="9" eb="11">
      <t>カンキュウ</t>
    </rPh>
    <rPh sb="12" eb="13">
      <t>スグレテイマス</t>
    </rPh>
    <rPh sb="27" eb="28">
      <t>アイダ</t>
    </rPh>
    <rPh sb="29" eb="31">
      <t>コウゲキ</t>
    </rPh>
    <rPh sb="32" eb="33">
      <t>ヒカエテ</t>
    </rPh>
    <rPh sb="36" eb="38">
      <t>タイセイ</t>
    </rPh>
    <rPh sb="39" eb="40">
      <t>トトノエル</t>
    </rPh>
    <rPh sb="43" eb="44">
      <t>ヨイ</t>
    </rPh>
    <phoneticPr fontId="6"/>
  </si>
  <si>
    <t>このフロアの鎧の巨人は一撃が重いため
回復をしっかりと行い HPを高めに保ちながら
攻撃をしていきましょう</t>
    <rPh sb="6" eb="7">
      <t>ヨロイノキョジｎ</t>
    </rPh>
    <rPh sb="11" eb="13">
      <t>イチゲキ</t>
    </rPh>
    <rPh sb="14" eb="15">
      <t>オモイ</t>
    </rPh>
    <rPh sb="19" eb="21">
      <t>カイフク</t>
    </rPh>
    <rPh sb="27" eb="28">
      <t>オコナイナガラ</t>
    </rPh>
    <rPh sb="33" eb="34">
      <t>タカメニ</t>
    </rPh>
    <rPh sb="36" eb="37">
      <t>タモチ</t>
    </rPh>
    <rPh sb="42" eb="44">
      <t>コウゲキシマショウ</t>
    </rPh>
    <phoneticPr fontId="6"/>
  </si>
  <si>
    <t>きぃやああああああああああああああ</t>
    <phoneticPr fontId="6"/>
  </si>
  <si>
    <t>（女型の巨人が身構えている）</t>
    <rPh sb="1" eb="3">
      <t>メガタノキョジｎ</t>
    </rPh>
    <rPh sb="7" eb="9">
      <t>ミガマエテイル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</si>
  <si>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</si>
  <si>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</si>
  <si>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</si>
  <si>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</si>
  <si>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</si>
  <si>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</si>
  <si>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bonus_count</t>
    <phoneticPr fontId="6"/>
  </si>
  <si>
    <t>heal_plus</t>
    <phoneticPr fontId="6"/>
  </si>
  <si>
    <t>weight</t>
    <phoneticPr fontId="6"/>
  </si>
  <si>
    <t>definite_start_date</t>
    <phoneticPr fontId="6"/>
  </si>
  <si>
    <t>definite_end_date</t>
    <phoneticPr fontId="6"/>
  </si>
  <si>
    <t>確率</t>
    <rPh sb="0" eb="2">
      <t>カクリツ</t>
    </rPh>
    <phoneticPr fontId="6"/>
  </si>
  <si>
    <t>出現バグボーナス</t>
    <rPh sb="0" eb="2">
      <t>シュツゲｎ</t>
    </rPh>
    <phoneticPr fontId="6"/>
  </si>
  <si>
    <t>null</t>
    <phoneticPr fontId="6"/>
  </si>
  <si>
    <t>link</t>
    <phoneticPr fontId="6"/>
  </si>
  <si>
    <t>null</t>
    <phoneticPr fontId="6"/>
  </si>
  <si>
    <t>unit</t>
    <phoneticPr fontId="6"/>
  </si>
  <si>
    <t>unit</t>
    <phoneticPr fontId="6"/>
  </si>
  <si>
    <t>unit</t>
    <phoneticPr fontId="6"/>
  </si>
  <si>
    <t>unit</t>
    <phoneticPr fontId="6"/>
  </si>
  <si>
    <t>unit</t>
    <phoneticPr fontId="6"/>
  </si>
  <si>
    <t>unit</t>
    <phoneticPr fontId="6"/>
  </si>
  <si>
    <t>null</t>
    <phoneticPr fontId="6"/>
  </si>
  <si>
    <t>link</t>
    <phoneticPr fontId="6"/>
  </si>
  <si>
    <t>null</t>
    <phoneticPr fontId="6"/>
  </si>
  <si>
    <t>unit</t>
    <phoneticPr fontId="6"/>
  </si>
  <si>
    <t>unit</t>
    <phoneticPr fontId="6"/>
  </si>
  <si>
    <t>null</t>
    <phoneticPr fontId="6"/>
  </si>
  <si>
    <t>link</t>
    <phoneticPr fontId="6"/>
  </si>
  <si>
    <t>null</t>
    <phoneticPr fontId="6"/>
  </si>
  <si>
    <t>unit</t>
    <phoneticPr fontId="6"/>
  </si>
  <si>
    <t>unit</t>
    <phoneticPr fontId="6"/>
  </si>
  <si>
    <t>unit</t>
    <phoneticPr fontId="6"/>
  </si>
  <si>
    <t>unit</t>
    <phoneticPr fontId="6"/>
  </si>
  <si>
    <t>null</t>
    <phoneticPr fontId="6"/>
  </si>
  <si>
    <t>2970-01-01 09:00:00</t>
    <phoneticPr fontId="6"/>
  </si>
  <si>
    <t>2970-01-01 09:00:00</t>
    <phoneticPr fontId="6"/>
  </si>
  <si>
    <t xml:space="preserve">[effect:ability_lock, target:unit_all, turn:1],[effect:sleep, target:unit_all, turn:1, rate:1, calc_type:target_all],[effect:fix_speed, target:myself, turn:1]    </t>
    <phoneticPr fontId="6"/>
  </si>
  <si>
    <r>
      <t xml:space="preserve">[effect:rush, count:3, </t>
    </r>
    <r>
      <rPr>
        <sz val="10"/>
        <color rgb="FFFF0000"/>
        <rFont val="ＭＳ Ｐゴシック (本文)"/>
        <family val="3"/>
        <charset val="128"/>
      </rPr>
      <t>val:0.6</t>
    </r>
    <r>
      <rPr>
        <sz val="10"/>
        <color theme="1"/>
        <rFont val="ＭＳ Ｐゴシック"/>
        <family val="3"/>
        <charset val="128"/>
        <scheme val="minor"/>
      </rPr>
      <t xml:space="preserve">]    </t>
    </r>
    <phoneticPr fontId="6"/>
  </si>
  <si>
    <r>
      <t xml:space="preserve">[effect:rush, count:2, </t>
    </r>
    <r>
      <rPr>
        <sz val="10"/>
        <color rgb="FFFF0000"/>
        <rFont val="ＭＳ Ｐゴシック (本文)"/>
        <family val="3"/>
        <charset val="128"/>
      </rPr>
      <t>val:0.7</t>
    </r>
    <r>
      <rPr>
        <sz val="10"/>
        <rFont val="ＭＳ Ｐゴシック (本文)"/>
        <family val="3"/>
        <charset val="128"/>
      </rPr>
      <t>]</t>
    </r>
    <r>
      <rPr>
        <sz val="10"/>
        <rFont val="ＭＳ Ｐゴシック"/>
        <family val="3"/>
        <charset val="128"/>
        <scheme val="minor"/>
      </rPr>
      <t xml:space="preserve"> </t>
    </r>
    <r>
      <rPr>
        <sz val="10"/>
        <color theme="1"/>
        <rFont val="ＭＳ Ｐゴシック"/>
        <family val="3"/>
        <charset val="128"/>
        <scheme val="minor"/>
      </rPr>
      <t xml:space="preserve">   </t>
    </r>
    <phoneticPr fontId="6"/>
  </si>
  <si>
    <t>任務完了</t>
    <rPh sb="0" eb="4">
      <t>ニンムカンリョウ</t>
    </rPh>
    <phoneticPr fontId="6"/>
  </si>
  <si>
    <t>現在公開可能な情報 ー リヴァイお掃除Ver.</t>
    <rPh sb="0" eb="6">
      <t>ゲンザイコウカイカノウナジョウホウ</t>
    </rPh>
    <phoneticPr fontId="6"/>
  </si>
  <si>
    <t>現在公開可能な情報 ー 鎧の巨人</t>
    <rPh sb="0" eb="6">
      <t>ゲンザイコウカイカノウナジョウホウ</t>
    </rPh>
    <rPh sb="12" eb="13">
      <t>ヨロイノキョジｎ</t>
    </rPh>
    <phoneticPr fontId="6"/>
  </si>
  <si>
    <t>現在公開可能な情報 ー 女型の巨人</t>
    <rPh sb="0" eb="6">
      <t>ゲンザイコウカイカノウナジョウホウ</t>
    </rPh>
    <rPh sb="12" eb="14">
      <t>メガタノキョジｎ</t>
    </rPh>
    <phoneticPr fontId="6"/>
  </si>
  <si>
    <t>鎧の巨人は、体の表面が硬く覆われており
並みの攻撃は効果が薄いため防御力を
ダウンさせるスキルで対抗しましょう</t>
    <rPh sb="0" eb="1">
      <t>ヨロイノキョジｎ</t>
    </rPh>
    <rPh sb="6" eb="7">
      <t>タイヒョウ</t>
    </rPh>
    <rPh sb="8" eb="10">
      <t>ヒョウメｎ</t>
    </rPh>
    <rPh sb="11" eb="12">
      <t>カタク</t>
    </rPh>
    <rPh sb="13" eb="14">
      <t>オオワレテオリ</t>
    </rPh>
    <rPh sb="20" eb="21">
      <t>ナミノコウゲキ</t>
    </rPh>
    <rPh sb="26" eb="28">
      <t>コウカガアリマセン</t>
    </rPh>
    <rPh sb="29" eb="30">
      <t>ウスイ</t>
    </rPh>
    <rPh sb="33" eb="36">
      <t>ボウギョリョク</t>
    </rPh>
    <rPh sb="48" eb="50">
      <t>タイコウ</t>
    </rPh>
    <phoneticPr fontId="6"/>
  </si>
  <si>
    <t>女型の巨人は連続攻撃が脅威ですが
防御力アップを使用することで
全体のダメージを軽減可能です</t>
    <rPh sb="0" eb="2">
      <t>メガタノキョジｎ</t>
    </rPh>
    <rPh sb="6" eb="10">
      <t>レンゾクコウゲキ</t>
    </rPh>
    <rPh sb="11" eb="13">
      <t>キョウイ</t>
    </rPh>
    <rPh sb="17" eb="20">
      <t>ボウギョリョク</t>
    </rPh>
    <rPh sb="24" eb="26">
      <t>シヨウスルコトデ</t>
    </rPh>
    <rPh sb="32" eb="34">
      <t>ゼンタイ</t>
    </rPh>
    <rPh sb="40" eb="44">
      <t>ケイゲンカノウデス</t>
    </rPh>
    <phoneticPr fontId="6"/>
  </si>
  <si>
    <t>捨て身の連撃</t>
    <rPh sb="0" eb="1">
      <t>ステミノレンゾク</t>
    </rPh>
    <rPh sb="5" eb="6">
      <t>コウゲキ</t>
    </rPh>
    <phoneticPr fontId="6"/>
  </si>
  <si>
    <t>「これが本物の敬礼だ！」</t>
    <rPh sb="4" eb="6">
      <t>ホンモノノ</t>
    </rPh>
    <rPh sb="7" eb="9">
      <t>ケイレイ</t>
    </rPh>
    <phoneticPr fontId="6"/>
  </si>
  <si>
    <t>「心臓を捧げよ！」</t>
    <rPh sb="1" eb="3">
      <t>シンゾウヲササゲヨ</t>
    </rPh>
    <phoneticPr fontId="6"/>
  </si>
  <si>
    <t xml:space="preserve">[effect:break_attack_fix, val:120, lowest_val:2000, count:8, block:block_red, target:unit_all]    </t>
    <phoneticPr fontId="6"/>
  </si>
  <si>
    <t xml:space="preserve">[effect:break_attack_fix, val:120, lowest_val:2000, count:8, block:block_green, target:unit_all]    </t>
    <phoneticPr fontId="6"/>
  </si>
  <si>
    <t xml:space="preserve">[effect:break_attack_fix, val:120, lowest_val:2000, count:8, block:block_blue, target:unit_all]      </t>
    <phoneticPr fontId="6"/>
  </si>
  <si>
    <t xml:space="preserve">[effect:break_attack_fix, val:120, lowest_val:2000, count:8, block:block_yellow, target:unit_all]    </t>
    <phoneticPr fontId="6"/>
  </si>
  <si>
    <t xml:space="preserve">[effect:break_attack_fix, val:120, lowest_val:2000, count:8, block:block_heart, target:unit_all]    </t>
    <phoneticPr fontId="6"/>
  </si>
  <si>
    <t>「認めてやるよ」</t>
    <phoneticPr fontId="6"/>
  </si>
  <si>
    <t>「お前の調査兵団入団を…」</t>
    <phoneticPr fontId="6"/>
  </si>
  <si>
    <t>「本当によかった…」</t>
    <phoneticPr fontId="6"/>
  </si>
  <si>
    <t>「聴いたことがあります！」</t>
    <phoneticPr fontId="6"/>
  </si>
  <si>
    <t>「さっきの悲鳴」</t>
    <phoneticPr fontId="6"/>
  </si>
  <si>
    <t>「撤退命令じゃないのか…」</t>
    <phoneticPr fontId="6"/>
  </si>
  <si>
    <t>「全然なってない」</t>
    <phoneticPr fontId="6"/>
  </si>
  <si>
    <t>「すべてやり直せ」</t>
    <phoneticPr fontId="6"/>
  </si>
  <si>
    <t>「世界は残酷なんだから」</t>
    <phoneticPr fontId="6"/>
  </si>
  <si>
    <t>（最強と名高いリヴァイ兵長だ）</t>
    <rPh sb="1" eb="3">
      <t>サイキョウ</t>
    </rPh>
    <rPh sb="4" eb="6">
      <t>ナダカイ</t>
    </rPh>
    <rPh sb="11" eb="13">
      <t>ヘイチョウ</t>
    </rPh>
    <phoneticPr fontId="6"/>
  </si>
  <si>
    <t>（エルヴィン団長が現れた）</t>
    <rPh sb="6" eb="8">
      <t>ダンチョウ</t>
    </rPh>
    <rPh sb="9" eb="10">
      <t>アラワレタ</t>
    </rPh>
    <phoneticPr fontId="6"/>
  </si>
  <si>
    <t>（この巨人は味方のようだ）</t>
    <phoneticPr fontId="6"/>
  </si>
  <si>
    <t>（掃除中のリヴァイ兵長だ）</t>
    <rPh sb="1" eb="4">
      <t>ソウジチュウ</t>
    </rPh>
    <rPh sb="9" eb="10">
      <t>チョウサヘイ</t>
    </rPh>
    <rPh sb="10" eb="11">
      <t>チョウ</t>
    </rPh>
    <phoneticPr fontId="6"/>
  </si>
  <si>
    <t>（ハンジ・ゾエ分隊長だ）</t>
    <rPh sb="7" eb="10">
      <t>ブンタイチョウ</t>
    </rPh>
    <phoneticPr fontId="6"/>
  </si>
  <si>
    <t>（エレン・イェーガー調査兵だ）</t>
    <rPh sb="10" eb="13">
      <t>チョウサヘイ</t>
    </rPh>
    <phoneticPr fontId="6"/>
  </si>
  <si>
    <t>（ジャン・キルシュタイン調査兵だ）</t>
    <rPh sb="12" eb="15">
      <t>チョウサヘイ</t>
    </rPh>
    <phoneticPr fontId="6"/>
  </si>
  <si>
    <t>（クリスタ・レンズ調査兵だ）</t>
    <rPh sb="9" eb="12">
      <t>チョウサヘイ</t>
    </rPh>
    <phoneticPr fontId="6"/>
  </si>
  <si>
    <t>（サシャ・ブラウス調査兵だ）</t>
    <rPh sb="9" eb="12">
      <t>チョウサヘイ</t>
    </rPh>
    <phoneticPr fontId="6"/>
  </si>
  <si>
    <t>（アルミン・アルレルト調査兵だ）</t>
    <rPh sb="11" eb="14">
      <t>チョウサヘイ</t>
    </rPh>
    <phoneticPr fontId="6"/>
  </si>
  <si>
    <t>（ミカサ・アッカーマン調査兵だ）</t>
    <rPh sb="11" eb="14">
      <t>チョウサヘイ</t>
    </rPh>
    <phoneticPr fontId="6"/>
  </si>
  <si>
    <t>（見たことのない巨人が現れた）</t>
    <rPh sb="1" eb="2">
      <t>ミタコトガナイ</t>
    </rPh>
    <rPh sb="8" eb="10">
      <t>キョジン</t>
    </rPh>
    <rPh sb="11" eb="12">
      <t>アラワレタ</t>
    </rPh>
    <phoneticPr fontId="6"/>
  </si>
  <si>
    <t>（勇ましい咆哮を上げている！）</t>
    <phoneticPr fontId="6"/>
  </si>
  <si>
    <t>（鋭い蹴りだ！）</t>
    <rPh sb="1" eb="2">
      <t>スルドイ</t>
    </rPh>
    <rPh sb="3" eb="4">
      <t>ケリ</t>
    </rPh>
    <phoneticPr fontId="6"/>
  </si>
  <si>
    <t>temp_id</t>
    <phoneticPr fontId="6"/>
  </si>
  <si>
    <t>quest_id</t>
    <phoneticPr fontId="6"/>
  </si>
  <si>
    <t>name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</si>
  <si>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</si>
  <si>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</si>
  <si>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</si>
  <si>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</si>
  <si>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weight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</si>
  <si>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</si>
  <si>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</si>
  <si>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</si>
  <si>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</si>
  <si>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</si>
  <si>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</si>
  <si>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</si>
  <si>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</si>
  <si>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</si>
  <si>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</si>
  <si>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definite_start_date</t>
    <phoneticPr fontId="6"/>
  </si>
  <si>
    <t>definite_end_date</t>
    <phoneticPr fontId="6"/>
  </si>
  <si>
    <t>巨人の行方を追ってALICEにやってきた
調査兵団の団員達はアナタの協力により
無事に任務を遂行することができました</t>
    <phoneticPr fontId="6"/>
  </si>
  <si>
    <r>
      <t>期間限定ユニットの</t>
    </r>
    <r>
      <rPr>
        <sz val="10"/>
        <color rgb="FFFF0000"/>
        <rFont val="ＭＳ Ｐゴシック (本文)"/>
        <family val="3"/>
        <charset val="128"/>
      </rPr>
      <t>ジャン</t>
    </r>
    <r>
      <rPr>
        <sz val="10"/>
        <color theme="1"/>
        <rFont val="ＭＳ Ｐゴシック"/>
        <family val="3"/>
        <charset val="128"/>
        <scheme val="minor"/>
      </rPr>
      <t>は
特大SCパネル生成と全種族のユニットの
攻撃力特大UPができます</t>
    </r>
    <phoneticPr fontId="6"/>
  </si>
  <si>
    <r>
      <t>期間限定ユニットの</t>
    </r>
    <r>
      <rPr>
        <sz val="10"/>
        <color rgb="FFFF0000"/>
        <rFont val="ＭＳ Ｐゴシック (本文)"/>
        <family val="3"/>
        <charset val="128"/>
      </rPr>
      <t>リヴァイお掃除ver</t>
    </r>
    <r>
      <rPr>
        <sz val="10"/>
        <color theme="1"/>
        <rFont val="ＭＳ Ｐゴシック"/>
        <family val="3"/>
        <charset val="128"/>
        <scheme val="minor"/>
      </rPr>
      <t>は
全種族のユニットの防御力と回復力を
特大UPするスキルを持ちます</t>
    </r>
    <phoneticPr fontId="6"/>
  </si>
  <si>
    <r>
      <t>期間限定ユニットの</t>
    </r>
    <r>
      <rPr>
        <sz val="10"/>
        <color rgb="FFFF0000"/>
        <rFont val="ＭＳ Ｐゴシック (本文)"/>
        <family val="3"/>
        <charset val="128"/>
      </rPr>
      <t>サシャ</t>
    </r>
    <r>
      <rPr>
        <sz val="10"/>
        <rFont val="ＭＳ Ｐゴシック (本文)"/>
        <family val="3"/>
        <charset val="128"/>
      </rPr>
      <t>のスキル</t>
    </r>
    <r>
      <rPr>
        <sz val="10"/>
        <color theme="1"/>
        <rFont val="ＭＳ Ｐゴシック"/>
        <family val="3"/>
        <charset val="128"/>
        <scheme val="minor"/>
      </rPr>
      <t>は
一定ターンHPの回復を行いながら
自身の攻撃力を超大UPします</t>
    </r>
    <phoneticPr fontId="6"/>
  </si>
  <si>
    <r>
      <t>期間限定ユニットの</t>
    </r>
    <r>
      <rPr>
        <sz val="10"/>
        <color rgb="FFFF0000"/>
        <rFont val="ＭＳ Ｐゴシック (本文)"/>
        <family val="3"/>
        <charset val="128"/>
      </rPr>
      <t>クリスタ</t>
    </r>
    <r>
      <rPr>
        <sz val="10"/>
        <rFont val="ＭＳ Ｐゴシック (本文)"/>
        <family val="3"/>
        <charset val="128"/>
      </rPr>
      <t>のスキル</t>
    </r>
    <r>
      <rPr>
        <sz val="10"/>
        <color theme="1"/>
        <rFont val="ＭＳ Ｐゴシック"/>
        <family val="3"/>
        <charset val="128"/>
        <scheme val="minor"/>
      </rPr>
      <t>は
HP回復に加えて種族ヒューマンのユニットの
防御力と回復力を特大UPします</t>
    </r>
    <phoneticPr fontId="6"/>
  </si>
  <si>
    <r>
      <rPr>
        <sz val="10"/>
        <color rgb="FFFF0000"/>
        <rFont val="ＭＳ Ｐゴシック (本文)"/>
        <family val="3"/>
        <charset val="128"/>
      </rPr>
      <t>アルミン</t>
    </r>
    <r>
      <rPr>
        <sz val="10"/>
        <color theme="1"/>
        <rFont val="ＭＳ Ｐゴシック"/>
        <family val="3"/>
        <charset val="128"/>
        <scheme val="minor"/>
      </rPr>
      <t>はパネル変換と吸収で盤面を整理し
ヒューマンの防御力と回復力をUPする
スキルをもつ期間限定ユニットです</t>
    </r>
    <rPh sb="46" eb="50">
      <t>キカンゲンテイユニット</t>
    </rPh>
    <phoneticPr fontId="6"/>
  </si>
  <si>
    <r>
      <rPr>
        <sz val="10"/>
        <color rgb="FFFF0000"/>
        <rFont val="ＭＳ Ｐゴシック (本文)"/>
        <family val="3"/>
        <charset val="128"/>
      </rPr>
      <t>期間限定ユニットのエルヴィン</t>
    </r>
    <r>
      <rPr>
        <sz val="10"/>
        <color theme="1"/>
        <rFont val="ＭＳ Ｐゴシック"/>
        <family val="3"/>
        <charset val="128"/>
        <scheme val="minor"/>
      </rPr>
      <t>は種族が
ヒューマンのユニットの攻撃力と防御力を
特大UPするスキルを持ちます</t>
    </r>
    <rPh sb="0" eb="4">
      <t>キカンゲンテイユニット</t>
    </rPh>
    <rPh sb="15" eb="17">
      <t>シュゾクガ</t>
    </rPh>
    <phoneticPr fontId="6"/>
  </si>
  <si>
    <t>現在公開可能な情報 ー サシャ</t>
    <rPh sb="0" eb="6">
      <t>ゲンザイコウカイカノウナジョウホウ</t>
    </rPh>
    <phoneticPr fontId="6"/>
  </si>
  <si>
    <t>現在公開可能な情報 ー クリスタ</t>
    <rPh sb="0" eb="6">
      <t>ゲンザイコウカイカノウナジョウホウ</t>
    </rPh>
    <phoneticPr fontId="6"/>
  </si>
  <si>
    <t>現在公開可能な情報 ー ジャン</t>
    <rPh sb="0" eb="6">
      <t>ゲンザイコウカイカノウナジョウホウ</t>
    </rPh>
    <phoneticPr fontId="6"/>
  </si>
  <si>
    <t>現在公開可能な情報 ー アルミン</t>
    <rPh sb="0" eb="6">
      <t>ゲンザイコウカイカノウナジョウホウ</t>
    </rPh>
    <phoneticPr fontId="6"/>
  </si>
  <si>
    <t>現在公開可能な情報 ー ハンジ</t>
    <rPh sb="0" eb="6">
      <t>ゲンザイコウカイカノウナジョウホウ</t>
    </rPh>
    <phoneticPr fontId="6"/>
  </si>
  <si>
    <t>現在公開可能な情報 ー エルヴィン</t>
    <rPh sb="0" eb="6">
      <t>ゲンザイコウカイカノウナジョウホウ</t>
    </rPh>
    <phoneticPr fontId="6"/>
  </si>
  <si>
    <t>４F鎧の巨人赤吸収攻撃（初級用）</t>
    <rPh sb="2" eb="3">
      <t>ヨロイノキョジｎ</t>
    </rPh>
    <rPh sb="6" eb="7">
      <t>aka</t>
    </rPh>
    <rPh sb="7" eb="11">
      <t>キュウシュウコウゲキ</t>
    </rPh>
    <rPh sb="12" eb="15">
      <t>ショキュウヨウ</t>
    </rPh>
    <phoneticPr fontId="6"/>
  </si>
  <si>
    <t>４F鎧の巨人緑吸収攻撃（初級用）</t>
    <rPh sb="2" eb="3">
      <t>ヨロイノキョジｎ</t>
    </rPh>
    <rPh sb="6" eb="7">
      <t>ミドリ</t>
    </rPh>
    <rPh sb="7" eb="11">
      <t>キュウシュウコウゲキ</t>
    </rPh>
    <phoneticPr fontId="6"/>
  </si>
  <si>
    <t>４F鎧の巨人青吸収攻撃（初級用）</t>
    <rPh sb="2" eb="3">
      <t>ヨロイノキョジｎ</t>
    </rPh>
    <rPh sb="6" eb="7">
      <t>アオ</t>
    </rPh>
    <rPh sb="7" eb="11">
      <t>キュウシュウコウゲキ</t>
    </rPh>
    <phoneticPr fontId="6"/>
  </si>
  <si>
    <t>４F鎧の巨人黄吸収攻撃（初級用）</t>
    <rPh sb="2" eb="3">
      <t>ヨロイノキョジｎ</t>
    </rPh>
    <rPh sb="6" eb="7">
      <t>キ</t>
    </rPh>
    <rPh sb="7" eb="11">
      <t>キュウシュウコウゲキ</t>
    </rPh>
    <phoneticPr fontId="6"/>
  </si>
  <si>
    <t>４F鎧の巨人ハート吸収+回復（初級用）</t>
    <rPh sb="2" eb="3">
      <t>ヨロイノキョジｎ</t>
    </rPh>
    <rPh sb="9" eb="11">
      <t>キュウシュウコウゲキ</t>
    </rPh>
    <rPh sb="12" eb="14">
      <t>カイフク</t>
    </rPh>
    <phoneticPr fontId="6"/>
  </si>
  <si>
    <t>４F鎧の巨人赤吸収攻撃（中級用）</t>
    <rPh sb="2" eb="3">
      <t>ヨロイノキョジｎ</t>
    </rPh>
    <rPh sb="6" eb="7">
      <t>aka</t>
    </rPh>
    <rPh sb="7" eb="11">
      <t>キュウシュウコウゲキ</t>
    </rPh>
    <rPh sb="12" eb="13">
      <t>チュウ</t>
    </rPh>
    <phoneticPr fontId="6"/>
  </si>
  <si>
    <t>４F鎧の巨人緑吸収攻撃（中級用）</t>
    <rPh sb="2" eb="3">
      <t>ヨロイノキョジｎ</t>
    </rPh>
    <rPh sb="6" eb="7">
      <t>ミドリ</t>
    </rPh>
    <rPh sb="7" eb="11">
      <t>キュウシュウコウゲキ</t>
    </rPh>
    <phoneticPr fontId="6"/>
  </si>
  <si>
    <t>４F鎧の巨人青吸収攻撃（中級用）</t>
    <rPh sb="2" eb="3">
      <t>ヨロイノキョジｎ</t>
    </rPh>
    <rPh sb="6" eb="7">
      <t>アオ</t>
    </rPh>
    <rPh sb="7" eb="11">
      <t>キュウシュウコウゲキ</t>
    </rPh>
    <phoneticPr fontId="6"/>
  </si>
  <si>
    <t>４F鎧の巨人黄吸収攻撃（中級用）</t>
    <rPh sb="2" eb="3">
      <t>ヨロイノキョジｎ</t>
    </rPh>
    <rPh sb="6" eb="7">
      <t>キ</t>
    </rPh>
    <rPh sb="7" eb="11">
      <t>キュウシュウコウゲキ</t>
    </rPh>
    <phoneticPr fontId="6"/>
  </si>
  <si>
    <t>４F鎧の巨人ハート吸収+回復（中級用）</t>
    <rPh sb="2" eb="3">
      <t>ヨロイノキョジｎ</t>
    </rPh>
    <rPh sb="9" eb="11">
      <t>キュウシュウコウゲキ</t>
    </rPh>
    <rPh sb="12" eb="14">
      <t>カイフク</t>
    </rPh>
    <phoneticPr fontId="6"/>
  </si>
  <si>
    <t>４F鎧の巨人赤吸収攻撃（上級用）</t>
    <rPh sb="2" eb="3">
      <t>ヨロイノキョジｎ</t>
    </rPh>
    <rPh sb="6" eb="7">
      <t>aka</t>
    </rPh>
    <rPh sb="7" eb="11">
      <t>キュウシュウコウゲキ</t>
    </rPh>
    <rPh sb="12" eb="13">
      <t>ジョウ</t>
    </rPh>
    <phoneticPr fontId="6"/>
  </si>
  <si>
    <t>４F鎧の巨人緑吸収攻撃（上級用）</t>
    <rPh sb="2" eb="3">
      <t>ヨロイノキョジｎ</t>
    </rPh>
    <rPh sb="6" eb="7">
      <t>ミドリ</t>
    </rPh>
    <rPh sb="7" eb="11">
      <t>キュウシュウコウゲキ</t>
    </rPh>
    <phoneticPr fontId="6"/>
  </si>
  <si>
    <t>４F鎧の巨人青吸収攻撃（上級用）</t>
    <rPh sb="2" eb="3">
      <t>ヨロイノキョジｎ</t>
    </rPh>
    <rPh sb="6" eb="7">
      <t>アオ</t>
    </rPh>
    <rPh sb="7" eb="11">
      <t>キュウシュウコウゲキ</t>
    </rPh>
    <phoneticPr fontId="6"/>
  </si>
  <si>
    <t>４F鎧の巨人黄吸収攻撃（上級用）</t>
    <rPh sb="2" eb="3">
      <t>ヨロイノキョジｎ</t>
    </rPh>
    <rPh sb="6" eb="7">
      <t>キ</t>
    </rPh>
    <rPh sb="7" eb="11">
      <t>キュウシュウコウゲキ</t>
    </rPh>
    <phoneticPr fontId="6"/>
  </si>
  <si>
    <t>４F鎧の巨人ハート吸収+回復（上級用）</t>
    <rPh sb="2" eb="3">
      <t>ヨロイノキョジｎ</t>
    </rPh>
    <rPh sb="9" eb="11">
      <t>キュウシュウコウゲキ</t>
    </rPh>
    <rPh sb="12" eb="14">
      <t>カイフク</t>
    </rPh>
    <phoneticPr fontId="6"/>
  </si>
  <si>
    <t xml:space="preserve">[effect:break_attack_fix, val:60, lowest_val:1500, count:5, block:block_red, target:unit_all]    </t>
    <phoneticPr fontId="6"/>
  </si>
  <si>
    <t xml:space="preserve">[effect:break_attack_fix, val:60, lowest_val:1500, count:5, block:block_green, target:unit_all]    </t>
    <phoneticPr fontId="6"/>
  </si>
  <si>
    <t xml:space="preserve">[effect:break_attack_fix, val:60, lowest_val:1500, count:5, block:block_blue, target:unit_all]      </t>
    <phoneticPr fontId="6"/>
  </si>
  <si>
    <t xml:space="preserve">[effect:break_attack_fix, val:60, lowest_val:1500, count:5, block:block_heart, target:unit_all]    </t>
    <phoneticPr fontId="6"/>
  </si>
  <si>
    <t xml:space="preserve">[effect:break_attack_fix, val:60, lowest_val:1500, count:5, block:block_yellow, target:unit_all]    </t>
    <phoneticPr fontId="6"/>
  </si>
  <si>
    <t xml:space="preserve">[effect:break_attack_fix, val:100, lowest_val:1800, count:7, block:block_red, target:unit_all]    </t>
    <phoneticPr fontId="6"/>
  </si>
  <si>
    <t xml:space="preserve">[effect:break_attack_fix, val:100, lowest_val:1800, count:7, block:block_green, target:unit_all]    </t>
    <phoneticPr fontId="6"/>
  </si>
  <si>
    <t xml:space="preserve">[effect:break_attack_fix, val:100, lowest_val:1800, count:7, block:block_blue, target:unit_all]      </t>
    <phoneticPr fontId="6"/>
  </si>
  <si>
    <t xml:space="preserve">[effect:break_attack_fix, val:100, lowest_val:1800, count:7, block:block_yellow, target:unit_all]    </t>
    <phoneticPr fontId="6"/>
  </si>
  <si>
    <t xml:space="preserve">[effect:break_attack_fix, val:100, lowest_val:1800, count:7, block:block_heart, target:unit_all]    </t>
    <phoneticPr fontId="6"/>
  </si>
  <si>
    <t xml:space="preserve">[effect:break_attack_fix, val:80, lowest_val:1600, count:6, block:block_red, target:unit_all]    </t>
    <phoneticPr fontId="6"/>
  </si>
  <si>
    <t xml:space="preserve">[effect:break_attack_fix, val:80, lowest_val:1600, count:6, block:block_green, target:unit_all]    </t>
    <phoneticPr fontId="6"/>
  </si>
  <si>
    <t xml:space="preserve">[effect:break_attack_fix, val:80, lowest_val:1600, count:6, block:block_blue, target:unit_all]    </t>
    <phoneticPr fontId="6"/>
  </si>
  <si>
    <t xml:space="preserve">[effect:break_attack_fix, val:80, lowest_val:1600, count:6, block:block_yellow, target:unit_all]    </t>
    <phoneticPr fontId="6"/>
  </si>
  <si>
    <t xml:space="preserve">[effect:break_attack_fix, val:80, lowest_val:1600, count:6, block:block_heart, target:unit_all]    </t>
    <phoneticPr fontId="6"/>
  </si>
  <si>
    <t>クリティカル！</t>
    <phoneticPr fontId="6"/>
  </si>
  <si>
    <t>単体攻撃＋防御力UP</t>
    <rPh sb="0" eb="2">
      <t>タンタイ</t>
    </rPh>
    <rPh sb="2" eb="4">
      <t>コウゲキ</t>
    </rPh>
    <rPh sb="5" eb="8">
      <t>ボウギョリョク</t>
    </rPh>
    <phoneticPr fontId="6"/>
  </si>
  <si>
    <t>HP25％回復＋4回連続攻撃</t>
    <rPh sb="5" eb="7">
      <t>カイフク</t>
    </rPh>
    <rPh sb="9" eb="10">
      <t>カイ</t>
    </rPh>
    <rPh sb="10" eb="12">
      <t>レンゾク</t>
    </rPh>
    <rPh sb="12" eb="14">
      <t>コウゲキ</t>
    </rPh>
    <phoneticPr fontId="6"/>
  </si>
  <si>
    <t>HP20％回復＋3回連続攻撃</t>
    <rPh sb="5" eb="7">
      <t>カイフク</t>
    </rPh>
    <rPh sb="10" eb="12">
      <t>レンゾク</t>
    </rPh>
    <rPh sb="12" eb="14">
      <t>コウゲキ</t>
    </rPh>
    <phoneticPr fontId="6"/>
  </si>
  <si>
    <t>HP15％回復＋2回連続攻撃</t>
    <rPh sb="5" eb="7">
      <t>カイフク</t>
    </rPh>
    <rPh sb="10" eb="12">
      <t>レンゾク</t>
    </rPh>
    <rPh sb="12" eb="14">
      <t>コウゲキ</t>
    </rPh>
    <phoneticPr fontId="6"/>
  </si>
  <si>
    <t>HP10％回復＋単体攻撃</t>
    <rPh sb="5" eb="7">
      <t>カイフク</t>
    </rPh>
    <rPh sb="8" eb="10">
      <t>タンタイ</t>
    </rPh>
    <rPh sb="10" eb="12">
      <t>コウゲキ</t>
    </rPh>
    <phoneticPr fontId="6"/>
  </si>
  <si>
    <t>防御力UP＋攻撃頻度DOWN</t>
    <rPh sb="0" eb="3">
      <t>ボウギョリョク</t>
    </rPh>
    <rPh sb="6" eb="10">
      <t>コウゲキヒンド</t>
    </rPh>
    <phoneticPr fontId="6"/>
  </si>
  <si>
    <t>4500固定ダメージ
＋防御力UP</t>
    <rPh sb="4" eb="6">
      <t>コテイチ</t>
    </rPh>
    <rPh sb="12" eb="14">
      <t>ボウギョ</t>
    </rPh>
    <rPh sb="14" eb="15">
      <t>リョク</t>
    </rPh>
    <phoneticPr fontId="6"/>
  </si>
  <si>
    <t>5500固定ダメージ
＋防御力UP</t>
    <rPh sb="4" eb="6">
      <t>コテイチ</t>
    </rPh>
    <rPh sb="12" eb="14">
      <t>ボウギョ</t>
    </rPh>
    <rPh sb="14" eb="15">
      <t>リョク</t>
    </rPh>
    <phoneticPr fontId="6"/>
  </si>
  <si>
    <t>6500固定ダメージ
＋防御力UP</t>
    <rPh sb="4" eb="6">
      <t>コテイチ</t>
    </rPh>
    <rPh sb="12" eb="14">
      <t>ボウギョ</t>
    </rPh>
    <rPh sb="14" eb="15">
      <t>リョク</t>
    </rPh>
    <phoneticPr fontId="6"/>
  </si>
  <si>
    <t>7500固定ダメージ
＋防御力UP</t>
    <rPh sb="4" eb="6">
      <t>コテイチ</t>
    </rPh>
    <rPh sb="12" eb="14">
      <t>ボウギョ</t>
    </rPh>
    <rPh sb="14" eb="15">
      <t>リョク</t>
    </rPh>
    <phoneticPr fontId="6"/>
  </si>
  <si>
    <t xml:space="preserve">[effect:critical, val:1.55]    </t>
    <phoneticPr fontId="6"/>
  </si>
  <si>
    <t>（鎧の巨人が突進してきた！）</t>
    <rPh sb="1" eb="2">
      <t>ヨロイノ</t>
    </rPh>
    <rPh sb="3" eb="5">
      <t>キョジｎ</t>
    </rPh>
    <rPh sb="6" eb="8">
      <t>トッシｎ</t>
    </rPh>
    <phoneticPr fontId="6"/>
  </si>
  <si>
    <t>（素早い連続攻撃だ！）</t>
    <rPh sb="1" eb="3">
      <t>スバヤイ</t>
    </rPh>
    <rPh sb="4" eb="8">
      <t>レンゾクコウゲキ</t>
    </rPh>
    <phoneticPr fontId="6"/>
  </si>
  <si>
    <t>（回復しながら攻撃してきた！）</t>
    <rPh sb="1" eb="3">
      <t>カイフク</t>
    </rPh>
    <rPh sb="7" eb="9">
      <t>コウゲキ</t>
    </rPh>
    <phoneticPr fontId="6"/>
  </si>
  <si>
    <t>（驚異的な連続攻撃だ！）</t>
    <rPh sb="1" eb="4">
      <t>キョウイテキナ</t>
    </rPh>
    <rPh sb="5" eb="9">
      <t>レンゾクコウゲキ</t>
    </rPh>
    <phoneticPr fontId="6"/>
  </si>
  <si>
    <t>（的確な連続攻撃だ！）</t>
    <rPh sb="1" eb="3">
      <t>テキカク</t>
    </rPh>
    <rPh sb="4" eb="8">
      <t>レンゾクコウゲキ</t>
    </rPh>
    <phoneticPr fontId="6"/>
  </si>
  <si>
    <r>
      <t>（電光石火の</t>
    </r>
    <r>
      <rPr>
        <sz val="10"/>
        <color rgb="FFFF0000"/>
        <rFont val="ＭＳ Ｐゴシック (本文)"/>
        <family val="3"/>
        <charset val="128"/>
      </rPr>
      <t>蹴り</t>
    </r>
    <r>
      <rPr>
        <sz val="10"/>
        <rFont val="ＭＳ Ｐゴシック (本文)"/>
        <family val="3"/>
        <charset val="128"/>
      </rPr>
      <t>）</t>
    </r>
    <rPh sb="1" eb="5">
      <t>デンコウセッカ</t>
    </rPh>
    <rPh sb="6" eb="7">
      <t>ケリ</t>
    </rPh>
    <phoneticPr fontId="6"/>
  </si>
  <si>
    <t>（攻勢に出てきた！）</t>
    <rPh sb="1" eb="3">
      <t>コウセイ</t>
    </rPh>
    <rPh sb="4" eb="5">
      <t>デタ</t>
    </rPh>
    <phoneticPr fontId="6"/>
  </si>
  <si>
    <t>（硬化能力があるようだ！）</t>
    <rPh sb="1" eb="3">
      <t>コウカ</t>
    </rPh>
    <rPh sb="3" eb="5">
      <t>ノウリョク</t>
    </rPh>
    <phoneticPr fontId="6"/>
  </si>
  <si>
    <t>（鎧の巨人を発見！）</t>
    <rPh sb="1" eb="2">
      <t>ヨロイ</t>
    </rPh>
    <rPh sb="3" eb="5">
      <t>キョジｎ</t>
    </rPh>
    <rPh sb="6" eb="8">
      <t>ハッケン</t>
    </rPh>
    <phoneticPr fontId="6"/>
  </si>
  <si>
    <t>（炎上した建物を吹き飛ばした！）</t>
    <rPh sb="1" eb="3">
      <t>エンジョウシタ</t>
    </rPh>
    <rPh sb="5" eb="7">
      <t>タテモノ</t>
    </rPh>
    <rPh sb="8" eb="9">
      <t>フキトバシタ</t>
    </rPh>
    <phoneticPr fontId="6"/>
  </si>
  <si>
    <t>（街路樹をなぎ倒してきた！）</t>
    <rPh sb="1" eb="4">
      <t>ガイロジュ</t>
    </rPh>
    <phoneticPr fontId="6"/>
  </si>
  <si>
    <t>（水路が破壊された！）</t>
    <rPh sb="1" eb="2">
      <t>スイドウ</t>
    </rPh>
    <rPh sb="2" eb="3">
      <t>ロ</t>
    </rPh>
    <rPh sb="4" eb="6">
      <t>ハカイ</t>
    </rPh>
    <phoneticPr fontId="6"/>
  </si>
  <si>
    <t>（辺りの照明が破壊された！）</t>
    <rPh sb="1" eb="2">
      <t>アタリ</t>
    </rPh>
    <rPh sb="4" eb="6">
      <t>ショウメイ</t>
    </rPh>
    <rPh sb="7" eb="9">
      <t>ハカイ</t>
    </rPh>
    <phoneticPr fontId="6"/>
  </si>
  <si>
    <t>（物凄い勢いで突撃してきた！）</t>
    <rPh sb="1" eb="3">
      <t>モノスゴイ</t>
    </rPh>
    <rPh sb="4" eb="5">
      <t>イキオイ</t>
    </rPh>
    <rPh sb="7" eb="9">
      <t>トツゲキ</t>
    </rPh>
    <phoneticPr fontId="6"/>
  </si>
  <si>
    <t>オォオオオォ</t>
    <phoneticPr fontId="6"/>
  </si>
  <si>
    <t>「駆逐してやる…！この世から…」</t>
    <phoneticPr fontId="6"/>
  </si>
  <si>
    <t>「二手に分かれて」</t>
    <phoneticPr fontId="6"/>
  </si>
  <si>
    <t>「緑の煙弾だと！？」</t>
    <phoneticPr fontId="6"/>
  </si>
  <si>
    <t>「迂回しろ！」</t>
    <phoneticPr fontId="6"/>
  </si>
  <si>
    <t xml:space="preserve">[effect:fix_speed, target:enemy_all, turn:1],[effect:enhance_enemy, target:enemy_all, turn:-1, status:attack, val:3000, calc:add, animation:enemy_enhance_attack],[effect:enemy_message, dead_type:escape]    </t>
    <phoneticPr fontId="6"/>
  </si>
  <si>
    <t>[effect:enemy_message, val1:0,dead_type:escape]</t>
    <phoneticPr fontId="6"/>
  </si>
  <si>
    <t>オォオオオォオォオオオォ</t>
    <phoneticPr fontId="6"/>
  </si>
  <si>
    <t>「死んでも」</t>
    <phoneticPr fontId="6"/>
  </si>
  <si>
    <t>「足手まといにはならない」</t>
    <phoneticPr fontId="6"/>
  </si>
  <si>
    <t>「…仕方無いでしょ？」</t>
    <phoneticPr fontId="6"/>
  </si>
  <si>
    <t>「…駆逐してやる…！この世から…」</t>
    <phoneticPr fontId="6"/>
  </si>
  <si>
    <t>「一匹残らず！！」</t>
    <phoneticPr fontId="6"/>
  </si>
  <si>
    <t>「一匹残らず！！」</t>
    <phoneticPr fontId="6"/>
  </si>
  <si>
    <t>2ターンの間攻撃者にカウンター</t>
    <rPh sb="5" eb="6">
      <t>アイダ</t>
    </rPh>
    <rPh sb="8" eb="9">
      <t>シャ</t>
    </rPh>
    <phoneticPr fontId="6"/>
  </si>
  <si>
    <t>2ターンの間 攻撃者にカウンター
＋4ターンの間 Cパネル生成延長</t>
    <rPh sb="7" eb="10">
      <t>コウゲキシャ</t>
    </rPh>
    <rPh sb="23" eb="24">
      <t>アイダ</t>
    </rPh>
    <rPh sb="29" eb="31">
      <t>セイセイ</t>
    </rPh>
    <rPh sb="31" eb="33">
      <t>エンチョウ</t>
    </rPh>
    <phoneticPr fontId="6"/>
  </si>
  <si>
    <t>2ターンの間 攻撃者にカウンター
＋4ターンの間 Cパネル生成延長</t>
    <rPh sb="23" eb="24">
      <t>アイダ</t>
    </rPh>
    <rPh sb="29" eb="31">
      <t>セイセイ</t>
    </rPh>
    <rPh sb="31" eb="33">
      <t>エンチョウ</t>
    </rPh>
    <phoneticPr fontId="6"/>
  </si>
  <si>
    <t>3ターンの間 攻撃者にカウンター
＋4ターンの間 Cパネル生成延長</t>
    <rPh sb="23" eb="24">
      <t>アイダ</t>
    </rPh>
    <rPh sb="29" eb="31">
      <t>セイセイ</t>
    </rPh>
    <rPh sb="31" eb="33">
      <t>エンチョウ</t>
    </rPh>
    <phoneticPr fontId="6"/>
  </si>
  <si>
    <t>強力な3回連続攻撃</t>
    <rPh sb="0" eb="2">
      <t>キョウリョクナ</t>
    </rPh>
    <rPh sb="5" eb="9">
      <t>レンゾクコウゲキ</t>
    </rPh>
    <phoneticPr fontId="6"/>
  </si>
  <si>
    <t>咆哮に呼び寄せられたと思われる
巨人の群れの中に消えていった…</t>
    <rPh sb="0" eb="2">
      <t>houkou</t>
    </rPh>
    <rPh sb="3" eb="4">
      <t>ヨビヨセラレタ</t>
    </rPh>
    <rPh sb="16" eb="18">
      <t>キョジン</t>
    </rPh>
    <rPh sb="19" eb="20">
      <t>ムレ</t>
    </rPh>
    <rPh sb="22" eb="23">
      <t>ナカニ</t>
    </rPh>
    <rPh sb="24" eb="25">
      <t>キエテイッタ</t>
    </rPh>
    <phoneticPr fontId="6"/>
  </si>
  <si>
    <t>赤パネル吸収攻撃（最大5個）</t>
    <rPh sb="0" eb="1">
      <t>アカ</t>
    </rPh>
    <rPh sb="4" eb="6">
      <t>キュウシュウ</t>
    </rPh>
    <rPh sb="6" eb="8">
      <t>コウゲキ</t>
    </rPh>
    <rPh sb="9" eb="11">
      <t>サイダイ</t>
    </rPh>
    <phoneticPr fontId="6"/>
  </si>
  <si>
    <t>緑パネル吸収攻撃（最大5個）</t>
    <rPh sb="0" eb="1">
      <t>ミドリ</t>
    </rPh>
    <rPh sb="4" eb="6">
      <t>キュウシュウ</t>
    </rPh>
    <rPh sb="6" eb="8">
      <t>コウゲキ</t>
    </rPh>
    <phoneticPr fontId="6"/>
  </si>
  <si>
    <t>青パネル吸収攻撃（最大5個）</t>
    <rPh sb="0" eb="1">
      <t>アオ</t>
    </rPh>
    <rPh sb="4" eb="6">
      <t>キュウシュウ</t>
    </rPh>
    <rPh sb="6" eb="8">
      <t>コウゲキ</t>
    </rPh>
    <phoneticPr fontId="6"/>
  </si>
  <si>
    <t>黄パネル吸収攻撃（最大5個）</t>
    <rPh sb="0" eb="1">
      <t>キ</t>
    </rPh>
    <rPh sb="4" eb="6">
      <t>キュウシュウ</t>
    </rPh>
    <rPh sb="6" eb="8">
      <t>コウゲキ</t>
    </rPh>
    <phoneticPr fontId="6"/>
  </si>
  <si>
    <t>ハートパネル吸収攻撃（最大5個）</t>
    <rPh sb="6" eb="8">
      <t>キュウシュウ</t>
    </rPh>
    <rPh sb="8" eb="10">
      <t>コウゲキ</t>
    </rPh>
    <phoneticPr fontId="6"/>
  </si>
  <si>
    <t>赤パネル吸収攻撃（最大6個）</t>
    <rPh sb="0" eb="1">
      <t>アカ</t>
    </rPh>
    <rPh sb="4" eb="6">
      <t>キュウシュウ</t>
    </rPh>
    <rPh sb="6" eb="8">
      <t>コウゲキ</t>
    </rPh>
    <phoneticPr fontId="6"/>
  </si>
  <si>
    <t>緑パネル吸収攻撃（最大6個）</t>
    <rPh sb="0" eb="1">
      <t>ミドリ</t>
    </rPh>
    <rPh sb="4" eb="6">
      <t>キュウシュウ</t>
    </rPh>
    <rPh sb="6" eb="8">
      <t>コウゲキ</t>
    </rPh>
    <phoneticPr fontId="6"/>
  </si>
  <si>
    <t>青パネル吸収攻撃（最大6個）</t>
    <rPh sb="0" eb="1">
      <t>アオ</t>
    </rPh>
    <rPh sb="4" eb="6">
      <t>キュウシュウ</t>
    </rPh>
    <rPh sb="6" eb="8">
      <t>コウゲキ</t>
    </rPh>
    <phoneticPr fontId="6"/>
  </si>
  <si>
    <t>黄パネル吸収攻撃（最大6個）</t>
    <rPh sb="0" eb="1">
      <t>キ</t>
    </rPh>
    <rPh sb="4" eb="6">
      <t>キュウシュウ</t>
    </rPh>
    <rPh sb="6" eb="8">
      <t>コウゲキ</t>
    </rPh>
    <phoneticPr fontId="6"/>
  </si>
  <si>
    <t>ハートパネル吸収攻撃（最大6個）</t>
    <rPh sb="6" eb="8">
      <t>キュウシュウ</t>
    </rPh>
    <rPh sb="8" eb="10">
      <t>コウゲキ</t>
    </rPh>
    <phoneticPr fontId="6"/>
  </si>
  <si>
    <t>赤パネル吸収攻撃（最大7個）</t>
    <rPh sb="0" eb="1">
      <t>アカ</t>
    </rPh>
    <rPh sb="4" eb="6">
      <t>キュウシュウ</t>
    </rPh>
    <rPh sb="6" eb="8">
      <t>コウゲキ</t>
    </rPh>
    <phoneticPr fontId="6"/>
  </si>
  <si>
    <t>緑パネル吸収攻撃（最大7個）</t>
    <rPh sb="0" eb="1">
      <t>ミドリ</t>
    </rPh>
    <rPh sb="4" eb="6">
      <t>キュウシュウ</t>
    </rPh>
    <rPh sb="6" eb="8">
      <t>コウゲキ</t>
    </rPh>
    <phoneticPr fontId="6"/>
  </si>
  <si>
    <t>青パネル吸収攻撃（最大7個）</t>
    <rPh sb="0" eb="1">
      <t>アオ</t>
    </rPh>
    <rPh sb="4" eb="6">
      <t>キュウシュウ</t>
    </rPh>
    <rPh sb="6" eb="8">
      <t>コウゲキ</t>
    </rPh>
    <phoneticPr fontId="6"/>
  </si>
  <si>
    <t>黄パネル吸収攻撃（最大7個）</t>
    <rPh sb="0" eb="1">
      <t>キ</t>
    </rPh>
    <rPh sb="4" eb="6">
      <t>キュウシュウ</t>
    </rPh>
    <rPh sb="6" eb="8">
      <t>コウゲキ</t>
    </rPh>
    <phoneticPr fontId="6"/>
  </si>
  <si>
    <t>ハートパネル吸収攻撃（最大7個）</t>
    <rPh sb="6" eb="8">
      <t>キュウシュウ</t>
    </rPh>
    <rPh sb="8" eb="10">
      <t>コウゲキ</t>
    </rPh>
    <phoneticPr fontId="6"/>
  </si>
  <si>
    <t>赤パネル吸収攻撃（最大8個）</t>
    <rPh sb="0" eb="1">
      <t>アカ</t>
    </rPh>
    <rPh sb="4" eb="6">
      <t>キュウシュウ</t>
    </rPh>
    <rPh sb="6" eb="8">
      <t>コウゲキ</t>
    </rPh>
    <phoneticPr fontId="6"/>
  </si>
  <si>
    <t>緑パネル吸収攻撃（最大8個）</t>
    <rPh sb="0" eb="1">
      <t>ミドリ</t>
    </rPh>
    <rPh sb="4" eb="6">
      <t>キュウシュウ</t>
    </rPh>
    <rPh sb="6" eb="8">
      <t>コウゲキ</t>
    </rPh>
    <phoneticPr fontId="6"/>
  </si>
  <si>
    <t>青パネル吸収攻撃（最大8個）</t>
    <rPh sb="0" eb="1">
      <t>アオ</t>
    </rPh>
    <rPh sb="4" eb="6">
      <t>キュウシュウ</t>
    </rPh>
    <rPh sb="6" eb="8">
      <t>コウゲキ</t>
    </rPh>
    <phoneticPr fontId="6"/>
  </si>
  <si>
    <t>黄パネル吸収攻撃（最大8個）</t>
    <rPh sb="0" eb="1">
      <t>キ</t>
    </rPh>
    <rPh sb="4" eb="6">
      <t>キュウシュウ</t>
    </rPh>
    <rPh sb="6" eb="8">
      <t>コウゲキ</t>
    </rPh>
    <phoneticPr fontId="6"/>
  </si>
  <si>
    <t>ハートパネル吸収攻撃（最大8個）</t>
    <rPh sb="6" eb="8">
      <t>キュウシュウ</t>
    </rPh>
    <rPh sb="8" eb="10">
      <t>コウゲキ</t>
    </rPh>
    <phoneticPr fontId="6"/>
  </si>
  <si>
    <t xml:space="preserve">[effect:nothing] </t>
    <phoneticPr fontId="6"/>
  </si>
  <si>
    <t>自爆攻撃</t>
    <rPh sb="0" eb="4">
      <t>ジバクコウゲキ</t>
    </rPh>
    <phoneticPr fontId="6"/>
  </si>
  <si>
    <t>２FF2</t>
    <phoneticPr fontId="6"/>
  </si>
  <si>
    <t>[effect:kamikaze, val:3.0, animation:enemy_kamikaze]</t>
    <phoneticPr fontId="6"/>
  </si>
  <si>
    <r>
      <rPr>
        <sz val="10"/>
        <color rgb="FFFF0000"/>
        <rFont val="ＭＳ Ｐゴシック (本文)"/>
        <family val="3"/>
        <charset val="128"/>
      </rPr>
      <t>期間限定ユニットのハンジのスキル</t>
    </r>
    <r>
      <rPr>
        <sz val="10"/>
        <color theme="1"/>
        <rFont val="ＭＳ Ｐゴシック"/>
        <family val="3"/>
        <charset val="128"/>
        <scheme val="minor"/>
      </rPr>
      <t>は
種族マシンユニットの攻撃力防御力特大UP
種族Unknownの敵の防御力を0にします</t>
    </r>
    <rPh sb="0" eb="4">
      <t>キカンゲンテイ</t>
    </rPh>
    <phoneticPr fontId="6"/>
  </si>
  <si>
    <t>「でも良かった…みんな…最悪なことにならなくて」</t>
    <phoneticPr fontId="6"/>
  </si>
  <si>
    <t>パーティ全員の攻撃力＆回復力UP
＋ハートパネルを6個生成</t>
    <rPh sb="4" eb="6">
      <t>ゼンイｎ</t>
    </rPh>
    <rPh sb="7" eb="9">
      <t>コウゲキリョク</t>
    </rPh>
    <rPh sb="9" eb="10">
      <t>リョク</t>
    </rPh>
    <rPh sb="11" eb="13">
      <t>カイフクリョウ</t>
    </rPh>
    <rPh sb="13" eb="14">
      <t>リョク</t>
    </rPh>
    <rPh sb="26" eb="27">
      <t>コ</t>
    </rPh>
    <rPh sb="27" eb="29">
      <t>セイセイ</t>
    </rPh>
    <phoneticPr fontId="6"/>
  </si>
  <si>
    <t>パーティ全員の攻撃力＆回復力UP
＋ハートパネルを6個生成</t>
    <rPh sb="7" eb="9">
      <t>コウゲキリョク</t>
    </rPh>
    <rPh sb="9" eb="10">
      <t>リョク</t>
    </rPh>
    <rPh sb="11" eb="13">
      <t>カイフクリョウ</t>
    </rPh>
    <rPh sb="13" eb="14">
      <t>リョク</t>
    </rPh>
    <rPh sb="26" eb="27">
      <t>コ</t>
    </rPh>
    <rPh sb="27" eb="29">
      <t>セイセイ</t>
    </rPh>
    <phoneticPr fontId="6"/>
  </si>
  <si>
    <t>パーティ全員の攻撃力＆回復力UP
＋ハートパネルを8個生成</t>
    <rPh sb="7" eb="9">
      <t>コウゲキリョク</t>
    </rPh>
    <rPh sb="9" eb="10">
      <t>リョク</t>
    </rPh>
    <rPh sb="11" eb="13">
      <t>カイフクリョウ</t>
    </rPh>
    <rPh sb="13" eb="14">
      <t>リョク</t>
    </rPh>
    <rPh sb="26" eb="27">
      <t>コ</t>
    </rPh>
    <rPh sb="27" eb="29">
      <t>セイセイ</t>
    </rPh>
    <phoneticPr fontId="6"/>
  </si>
  <si>
    <t>パーティ全員の攻撃力＆回復力UP
＋ハートパネルを10個生成</t>
    <rPh sb="7" eb="9">
      <t>コウゲキリョク</t>
    </rPh>
    <rPh sb="9" eb="10">
      <t>リョク</t>
    </rPh>
    <rPh sb="11" eb="13">
      <t>カイフクリョウ</t>
    </rPh>
    <rPh sb="13" eb="14">
      <t>リョク</t>
    </rPh>
    <rPh sb="27" eb="28">
      <t>コ</t>
    </rPh>
    <rPh sb="28" eb="30">
      <t>セイセイ</t>
    </rPh>
    <phoneticPr fontId="6"/>
  </si>
  <si>
    <t>パーティ全員の
攻撃力＆防御力＆回復力UP</t>
    <rPh sb="8" eb="11">
      <t>コウゲキリョク</t>
    </rPh>
    <rPh sb="12" eb="15">
      <t>ボウギョリョク</t>
    </rPh>
    <rPh sb="16" eb="19">
      <t>カイフクリョク</t>
    </rPh>
    <phoneticPr fontId="6"/>
  </si>
  <si>
    <t>パーティ全員の攻撃力＆回復力UP
＋フィーバーゲージ増加</t>
    <rPh sb="7" eb="10">
      <t>コウゲキリョク</t>
    </rPh>
    <rPh sb="11" eb="14">
      <t>カイフクリョク</t>
    </rPh>
    <rPh sb="26" eb="28">
      <t>ゾウカ</t>
    </rPh>
    <phoneticPr fontId="6"/>
  </si>
  <si>
    <t>パーティ全員の攻撃力＆回復力UP
＋フィーバーゲージMAX</t>
    <rPh sb="7" eb="10">
      <t>コウゲキリョク</t>
    </rPh>
    <rPh sb="11" eb="14">
      <t>カイフクリョク</t>
    </rPh>
    <phoneticPr fontId="6"/>
  </si>
  <si>
    <t>パーティ全員の攻撃力＆回復力UP
＋ボムパネル爆風増加</t>
    <rPh sb="7" eb="10">
      <t>コウゲキリョク</t>
    </rPh>
    <rPh sb="11" eb="14">
      <t>カイフクリョク</t>
    </rPh>
    <rPh sb="23" eb="25">
      <t>バクフウ</t>
    </rPh>
    <rPh sb="25" eb="27">
      <t>ゾウカ</t>
    </rPh>
    <phoneticPr fontId="6"/>
  </si>
  <si>
    <t>パーティ全員の攻撃力＆回復力UP
＋ボムパネル1個生成＆爆風増加</t>
    <rPh sb="7" eb="10">
      <t>コウゲキリョク</t>
    </rPh>
    <rPh sb="11" eb="14">
      <t>カイフクリョク</t>
    </rPh>
    <rPh sb="24" eb="25">
      <t>コ</t>
    </rPh>
    <rPh sb="25" eb="27">
      <t>セイセイ</t>
    </rPh>
    <rPh sb="28" eb="32">
      <t>バクフウゾウカ</t>
    </rPh>
    <phoneticPr fontId="6"/>
  </si>
  <si>
    <t>こちらを見つめている…</t>
    <rPh sb="4" eb="5">
      <t>ミツメテイル</t>
    </rPh>
    <phoneticPr fontId="6"/>
  </si>
  <si>
    <t>敵対者発見…追尾モードON</t>
    <rPh sb="0" eb="2">
      <t>テキタイコウドウ</t>
    </rPh>
    <rPh sb="2" eb="3">
      <t>シャ</t>
    </rPh>
    <rPh sb="3" eb="5">
      <t>ハッケｎ</t>
    </rPh>
    <rPh sb="6" eb="8">
      <t>ツイビ</t>
    </rPh>
    <phoneticPr fontId="6"/>
  </si>
  <si>
    <t>突然接近してきた！</t>
    <rPh sb="0" eb="2">
      <t>トツゼｎ</t>
    </rPh>
    <rPh sb="2" eb="4">
      <t>セッキｎ</t>
    </rPh>
    <phoneticPr fontId="6"/>
  </si>
  <si>
    <t xml:space="preserve">[effect:rush, count:1, val:1.0],[effect:enhance_enemy, target:myself, turn:-1, status:defense, val:100, calc:add, animation:enemy_enhance_defense]    </t>
    <phoneticPr fontId="6"/>
  </si>
  <si>
    <t xml:space="preserve">[effect:enhance_unit, target:unit_all, turn:-1, status:attack, val:550, calc:add],[effect:enhance_unit, target:unit_all, turn:-1, status:heal, val:450, calc:add],[effect:change_bomb_range, turn:-1, val:1.4, rate:1, animation:bomb_big],[effect:suicide, val:1, dead_type:escape, target:myself]    </t>
    <phoneticPr fontId="6"/>
  </si>
  <si>
    <t>[effect:enhance_unit, target:unit_all, turn:-1, status:attack, val:500, calc:add],[effect:enhance_unit, target:unit_all, turn:-1, status:heal, val:500, calc:add],[effect:change_bomb_range, turn:-1, val:1.2, rate:1, animation:bomb_big],[effect:suicide, val:1, dead_type:escape, target:myself]</t>
    <phoneticPr fontId="6"/>
  </si>
  <si>
    <t>[effect:enhance_unit, target:unit_all, turn:-1, status:attack, val:550, calc:add],[effect:enhance_unit, target:unit_all, turn:-1, status:heal, val:500, calc:add],[effect:force_change_block, new_block:crack_bomb, target:block_all, ignore:crack_bomb, ignore02:crash, color:block_red, count:1, val:40, animation:change_block],[effect:change_bomb_range, turn:-1, val:1.5, rate:1, animation:bomb_big],[effect:suicide, val:1, dead_type:escape, target:myself]</t>
    <phoneticPr fontId="6"/>
  </si>
  <si>
    <t>[effect:enhance_unit, target:unit_all, turn:-1, status:attack, val:300, calc:add, animation:enhance_unit_all_attack02],[effect:enhance_unit, target:unit_all, turn:-1, status:heal, val:300, calc:add],[effect:enhance_fever, val:1000.0, animation:fevergauge_up04],[effect:suicide, val:1, dead_type:escape, target:myself]</t>
    <phoneticPr fontId="6"/>
  </si>
  <si>
    <t xml:space="preserve">[effect:enhance_unit, target:unit_all, turn:-1, status:attack, val:300, calc:add, animation:enhance_unit_all_attack02],[effect:enhance_unit, target:unit_all, turn:-1, status:heal, val:300, calc:add],[effect:enhance_fever, val:500.0, animation:fevergauge_up04],[effect:suicide, val:1, dead_type:escape, target:myself]    </t>
    <phoneticPr fontId="6"/>
  </si>
  <si>
    <t>[effect:enhance_unit, target:unit_all, turn:-1, status:attack, val:200, calc:add, animation:enhance_unit_all_attack02],[effect:enhance_unit, target:unit_all, turn:-1, status:defense, val:200, calc:add],[effect:enhance_unit, target:unit_all, turn:-1, status:heal, val:250, calc:add],[effect:suicide, val:1, dead_type:escape, target:myself]</t>
    <phoneticPr fontId="6"/>
  </si>
  <si>
    <t>[effect:enhance_unit, target:unit_all, turn:-1, status:attack, val:250, calc:add, animation:enhance_unit_all_attack02],[effect:enhance_unit, target:unit_all, turn:-1, status:defense, val:200, calc:add],[effect:enhance_unit, target:unit_all, turn:-1, status:heal, val:200, calc:add],[effect:suicide, val:1, dead_type:escape, target:myself]</t>
    <phoneticPr fontId="6"/>
  </si>
  <si>
    <t>[effect:enhance_unit, target:unit_all, turn:-1, status:attack, val:225, calc:add, animation:enhance_unit_all_attack02],[effect:enhance_unit, target:unit_all, turn:-1, status:defense, val:225, calc:add],[effect:enhance_unit, target:unit_all, turn:-1, status:heal, val:200, calc:add],[effect:suicide, val:1, dead_type:escape, target:myself]</t>
    <phoneticPr fontId="6"/>
  </si>
  <si>
    <t>[effect:enhance_unit, target:unit_all, turn:-1, status:attack, val:100, calc:add, animation:enhance_unit_all_attack02],[effect:enhance_unit, target:unit_all, turn:-1, status:heal, val:100, calc:add],[effect:force_change_block, new_block:block_heart, target:block_all, ignore:crack_bomb, ignore02:crash, color:block_blue, count:10, val:0, animation:change_block],[effect:suicide, val:1, dead_type:escape, target:myself]</t>
    <phoneticPr fontId="6"/>
  </si>
  <si>
    <t>[effect:enhance_unit, target:unit_all, turn:-1, status:attack, val:100, calc:add, animation:enhance_unit_all_attack02],[effect:enhance_unit, target:unit_all, turn:-1, status:heal, val:100, calc:add],[effect:force_change_block, new_block:block_heart, target:block_all, ignore:crack_bomb, ignore02:crash, color:block_blue, count:8, val:0, animation:change_block],[effect:suicide, val:1, dead_type:escape, target:myself]</t>
    <phoneticPr fontId="6"/>
  </si>
  <si>
    <t>[effect:enhance_unit, target:unit_all, turn:-1, status:attack, val:100, calc:add, animation:enhance_unit_all_attack02],[effect:enhance_unit, target:unit_all, turn:-1, status:heal, val:100, calc:add],[effect:force_change_block, new_block:block_heart, target:block_all, ignore:crack_bomb, ignore02:crash, color:block_blue, count:6, val:0, animation:change_block],[effect:suicide, val:1, dead_type:escape, target:myself]</t>
    <phoneticPr fontId="6"/>
  </si>
  <si>
    <t>[effect:enhance_unit, target:unit_all, turn:-1, status:attack, val:100, calc:add, animation:enhance_unit_all_attack02],[effect:enhance_unit, target:unit_all, turn:-1, status:heal, val:100, calc:add],[effect:force_change_block, new_block:block_heart, target:block_all, ignore:crack_bomb, ignore02:crash, color:block_blue, count:6, val:0, animation:change_block],[effect:suicide, val:1, dead_type:escape, target:myself]</t>
    <phoneticPr fontId="6"/>
  </si>
  <si>
    <r>
      <rPr>
        <sz val="10"/>
        <color rgb="FFFF0000"/>
        <rFont val="ＭＳ Ｐゴシック (本文)"/>
        <family val="3"/>
        <charset val="128"/>
      </rPr>
      <t>期間限定ユニットのハンジのスキル</t>
    </r>
    <r>
      <rPr>
        <sz val="10"/>
        <color theme="1"/>
        <rFont val="ＭＳ Ｐゴシック"/>
        <family val="3"/>
        <charset val="128"/>
        <scheme val="minor"/>
      </rPr>
      <t>は
種族マシンユニットの攻撃力防御力特大UP
種族Unknownの敵の防御力を0にする</t>
    </r>
    <rPh sb="0" eb="4">
      <t>キカンゲンテイ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</si>
</sst>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"/>
    <numFmt numFmtId="178" formatCode="0.0%"/>
  </numFmts>
  <fonts count="59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 (本文)"/>
      <family val="3"/>
      <charset val="128"/>
    </font>
    <font>
      <sz val="10"/>
      <name val="ＭＳ Ｐゴシック (本文)"/>
      <family val="3"/>
      <charset val="128"/>
    </font>
    <font>
      <sz val="10"/>
      <name val="ＭＳ Ｐゴシック"/>
      <family val="3"/>
      <charset val="128"/>
      <scheme val="minor"/>
    </font>
    <font>
      <sz val="10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98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7" borderId="0" applyNumberFormat="0" applyBorder="0" applyAlignment="0" applyProtection="0"/>
    <xf numFmtId="0" fontId="22" fillId="8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9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5" borderId="13" applyNumberFormat="0" applyAlignment="0" applyProtection="0"/>
    <xf numFmtId="0" fontId="34" fillId="16" borderId="0" applyNumberFormat="0" applyBorder="0" applyAlignment="0" applyProtection="0"/>
    <xf numFmtId="0" fontId="35" fillId="17" borderId="14" applyNumberFormat="0" applyAlignment="0" applyProtection="0"/>
    <xf numFmtId="0" fontId="36" fillId="0" borderId="0" applyNumberFormat="0" applyFill="0" applyBorder="0" applyAlignment="0" applyProtection="0"/>
    <xf numFmtId="0" fontId="37" fillId="18" borderId="0" applyNumberFormat="0" applyBorder="0" applyAlignment="0" applyProtection="0"/>
    <xf numFmtId="0" fontId="38" fillId="19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7" borderId="0" applyNumberFormat="0" applyBorder="0" applyAlignment="0" applyProtection="0"/>
    <xf numFmtId="0" fontId="43" fillId="16" borderId="0" applyNumberFormat="0" applyBorder="0" applyAlignment="0" applyProtection="0"/>
    <xf numFmtId="0" fontId="43" fillId="20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5" borderId="0" applyNumberFormat="0" applyBorder="0" applyAlignment="0" applyProtection="0"/>
    <xf numFmtId="0" fontId="43" fillId="17" borderId="0" applyNumberFormat="0" applyBorder="0" applyAlignment="0" applyProtection="0"/>
    <xf numFmtId="0" fontId="43" fillId="22" borderId="0" applyNumberFormat="0" applyBorder="0" applyAlignment="0" applyProtection="0"/>
    <xf numFmtId="0" fontId="43" fillId="20" borderId="0" applyNumberFormat="0" applyBorder="0" applyAlignment="0" applyProtection="0"/>
    <xf numFmtId="0" fontId="43" fillId="17" borderId="0" applyNumberFormat="0" applyBorder="0" applyAlignment="0" applyProtection="0"/>
    <xf numFmtId="0" fontId="43" fillId="23" borderId="0" applyNumberFormat="0" applyBorder="0" applyAlignment="0" applyProtection="0"/>
    <xf numFmtId="0" fontId="43" fillId="16" borderId="0" applyNumberFormat="0" applyBorder="0" applyAlignment="0" applyProtection="0"/>
    <xf numFmtId="0" fontId="44" fillId="24" borderId="0" applyNumberFormat="0" applyBorder="0" applyAlignment="0" applyProtection="0"/>
    <xf numFmtId="0" fontId="44" fillId="22" borderId="0" applyNumberFormat="0" applyBorder="0" applyAlignment="0" applyProtection="0"/>
    <xf numFmtId="0" fontId="44" fillId="20" borderId="0" applyNumberFormat="0" applyBorder="0" applyAlignment="0" applyProtection="0"/>
    <xf numFmtId="0" fontId="44" fillId="17" borderId="0" applyNumberFormat="0" applyBorder="0" applyAlignment="0" applyProtection="0"/>
    <xf numFmtId="0" fontId="44" fillId="24" borderId="0" applyNumberFormat="0" applyBorder="0" applyAlignment="0" applyProtection="0"/>
    <xf numFmtId="0" fontId="44" fillId="1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44" fillId="20" borderId="0" applyNumberFormat="0" applyBorder="0" applyAlignment="0" applyProtection="0"/>
    <xf numFmtId="0" fontId="44" fillId="26" borderId="0" applyNumberFormat="0" applyBorder="0" applyAlignment="0" applyProtection="0"/>
    <xf numFmtId="0" fontId="44" fillId="24" borderId="0" applyNumberFormat="0" applyBorder="0" applyAlignment="0" applyProtection="0"/>
    <xf numFmtId="0" fontId="44" fillId="22" borderId="0" applyNumberFormat="0" applyBorder="0" applyAlignment="0" applyProtection="0"/>
    <xf numFmtId="0" fontId="45" fillId="27" borderId="0" applyNumberFormat="0" applyBorder="0" applyAlignment="0" applyProtection="0"/>
    <xf numFmtId="0" fontId="34" fillId="16" borderId="0" applyNumberFormat="0" applyBorder="0" applyAlignment="0" applyProtection="0"/>
    <xf numFmtId="0" fontId="46" fillId="0" borderId="19" applyNumberFormat="0" applyFill="0" applyAlignment="0" applyProtection="0"/>
    <xf numFmtId="0" fontId="47" fillId="17" borderId="20" applyNumberFormat="0" applyAlignment="0" applyProtection="0"/>
    <xf numFmtId="0" fontId="47" fillId="28" borderId="20" applyNumberFormat="0" applyAlignment="0" applyProtection="0"/>
    <xf numFmtId="0" fontId="35" fillId="16" borderId="14" applyNumberFormat="0" applyAlignment="0" applyProtection="0"/>
    <xf numFmtId="0" fontId="48" fillId="0" borderId="21" applyNumberFormat="0" applyFill="0" applyAlignment="0" applyProtection="0"/>
    <xf numFmtId="0" fontId="49" fillId="28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" fillId="0" borderId="0"/>
  </cellStyleXfs>
  <cellXfs count="185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4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4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7" fillId="4" borderId="9" xfId="0" applyFont="1" applyFill="1" applyBorder="1" applyAlignment="1">
      <alignment vertical="center"/>
    </xf>
    <xf numFmtId="0" fontId="7" fillId="4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6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5" borderId="7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6" borderId="0" xfId="0" applyFont="1" applyFill="1" applyAlignment="1">
      <alignment vertical="center"/>
    </xf>
    <xf numFmtId="0" fontId="17" fillId="5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5" borderId="2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4" fillId="10" borderId="7" xfId="0" applyFont="1" applyFill="1" applyBorder="1"/>
    <xf numFmtId="0" fontId="0" fillId="10" borderId="7" xfId="0" applyFill="1" applyBorder="1"/>
    <xf numFmtId="0" fontId="0" fillId="0" borderId="7" xfId="0" applyBorder="1"/>
    <xf numFmtId="0" fontId="0" fillId="5" borderId="7" xfId="0" applyFill="1" applyBorder="1"/>
    <xf numFmtId="0" fontId="27" fillId="11" borderId="7" xfId="0" applyFont="1" applyFill="1" applyBorder="1"/>
    <xf numFmtId="0" fontId="14" fillId="10" borderId="7" xfId="434" applyFont="1" applyFill="1" applyBorder="1" applyAlignment="1"/>
    <xf numFmtId="0" fontId="25" fillId="0" borderId="7" xfId="434" applyBorder="1" applyAlignment="1"/>
    <xf numFmtId="0" fontId="0" fillId="12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5" borderId="7" xfId="614" applyFont="1" applyFill="1" applyBorder="1" applyAlignment="1">
      <alignment horizontal="left"/>
    </xf>
    <xf numFmtId="0" fontId="0" fillId="5" borderId="7" xfId="615" applyFont="1" applyFill="1" applyBorder="1"/>
    <xf numFmtId="0" fontId="0" fillId="0" borderId="7" xfId="615" applyFont="1" applyBorder="1"/>
    <xf numFmtId="0" fontId="3" fillId="10" borderId="7" xfId="615" applyFill="1" applyBorder="1"/>
    <xf numFmtId="0" fontId="5" fillId="0" borderId="7" xfId="0" applyFont="1" applyBorder="1" applyAlignment="1">
      <alignment vertical="center"/>
    </xf>
    <xf numFmtId="0" fontId="7" fillId="4" borderId="11" xfId="0" applyFont="1" applyFill="1" applyBorder="1" applyAlignment="1">
      <alignment vertical="center"/>
    </xf>
    <xf numFmtId="0" fontId="0" fillId="3" borderId="7" xfId="0" applyFill="1" applyBorder="1"/>
    <xf numFmtId="0" fontId="17" fillId="5" borderId="7" xfId="0" applyFont="1" applyFill="1" applyBorder="1" applyAlignment="1">
      <alignment horizontal="center"/>
    </xf>
    <xf numFmtId="56" fontId="17" fillId="5" borderId="7" xfId="0" applyNumberFormat="1" applyFont="1" applyFill="1" applyBorder="1" applyAlignment="1">
      <alignment horizontal="center"/>
    </xf>
    <xf numFmtId="0" fontId="3" fillId="0" borderId="0" xfId="615"/>
    <xf numFmtId="0" fontId="28" fillId="5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0" fillId="14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3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29" borderId="7" xfId="0" applyFont="1" applyFill="1" applyBorder="1" applyAlignment="1">
      <alignment horizontal="center"/>
    </xf>
    <xf numFmtId="0" fontId="31" fillId="29" borderId="7" xfId="0" applyFont="1" applyFill="1" applyBorder="1"/>
    <xf numFmtId="0" fontId="17" fillId="12" borderId="7" xfId="0" applyFont="1" applyFill="1" applyBorder="1" applyAlignment="1">
      <alignment horizontal="center"/>
    </xf>
    <xf numFmtId="56" fontId="17" fillId="13" borderId="7" xfId="0" applyNumberFormat="1" applyFont="1" applyFill="1" applyBorder="1" applyAlignment="1">
      <alignment horizontal="center"/>
    </xf>
    <xf numFmtId="0" fontId="17" fillId="5" borderId="7" xfId="11" applyFont="1" applyFill="1" applyBorder="1" applyAlignment="1">
      <alignment horizontal="left"/>
    </xf>
    <xf numFmtId="0" fontId="3" fillId="0" borderId="7" xfId="615" applyBorder="1"/>
    <xf numFmtId="0" fontId="3" fillId="5" borderId="7" xfId="615" applyFill="1" applyBorder="1"/>
    <xf numFmtId="0" fontId="5" fillId="0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177" fontId="9" fillId="0" borderId="23" xfId="0" applyNumberFormat="1" applyFont="1" applyBorder="1" applyAlignment="1">
      <alignment vertical="center"/>
    </xf>
    <xf numFmtId="0" fontId="5" fillId="3" borderId="12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13" fillId="6" borderId="24" xfId="0" applyFont="1" applyFill="1" applyBorder="1" applyAlignment="1">
      <alignment vertical="center"/>
    </xf>
    <xf numFmtId="176" fontId="5" fillId="0" borderId="25" xfId="0" applyNumberFormat="1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vertical="center"/>
    </xf>
    <xf numFmtId="0" fontId="7" fillId="0" borderId="26" xfId="0" applyFont="1" applyFill="1" applyBorder="1" applyAlignment="1">
      <alignment vertical="center"/>
    </xf>
    <xf numFmtId="0" fontId="5" fillId="0" borderId="26" xfId="0" applyFont="1" applyBorder="1" applyAlignment="1">
      <alignment horizontal="center" vertical="center"/>
    </xf>
    <xf numFmtId="0" fontId="7" fillId="4" borderId="27" xfId="0" applyFont="1" applyFill="1" applyBorder="1" applyAlignment="1">
      <alignment vertical="center"/>
    </xf>
    <xf numFmtId="0" fontId="9" fillId="0" borderId="28" xfId="0" applyFont="1" applyBorder="1" applyAlignment="1">
      <alignment vertical="center"/>
    </xf>
    <xf numFmtId="177" fontId="9" fillId="0" borderId="28" xfId="0" applyNumberFormat="1" applyFont="1" applyBorder="1" applyAlignment="1">
      <alignment vertical="center"/>
    </xf>
    <xf numFmtId="0" fontId="5" fillId="0" borderId="29" xfId="0" applyFont="1" applyBorder="1" applyAlignment="1">
      <alignment vertical="center"/>
    </xf>
    <xf numFmtId="0" fontId="5" fillId="3" borderId="26" xfId="0" applyFont="1" applyFill="1" applyBorder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7" fillId="3" borderId="7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vertical="center"/>
    </xf>
    <xf numFmtId="0" fontId="7" fillId="3" borderId="25" xfId="0" applyFont="1" applyFill="1" applyBorder="1" applyAlignment="1">
      <alignment vertical="center"/>
    </xf>
    <xf numFmtId="14" fontId="17" fillId="0" borderId="7" xfId="0" applyNumberFormat="1" applyFont="1" applyFill="1" applyBorder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7" xfId="0" applyFont="1" applyBorder="1"/>
    <xf numFmtId="0" fontId="17" fillId="30" borderId="7" xfId="0" applyFont="1" applyFill="1" applyBorder="1" applyAlignment="1">
      <alignment vertical="center"/>
    </xf>
    <xf numFmtId="0" fontId="17" fillId="31" borderId="7" xfId="0" applyFont="1" applyFill="1" applyBorder="1" applyAlignment="1">
      <alignment vertical="center"/>
    </xf>
    <xf numFmtId="0" fontId="17" fillId="0" borderId="7" xfId="0" applyFont="1" applyFill="1" applyBorder="1" applyAlignment="1">
      <alignment vertical="center" wrapText="1"/>
    </xf>
    <xf numFmtId="0" fontId="17" fillId="5" borderId="7" xfId="0" applyFont="1" applyFill="1" applyBorder="1" applyAlignment="1">
      <alignment horizontal="center" vertical="center" wrapText="1"/>
    </xf>
    <xf numFmtId="0" fontId="17" fillId="0" borderId="0" xfId="0" applyFont="1" applyFill="1" applyAlignment="1">
      <alignment vertical="center" wrapText="1"/>
    </xf>
    <xf numFmtId="38" fontId="17" fillId="0" borderId="7" xfId="628" applyFont="1" applyFill="1" applyBorder="1" applyAlignment="1">
      <alignment wrapText="1"/>
    </xf>
    <xf numFmtId="0" fontId="17" fillId="5" borderId="7" xfId="696" applyFont="1" applyFill="1" applyBorder="1" applyAlignment="1">
      <alignment horizontal="left"/>
    </xf>
    <xf numFmtId="0" fontId="15" fillId="6" borderId="0" xfId="696" applyFont="1" applyFill="1" applyAlignment="1">
      <alignment horizontal="center" vertical="center"/>
    </xf>
    <xf numFmtId="0" fontId="17" fillId="3" borderId="7" xfId="696" applyFont="1" applyFill="1" applyBorder="1" applyAlignment="1">
      <alignment horizontal="left"/>
    </xf>
    <xf numFmtId="0" fontId="0" fillId="5" borderId="7" xfId="697" applyFont="1" applyFill="1" applyBorder="1"/>
    <xf numFmtId="0" fontId="17" fillId="5" borderId="8" xfId="696" applyFont="1" applyFill="1" applyBorder="1" applyAlignment="1">
      <alignment horizontal="left"/>
    </xf>
    <xf numFmtId="0" fontId="17" fillId="5" borderId="30" xfId="696" applyFont="1" applyFill="1" applyBorder="1" applyAlignment="1">
      <alignment horizontal="left"/>
    </xf>
    <xf numFmtId="178" fontId="17" fillId="5" borderId="2" xfId="696" applyNumberFormat="1" applyFont="1" applyFill="1" applyBorder="1" applyAlignment="1">
      <alignment horizontal="left"/>
    </xf>
    <xf numFmtId="0" fontId="12" fillId="0" borderId="7" xfId="0" applyFont="1" applyBorder="1" applyAlignment="1">
      <alignment vertical="center"/>
    </xf>
    <xf numFmtId="0" fontId="28" fillId="0" borderId="8" xfId="0" applyFont="1" applyFill="1" applyBorder="1"/>
    <xf numFmtId="178" fontId="0" fillId="0" borderId="31" xfId="0" applyNumberFormat="1" applyBorder="1"/>
    <xf numFmtId="178" fontId="0" fillId="0" borderId="32" xfId="0" applyNumberFormat="1" applyBorder="1"/>
    <xf numFmtId="0" fontId="28" fillId="32" borderId="7" xfId="0" applyFont="1" applyFill="1" applyBorder="1"/>
    <xf numFmtId="49" fontId="0" fillId="0" borderId="8" xfId="0" applyNumberFormat="1" applyFill="1" applyBorder="1"/>
    <xf numFmtId="0" fontId="12" fillId="0" borderId="33" xfId="0" applyFont="1" applyBorder="1" applyAlignment="1">
      <alignment vertical="center"/>
    </xf>
    <xf numFmtId="0" fontId="28" fillId="0" borderId="34" xfId="0" applyFont="1" applyFill="1" applyBorder="1"/>
    <xf numFmtId="0" fontId="0" fillId="3" borderId="34" xfId="0" applyFill="1" applyBorder="1"/>
    <xf numFmtId="0" fontId="7" fillId="4" borderId="34" xfId="0" applyFont="1" applyFill="1" applyBorder="1" applyAlignment="1">
      <alignment vertical="center"/>
    </xf>
    <xf numFmtId="0" fontId="28" fillId="0" borderId="35" xfId="0" applyFont="1" applyFill="1" applyBorder="1"/>
    <xf numFmtId="0" fontId="12" fillId="0" borderId="36" xfId="0" applyFont="1" applyBorder="1" applyAlignment="1">
      <alignment vertical="center"/>
    </xf>
    <xf numFmtId="0" fontId="28" fillId="0" borderId="26" xfId="0" applyFont="1" applyFill="1" applyBorder="1"/>
    <xf numFmtId="49" fontId="0" fillId="0" borderId="35" xfId="0" applyNumberFormat="1" applyFill="1" applyBorder="1"/>
    <xf numFmtId="0" fontId="28" fillId="0" borderId="12" xfId="0" applyFont="1" applyFill="1" applyBorder="1"/>
    <xf numFmtId="0" fontId="29" fillId="0" borderId="12" xfId="0" applyFont="1" applyFill="1" applyBorder="1"/>
    <xf numFmtId="0" fontId="31" fillId="0" borderId="12" xfId="0" applyFont="1" applyFill="1" applyBorder="1"/>
    <xf numFmtId="0" fontId="31" fillId="29" borderId="12" xfId="0" applyFont="1" applyFill="1" applyBorder="1"/>
    <xf numFmtId="0" fontId="31" fillId="13" borderId="12" xfId="0" applyFont="1" applyFill="1" applyBorder="1"/>
    <xf numFmtId="0" fontId="32" fillId="0" borderId="12" xfId="0" applyFont="1" applyFill="1" applyBorder="1"/>
    <xf numFmtId="38" fontId="17" fillId="0" borderId="12" xfId="628" applyFont="1" applyFill="1" applyBorder="1" applyAlignment="1">
      <alignment wrapText="1"/>
    </xf>
    <xf numFmtId="0" fontId="0" fillId="0" borderId="12" xfId="0" applyBorder="1"/>
    <xf numFmtId="0" fontId="29" fillId="0" borderId="26" xfId="0" applyFont="1" applyFill="1" applyBorder="1"/>
    <xf numFmtId="0" fontId="30" fillId="3" borderId="26" xfId="0" applyFont="1" applyFill="1" applyBorder="1" applyAlignment="1">
      <alignment vertical="center"/>
    </xf>
    <xf numFmtId="0" fontId="31" fillId="0" borderId="26" xfId="0" applyFont="1" applyFill="1" applyBorder="1"/>
    <xf numFmtId="0" fontId="30" fillId="0" borderId="26" xfId="0" applyFont="1" applyFill="1" applyBorder="1" applyAlignment="1">
      <alignment vertical="center"/>
    </xf>
    <xf numFmtId="0" fontId="31" fillId="29" borderId="26" xfId="0" applyFont="1" applyFill="1" applyBorder="1"/>
    <xf numFmtId="0" fontId="31" fillId="13" borderId="26" xfId="0" applyFont="1" applyFill="1" applyBorder="1"/>
    <xf numFmtId="0" fontId="32" fillId="0" borderId="26" xfId="0" applyFont="1" applyFill="1" applyBorder="1"/>
    <xf numFmtId="38" fontId="17" fillId="0" borderId="26" xfId="628" applyFont="1" applyFill="1" applyBorder="1" applyAlignment="1">
      <alignment wrapText="1"/>
    </xf>
    <xf numFmtId="0" fontId="0" fillId="0" borderId="26" xfId="0" applyBorder="1"/>
    <xf numFmtId="0" fontId="17" fillId="33" borderId="7" xfId="0" applyFont="1" applyFill="1" applyBorder="1" applyAlignment="1">
      <alignment vertical="center"/>
    </xf>
    <xf numFmtId="0" fontId="17" fillId="33" borderId="7" xfId="0" applyFont="1" applyFill="1" applyBorder="1" applyAlignment="1">
      <alignment vertical="center" wrapText="1"/>
    </xf>
    <xf numFmtId="0" fontId="17" fillId="33" borderId="7" xfId="0" applyFont="1" applyFill="1" applyBorder="1" applyAlignment="1">
      <alignment horizontal="left" vertical="center"/>
    </xf>
    <xf numFmtId="0" fontId="17" fillId="33" borderId="7" xfId="0" applyFont="1" applyFill="1" applyBorder="1" applyAlignment="1">
      <alignment horizontal="left" vertical="center" wrapText="1"/>
    </xf>
    <xf numFmtId="0" fontId="17" fillId="30" borderId="7" xfId="0" applyFont="1" applyFill="1" applyBorder="1" applyAlignment="1">
      <alignment vertical="center" wrapText="1"/>
    </xf>
    <xf numFmtId="0" fontId="17" fillId="30" borderId="7" xfId="0" applyFont="1" applyFill="1" applyBorder="1" applyAlignment="1">
      <alignment horizontal="left" vertical="center"/>
    </xf>
    <xf numFmtId="0" fontId="17" fillId="30" borderId="7" xfId="0" applyFont="1" applyFill="1" applyBorder="1" applyAlignment="1">
      <alignment horizontal="left" vertical="center" wrapText="1"/>
    </xf>
    <xf numFmtId="14" fontId="17" fillId="30" borderId="7" xfId="0" applyNumberFormat="1" applyFont="1" applyFill="1" applyBorder="1" applyAlignment="1">
      <alignment horizontal="left" vertical="center"/>
    </xf>
    <xf numFmtId="0" fontId="17" fillId="30" borderId="0" xfId="0" applyFont="1" applyFill="1" applyAlignment="1">
      <alignment vertical="center"/>
    </xf>
    <xf numFmtId="0" fontId="17" fillId="12" borderId="7" xfId="0" applyFont="1" applyFill="1" applyBorder="1" applyAlignment="1">
      <alignment vertical="center" wrapText="1"/>
    </xf>
    <xf numFmtId="38" fontId="17" fillId="13" borderId="7" xfId="628" applyFont="1" applyFill="1" applyBorder="1" applyAlignment="1">
      <alignment wrapText="1"/>
    </xf>
    <xf numFmtId="38" fontId="17" fillId="34" borderId="7" xfId="628" applyFont="1" applyFill="1" applyBorder="1" applyAlignment="1">
      <alignment wrapText="1"/>
    </xf>
    <xf numFmtId="0" fontId="55" fillId="13" borderId="7" xfId="0" applyFont="1" applyFill="1" applyBorder="1" applyAlignment="1">
      <alignment horizontal="center"/>
    </xf>
    <xf numFmtId="0" fontId="56" fillId="34" borderId="7" xfId="0" applyFont="1" applyFill="1" applyBorder="1"/>
    <xf numFmtId="0" fontId="57" fillId="0" borderId="0" xfId="0" applyFont="1"/>
    <xf numFmtId="0" fontId="14" fillId="6" borderId="0" xfId="0" applyFont="1" applyFill="1" applyAlignment="1">
      <alignment horizontal="center"/>
    </xf>
    <xf numFmtId="0" fontId="58" fillId="5" borderId="7" xfId="0" applyFont="1" applyFill="1" applyBorder="1" applyAlignment="1">
      <alignment horizontal="center"/>
    </xf>
    <xf numFmtId="0" fontId="17" fillId="35" borderId="7" xfId="0" applyFont="1" applyFill="1" applyBorder="1" applyAlignment="1">
      <alignment vertical="center" wrapText="1"/>
    </xf>
    <xf numFmtId="0" fontId="17" fillId="36" borderId="7" xfId="0" applyFont="1" applyFill="1" applyBorder="1" applyAlignment="1">
      <alignment vertical="center" wrapText="1"/>
    </xf>
    <xf numFmtId="0" fontId="17" fillId="37" borderId="7" xfId="0" applyFont="1" applyFill="1" applyBorder="1" applyAlignment="1">
      <alignment vertical="center" wrapText="1"/>
    </xf>
    <xf numFmtId="0" fontId="17" fillId="38" borderId="7" xfId="0" applyFont="1" applyFill="1" applyBorder="1" applyAlignment="1">
      <alignment vertical="center" wrapText="1"/>
    </xf>
    <xf numFmtId="0" fontId="17" fillId="38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696"/>
    <cellStyle name="標準 5" xfId="676"/>
    <cellStyle name="標準 5 2" xfId="677"/>
    <cellStyle name="標準 6" xfId="615"/>
    <cellStyle name="標準 6 2" xfId="697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14001</v>
          </cell>
        </row>
        <row r="91">
          <cell r="A91">
            <v>14002</v>
          </cell>
        </row>
        <row r="92">
          <cell r="A92">
            <v>14003</v>
          </cell>
        </row>
        <row r="93">
          <cell r="A93">
            <v>14004</v>
          </cell>
        </row>
        <row r="94">
          <cell r="A94">
            <v>14005</v>
          </cell>
        </row>
        <row r="95">
          <cell r="A95">
            <v>14006</v>
          </cell>
        </row>
        <row r="96">
          <cell r="A96">
            <v>15027</v>
          </cell>
        </row>
        <row r="97">
          <cell r="A97">
            <v>15028</v>
          </cell>
        </row>
        <row r="98">
          <cell r="A98">
            <v>15029</v>
          </cell>
        </row>
        <row r="99">
          <cell r="A99">
            <v>15030</v>
          </cell>
        </row>
        <row r="100">
          <cell r="A100">
            <v>15031</v>
          </cell>
        </row>
        <row r="101">
          <cell r="A101">
            <v>20001</v>
          </cell>
        </row>
        <row r="102">
          <cell r="A102">
            <v>20002</v>
          </cell>
        </row>
        <row r="103">
          <cell r="A103">
            <v>20003</v>
          </cell>
        </row>
        <row r="104">
          <cell r="A104">
            <v>20004</v>
          </cell>
        </row>
        <row r="105">
          <cell r="A105">
            <v>20005</v>
          </cell>
        </row>
        <row r="106">
          <cell r="A106">
            <v>20006</v>
          </cell>
        </row>
        <row r="107">
          <cell r="A107">
            <v>20007</v>
          </cell>
        </row>
        <row r="108">
          <cell r="A108">
            <v>20008</v>
          </cell>
        </row>
        <row r="109">
          <cell r="A109">
            <v>20009</v>
          </cell>
        </row>
        <row r="110">
          <cell r="A110">
            <v>20010</v>
          </cell>
        </row>
        <row r="111">
          <cell r="A111">
            <v>20011</v>
          </cell>
        </row>
        <row r="112">
          <cell r="A112">
            <v>20012</v>
          </cell>
        </row>
        <row r="113">
          <cell r="A113">
            <v>20013</v>
          </cell>
        </row>
        <row r="114">
          <cell r="A114">
            <v>20014</v>
          </cell>
        </row>
        <row r="115">
          <cell r="A115">
            <v>20015</v>
          </cell>
        </row>
        <row r="116">
          <cell r="A116">
            <v>20016</v>
          </cell>
        </row>
        <row r="117">
          <cell r="A117">
            <v>20017</v>
          </cell>
        </row>
        <row r="118">
          <cell r="A118">
            <v>20018</v>
          </cell>
        </row>
        <row r="119">
          <cell r="A119">
            <v>20019</v>
          </cell>
        </row>
        <row r="120">
          <cell r="A120">
            <v>20020</v>
          </cell>
        </row>
        <row r="121">
          <cell r="A121">
            <v>30001</v>
          </cell>
        </row>
        <row r="122">
          <cell r="A122">
            <v>30002</v>
          </cell>
        </row>
        <row r="123">
          <cell r="A123">
            <v>30003</v>
          </cell>
        </row>
        <row r="124">
          <cell r="A124">
            <v>30004</v>
          </cell>
        </row>
        <row r="125">
          <cell r="A125">
            <v>30005</v>
          </cell>
        </row>
        <row r="126">
          <cell r="A126">
            <v>30006</v>
          </cell>
        </row>
        <row r="127">
          <cell r="A127">
            <v>30007</v>
          </cell>
        </row>
        <row r="128">
          <cell r="A128">
            <v>30008</v>
          </cell>
        </row>
        <row r="129">
          <cell r="A129">
            <v>30009</v>
          </cell>
        </row>
        <row r="130">
          <cell r="A130">
            <v>30010</v>
          </cell>
        </row>
        <row r="131">
          <cell r="A131">
            <v>30011</v>
          </cell>
        </row>
        <row r="132">
          <cell r="A132">
            <v>30012</v>
          </cell>
        </row>
        <row r="133">
          <cell r="A133">
            <v>30013</v>
          </cell>
        </row>
        <row r="134">
          <cell r="A134">
            <v>30014</v>
          </cell>
        </row>
        <row r="135">
          <cell r="A135">
            <v>30015</v>
          </cell>
        </row>
        <row r="136">
          <cell r="A136">
            <v>30016</v>
          </cell>
        </row>
        <row r="137">
          <cell r="A137">
            <v>30017</v>
          </cell>
        </row>
        <row r="138">
          <cell r="A138">
            <v>30018</v>
          </cell>
        </row>
        <row r="139">
          <cell r="A139">
            <v>30019</v>
          </cell>
        </row>
        <row r="140">
          <cell r="A140">
            <v>30020</v>
          </cell>
        </row>
        <row r="141">
          <cell r="A141">
            <v>30021</v>
          </cell>
        </row>
        <row r="142">
          <cell r="A142">
            <v>30022</v>
          </cell>
        </row>
        <row r="143">
          <cell r="A143">
            <v>30023</v>
          </cell>
        </row>
        <row r="144">
          <cell r="A144">
            <v>30024</v>
          </cell>
        </row>
        <row r="145">
          <cell r="A145">
            <v>30025</v>
          </cell>
        </row>
        <row r="146">
          <cell r="A146">
            <v>30026</v>
          </cell>
        </row>
        <row r="147">
          <cell r="A147">
            <v>30027</v>
          </cell>
        </row>
        <row r="148">
          <cell r="A148">
            <v>30028</v>
          </cell>
        </row>
        <row r="149">
          <cell r="A149">
            <v>30029</v>
          </cell>
        </row>
        <row r="150">
          <cell r="A150">
            <v>30030</v>
          </cell>
        </row>
        <row r="151">
          <cell r="A151">
            <v>30031</v>
          </cell>
        </row>
        <row r="152">
          <cell r="A152">
            <v>30032</v>
          </cell>
        </row>
        <row r="153">
          <cell r="A153">
            <v>30033</v>
          </cell>
        </row>
        <row r="154">
          <cell r="A154">
            <v>30034</v>
          </cell>
        </row>
        <row r="155">
          <cell r="A155">
            <v>30035</v>
          </cell>
        </row>
        <row r="156">
          <cell r="A156">
            <v>30036</v>
          </cell>
        </row>
        <row r="157">
          <cell r="A157">
            <v>30037</v>
          </cell>
        </row>
        <row r="158">
          <cell r="A158">
            <v>30038</v>
          </cell>
        </row>
        <row r="159">
          <cell r="A159">
            <v>30039</v>
          </cell>
        </row>
        <row r="160">
          <cell r="A160">
            <v>30040</v>
          </cell>
        </row>
        <row r="161">
          <cell r="A161">
            <v>39001</v>
          </cell>
        </row>
        <row r="162">
          <cell r="A162">
            <v>39002</v>
          </cell>
        </row>
        <row r="163">
          <cell r="A163">
            <v>39003</v>
          </cell>
        </row>
        <row r="164">
          <cell r="A164">
            <v>39004</v>
          </cell>
        </row>
        <row r="165">
          <cell r="A165">
            <v>39005</v>
          </cell>
        </row>
        <row r="166">
          <cell r="A166">
            <v>39006</v>
          </cell>
        </row>
        <row r="167">
          <cell r="A167">
            <v>39007</v>
          </cell>
        </row>
        <row r="168">
          <cell r="A168">
            <v>40001</v>
          </cell>
        </row>
        <row r="169">
          <cell r="A169">
            <v>40002</v>
          </cell>
        </row>
        <row r="170">
          <cell r="A170">
            <v>40003</v>
          </cell>
        </row>
        <row r="171">
          <cell r="A171">
            <v>40004</v>
          </cell>
        </row>
        <row r="172">
          <cell r="A172">
            <v>40005</v>
          </cell>
        </row>
        <row r="173">
          <cell r="A173">
            <v>40006</v>
          </cell>
        </row>
        <row r="174">
          <cell r="A174">
            <v>40007</v>
          </cell>
        </row>
        <row r="175">
          <cell r="A175">
            <v>40008</v>
          </cell>
        </row>
        <row r="176">
          <cell r="A176">
            <v>40009</v>
          </cell>
        </row>
        <row r="177">
          <cell r="A177">
            <v>40010</v>
          </cell>
        </row>
        <row r="178">
          <cell r="A178">
            <v>40011</v>
          </cell>
        </row>
        <row r="179">
          <cell r="A179">
            <v>40012</v>
          </cell>
        </row>
        <row r="180">
          <cell r="A180">
            <v>40013</v>
          </cell>
        </row>
        <row r="181">
          <cell r="A181">
            <v>40014</v>
          </cell>
        </row>
        <row r="182">
          <cell r="A182">
            <v>40015</v>
          </cell>
        </row>
        <row r="183">
          <cell r="A183">
            <v>40016</v>
          </cell>
        </row>
        <row r="184">
          <cell r="A184">
            <v>40017</v>
          </cell>
        </row>
        <row r="185">
          <cell r="A185">
            <v>40018</v>
          </cell>
        </row>
        <row r="186">
          <cell r="A186">
            <v>40019</v>
          </cell>
        </row>
        <row r="187">
          <cell r="A187">
            <v>40021</v>
          </cell>
        </row>
        <row r="188">
          <cell r="A188">
            <v>40022</v>
          </cell>
        </row>
        <row r="189">
          <cell r="A189">
            <v>40023</v>
          </cell>
        </row>
        <row r="190">
          <cell r="A190">
            <v>40024</v>
          </cell>
        </row>
        <row r="191">
          <cell r="A191">
            <v>40025</v>
          </cell>
        </row>
        <row r="192">
          <cell r="A192">
            <v>48001</v>
          </cell>
        </row>
        <row r="193">
          <cell r="A193">
            <v>48002</v>
          </cell>
        </row>
        <row r="194">
          <cell r="A194">
            <v>48003</v>
          </cell>
        </row>
        <row r="195">
          <cell r="A195">
            <v>48004</v>
          </cell>
        </row>
        <row r="196">
          <cell r="A196">
            <v>41001</v>
          </cell>
        </row>
        <row r="197">
          <cell r="A197">
            <v>41002</v>
          </cell>
        </row>
        <row r="198">
          <cell r="A198">
            <v>41003</v>
          </cell>
        </row>
        <row r="199">
          <cell r="A199">
            <v>41004</v>
          </cell>
        </row>
        <row r="200">
          <cell r="A200">
            <v>41005</v>
          </cell>
        </row>
        <row r="201">
          <cell r="A201">
            <v>41006</v>
          </cell>
        </row>
        <row r="202">
          <cell r="A202">
            <v>41007</v>
          </cell>
        </row>
        <row r="203">
          <cell r="A203">
            <v>41008</v>
          </cell>
        </row>
        <row r="204">
          <cell r="A204">
            <v>41009</v>
          </cell>
        </row>
        <row r="205">
          <cell r="A205">
            <v>41010</v>
          </cell>
        </row>
        <row r="206">
          <cell r="A206">
            <v>41011</v>
          </cell>
        </row>
        <row r="207">
          <cell r="A207">
            <v>41012</v>
          </cell>
        </row>
        <row r="208">
          <cell r="A208">
            <v>41013</v>
          </cell>
        </row>
        <row r="209">
          <cell r="A209">
            <v>41014</v>
          </cell>
        </row>
        <row r="210">
          <cell r="A210">
            <v>41015</v>
          </cell>
        </row>
        <row r="211">
          <cell r="A211">
            <v>47001</v>
          </cell>
        </row>
        <row r="212">
          <cell r="A212">
            <v>47002</v>
          </cell>
        </row>
        <row r="213">
          <cell r="A213">
            <v>49001</v>
          </cell>
        </row>
        <row r="214">
          <cell r="A214">
            <v>49002</v>
          </cell>
        </row>
        <row r="215">
          <cell r="A215">
            <v>49003</v>
          </cell>
        </row>
        <row r="216">
          <cell r="A216">
            <v>49004</v>
          </cell>
        </row>
        <row r="217">
          <cell r="A217">
            <v>49005</v>
          </cell>
        </row>
        <row r="218">
          <cell r="A218">
            <v>49006</v>
          </cell>
        </row>
        <row r="219">
          <cell r="A219">
            <v>49007</v>
          </cell>
        </row>
        <row r="220">
          <cell r="A220">
            <v>50001</v>
          </cell>
        </row>
        <row r="221">
          <cell r="A221">
            <v>50002</v>
          </cell>
        </row>
        <row r="222">
          <cell r="A222">
            <v>50003</v>
          </cell>
        </row>
        <row r="223">
          <cell r="A223">
            <v>50004</v>
          </cell>
        </row>
        <row r="224">
          <cell r="A224">
            <v>50005</v>
          </cell>
        </row>
        <row r="225">
          <cell r="A225">
            <v>50006</v>
          </cell>
        </row>
        <row r="226">
          <cell r="A226">
            <v>50007</v>
          </cell>
        </row>
        <row r="227">
          <cell r="A227">
            <v>51001</v>
          </cell>
        </row>
        <row r="228">
          <cell r="A228">
            <v>51002</v>
          </cell>
        </row>
        <row r="229">
          <cell r="A229">
            <v>60001</v>
          </cell>
        </row>
        <row r="230">
          <cell r="A230">
            <v>60002</v>
          </cell>
        </row>
        <row r="231">
          <cell r="A231">
            <v>60003</v>
          </cell>
        </row>
        <row r="232">
          <cell r="A232">
            <v>60004</v>
          </cell>
        </row>
        <row r="233">
          <cell r="A233">
            <v>60005</v>
          </cell>
        </row>
        <row r="234">
          <cell r="A234">
            <v>60006</v>
          </cell>
        </row>
        <row r="235">
          <cell r="A235">
            <v>60007</v>
          </cell>
        </row>
        <row r="236">
          <cell r="A236">
            <v>60010</v>
          </cell>
        </row>
        <row r="237">
          <cell r="A237">
            <v>60011</v>
          </cell>
        </row>
        <row r="238">
          <cell r="A238">
            <v>61011</v>
          </cell>
        </row>
        <row r="239">
          <cell r="A239">
            <v>60012</v>
          </cell>
        </row>
        <row r="240">
          <cell r="A240">
            <v>60013</v>
          </cell>
        </row>
        <row r="241">
          <cell r="A241">
            <v>60014</v>
          </cell>
        </row>
        <row r="242">
          <cell r="A242">
            <v>65533</v>
          </cell>
        </row>
        <row r="243">
          <cell r="A243">
            <v>65534</v>
          </cell>
        </row>
        <row r="244">
          <cell r="A244">
            <v>65535</v>
          </cell>
        </row>
        <row r="245">
          <cell r="A245">
            <v>60021</v>
          </cell>
        </row>
        <row r="246">
          <cell r="A246">
            <v>60022</v>
          </cell>
        </row>
        <row r="247">
          <cell r="A247">
            <v>60023</v>
          </cell>
        </row>
        <row r="248">
          <cell r="A2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12001_1</v>
          </cell>
        </row>
        <row r="295">
          <cell r="A295" t="str">
            <v>12001_2</v>
          </cell>
        </row>
        <row r="296">
          <cell r="A296" t="str">
            <v>12001_3</v>
          </cell>
        </row>
        <row r="297">
          <cell r="A297" t="str">
            <v>12002_1</v>
          </cell>
        </row>
        <row r="298">
          <cell r="A298" t="str">
            <v>12002_2</v>
          </cell>
        </row>
        <row r="299">
          <cell r="A299" t="str">
            <v>12003_1</v>
          </cell>
        </row>
        <row r="300">
          <cell r="A300" t="str">
            <v>12003_2</v>
          </cell>
        </row>
        <row r="301">
          <cell r="A301" t="str">
            <v>12003_3</v>
          </cell>
        </row>
        <row r="302">
          <cell r="A302" t="str">
            <v>12003_4</v>
          </cell>
        </row>
        <row r="303">
          <cell r="A303" t="str">
            <v>12004_1</v>
          </cell>
        </row>
        <row r="304">
          <cell r="A304" t="str">
            <v>13001_1</v>
          </cell>
        </row>
        <row r="305">
          <cell r="A305" t="str">
            <v>13001_2</v>
          </cell>
        </row>
        <row r="306">
          <cell r="A306" t="str">
            <v>13001_3</v>
          </cell>
        </row>
        <row r="307">
          <cell r="A307" t="str">
            <v>13001_4</v>
          </cell>
        </row>
        <row r="308">
          <cell r="A308" t="str">
            <v>13001_5</v>
          </cell>
        </row>
        <row r="309">
          <cell r="A309" t="str">
            <v>13001_6</v>
          </cell>
        </row>
        <row r="310">
          <cell r="A310" t="str">
            <v>13001_7</v>
          </cell>
        </row>
        <row r="311">
          <cell r="A311" t="str">
            <v>13001_8</v>
          </cell>
        </row>
        <row r="312">
          <cell r="A312" t="str">
            <v>13001_9</v>
          </cell>
        </row>
        <row r="313">
          <cell r="A313" t="str">
            <v>13001_10</v>
          </cell>
        </row>
        <row r="314">
          <cell r="A314" t="str">
            <v>13001_11</v>
          </cell>
        </row>
        <row r="315">
          <cell r="A315" t="str">
            <v>13001_12</v>
          </cell>
        </row>
        <row r="316">
          <cell r="A316" t="str">
            <v>13001_13</v>
          </cell>
        </row>
        <row r="317">
          <cell r="A317" t="str">
            <v>13001_14</v>
          </cell>
        </row>
        <row r="318">
          <cell r="A318" t="str">
            <v>13001_15</v>
          </cell>
        </row>
        <row r="319">
          <cell r="A319" t="str">
            <v>13001_16</v>
          </cell>
        </row>
        <row r="320">
          <cell r="A320" t="str">
            <v>13001_17</v>
          </cell>
        </row>
        <row r="321">
          <cell r="A321" t="str">
            <v>13001_18</v>
          </cell>
        </row>
        <row r="322">
          <cell r="A322" t="str">
            <v>13001_19</v>
          </cell>
        </row>
        <row r="323">
          <cell r="A323" t="str">
            <v>13001_20</v>
          </cell>
        </row>
        <row r="324">
          <cell r="A324" t="str">
            <v>13001_21</v>
          </cell>
        </row>
        <row r="325">
          <cell r="A325" t="str">
            <v>13001_22</v>
          </cell>
        </row>
        <row r="326">
          <cell r="A326" t="str">
            <v>13001_23</v>
          </cell>
        </row>
        <row r="327">
          <cell r="A327" t="str">
            <v>13001_24</v>
          </cell>
        </row>
        <row r="328">
          <cell r="A328" t="str">
            <v>13001_25</v>
          </cell>
        </row>
        <row r="329">
          <cell r="A329" t="str">
            <v>14001_1</v>
          </cell>
        </row>
        <row r="330">
          <cell r="A330" t="str">
            <v>14001_2</v>
          </cell>
        </row>
        <row r="331">
          <cell r="A331" t="str">
            <v>14001_3</v>
          </cell>
        </row>
        <row r="332">
          <cell r="A332" t="str">
            <v>14001_4</v>
          </cell>
        </row>
        <row r="333">
          <cell r="A333" t="str">
            <v>14001_5</v>
          </cell>
        </row>
        <row r="334">
          <cell r="A334" t="str">
            <v>14001_6</v>
          </cell>
        </row>
        <row r="335">
          <cell r="A335" t="str">
            <v>14001_7</v>
          </cell>
        </row>
        <row r="336">
          <cell r="A336" t="str">
            <v>14001_8</v>
          </cell>
        </row>
        <row r="337">
          <cell r="A337" t="str">
            <v>14002_1</v>
          </cell>
        </row>
        <row r="338">
          <cell r="A338" t="str">
            <v>14002_2</v>
          </cell>
        </row>
        <row r="339">
          <cell r="A339" t="str">
            <v>14003_1</v>
          </cell>
        </row>
        <row r="340">
          <cell r="A340" t="str">
            <v>14003_2</v>
          </cell>
        </row>
        <row r="341">
          <cell r="A341" t="str">
            <v>14003_3</v>
          </cell>
        </row>
        <row r="342">
          <cell r="A342" t="str">
            <v>14003_4</v>
          </cell>
        </row>
        <row r="343">
          <cell r="A343" t="str">
            <v>14004_1</v>
          </cell>
        </row>
        <row r="344">
          <cell r="A344" t="str">
            <v>14004_2</v>
          </cell>
        </row>
        <row r="345">
          <cell r="A345" t="str">
            <v>14004_3</v>
          </cell>
        </row>
        <row r="346">
          <cell r="A346" t="str">
            <v>14004_4</v>
          </cell>
        </row>
        <row r="347">
          <cell r="A347" t="str">
            <v>14005_1</v>
          </cell>
        </row>
        <row r="348">
          <cell r="A348" t="str">
            <v>14006_1</v>
          </cell>
        </row>
        <row r="349">
          <cell r="A349" t="str">
            <v>15027_1</v>
          </cell>
        </row>
        <row r="350">
          <cell r="A350" t="str">
            <v>15027_2</v>
          </cell>
        </row>
        <row r="351">
          <cell r="A351" t="str">
            <v>15027_3</v>
          </cell>
        </row>
        <row r="352">
          <cell r="A352" t="str">
            <v>15027_4</v>
          </cell>
        </row>
        <row r="353">
          <cell r="A353" t="str">
            <v>15028_1</v>
          </cell>
        </row>
        <row r="354">
          <cell r="A354" t="str">
            <v>15028_2</v>
          </cell>
        </row>
        <row r="355">
          <cell r="A355" t="str">
            <v>15028_3</v>
          </cell>
        </row>
        <row r="356">
          <cell r="A356" t="str">
            <v>15028_4</v>
          </cell>
        </row>
        <row r="357">
          <cell r="A357" t="str">
            <v>15029_1</v>
          </cell>
        </row>
        <row r="358">
          <cell r="A358" t="str">
            <v>15029_2</v>
          </cell>
        </row>
        <row r="359">
          <cell r="A359" t="str">
            <v>15029_3</v>
          </cell>
        </row>
        <row r="360">
          <cell r="A360" t="str">
            <v>15029_4</v>
          </cell>
        </row>
        <row r="361">
          <cell r="A361" t="str">
            <v>15030_1</v>
          </cell>
        </row>
        <row r="362">
          <cell r="A362" t="str">
            <v>15030_2</v>
          </cell>
        </row>
        <row r="363">
          <cell r="A363" t="str">
            <v>15030_3</v>
          </cell>
        </row>
        <row r="364">
          <cell r="A364" t="str">
            <v>15030_4</v>
          </cell>
        </row>
        <row r="365">
          <cell r="A365" t="str">
            <v>15031_1</v>
          </cell>
        </row>
        <row r="366">
          <cell r="A366" t="str">
            <v>15031_2</v>
          </cell>
        </row>
        <row r="367">
          <cell r="A367" t="str">
            <v>15031_3</v>
          </cell>
        </row>
        <row r="368">
          <cell r="A368" t="str">
            <v>15031_4</v>
          </cell>
        </row>
        <row r="369">
          <cell r="A369" t="str">
            <v>20001_1</v>
          </cell>
        </row>
        <row r="370">
          <cell r="A370" t="str">
            <v>20001_2</v>
          </cell>
        </row>
        <row r="371">
          <cell r="A371" t="str">
            <v>20001_3</v>
          </cell>
        </row>
        <row r="372">
          <cell r="A372" t="str">
            <v>20002_1</v>
          </cell>
        </row>
        <row r="373">
          <cell r="A373" t="str">
            <v>20002_2</v>
          </cell>
        </row>
        <row r="374">
          <cell r="A374" t="str">
            <v>20002_3</v>
          </cell>
        </row>
        <row r="375">
          <cell r="A375" t="str">
            <v>20003_1</v>
          </cell>
        </row>
        <row r="376">
          <cell r="A376" t="str">
            <v>20003_2</v>
          </cell>
        </row>
        <row r="377">
          <cell r="A377" t="str">
            <v>20003_3</v>
          </cell>
        </row>
        <row r="378">
          <cell r="A378" t="str">
            <v>20004_1</v>
          </cell>
        </row>
        <row r="379">
          <cell r="A379" t="str">
            <v>20004_2</v>
          </cell>
        </row>
        <row r="380">
          <cell r="A380" t="str">
            <v>20004_3</v>
          </cell>
        </row>
        <row r="381">
          <cell r="A381" t="str">
            <v>20005_1</v>
          </cell>
        </row>
        <row r="382">
          <cell r="A382" t="str">
            <v>20005_2</v>
          </cell>
        </row>
        <row r="383">
          <cell r="A383" t="str">
            <v>20005_3</v>
          </cell>
        </row>
        <row r="384">
          <cell r="A384" t="str">
            <v>20006_1</v>
          </cell>
        </row>
        <row r="385">
          <cell r="A385" t="str">
            <v>20006_2</v>
          </cell>
        </row>
        <row r="386">
          <cell r="A386" t="str">
            <v>20006_3</v>
          </cell>
        </row>
        <row r="387">
          <cell r="A387" t="str">
            <v>20007_1</v>
          </cell>
        </row>
        <row r="388">
          <cell r="A388" t="str">
            <v>20007_2</v>
          </cell>
        </row>
        <row r="389">
          <cell r="A389" t="str">
            <v>20007_3</v>
          </cell>
        </row>
        <row r="390">
          <cell r="A390" t="str">
            <v>20008_1</v>
          </cell>
        </row>
        <row r="391">
          <cell r="A391" t="str">
            <v>20008_2</v>
          </cell>
        </row>
        <row r="392">
          <cell r="A392" t="str">
            <v>20008_3</v>
          </cell>
        </row>
        <row r="393">
          <cell r="A393" t="str">
            <v>20009_1</v>
          </cell>
        </row>
        <row r="394">
          <cell r="A394" t="str">
            <v>20009_2</v>
          </cell>
        </row>
        <row r="395">
          <cell r="A395" t="str">
            <v>20009_3</v>
          </cell>
        </row>
        <row r="396">
          <cell r="A396" t="str">
            <v>20010_1</v>
          </cell>
        </row>
        <row r="397">
          <cell r="A397" t="str">
            <v>20010_2</v>
          </cell>
        </row>
        <row r="398">
          <cell r="A398" t="str">
            <v>20010_3</v>
          </cell>
        </row>
        <row r="399">
          <cell r="A399" t="str">
            <v>20011_1</v>
          </cell>
        </row>
        <row r="400">
          <cell r="A400" t="str">
            <v>20011_2</v>
          </cell>
        </row>
        <row r="401">
          <cell r="A401" t="str">
            <v>20011_3</v>
          </cell>
        </row>
        <row r="402">
          <cell r="A402" t="str">
            <v>20012_1</v>
          </cell>
        </row>
        <row r="403">
          <cell r="A403" t="str">
            <v>20012_2</v>
          </cell>
        </row>
        <row r="404">
          <cell r="A404" t="str">
            <v>20012_3</v>
          </cell>
        </row>
        <row r="405">
          <cell r="A405" t="str">
            <v>20013_1</v>
          </cell>
        </row>
        <row r="406">
          <cell r="A406" t="str">
            <v>20013_2</v>
          </cell>
        </row>
        <row r="407">
          <cell r="A407" t="str">
            <v>20013_3</v>
          </cell>
        </row>
        <row r="408">
          <cell r="A408" t="str">
            <v>20014_1</v>
          </cell>
        </row>
        <row r="409">
          <cell r="A409" t="str">
            <v>20014_2</v>
          </cell>
        </row>
        <row r="410">
          <cell r="A410" t="str">
            <v>20014_3</v>
          </cell>
        </row>
        <row r="411">
          <cell r="A411" t="str">
            <v>20015_1</v>
          </cell>
        </row>
        <row r="412">
          <cell r="A412" t="str">
            <v>20015_2</v>
          </cell>
        </row>
        <row r="413">
          <cell r="A413" t="str">
            <v>20015_3</v>
          </cell>
        </row>
        <row r="414">
          <cell r="A414" t="str">
            <v>20016_1</v>
          </cell>
        </row>
        <row r="415">
          <cell r="A415" t="str">
            <v>20016_2</v>
          </cell>
        </row>
        <row r="416">
          <cell r="A416" t="str">
            <v>20016_3</v>
          </cell>
        </row>
        <row r="417">
          <cell r="A417" t="str">
            <v>20017_1</v>
          </cell>
        </row>
        <row r="418">
          <cell r="A418" t="str">
            <v>20017_2</v>
          </cell>
        </row>
        <row r="419">
          <cell r="A419" t="str">
            <v>20017_3</v>
          </cell>
        </row>
        <row r="420">
          <cell r="A420" t="str">
            <v>20018_1</v>
          </cell>
        </row>
        <row r="421">
          <cell r="A421" t="str">
            <v>20018_2</v>
          </cell>
        </row>
        <row r="422">
          <cell r="A422" t="str">
            <v>20018_3</v>
          </cell>
        </row>
        <row r="423">
          <cell r="A423" t="str">
            <v>20019_1</v>
          </cell>
        </row>
        <row r="424">
          <cell r="A424" t="str">
            <v>20019_2</v>
          </cell>
        </row>
        <row r="425">
          <cell r="A425" t="str">
            <v>20019_3</v>
          </cell>
        </row>
        <row r="426">
          <cell r="A426" t="str">
            <v>20020_1</v>
          </cell>
        </row>
        <row r="427">
          <cell r="A427" t="str">
            <v>20020_2</v>
          </cell>
        </row>
        <row r="428">
          <cell r="A428" t="str">
            <v>20020_3</v>
          </cell>
        </row>
        <row r="429">
          <cell r="A429" t="str">
            <v>30001_1</v>
          </cell>
        </row>
        <row r="430">
          <cell r="A430" t="str">
            <v>30001_2</v>
          </cell>
        </row>
        <row r="431">
          <cell r="A431" t="str">
            <v>30001_3</v>
          </cell>
        </row>
        <row r="432">
          <cell r="A432" t="str">
            <v>30002_1</v>
          </cell>
        </row>
        <row r="433">
          <cell r="A433" t="str">
            <v>30002_2</v>
          </cell>
        </row>
        <row r="434">
          <cell r="A434" t="str">
            <v>30002_3</v>
          </cell>
        </row>
        <row r="435">
          <cell r="A435" t="str">
            <v>30003_1</v>
          </cell>
        </row>
        <row r="436">
          <cell r="A436" t="str">
            <v>30003_2</v>
          </cell>
        </row>
        <row r="437">
          <cell r="A437" t="str">
            <v>30003_3</v>
          </cell>
        </row>
        <row r="438">
          <cell r="A438" t="str">
            <v>30004_1</v>
          </cell>
        </row>
        <row r="439">
          <cell r="A439" t="str">
            <v>30004_2</v>
          </cell>
        </row>
        <row r="440">
          <cell r="A440" t="str">
            <v>30004_3</v>
          </cell>
        </row>
        <row r="441">
          <cell r="A441" t="str">
            <v>30005_1</v>
          </cell>
        </row>
        <row r="442">
          <cell r="A442" t="str">
            <v>30005_2</v>
          </cell>
        </row>
        <row r="443">
          <cell r="A443" t="str">
            <v>30005_3</v>
          </cell>
        </row>
        <row r="444">
          <cell r="A444" t="str">
            <v>30006_1</v>
          </cell>
        </row>
        <row r="445">
          <cell r="A445" t="str">
            <v>30006_2</v>
          </cell>
        </row>
        <row r="446">
          <cell r="A446" t="str">
            <v>30006_3</v>
          </cell>
        </row>
        <row r="447">
          <cell r="A447" t="str">
            <v>30007_1</v>
          </cell>
        </row>
        <row r="448">
          <cell r="A448" t="str">
            <v>30007_2</v>
          </cell>
        </row>
        <row r="449">
          <cell r="A449" t="str">
            <v>30007_3</v>
          </cell>
        </row>
        <row r="450">
          <cell r="A450" t="str">
            <v>30008_1</v>
          </cell>
        </row>
        <row r="451">
          <cell r="A451" t="str">
            <v>30008_2</v>
          </cell>
        </row>
        <row r="452">
          <cell r="A452" t="str">
            <v>30008_3</v>
          </cell>
        </row>
        <row r="453">
          <cell r="A453" t="str">
            <v>30009_3</v>
          </cell>
        </row>
        <row r="454">
          <cell r="A454" t="str">
            <v>30009_1</v>
          </cell>
        </row>
        <row r="455">
          <cell r="A455" t="str">
            <v>30009_2</v>
          </cell>
        </row>
        <row r="456">
          <cell r="A456" t="str">
            <v>30010_1</v>
          </cell>
        </row>
        <row r="457">
          <cell r="A457" t="str">
            <v>30010_2</v>
          </cell>
        </row>
        <row r="458">
          <cell r="A458" t="str">
            <v>30010_3</v>
          </cell>
        </row>
        <row r="459">
          <cell r="A459" t="str">
            <v>30011_1</v>
          </cell>
        </row>
        <row r="460">
          <cell r="A460" t="str">
            <v>30011_2</v>
          </cell>
        </row>
        <row r="461">
          <cell r="A461" t="str">
            <v>30011_3</v>
          </cell>
        </row>
        <row r="462">
          <cell r="A462" t="str">
            <v>30012_1</v>
          </cell>
        </row>
        <row r="463">
          <cell r="A463" t="str">
            <v>30012_2</v>
          </cell>
        </row>
        <row r="464">
          <cell r="A464" t="str">
            <v>30012_3</v>
          </cell>
        </row>
        <row r="465">
          <cell r="A465" t="str">
            <v>30013_1</v>
          </cell>
        </row>
        <row r="466">
          <cell r="A466" t="str">
            <v>30013_2</v>
          </cell>
        </row>
        <row r="467">
          <cell r="A467" t="str">
            <v>30014_1</v>
          </cell>
        </row>
        <row r="468">
          <cell r="A468" t="str">
            <v>30014_2</v>
          </cell>
        </row>
        <row r="469">
          <cell r="A469" t="str">
            <v>30015_1</v>
          </cell>
        </row>
        <row r="470">
          <cell r="A470" t="str">
            <v>30015_2</v>
          </cell>
        </row>
        <row r="471">
          <cell r="A471" t="str">
            <v>30016_1</v>
          </cell>
        </row>
        <row r="472">
          <cell r="A472" t="str">
            <v>30016_2</v>
          </cell>
        </row>
        <row r="473">
          <cell r="A473" t="str">
            <v>30017_1</v>
          </cell>
        </row>
        <row r="474">
          <cell r="A474" t="str">
            <v>30017_2</v>
          </cell>
        </row>
        <row r="475">
          <cell r="A475" t="str">
            <v>30018_1</v>
          </cell>
        </row>
        <row r="476">
          <cell r="A476" t="str">
            <v>30018_2</v>
          </cell>
        </row>
        <row r="477">
          <cell r="A477" t="str">
            <v>30019_1</v>
          </cell>
        </row>
        <row r="478">
          <cell r="A478" t="str">
            <v>30019_2</v>
          </cell>
        </row>
        <row r="479">
          <cell r="A479" t="str">
            <v>30020_1</v>
          </cell>
        </row>
        <row r="480">
          <cell r="A480" t="str">
            <v>30020_2</v>
          </cell>
        </row>
        <row r="481">
          <cell r="A481" t="str">
            <v>30021_1</v>
          </cell>
        </row>
        <row r="482">
          <cell r="A482" t="str">
            <v>30021_2</v>
          </cell>
        </row>
        <row r="483">
          <cell r="A483" t="str">
            <v>30021_3</v>
          </cell>
        </row>
        <row r="484">
          <cell r="A484" t="str">
            <v>30022_1</v>
          </cell>
        </row>
        <row r="485">
          <cell r="A485" t="str">
            <v>30022_2</v>
          </cell>
        </row>
        <row r="486">
          <cell r="A486" t="str">
            <v>30023_1</v>
          </cell>
        </row>
        <row r="487">
          <cell r="A487" t="str">
            <v>30023_2</v>
          </cell>
        </row>
        <row r="488">
          <cell r="A488" t="str">
            <v>30023_3</v>
          </cell>
        </row>
        <row r="489">
          <cell r="A489" t="str">
            <v>30024_1</v>
          </cell>
        </row>
        <row r="490">
          <cell r="A490" t="str">
            <v>30024_2</v>
          </cell>
        </row>
        <row r="491">
          <cell r="A491" t="str">
            <v>30024_3</v>
          </cell>
        </row>
        <row r="492">
          <cell r="A492" t="str">
            <v>30025_1</v>
          </cell>
        </row>
        <row r="493">
          <cell r="A493" t="str">
            <v>30025_2</v>
          </cell>
        </row>
        <row r="494">
          <cell r="A494" t="str">
            <v>30025_3</v>
          </cell>
        </row>
        <row r="495">
          <cell r="A495" t="str">
            <v>30026_1</v>
          </cell>
        </row>
        <row r="496">
          <cell r="A496" t="str">
            <v>30026_2</v>
          </cell>
        </row>
        <row r="497">
          <cell r="A497" t="str">
            <v>30026_3</v>
          </cell>
        </row>
        <row r="498">
          <cell r="A498" t="str">
            <v>30027_1</v>
          </cell>
        </row>
        <row r="499">
          <cell r="A499" t="str">
            <v>30027_2</v>
          </cell>
        </row>
        <row r="500">
          <cell r="A500" t="str">
            <v>30027_3</v>
          </cell>
        </row>
        <row r="501">
          <cell r="A501" t="str">
            <v>30028_1</v>
          </cell>
        </row>
        <row r="502">
          <cell r="A502" t="str">
            <v>30028_2</v>
          </cell>
        </row>
        <row r="503">
          <cell r="A503" t="str">
            <v>30028_3</v>
          </cell>
        </row>
        <row r="504">
          <cell r="A504" t="str">
            <v>30029_1</v>
          </cell>
        </row>
        <row r="505">
          <cell r="A505" t="str">
            <v>30029_2</v>
          </cell>
        </row>
        <row r="506">
          <cell r="A506" t="str">
            <v>30029_3</v>
          </cell>
        </row>
        <row r="507">
          <cell r="A507" t="str">
            <v>30030_1</v>
          </cell>
        </row>
        <row r="508">
          <cell r="A508" t="str">
            <v>30030_2</v>
          </cell>
        </row>
        <row r="509">
          <cell r="A509" t="str">
            <v>30030_3</v>
          </cell>
        </row>
        <row r="510">
          <cell r="A510" t="str">
            <v>30031_1</v>
          </cell>
        </row>
        <row r="511">
          <cell r="A511" t="str">
            <v>30031_2</v>
          </cell>
        </row>
        <row r="512">
          <cell r="A512" t="str">
            <v>30031_3</v>
          </cell>
        </row>
        <row r="513">
          <cell r="A513" t="str">
            <v>30032_1</v>
          </cell>
        </row>
        <row r="514">
          <cell r="A514" t="str">
            <v>30032_2</v>
          </cell>
        </row>
        <row r="515">
          <cell r="A515" t="str">
            <v>30032_3</v>
          </cell>
        </row>
        <row r="516">
          <cell r="A516" t="str">
            <v>30033_1</v>
          </cell>
        </row>
        <row r="517">
          <cell r="A517" t="str">
            <v>30033_2</v>
          </cell>
        </row>
        <row r="518">
          <cell r="A518" t="str">
            <v>30033_3</v>
          </cell>
        </row>
        <row r="519">
          <cell r="A519" t="str">
            <v>30034_1</v>
          </cell>
        </row>
        <row r="520">
          <cell r="A520" t="str">
            <v>30034_2</v>
          </cell>
        </row>
        <row r="521">
          <cell r="A521" t="str">
            <v>30034_3</v>
          </cell>
        </row>
        <row r="522">
          <cell r="A522" t="str">
            <v>30035_1</v>
          </cell>
        </row>
        <row r="523">
          <cell r="A523" t="str">
            <v>30035_2</v>
          </cell>
        </row>
        <row r="524">
          <cell r="A524" t="str">
            <v>30035_3</v>
          </cell>
        </row>
        <row r="525">
          <cell r="A525" t="str">
            <v>30036_1</v>
          </cell>
        </row>
        <row r="526">
          <cell r="A526" t="str">
            <v>30036_2</v>
          </cell>
        </row>
        <row r="527">
          <cell r="A527" t="str">
            <v>30036_3</v>
          </cell>
        </row>
        <row r="528">
          <cell r="A528" t="str">
            <v>30037_1</v>
          </cell>
        </row>
        <row r="529">
          <cell r="A529" t="str">
            <v>30037_2</v>
          </cell>
        </row>
        <row r="530">
          <cell r="A530" t="str">
            <v>30037_3</v>
          </cell>
        </row>
        <row r="531">
          <cell r="A531" t="str">
            <v>30038_1</v>
          </cell>
        </row>
        <row r="532">
          <cell r="A532" t="str">
            <v>30038_2</v>
          </cell>
        </row>
        <row r="533">
          <cell r="A533" t="str">
            <v>30038_3</v>
          </cell>
        </row>
        <row r="534">
          <cell r="A534" t="str">
            <v>30039_1</v>
          </cell>
        </row>
        <row r="535">
          <cell r="A535" t="str">
            <v>30039_2</v>
          </cell>
        </row>
        <row r="536">
          <cell r="A536" t="str">
            <v>30039_3</v>
          </cell>
        </row>
        <row r="537">
          <cell r="A537" t="str">
            <v>30040_1</v>
          </cell>
        </row>
        <row r="538">
          <cell r="A538" t="str">
            <v>30040_2</v>
          </cell>
        </row>
        <row r="539">
          <cell r="A539" t="str">
            <v>30040_3</v>
          </cell>
        </row>
        <row r="540">
          <cell r="A540" t="str">
            <v>39001_1</v>
          </cell>
        </row>
        <row r="541">
          <cell r="A541" t="str">
            <v>39001_2</v>
          </cell>
        </row>
        <row r="542">
          <cell r="A542" t="str">
            <v>39001_3</v>
          </cell>
        </row>
        <row r="543">
          <cell r="A543" t="str">
            <v>39001_4</v>
          </cell>
        </row>
        <row r="544">
          <cell r="A544" t="str">
            <v>39001_5</v>
          </cell>
        </row>
        <row r="545">
          <cell r="A545" t="str">
            <v>39002_1</v>
          </cell>
        </row>
        <row r="546">
          <cell r="A546" t="str">
            <v>39002_2</v>
          </cell>
        </row>
        <row r="547">
          <cell r="A547" t="str">
            <v>39002_3</v>
          </cell>
        </row>
        <row r="548">
          <cell r="A548" t="str">
            <v>39002_4</v>
          </cell>
        </row>
        <row r="549">
          <cell r="A549" t="str">
            <v>39003_1</v>
          </cell>
        </row>
        <row r="550">
          <cell r="A550" t="str">
            <v>39003_2</v>
          </cell>
        </row>
        <row r="551">
          <cell r="A551" t="str">
            <v>39003_3</v>
          </cell>
        </row>
        <row r="552">
          <cell r="A552" t="str">
            <v>39003_4</v>
          </cell>
        </row>
        <row r="553">
          <cell r="A553" t="str">
            <v>39004_1</v>
          </cell>
        </row>
        <row r="554">
          <cell r="A554" t="str">
            <v>39004_2</v>
          </cell>
        </row>
        <row r="555">
          <cell r="A555" t="str">
            <v>39004_3</v>
          </cell>
        </row>
        <row r="556">
          <cell r="A556" t="str">
            <v>39004_4</v>
          </cell>
        </row>
        <row r="557">
          <cell r="A557" t="str">
            <v>39005_1</v>
          </cell>
        </row>
        <row r="558">
          <cell r="A558" t="str">
            <v>39005_2</v>
          </cell>
        </row>
        <row r="559">
          <cell r="A559" t="str">
            <v>39005_3</v>
          </cell>
        </row>
        <row r="560">
          <cell r="A560" t="str">
            <v>39005_4</v>
          </cell>
        </row>
        <row r="561">
          <cell r="A561" t="str">
            <v>39005_5</v>
          </cell>
        </row>
        <row r="562">
          <cell r="A562" t="str">
            <v>39006_1</v>
          </cell>
        </row>
        <row r="563">
          <cell r="A563" t="str">
            <v>39006_2</v>
          </cell>
        </row>
        <row r="564">
          <cell r="A564" t="str">
            <v>39006_3</v>
          </cell>
        </row>
        <row r="565">
          <cell r="A565" t="str">
            <v>39006_4</v>
          </cell>
        </row>
        <row r="566">
          <cell r="A566" t="str">
            <v>39007_1</v>
          </cell>
        </row>
        <row r="567">
          <cell r="A567" t="str">
            <v>39007_2</v>
          </cell>
        </row>
        <row r="568">
          <cell r="A568" t="str">
            <v>39007_3</v>
          </cell>
        </row>
        <row r="569">
          <cell r="A569" t="str">
            <v>39007_4</v>
          </cell>
        </row>
        <row r="570">
          <cell r="A570" t="str">
            <v>40001_1</v>
          </cell>
        </row>
        <row r="571">
          <cell r="A571" t="str">
            <v>40002_1</v>
          </cell>
        </row>
        <row r="572">
          <cell r="A572" t="str">
            <v>40002_2</v>
          </cell>
        </row>
        <row r="573">
          <cell r="A573" t="str">
            <v>40002_3</v>
          </cell>
        </row>
        <row r="574">
          <cell r="A574" t="str">
            <v>40003_1</v>
          </cell>
        </row>
        <row r="575">
          <cell r="A575" t="str">
            <v>40004_1</v>
          </cell>
        </row>
        <row r="576">
          <cell r="A576" t="str">
            <v>40005_1</v>
          </cell>
        </row>
        <row r="577">
          <cell r="A577" t="str">
            <v>40006_1</v>
          </cell>
        </row>
        <row r="578">
          <cell r="A578" t="str">
            <v>40007_1</v>
          </cell>
        </row>
        <row r="579">
          <cell r="A579" t="str">
            <v>40008_1</v>
          </cell>
        </row>
        <row r="580">
          <cell r="A580" t="str">
            <v>40009_1</v>
          </cell>
        </row>
        <row r="581">
          <cell r="A581" t="str">
            <v>40010_1</v>
          </cell>
        </row>
        <row r="582">
          <cell r="A582" t="str">
            <v>40011_1</v>
          </cell>
        </row>
        <row r="583">
          <cell r="A583" t="str">
            <v>40012_1</v>
          </cell>
        </row>
        <row r="584">
          <cell r="A584" t="str">
            <v>40013_1</v>
          </cell>
        </row>
        <row r="585">
          <cell r="A585" t="str">
            <v>40014_1</v>
          </cell>
        </row>
        <row r="586">
          <cell r="A586" t="str">
            <v>40015_1</v>
          </cell>
        </row>
        <row r="587">
          <cell r="A587" t="str">
            <v>40016_1</v>
          </cell>
        </row>
        <row r="588">
          <cell r="A588" t="str">
            <v>40016_2</v>
          </cell>
        </row>
        <row r="589">
          <cell r="A589" t="str">
            <v>40017_1</v>
          </cell>
        </row>
        <row r="590">
          <cell r="A590" t="str">
            <v>40017_2</v>
          </cell>
        </row>
        <row r="591">
          <cell r="A591" t="str">
            <v>40017_3</v>
          </cell>
        </row>
        <row r="592">
          <cell r="A592" t="str">
            <v>40018_1</v>
          </cell>
        </row>
        <row r="593">
          <cell r="A593" t="str">
            <v>40018_2</v>
          </cell>
        </row>
        <row r="594">
          <cell r="A594" t="str">
            <v>40018_3</v>
          </cell>
        </row>
        <row r="595">
          <cell r="A595" t="str">
            <v>40019_1</v>
          </cell>
        </row>
        <row r="596">
          <cell r="A596" t="str">
            <v>40019_2</v>
          </cell>
        </row>
        <row r="597">
          <cell r="A597" t="str">
            <v>40019_3</v>
          </cell>
        </row>
        <row r="598">
          <cell r="A598" t="str">
            <v>40021_1</v>
          </cell>
        </row>
        <row r="599">
          <cell r="A599" t="str">
            <v>40021_2</v>
          </cell>
        </row>
        <row r="600">
          <cell r="A600" t="str">
            <v>40022_1</v>
          </cell>
        </row>
        <row r="601">
          <cell r="A601" t="str">
            <v>40022_2</v>
          </cell>
        </row>
        <row r="602">
          <cell r="A602" t="str">
            <v>40023_1</v>
          </cell>
        </row>
        <row r="603">
          <cell r="A603" t="str">
            <v>40023_2</v>
          </cell>
        </row>
        <row r="604">
          <cell r="A604" t="str">
            <v>40024_1</v>
          </cell>
        </row>
        <row r="605">
          <cell r="A605" t="str">
            <v>40024_2</v>
          </cell>
        </row>
        <row r="606">
          <cell r="A606" t="str">
            <v>40025_1</v>
          </cell>
        </row>
        <row r="607">
          <cell r="A607" t="str">
            <v>40025_2</v>
          </cell>
        </row>
        <row r="608">
          <cell r="A608" t="str">
            <v>48001_1</v>
          </cell>
        </row>
        <row r="609">
          <cell r="A609" t="str">
            <v>48002_1</v>
          </cell>
        </row>
        <row r="610">
          <cell r="A610" t="str">
            <v>48002_2</v>
          </cell>
        </row>
        <row r="611">
          <cell r="A611" t="str">
            <v>48002_3</v>
          </cell>
        </row>
        <row r="612">
          <cell r="A612" t="str">
            <v>48003_1</v>
          </cell>
        </row>
        <row r="613">
          <cell r="A613" t="str">
            <v>48003_2</v>
          </cell>
        </row>
        <row r="614">
          <cell r="A614" t="str">
            <v>48003_3</v>
          </cell>
        </row>
        <row r="615">
          <cell r="A615" t="str">
            <v>48004_1</v>
          </cell>
        </row>
        <row r="616">
          <cell r="A616" t="str">
            <v>48004_2</v>
          </cell>
        </row>
        <row r="617">
          <cell r="A617" t="str">
            <v>41001_1</v>
          </cell>
        </row>
        <row r="618">
          <cell r="A618" t="str">
            <v>41001_2</v>
          </cell>
        </row>
        <row r="619">
          <cell r="A619" t="str">
            <v>41001_3</v>
          </cell>
        </row>
        <row r="620">
          <cell r="A620" t="str">
            <v>41002_1</v>
          </cell>
        </row>
        <row r="621">
          <cell r="A621" t="str">
            <v>41002_2</v>
          </cell>
        </row>
        <row r="622">
          <cell r="A622" t="str">
            <v>41002_3</v>
          </cell>
        </row>
        <row r="623">
          <cell r="A623" t="str">
            <v>41003_1</v>
          </cell>
        </row>
        <row r="624">
          <cell r="A624" t="str">
            <v>41003_2</v>
          </cell>
        </row>
        <row r="625">
          <cell r="A625" t="str">
            <v>41003_3</v>
          </cell>
        </row>
        <row r="626">
          <cell r="A626" t="str">
            <v>41004_1</v>
          </cell>
        </row>
        <row r="627">
          <cell r="A627" t="str">
            <v>41004_2</v>
          </cell>
        </row>
        <row r="628">
          <cell r="A628" t="str">
            <v>41004_3</v>
          </cell>
        </row>
        <row r="629">
          <cell r="A629" t="str">
            <v>41005_1</v>
          </cell>
        </row>
        <row r="630">
          <cell r="A630" t="str">
            <v>41005_2</v>
          </cell>
        </row>
        <row r="631">
          <cell r="A631" t="str">
            <v>41005_3</v>
          </cell>
        </row>
        <row r="632">
          <cell r="A632" t="str">
            <v>41006_1</v>
          </cell>
        </row>
        <row r="633">
          <cell r="A633" t="str">
            <v>41006_2</v>
          </cell>
        </row>
        <row r="634">
          <cell r="A634" t="str">
            <v>41006_3</v>
          </cell>
        </row>
        <row r="635">
          <cell r="A635" t="str">
            <v>41007_1</v>
          </cell>
        </row>
        <row r="636">
          <cell r="A636" t="str">
            <v>41007_2</v>
          </cell>
        </row>
        <row r="637">
          <cell r="A637" t="str">
            <v>41007_3</v>
          </cell>
        </row>
        <row r="638">
          <cell r="A638" t="str">
            <v>41008_1</v>
          </cell>
        </row>
        <row r="639">
          <cell r="A639" t="str">
            <v>41008_2</v>
          </cell>
        </row>
        <row r="640">
          <cell r="A640" t="str">
            <v>41008_3</v>
          </cell>
        </row>
        <row r="641">
          <cell r="A641" t="str">
            <v>41009_1</v>
          </cell>
        </row>
        <row r="642">
          <cell r="A642" t="str">
            <v>41009_2</v>
          </cell>
        </row>
        <row r="643">
          <cell r="A643" t="str">
            <v>41009_3</v>
          </cell>
        </row>
        <row r="644">
          <cell r="A644" t="str">
            <v>41010_1</v>
          </cell>
        </row>
        <row r="645">
          <cell r="A645" t="str">
            <v>41010_2</v>
          </cell>
        </row>
        <row r="646">
          <cell r="A646" t="str">
            <v>41010_3</v>
          </cell>
        </row>
        <row r="647">
          <cell r="A647" t="str">
            <v>41011_1</v>
          </cell>
        </row>
        <row r="648">
          <cell r="A648" t="str">
            <v>41011_2</v>
          </cell>
        </row>
        <row r="649">
          <cell r="A649" t="str">
            <v>41012_1</v>
          </cell>
        </row>
        <row r="650">
          <cell r="A650" t="str">
            <v>41012_2</v>
          </cell>
        </row>
        <row r="651">
          <cell r="A651" t="str">
            <v>41013_1</v>
          </cell>
        </row>
        <row r="652">
          <cell r="A652" t="str">
            <v>41013_2</v>
          </cell>
        </row>
        <row r="653">
          <cell r="A653" t="str">
            <v>41014_1</v>
          </cell>
        </row>
        <row r="654">
          <cell r="A654" t="str">
            <v>41014_2</v>
          </cell>
        </row>
        <row r="655">
          <cell r="A655" t="str">
            <v>41015_1</v>
          </cell>
        </row>
        <row r="656">
          <cell r="A656" t="str">
            <v>41015_2</v>
          </cell>
        </row>
        <row r="657">
          <cell r="A657" t="str">
            <v>47001_1</v>
          </cell>
        </row>
        <row r="658">
          <cell r="A658" t="str">
            <v>47001_2</v>
          </cell>
        </row>
        <row r="659">
          <cell r="A659" t="str">
            <v>47002_1</v>
          </cell>
        </row>
        <row r="660">
          <cell r="A660" t="str">
            <v>47002_2</v>
          </cell>
        </row>
        <row r="661">
          <cell r="A661" t="str">
            <v>49001_1</v>
          </cell>
        </row>
        <row r="662">
          <cell r="A662" t="str">
            <v>49002_1</v>
          </cell>
        </row>
        <row r="663">
          <cell r="A663" t="str">
            <v>49002_2</v>
          </cell>
        </row>
        <row r="664">
          <cell r="A664" t="str">
            <v>49003_1</v>
          </cell>
        </row>
        <row r="665">
          <cell r="A665" t="str">
            <v>49003_2</v>
          </cell>
        </row>
        <row r="666">
          <cell r="A666" t="str">
            <v>49004_1</v>
          </cell>
        </row>
        <row r="667">
          <cell r="A667" t="str">
            <v>49004_2</v>
          </cell>
        </row>
        <row r="668">
          <cell r="A668" t="str">
            <v>49004_3</v>
          </cell>
        </row>
        <row r="669">
          <cell r="A669" t="str">
            <v>49005_1</v>
          </cell>
        </row>
        <row r="670">
          <cell r="A670" t="str">
            <v>49006_1</v>
          </cell>
        </row>
        <row r="671">
          <cell r="A671" t="str">
            <v>49006_2</v>
          </cell>
        </row>
        <row r="672">
          <cell r="A672" t="str">
            <v>49007_1</v>
          </cell>
        </row>
        <row r="673">
          <cell r="A673" t="str">
            <v>49007_2</v>
          </cell>
        </row>
        <row r="674">
          <cell r="A674" t="str">
            <v>49007_3</v>
          </cell>
        </row>
        <row r="675">
          <cell r="A675" t="str">
            <v>50001_1</v>
          </cell>
        </row>
        <row r="676">
          <cell r="A676" t="str">
            <v>50002_1</v>
          </cell>
        </row>
        <row r="677">
          <cell r="A677" t="str">
            <v>50003_1</v>
          </cell>
        </row>
        <row r="678">
          <cell r="A678" t="str">
            <v>50004_1</v>
          </cell>
        </row>
        <row r="679">
          <cell r="A679" t="str">
            <v>50005_1</v>
          </cell>
        </row>
        <row r="680">
          <cell r="A680" t="str">
            <v>50006_1</v>
          </cell>
        </row>
        <row r="681">
          <cell r="A681" t="str">
            <v>50007_1</v>
          </cell>
        </row>
        <row r="682">
          <cell r="A682" t="str">
            <v>51001_1</v>
          </cell>
        </row>
        <row r="683">
          <cell r="A683" t="str">
            <v>51002_1</v>
          </cell>
        </row>
        <row r="684">
          <cell r="A684" t="str">
            <v>60001_1</v>
          </cell>
        </row>
        <row r="685">
          <cell r="A685" t="str">
            <v>60002_1</v>
          </cell>
        </row>
        <row r="686">
          <cell r="A686" t="str">
            <v>60002_2</v>
          </cell>
        </row>
        <row r="687">
          <cell r="A687" t="str">
            <v>60003_1</v>
          </cell>
        </row>
        <row r="688">
          <cell r="A688" t="str">
            <v>60003_2</v>
          </cell>
        </row>
        <row r="689">
          <cell r="A689" t="str">
            <v>60003_3</v>
          </cell>
        </row>
        <row r="690">
          <cell r="A690" t="str">
            <v>60004_1</v>
          </cell>
        </row>
        <row r="691">
          <cell r="A691" t="str">
            <v>60005_1</v>
          </cell>
        </row>
        <row r="692">
          <cell r="A692" t="str">
            <v>60006_1</v>
          </cell>
        </row>
        <row r="693">
          <cell r="A693" t="str">
            <v>60006_2</v>
          </cell>
        </row>
        <row r="694">
          <cell r="A694" t="str">
            <v>60006_3</v>
          </cell>
        </row>
        <row r="695">
          <cell r="A695" t="str">
            <v>60007_1</v>
          </cell>
        </row>
        <row r="696">
          <cell r="A696" t="str">
            <v>60007_2</v>
          </cell>
        </row>
        <row r="697">
          <cell r="A697" t="str">
            <v>60007_3</v>
          </cell>
        </row>
        <row r="698">
          <cell r="A698" t="str">
            <v>60010_1</v>
          </cell>
        </row>
        <row r="699">
          <cell r="A699" t="str">
            <v>60011_1</v>
          </cell>
        </row>
        <row r="700">
          <cell r="A700" t="str">
            <v>60011_2</v>
          </cell>
        </row>
        <row r="701">
          <cell r="A701" t="str">
            <v>61011_1</v>
          </cell>
        </row>
        <row r="702">
          <cell r="A702" t="str">
            <v>60012_1</v>
          </cell>
        </row>
        <row r="703">
          <cell r="A703" t="str">
            <v>60013_1</v>
          </cell>
        </row>
        <row r="704">
          <cell r="A704" t="str">
            <v>60013_2</v>
          </cell>
        </row>
        <row r="705">
          <cell r="A705" t="str">
            <v>60013_3</v>
          </cell>
        </row>
        <row r="706">
          <cell r="A706" t="str">
            <v>60014_1</v>
          </cell>
        </row>
        <row r="707">
          <cell r="A707" t="str">
            <v>65533_1</v>
          </cell>
        </row>
        <row r="708">
          <cell r="A708" t="str">
            <v>65533_2</v>
          </cell>
        </row>
        <row r="709">
          <cell r="A709" t="str">
            <v>65534_1</v>
          </cell>
        </row>
        <row r="710">
          <cell r="A710" t="str">
            <v>65535_1</v>
          </cell>
        </row>
        <row r="711">
          <cell r="A711" t="str">
            <v>65535_2</v>
          </cell>
        </row>
        <row r="712">
          <cell r="A712" t="str">
            <v>65535_3</v>
          </cell>
        </row>
        <row r="713">
          <cell r="A713" t="str">
            <v>65535_4</v>
          </cell>
        </row>
        <row r="714">
          <cell r="A714" t="str">
            <v>65535_5</v>
          </cell>
        </row>
        <row r="715">
          <cell r="A715" t="str">
            <v>65535_6</v>
          </cell>
        </row>
        <row r="716">
          <cell r="A716" t="str">
            <v>65535_7</v>
          </cell>
        </row>
        <row r="717">
          <cell r="A717" t="str">
            <v>65535_8</v>
          </cell>
        </row>
        <row r="718">
          <cell r="A718" t="str">
            <v>60021_3</v>
          </cell>
        </row>
        <row r="719">
          <cell r="A719" t="str">
            <v>60022_3</v>
          </cell>
        </row>
        <row r="720">
          <cell r="A720" t="str">
            <v>60023_3</v>
          </cell>
        </row>
        <row r="721">
          <cell r="A72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  <row r="1114">
          <cell r="A1114">
            <v>8031</v>
          </cell>
        </row>
        <row r="1115">
          <cell r="A1115">
            <v>8032</v>
          </cell>
        </row>
        <row r="1116">
          <cell r="A1116">
            <v>8033</v>
          </cell>
        </row>
        <row r="1117">
          <cell r="A1117">
            <v>8034</v>
          </cell>
        </row>
        <row r="1118">
          <cell r="A1118">
            <v>8035</v>
          </cell>
        </row>
        <row r="1119">
          <cell r="A1119">
            <v>8036</v>
          </cell>
        </row>
        <row r="1120">
          <cell r="A1120">
            <v>8037</v>
          </cell>
        </row>
        <row r="1121">
          <cell r="A1121">
            <v>8038</v>
          </cell>
        </row>
        <row r="1122">
          <cell r="A1122">
            <v>8039</v>
          </cell>
        </row>
        <row r="1123">
          <cell r="A1123">
            <v>8040</v>
          </cell>
        </row>
        <row r="1124">
          <cell r="A1124">
            <v>8041</v>
          </cell>
        </row>
        <row r="1125">
          <cell r="A1125">
            <v>8042</v>
          </cell>
        </row>
        <row r="1126">
          <cell r="A1126">
            <v>8043</v>
          </cell>
        </row>
        <row r="1127">
          <cell r="A1127">
            <v>8044</v>
          </cell>
        </row>
        <row r="1128">
          <cell r="A1128">
            <v>8045</v>
          </cell>
        </row>
        <row r="1129">
          <cell r="A1129">
            <v>8046</v>
          </cell>
        </row>
        <row r="1130">
          <cell r="A1130">
            <v>8047</v>
          </cell>
        </row>
        <row r="1131">
          <cell r="A1131">
            <v>8048</v>
          </cell>
        </row>
        <row r="1132">
          <cell r="A1132">
            <v>8049</v>
          </cell>
        </row>
        <row r="1133">
          <cell r="A1133">
            <v>8050</v>
          </cell>
        </row>
        <row r="1134">
          <cell r="A1134">
            <v>8051</v>
          </cell>
        </row>
        <row r="1135">
          <cell r="A1135">
            <v>8052</v>
          </cell>
        </row>
        <row r="1136">
          <cell r="A1136">
            <v>8053</v>
          </cell>
        </row>
        <row r="1137">
          <cell r="A1137">
            <v>8054</v>
          </cell>
        </row>
        <row r="1138">
          <cell r="A1138">
            <v>8055</v>
          </cell>
        </row>
        <row r="1139">
          <cell r="A1139">
            <v>8056</v>
          </cell>
        </row>
        <row r="1140">
          <cell r="A1140">
            <v>8057</v>
          </cell>
        </row>
        <row r="1141">
          <cell r="A1141">
            <v>8058</v>
          </cell>
        </row>
        <row r="1142">
          <cell r="A1142">
            <v>8059</v>
          </cell>
        </row>
        <row r="1143">
          <cell r="A1143">
            <v>8060</v>
          </cell>
        </row>
        <row r="1144">
          <cell r="A1144">
            <v>8061</v>
          </cell>
        </row>
        <row r="1145">
          <cell r="A1145">
            <v>8062</v>
          </cell>
        </row>
        <row r="1146">
          <cell r="A1146">
            <v>8063</v>
          </cell>
        </row>
        <row r="1147">
          <cell r="A1147">
            <v>8064</v>
          </cell>
        </row>
        <row r="1148">
          <cell r="A1148">
            <v>8065</v>
          </cell>
        </row>
        <row r="1149">
          <cell r="A1149">
            <v>8066</v>
          </cell>
        </row>
        <row r="1150">
          <cell r="A1150">
            <v>8067</v>
          </cell>
        </row>
        <row r="1151">
          <cell r="A1151">
            <v>8068</v>
          </cell>
        </row>
        <row r="1152">
          <cell r="A1152">
            <v>8069</v>
          </cell>
        </row>
        <row r="1153">
          <cell r="A1153">
            <v>8070</v>
          </cell>
        </row>
        <row r="1154">
          <cell r="A1154">
            <v>8071</v>
          </cell>
        </row>
        <row r="1155">
          <cell r="A1155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</row>
        <row r="896">
          <cell r="A896">
            <v>895</v>
          </cell>
          <cell r="B896" t="str">
            <v>ja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ヘルツ</v>
          </cell>
        </row>
        <row r="1039">
          <cell r="A1039">
            <v>1038</v>
          </cell>
          <cell r="B1039" t="str">
            <v>ja</v>
          </cell>
          <cell r="C1039" t="str">
            <v>ヘルツ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20" sqref="A20"/>
    </sheetView>
  </sheetViews>
  <sheetFormatPr baseColWidth="12" defaultRowHeight="15" x14ac:dyDescent="0.15"/>
  <cols>
    <col min="2" max="2" width="29.1640625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131</v>
      </c>
      <c r="B1" s="53" t="s">
        <v>101</v>
      </c>
      <c r="C1" s="53" t="s">
        <v>102</v>
      </c>
      <c r="D1" s="53" t="s">
        <v>103</v>
      </c>
      <c r="E1" s="53" t="s">
        <v>104</v>
      </c>
      <c r="F1" s="53" t="s">
        <v>105</v>
      </c>
      <c r="G1" s="53" t="s">
        <v>106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319</v>
      </c>
      <c r="B2" s="55" t="s">
        <v>107</v>
      </c>
      <c r="C2" s="60">
        <v>39006</v>
      </c>
      <c r="D2" s="55" t="s">
        <v>108</v>
      </c>
      <c r="E2" s="54" t="str">
        <f>B2&amp;C2&amp;D2</f>
        <v>floors_39006.tmp</v>
      </c>
      <c r="F2" s="55" t="s">
        <v>109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319</v>
      </c>
      <c r="B3" s="55" t="s">
        <v>110</v>
      </c>
      <c r="C3" s="60">
        <v>39006</v>
      </c>
      <c r="D3" s="55" t="s">
        <v>108</v>
      </c>
      <c r="E3" s="54" t="str">
        <f>B3&amp;C3&amp;D3</f>
        <v>enemy_habitats_39006.tmp</v>
      </c>
      <c r="F3" s="55" t="s">
        <v>111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174</v>
      </c>
    </row>
    <row r="4" spans="1:30" x14ac:dyDescent="0.15">
      <c r="A4" s="59" t="s">
        <v>319</v>
      </c>
      <c r="B4" s="55" t="s">
        <v>112</v>
      </c>
      <c r="C4" s="60">
        <v>39006</v>
      </c>
      <c r="D4" s="55" t="s">
        <v>108</v>
      </c>
      <c r="E4" s="54" t="str">
        <f>B4&amp;C4&amp;D4</f>
        <v>enemy_habitat_S_39006.tmp</v>
      </c>
      <c r="F4" s="55" t="s">
        <v>113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319</v>
      </c>
      <c r="B5" s="55" t="s">
        <v>114</v>
      </c>
      <c r="C5" s="60">
        <v>39006</v>
      </c>
      <c r="D5" s="55" t="s">
        <v>108</v>
      </c>
      <c r="E5" s="54" t="str">
        <f>B5&amp;C5&amp;D5</f>
        <v>enemy_skill_sets_39006.tmp</v>
      </c>
      <c r="F5" s="55" t="s">
        <v>115</v>
      </c>
      <c r="G5" s="57" t="s">
        <v>22</v>
      </c>
      <c r="H5" s="57" t="s">
        <v>100</v>
      </c>
      <c r="I5" s="57" t="s">
        <v>95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319</v>
      </c>
      <c r="B6" s="55" t="s">
        <v>116</v>
      </c>
      <c r="C6" s="60">
        <v>39006</v>
      </c>
      <c r="D6" s="55" t="s">
        <v>117</v>
      </c>
      <c r="E6" s="54" t="str">
        <f t="shared" ref="E6:E10" si="0">B6&amp;C6&amp;D6</f>
        <v>enemy_skills_tmp_39006.tmp</v>
      </c>
      <c r="F6" s="55" t="s">
        <v>91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319</v>
      </c>
      <c r="B7" s="55" t="s">
        <v>118</v>
      </c>
      <c r="C7" s="60">
        <v>39006</v>
      </c>
      <c r="D7" s="55" t="s">
        <v>108</v>
      </c>
      <c r="E7" s="54" t="str">
        <f>B7&amp;C7&amp;D7</f>
        <v>enemy_skills_i18n_39006.tmp</v>
      </c>
      <c r="F7" s="55" t="s">
        <v>119</v>
      </c>
      <c r="G7" s="56" t="s">
        <v>79</v>
      </c>
      <c r="H7" s="56" t="s">
        <v>92</v>
      </c>
      <c r="I7" s="56" t="s">
        <v>93</v>
      </c>
      <c r="J7" s="56" t="s">
        <v>94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319</v>
      </c>
      <c r="B8" s="55" t="s">
        <v>120</v>
      </c>
      <c r="C8" s="60">
        <v>39006</v>
      </c>
      <c r="D8" s="55" t="s">
        <v>121</v>
      </c>
      <c r="E8" s="54" t="str">
        <f t="shared" si="0"/>
        <v>enemy_skill_triggers_39006.tmp</v>
      </c>
      <c r="F8" s="55" t="s">
        <v>122</v>
      </c>
      <c r="G8" s="56" t="s">
        <v>95</v>
      </c>
      <c r="H8" s="56" t="s">
        <v>96</v>
      </c>
      <c r="I8" s="56" t="s">
        <v>97</v>
      </c>
      <c r="J8" s="56" t="s">
        <v>98</v>
      </c>
      <c r="K8" s="56" t="s">
        <v>123</v>
      </c>
      <c r="L8" s="56" t="s">
        <v>99</v>
      </c>
      <c r="M8" s="56" t="s">
        <v>124</v>
      </c>
      <c r="N8" s="56" t="s">
        <v>125</v>
      </c>
      <c r="O8" s="56" t="s">
        <v>126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319</v>
      </c>
      <c r="B9" s="64" t="s">
        <v>173</v>
      </c>
      <c r="C9" s="60">
        <v>39006</v>
      </c>
      <c r="D9" s="64" t="s">
        <v>167</v>
      </c>
      <c r="E9" s="65" t="str">
        <f t="shared" si="0"/>
        <v>stage_bug_bonuses_39006.tmp</v>
      </c>
      <c r="F9" s="64" t="s">
        <v>168</v>
      </c>
      <c r="G9" s="62" t="s">
        <v>151</v>
      </c>
      <c r="H9" s="62" t="s">
        <v>169</v>
      </c>
      <c r="I9" s="62" t="s">
        <v>170</v>
      </c>
      <c r="J9" s="63" t="s">
        <v>171</v>
      </c>
      <c r="K9" s="62" t="s">
        <v>172</v>
      </c>
      <c r="L9" s="62" t="s">
        <v>152</v>
      </c>
      <c r="M9" s="62" t="s">
        <v>153</v>
      </c>
      <c r="N9" s="62" t="s">
        <v>154</v>
      </c>
      <c r="O9" s="62" t="s">
        <v>155</v>
      </c>
      <c r="P9" s="62" t="s">
        <v>156</v>
      </c>
      <c r="Q9" s="62" t="s">
        <v>157</v>
      </c>
      <c r="R9" s="62" t="s">
        <v>158</v>
      </c>
      <c r="S9" s="62" t="s">
        <v>159</v>
      </c>
      <c r="T9" s="62" t="s">
        <v>160</v>
      </c>
      <c r="U9" s="62" t="s">
        <v>161</v>
      </c>
      <c r="V9" s="62" t="s">
        <v>162</v>
      </c>
      <c r="W9" s="62" t="s">
        <v>163</v>
      </c>
      <c r="X9" s="55"/>
      <c r="Y9" s="55"/>
      <c r="Z9" s="55"/>
      <c r="AA9" s="55"/>
      <c r="AB9" s="55"/>
      <c r="AC9" s="55"/>
      <c r="AD9" s="55"/>
    </row>
    <row r="10" spans="1:30" s="71" customFormat="1" x14ac:dyDescent="0.15">
      <c r="A10" s="59" t="s">
        <v>319</v>
      </c>
      <c r="B10" s="64" t="s">
        <v>197</v>
      </c>
      <c r="C10" s="60">
        <v>39006</v>
      </c>
      <c r="D10" s="64" t="s">
        <v>176</v>
      </c>
      <c r="E10" s="65" t="str">
        <f t="shared" si="0"/>
        <v>stage_hints_data_c_39006.tmp</v>
      </c>
      <c r="F10" s="64" t="s">
        <v>205</v>
      </c>
      <c r="G10" s="69" t="s">
        <v>177</v>
      </c>
      <c r="H10" s="69" t="s">
        <v>169</v>
      </c>
      <c r="I10" s="70" t="s">
        <v>178</v>
      </c>
      <c r="J10" s="63" t="s">
        <v>179</v>
      </c>
      <c r="K10" s="63" t="s">
        <v>180</v>
      </c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</row>
    <row r="11" spans="1:30" s="71" customFormat="1" x14ac:dyDescent="0.15">
      <c r="A11" s="59" t="s">
        <v>319</v>
      </c>
      <c r="B11" s="64" t="s">
        <v>198</v>
      </c>
      <c r="C11" s="60">
        <v>39006</v>
      </c>
      <c r="D11" s="64" t="s">
        <v>167</v>
      </c>
      <c r="E11" s="65" t="str">
        <f t="shared" ref="E11:E13" si="1">B11&amp;C11&amp;D11</f>
        <v>stage_hints_data_f_39006.tmp</v>
      </c>
      <c r="F11" s="64" t="s">
        <v>207</v>
      </c>
      <c r="G11" s="69" t="s">
        <v>177</v>
      </c>
      <c r="H11" s="69" t="s">
        <v>169</v>
      </c>
      <c r="I11" s="70" t="s">
        <v>178</v>
      </c>
      <c r="J11" s="63" t="s">
        <v>179</v>
      </c>
      <c r="K11" s="63" t="s">
        <v>180</v>
      </c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</row>
    <row r="12" spans="1:30" s="71" customFormat="1" x14ac:dyDescent="0.15">
      <c r="A12" s="59" t="s">
        <v>319</v>
      </c>
      <c r="B12" s="64" t="s">
        <v>199</v>
      </c>
      <c r="C12" s="60">
        <v>39006</v>
      </c>
      <c r="D12" s="64" t="s">
        <v>167</v>
      </c>
      <c r="E12" s="65" t="str">
        <f t="shared" si="1"/>
        <v>stage_hints_i18n_39006.tmp</v>
      </c>
      <c r="F12" s="64" t="s">
        <v>208</v>
      </c>
      <c r="G12" s="70" t="s">
        <v>200</v>
      </c>
      <c r="H12" s="89" t="s">
        <v>201</v>
      </c>
      <c r="I12" s="69" t="s">
        <v>202</v>
      </c>
      <c r="J12" s="91" t="s">
        <v>203</v>
      </c>
      <c r="K12" s="63" t="s">
        <v>204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</row>
    <row r="13" spans="1:30" s="71" customFormat="1" x14ac:dyDescent="0.15">
      <c r="A13" s="59" t="s">
        <v>319</v>
      </c>
      <c r="B13" s="64" t="s">
        <v>229</v>
      </c>
      <c r="C13" s="60">
        <v>39006</v>
      </c>
      <c r="D13" s="64" t="s">
        <v>210</v>
      </c>
      <c r="E13" s="65" t="str">
        <f t="shared" si="1"/>
        <v>stage_bonuses_39006.tmp</v>
      </c>
      <c r="F13" s="64" t="s">
        <v>209</v>
      </c>
      <c r="G13" s="69" t="s">
        <v>211</v>
      </c>
      <c r="H13" s="69" t="s">
        <v>212</v>
      </c>
      <c r="I13" s="69" t="s">
        <v>213</v>
      </c>
      <c r="J13" s="69" t="s">
        <v>214</v>
      </c>
      <c r="K13" s="69" t="s">
        <v>215</v>
      </c>
      <c r="L13" s="69" t="s">
        <v>216</v>
      </c>
      <c r="M13" s="69" t="s">
        <v>217</v>
      </c>
      <c r="N13" s="69" t="s">
        <v>218</v>
      </c>
      <c r="O13" s="69" t="s">
        <v>219</v>
      </c>
      <c r="P13" s="69" t="s">
        <v>220</v>
      </c>
      <c r="Q13" s="69" t="s">
        <v>221</v>
      </c>
      <c r="R13" s="69" t="s">
        <v>222</v>
      </c>
      <c r="S13" s="69" t="s">
        <v>223</v>
      </c>
      <c r="T13" s="69" t="s">
        <v>224</v>
      </c>
      <c r="U13" s="69" t="s">
        <v>225</v>
      </c>
      <c r="V13" s="69" t="s">
        <v>226</v>
      </c>
      <c r="W13" s="69" t="s">
        <v>227</v>
      </c>
      <c r="X13" s="69" t="s">
        <v>228</v>
      </c>
      <c r="Y13" s="90"/>
      <c r="Z13" s="90"/>
      <c r="AA13" s="90"/>
      <c r="AB13" s="90"/>
      <c r="AC13" s="90"/>
      <c r="AD13" s="90"/>
    </row>
  </sheetData>
  <phoneticPr fontId="6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A13" sqref="A1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39006_1-1</v>
      </c>
      <c r="B2" s="15" t="str">
        <f>IF(COUNTIF(enemy_habitats!$H:$H,A2),"OK","NG")</f>
        <v>OK</v>
      </c>
      <c r="C2" s="7">
        <v>39006</v>
      </c>
      <c r="D2" s="11" t="str">
        <f ca="1">VLOOKUP($C2,OFFSET([2]quests!$A$1,0,0,COUNTA([2]quests!$A:$A),MATCH(D$1,[2]quests!$1:$1,0)-MATCH($C$1,[2]quests!$1:$1,0)+1),MATCH(D$1,[2]quests!$1:$1,0)-MATCH($C$1,[2]quests!$1:$1,0)+1,FALSE)</f>
        <v>シガンシナ区攻防戦</v>
      </c>
      <c r="E2" s="17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0">
        <v>1</v>
      </c>
      <c r="G2" s="22" t="str">
        <f>C2&amp;"_"&amp;F2</f>
        <v>39006_1</v>
      </c>
      <c r="H2" s="14" t="str">
        <f ca="1">VLOOKUP($G2,OFFSET([2]stages!$A$1,0,0,COUNTA([2]stages!$A:$A),MATCH(H$1,[2]stages!$2:$2,0)-MATCH($G$1,[2]stages!$2:$2,0)+1),MATCH(H$1,[2]stages!$2:$2,0)-MATCH($G$1,[2]stages!$2:$2,0)+1,FALSE)</f>
        <v>【初級】シガンシナ区攻防戦</v>
      </c>
      <c r="I2" s="20">
        <v>1</v>
      </c>
      <c r="J2" s="12">
        <v>30</v>
      </c>
      <c r="K2" s="12">
        <v>30</v>
      </c>
    </row>
    <row r="3" spans="1:11" ht="21" customHeight="1" x14ac:dyDescent="0.15">
      <c r="A3" s="15" t="str">
        <f t="shared" ref="A3:A17" si="0">G3&amp;"-"&amp;I3</f>
        <v>39006_1-2</v>
      </c>
      <c r="B3" s="15" t="str">
        <f>IF(COUNTIF(enemy_habitats!$H:$H,A3),"OK","NG")</f>
        <v>OK</v>
      </c>
      <c r="C3" s="7">
        <v>39006</v>
      </c>
      <c r="D3" s="11" t="str">
        <f ca="1">VLOOKUP($C3,OFFSET([2]quests!$A$1,0,0,COUNTA([2]quests!$A:$A),MATCH(D$1,[2]quests!$1:$1,0)-MATCH($C$1,[2]quests!$1:$1,0)+1),MATCH(D$1,[2]quests!$1:$1,0)-MATCH($C$1,[2]quests!$1:$1,0)+1,FALSE)</f>
        <v>シガンシナ区攻防戦</v>
      </c>
      <c r="E3" s="17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0">
        <v>1</v>
      </c>
      <c r="G3" s="22" t="str">
        <f t="shared" ref="G3:G17" si="1">C3&amp;"_"&amp;F3</f>
        <v>39006_1</v>
      </c>
      <c r="H3" s="14" t="str">
        <f ca="1">VLOOKUP($G3,OFFSET([2]stages!$A$1,0,0,COUNTA([2]stages!$A:$A),MATCH(H$1,[2]stages!$2:$2,0)-MATCH($G$1,[2]stages!$2:$2,0)+1),MATCH(H$1,[2]stages!$2:$2,0)-MATCH($G$1,[2]stages!$2:$2,0)+1,FALSE)</f>
        <v>【初級】シガンシナ区攻防戦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5" t="str">
        <f t="shared" si="0"/>
        <v>39006_1-3</v>
      </c>
      <c r="B4" s="15" t="str">
        <f>IF(COUNTIF(enemy_habitats!$H:$H,A4),"OK","NG")</f>
        <v>OK</v>
      </c>
      <c r="C4" s="7">
        <v>39006</v>
      </c>
      <c r="D4" s="11" t="str">
        <f ca="1">VLOOKUP($C4,OFFSET([2]quests!$A$1,0,0,COUNTA([2]quests!$A:$A),MATCH(D$1,[2]quests!$1:$1,0)-MATCH($C$1,[2]quests!$1:$1,0)+1),MATCH(D$1,[2]quests!$1:$1,0)-MATCH($C$1,[2]quests!$1:$1,0)+1,FALSE)</f>
        <v>シガンシナ区攻防戦</v>
      </c>
      <c r="E4" s="17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0">
        <v>1</v>
      </c>
      <c r="G4" s="22" t="str">
        <f t="shared" si="1"/>
        <v>39006_1</v>
      </c>
      <c r="H4" s="14" t="str">
        <f ca="1">VLOOKUP($G4,OFFSET([2]stages!$A$1,0,0,COUNTA([2]stages!$A:$A),MATCH(H$1,[2]stages!$2:$2,0)-MATCH($G$1,[2]stages!$2:$2,0)+1),MATCH(H$1,[2]stages!$2:$2,0)-MATCH($G$1,[2]stages!$2:$2,0)+1,FALSE)</f>
        <v>【初級】シガンシナ区攻防戦</v>
      </c>
      <c r="I4" s="20">
        <v>3</v>
      </c>
      <c r="J4" s="12">
        <v>60</v>
      </c>
      <c r="K4" s="12">
        <v>60</v>
      </c>
    </row>
    <row r="5" spans="1:11" ht="21" customHeight="1" x14ac:dyDescent="0.15">
      <c r="A5" s="15" t="str">
        <f t="shared" si="0"/>
        <v>39006_1-4</v>
      </c>
      <c r="B5" s="15" t="str">
        <f>IF(COUNTIF(enemy_habitats!$H:$H,A5),"OK","NG")</f>
        <v>OK</v>
      </c>
      <c r="C5" s="7">
        <v>39006</v>
      </c>
      <c r="D5" s="11" t="str">
        <f ca="1">VLOOKUP($C5,OFFSET([2]quests!$A$1,0,0,COUNTA([2]quests!$A:$A),MATCH(D$1,[2]quests!$1:$1,0)-MATCH($C$1,[2]quests!$1:$1,0)+1),MATCH(D$1,[2]quests!$1:$1,0)-MATCH($C$1,[2]quests!$1:$1,0)+1,FALSE)</f>
        <v>シガンシナ区攻防戦</v>
      </c>
      <c r="E5" s="17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0">
        <v>1</v>
      </c>
      <c r="G5" s="22" t="str">
        <f t="shared" si="1"/>
        <v>39006_1</v>
      </c>
      <c r="H5" s="14" t="str">
        <f ca="1">VLOOKUP($G5,OFFSET([2]stages!$A$1,0,0,COUNTA([2]stages!$A:$A),MATCH(H$1,[2]stages!$2:$2,0)-MATCH($G$1,[2]stages!$2:$2,0)+1),MATCH(H$1,[2]stages!$2:$2,0)-MATCH($G$1,[2]stages!$2:$2,0)+1,FALSE)</f>
        <v>【初級】シガンシナ区攻防戦</v>
      </c>
      <c r="I5" s="20">
        <v>4</v>
      </c>
      <c r="J5" s="12">
        <v>60</v>
      </c>
      <c r="K5" s="12">
        <v>60</v>
      </c>
    </row>
    <row r="6" spans="1:11" ht="21" customHeight="1" x14ac:dyDescent="0.15">
      <c r="A6" s="15" t="str">
        <f t="shared" si="0"/>
        <v>39006_2-1</v>
      </c>
      <c r="B6" s="15" t="str">
        <f>IF(COUNTIF(enemy_habitats!$H:$H,A6),"OK","NG")</f>
        <v>OK</v>
      </c>
      <c r="C6" s="7">
        <v>39006</v>
      </c>
      <c r="D6" s="11" t="str">
        <f ca="1">VLOOKUP($C6,OFFSET([2]quests!$A$1,0,0,COUNTA([2]quests!$A:$A),MATCH(D$1,[2]quests!$1:$1,0)-MATCH($C$1,[2]quests!$1:$1,0)+1),MATCH(D$1,[2]quests!$1:$1,0)-MATCH($C$1,[2]quests!$1:$1,0)+1,FALSE)</f>
        <v>シガンシナ区攻防戦</v>
      </c>
      <c r="E6" s="17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0">
        <v>2</v>
      </c>
      <c r="G6" s="22" t="str">
        <f t="shared" si="1"/>
        <v>39006_2</v>
      </c>
      <c r="H6" s="14" t="str">
        <f ca="1">VLOOKUP($G6,OFFSET([2]stages!$A$1,0,0,COUNTA([2]stages!$A:$A),MATCH(H$1,[2]stages!$2:$2,0)-MATCH($G$1,[2]stages!$2:$2,0)+1),MATCH(H$1,[2]stages!$2:$2,0)-MATCH($G$1,[2]stages!$2:$2,0)+1,FALSE)</f>
        <v>【中級】シガンシナ区攻防戦</v>
      </c>
      <c r="I6" s="20">
        <v>1</v>
      </c>
      <c r="J6" s="12">
        <v>30</v>
      </c>
      <c r="K6" s="12">
        <v>30</v>
      </c>
    </row>
    <row r="7" spans="1:11" ht="21" customHeight="1" x14ac:dyDescent="0.15">
      <c r="A7" s="15" t="str">
        <f t="shared" si="0"/>
        <v>39006_2-2</v>
      </c>
      <c r="B7" s="15" t="str">
        <f>IF(COUNTIF(enemy_habitats!$H:$H,A7),"OK","NG")</f>
        <v>OK</v>
      </c>
      <c r="C7" s="7">
        <v>39006</v>
      </c>
      <c r="D7" s="11" t="str">
        <f ca="1">VLOOKUP($C7,OFFSET([2]quests!$A$1,0,0,COUNTA([2]quests!$A:$A),MATCH(D$1,[2]quests!$1:$1,0)-MATCH($C$1,[2]quests!$1:$1,0)+1),MATCH(D$1,[2]quests!$1:$1,0)-MATCH($C$1,[2]quests!$1:$1,0)+1,FALSE)</f>
        <v>シガンシナ区攻防戦</v>
      </c>
      <c r="E7" s="17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20">
        <v>2</v>
      </c>
      <c r="G7" s="22" t="str">
        <f t="shared" si="1"/>
        <v>39006_2</v>
      </c>
      <c r="H7" s="14" t="str">
        <f ca="1">VLOOKUP($G7,OFFSET([2]stages!$A$1,0,0,COUNTA([2]stages!$A:$A),MATCH(H$1,[2]stages!$2:$2,0)-MATCH($G$1,[2]stages!$2:$2,0)+1),MATCH(H$1,[2]stages!$2:$2,0)-MATCH($G$1,[2]stages!$2:$2,0)+1,FALSE)</f>
        <v>【中級】シガンシナ区攻防戦</v>
      </c>
      <c r="I7" s="20">
        <v>2</v>
      </c>
      <c r="J7" s="12">
        <v>60</v>
      </c>
      <c r="K7" s="12">
        <v>60</v>
      </c>
    </row>
    <row r="8" spans="1:11" ht="21" customHeight="1" x14ac:dyDescent="0.15">
      <c r="A8" s="15" t="str">
        <f t="shared" si="0"/>
        <v>39006_2-3</v>
      </c>
      <c r="B8" s="15" t="str">
        <f>IF(COUNTIF(enemy_habitats!$H:$H,A8),"OK","NG")</f>
        <v>OK</v>
      </c>
      <c r="C8" s="7">
        <v>39006</v>
      </c>
      <c r="D8" s="11" t="str">
        <f ca="1">VLOOKUP($C8,OFFSET([2]quests!$A$1,0,0,COUNTA([2]quests!$A:$A),MATCH(D$1,[2]quests!$1:$1,0)-MATCH($C$1,[2]quests!$1:$1,0)+1),MATCH(D$1,[2]quests!$1:$1,0)-MATCH($C$1,[2]quests!$1:$1,0)+1,FALSE)</f>
        <v>シガンシナ区攻防戦</v>
      </c>
      <c r="E8" s="17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20">
        <v>2</v>
      </c>
      <c r="G8" s="22" t="str">
        <f t="shared" si="1"/>
        <v>39006_2</v>
      </c>
      <c r="H8" s="14" t="str">
        <f ca="1">VLOOKUP($G8,OFFSET([2]stages!$A$1,0,0,COUNTA([2]stages!$A:$A),MATCH(H$1,[2]stages!$2:$2,0)-MATCH($G$1,[2]stages!$2:$2,0)+1),MATCH(H$1,[2]stages!$2:$2,0)-MATCH($G$1,[2]stages!$2:$2,0)+1,FALSE)</f>
        <v>【中級】シガンシナ区攻防戦</v>
      </c>
      <c r="I8" s="20">
        <v>3</v>
      </c>
      <c r="J8" s="12">
        <v>60</v>
      </c>
      <c r="K8" s="12">
        <v>60</v>
      </c>
    </row>
    <row r="9" spans="1:11" ht="21" customHeight="1" x14ac:dyDescent="0.15">
      <c r="A9" s="15" t="str">
        <f t="shared" si="0"/>
        <v>39006_2-4</v>
      </c>
      <c r="B9" s="15" t="str">
        <f>IF(COUNTIF(enemy_habitats!$H:$H,A9),"OK","NG")</f>
        <v>OK</v>
      </c>
      <c r="C9" s="7">
        <v>39006</v>
      </c>
      <c r="D9" s="11" t="str">
        <f ca="1">VLOOKUP($C9,OFFSET([2]quests!$A$1,0,0,COUNTA([2]quests!$A:$A),MATCH(D$1,[2]quests!$1:$1,0)-MATCH($C$1,[2]quests!$1:$1,0)+1),MATCH(D$1,[2]quests!$1:$1,0)-MATCH($C$1,[2]quests!$1:$1,0)+1,FALSE)</f>
        <v>シガンシナ区攻防戦</v>
      </c>
      <c r="E9" s="17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20">
        <v>2</v>
      </c>
      <c r="G9" s="22" t="str">
        <f t="shared" si="1"/>
        <v>39006_2</v>
      </c>
      <c r="H9" s="14" t="str">
        <f ca="1">VLOOKUP($G9,OFFSET([2]stages!$A$1,0,0,COUNTA([2]stages!$A:$A),MATCH(H$1,[2]stages!$2:$2,0)-MATCH($G$1,[2]stages!$2:$2,0)+1),MATCH(H$1,[2]stages!$2:$2,0)-MATCH($G$1,[2]stages!$2:$2,0)+1,FALSE)</f>
        <v>【中級】シガンシナ区攻防戦</v>
      </c>
      <c r="I9" s="20">
        <v>4</v>
      </c>
      <c r="J9" s="12">
        <v>60</v>
      </c>
      <c r="K9" s="12">
        <v>60</v>
      </c>
    </row>
    <row r="10" spans="1:11" ht="21" customHeight="1" x14ac:dyDescent="0.15">
      <c r="A10" s="15" t="str">
        <f t="shared" si="0"/>
        <v>39006_3-1</v>
      </c>
      <c r="B10" s="15" t="str">
        <f>IF(COUNTIF(enemy_habitats!$H:$H,A10),"OK","NG")</f>
        <v>OK</v>
      </c>
      <c r="C10" s="7">
        <v>39006</v>
      </c>
      <c r="D10" s="11" t="str">
        <f ca="1">VLOOKUP($C10,OFFSET([2]quests!$A$1,0,0,COUNTA([2]quests!$A:$A),MATCH(D$1,[2]quests!$1:$1,0)-MATCH($C$1,[2]quests!$1:$1,0)+1),MATCH(D$1,[2]quests!$1:$1,0)-MATCH($C$1,[2]quests!$1:$1,0)+1,FALSE)</f>
        <v>シガンシナ区攻防戦</v>
      </c>
      <c r="E10" s="17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20">
        <v>3</v>
      </c>
      <c r="G10" s="22" t="str">
        <f t="shared" si="1"/>
        <v>39006_3</v>
      </c>
      <c r="H10" s="14" t="str">
        <f ca="1">VLOOKUP($G10,OFFSET([2]stages!$A$1,0,0,COUNTA([2]stages!$A:$A),MATCH(H$1,[2]stages!$2:$2,0)-MATCH($G$1,[2]stages!$2:$2,0)+1),MATCH(H$1,[2]stages!$2:$2,0)-MATCH($G$1,[2]stages!$2:$2,0)+1,FALSE)</f>
        <v>【上級】シガンシナ区攻防戦</v>
      </c>
      <c r="I10" s="20">
        <v>1</v>
      </c>
      <c r="J10" s="12">
        <v>30</v>
      </c>
      <c r="K10" s="12">
        <v>30</v>
      </c>
    </row>
    <row r="11" spans="1:11" ht="21" customHeight="1" x14ac:dyDescent="0.15">
      <c r="A11" s="15" t="str">
        <f t="shared" si="0"/>
        <v>39006_3-2</v>
      </c>
      <c r="B11" s="15" t="str">
        <f>IF(COUNTIF(enemy_habitats!$H:$H,A11),"OK","NG")</f>
        <v>OK</v>
      </c>
      <c r="C11" s="7">
        <v>39006</v>
      </c>
      <c r="D11" s="11" t="str">
        <f ca="1">VLOOKUP($C11,OFFSET([2]quests!$A$1,0,0,COUNTA([2]quests!$A:$A),MATCH(D$1,[2]quests!$1:$1,0)-MATCH($C$1,[2]quests!$1:$1,0)+1),MATCH(D$1,[2]quests!$1:$1,0)-MATCH($C$1,[2]quests!$1:$1,0)+1,FALSE)</f>
        <v>シガンシナ区攻防戦</v>
      </c>
      <c r="E11" s="17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20">
        <v>3</v>
      </c>
      <c r="G11" s="22" t="str">
        <f t="shared" si="1"/>
        <v>39006_3</v>
      </c>
      <c r="H11" s="14" t="str">
        <f ca="1">VLOOKUP($G11,OFFSET([2]stages!$A$1,0,0,COUNTA([2]stages!$A:$A),MATCH(H$1,[2]stages!$2:$2,0)-MATCH($G$1,[2]stages!$2:$2,0)+1),MATCH(H$1,[2]stages!$2:$2,0)-MATCH($G$1,[2]stages!$2:$2,0)+1,FALSE)</f>
        <v>【上級】シガンシナ区攻防戦</v>
      </c>
      <c r="I11" s="20">
        <v>2</v>
      </c>
      <c r="J11" s="12">
        <v>60</v>
      </c>
      <c r="K11" s="12">
        <v>60</v>
      </c>
    </row>
    <row r="12" spans="1:11" ht="21" customHeight="1" x14ac:dyDescent="0.15">
      <c r="A12" s="15" t="str">
        <f t="shared" si="0"/>
        <v>39006_3-3</v>
      </c>
      <c r="B12" s="15" t="str">
        <f>IF(COUNTIF(enemy_habitats!$H:$H,A12),"OK","NG")</f>
        <v>OK</v>
      </c>
      <c r="C12" s="7">
        <v>39006</v>
      </c>
      <c r="D12" s="11" t="str">
        <f ca="1">VLOOKUP($C12,OFFSET([2]quests!$A$1,0,0,COUNTA([2]quests!$A:$A),MATCH(D$1,[2]quests!$1:$1,0)-MATCH($C$1,[2]quests!$1:$1,0)+1),MATCH(D$1,[2]quests!$1:$1,0)-MATCH($C$1,[2]quests!$1:$1,0)+1,FALSE)</f>
        <v>シガンシナ区攻防戦</v>
      </c>
      <c r="E12" s="17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20">
        <v>3</v>
      </c>
      <c r="G12" s="22" t="str">
        <f t="shared" si="1"/>
        <v>39006_3</v>
      </c>
      <c r="H12" s="14" t="str">
        <f ca="1">VLOOKUP($G12,OFFSET([2]stages!$A$1,0,0,COUNTA([2]stages!$A:$A),MATCH(H$1,[2]stages!$2:$2,0)-MATCH($G$1,[2]stages!$2:$2,0)+1),MATCH(H$1,[2]stages!$2:$2,0)-MATCH($G$1,[2]stages!$2:$2,0)+1,FALSE)</f>
        <v>【上級】シガンシナ区攻防戦</v>
      </c>
      <c r="I12" s="20">
        <v>3</v>
      </c>
      <c r="J12" s="12">
        <v>60</v>
      </c>
      <c r="K12" s="12">
        <v>60</v>
      </c>
    </row>
    <row r="13" spans="1:11" ht="21" customHeight="1" x14ac:dyDescent="0.15">
      <c r="A13" s="15" t="str">
        <f t="shared" si="0"/>
        <v>39006_3-4</v>
      </c>
      <c r="B13" s="15" t="str">
        <f>IF(COUNTIF(enemy_habitats!$H:$H,A13),"OK","NG")</f>
        <v>OK</v>
      </c>
      <c r="C13" s="7">
        <v>39006</v>
      </c>
      <c r="D13" s="11" t="str">
        <f ca="1">VLOOKUP($C13,OFFSET([2]quests!$A$1,0,0,COUNTA([2]quests!$A:$A),MATCH(D$1,[2]quests!$1:$1,0)-MATCH($C$1,[2]quests!$1:$1,0)+1),MATCH(D$1,[2]quests!$1:$1,0)-MATCH($C$1,[2]quests!$1:$1,0)+1,FALSE)</f>
        <v>シガンシナ区攻防戦</v>
      </c>
      <c r="E13" s="17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20">
        <v>3</v>
      </c>
      <c r="G13" s="22" t="str">
        <f t="shared" si="1"/>
        <v>39006_3</v>
      </c>
      <c r="H13" s="14" t="str">
        <f ca="1">VLOOKUP($G13,OFFSET([2]stages!$A$1,0,0,COUNTA([2]stages!$A:$A),MATCH(H$1,[2]stages!$2:$2,0)-MATCH($G$1,[2]stages!$2:$2,0)+1),MATCH(H$1,[2]stages!$2:$2,0)-MATCH($G$1,[2]stages!$2:$2,0)+1,FALSE)</f>
        <v>【上級】シガンシナ区攻防戦</v>
      </c>
      <c r="I13" s="20">
        <v>4</v>
      </c>
      <c r="J13" s="12">
        <v>60</v>
      </c>
      <c r="K13" s="12">
        <v>60</v>
      </c>
    </row>
    <row r="14" spans="1:11" ht="21" customHeight="1" x14ac:dyDescent="0.15">
      <c r="A14" s="15" t="str">
        <f t="shared" si="0"/>
        <v>39006_4-1</v>
      </c>
      <c r="B14" s="15" t="str">
        <f>IF(COUNTIF(enemy_habitats!$H:$H,A14),"OK","NG")</f>
        <v>OK</v>
      </c>
      <c r="C14" s="7">
        <v>39006</v>
      </c>
      <c r="D14" s="11" t="str">
        <f ca="1">VLOOKUP($C14,OFFSET([2]quests!$A$1,0,0,COUNTA([2]quests!$A:$A),MATCH(D$1,[2]quests!$1:$1,0)-MATCH($C$1,[2]quests!$1:$1,0)+1),MATCH(D$1,[2]quests!$1:$1,0)-MATCH($C$1,[2]quests!$1:$1,0)+1,FALSE)</f>
        <v>シガンシナ区攻防戦</v>
      </c>
      <c r="E14" s="17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20">
        <v>4</v>
      </c>
      <c r="G14" s="22" t="str">
        <f t="shared" si="1"/>
        <v>39006_4</v>
      </c>
      <c r="H14" s="14" t="str">
        <f ca="1">VLOOKUP($G14,OFFSET([2]stages!$A$1,0,0,COUNTA([2]stages!$A:$A),MATCH(H$1,[2]stages!$2:$2,0)-MATCH($G$1,[2]stages!$2:$2,0)+1),MATCH(H$1,[2]stages!$2:$2,0)-MATCH($G$1,[2]stages!$2:$2,0)+1,FALSE)</f>
        <v>【超級】シガンシナ区攻防戦</v>
      </c>
      <c r="I14" s="20">
        <v>1</v>
      </c>
      <c r="J14" s="12">
        <v>30</v>
      </c>
      <c r="K14" s="12">
        <v>30</v>
      </c>
    </row>
    <row r="15" spans="1:11" ht="21" customHeight="1" x14ac:dyDescent="0.15">
      <c r="A15" s="15" t="str">
        <f t="shared" si="0"/>
        <v>39006_4-2</v>
      </c>
      <c r="B15" s="15" t="str">
        <f>IF(COUNTIF(enemy_habitats!$H:$H,A15),"OK","NG")</f>
        <v>OK</v>
      </c>
      <c r="C15" s="7">
        <v>39006</v>
      </c>
      <c r="D15" s="11" t="str">
        <f ca="1">VLOOKUP($C15,OFFSET([2]quests!$A$1,0,0,COUNTA([2]quests!$A:$A),MATCH(D$1,[2]quests!$1:$1,0)-MATCH($C$1,[2]quests!$1:$1,0)+1),MATCH(D$1,[2]quests!$1:$1,0)-MATCH($C$1,[2]quests!$1:$1,0)+1,FALSE)</f>
        <v>シガンシナ区攻防戦</v>
      </c>
      <c r="E15" s="17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20">
        <v>4</v>
      </c>
      <c r="G15" s="22" t="str">
        <f t="shared" si="1"/>
        <v>39006_4</v>
      </c>
      <c r="H15" s="14" t="str">
        <f ca="1">VLOOKUP($G15,OFFSET([2]stages!$A$1,0,0,COUNTA([2]stages!$A:$A),MATCH(H$1,[2]stages!$2:$2,0)-MATCH($G$1,[2]stages!$2:$2,0)+1),MATCH(H$1,[2]stages!$2:$2,0)-MATCH($G$1,[2]stages!$2:$2,0)+1,FALSE)</f>
        <v>【超級】シガンシナ区攻防戦</v>
      </c>
      <c r="I15" s="20">
        <v>2</v>
      </c>
      <c r="J15" s="12">
        <v>60</v>
      </c>
      <c r="K15" s="12">
        <v>60</v>
      </c>
    </row>
    <row r="16" spans="1:11" ht="21" customHeight="1" x14ac:dyDescent="0.15">
      <c r="A16" s="15" t="str">
        <f t="shared" si="0"/>
        <v>39006_4-3</v>
      </c>
      <c r="B16" s="15" t="str">
        <f>IF(COUNTIF(enemy_habitats!$H:$H,A16),"OK","NG")</f>
        <v>OK</v>
      </c>
      <c r="C16" s="7">
        <v>39006</v>
      </c>
      <c r="D16" s="11" t="str">
        <f ca="1">VLOOKUP($C16,OFFSET([2]quests!$A$1,0,0,COUNTA([2]quests!$A:$A),MATCH(D$1,[2]quests!$1:$1,0)-MATCH($C$1,[2]quests!$1:$1,0)+1),MATCH(D$1,[2]quests!$1:$1,0)-MATCH($C$1,[2]quests!$1:$1,0)+1,FALSE)</f>
        <v>シガンシナ区攻防戦</v>
      </c>
      <c r="E16" s="17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20">
        <v>4</v>
      </c>
      <c r="G16" s="22" t="str">
        <f t="shared" si="1"/>
        <v>39006_4</v>
      </c>
      <c r="H16" s="14" t="str">
        <f ca="1">VLOOKUP($G16,OFFSET([2]stages!$A$1,0,0,COUNTA([2]stages!$A:$A),MATCH(H$1,[2]stages!$2:$2,0)-MATCH($G$1,[2]stages!$2:$2,0)+1),MATCH(H$1,[2]stages!$2:$2,0)-MATCH($G$1,[2]stages!$2:$2,0)+1,FALSE)</f>
        <v>【超級】シガンシナ区攻防戦</v>
      </c>
      <c r="I16" s="20">
        <v>3</v>
      </c>
      <c r="J16" s="12">
        <v>60</v>
      </c>
      <c r="K16" s="12">
        <v>60</v>
      </c>
    </row>
    <row r="17" spans="1:11" ht="21" customHeight="1" x14ac:dyDescent="0.15">
      <c r="A17" s="15" t="str">
        <f t="shared" si="0"/>
        <v>39006_4-4</v>
      </c>
      <c r="B17" s="15" t="str">
        <f>IF(COUNTIF(enemy_habitats!$H:$H,A17),"OK","NG")</f>
        <v>OK</v>
      </c>
      <c r="C17" s="7">
        <v>39006</v>
      </c>
      <c r="D17" s="11" t="str">
        <f ca="1">VLOOKUP($C17,OFFSET([2]quests!$A$1,0,0,COUNTA([2]quests!$A:$A),MATCH(D$1,[2]quests!$1:$1,0)-MATCH($C$1,[2]quests!$1:$1,0)+1),MATCH(D$1,[2]quests!$1:$1,0)-MATCH($C$1,[2]quests!$1:$1,0)+1,FALSE)</f>
        <v>シガンシナ区攻防戦</v>
      </c>
      <c r="E17" s="17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20">
        <v>4</v>
      </c>
      <c r="G17" s="22" t="str">
        <f t="shared" si="1"/>
        <v>39006_4</v>
      </c>
      <c r="H17" s="14" t="str">
        <f ca="1">VLOOKUP($G17,OFFSET([2]stages!$A$1,0,0,COUNTA([2]stages!$A:$A),MATCH(H$1,[2]stages!$2:$2,0)-MATCH($G$1,[2]stages!$2:$2,0)+1),MATCH(H$1,[2]stages!$2:$2,0)-MATCH($G$1,[2]stages!$2:$2,0)+1,FALSE)</f>
        <v>【超級】シガンシナ区攻防戦</v>
      </c>
      <c r="I17" s="20">
        <v>4</v>
      </c>
      <c r="J17" s="12">
        <v>60</v>
      </c>
      <c r="K17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7"/>
  <sheetViews>
    <sheetView showGridLines="0" tabSelected="1" workbookViewId="0">
      <pane xSplit="17" ySplit="1" topLeftCell="R15" activePane="bottomRight" state="frozen"/>
      <selection pane="topRight" activeCell="N1" sqref="N1"/>
      <selection pane="bottomLeft" activeCell="A2" sqref="A2"/>
      <selection pane="bottomRight" activeCell="M26" sqref="M26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0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1.16406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12" bestFit="1" customWidth="1" outlineLevel="1"/>
    <col min="30" max="30" width="8" style="10" bestFit="1" customWidth="1" outlineLevel="1"/>
    <col min="31" max="31" width="12" style="10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3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4" t="s">
        <v>54</v>
      </c>
      <c r="L1" s="35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113" t="s">
        <v>16</v>
      </c>
      <c r="AD1" s="113" t="s">
        <v>17</v>
      </c>
      <c r="AE1" s="11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4" t="s">
        <v>175</v>
      </c>
    </row>
    <row r="2" spans="1:40" ht="21" customHeight="1" x14ac:dyDescent="0.15">
      <c r="A2" s="15" t="str">
        <f ca="1">B2&amp;"_"&amp;C2&amp;"-"&amp;G2&amp;"/"&amp;L2&amp;"&lt;lv"&amp;R2&amp;"&gt;s"&amp;AA2</f>
        <v>39006_1-1/983&lt;lv10&gt;s3</v>
      </c>
      <c r="B2" s="21">
        <v>39006</v>
      </c>
      <c r="C2" s="20">
        <v>1</v>
      </c>
      <c r="D2" s="2" t="str">
        <f>B2&amp;"_"&amp;C2</f>
        <v>39006_1</v>
      </c>
      <c r="E2" s="4" t="str">
        <f ca="1">VLOOKUP($B2,OFFSET([2]quests!$A$1,0,0,COUNTA([2]quests!$A:$A),MATCH(E$1,[2]quests!$1:$1,0)-MATCH($B$1,[2]quests!$1:$1,0)+1),MATCH(E$1,[2]quests!$1:$1,0)-MATCH($B$1,[2]quests!$1:$1,0)+1,FALSE)</f>
        <v>シガンシナ区攻防戦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【初級】シガンシナ区攻防戦</v>
      </c>
      <c r="G2" s="20">
        <v>1</v>
      </c>
      <c r="H2" s="14" t="str">
        <f>B2&amp;"_"&amp;C2&amp;"-"&amp;G2</f>
        <v>39006_1-1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6" t="s">
        <v>53</v>
      </c>
      <c r="L2" s="19">
        <v>983</v>
      </c>
      <c r="M2" s="16" t="str">
        <f ca="1">VLOOKUP($L2,OFFSET([3]enemies!$A$1,0,0,COUNTA([3]enemies!$A:$A),MATCH(M$1,[3]enemies!$1:$1,0)-MATCH($L$1,[3]enemies!$1:$1,0)+1),MATCH(M$1,[3]enemies!$1:$1,0)-MATCH($L$1,[3]enemies!$1:$1,0)+1,FALSE)</f>
        <v>鎧の巨人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ti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10</v>
      </c>
      <c r="S2" s="24">
        <v>1</v>
      </c>
      <c r="T2" s="24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" s="4">
        <v>39006001</v>
      </c>
      <c r="X2" s="6">
        <v>0</v>
      </c>
      <c r="Y2" s="6">
        <v>100</v>
      </c>
      <c r="Z2" s="6">
        <v>1</v>
      </c>
      <c r="AA2" s="16">
        <f ca="1">VLOOKUP($L2,OFFSET([3]enemies!$A$1,0,0,COUNTA([3]enemies!$A:$A),MATCH(AA$1,[3]enemies!$1:$1,0)-MATCH($L$1,[3]enemies!$1:$1,0)+1),MATCH(AA$1,[3]enemies!$1:$1,0)-MATCH($L$1,[3]enemies!$1:$1,0)+1,FALSE)</f>
        <v>3</v>
      </c>
      <c r="AB2" s="23">
        <f>L2</f>
        <v>983</v>
      </c>
      <c r="AC2" s="11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2" s="11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11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" s="7">
        <v>1</v>
      </c>
      <c r="AG2" s="23">
        <f ca="1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6">
        <v>1</v>
      </c>
    </row>
    <row r="3" spans="1:40" ht="21" customHeight="1" x14ac:dyDescent="0.15">
      <c r="A3" s="15" t="str">
        <f t="shared" ref="A3:A6" ca="1" si="0">B3&amp;"_"&amp;C3&amp;"-"&amp;G3&amp;"/"&amp;L3&amp;"&lt;lv"&amp;R3&amp;"&gt;s"&amp;AA3</f>
        <v>39006_1-2/981&lt;lv10&gt;s3</v>
      </c>
      <c r="B3" s="21">
        <v>39006</v>
      </c>
      <c r="C3" s="20">
        <v>1</v>
      </c>
      <c r="D3" s="2" t="str">
        <f t="shared" ref="D3:D6" si="1">B3&amp;"_"&amp;C3</f>
        <v>39006_1</v>
      </c>
      <c r="E3" s="4" t="str">
        <f ca="1">VLOOKUP($B3,OFFSET([2]quests!$A$1,0,0,COUNTA([2]quests!$A:$A),MATCH(E$1,[2]quests!$1:$1,0)-MATCH($B$1,[2]quests!$1:$1,0)+1),MATCH(E$1,[2]quests!$1:$1,0)-MATCH($B$1,[2]quests!$1:$1,0)+1,FALSE)</f>
        <v>シガンシナ区攻防戦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【初級】シガンシナ区攻防戦</v>
      </c>
      <c r="G3" s="20">
        <v>2</v>
      </c>
      <c r="H3" s="14" t="str">
        <f t="shared" ref="H3:H6" si="2">B3&amp;"_"&amp;C3&amp;"-"&amp;G3</f>
        <v>39006_1-2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9">
        <v>981</v>
      </c>
      <c r="M3" s="16" t="str">
        <f ca="1">VLOOKUP($L3,OFFSET([3]enemies!$A$1,0,0,COUNTA([3]enemies!$A:$A),MATCH(M$1,[3]enemies!$1:$1,0)-MATCH($L$1,[3]enemies!$1:$1,0)+1),MATCH(M$1,[3]enemies!$1:$1,0)-MATCH($L$1,[3]enemies!$1:$1,0)+1,FALSE)</f>
        <v>女型の巨人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ti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10</v>
      </c>
      <c r="S3" s="24">
        <v>1.5</v>
      </c>
      <c r="T3" s="24">
        <v>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" s="4">
        <v>39006005</v>
      </c>
      <c r="X3" s="6">
        <v>0</v>
      </c>
      <c r="Y3" s="6">
        <v>100</v>
      </c>
      <c r="Z3" s="6">
        <v>1</v>
      </c>
      <c r="AA3" s="16">
        <f ca="1">VLOOKUP($L3,OFFSET([3]enemies!$A$1,0,0,COUNTA([3]enemies!$A:$A),MATCH(AA$1,[3]enemies!$1:$1,0)-MATCH($L$1,[3]enemies!$1:$1,0)+1),MATCH(AA$1,[3]enemies!$1:$1,0)-MATCH($L$1,[3]enemies!$1:$1,0)+1,FALSE)</f>
        <v>3</v>
      </c>
      <c r="AB3" s="23">
        <f t="shared" ref="AB3:AB6" si="3">L3</f>
        <v>981</v>
      </c>
      <c r="AC3" s="11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3" s="11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11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7">
        <v>1</v>
      </c>
      <c r="AG3" s="23">
        <f t="shared" ref="AG3:AG6" ca="1" si="4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6">
        <v>1</v>
      </c>
    </row>
    <row r="4" spans="1:40" ht="21" customHeight="1" x14ac:dyDescent="0.15">
      <c r="A4" s="15" t="str">
        <f t="shared" ca="1" si="0"/>
        <v>39006_1-2/8&lt;lv10&gt;s2</v>
      </c>
      <c r="B4" s="21">
        <v>39006</v>
      </c>
      <c r="C4" s="20">
        <v>1</v>
      </c>
      <c r="D4" s="2" t="str">
        <f t="shared" si="1"/>
        <v>39006_1</v>
      </c>
      <c r="E4" s="4" t="str">
        <f ca="1">VLOOKUP($B4,OFFSET([2]quests!$A$1,0,0,COUNTA([2]quests!$A:$A),MATCH(E$1,[2]quests!$1:$1,0)-MATCH($B$1,[2]quests!$1:$1,0)+1),MATCH(E$1,[2]quests!$1:$1,0)-MATCH($B$1,[2]quests!$1:$1,0)+1,FALSE)</f>
        <v>シガンシナ区攻防戦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【初級】シガンシナ区攻防戦</v>
      </c>
      <c r="G4" s="20">
        <v>2</v>
      </c>
      <c r="H4" s="14" t="str">
        <f t="shared" si="2"/>
        <v>39006_1-2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9">
        <v>8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ハイボルテージ エレキポット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24">
        <v>1.5</v>
      </c>
      <c r="T4" s="24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1</v>
      </c>
      <c r="Y4" s="6">
        <v>100</v>
      </c>
      <c r="Z4" s="6">
        <v>0</v>
      </c>
      <c r="AA4" s="16">
        <f ca="1">VLOOKUP($L4,OFFSET([3]enemies!$A$1,0,0,COUNTA([3]enemies!$A:$A),MATCH(AA$1,[3]enemies!$1:$1,0)-MATCH($L$1,[3]enemies!$1:$1,0)+1),MATCH(AA$1,[3]enemies!$1:$1,0)-MATCH($L$1,[3]enemies!$1:$1,0)+1,FALSE)</f>
        <v>2</v>
      </c>
      <c r="AB4" s="23">
        <f t="shared" si="3"/>
        <v>8</v>
      </c>
      <c r="AC4" s="11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4" s="11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11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3">
        <f t="shared" ca="1" si="4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6">
        <v>1</v>
      </c>
    </row>
    <row r="5" spans="1:40" ht="21" customHeight="1" x14ac:dyDescent="0.15">
      <c r="A5" s="15" t="str">
        <f t="shared" ca="1" si="0"/>
        <v>39006_1-2/35&lt;lv10&gt;s4</v>
      </c>
      <c r="B5" s="21">
        <v>39006</v>
      </c>
      <c r="C5" s="20">
        <v>1</v>
      </c>
      <c r="D5" s="2" t="str">
        <f t="shared" si="1"/>
        <v>39006_1</v>
      </c>
      <c r="E5" s="4" t="str">
        <f ca="1">VLOOKUP($B5,OFFSET([2]quests!$A$1,0,0,COUNTA([2]quests!$A:$A),MATCH(E$1,[2]quests!$1:$1,0)-MATCH($B$1,[2]quests!$1:$1,0)+1),MATCH(E$1,[2]quests!$1:$1,0)-MATCH($B$1,[2]quests!$1:$1,0)+1,FALSE)</f>
        <v>シガンシナ区攻防戦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【初級】シガンシナ区攻防戦</v>
      </c>
      <c r="G5" s="20">
        <v>2</v>
      </c>
      <c r="H5" s="14" t="str">
        <f t="shared" si="2"/>
        <v>39006_1-2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9">
        <v>35</v>
      </c>
      <c r="M5" s="16" t="str">
        <f ca="1">VLOOKUP($L5,OFFSET([3]enemies!$A$1,0,0,COUNTA([3]enemies!$A:$A),MATCH(M$1,[3]enemies!$1:$1,0)-MATCH($L$1,[3]enemies!$1:$1,0)+1),MATCH(M$1,[3]enemies!$1:$1,0)-MATCH($L$1,[3]enemies!$1:$1,0)+1,FALSE)</f>
        <v>F2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6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24">
        <v>1.5</v>
      </c>
      <c r="T5" s="24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5" s="118">
        <v>39006031</v>
      </c>
      <c r="X5" s="6">
        <v>1</v>
      </c>
      <c r="Y5" s="6">
        <v>100</v>
      </c>
      <c r="Z5" s="6">
        <v>0</v>
      </c>
      <c r="AA5" s="16">
        <f ca="1">VLOOKUP($L5,OFFSET([3]enemies!$A$1,0,0,COUNTA([3]enemies!$A:$A),MATCH(AA$1,[3]enemies!$1:$1,0)-MATCH($L$1,[3]enemies!$1:$1,0)+1),MATCH(AA$1,[3]enemies!$1:$1,0)-MATCH($L$1,[3]enemies!$1:$1,0)+1,FALSE)</f>
        <v>4</v>
      </c>
      <c r="AB5" s="23">
        <f t="shared" si="3"/>
        <v>35</v>
      </c>
      <c r="AC5" s="11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F2</v>
      </c>
      <c r="AD5" s="11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11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3">
        <f t="shared" ca="1" si="4"/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6">
        <v>1</v>
      </c>
    </row>
    <row r="6" spans="1:40" ht="21" customHeight="1" x14ac:dyDescent="0.15">
      <c r="A6" s="15" t="str">
        <f t="shared" ca="1" si="0"/>
        <v>39006_1-3/1001&lt;lv10&gt;s3</v>
      </c>
      <c r="B6" s="21">
        <v>39006</v>
      </c>
      <c r="C6" s="20">
        <v>1</v>
      </c>
      <c r="D6" s="2" t="str">
        <f t="shared" si="1"/>
        <v>39006_1</v>
      </c>
      <c r="E6" s="4" t="str">
        <f ca="1">VLOOKUP($B6,OFFSET([2]quests!$A$1,0,0,COUNTA([2]quests!$A:$A),MATCH(E$1,[2]quests!$1:$1,0)-MATCH($B$1,[2]quests!$1:$1,0)+1),MATCH(E$1,[2]quests!$1:$1,0)-MATCH($B$1,[2]quests!$1:$1,0)+1,FALSE)</f>
        <v>シガンシナ区攻防戦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【初級】シガンシナ区攻防戦</v>
      </c>
      <c r="G6" s="20">
        <v>3</v>
      </c>
      <c r="H6" s="14" t="str">
        <f t="shared" si="2"/>
        <v>39006_1-3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53</v>
      </c>
      <c r="L6" s="19">
        <v>1001</v>
      </c>
      <c r="M6" s="16" t="str">
        <f ca="1">VLOOKUP($L6,OFFSET([3]enemies!$A$1,0,0,COUNTA([3]enemies!$A:$A),MATCH(M$1,[3]enemies!$1:$1,0)-MATCH($L$1,[3]enemies!$1:$1,0)+1),MATCH(M$1,[3]enemies!$1:$1,0)-MATCH($L$1,[3]enemies!$1:$1,0)+1,FALSE)</f>
        <v>細愛の女神 クリスタ</v>
      </c>
      <c r="N6" s="16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10</v>
      </c>
      <c r="S6" s="24">
        <v>1</v>
      </c>
      <c r="T6" s="24">
        <v>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" s="4">
        <v>39006006</v>
      </c>
      <c r="X6" s="6">
        <v>0</v>
      </c>
      <c r="Y6" s="6">
        <v>35</v>
      </c>
      <c r="Z6" s="6">
        <v>1</v>
      </c>
      <c r="AA6" s="16">
        <f ca="1">VLOOKUP($L6,OFFSET([3]enemies!$A$1,0,0,COUNTA([3]enemies!$A:$A),MATCH(AA$1,[3]enemies!$1:$1,0)-MATCH($L$1,[3]enemies!$1:$1,0)+1),MATCH(AA$1,[3]enemies!$1:$1,0)-MATCH($L$1,[3]enemies!$1:$1,0)+1,FALSE)</f>
        <v>3</v>
      </c>
      <c r="AB6" s="23">
        <f t="shared" si="3"/>
        <v>1001</v>
      </c>
      <c r="AC6" s="11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細愛の女神 クリスタ</v>
      </c>
      <c r="AD6" s="11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11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3">
        <f t="shared" ca="1" si="4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6">
        <v>1</v>
      </c>
    </row>
    <row r="7" spans="1:40" ht="21" customHeight="1" x14ac:dyDescent="0.15">
      <c r="A7" s="15" t="str">
        <f t="shared" ref="A7:A11" ca="1" si="5">B7&amp;"_"&amp;C7&amp;"-"&amp;G7&amp;"/"&amp;L7&amp;"&lt;lv"&amp;R7&amp;"&gt;s"&amp;AA7</f>
        <v>39006_1-3/999&lt;lv10&gt;s3</v>
      </c>
      <c r="B7" s="21">
        <v>39006</v>
      </c>
      <c r="C7" s="20">
        <v>1</v>
      </c>
      <c r="D7" s="2" t="str">
        <f t="shared" ref="D7:D11" si="6">B7&amp;"_"&amp;C7</f>
        <v>39006_1</v>
      </c>
      <c r="E7" s="4" t="str">
        <f ca="1">VLOOKUP($B7,OFFSET([2]quests!$A$1,0,0,COUNTA([2]quests!$A:$A),MATCH(E$1,[2]quests!$1:$1,0)-MATCH($B$1,[2]quests!$1:$1,0)+1),MATCH(E$1,[2]quests!$1:$1,0)-MATCH($B$1,[2]quests!$1:$1,0)+1,FALSE)</f>
        <v>シガンシナ区攻防戦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【初級】シガンシナ区攻防戦</v>
      </c>
      <c r="G7" s="20">
        <v>3</v>
      </c>
      <c r="H7" s="14" t="str">
        <f t="shared" ref="H7:H11" si="7">B7&amp;"_"&amp;C7&amp;"-"&amp;G7</f>
        <v>39006_1-3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 t="s">
        <v>53</v>
      </c>
      <c r="L7" s="19">
        <v>999</v>
      </c>
      <c r="M7" s="16" t="str">
        <f ca="1">VLOOKUP($L7,OFFSET([3]enemies!$A$1,0,0,COUNTA([3]enemies!$A:$A),MATCH(M$1,[3]enemies!$1:$1,0)-MATCH($L$1,[3]enemies!$1:$1,0)+1),MATCH(M$1,[3]enemies!$1:$1,0)-MATCH($L$1,[3]enemies!$1:$1,0)+1,FALSE)</f>
        <v>無尽蔵の食猟 サシャ</v>
      </c>
      <c r="N7" s="16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10</v>
      </c>
      <c r="S7" s="24">
        <v>1</v>
      </c>
      <c r="T7" s="24">
        <v>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" s="4">
        <v>39006007</v>
      </c>
      <c r="X7" s="6">
        <v>0</v>
      </c>
      <c r="Y7" s="6">
        <v>30</v>
      </c>
      <c r="Z7" s="6">
        <v>1</v>
      </c>
      <c r="AA7" s="16">
        <f ca="1">VLOOKUP($L7,OFFSET([3]enemies!$A$1,0,0,COUNTA([3]enemies!$A:$A),MATCH(AA$1,[3]enemies!$1:$1,0)-MATCH($L$1,[3]enemies!$1:$1,0)+1),MATCH(AA$1,[3]enemies!$1:$1,0)-MATCH($L$1,[3]enemies!$1:$1,0)+1,FALSE)</f>
        <v>3</v>
      </c>
      <c r="AB7" s="23">
        <f t="shared" ref="AB7:AB9" si="8">L7</f>
        <v>999</v>
      </c>
      <c r="AC7" s="11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無尽蔵の食猟 サシャ</v>
      </c>
      <c r="AD7" s="11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11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3">
        <f t="shared" ref="AG7:AG11" ca="1" si="9">AD7</f>
        <v>5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6">
        <v>1</v>
      </c>
    </row>
    <row r="8" spans="1:40" ht="21" customHeight="1" x14ac:dyDescent="0.15">
      <c r="A8" s="15" t="str">
        <f t="shared" ca="1" si="5"/>
        <v>39006_1-3/1003&lt;lv10&gt;s3</v>
      </c>
      <c r="B8" s="21">
        <v>39006</v>
      </c>
      <c r="C8" s="20">
        <v>1</v>
      </c>
      <c r="D8" s="2" t="str">
        <f t="shared" si="6"/>
        <v>39006_1</v>
      </c>
      <c r="E8" s="4" t="str">
        <f ca="1">VLOOKUP($B8,OFFSET([2]quests!$A$1,0,0,COUNTA([2]quests!$A:$A),MATCH(E$1,[2]quests!$1:$1,0)-MATCH($B$1,[2]quests!$1:$1,0)+1),MATCH(E$1,[2]quests!$1:$1,0)-MATCH($B$1,[2]quests!$1:$1,0)+1,FALSE)</f>
        <v>シガンシナ区攻防戦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【初級】シガンシナ区攻防戦</v>
      </c>
      <c r="G8" s="20">
        <v>3</v>
      </c>
      <c r="H8" s="14" t="str">
        <f t="shared" si="7"/>
        <v>39006_1-3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 t="s">
        <v>53</v>
      </c>
      <c r="L8" s="19">
        <v>1003</v>
      </c>
      <c r="M8" s="16" t="str">
        <f ca="1">VLOOKUP($L8,OFFSET([3]enemies!$A$1,0,0,COUNTA([3]enemies!$A:$A),MATCH(M$1,[3]enemies!$1:$1,0)-MATCH($L$1,[3]enemies!$1:$1,0)+1),MATCH(M$1,[3]enemies!$1:$1,0)-MATCH($L$1,[3]enemies!$1:$1,0)+1,FALSE)</f>
        <v>真義の勇抱 ジャン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10</v>
      </c>
      <c r="S8" s="24">
        <v>1</v>
      </c>
      <c r="T8" s="24">
        <v>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8" s="4">
        <v>39006008</v>
      </c>
      <c r="X8" s="6">
        <v>0</v>
      </c>
      <c r="Y8" s="6">
        <v>20</v>
      </c>
      <c r="Z8" s="6">
        <v>1</v>
      </c>
      <c r="AA8" s="16">
        <f ca="1">VLOOKUP($L8,OFFSET([3]enemies!$A$1,0,0,COUNTA([3]enemies!$A:$A),MATCH(AA$1,[3]enemies!$1:$1,0)-MATCH($L$1,[3]enemies!$1:$1,0)+1),MATCH(AA$1,[3]enemies!$1:$1,0)-MATCH($L$1,[3]enemies!$1:$1,0)+1,FALSE)</f>
        <v>3</v>
      </c>
      <c r="AB8" s="23">
        <f t="shared" si="8"/>
        <v>1003</v>
      </c>
      <c r="AC8" s="11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真義の勇抱 ジャン</v>
      </c>
      <c r="AD8" s="114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11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3">
        <f t="shared" ca="1" si="9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6">
        <v>1</v>
      </c>
    </row>
    <row r="9" spans="1:40" ht="21" customHeight="1" x14ac:dyDescent="0.15">
      <c r="A9" s="15" t="str">
        <f t="shared" ca="1" si="5"/>
        <v>39006_1-3/978&lt;lv10&gt;s3</v>
      </c>
      <c r="B9" s="21">
        <v>39006</v>
      </c>
      <c r="C9" s="20">
        <v>1</v>
      </c>
      <c r="D9" s="2" t="str">
        <f t="shared" si="6"/>
        <v>39006_1</v>
      </c>
      <c r="E9" s="4" t="str">
        <f ca="1">VLOOKUP($B9,OFFSET([2]quests!$A$1,0,0,COUNTA([2]quests!$A:$A),MATCH(E$1,[2]quests!$1:$1,0)-MATCH($B$1,[2]quests!$1:$1,0)+1),MATCH(E$1,[2]quests!$1:$1,0)-MATCH($B$1,[2]quests!$1:$1,0)+1,FALSE)</f>
        <v>シガンシナ区攻防戦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【初級】シガンシナ区攻防戦</v>
      </c>
      <c r="G9" s="20">
        <v>3</v>
      </c>
      <c r="H9" s="14" t="str">
        <f t="shared" si="7"/>
        <v>39006_1-3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 t="s">
        <v>53</v>
      </c>
      <c r="L9" s="19">
        <v>978</v>
      </c>
      <c r="M9" s="16" t="str">
        <f ca="1">VLOOKUP($L9,OFFSET([3]enemies!$A$1,0,0,COUNTA([3]enemies!$A:$A),MATCH(M$1,[3]enemies!$1:$1,0)-MATCH($L$1,[3]enemies!$1:$1,0)+1),MATCH(M$1,[3]enemies!$1:$1,0)-MATCH($L$1,[3]enemies!$1:$1,0)+1,FALSE)</f>
        <v>潔癖の掃討 リヴァイ お掃除ver</v>
      </c>
      <c r="N9" s="16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10</v>
      </c>
      <c r="S9" s="24">
        <v>1.5</v>
      </c>
      <c r="T9" s="24">
        <v>1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9" s="4">
        <v>39006009</v>
      </c>
      <c r="X9" s="6">
        <v>0</v>
      </c>
      <c r="Y9" s="6">
        <v>15</v>
      </c>
      <c r="Z9" s="6">
        <v>1</v>
      </c>
      <c r="AA9" s="16">
        <f ca="1">VLOOKUP($L9,OFFSET([3]enemies!$A$1,0,0,COUNTA([3]enemies!$A:$A),MATCH(AA$1,[3]enemies!$1:$1,0)-MATCH($L$1,[3]enemies!$1:$1,0)+1),MATCH(AA$1,[3]enemies!$1:$1,0)-MATCH($L$1,[3]enemies!$1:$1,0)+1,FALSE)</f>
        <v>3</v>
      </c>
      <c r="AB9" s="23">
        <f t="shared" si="8"/>
        <v>978</v>
      </c>
      <c r="AC9" s="11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潔癖の掃討 リヴァイ お掃除ver</v>
      </c>
      <c r="AD9" s="11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11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Drop2N</v>
      </c>
      <c r="AF9" s="7">
        <v>1</v>
      </c>
      <c r="AG9" s="23">
        <f t="shared" ca="1" si="9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6">
        <v>1</v>
      </c>
    </row>
    <row r="10" spans="1:40" ht="21" customHeight="1" x14ac:dyDescent="0.15">
      <c r="A10" s="15" t="str">
        <f t="shared" ca="1" si="5"/>
        <v>39006_1-4/982&lt;lv10&gt;s3</v>
      </c>
      <c r="B10" s="21">
        <v>39006</v>
      </c>
      <c r="C10" s="20">
        <v>1</v>
      </c>
      <c r="D10" s="2" t="str">
        <f t="shared" si="6"/>
        <v>39006_1</v>
      </c>
      <c r="E10" s="4" t="str">
        <f ca="1">VLOOKUP($B10,OFFSET([2]quests!$A$1,0,0,COUNTA([2]quests!$A:$A),MATCH(E$1,[2]quests!$1:$1,0)-MATCH($B$1,[2]quests!$1:$1,0)+1),MATCH(E$1,[2]quests!$1:$1,0)-MATCH($B$1,[2]quests!$1:$1,0)+1,FALSE)</f>
        <v>シガンシナ区攻防戦</v>
      </c>
      <c r="F10" s="4" t="str">
        <f ca="1">VLOOKUP($D10,OFFSET([2]stages!$A$1,0,0,COUNTA([2]stages!$A:$A),MATCH(F$1,[2]stages!$2:$2,0)-MATCH($D$1,[2]stages!$2:$2,0)+1),MATCH(F$1,[2]stages!$2:$2,0)-MATCH($D$1,[2]stages!$2:$2,0)+1,FALSE)</f>
        <v>【初級】シガンシナ区攻防戦</v>
      </c>
      <c r="G10" s="20">
        <v>4</v>
      </c>
      <c r="H10" s="14" t="str">
        <f t="shared" si="7"/>
        <v>39006_1-4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6">
        <v>1</v>
      </c>
      <c r="L10" s="19">
        <v>982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柔靭なる剛脚 女型の巨人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ti</v>
      </c>
      <c r="Q10" s="16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10</v>
      </c>
      <c r="S10" s="24">
        <v>1.5</v>
      </c>
      <c r="T10" s="24">
        <v>1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0" s="4">
        <v>39006018</v>
      </c>
      <c r="X10" s="6">
        <v>0</v>
      </c>
      <c r="Y10" s="6">
        <v>50</v>
      </c>
      <c r="Z10" s="6">
        <v>1</v>
      </c>
      <c r="AA10" s="16">
        <f ca="1">VLOOKUP($L10,OFFSET([3]enemies!$A$1,0,0,COUNTA([3]enemies!$A:$A),MATCH(AA$1,[3]enemies!$1:$1,0)-MATCH($L$1,[3]enemies!$1:$1,0)+1),MATCH(AA$1,[3]enemies!$1:$1,0)-MATCH($L$1,[3]enemies!$1:$1,0)+1,FALSE)</f>
        <v>3</v>
      </c>
      <c r="AB10" s="23">
        <v>981</v>
      </c>
      <c r="AC10" s="11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10" s="11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11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7">
        <v>1</v>
      </c>
      <c r="AG10" s="23">
        <f t="shared" ca="1" si="9"/>
        <v>4</v>
      </c>
      <c r="AH10" s="8">
        <v>10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6">
        <v>1</v>
      </c>
    </row>
    <row r="11" spans="1:40" ht="21" customHeight="1" thickBot="1" x14ac:dyDescent="0.2">
      <c r="A11" s="100" t="str">
        <f t="shared" ca="1" si="5"/>
        <v>39006_1-4/984&lt;lv10&gt;s3</v>
      </c>
      <c r="B11" s="101">
        <v>39006</v>
      </c>
      <c r="C11" s="102">
        <v>1</v>
      </c>
      <c r="D11" s="103" t="str">
        <f t="shared" si="6"/>
        <v>39006_1</v>
      </c>
      <c r="E11" s="104" t="str">
        <f ca="1">VLOOKUP($B11,OFFSET([2]quests!$A$1,0,0,COUNTA([2]quests!$A:$A),MATCH(E$1,[2]quests!$1:$1,0)-MATCH($B$1,[2]quests!$1:$1,0)+1),MATCH(E$1,[2]quests!$1:$1,0)-MATCH($B$1,[2]quests!$1:$1,0)+1,FALSE)</f>
        <v>シガンシナ区攻防戦</v>
      </c>
      <c r="F11" s="104" t="str">
        <f ca="1">VLOOKUP($D11,OFFSET([2]stages!$A$1,0,0,COUNTA([2]stages!$A:$A),MATCH(F$1,[2]stages!$2:$2,0)-MATCH($D$1,[2]stages!$2:$2,0)+1),MATCH(F$1,[2]stages!$2:$2,0)-MATCH($D$1,[2]stages!$2:$2,0)+1,FALSE)</f>
        <v>【初級】シガンシナ区攻防戦</v>
      </c>
      <c r="G11" s="102">
        <v>4</v>
      </c>
      <c r="H11" s="103" t="str">
        <f t="shared" si="7"/>
        <v>39006_1-4</v>
      </c>
      <c r="I11" s="104">
        <f ca="1">VLOOKUP($H11,OFFSET(floors!$A$1,0,0,COUNTA(floors!$A:$A),MATCH(I$1,floors!$1:$1,0)-MATCH($H$1,floors!$1:$1,0)+1),MATCH(I$1,floors!$1:$1,0)-MATCH($H$1,floors!$1:$1,0)+1,FALSE)</f>
        <v>60</v>
      </c>
      <c r="J11" s="104">
        <f ca="1">VLOOKUP($H11,OFFSET(floors!$A$1,0,0,COUNTA(floors!$A:$A),MATCH(J$1,floors!$1:$1,0)-MATCH($H$1,floors!$1:$1,0)+1),MATCH(J$1,floors!$1:$1,0)-MATCH($H$1,floors!$1:$1,0)+1,FALSE)</f>
        <v>60</v>
      </c>
      <c r="K11" s="105">
        <v>2</v>
      </c>
      <c r="L11" s="106">
        <v>984</v>
      </c>
      <c r="M11" s="107" t="str">
        <f ca="1">VLOOKUP($L11,OFFSET([3]enemies!$A$1,0,0,COUNTA([3]enemies!$A:$A),MATCH(M$1,[3]enemies!$1:$1,0)-MATCH($L$1,[3]enemies!$1:$1,0)+1),MATCH(M$1,[3]enemies!$1:$1,0)-MATCH($L$1,[3]enemies!$1:$1,0)+1,FALSE)</f>
        <v>破壁の剛弾 鎧の巨人</v>
      </c>
      <c r="N11" s="10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0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07" t="str">
        <f ca="1">VLOOKUP($L11,OFFSET([3]enemies!$A$1,0,0,COUNTA([3]enemies!$A:$A),MATCH(P$1,[3]enemies!$1:$1,0)-MATCH($L$1,[3]enemies!$1:$1,0)+1),MATCH(P$1,[3]enemies!$1:$1,0)-MATCH($L$1,[3]enemies!$1:$1,0)+1,FALSE)</f>
        <v>ti</v>
      </c>
      <c r="Q11" s="10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10</v>
      </c>
      <c r="S11" s="109">
        <v>1.5</v>
      </c>
      <c r="T11" s="109">
        <v>1</v>
      </c>
      <c r="U11" s="108">
        <v>0</v>
      </c>
      <c r="V11" s="10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1" s="104">
        <v>39006026</v>
      </c>
      <c r="X11" s="110">
        <v>0</v>
      </c>
      <c r="Y11" s="110">
        <v>50</v>
      </c>
      <c r="Z11" s="110">
        <v>1</v>
      </c>
      <c r="AA11" s="107">
        <f ca="1">VLOOKUP($L11,OFFSET([3]enemies!$A$1,0,0,COUNTA([3]enemies!$A:$A),MATCH(AA$1,[3]enemies!$1:$1,0)-MATCH($L$1,[3]enemies!$1:$1,0)+1),MATCH(AA$1,[3]enemies!$1:$1,0)-MATCH($L$1,[3]enemies!$1:$1,0)+1,FALSE)</f>
        <v>3</v>
      </c>
      <c r="AB11" s="111">
        <v>983</v>
      </c>
      <c r="AC11" s="115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11" s="115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115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" s="7">
        <v>1</v>
      </c>
      <c r="AG11" s="111">
        <f t="shared" ca="1" si="9"/>
        <v>4</v>
      </c>
      <c r="AH11" s="8">
        <v>10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6">
        <v>1</v>
      </c>
    </row>
    <row r="12" spans="1:40" ht="21" customHeight="1" x14ac:dyDescent="0.15">
      <c r="A12" s="15" t="str">
        <f ca="1">B12&amp;"_"&amp;C12&amp;"-"&amp;G12&amp;"/"&amp;L12&amp;"&lt;lv"&amp;R12&amp;"&gt;s"&amp;AA12</f>
        <v>39006_2-1/983&lt;lv20&gt;s3</v>
      </c>
      <c r="B12" s="21">
        <v>39006</v>
      </c>
      <c r="C12" s="92">
        <v>2</v>
      </c>
      <c r="D12" s="93" t="str">
        <f>B12&amp;"_"&amp;C12</f>
        <v>39006_2</v>
      </c>
      <c r="E12" s="4" t="str">
        <f ca="1">VLOOKUP($B12,OFFSET([2]quests!$A$1,0,0,COUNTA([2]quests!$A:$A),MATCH(E$1,[2]quests!$1:$1,0)-MATCH($B$1,[2]quests!$1:$1,0)+1),MATCH(E$1,[2]quests!$1:$1,0)-MATCH($B$1,[2]quests!$1:$1,0)+1,FALSE)</f>
        <v>シガンシナ区攻防戦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【中級】シガンシナ区攻防戦</v>
      </c>
      <c r="G12" s="92">
        <v>1</v>
      </c>
      <c r="H12" s="93" t="str">
        <f>B12&amp;"_"&amp;C12&amp;"-"&amp;G12</f>
        <v>39006_2-1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94" t="s">
        <v>53</v>
      </c>
      <c r="L12" s="95">
        <v>983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鎧の巨人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ti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96">
        <v>20</v>
      </c>
      <c r="S12" s="97">
        <v>1.5</v>
      </c>
      <c r="T12" s="97">
        <v>1</v>
      </c>
      <c r="U12" s="96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2" s="4">
        <v>39006002</v>
      </c>
      <c r="X12" s="6">
        <v>0</v>
      </c>
      <c r="Y12" s="6">
        <v>100</v>
      </c>
      <c r="Z12" s="6">
        <v>1</v>
      </c>
      <c r="AA12" s="16">
        <f ca="1">VLOOKUP($L12,OFFSET([3]enemies!$A$1,0,0,COUNTA([3]enemies!$A:$A),MATCH(AA$1,[3]enemies!$1:$1,0)-MATCH($L$1,[3]enemies!$1:$1,0)+1),MATCH(AA$1,[3]enemies!$1:$1,0)-MATCH($L$1,[3]enemies!$1:$1,0)+1,FALSE)</f>
        <v>3</v>
      </c>
      <c r="AB12" s="98">
        <f>L12</f>
        <v>983</v>
      </c>
      <c r="AC12" s="11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12" s="11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11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Drop2N</v>
      </c>
      <c r="AF12" s="99">
        <v>1</v>
      </c>
      <c r="AG12" s="98">
        <f ca="1">AD12</f>
        <v>4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6">
        <v>1</v>
      </c>
    </row>
    <row r="13" spans="1:40" ht="21" customHeight="1" x14ac:dyDescent="0.15">
      <c r="A13" s="15" t="str">
        <f t="shared" ref="A13:A20" ca="1" si="10">B13&amp;"_"&amp;C13&amp;"-"&amp;G13&amp;"/"&amp;L13&amp;"&lt;lv"&amp;R13&amp;"&gt;s"&amp;AA13</f>
        <v>39006_2-2/981&lt;lv20&gt;s3</v>
      </c>
      <c r="B13" s="21">
        <v>39006</v>
      </c>
      <c r="C13" s="20">
        <v>2</v>
      </c>
      <c r="D13" s="2" t="str">
        <f t="shared" ref="D13:D20" si="11">B13&amp;"_"&amp;C13</f>
        <v>39006_2</v>
      </c>
      <c r="E13" s="4" t="str">
        <f ca="1">VLOOKUP($B13,OFFSET([2]quests!$A$1,0,0,COUNTA([2]quests!$A:$A),MATCH(E$1,[2]quests!$1:$1,0)-MATCH($B$1,[2]quests!$1:$1,0)+1),MATCH(E$1,[2]quests!$1:$1,0)-MATCH($B$1,[2]quests!$1:$1,0)+1,FALSE)</f>
        <v>シガンシナ区攻防戦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【中級】シガンシナ区攻防戦</v>
      </c>
      <c r="G13" s="20">
        <v>2</v>
      </c>
      <c r="H13" s="14" t="str">
        <f t="shared" ref="H13:H20" si="12">B13&amp;"_"&amp;C13&amp;"-"&amp;G13</f>
        <v>39006_2-2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6" t="s">
        <v>53</v>
      </c>
      <c r="L13" s="19">
        <v>981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女型の巨人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ti</v>
      </c>
      <c r="Q13" s="16">
        <f ca="1">VLOOKUP($L13,OFFSET([3]enemies!$A$1,0,0,COUNTA([3]enemies!$A:$A),MATCH(Q$1,[3]enemies!$1:$1,0)-MATCH($L$1,[3]enemies!$1:$1,0)+1),MATCH(Q$1,[3]enemies!$1:$1,0)-MATCH($L$1,[3]enemies!$1:$1,0)+1,FALSE)</f>
        <v>30</v>
      </c>
      <c r="R13" s="96">
        <v>20</v>
      </c>
      <c r="S13" s="24">
        <v>1.5</v>
      </c>
      <c r="T13" s="24">
        <v>1</v>
      </c>
      <c r="U13" s="5">
        <v>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3" s="4">
        <v>39006005</v>
      </c>
      <c r="X13" s="6">
        <v>0</v>
      </c>
      <c r="Y13" s="6">
        <v>100</v>
      </c>
      <c r="Z13" s="6">
        <v>1</v>
      </c>
      <c r="AA13" s="16">
        <f ca="1">VLOOKUP($L13,OFFSET([3]enemies!$A$1,0,0,COUNTA([3]enemies!$A:$A),MATCH(AA$1,[3]enemies!$1:$1,0)-MATCH($L$1,[3]enemies!$1:$1,0)+1),MATCH(AA$1,[3]enemies!$1:$1,0)-MATCH($L$1,[3]enemies!$1:$1,0)+1,FALSE)</f>
        <v>3</v>
      </c>
      <c r="AB13" s="23">
        <f t="shared" ref="AB13:AB18" si="13">L13</f>
        <v>981</v>
      </c>
      <c r="AC13" s="11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13" s="11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11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99">
        <v>1</v>
      </c>
      <c r="AG13" s="23">
        <f t="shared" ref="AG13:AG20" ca="1" si="14">AD13</f>
        <v>4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6">
        <v>1</v>
      </c>
    </row>
    <row r="14" spans="1:40" ht="21" customHeight="1" x14ac:dyDescent="0.15">
      <c r="A14" s="15" t="str">
        <f t="shared" ca="1" si="10"/>
        <v>39006_2-2/8&lt;lv20&gt;s2</v>
      </c>
      <c r="B14" s="21">
        <v>39006</v>
      </c>
      <c r="C14" s="20">
        <v>2</v>
      </c>
      <c r="D14" s="2" t="str">
        <f t="shared" si="11"/>
        <v>39006_2</v>
      </c>
      <c r="E14" s="4" t="str">
        <f ca="1">VLOOKUP($B14,OFFSET([2]quests!$A$1,0,0,COUNTA([2]quests!$A:$A),MATCH(E$1,[2]quests!$1:$1,0)-MATCH($B$1,[2]quests!$1:$1,0)+1),MATCH(E$1,[2]quests!$1:$1,0)-MATCH($B$1,[2]quests!$1:$1,0)+1,FALSE)</f>
        <v>シガンシナ区攻防戦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【中級】シガンシナ区攻防戦</v>
      </c>
      <c r="G14" s="20">
        <v>2</v>
      </c>
      <c r="H14" s="14" t="str">
        <f t="shared" si="12"/>
        <v>39006_2-2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6" t="s">
        <v>53</v>
      </c>
      <c r="L14" s="19">
        <v>8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ハイボルテージ エレキポット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Drop1T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6">
        <f ca="1">VLOOKUP($L14,OFFSET([3]enemies!$A$1,0,0,COUNTA([3]enemies!$A:$A),MATCH(Q$1,[3]enemies!$1:$1,0)-MATCH($L$1,[3]enemies!$1:$1,0)+1),MATCH(Q$1,[3]enemies!$1:$1,0)-MATCH($L$1,[3]enemies!$1:$1,0)+1,FALSE)</f>
        <v>15</v>
      </c>
      <c r="R14" s="96">
        <v>20</v>
      </c>
      <c r="S14" s="24">
        <v>1.5</v>
      </c>
      <c r="T14" s="24">
        <v>1</v>
      </c>
      <c r="U14" s="5">
        <v>0</v>
      </c>
      <c r="V14" s="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1</v>
      </c>
      <c r="Y14" s="6">
        <v>100</v>
      </c>
      <c r="Z14" s="6">
        <v>0</v>
      </c>
      <c r="AA14" s="16">
        <f ca="1">VLOOKUP($L14,OFFSET([3]enemies!$A$1,0,0,COUNTA([3]enemies!$A:$A),MATCH(AA$1,[3]enemies!$1:$1,0)-MATCH($L$1,[3]enemies!$1:$1,0)+1),MATCH(AA$1,[3]enemies!$1:$1,0)-MATCH($L$1,[3]enemies!$1:$1,0)+1,FALSE)</f>
        <v>2</v>
      </c>
      <c r="AB14" s="23">
        <f t="shared" si="13"/>
        <v>8</v>
      </c>
      <c r="AC14" s="11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14" s="11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11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Drop1T</v>
      </c>
      <c r="AF14" s="99">
        <v>1</v>
      </c>
      <c r="AG14" s="23">
        <f t="shared" ca="1" si="14"/>
        <v>2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6">
        <v>1</v>
      </c>
    </row>
    <row r="15" spans="1:40" ht="21" customHeight="1" x14ac:dyDescent="0.15">
      <c r="A15" s="15" t="str">
        <f t="shared" ca="1" si="10"/>
        <v>39006_2-2/35&lt;lv20&gt;s4</v>
      </c>
      <c r="B15" s="21">
        <v>39006</v>
      </c>
      <c r="C15" s="20">
        <v>2</v>
      </c>
      <c r="D15" s="2" t="str">
        <f t="shared" si="11"/>
        <v>39006_2</v>
      </c>
      <c r="E15" s="4" t="str">
        <f ca="1">VLOOKUP($B15,OFFSET([2]quests!$A$1,0,0,COUNTA([2]quests!$A:$A),MATCH(E$1,[2]quests!$1:$1,0)-MATCH($B$1,[2]quests!$1:$1,0)+1),MATCH(E$1,[2]quests!$1:$1,0)-MATCH($B$1,[2]quests!$1:$1,0)+1,FALSE)</f>
        <v>シガンシナ区攻防戦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【中級】シガンシナ区攻防戦</v>
      </c>
      <c r="G15" s="20">
        <v>2</v>
      </c>
      <c r="H15" s="14" t="str">
        <f t="shared" si="12"/>
        <v>39006_2-2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6" t="s">
        <v>53</v>
      </c>
      <c r="L15" s="19">
        <v>35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F2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6">
        <f ca="1">VLOOKUP($L15,OFFSET([3]enemies!$A$1,0,0,COUNTA([3]enemies!$A:$A),MATCH(Q$1,[3]enemies!$1:$1,0)-MATCH($L$1,[3]enemies!$1:$1,0)+1),MATCH(Q$1,[3]enemies!$1:$1,0)-MATCH($L$1,[3]enemies!$1:$1,0)+1,FALSE)</f>
        <v>15</v>
      </c>
      <c r="R15" s="96">
        <v>20</v>
      </c>
      <c r="S15" s="24">
        <v>1.5</v>
      </c>
      <c r="T15" s="24">
        <v>1</v>
      </c>
      <c r="U15" s="5">
        <v>0</v>
      </c>
      <c r="V15" s="4" t="e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5" s="118">
        <v>39006031</v>
      </c>
      <c r="X15" s="6">
        <v>1</v>
      </c>
      <c r="Y15" s="6">
        <v>100</v>
      </c>
      <c r="Z15" s="6">
        <v>0</v>
      </c>
      <c r="AA15" s="16">
        <f ca="1">VLOOKUP($L15,OFFSET([3]enemies!$A$1,0,0,COUNTA([3]enemies!$A:$A),MATCH(AA$1,[3]enemies!$1:$1,0)-MATCH($L$1,[3]enemies!$1:$1,0)+1),MATCH(AA$1,[3]enemies!$1:$1,0)-MATCH($L$1,[3]enemies!$1:$1,0)+1,FALSE)</f>
        <v>4</v>
      </c>
      <c r="AB15" s="23">
        <f t="shared" si="13"/>
        <v>35</v>
      </c>
      <c r="AC15" s="11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F2</v>
      </c>
      <c r="AD15" s="11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11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99">
        <v>1</v>
      </c>
      <c r="AG15" s="23">
        <f t="shared" ca="1" si="14"/>
        <v>2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6">
        <v>1</v>
      </c>
    </row>
    <row r="16" spans="1:40" ht="21" customHeight="1" x14ac:dyDescent="0.15">
      <c r="A16" s="15" t="str">
        <f t="shared" ca="1" si="10"/>
        <v>39006_2-3/985&lt;lv20&gt;s3</v>
      </c>
      <c r="B16" s="21">
        <v>39006</v>
      </c>
      <c r="C16" s="20">
        <v>2</v>
      </c>
      <c r="D16" s="2" t="str">
        <f t="shared" si="11"/>
        <v>39006_2</v>
      </c>
      <c r="E16" s="4" t="str">
        <f ca="1">VLOOKUP($B16,OFFSET([2]quests!$A$1,0,0,COUNTA([2]quests!$A:$A),MATCH(E$1,[2]quests!$1:$1,0)-MATCH($B$1,[2]quests!$1:$1,0)+1),MATCH(E$1,[2]quests!$1:$1,0)-MATCH($B$1,[2]quests!$1:$1,0)+1,FALSE)</f>
        <v>シガンシナ区攻防戦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【中級】シガンシナ区攻防戦</v>
      </c>
      <c r="G16" s="20">
        <v>3</v>
      </c>
      <c r="H16" s="14" t="str">
        <f t="shared" si="12"/>
        <v>39006_2-3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6" t="s">
        <v>53</v>
      </c>
      <c r="L16" s="19">
        <v>985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エレン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PremiumSS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6">
        <f ca="1">VLOOKUP($L16,OFFSET([3]enemies!$A$1,0,0,COUNTA([3]enemies!$A:$A),MATCH(Q$1,[3]enemies!$1:$1,0)-MATCH($L$1,[3]enemies!$1:$1,0)+1),MATCH(Q$1,[3]enemies!$1:$1,0)-MATCH($L$1,[3]enemies!$1:$1,0)+1,FALSE)</f>
        <v>60</v>
      </c>
      <c r="R16" s="96">
        <v>20</v>
      </c>
      <c r="S16" s="24">
        <v>1</v>
      </c>
      <c r="T16" s="24">
        <v>1</v>
      </c>
      <c r="U16" s="5">
        <v>0</v>
      </c>
      <c r="V16" s="4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6" s="4">
        <v>39006012</v>
      </c>
      <c r="X16" s="6">
        <v>0</v>
      </c>
      <c r="Y16" s="6">
        <v>40</v>
      </c>
      <c r="Z16" s="6">
        <v>1</v>
      </c>
      <c r="AA16" s="16">
        <f ca="1">VLOOKUP($L16,OFFSET([3]enemies!$A$1,0,0,COUNTA([3]enemies!$A:$A),MATCH(AA$1,[3]enemies!$1:$1,0)-MATCH($L$1,[3]enemies!$1:$1,0)+1),MATCH(AA$1,[3]enemies!$1:$1,0)-MATCH($L$1,[3]enemies!$1:$1,0)+1,FALSE)</f>
        <v>3</v>
      </c>
      <c r="AB16" s="23">
        <f t="shared" si="13"/>
        <v>985</v>
      </c>
      <c r="AC16" s="11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エレン</v>
      </c>
      <c r="AD16" s="114">
        <f ca="1">VLOOKUP($AB16,OFFSET([4]characters!$A$1,0,0,COUNTA([4]characters!$A:$A),MATCH(AD$1,[4]characters!$1:$1,0)-MATCH("character_id",[4]characters!$1:$1,0)+1),MATCH(AD$1,[4]characters!$1:$1,0)-MATCH("character_id",[4]characters!$1:$1,0)+1,FALSE)</f>
        <v>5</v>
      </c>
      <c r="AE16" s="11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6" s="99">
        <v>1</v>
      </c>
      <c r="AG16" s="23">
        <f t="shared" ca="1" si="14"/>
        <v>5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6">
        <v>1</v>
      </c>
    </row>
    <row r="17" spans="1:40" ht="21" customHeight="1" x14ac:dyDescent="0.15">
      <c r="A17" s="15" t="str">
        <f t="shared" ca="1" si="10"/>
        <v>39006_2-3/988&lt;lv20&gt;s3</v>
      </c>
      <c r="B17" s="21">
        <v>39006</v>
      </c>
      <c r="C17" s="20">
        <v>2</v>
      </c>
      <c r="D17" s="2" t="str">
        <f t="shared" si="11"/>
        <v>39006_2</v>
      </c>
      <c r="E17" s="4" t="str">
        <f ca="1">VLOOKUP($B17,OFFSET([2]quests!$A$1,0,0,COUNTA([2]quests!$A:$A),MATCH(E$1,[2]quests!$1:$1,0)-MATCH($B$1,[2]quests!$1:$1,0)+1),MATCH(E$1,[2]quests!$1:$1,0)-MATCH($B$1,[2]quests!$1:$1,0)+1,FALSE)</f>
        <v>シガンシナ区攻防戦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【中級】シガンシナ区攻防戦</v>
      </c>
      <c r="G17" s="20">
        <v>3</v>
      </c>
      <c r="H17" s="14" t="str">
        <f t="shared" si="12"/>
        <v>39006_2-3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6" t="s">
        <v>53</v>
      </c>
      <c r="L17" s="19">
        <v>988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ミカサ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PremiumSS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6">
        <f ca="1">VLOOKUP($L17,OFFSET([3]enemies!$A$1,0,0,COUNTA([3]enemies!$A:$A),MATCH(Q$1,[3]enemies!$1:$1,0)-MATCH($L$1,[3]enemies!$1:$1,0)+1),MATCH(Q$1,[3]enemies!$1:$1,0)-MATCH($L$1,[3]enemies!$1:$1,0)+1,FALSE)</f>
        <v>60</v>
      </c>
      <c r="R17" s="96">
        <v>20</v>
      </c>
      <c r="S17" s="24">
        <v>1</v>
      </c>
      <c r="T17" s="24">
        <v>1</v>
      </c>
      <c r="U17" s="5">
        <v>0</v>
      </c>
      <c r="V17" s="4" t="e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7" s="4">
        <v>39006011</v>
      </c>
      <c r="X17" s="6">
        <v>0</v>
      </c>
      <c r="Y17" s="6">
        <v>35</v>
      </c>
      <c r="Z17" s="6">
        <v>1</v>
      </c>
      <c r="AA17" s="16">
        <f ca="1">VLOOKUP($L17,OFFSET([3]enemies!$A$1,0,0,COUNTA([3]enemies!$A:$A),MATCH(AA$1,[3]enemies!$1:$1,0)-MATCH($L$1,[3]enemies!$1:$1,0)+1),MATCH(AA$1,[3]enemies!$1:$1,0)-MATCH($L$1,[3]enemies!$1:$1,0)+1,FALSE)</f>
        <v>3</v>
      </c>
      <c r="AB17" s="23">
        <f t="shared" si="13"/>
        <v>988</v>
      </c>
      <c r="AC17" s="11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ミカサ</v>
      </c>
      <c r="AD17" s="114">
        <f ca="1">VLOOKUP($AB17,OFFSET([4]characters!$A$1,0,0,COUNTA([4]characters!$A:$A),MATCH(AD$1,[4]characters!$1:$1,0)-MATCH("character_id",[4]characters!$1:$1,0)+1),MATCH(AD$1,[4]characters!$1:$1,0)-MATCH("character_id",[4]characters!$1:$1,0)+1,FALSE)</f>
        <v>5</v>
      </c>
      <c r="AE17" s="11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7" s="99">
        <v>1</v>
      </c>
      <c r="AG17" s="23">
        <f t="shared" ca="1" si="14"/>
        <v>5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6">
        <v>1</v>
      </c>
    </row>
    <row r="18" spans="1:40" ht="21" customHeight="1" x14ac:dyDescent="0.15">
      <c r="A18" s="15" t="str">
        <f t="shared" ca="1" si="10"/>
        <v>39006_2-3/995&lt;lv20&gt;s3</v>
      </c>
      <c r="B18" s="21">
        <v>39006</v>
      </c>
      <c r="C18" s="20">
        <v>2</v>
      </c>
      <c r="D18" s="2" t="str">
        <f t="shared" si="11"/>
        <v>39006_2</v>
      </c>
      <c r="E18" s="4" t="str">
        <f ca="1">VLOOKUP($B18,OFFSET([2]quests!$A$1,0,0,COUNTA([2]quests!$A:$A),MATCH(E$1,[2]quests!$1:$1,0)-MATCH($B$1,[2]quests!$1:$1,0)+1),MATCH(E$1,[2]quests!$1:$1,0)-MATCH($B$1,[2]quests!$1:$1,0)+1,FALSE)</f>
        <v>シガンシナ区攻防戦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【中級】シガンシナ区攻防戦</v>
      </c>
      <c r="G18" s="20">
        <v>3</v>
      </c>
      <c r="H18" s="14" t="str">
        <f t="shared" si="12"/>
        <v>39006_2-3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6" t="s">
        <v>53</v>
      </c>
      <c r="L18" s="19">
        <v>995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疾駆する閃略 アルミン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6">
        <f ca="1">VLOOKUP($L18,OFFSET([3]enemies!$A$1,0,0,COUNTA([3]enemies!$A:$A),MATCH(Q$1,[3]enemies!$1:$1,0)-MATCH($L$1,[3]enemies!$1:$1,0)+1),MATCH(Q$1,[3]enemies!$1:$1,0)-MATCH($L$1,[3]enemies!$1:$1,0)+1,FALSE)</f>
        <v>60</v>
      </c>
      <c r="R18" s="96">
        <v>20</v>
      </c>
      <c r="S18" s="24">
        <v>1</v>
      </c>
      <c r="T18" s="24">
        <v>1</v>
      </c>
      <c r="U18" s="5">
        <v>0</v>
      </c>
      <c r="V18" s="4" t="e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8" s="4">
        <v>39006010</v>
      </c>
      <c r="X18" s="6">
        <v>0</v>
      </c>
      <c r="Y18" s="6">
        <v>25</v>
      </c>
      <c r="Z18" s="6">
        <v>1</v>
      </c>
      <c r="AA18" s="16">
        <f ca="1">VLOOKUP($L18,OFFSET([3]enemies!$A$1,0,0,COUNTA([3]enemies!$A:$A),MATCH(AA$1,[3]enemies!$1:$1,0)-MATCH($L$1,[3]enemies!$1:$1,0)+1),MATCH(AA$1,[3]enemies!$1:$1,0)-MATCH($L$1,[3]enemies!$1:$1,0)+1,FALSE)</f>
        <v>3</v>
      </c>
      <c r="AB18" s="23">
        <f t="shared" si="13"/>
        <v>995</v>
      </c>
      <c r="AC18" s="11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疾駆する閃略 アルミン</v>
      </c>
      <c r="AD18" s="114">
        <f ca="1">VLOOKUP($AB18,OFFSET([4]characters!$A$1,0,0,COUNTA([4]characters!$A:$A),MATCH(AD$1,[4]characters!$1:$1,0)-MATCH("character_id",[4]characters!$1:$1,0)+1),MATCH(AD$1,[4]characters!$1:$1,0)-MATCH("character_id",[4]characters!$1:$1,0)+1,FALSE)</f>
        <v>5</v>
      </c>
      <c r="AE18" s="11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8" s="99">
        <v>1</v>
      </c>
      <c r="AG18" s="23">
        <f t="shared" ca="1" si="14"/>
        <v>5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6">
        <v>1</v>
      </c>
    </row>
    <row r="19" spans="1:40" ht="21" customHeight="1" x14ac:dyDescent="0.15">
      <c r="A19" s="15" t="str">
        <f t="shared" ca="1" si="10"/>
        <v>39006_2-4/982&lt;lv20&gt;s3</v>
      </c>
      <c r="B19" s="21">
        <v>39006</v>
      </c>
      <c r="C19" s="20">
        <v>2</v>
      </c>
      <c r="D19" s="2" t="str">
        <f t="shared" si="11"/>
        <v>39006_2</v>
      </c>
      <c r="E19" s="4" t="str">
        <f ca="1">VLOOKUP($B19,OFFSET([2]quests!$A$1,0,0,COUNTA([2]quests!$A:$A),MATCH(E$1,[2]quests!$1:$1,0)-MATCH($B$1,[2]quests!$1:$1,0)+1),MATCH(E$1,[2]quests!$1:$1,0)-MATCH($B$1,[2]quests!$1:$1,0)+1,FALSE)</f>
        <v>シガンシナ区攻防戦</v>
      </c>
      <c r="F19" s="4" t="str">
        <f ca="1">VLOOKUP($D19,OFFSET([2]stages!$A$1,0,0,COUNTA([2]stages!$A:$A),MATCH(F$1,[2]stages!$2:$2,0)-MATCH($D$1,[2]stages!$2:$2,0)+1),MATCH(F$1,[2]stages!$2:$2,0)-MATCH($D$1,[2]stages!$2:$2,0)+1,FALSE)</f>
        <v>【中級】シガンシナ区攻防戦</v>
      </c>
      <c r="G19" s="20">
        <v>4</v>
      </c>
      <c r="H19" s="14" t="str">
        <f t="shared" si="12"/>
        <v>39006_2-4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6">
        <v>3</v>
      </c>
      <c r="L19" s="19">
        <v>982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柔靭なる剛脚 女型の巨人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ti</v>
      </c>
      <c r="Q19" s="16">
        <f ca="1">VLOOKUP($L19,OFFSET([3]enemies!$A$1,0,0,COUNTA([3]enemies!$A:$A),MATCH(Q$1,[3]enemies!$1:$1,0)-MATCH($L$1,[3]enemies!$1:$1,0)+1),MATCH(Q$1,[3]enemies!$1:$1,0)-MATCH($L$1,[3]enemies!$1:$1,0)+1,FALSE)</f>
        <v>60</v>
      </c>
      <c r="R19" s="96">
        <v>20</v>
      </c>
      <c r="S19" s="24">
        <v>1.5</v>
      </c>
      <c r="T19" s="24">
        <v>1</v>
      </c>
      <c r="U19" s="5">
        <v>0</v>
      </c>
      <c r="V19" s="4" t="e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19" s="4">
        <v>39006019</v>
      </c>
      <c r="X19" s="6">
        <v>0</v>
      </c>
      <c r="Y19" s="6">
        <v>50</v>
      </c>
      <c r="Z19" s="6">
        <v>1</v>
      </c>
      <c r="AA19" s="16">
        <f ca="1">VLOOKUP($L19,OFFSET([3]enemies!$A$1,0,0,COUNTA([3]enemies!$A:$A),MATCH(AA$1,[3]enemies!$1:$1,0)-MATCH($L$1,[3]enemies!$1:$1,0)+1),MATCH(AA$1,[3]enemies!$1:$1,0)-MATCH($L$1,[3]enemies!$1:$1,0)+1,FALSE)</f>
        <v>3</v>
      </c>
      <c r="AB19" s="23">
        <v>981</v>
      </c>
      <c r="AC19" s="11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19" s="11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11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99">
        <v>1</v>
      </c>
      <c r="AG19" s="23">
        <f t="shared" ca="1" si="14"/>
        <v>4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6">
        <v>1</v>
      </c>
    </row>
    <row r="20" spans="1:40" ht="21" customHeight="1" thickBot="1" x14ac:dyDescent="0.2">
      <c r="A20" s="100" t="str">
        <f t="shared" ca="1" si="10"/>
        <v>39006_2-4/984&lt;lv20&gt;s3</v>
      </c>
      <c r="B20" s="101">
        <v>39006</v>
      </c>
      <c r="C20" s="102">
        <v>2</v>
      </c>
      <c r="D20" s="103" t="str">
        <f t="shared" si="11"/>
        <v>39006_2</v>
      </c>
      <c r="E20" s="104" t="str">
        <f ca="1">VLOOKUP($B20,OFFSET([2]quests!$A$1,0,0,COUNTA([2]quests!$A:$A),MATCH(E$1,[2]quests!$1:$1,0)-MATCH($B$1,[2]quests!$1:$1,0)+1),MATCH(E$1,[2]quests!$1:$1,0)-MATCH($B$1,[2]quests!$1:$1,0)+1,FALSE)</f>
        <v>シガンシナ区攻防戦</v>
      </c>
      <c r="F20" s="104" t="str">
        <f ca="1">VLOOKUP($D20,OFFSET([2]stages!$A$1,0,0,COUNTA([2]stages!$A:$A),MATCH(F$1,[2]stages!$2:$2,0)-MATCH($D$1,[2]stages!$2:$2,0)+1),MATCH(F$1,[2]stages!$2:$2,0)-MATCH($D$1,[2]stages!$2:$2,0)+1,FALSE)</f>
        <v>【中級】シガンシナ区攻防戦</v>
      </c>
      <c r="G20" s="102">
        <v>4</v>
      </c>
      <c r="H20" s="103" t="str">
        <f t="shared" si="12"/>
        <v>39006_2-4</v>
      </c>
      <c r="I20" s="104">
        <f ca="1">VLOOKUP($H20,OFFSET(floors!$A$1,0,0,COUNTA(floors!$A:$A),MATCH(I$1,floors!$1:$1,0)-MATCH($H$1,floors!$1:$1,0)+1),MATCH(I$1,floors!$1:$1,0)-MATCH($H$1,floors!$1:$1,0)+1,FALSE)</f>
        <v>60</v>
      </c>
      <c r="J20" s="104">
        <f ca="1">VLOOKUP($H20,OFFSET(floors!$A$1,0,0,COUNTA(floors!$A:$A),MATCH(J$1,floors!$1:$1,0)-MATCH($H$1,floors!$1:$1,0)+1),MATCH(J$1,floors!$1:$1,0)-MATCH($H$1,floors!$1:$1,0)+1,FALSE)</f>
        <v>60</v>
      </c>
      <c r="K20" s="105">
        <v>4</v>
      </c>
      <c r="L20" s="106">
        <v>984</v>
      </c>
      <c r="M20" s="107" t="str">
        <f ca="1">VLOOKUP($L20,OFFSET([3]enemies!$A$1,0,0,COUNTA([3]enemies!$A:$A),MATCH(M$1,[3]enemies!$1:$1,0)-MATCH($L$1,[3]enemies!$1:$1,0)+1),MATCH(M$1,[3]enemies!$1:$1,0)-MATCH($L$1,[3]enemies!$1:$1,0)+1,FALSE)</f>
        <v>破壁の剛弾 鎧の巨人</v>
      </c>
      <c r="N20" s="107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0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07" t="str">
        <f ca="1">VLOOKUP($L20,OFFSET([3]enemies!$A$1,0,0,COUNTA([3]enemies!$A:$A),MATCH(P$1,[3]enemies!$1:$1,0)-MATCH($L$1,[3]enemies!$1:$1,0)+1),MATCH(P$1,[3]enemies!$1:$1,0)-MATCH($L$1,[3]enemies!$1:$1,0)+1,FALSE)</f>
        <v>ti</v>
      </c>
      <c r="Q20" s="107">
        <f ca="1">VLOOKUP($L20,OFFSET([3]enemies!$A$1,0,0,COUNTA([3]enemies!$A:$A),MATCH(Q$1,[3]enemies!$1:$1,0)-MATCH($L$1,[3]enemies!$1:$1,0)+1),MATCH(Q$1,[3]enemies!$1:$1,0)-MATCH($L$1,[3]enemies!$1:$1,0)+1,FALSE)</f>
        <v>60</v>
      </c>
      <c r="R20" s="96">
        <v>20</v>
      </c>
      <c r="S20" s="109">
        <v>1.5</v>
      </c>
      <c r="T20" s="109">
        <v>1</v>
      </c>
      <c r="U20" s="108">
        <v>0</v>
      </c>
      <c r="V20" s="104" t="e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0" s="104">
        <v>39006027</v>
      </c>
      <c r="X20" s="110">
        <v>0</v>
      </c>
      <c r="Y20" s="110">
        <v>50</v>
      </c>
      <c r="Z20" s="110">
        <v>1</v>
      </c>
      <c r="AA20" s="107">
        <f ca="1">VLOOKUP($L20,OFFSET([3]enemies!$A$1,0,0,COUNTA([3]enemies!$A:$A),MATCH(AA$1,[3]enemies!$1:$1,0)-MATCH($L$1,[3]enemies!$1:$1,0)+1),MATCH(AA$1,[3]enemies!$1:$1,0)-MATCH($L$1,[3]enemies!$1:$1,0)+1,FALSE)</f>
        <v>3</v>
      </c>
      <c r="AB20" s="111">
        <v>983</v>
      </c>
      <c r="AC20" s="115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20" s="115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115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Drop2N</v>
      </c>
      <c r="AF20" s="99">
        <v>1</v>
      </c>
      <c r="AG20" s="111">
        <f t="shared" ca="1" si="14"/>
        <v>4</v>
      </c>
      <c r="AH20" s="8">
        <v>20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6">
        <v>1</v>
      </c>
    </row>
    <row r="21" spans="1:40" ht="21" customHeight="1" x14ac:dyDescent="0.15">
      <c r="A21" s="15" t="str">
        <f ca="1">B21&amp;"_"&amp;C21&amp;"-"&amp;G21&amp;"/"&amp;L21&amp;"&lt;lv"&amp;R21&amp;"&gt;s"&amp;AA21</f>
        <v>39006_3-1/983&lt;lv30&gt;s3</v>
      </c>
      <c r="B21" s="21">
        <v>39006</v>
      </c>
      <c r="C21" s="92">
        <v>3</v>
      </c>
      <c r="D21" s="93" t="str">
        <f>B21&amp;"_"&amp;C21</f>
        <v>39006_3</v>
      </c>
      <c r="E21" s="4" t="str">
        <f ca="1">VLOOKUP($B21,OFFSET([2]quests!$A$1,0,0,COUNTA([2]quests!$A:$A),MATCH(E$1,[2]quests!$1:$1,0)-MATCH($B$1,[2]quests!$1:$1,0)+1),MATCH(E$1,[2]quests!$1:$1,0)-MATCH($B$1,[2]quests!$1:$1,0)+1,FALSE)</f>
        <v>シガンシナ区攻防戦</v>
      </c>
      <c r="F21" s="4" t="str">
        <f ca="1">VLOOKUP($D21,OFFSET([2]stages!$A$1,0,0,COUNTA([2]stages!$A:$A),MATCH(F$1,[2]stages!$2:$2,0)-MATCH($D$1,[2]stages!$2:$2,0)+1),MATCH(F$1,[2]stages!$2:$2,0)-MATCH($D$1,[2]stages!$2:$2,0)+1,FALSE)</f>
        <v>【上級】シガンシナ区攻防戦</v>
      </c>
      <c r="G21" s="92">
        <v>1</v>
      </c>
      <c r="H21" s="93" t="str">
        <f>B21&amp;"_"&amp;C21&amp;"-"&amp;G21</f>
        <v>39006_3-1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94" t="s">
        <v>53</v>
      </c>
      <c r="L21" s="95">
        <v>983</v>
      </c>
      <c r="M21" s="16" t="str">
        <f ca="1">VLOOKUP($L21,OFFSET([3]enemies!$A$1,0,0,COUNTA([3]enemies!$A:$A),MATCH(M$1,[3]enemies!$1:$1,0)-MATCH($L$1,[3]enemies!$1:$1,0)+1),MATCH(M$1,[3]enemies!$1:$1,0)-MATCH($L$1,[3]enemies!$1:$1,0)+1,FALSE)</f>
        <v>鎧の巨人</v>
      </c>
      <c r="N21" s="16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6" t="str">
        <f ca="1">VLOOKUP($L21,OFFSET([4]characters!$A$1,0,0,COUNTA([4]characters!$A:$A),MATCH(O$1,[4]characters!$1:$1,0)-MATCH($L$1,[4]characters!$1:$1,0)+1),MATCH(O$1,[4]characters!$1:$1,0)-MATCH($L$1,[4]characters!$1:$1,0)+1,FALSE)</f>
        <v>Drop2N</v>
      </c>
      <c r="P21" s="16" t="str">
        <f ca="1">VLOOKUP($L21,OFFSET([3]enemies!$A$1,0,0,COUNTA([3]enemies!$A:$A),MATCH(P$1,[3]enemies!$1:$1,0)-MATCH($L$1,[3]enemies!$1:$1,0)+1),MATCH(P$1,[3]enemies!$1:$1,0)-MATCH($L$1,[3]enemies!$1:$1,0)+1,FALSE)</f>
        <v>ti</v>
      </c>
      <c r="Q21" s="16">
        <f ca="1">VLOOKUP($L21,OFFSET([3]enemies!$A$1,0,0,COUNTA([3]enemies!$A:$A),MATCH(Q$1,[3]enemies!$1:$1,0)-MATCH($L$1,[3]enemies!$1:$1,0)+1),MATCH(Q$1,[3]enemies!$1:$1,0)-MATCH($L$1,[3]enemies!$1:$1,0)+1,FALSE)</f>
        <v>30</v>
      </c>
      <c r="R21" s="96">
        <v>30</v>
      </c>
      <c r="S21" s="97">
        <v>2</v>
      </c>
      <c r="T21" s="97">
        <v>1</v>
      </c>
      <c r="U21" s="96">
        <v>0</v>
      </c>
      <c r="V21" s="4" t="e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1" s="4">
        <v>39006003</v>
      </c>
      <c r="X21" s="6">
        <v>0</v>
      </c>
      <c r="Y21" s="6">
        <v>100</v>
      </c>
      <c r="Z21" s="6">
        <v>1</v>
      </c>
      <c r="AA21" s="16">
        <f ca="1">VLOOKUP($L21,OFFSET([3]enemies!$A$1,0,0,COUNTA([3]enemies!$A:$A),MATCH(AA$1,[3]enemies!$1:$1,0)-MATCH($L$1,[3]enemies!$1:$1,0)+1),MATCH(AA$1,[3]enemies!$1:$1,0)-MATCH($L$1,[3]enemies!$1:$1,0)+1,FALSE)</f>
        <v>3</v>
      </c>
      <c r="AB21" s="98">
        <f>L21</f>
        <v>983</v>
      </c>
      <c r="AC21" s="11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21" s="114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11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Drop2N</v>
      </c>
      <c r="AF21" s="99">
        <v>1</v>
      </c>
      <c r="AG21" s="98">
        <f ca="1">AD21</f>
        <v>4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6">
        <v>1</v>
      </c>
    </row>
    <row r="22" spans="1:40" ht="21" customHeight="1" x14ac:dyDescent="0.15">
      <c r="A22" s="15" t="str">
        <f t="shared" ref="A22:A28" ca="1" si="15">B22&amp;"_"&amp;C22&amp;"-"&amp;G22&amp;"/"&amp;L22&amp;"&lt;lv"&amp;R22&amp;"&gt;s"&amp;AA22</f>
        <v>39006_3-2/981&lt;lv30&gt;s3</v>
      </c>
      <c r="B22" s="21">
        <v>39006</v>
      </c>
      <c r="C22" s="20">
        <v>3</v>
      </c>
      <c r="D22" s="2" t="str">
        <f t="shared" ref="D22:D28" si="16">B22&amp;"_"&amp;C22</f>
        <v>39006_3</v>
      </c>
      <c r="E22" s="4" t="str">
        <f ca="1">VLOOKUP($B22,OFFSET([2]quests!$A$1,0,0,COUNTA([2]quests!$A:$A),MATCH(E$1,[2]quests!$1:$1,0)-MATCH($B$1,[2]quests!$1:$1,0)+1),MATCH(E$1,[2]quests!$1:$1,0)-MATCH($B$1,[2]quests!$1:$1,0)+1,FALSE)</f>
        <v>シガンシナ区攻防戦</v>
      </c>
      <c r="F22" s="4" t="str">
        <f ca="1">VLOOKUP($D22,OFFSET([2]stages!$A$1,0,0,COUNTA([2]stages!$A:$A),MATCH(F$1,[2]stages!$2:$2,0)-MATCH($D$1,[2]stages!$2:$2,0)+1),MATCH(F$1,[2]stages!$2:$2,0)-MATCH($D$1,[2]stages!$2:$2,0)+1,FALSE)</f>
        <v>【上級】シガンシナ区攻防戦</v>
      </c>
      <c r="G22" s="20">
        <v>2</v>
      </c>
      <c r="H22" s="14" t="str">
        <f t="shared" ref="H22:H28" si="17">B22&amp;"_"&amp;C22&amp;"-"&amp;G22</f>
        <v>39006_3-2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6" t="s">
        <v>53</v>
      </c>
      <c r="L22" s="19">
        <v>981</v>
      </c>
      <c r="M22" s="16" t="str">
        <f ca="1">VLOOKUP($L22,OFFSET([3]enemies!$A$1,0,0,COUNTA([3]enemies!$A:$A),MATCH(M$1,[3]enemies!$1:$1,0)-MATCH($L$1,[3]enemies!$1:$1,0)+1),MATCH(M$1,[3]enemies!$1:$1,0)-MATCH($L$1,[3]enemies!$1:$1,0)+1,FALSE)</f>
        <v>女型の巨人</v>
      </c>
      <c r="N22" s="16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6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6" t="str">
        <f ca="1">VLOOKUP($L22,OFFSET([3]enemies!$A$1,0,0,COUNTA([3]enemies!$A:$A),MATCH(P$1,[3]enemies!$1:$1,0)-MATCH($L$1,[3]enemies!$1:$1,0)+1),MATCH(P$1,[3]enemies!$1:$1,0)-MATCH($L$1,[3]enemies!$1:$1,0)+1,FALSE)</f>
        <v>ti</v>
      </c>
      <c r="Q22" s="16">
        <f ca="1">VLOOKUP($L22,OFFSET([3]enemies!$A$1,0,0,COUNTA([3]enemies!$A:$A),MATCH(Q$1,[3]enemies!$1:$1,0)-MATCH($L$1,[3]enemies!$1:$1,0)+1),MATCH(Q$1,[3]enemies!$1:$1,0)-MATCH($L$1,[3]enemies!$1:$1,0)+1,FALSE)</f>
        <v>30</v>
      </c>
      <c r="R22" s="96">
        <v>30</v>
      </c>
      <c r="S22" s="24">
        <v>2</v>
      </c>
      <c r="T22" s="24">
        <v>1</v>
      </c>
      <c r="U22" s="5">
        <v>0</v>
      </c>
      <c r="V22" s="4" t="e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2" s="4">
        <v>39006005</v>
      </c>
      <c r="X22" s="6">
        <v>0</v>
      </c>
      <c r="Y22" s="6">
        <v>100</v>
      </c>
      <c r="Z22" s="6">
        <v>1</v>
      </c>
      <c r="AA22" s="16">
        <f ca="1">VLOOKUP($L22,OFFSET([3]enemies!$A$1,0,0,COUNTA([3]enemies!$A:$A),MATCH(AA$1,[3]enemies!$1:$1,0)-MATCH($L$1,[3]enemies!$1:$1,0)+1),MATCH(AA$1,[3]enemies!$1:$1,0)-MATCH($L$1,[3]enemies!$1:$1,0)+1,FALSE)</f>
        <v>3</v>
      </c>
      <c r="AB22" s="23">
        <f t="shared" ref="AB22:AB26" si="18">L22</f>
        <v>981</v>
      </c>
      <c r="AC22" s="11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22" s="11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11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2" s="99">
        <v>1</v>
      </c>
      <c r="AG22" s="23">
        <f t="shared" ref="AG22:AG28" ca="1" si="19">AD22</f>
        <v>4</v>
      </c>
      <c r="AH22" s="8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6">
        <v>1</v>
      </c>
    </row>
    <row r="23" spans="1:40" ht="21" customHeight="1" x14ac:dyDescent="0.15">
      <c r="A23" s="15" t="str">
        <f t="shared" ca="1" si="15"/>
        <v>39006_3-2/8&lt;lv30&gt;s2</v>
      </c>
      <c r="B23" s="21">
        <v>39006</v>
      </c>
      <c r="C23" s="20">
        <v>3</v>
      </c>
      <c r="D23" s="2" t="str">
        <f t="shared" si="16"/>
        <v>39006_3</v>
      </c>
      <c r="E23" s="4" t="str">
        <f ca="1">VLOOKUP($B23,OFFSET([2]quests!$A$1,0,0,COUNTA([2]quests!$A:$A),MATCH(E$1,[2]quests!$1:$1,0)-MATCH($B$1,[2]quests!$1:$1,0)+1),MATCH(E$1,[2]quests!$1:$1,0)-MATCH($B$1,[2]quests!$1:$1,0)+1,FALSE)</f>
        <v>シガンシナ区攻防戦</v>
      </c>
      <c r="F23" s="4" t="str">
        <f ca="1">VLOOKUP($D23,OFFSET([2]stages!$A$1,0,0,COUNTA([2]stages!$A:$A),MATCH(F$1,[2]stages!$2:$2,0)-MATCH($D$1,[2]stages!$2:$2,0)+1),MATCH(F$1,[2]stages!$2:$2,0)-MATCH($D$1,[2]stages!$2:$2,0)+1,FALSE)</f>
        <v>【上級】シガンシナ区攻防戦</v>
      </c>
      <c r="G23" s="20">
        <v>2</v>
      </c>
      <c r="H23" s="14" t="str">
        <f t="shared" si="17"/>
        <v>39006_3-2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6" t="s">
        <v>53</v>
      </c>
      <c r="L23" s="19">
        <v>8</v>
      </c>
      <c r="M23" s="16" t="str">
        <f ca="1">VLOOKUP($L23,OFFSET([3]enemies!$A$1,0,0,COUNTA([3]enemies!$A:$A),MATCH(M$1,[3]enemies!$1:$1,0)-MATCH($L$1,[3]enemies!$1:$1,0)+1),MATCH(M$1,[3]enemies!$1:$1,0)-MATCH($L$1,[3]enemies!$1:$1,0)+1,FALSE)</f>
        <v>ハイボルテージ エレキポット</v>
      </c>
      <c r="N23" s="16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6" t="str">
        <f ca="1">VLOOKUP($L23,OFFSET([4]characters!$A$1,0,0,COUNTA([4]characters!$A:$A),MATCH(O$1,[4]characters!$1:$1,0)-MATCH($L$1,[4]characters!$1:$1,0)+1),MATCH(O$1,[4]characters!$1:$1,0)-MATCH($L$1,[4]characters!$1:$1,0)+1,FALSE)</f>
        <v>Drop1T</v>
      </c>
      <c r="P23" s="16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6">
        <f ca="1">VLOOKUP($L23,OFFSET([3]enemies!$A$1,0,0,COUNTA([3]enemies!$A:$A),MATCH(Q$1,[3]enemies!$1:$1,0)-MATCH($L$1,[3]enemies!$1:$1,0)+1),MATCH(Q$1,[3]enemies!$1:$1,0)-MATCH($L$1,[3]enemies!$1:$1,0)+1,FALSE)</f>
        <v>15</v>
      </c>
      <c r="R23" s="96">
        <v>30</v>
      </c>
      <c r="S23" s="24">
        <v>2</v>
      </c>
      <c r="T23" s="24">
        <v>1</v>
      </c>
      <c r="U23" s="5">
        <v>0</v>
      </c>
      <c r="V23" s="4" t="e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1</v>
      </c>
      <c r="Y23" s="6">
        <v>100</v>
      </c>
      <c r="Z23" s="6">
        <v>0</v>
      </c>
      <c r="AA23" s="16">
        <f ca="1">VLOOKUP($L23,OFFSET([3]enemies!$A$1,0,0,COUNTA([3]enemies!$A:$A),MATCH(AA$1,[3]enemies!$1:$1,0)-MATCH($L$1,[3]enemies!$1:$1,0)+1),MATCH(AA$1,[3]enemies!$1:$1,0)-MATCH($L$1,[3]enemies!$1:$1,0)+1,FALSE)</f>
        <v>2</v>
      </c>
      <c r="AB23" s="23">
        <f t="shared" si="18"/>
        <v>8</v>
      </c>
      <c r="AC23" s="11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23" s="11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11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Drop1T</v>
      </c>
      <c r="AF23" s="99">
        <v>1</v>
      </c>
      <c r="AG23" s="23">
        <f t="shared" ca="1" si="19"/>
        <v>2</v>
      </c>
      <c r="AH23" s="8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6">
        <v>1</v>
      </c>
    </row>
    <row r="24" spans="1:40" ht="21" customHeight="1" x14ac:dyDescent="0.15">
      <c r="A24" s="15" t="str">
        <f t="shared" ca="1" si="15"/>
        <v>39006_3-2/35&lt;lv30&gt;s4</v>
      </c>
      <c r="B24" s="21">
        <v>39006</v>
      </c>
      <c r="C24" s="20">
        <v>3</v>
      </c>
      <c r="D24" s="2" t="str">
        <f t="shared" si="16"/>
        <v>39006_3</v>
      </c>
      <c r="E24" s="4" t="str">
        <f ca="1">VLOOKUP($B24,OFFSET([2]quests!$A$1,0,0,COUNTA([2]quests!$A:$A),MATCH(E$1,[2]quests!$1:$1,0)-MATCH($B$1,[2]quests!$1:$1,0)+1),MATCH(E$1,[2]quests!$1:$1,0)-MATCH($B$1,[2]quests!$1:$1,0)+1,FALSE)</f>
        <v>シガンシナ区攻防戦</v>
      </c>
      <c r="F24" s="4" t="str">
        <f ca="1">VLOOKUP($D24,OFFSET([2]stages!$A$1,0,0,COUNTA([2]stages!$A:$A),MATCH(F$1,[2]stages!$2:$2,0)-MATCH($D$1,[2]stages!$2:$2,0)+1),MATCH(F$1,[2]stages!$2:$2,0)-MATCH($D$1,[2]stages!$2:$2,0)+1,FALSE)</f>
        <v>【上級】シガンシナ区攻防戦</v>
      </c>
      <c r="G24" s="20">
        <v>2</v>
      </c>
      <c r="H24" s="14" t="str">
        <f t="shared" si="17"/>
        <v>39006_3-2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6" t="s">
        <v>53</v>
      </c>
      <c r="L24" s="19">
        <v>35</v>
      </c>
      <c r="M24" s="16" t="str">
        <f ca="1">VLOOKUP($L24,OFFSET([3]enemies!$A$1,0,0,COUNTA([3]enemies!$A:$A),MATCH(M$1,[3]enemies!$1:$1,0)-MATCH($L$1,[3]enemies!$1:$1,0)+1),MATCH(M$1,[3]enemies!$1:$1,0)-MATCH($L$1,[3]enemies!$1:$1,0)+1,FALSE)</f>
        <v>F2</v>
      </c>
      <c r="N24" s="16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6" t="str">
        <f ca="1">VLOOKUP($L24,OFFSET([4]characters!$A$1,0,0,COUNTA([4]characters!$A:$A),MATCH(O$1,[4]characters!$1:$1,0)-MATCH($L$1,[4]characters!$1:$1,0)+1),MATCH(O$1,[4]characters!$1:$1,0)-MATCH($L$1,[4]characters!$1:$1,0)+1,FALSE)</f>
        <v>Drop1S</v>
      </c>
      <c r="P24" s="16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6">
        <f ca="1">VLOOKUP($L24,OFFSET([3]enemies!$A$1,0,0,COUNTA([3]enemies!$A:$A),MATCH(Q$1,[3]enemies!$1:$1,0)-MATCH($L$1,[3]enemies!$1:$1,0)+1),MATCH(Q$1,[3]enemies!$1:$1,0)-MATCH($L$1,[3]enemies!$1:$1,0)+1,FALSE)</f>
        <v>15</v>
      </c>
      <c r="R24" s="96">
        <v>30</v>
      </c>
      <c r="S24" s="24">
        <v>2</v>
      </c>
      <c r="T24" s="24">
        <v>1</v>
      </c>
      <c r="U24" s="5">
        <v>0</v>
      </c>
      <c r="V24" s="4" t="e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4" s="118">
        <v>39006031</v>
      </c>
      <c r="X24" s="6">
        <v>1</v>
      </c>
      <c r="Y24" s="6">
        <v>100</v>
      </c>
      <c r="Z24" s="6">
        <v>0</v>
      </c>
      <c r="AA24" s="16">
        <f ca="1">VLOOKUP($L24,OFFSET([3]enemies!$A$1,0,0,COUNTA([3]enemies!$A:$A),MATCH(AA$1,[3]enemies!$1:$1,0)-MATCH($L$1,[3]enemies!$1:$1,0)+1),MATCH(AA$1,[3]enemies!$1:$1,0)-MATCH($L$1,[3]enemies!$1:$1,0)+1,FALSE)</f>
        <v>4</v>
      </c>
      <c r="AB24" s="23">
        <f t="shared" si="18"/>
        <v>35</v>
      </c>
      <c r="AC24" s="11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F2</v>
      </c>
      <c r="AD24" s="11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11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Drop1S</v>
      </c>
      <c r="AF24" s="99">
        <v>1</v>
      </c>
      <c r="AG24" s="23">
        <f t="shared" ca="1" si="19"/>
        <v>2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6">
        <v>1</v>
      </c>
    </row>
    <row r="25" spans="1:40" ht="21" customHeight="1" x14ac:dyDescent="0.15">
      <c r="A25" s="15" t="str">
        <f t="shared" ca="1" si="15"/>
        <v>39006_3-3/991&lt;lv30&gt;s3</v>
      </c>
      <c r="B25" s="21">
        <v>39006</v>
      </c>
      <c r="C25" s="20">
        <v>3</v>
      </c>
      <c r="D25" s="2" t="str">
        <f t="shared" si="16"/>
        <v>39006_3</v>
      </c>
      <c r="E25" s="4" t="str">
        <f ca="1">VLOOKUP($B25,OFFSET([2]quests!$A$1,0,0,COUNTA([2]quests!$A:$A),MATCH(E$1,[2]quests!$1:$1,0)-MATCH($B$1,[2]quests!$1:$1,0)+1),MATCH(E$1,[2]quests!$1:$1,0)-MATCH($B$1,[2]quests!$1:$1,0)+1,FALSE)</f>
        <v>シガンシナ区攻防戦</v>
      </c>
      <c r="F25" s="4" t="str">
        <f ca="1">VLOOKUP($D25,OFFSET([2]stages!$A$1,0,0,COUNTA([2]stages!$A:$A),MATCH(F$1,[2]stages!$2:$2,0)-MATCH($D$1,[2]stages!$2:$2,0)+1),MATCH(F$1,[2]stages!$2:$2,0)-MATCH($D$1,[2]stages!$2:$2,0)+1,FALSE)</f>
        <v>【上級】シガンシナ区攻防戦</v>
      </c>
      <c r="G25" s="20">
        <v>3</v>
      </c>
      <c r="H25" s="14" t="str">
        <f t="shared" si="17"/>
        <v>39006_3-3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6" t="s">
        <v>53</v>
      </c>
      <c r="L25" s="19">
        <v>991</v>
      </c>
      <c r="M25" s="16" t="str">
        <f ca="1">VLOOKUP($L25,OFFSET([3]enemies!$A$1,0,0,COUNTA([3]enemies!$A:$A),MATCH(M$1,[3]enemies!$1:$1,0)-MATCH($L$1,[3]enemies!$1:$1,0)+1),MATCH(M$1,[3]enemies!$1:$1,0)-MATCH($L$1,[3]enemies!$1:$1,0)+1,FALSE)</f>
        <v>反撃の核心 エルヴィン</v>
      </c>
      <c r="N25" s="16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16" t="str">
        <f ca="1">VLOOKUP($L25,OFFSET([4]characters!$A$1,0,0,COUNTA([4]characters!$A:$A),MATCH(O$1,[4]characters!$1:$1,0)-MATCH($L$1,[4]characters!$1:$1,0)+1),MATCH(O$1,[4]characters!$1:$1,0)-MATCH($L$1,[4]characters!$1:$1,0)+1,FALSE)</f>
        <v>PremiumS</v>
      </c>
      <c r="P25" s="16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6">
        <f ca="1">VLOOKUP($L25,OFFSET([3]enemies!$A$1,0,0,COUNTA([3]enemies!$A:$A),MATCH(Q$1,[3]enemies!$1:$1,0)-MATCH($L$1,[3]enemies!$1:$1,0)+1),MATCH(Q$1,[3]enemies!$1:$1,0)-MATCH($L$1,[3]enemies!$1:$1,0)+1,FALSE)</f>
        <v>60</v>
      </c>
      <c r="R25" s="96">
        <v>30</v>
      </c>
      <c r="S25" s="24">
        <v>1</v>
      </c>
      <c r="T25" s="24">
        <v>1</v>
      </c>
      <c r="U25" s="5">
        <v>0</v>
      </c>
      <c r="V25" s="4" t="e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5" s="4">
        <v>39006014</v>
      </c>
      <c r="X25" s="6">
        <v>0</v>
      </c>
      <c r="Y25" s="6">
        <v>40</v>
      </c>
      <c r="Z25" s="6">
        <v>1</v>
      </c>
      <c r="AA25" s="16">
        <f ca="1">VLOOKUP($L25,OFFSET([3]enemies!$A$1,0,0,COUNTA([3]enemies!$A:$A),MATCH(AA$1,[3]enemies!$1:$1,0)-MATCH($L$1,[3]enemies!$1:$1,0)+1),MATCH(AA$1,[3]enemies!$1:$1,0)-MATCH($L$1,[3]enemies!$1:$1,0)+1,FALSE)</f>
        <v>3</v>
      </c>
      <c r="AB25" s="23">
        <f t="shared" si="18"/>
        <v>991</v>
      </c>
      <c r="AC25" s="11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反撃の核心 エルヴィン</v>
      </c>
      <c r="AD25" s="114">
        <f ca="1">VLOOKUP($AB25,OFFSET([4]characters!$A$1,0,0,COUNTA([4]characters!$A:$A),MATCH(AD$1,[4]characters!$1:$1,0)-MATCH("character_id",[4]characters!$1:$1,0)+1),MATCH(AD$1,[4]characters!$1:$1,0)-MATCH("character_id",[4]characters!$1:$1,0)+1,FALSE)</f>
        <v>5</v>
      </c>
      <c r="AE25" s="11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5" s="99">
        <v>1</v>
      </c>
      <c r="AG25" s="23">
        <f t="shared" ca="1" si="19"/>
        <v>5</v>
      </c>
      <c r="AH25" s="8">
        <v>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6">
        <v>1</v>
      </c>
    </row>
    <row r="26" spans="1:40" ht="21" customHeight="1" x14ac:dyDescent="0.15">
      <c r="A26" s="15" t="str">
        <f t="shared" ca="1" si="15"/>
        <v>39006_3-3/993&lt;lv30&gt;s3</v>
      </c>
      <c r="B26" s="21">
        <v>39006</v>
      </c>
      <c r="C26" s="20">
        <v>3</v>
      </c>
      <c r="D26" s="2" t="str">
        <f t="shared" si="16"/>
        <v>39006_3</v>
      </c>
      <c r="E26" s="4" t="str">
        <f ca="1">VLOOKUP($B26,OFFSET([2]quests!$A$1,0,0,COUNTA([2]quests!$A:$A),MATCH(E$1,[2]quests!$1:$1,0)-MATCH($B$1,[2]quests!$1:$1,0)+1),MATCH(E$1,[2]quests!$1:$1,0)-MATCH($B$1,[2]quests!$1:$1,0)+1,FALSE)</f>
        <v>シガンシナ区攻防戦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【上級】シガンシナ区攻防戦</v>
      </c>
      <c r="G26" s="20">
        <v>3</v>
      </c>
      <c r="H26" s="14" t="str">
        <f t="shared" si="17"/>
        <v>39006_3-3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6" t="s">
        <v>53</v>
      </c>
      <c r="L26" s="19">
        <v>993</v>
      </c>
      <c r="M26" s="16" t="str">
        <f ca="1">VLOOKUP($L26,OFFSET([3]enemies!$A$1,0,0,COUNTA([3]enemies!$A:$A),MATCH(M$1,[3]enemies!$1:$1,0)-MATCH($L$1,[3]enemies!$1:$1,0)+1),MATCH(M$1,[3]enemies!$1:$1,0)-MATCH($L$1,[3]enemies!$1:$1,0)+1,FALSE)</f>
        <v>巨躯への執着 ハンジ</v>
      </c>
      <c r="N26" s="16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16" t="str">
        <f ca="1">VLOOKUP($L26,OFFSET([4]characters!$A$1,0,0,COUNTA([4]characters!$A:$A),MATCH(O$1,[4]characters!$1:$1,0)-MATCH($L$1,[4]characters!$1:$1,0)+1),MATCH(O$1,[4]characters!$1:$1,0)-MATCH($L$1,[4]characters!$1:$1,0)+1,FALSE)</f>
        <v>PremiumS</v>
      </c>
      <c r="P26" s="16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6">
        <f ca="1">VLOOKUP($L26,OFFSET([3]enemies!$A$1,0,0,COUNTA([3]enemies!$A:$A),MATCH(Q$1,[3]enemies!$1:$1,0)-MATCH($L$1,[3]enemies!$1:$1,0)+1),MATCH(Q$1,[3]enemies!$1:$1,0)-MATCH($L$1,[3]enemies!$1:$1,0)+1,FALSE)</f>
        <v>60</v>
      </c>
      <c r="R26" s="96">
        <v>30</v>
      </c>
      <c r="S26" s="24">
        <v>1</v>
      </c>
      <c r="T26" s="24">
        <v>1</v>
      </c>
      <c r="U26" s="5">
        <v>0</v>
      </c>
      <c r="V26" s="4" t="e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6" s="4">
        <v>39006013</v>
      </c>
      <c r="X26" s="6">
        <v>0</v>
      </c>
      <c r="Y26" s="6">
        <v>60</v>
      </c>
      <c r="Z26" s="6">
        <v>1</v>
      </c>
      <c r="AA26" s="16">
        <f ca="1">VLOOKUP($L26,OFFSET([3]enemies!$A$1,0,0,COUNTA([3]enemies!$A:$A),MATCH(AA$1,[3]enemies!$1:$1,0)-MATCH($L$1,[3]enemies!$1:$1,0)+1),MATCH(AA$1,[3]enemies!$1:$1,0)-MATCH($L$1,[3]enemies!$1:$1,0)+1,FALSE)</f>
        <v>3</v>
      </c>
      <c r="AB26" s="23">
        <f t="shared" si="18"/>
        <v>993</v>
      </c>
      <c r="AC26" s="11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巨躯への執着 ハンジ</v>
      </c>
      <c r="AD26" s="114">
        <f ca="1">VLOOKUP($AB26,OFFSET([4]characters!$A$1,0,0,COUNTA([4]characters!$A:$A),MATCH(AD$1,[4]characters!$1:$1,0)-MATCH("character_id",[4]characters!$1:$1,0)+1),MATCH(AD$1,[4]characters!$1:$1,0)-MATCH("character_id",[4]characters!$1:$1,0)+1,FALSE)</f>
        <v>5</v>
      </c>
      <c r="AE26" s="11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6" s="99">
        <v>1</v>
      </c>
      <c r="AG26" s="23">
        <f t="shared" ca="1" si="19"/>
        <v>5</v>
      </c>
      <c r="AH26" s="8">
        <v>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6">
        <v>1</v>
      </c>
    </row>
    <row r="27" spans="1:40" ht="21" customHeight="1" x14ac:dyDescent="0.15">
      <c r="A27" s="15" t="str">
        <f t="shared" ca="1" si="15"/>
        <v>39006_3-4/982&lt;lv30&gt;s3</v>
      </c>
      <c r="B27" s="21">
        <v>39006</v>
      </c>
      <c r="C27" s="20">
        <v>3</v>
      </c>
      <c r="D27" s="2" t="str">
        <f t="shared" si="16"/>
        <v>39006_3</v>
      </c>
      <c r="E27" s="4" t="str">
        <f ca="1">VLOOKUP($B27,OFFSET([2]quests!$A$1,0,0,COUNTA([2]quests!$A:$A),MATCH(E$1,[2]quests!$1:$1,0)-MATCH($B$1,[2]quests!$1:$1,0)+1),MATCH(E$1,[2]quests!$1:$1,0)-MATCH($B$1,[2]quests!$1:$1,0)+1,FALSE)</f>
        <v>シガンシナ区攻防戦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【上級】シガンシナ区攻防戦</v>
      </c>
      <c r="G27" s="20">
        <v>4</v>
      </c>
      <c r="H27" s="14" t="str">
        <f t="shared" si="17"/>
        <v>39006_3-4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6">
        <v>5</v>
      </c>
      <c r="L27" s="19">
        <v>982</v>
      </c>
      <c r="M27" s="16" t="str">
        <f ca="1">VLOOKUP($L27,OFFSET([3]enemies!$A$1,0,0,COUNTA([3]enemies!$A:$A),MATCH(M$1,[3]enemies!$1:$1,0)-MATCH($L$1,[3]enemies!$1:$1,0)+1),MATCH(M$1,[3]enemies!$1:$1,0)-MATCH($L$1,[3]enemies!$1:$1,0)+1,FALSE)</f>
        <v>柔靭なる剛脚 女型の巨人</v>
      </c>
      <c r="N27" s="16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6" t="str">
        <f ca="1">VLOOKUP($L27,OFFSET([4]characters!$A$1,0,0,COUNTA([4]characters!$A:$A),MATCH(O$1,[4]characters!$1:$1,0)-MATCH($L$1,[4]characters!$1:$1,0)+1),MATCH(O$1,[4]characters!$1:$1,0)-MATCH($L$1,[4]characters!$1:$1,0)+1,FALSE)</f>
        <v>Drop2N</v>
      </c>
      <c r="P27" s="16" t="str">
        <f ca="1">VLOOKUP($L27,OFFSET([3]enemies!$A$1,0,0,COUNTA([3]enemies!$A:$A),MATCH(P$1,[3]enemies!$1:$1,0)-MATCH($L$1,[3]enemies!$1:$1,0)+1),MATCH(P$1,[3]enemies!$1:$1,0)-MATCH($L$1,[3]enemies!$1:$1,0)+1,FALSE)</f>
        <v>ti</v>
      </c>
      <c r="Q27" s="16">
        <f ca="1">VLOOKUP($L27,OFFSET([3]enemies!$A$1,0,0,COUNTA([3]enemies!$A:$A),MATCH(Q$1,[3]enemies!$1:$1,0)-MATCH($L$1,[3]enemies!$1:$1,0)+1),MATCH(Q$1,[3]enemies!$1:$1,0)-MATCH($L$1,[3]enemies!$1:$1,0)+1,FALSE)</f>
        <v>60</v>
      </c>
      <c r="R27" s="96">
        <v>30</v>
      </c>
      <c r="S27" s="24">
        <v>2</v>
      </c>
      <c r="T27" s="24">
        <v>1</v>
      </c>
      <c r="U27" s="5">
        <v>0</v>
      </c>
      <c r="V27" s="4" t="e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7" s="4">
        <v>39006020</v>
      </c>
      <c r="X27" s="6">
        <v>0</v>
      </c>
      <c r="Y27" s="6">
        <v>50</v>
      </c>
      <c r="Z27" s="6">
        <v>1</v>
      </c>
      <c r="AA27" s="16">
        <f ca="1">VLOOKUP($L27,OFFSET([3]enemies!$A$1,0,0,COUNTA([3]enemies!$A:$A),MATCH(AA$1,[3]enemies!$1:$1,0)-MATCH($L$1,[3]enemies!$1:$1,0)+1),MATCH(AA$1,[3]enemies!$1:$1,0)-MATCH($L$1,[3]enemies!$1:$1,0)+1,FALSE)</f>
        <v>3</v>
      </c>
      <c r="AB27" s="23">
        <v>981</v>
      </c>
      <c r="AC27" s="11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27" s="114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11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Drop2N</v>
      </c>
      <c r="AF27" s="99">
        <v>1</v>
      </c>
      <c r="AG27" s="23">
        <f t="shared" ca="1" si="19"/>
        <v>4</v>
      </c>
      <c r="AH27" s="8">
        <v>40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6">
        <v>1</v>
      </c>
    </row>
    <row r="28" spans="1:40" ht="21" customHeight="1" thickBot="1" x14ac:dyDescent="0.2">
      <c r="A28" s="100" t="str">
        <f t="shared" ca="1" si="15"/>
        <v>39006_3-4/984&lt;lv30&gt;s3</v>
      </c>
      <c r="B28" s="101">
        <v>39006</v>
      </c>
      <c r="C28" s="102">
        <v>3</v>
      </c>
      <c r="D28" s="103" t="str">
        <f t="shared" si="16"/>
        <v>39006_3</v>
      </c>
      <c r="E28" s="104" t="str">
        <f ca="1">VLOOKUP($B28,OFFSET([2]quests!$A$1,0,0,COUNTA([2]quests!$A:$A),MATCH(E$1,[2]quests!$1:$1,0)-MATCH($B$1,[2]quests!$1:$1,0)+1),MATCH(E$1,[2]quests!$1:$1,0)-MATCH($B$1,[2]quests!$1:$1,0)+1,FALSE)</f>
        <v>シガンシナ区攻防戦</v>
      </c>
      <c r="F28" s="104" t="str">
        <f ca="1">VLOOKUP($D28,OFFSET([2]stages!$A$1,0,0,COUNTA([2]stages!$A:$A),MATCH(F$1,[2]stages!$2:$2,0)-MATCH($D$1,[2]stages!$2:$2,0)+1),MATCH(F$1,[2]stages!$2:$2,0)-MATCH($D$1,[2]stages!$2:$2,0)+1,FALSE)</f>
        <v>【上級】シガンシナ区攻防戦</v>
      </c>
      <c r="G28" s="102">
        <v>4</v>
      </c>
      <c r="H28" s="103" t="str">
        <f t="shared" si="17"/>
        <v>39006_3-4</v>
      </c>
      <c r="I28" s="104">
        <f ca="1">VLOOKUP($H28,OFFSET(floors!$A$1,0,0,COUNTA(floors!$A:$A),MATCH(I$1,floors!$1:$1,0)-MATCH($H$1,floors!$1:$1,0)+1),MATCH(I$1,floors!$1:$1,0)-MATCH($H$1,floors!$1:$1,0)+1,FALSE)</f>
        <v>60</v>
      </c>
      <c r="J28" s="104">
        <f ca="1">VLOOKUP($H28,OFFSET(floors!$A$1,0,0,COUNTA(floors!$A:$A),MATCH(J$1,floors!$1:$1,0)-MATCH($H$1,floors!$1:$1,0)+1),MATCH(J$1,floors!$1:$1,0)-MATCH($H$1,floors!$1:$1,0)+1,FALSE)</f>
        <v>60</v>
      </c>
      <c r="K28" s="105">
        <v>6</v>
      </c>
      <c r="L28" s="106">
        <v>984</v>
      </c>
      <c r="M28" s="107" t="str">
        <f ca="1">VLOOKUP($L28,OFFSET([3]enemies!$A$1,0,0,COUNTA([3]enemies!$A:$A),MATCH(M$1,[3]enemies!$1:$1,0)-MATCH($L$1,[3]enemies!$1:$1,0)+1),MATCH(M$1,[3]enemies!$1:$1,0)-MATCH($L$1,[3]enemies!$1:$1,0)+1,FALSE)</f>
        <v>破壁の剛弾 鎧の巨人</v>
      </c>
      <c r="N28" s="107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107" t="str">
        <f ca="1">VLOOKUP($L28,OFFSET([4]characters!$A$1,0,0,COUNTA([4]characters!$A:$A),MATCH(O$1,[4]characters!$1:$1,0)-MATCH($L$1,[4]characters!$1:$1,0)+1),MATCH(O$1,[4]characters!$1:$1,0)-MATCH($L$1,[4]characters!$1:$1,0)+1,FALSE)</f>
        <v>Drop2N</v>
      </c>
      <c r="P28" s="107" t="str">
        <f ca="1">VLOOKUP($L28,OFFSET([3]enemies!$A$1,0,0,COUNTA([3]enemies!$A:$A),MATCH(P$1,[3]enemies!$1:$1,0)-MATCH($L$1,[3]enemies!$1:$1,0)+1),MATCH(P$1,[3]enemies!$1:$1,0)-MATCH($L$1,[3]enemies!$1:$1,0)+1,FALSE)</f>
        <v>ti</v>
      </c>
      <c r="Q28" s="107">
        <f ca="1">VLOOKUP($L28,OFFSET([3]enemies!$A$1,0,0,COUNTA([3]enemies!$A:$A),MATCH(Q$1,[3]enemies!$1:$1,0)-MATCH($L$1,[3]enemies!$1:$1,0)+1),MATCH(Q$1,[3]enemies!$1:$1,0)-MATCH($L$1,[3]enemies!$1:$1,0)+1,FALSE)</f>
        <v>60</v>
      </c>
      <c r="R28" s="96">
        <v>30</v>
      </c>
      <c r="S28" s="109">
        <v>2</v>
      </c>
      <c r="T28" s="109">
        <v>1</v>
      </c>
      <c r="U28" s="108">
        <v>0</v>
      </c>
      <c r="V28" s="104" t="e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8" s="104">
        <v>39006028</v>
      </c>
      <c r="X28" s="110">
        <v>0</v>
      </c>
      <c r="Y28" s="110">
        <v>50</v>
      </c>
      <c r="Z28" s="110">
        <v>1</v>
      </c>
      <c r="AA28" s="107">
        <f ca="1">VLOOKUP($L28,OFFSET([3]enemies!$A$1,0,0,COUNTA([3]enemies!$A:$A),MATCH(AA$1,[3]enemies!$1:$1,0)-MATCH($L$1,[3]enemies!$1:$1,0)+1),MATCH(AA$1,[3]enemies!$1:$1,0)-MATCH($L$1,[3]enemies!$1:$1,0)+1,FALSE)</f>
        <v>3</v>
      </c>
      <c r="AB28" s="111">
        <v>983</v>
      </c>
      <c r="AC28" s="115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28" s="115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115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Drop2N</v>
      </c>
      <c r="AF28" s="99">
        <v>1</v>
      </c>
      <c r="AG28" s="111">
        <f t="shared" ca="1" si="19"/>
        <v>4</v>
      </c>
      <c r="AH28" s="8">
        <v>40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6">
        <v>1</v>
      </c>
    </row>
    <row r="29" spans="1:40" ht="21" customHeight="1" x14ac:dyDescent="0.15">
      <c r="A29" s="15" t="str">
        <f ca="1">B29&amp;"_"&amp;C29&amp;"-"&amp;G29&amp;"/"&amp;L29&amp;"&lt;lv"&amp;R29&amp;"&gt;s"&amp;AA29</f>
        <v>39006_4-1/983&lt;lv50&gt;s3</v>
      </c>
      <c r="B29" s="21">
        <v>39006</v>
      </c>
      <c r="C29" s="92">
        <v>4</v>
      </c>
      <c r="D29" s="93" t="str">
        <f>B29&amp;"_"&amp;C29</f>
        <v>39006_4</v>
      </c>
      <c r="E29" s="4" t="str">
        <f ca="1">VLOOKUP($B29,OFFSET([2]quests!$A$1,0,0,COUNTA([2]quests!$A:$A),MATCH(E$1,[2]quests!$1:$1,0)-MATCH($B$1,[2]quests!$1:$1,0)+1),MATCH(E$1,[2]quests!$1:$1,0)-MATCH($B$1,[2]quests!$1:$1,0)+1,FALSE)</f>
        <v>シガンシナ区攻防戦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【超級】シガンシナ区攻防戦</v>
      </c>
      <c r="G29" s="92">
        <v>1</v>
      </c>
      <c r="H29" s="93" t="str">
        <f>B29&amp;"_"&amp;C29&amp;"-"&amp;G29</f>
        <v>39006_4-1</v>
      </c>
      <c r="I29" s="4">
        <f ca="1">VLOOKUP($H29,OFFSET(floors!$A$1,0,0,COUNTA(floors!$A:$A),MATCH(I$1,floors!$1:$1,0)-MATCH($H$1,floors!$1:$1,0)+1),MATCH(I$1,floors!$1:$1,0)-MATCH($H$1,floors!$1:$1,0)+1,FALSE)</f>
        <v>30</v>
      </c>
      <c r="J29" s="4">
        <f ca="1">VLOOKUP($H29,OFFSET(floors!$A$1,0,0,COUNTA(floors!$A:$A),MATCH(J$1,floors!$1:$1,0)-MATCH($H$1,floors!$1:$1,0)+1),MATCH(J$1,floors!$1:$1,0)-MATCH($H$1,floors!$1:$1,0)+1,FALSE)</f>
        <v>30</v>
      </c>
      <c r="K29" s="94" t="s">
        <v>53</v>
      </c>
      <c r="L29" s="95">
        <v>983</v>
      </c>
      <c r="M29" s="16" t="str">
        <f ca="1">VLOOKUP($L29,OFFSET([3]enemies!$A$1,0,0,COUNTA([3]enemies!$A:$A),MATCH(M$1,[3]enemies!$1:$1,0)-MATCH($L$1,[3]enemies!$1:$1,0)+1),MATCH(M$1,[3]enemies!$1:$1,0)-MATCH($L$1,[3]enemies!$1:$1,0)+1,FALSE)</f>
        <v>鎧の巨人</v>
      </c>
      <c r="N29" s="16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16" t="str">
        <f ca="1">VLOOKUP($L29,OFFSET([4]characters!$A$1,0,0,COUNTA([4]characters!$A:$A),MATCH(O$1,[4]characters!$1:$1,0)-MATCH($L$1,[4]characters!$1:$1,0)+1),MATCH(O$1,[4]characters!$1:$1,0)-MATCH($L$1,[4]characters!$1:$1,0)+1,FALSE)</f>
        <v>Drop2N</v>
      </c>
      <c r="P29" s="16" t="str">
        <f ca="1">VLOOKUP($L29,OFFSET([3]enemies!$A$1,0,0,COUNTA([3]enemies!$A:$A),MATCH(P$1,[3]enemies!$1:$1,0)-MATCH($L$1,[3]enemies!$1:$1,0)+1),MATCH(P$1,[3]enemies!$1:$1,0)-MATCH($L$1,[3]enemies!$1:$1,0)+1,FALSE)</f>
        <v>ti</v>
      </c>
      <c r="Q29" s="16">
        <f ca="1">VLOOKUP($L29,OFFSET([3]enemies!$A$1,0,0,COUNTA([3]enemies!$A:$A),MATCH(Q$1,[3]enemies!$1:$1,0)-MATCH($L$1,[3]enemies!$1:$1,0)+1),MATCH(Q$1,[3]enemies!$1:$1,0)-MATCH($L$1,[3]enemies!$1:$1,0)+1,FALSE)</f>
        <v>30</v>
      </c>
      <c r="R29" s="96">
        <v>50</v>
      </c>
      <c r="S29" s="97">
        <v>2</v>
      </c>
      <c r="T29" s="97">
        <v>0.7</v>
      </c>
      <c r="U29" s="96">
        <v>0</v>
      </c>
      <c r="V29" s="4" t="e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9" s="4">
        <v>39006004</v>
      </c>
      <c r="X29" s="6">
        <v>0</v>
      </c>
      <c r="Y29" s="6">
        <v>100</v>
      </c>
      <c r="Z29" s="6">
        <v>1</v>
      </c>
      <c r="AA29" s="16">
        <f ca="1">VLOOKUP($L29,OFFSET([3]enemies!$A$1,0,0,COUNTA([3]enemies!$A:$A),MATCH(AA$1,[3]enemies!$1:$1,0)-MATCH($L$1,[3]enemies!$1:$1,0)+1),MATCH(AA$1,[3]enemies!$1:$1,0)-MATCH($L$1,[3]enemies!$1:$1,0)+1,FALSE)</f>
        <v>3</v>
      </c>
      <c r="AB29" s="98">
        <f>L29</f>
        <v>983</v>
      </c>
      <c r="AC29" s="11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29" s="114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11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Drop2N</v>
      </c>
      <c r="AF29" s="99">
        <v>1</v>
      </c>
      <c r="AG29" s="98">
        <f ca="1">AD29</f>
        <v>4</v>
      </c>
      <c r="AH29" s="8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6">
        <v>1</v>
      </c>
    </row>
    <row r="30" spans="1:40" ht="21" customHeight="1" x14ac:dyDescent="0.15">
      <c r="A30" s="15" t="str">
        <f t="shared" ref="A30:A37" ca="1" si="20">B30&amp;"_"&amp;C30&amp;"-"&amp;G30&amp;"/"&amp;L30&amp;"&lt;lv"&amp;R30&amp;"&gt;s"&amp;AA30</f>
        <v>39006_4-2/981&lt;lv50&gt;s3</v>
      </c>
      <c r="B30" s="21">
        <v>39006</v>
      </c>
      <c r="C30" s="20">
        <v>4</v>
      </c>
      <c r="D30" s="2" t="str">
        <f t="shared" ref="D30:D37" si="21">B30&amp;"_"&amp;C30</f>
        <v>39006_4</v>
      </c>
      <c r="E30" s="4" t="str">
        <f ca="1">VLOOKUP($B30,OFFSET([2]quests!$A$1,0,0,COUNTA([2]quests!$A:$A),MATCH(E$1,[2]quests!$1:$1,0)-MATCH($B$1,[2]quests!$1:$1,0)+1),MATCH(E$1,[2]quests!$1:$1,0)-MATCH($B$1,[2]quests!$1:$1,0)+1,FALSE)</f>
        <v>シガンシナ区攻防戦</v>
      </c>
      <c r="F30" s="4" t="str">
        <f ca="1">VLOOKUP($D30,OFFSET([2]stages!$A$1,0,0,COUNTA([2]stages!$A:$A),MATCH(F$1,[2]stages!$2:$2,0)-MATCH($D$1,[2]stages!$2:$2,0)+1),MATCH(F$1,[2]stages!$2:$2,0)-MATCH($D$1,[2]stages!$2:$2,0)+1,FALSE)</f>
        <v>【超級】シガンシナ区攻防戦</v>
      </c>
      <c r="G30" s="20">
        <v>2</v>
      </c>
      <c r="H30" s="14" t="str">
        <f t="shared" ref="H30:H37" si="22">B30&amp;"_"&amp;C30&amp;"-"&amp;G30</f>
        <v>39006_4-2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6" t="s">
        <v>53</v>
      </c>
      <c r="L30" s="19">
        <v>981</v>
      </c>
      <c r="M30" s="16" t="str">
        <f ca="1">VLOOKUP($L30,OFFSET([3]enemies!$A$1,0,0,COUNTA([3]enemies!$A:$A),MATCH(M$1,[3]enemies!$1:$1,0)-MATCH($L$1,[3]enemies!$1:$1,0)+1),MATCH(M$1,[3]enemies!$1:$1,0)-MATCH($L$1,[3]enemies!$1:$1,0)+1,FALSE)</f>
        <v>女型の巨人</v>
      </c>
      <c r="N30" s="16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6" t="str">
        <f ca="1">VLOOKUP($L30,OFFSET([4]characters!$A$1,0,0,COUNTA([4]characters!$A:$A),MATCH(O$1,[4]characters!$1:$1,0)-MATCH($L$1,[4]characters!$1:$1,0)+1),MATCH(O$1,[4]characters!$1:$1,0)-MATCH($L$1,[4]characters!$1:$1,0)+1,FALSE)</f>
        <v>Drop2N</v>
      </c>
      <c r="P30" s="16" t="str">
        <f ca="1">VLOOKUP($L30,OFFSET([3]enemies!$A$1,0,0,COUNTA([3]enemies!$A:$A),MATCH(P$1,[3]enemies!$1:$1,0)-MATCH($L$1,[3]enemies!$1:$1,0)+1),MATCH(P$1,[3]enemies!$1:$1,0)-MATCH($L$1,[3]enemies!$1:$1,0)+1,FALSE)</f>
        <v>ti</v>
      </c>
      <c r="Q30" s="16">
        <f ca="1">VLOOKUP($L30,OFFSET([3]enemies!$A$1,0,0,COUNTA([3]enemies!$A:$A),MATCH(Q$1,[3]enemies!$1:$1,0)-MATCH($L$1,[3]enemies!$1:$1,0)+1),MATCH(Q$1,[3]enemies!$1:$1,0)-MATCH($L$1,[3]enemies!$1:$1,0)+1,FALSE)</f>
        <v>30</v>
      </c>
      <c r="R30" s="96">
        <v>50</v>
      </c>
      <c r="S30" s="24">
        <v>2</v>
      </c>
      <c r="T30" s="24">
        <v>0.8</v>
      </c>
      <c r="U30" s="5">
        <v>0</v>
      </c>
      <c r="V30" s="4" t="e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0" s="4">
        <v>39006005</v>
      </c>
      <c r="X30" s="6">
        <v>0</v>
      </c>
      <c r="Y30" s="6">
        <v>100</v>
      </c>
      <c r="Z30" s="6">
        <v>1</v>
      </c>
      <c r="AA30" s="16">
        <f ca="1">VLOOKUP($L30,OFFSET([3]enemies!$A$1,0,0,COUNTA([3]enemies!$A:$A),MATCH(AA$1,[3]enemies!$1:$1,0)-MATCH($L$1,[3]enemies!$1:$1,0)+1),MATCH(AA$1,[3]enemies!$1:$1,0)-MATCH($L$1,[3]enemies!$1:$1,0)+1,FALSE)</f>
        <v>3</v>
      </c>
      <c r="AB30" s="23">
        <f t="shared" ref="AB30:AB35" si="23">L30</f>
        <v>981</v>
      </c>
      <c r="AC30" s="11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30" s="114">
        <f ca="1">VLOOKUP($AB30,OFFSET([4]characters!$A$1,0,0,COUNTA([4]characters!$A:$A),MATCH(AD$1,[4]characters!$1:$1,0)-MATCH("character_id",[4]characters!$1:$1,0)+1),MATCH(AD$1,[4]characters!$1:$1,0)-MATCH("character_id",[4]characters!$1:$1,0)+1,FALSE)</f>
        <v>4</v>
      </c>
      <c r="AE30" s="11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Drop2N</v>
      </c>
      <c r="AF30" s="99">
        <v>1</v>
      </c>
      <c r="AG30" s="23">
        <f t="shared" ref="AG30:AG37" ca="1" si="24">AD30</f>
        <v>4</v>
      </c>
      <c r="AH30" s="8">
        <v>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6">
        <v>1</v>
      </c>
    </row>
    <row r="31" spans="1:40" ht="21" customHeight="1" x14ac:dyDescent="0.15">
      <c r="A31" s="15" t="str">
        <f t="shared" ca="1" si="20"/>
        <v>39006_4-2/8&lt;lv50&gt;s2</v>
      </c>
      <c r="B31" s="21">
        <v>39006</v>
      </c>
      <c r="C31" s="20">
        <v>4</v>
      </c>
      <c r="D31" s="2" t="str">
        <f t="shared" si="21"/>
        <v>39006_4</v>
      </c>
      <c r="E31" s="4" t="str">
        <f ca="1">VLOOKUP($B31,OFFSET([2]quests!$A$1,0,0,COUNTA([2]quests!$A:$A),MATCH(E$1,[2]quests!$1:$1,0)-MATCH($B$1,[2]quests!$1:$1,0)+1),MATCH(E$1,[2]quests!$1:$1,0)-MATCH($B$1,[2]quests!$1:$1,0)+1,FALSE)</f>
        <v>シガンシナ区攻防戦</v>
      </c>
      <c r="F31" s="4" t="str">
        <f ca="1">VLOOKUP($D31,OFFSET([2]stages!$A$1,0,0,COUNTA([2]stages!$A:$A),MATCH(F$1,[2]stages!$2:$2,0)-MATCH($D$1,[2]stages!$2:$2,0)+1),MATCH(F$1,[2]stages!$2:$2,0)-MATCH($D$1,[2]stages!$2:$2,0)+1,FALSE)</f>
        <v>【超級】シガンシナ区攻防戦</v>
      </c>
      <c r="G31" s="20">
        <v>2</v>
      </c>
      <c r="H31" s="14" t="str">
        <f t="shared" si="22"/>
        <v>39006_4-2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6" t="s">
        <v>53</v>
      </c>
      <c r="L31" s="19">
        <v>8</v>
      </c>
      <c r="M31" s="16" t="str">
        <f ca="1">VLOOKUP($L31,OFFSET([3]enemies!$A$1,0,0,COUNTA([3]enemies!$A:$A),MATCH(M$1,[3]enemies!$1:$1,0)-MATCH($L$1,[3]enemies!$1:$1,0)+1),MATCH(M$1,[3]enemies!$1:$1,0)-MATCH($L$1,[3]enemies!$1:$1,0)+1,FALSE)</f>
        <v>ハイボルテージ エレキポット</v>
      </c>
      <c r="N31" s="16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6" t="str">
        <f ca="1">VLOOKUP($L31,OFFSET([4]characters!$A$1,0,0,COUNTA([4]characters!$A:$A),MATCH(O$1,[4]characters!$1:$1,0)-MATCH($L$1,[4]characters!$1:$1,0)+1),MATCH(O$1,[4]characters!$1:$1,0)-MATCH($L$1,[4]characters!$1:$1,0)+1,FALSE)</f>
        <v>Drop1T</v>
      </c>
      <c r="P31" s="16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6">
        <f ca="1">VLOOKUP($L31,OFFSET([3]enemies!$A$1,0,0,COUNTA([3]enemies!$A:$A),MATCH(Q$1,[3]enemies!$1:$1,0)-MATCH($L$1,[3]enemies!$1:$1,0)+1),MATCH(Q$1,[3]enemies!$1:$1,0)-MATCH($L$1,[3]enemies!$1:$1,0)+1,FALSE)</f>
        <v>15</v>
      </c>
      <c r="R31" s="96">
        <v>50</v>
      </c>
      <c r="S31" s="24">
        <v>2</v>
      </c>
      <c r="T31" s="24">
        <v>1</v>
      </c>
      <c r="U31" s="5">
        <v>0</v>
      </c>
      <c r="V31" s="4" t="e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1" s="4">
        <f ca="1">VLOOKUP($L31,OFFSET([3]enemies!$A$1,0,0,COUNTA([3]enemies!$A:$A),MATCH(W$1,[3]enemies!$1:$1,0)-MATCH($L$1,[3]enemies!$1:$1,0)+1),MATCH(W$1,[3]enemies!$1:$1,0)-MATCH($L$1,[3]enemies!$1:$1,0)+1,FALSE)</f>
        <v>0</v>
      </c>
      <c r="X31" s="6">
        <v>1</v>
      </c>
      <c r="Y31" s="6">
        <v>100</v>
      </c>
      <c r="Z31" s="6">
        <v>0</v>
      </c>
      <c r="AA31" s="16">
        <f ca="1">VLOOKUP($L31,OFFSET([3]enemies!$A$1,0,0,COUNTA([3]enemies!$A:$A),MATCH(AA$1,[3]enemies!$1:$1,0)-MATCH($L$1,[3]enemies!$1:$1,0)+1),MATCH(AA$1,[3]enemies!$1:$1,0)-MATCH($L$1,[3]enemies!$1:$1,0)+1,FALSE)</f>
        <v>2</v>
      </c>
      <c r="AB31" s="23">
        <f t="shared" si="23"/>
        <v>8</v>
      </c>
      <c r="AC31" s="11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31" s="114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11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Drop1T</v>
      </c>
      <c r="AF31" s="99">
        <v>1</v>
      </c>
      <c r="AG31" s="23">
        <f t="shared" ca="1" si="24"/>
        <v>2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6">
        <v>1</v>
      </c>
    </row>
    <row r="32" spans="1:40" ht="21" customHeight="1" x14ac:dyDescent="0.15">
      <c r="A32" s="15" t="str">
        <f t="shared" ca="1" si="20"/>
        <v>39006_4-2/35&lt;lv50&gt;s4</v>
      </c>
      <c r="B32" s="21">
        <v>39006</v>
      </c>
      <c r="C32" s="20">
        <v>4</v>
      </c>
      <c r="D32" s="2" t="str">
        <f t="shared" si="21"/>
        <v>39006_4</v>
      </c>
      <c r="E32" s="4" t="str">
        <f ca="1">VLOOKUP($B32,OFFSET([2]quests!$A$1,0,0,COUNTA([2]quests!$A:$A),MATCH(E$1,[2]quests!$1:$1,0)-MATCH($B$1,[2]quests!$1:$1,0)+1),MATCH(E$1,[2]quests!$1:$1,0)-MATCH($B$1,[2]quests!$1:$1,0)+1,FALSE)</f>
        <v>シガンシナ区攻防戦</v>
      </c>
      <c r="F32" s="4" t="str">
        <f ca="1">VLOOKUP($D32,OFFSET([2]stages!$A$1,0,0,COUNTA([2]stages!$A:$A),MATCH(F$1,[2]stages!$2:$2,0)-MATCH($D$1,[2]stages!$2:$2,0)+1),MATCH(F$1,[2]stages!$2:$2,0)-MATCH($D$1,[2]stages!$2:$2,0)+1,FALSE)</f>
        <v>【超級】シガンシナ区攻防戦</v>
      </c>
      <c r="G32" s="20">
        <v>2</v>
      </c>
      <c r="H32" s="14" t="str">
        <f t="shared" si="22"/>
        <v>39006_4-2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6" t="s">
        <v>53</v>
      </c>
      <c r="L32" s="19">
        <v>35</v>
      </c>
      <c r="M32" s="16" t="str">
        <f ca="1">VLOOKUP($L32,OFFSET([3]enemies!$A$1,0,0,COUNTA([3]enemies!$A:$A),MATCH(M$1,[3]enemies!$1:$1,0)-MATCH($L$1,[3]enemies!$1:$1,0)+1),MATCH(M$1,[3]enemies!$1:$1,0)-MATCH($L$1,[3]enemies!$1:$1,0)+1,FALSE)</f>
        <v>F2</v>
      </c>
      <c r="N32" s="16" t="str">
        <f ca="1">VLOOKUP($L32,OFFSET([3]enemies!$A$1,0,0,COUNTA([3]enemies!$A:$A),MATCH(N$1,[3]enemies!$1:$1,0)-MATCH($L$1,[3]enemies!$1:$1,0)+1),MATCH(N$1,[3]enemies!$1:$1,0)-MATCH($L$1,[3]enemies!$1:$1,0)+1,FALSE)</f>
        <v>green</v>
      </c>
      <c r="O32" s="16" t="str">
        <f ca="1">VLOOKUP($L32,OFFSET([4]characters!$A$1,0,0,COUNTA([4]characters!$A:$A),MATCH(O$1,[4]characters!$1:$1,0)-MATCH($L$1,[4]characters!$1:$1,0)+1),MATCH(O$1,[4]characters!$1:$1,0)-MATCH($L$1,[4]characters!$1:$1,0)+1,FALSE)</f>
        <v>Drop1S</v>
      </c>
      <c r="P32" s="16" t="str">
        <f ca="1">VLOOKUP($L32,OFFSET([3]enemies!$A$1,0,0,COUNTA([3]enemies!$A:$A),MATCH(P$1,[3]enemies!$1:$1,0)-MATCH($L$1,[3]enemies!$1:$1,0)+1),MATCH(P$1,[3]enemies!$1:$1,0)-MATCH($L$1,[3]enemies!$1:$1,0)+1,FALSE)</f>
        <v>machine</v>
      </c>
      <c r="Q32" s="16">
        <f ca="1">VLOOKUP($L32,OFFSET([3]enemies!$A$1,0,0,COUNTA([3]enemies!$A:$A),MATCH(Q$1,[3]enemies!$1:$1,0)-MATCH($L$1,[3]enemies!$1:$1,0)+1),MATCH(Q$1,[3]enemies!$1:$1,0)-MATCH($L$1,[3]enemies!$1:$1,0)+1,FALSE)</f>
        <v>15</v>
      </c>
      <c r="R32" s="96">
        <v>50</v>
      </c>
      <c r="S32" s="24">
        <v>2</v>
      </c>
      <c r="T32" s="24">
        <v>1</v>
      </c>
      <c r="U32" s="5">
        <v>0</v>
      </c>
      <c r="V32" s="4" t="e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2" s="118">
        <v>39006031</v>
      </c>
      <c r="X32" s="6">
        <v>1</v>
      </c>
      <c r="Y32" s="6">
        <v>100</v>
      </c>
      <c r="Z32" s="6">
        <v>0</v>
      </c>
      <c r="AA32" s="16">
        <f ca="1">VLOOKUP($L32,OFFSET([3]enemies!$A$1,0,0,COUNTA([3]enemies!$A:$A),MATCH(AA$1,[3]enemies!$1:$1,0)-MATCH($L$1,[3]enemies!$1:$1,0)+1),MATCH(AA$1,[3]enemies!$1:$1,0)-MATCH($L$1,[3]enemies!$1:$1,0)+1,FALSE)</f>
        <v>4</v>
      </c>
      <c r="AB32" s="23">
        <f t="shared" si="23"/>
        <v>35</v>
      </c>
      <c r="AC32" s="11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F2</v>
      </c>
      <c r="AD32" s="114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11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Drop1S</v>
      </c>
      <c r="AF32" s="99">
        <v>1</v>
      </c>
      <c r="AG32" s="23">
        <f t="shared" ca="1" si="24"/>
        <v>2</v>
      </c>
      <c r="AH32" s="8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6">
        <v>1</v>
      </c>
    </row>
    <row r="33" spans="1:40" ht="21" customHeight="1" x14ac:dyDescent="0.15">
      <c r="A33" s="15" t="str">
        <f t="shared" ca="1" si="20"/>
        <v>39006_4-3/996&lt;lv50&gt;s3</v>
      </c>
      <c r="B33" s="21">
        <v>39006</v>
      </c>
      <c r="C33" s="20">
        <v>4</v>
      </c>
      <c r="D33" s="2" t="str">
        <f t="shared" si="21"/>
        <v>39006_4</v>
      </c>
      <c r="E33" s="4" t="str">
        <f ca="1">VLOOKUP($B33,OFFSET([2]quests!$A$1,0,0,COUNTA([2]quests!$A:$A),MATCH(E$1,[2]quests!$1:$1,0)-MATCH($B$1,[2]quests!$1:$1,0)+1),MATCH(E$1,[2]quests!$1:$1,0)-MATCH($B$1,[2]quests!$1:$1,0)+1,FALSE)</f>
        <v>シガンシナ区攻防戦</v>
      </c>
      <c r="F33" s="4" t="str">
        <f ca="1">VLOOKUP($D33,OFFSET([2]stages!$A$1,0,0,COUNTA([2]stages!$A:$A),MATCH(F$1,[2]stages!$2:$2,0)-MATCH($D$1,[2]stages!$2:$2,0)+1),MATCH(F$1,[2]stages!$2:$2,0)-MATCH($D$1,[2]stages!$2:$2,0)+1,FALSE)</f>
        <v>【超級】シガンシナ区攻防戦</v>
      </c>
      <c r="G33" s="20">
        <v>3</v>
      </c>
      <c r="H33" s="14" t="str">
        <f t="shared" si="22"/>
        <v>39006_4-3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6" t="s">
        <v>53</v>
      </c>
      <c r="L33" s="19">
        <v>996</v>
      </c>
      <c r="M33" s="16" t="str">
        <f ca="1">VLOOKUP($L33,OFFSET([3]enemies!$A$1,0,0,COUNTA([3]enemies!$A:$A),MATCH(M$1,[3]enemies!$1:$1,0)-MATCH($L$1,[3]enemies!$1:$1,0)+1),MATCH(M$1,[3]enemies!$1:$1,0)-MATCH($L$1,[3]enemies!$1:$1,0)+1,FALSE)</f>
        <v>リヴァイ</v>
      </c>
      <c r="N33" s="16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6" t="str">
        <f ca="1">VLOOKUP($L33,OFFSET([4]characters!$A$1,0,0,COUNTA([4]characters!$A:$A),MATCH(O$1,[4]characters!$1:$1,0)-MATCH($L$1,[4]characters!$1:$1,0)+1),MATCH(O$1,[4]characters!$1:$1,0)-MATCH($L$1,[4]characters!$1:$1,0)+1,FALSE)</f>
        <v>PremiumSS</v>
      </c>
      <c r="P33" s="16" t="str">
        <f ca="1">VLOOKUP($L33,OFFSET([3]enemies!$A$1,0,0,COUNTA([3]enemies!$A:$A),MATCH(P$1,[3]enemies!$1:$1,0)-MATCH($L$1,[3]enemies!$1:$1,0)+1),MATCH(P$1,[3]enemies!$1:$1,0)-MATCH($L$1,[3]enemies!$1:$1,0)+1,FALSE)</f>
        <v>human</v>
      </c>
      <c r="Q33" s="16">
        <f ca="1">VLOOKUP($L33,OFFSET([3]enemies!$A$1,0,0,COUNTA([3]enemies!$A:$A),MATCH(Q$1,[3]enemies!$1:$1,0)-MATCH($L$1,[3]enemies!$1:$1,0)+1),MATCH(Q$1,[3]enemies!$1:$1,0)-MATCH($L$1,[3]enemies!$1:$1,0)+1,FALSE)</f>
        <v>60</v>
      </c>
      <c r="R33" s="96">
        <v>50</v>
      </c>
      <c r="S33" s="24">
        <v>1</v>
      </c>
      <c r="T33" s="24">
        <v>1</v>
      </c>
      <c r="U33" s="5">
        <v>0</v>
      </c>
      <c r="V33" s="4" t="e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3" s="4">
        <v>39006015</v>
      </c>
      <c r="X33" s="6">
        <v>0</v>
      </c>
      <c r="Y33" s="6">
        <v>40</v>
      </c>
      <c r="Z33" s="6">
        <v>1</v>
      </c>
      <c r="AA33" s="16">
        <f ca="1">VLOOKUP($L33,OFFSET([3]enemies!$A$1,0,0,COUNTA([3]enemies!$A:$A),MATCH(AA$1,[3]enemies!$1:$1,0)-MATCH($L$1,[3]enemies!$1:$1,0)+1),MATCH(AA$1,[3]enemies!$1:$1,0)-MATCH($L$1,[3]enemies!$1:$1,0)+1,FALSE)</f>
        <v>3</v>
      </c>
      <c r="AB33" s="23">
        <f t="shared" si="23"/>
        <v>996</v>
      </c>
      <c r="AC33" s="11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リヴァイ</v>
      </c>
      <c r="AD33" s="114">
        <f ca="1">VLOOKUP($AB33,OFFSET([4]characters!$A$1,0,0,COUNTA([4]characters!$A:$A),MATCH(AD$1,[4]characters!$1:$1,0)-MATCH("character_id",[4]characters!$1:$1,0)+1),MATCH(AD$1,[4]characters!$1:$1,0)-MATCH("character_id",[4]characters!$1:$1,0)+1,FALSE)</f>
        <v>5</v>
      </c>
      <c r="AE33" s="11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3" s="99">
        <v>1</v>
      </c>
      <c r="AG33" s="23">
        <f t="shared" ca="1" si="24"/>
        <v>5</v>
      </c>
      <c r="AH33" s="8">
        <v>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6">
        <v>1</v>
      </c>
    </row>
    <row r="34" spans="1:40" ht="21" customHeight="1" x14ac:dyDescent="0.15">
      <c r="A34" s="15" t="str">
        <f t="shared" ca="1" si="20"/>
        <v>39006_4-3/986&lt;lv50&gt;s3</v>
      </c>
      <c r="B34" s="21">
        <v>39006</v>
      </c>
      <c r="C34" s="20">
        <v>4</v>
      </c>
      <c r="D34" s="2" t="str">
        <f t="shared" si="21"/>
        <v>39006_4</v>
      </c>
      <c r="E34" s="4" t="str">
        <f ca="1">VLOOKUP($B34,OFFSET([2]quests!$A$1,0,0,COUNTA([2]quests!$A:$A),MATCH(E$1,[2]quests!$1:$1,0)-MATCH($B$1,[2]quests!$1:$1,0)+1),MATCH(E$1,[2]quests!$1:$1,0)-MATCH($B$1,[2]quests!$1:$1,0)+1,FALSE)</f>
        <v>シガンシナ区攻防戦</v>
      </c>
      <c r="F34" s="4" t="str">
        <f ca="1">VLOOKUP($D34,OFFSET([2]stages!$A$1,0,0,COUNTA([2]stages!$A:$A),MATCH(F$1,[2]stages!$2:$2,0)-MATCH($D$1,[2]stages!$2:$2,0)+1),MATCH(F$1,[2]stages!$2:$2,0)-MATCH($D$1,[2]stages!$2:$2,0)+1,FALSE)</f>
        <v>【超級】シガンシナ区攻防戦</v>
      </c>
      <c r="G34" s="20">
        <v>3</v>
      </c>
      <c r="H34" s="14" t="str">
        <f t="shared" si="22"/>
        <v>39006_4-3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6" t="s">
        <v>53</v>
      </c>
      <c r="L34" s="19">
        <v>986</v>
      </c>
      <c r="M34" s="16" t="str">
        <f ca="1">VLOOKUP($L34,OFFSET([3]enemies!$A$1,0,0,COUNTA([3]enemies!$A:$A),MATCH(M$1,[3]enemies!$1:$1,0)-MATCH($L$1,[3]enemies!$1:$1,0)+1),MATCH(M$1,[3]enemies!$1:$1,0)-MATCH($L$1,[3]enemies!$1:$1,0)+1,FALSE)</f>
        <v>復讐の誓約 エレン</v>
      </c>
      <c r="N34" s="16" t="str">
        <f ca="1">VLOOKUP($L34,OFFSET([3]enemies!$A$1,0,0,COUNTA([3]enemies!$A:$A),MATCH(N$1,[3]enemies!$1:$1,0)-MATCH($L$1,[3]enemies!$1:$1,0)+1),MATCH(N$1,[3]enemies!$1:$1,0)-MATCH($L$1,[3]enemies!$1:$1,0)+1,FALSE)</f>
        <v>red</v>
      </c>
      <c r="O34" s="16" t="str">
        <f ca="1">VLOOKUP($L34,OFFSET([4]characters!$A$1,0,0,COUNTA([4]characters!$A:$A),MATCH(O$1,[4]characters!$1:$1,0)-MATCH($L$1,[4]characters!$1:$1,0)+1),MATCH(O$1,[4]characters!$1:$1,0)-MATCH($L$1,[4]characters!$1:$1,0)+1,FALSE)</f>
        <v>PremiumSS</v>
      </c>
      <c r="P34" s="16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6">
        <f ca="1">VLOOKUP($L34,OFFSET([3]enemies!$A$1,0,0,COUNTA([3]enemies!$A:$A),MATCH(Q$1,[3]enemies!$1:$1,0)-MATCH($L$1,[3]enemies!$1:$1,0)+1),MATCH(Q$1,[3]enemies!$1:$1,0)-MATCH($L$1,[3]enemies!$1:$1,0)+1,FALSE)</f>
        <v>60</v>
      </c>
      <c r="R34" s="96">
        <v>50</v>
      </c>
      <c r="S34" s="24">
        <v>1</v>
      </c>
      <c r="T34" s="24">
        <v>1</v>
      </c>
      <c r="U34" s="5">
        <v>0</v>
      </c>
      <c r="V34" s="4" t="e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4" s="4">
        <v>39006016</v>
      </c>
      <c r="X34" s="6">
        <v>0</v>
      </c>
      <c r="Y34" s="6">
        <v>40</v>
      </c>
      <c r="Z34" s="6">
        <v>1</v>
      </c>
      <c r="AA34" s="16">
        <f ca="1">VLOOKUP($L34,OFFSET([3]enemies!$A$1,0,0,COUNTA([3]enemies!$A:$A),MATCH(AA$1,[3]enemies!$1:$1,0)-MATCH($L$1,[3]enemies!$1:$1,0)+1),MATCH(AA$1,[3]enemies!$1:$1,0)-MATCH($L$1,[3]enemies!$1:$1,0)+1,FALSE)</f>
        <v>3</v>
      </c>
      <c r="AB34" s="23">
        <f t="shared" si="23"/>
        <v>986</v>
      </c>
      <c r="AC34" s="11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復讐の誓約 エレン</v>
      </c>
      <c r="AD34" s="114">
        <f ca="1">VLOOKUP($AB34,OFFSET([4]characters!$A$1,0,0,COUNTA([4]characters!$A:$A),MATCH(AD$1,[4]characters!$1:$1,0)-MATCH("character_id",[4]characters!$1:$1,0)+1),MATCH(AD$1,[4]characters!$1:$1,0)-MATCH("character_id",[4]characters!$1:$1,0)+1,FALSE)</f>
        <v>6</v>
      </c>
      <c r="AE34" s="11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4" s="99">
        <v>1</v>
      </c>
      <c r="AG34" s="23">
        <f t="shared" ca="1" si="24"/>
        <v>6</v>
      </c>
      <c r="AH34" s="8">
        <v>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6">
        <v>1</v>
      </c>
    </row>
    <row r="35" spans="1:40" ht="21" customHeight="1" x14ac:dyDescent="0.15">
      <c r="A35" s="15" t="str">
        <f t="shared" ca="1" si="20"/>
        <v>39006_4-3/987&lt;lv50&gt;s3</v>
      </c>
      <c r="B35" s="21">
        <v>39006</v>
      </c>
      <c r="C35" s="20">
        <v>4</v>
      </c>
      <c r="D35" s="2" t="str">
        <f t="shared" si="21"/>
        <v>39006_4</v>
      </c>
      <c r="E35" s="4" t="str">
        <f ca="1">VLOOKUP($B35,OFFSET([2]quests!$A$1,0,0,COUNTA([2]quests!$A:$A),MATCH(E$1,[2]quests!$1:$1,0)-MATCH($B$1,[2]quests!$1:$1,0)+1),MATCH(E$1,[2]quests!$1:$1,0)-MATCH($B$1,[2]quests!$1:$1,0)+1,FALSE)</f>
        <v>シガンシナ区攻防戦</v>
      </c>
      <c r="F35" s="4" t="str">
        <f ca="1">VLOOKUP($D35,OFFSET([2]stages!$A$1,0,0,COUNTA([2]stages!$A:$A),MATCH(F$1,[2]stages!$2:$2,0)-MATCH($D$1,[2]stages!$2:$2,0)+1),MATCH(F$1,[2]stages!$2:$2,0)-MATCH($D$1,[2]stages!$2:$2,0)+1,FALSE)</f>
        <v>【超級】シガンシナ区攻防戦</v>
      </c>
      <c r="G35" s="20">
        <v>3</v>
      </c>
      <c r="H35" s="14" t="str">
        <f t="shared" si="22"/>
        <v>39006_4-3</v>
      </c>
      <c r="I35" s="4">
        <f ca="1">VLOOKUP($H35,OFFSET(floors!$A$1,0,0,COUNTA(floors!$A:$A),MATCH(I$1,floors!$1:$1,0)-MATCH($H$1,floors!$1:$1,0)+1),MATCH(I$1,floors!$1:$1,0)-MATCH($H$1,floors!$1:$1,0)+1,FALSE)</f>
        <v>60</v>
      </c>
      <c r="J35" s="4">
        <f ca="1">VLOOKUP($H35,OFFSET(floors!$A$1,0,0,COUNTA(floors!$A:$A),MATCH(J$1,floors!$1:$1,0)-MATCH($H$1,floors!$1:$1,0)+1),MATCH(J$1,floors!$1:$1,0)-MATCH($H$1,floors!$1:$1,0)+1,FALSE)</f>
        <v>60</v>
      </c>
      <c r="K35" s="36" t="s">
        <v>53</v>
      </c>
      <c r="L35" s="19">
        <v>987</v>
      </c>
      <c r="M35" s="16" t="str">
        <f ca="1">VLOOKUP($L35,OFFSET([3]enemies!$A$1,0,0,COUNTA([3]enemies!$A:$A),MATCH(M$1,[3]enemies!$1:$1,0)-MATCH($L$1,[3]enemies!$1:$1,0)+1),MATCH(M$1,[3]enemies!$1:$1,0)-MATCH($L$1,[3]enemies!$1:$1,0)+1,FALSE)</f>
        <v>撃壊の眼煌 エレン巨人</v>
      </c>
      <c r="N35" s="16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6" t="str">
        <f ca="1">VLOOKUP($L35,OFFSET([4]characters!$A$1,0,0,COUNTA([4]characters!$A:$A),MATCH(O$1,[4]characters!$1:$1,0)-MATCH($L$1,[4]characters!$1:$1,0)+1),MATCH(O$1,[4]characters!$1:$1,0)-MATCH($L$1,[4]characters!$1:$1,0)+1,FALSE)</f>
        <v>PremiumSS</v>
      </c>
      <c r="P35" s="16" t="str">
        <f ca="1">VLOOKUP($L35,OFFSET([3]enemies!$A$1,0,0,COUNTA([3]enemies!$A:$A),MATCH(P$1,[3]enemies!$1:$1,0)-MATCH($L$1,[3]enemies!$1:$1,0)+1),MATCH(P$1,[3]enemies!$1:$1,0)-MATCH($L$1,[3]enemies!$1:$1,0)+1,FALSE)</f>
        <v>ti</v>
      </c>
      <c r="Q35" s="16">
        <f ca="1">VLOOKUP($L35,OFFSET([3]enemies!$A$1,0,0,COUNTA([3]enemies!$A:$A),MATCH(Q$1,[3]enemies!$1:$1,0)-MATCH($L$1,[3]enemies!$1:$1,0)+1),MATCH(Q$1,[3]enemies!$1:$1,0)-MATCH($L$1,[3]enemies!$1:$1,0)+1,FALSE)</f>
        <v>60</v>
      </c>
      <c r="R35" s="96">
        <v>50</v>
      </c>
      <c r="S35" s="24">
        <v>1</v>
      </c>
      <c r="T35" s="24">
        <v>1</v>
      </c>
      <c r="U35" s="5">
        <v>0</v>
      </c>
      <c r="V35" s="4" t="e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5" s="4">
        <v>39006017</v>
      </c>
      <c r="X35" s="6">
        <v>0</v>
      </c>
      <c r="Y35" s="6">
        <v>20</v>
      </c>
      <c r="Z35" s="6">
        <v>1</v>
      </c>
      <c r="AA35" s="16">
        <f ca="1">VLOOKUP($L35,OFFSET([3]enemies!$A$1,0,0,COUNTA([3]enemies!$A:$A),MATCH(AA$1,[3]enemies!$1:$1,0)-MATCH($L$1,[3]enemies!$1:$1,0)+1),MATCH(AA$1,[3]enemies!$1:$1,0)-MATCH($L$1,[3]enemies!$1:$1,0)+1,FALSE)</f>
        <v>3</v>
      </c>
      <c r="AB35" s="23">
        <f t="shared" si="23"/>
        <v>987</v>
      </c>
      <c r="AC35" s="11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撃壊の眼煌 エレン巨人</v>
      </c>
      <c r="AD35" s="114">
        <f ca="1">VLOOKUP($AB35,OFFSET([4]characters!$A$1,0,0,COUNTA([4]characters!$A:$A),MATCH(AD$1,[4]characters!$1:$1,0)-MATCH("character_id",[4]characters!$1:$1,0)+1),MATCH(AD$1,[4]characters!$1:$1,0)-MATCH("character_id",[4]characters!$1:$1,0)+1,FALSE)</f>
        <v>6</v>
      </c>
      <c r="AE35" s="11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5" s="99">
        <v>1</v>
      </c>
      <c r="AG35" s="23">
        <f t="shared" ca="1" si="24"/>
        <v>6</v>
      </c>
      <c r="AH35" s="8">
        <v>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6">
        <v>1</v>
      </c>
    </row>
    <row r="36" spans="1:40" ht="21" customHeight="1" x14ac:dyDescent="0.15">
      <c r="A36" s="15" t="str">
        <f t="shared" ca="1" si="20"/>
        <v>39006_4-4/982&lt;lv55&gt;s3</v>
      </c>
      <c r="B36" s="21">
        <v>39006</v>
      </c>
      <c r="C36" s="20">
        <v>4</v>
      </c>
      <c r="D36" s="2" t="str">
        <f t="shared" si="21"/>
        <v>39006_4</v>
      </c>
      <c r="E36" s="4" t="str">
        <f ca="1">VLOOKUP($B36,OFFSET([2]quests!$A$1,0,0,COUNTA([2]quests!$A:$A),MATCH(E$1,[2]quests!$1:$1,0)-MATCH($B$1,[2]quests!$1:$1,0)+1),MATCH(E$1,[2]quests!$1:$1,0)-MATCH($B$1,[2]quests!$1:$1,0)+1,FALSE)</f>
        <v>シガンシナ区攻防戦</v>
      </c>
      <c r="F36" s="4" t="str">
        <f ca="1">VLOOKUP($D36,OFFSET([2]stages!$A$1,0,0,COUNTA([2]stages!$A:$A),MATCH(F$1,[2]stages!$2:$2,0)-MATCH($D$1,[2]stages!$2:$2,0)+1),MATCH(F$1,[2]stages!$2:$2,0)-MATCH($D$1,[2]stages!$2:$2,0)+1,FALSE)</f>
        <v>【超級】シガンシナ区攻防戦</v>
      </c>
      <c r="G36" s="20">
        <v>4</v>
      </c>
      <c r="H36" s="14" t="str">
        <f t="shared" si="22"/>
        <v>39006_4-4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6">
        <v>7</v>
      </c>
      <c r="L36" s="19">
        <v>982</v>
      </c>
      <c r="M36" s="16" t="str">
        <f ca="1">VLOOKUP($L36,OFFSET([3]enemies!$A$1,0,0,COUNTA([3]enemies!$A:$A),MATCH(M$1,[3]enemies!$1:$1,0)-MATCH($L$1,[3]enemies!$1:$1,0)+1),MATCH(M$1,[3]enemies!$1:$1,0)-MATCH($L$1,[3]enemies!$1:$1,0)+1,FALSE)</f>
        <v>柔靭なる剛脚 女型の巨人</v>
      </c>
      <c r="N36" s="16" t="str">
        <f ca="1">VLOOKUP($L36,OFFSET([3]enemies!$A$1,0,0,COUNTA([3]enemies!$A:$A),MATCH(N$1,[3]enemies!$1:$1,0)-MATCH($L$1,[3]enemies!$1:$1,0)+1),MATCH(N$1,[3]enemies!$1:$1,0)-MATCH($L$1,[3]enemies!$1:$1,0)+1,FALSE)</f>
        <v>green</v>
      </c>
      <c r="O36" s="16" t="str">
        <f ca="1">VLOOKUP($L36,OFFSET([4]characters!$A$1,0,0,COUNTA([4]characters!$A:$A),MATCH(O$1,[4]characters!$1:$1,0)-MATCH($L$1,[4]characters!$1:$1,0)+1),MATCH(O$1,[4]characters!$1:$1,0)-MATCH($L$1,[4]characters!$1:$1,0)+1,FALSE)</f>
        <v>Drop2N</v>
      </c>
      <c r="P36" s="16" t="str">
        <f ca="1">VLOOKUP($L36,OFFSET([3]enemies!$A$1,0,0,COUNTA([3]enemies!$A:$A),MATCH(P$1,[3]enemies!$1:$1,0)-MATCH($L$1,[3]enemies!$1:$1,0)+1),MATCH(P$1,[3]enemies!$1:$1,0)-MATCH($L$1,[3]enemies!$1:$1,0)+1,FALSE)</f>
        <v>ti</v>
      </c>
      <c r="Q36" s="16">
        <f ca="1">VLOOKUP($L36,OFFSET([3]enemies!$A$1,0,0,COUNTA([3]enemies!$A:$A),MATCH(Q$1,[3]enemies!$1:$1,0)-MATCH($L$1,[3]enemies!$1:$1,0)+1),MATCH(Q$1,[3]enemies!$1:$1,0)-MATCH($L$1,[3]enemies!$1:$1,0)+1,FALSE)</f>
        <v>60</v>
      </c>
      <c r="R36" s="96">
        <v>55</v>
      </c>
      <c r="S36" s="24">
        <v>2</v>
      </c>
      <c r="T36" s="24">
        <v>1</v>
      </c>
      <c r="U36" s="5">
        <v>0</v>
      </c>
      <c r="V36" s="4" t="e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6" s="4">
        <v>39006021</v>
      </c>
      <c r="X36" s="6">
        <v>0</v>
      </c>
      <c r="Y36" s="6">
        <v>50</v>
      </c>
      <c r="Z36" s="6">
        <v>1</v>
      </c>
      <c r="AA36" s="16">
        <f ca="1">VLOOKUP($L36,OFFSET([3]enemies!$A$1,0,0,COUNTA([3]enemies!$A:$A),MATCH(AA$1,[3]enemies!$1:$1,0)-MATCH($L$1,[3]enemies!$1:$1,0)+1),MATCH(AA$1,[3]enemies!$1:$1,0)-MATCH($L$1,[3]enemies!$1:$1,0)+1,FALSE)</f>
        <v>3</v>
      </c>
      <c r="AB36" s="23">
        <v>981</v>
      </c>
      <c r="AC36" s="11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女型の巨人</v>
      </c>
      <c r="AD36" s="114">
        <f ca="1">VLOOKUP($AB36,OFFSET([4]characters!$A$1,0,0,COUNTA([4]characters!$A:$A),MATCH(AD$1,[4]characters!$1:$1,0)-MATCH("character_id",[4]characters!$1:$1,0)+1),MATCH(AD$1,[4]characters!$1:$1,0)-MATCH("character_id",[4]characters!$1:$1,0)+1,FALSE)</f>
        <v>4</v>
      </c>
      <c r="AE36" s="11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Drop2N</v>
      </c>
      <c r="AF36" s="99">
        <v>1</v>
      </c>
      <c r="AG36" s="23">
        <f t="shared" ca="1" si="24"/>
        <v>4</v>
      </c>
      <c r="AH36" s="8">
        <v>100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6">
        <v>1</v>
      </c>
    </row>
    <row r="37" spans="1:40" ht="21" customHeight="1" thickBot="1" x14ac:dyDescent="0.2">
      <c r="A37" s="15" t="str">
        <f t="shared" ca="1" si="20"/>
        <v>39006_4-4/984&lt;lv55&gt;s3</v>
      </c>
      <c r="B37" s="21">
        <v>39006</v>
      </c>
      <c r="C37" s="20">
        <v>4</v>
      </c>
      <c r="D37" s="2" t="str">
        <f t="shared" si="21"/>
        <v>39006_4</v>
      </c>
      <c r="E37" s="4" t="str">
        <f ca="1">VLOOKUP($B37,OFFSET([2]quests!$A$1,0,0,COUNTA([2]quests!$A:$A),MATCH(E$1,[2]quests!$1:$1,0)-MATCH($B$1,[2]quests!$1:$1,0)+1),MATCH(E$1,[2]quests!$1:$1,0)-MATCH($B$1,[2]quests!$1:$1,0)+1,FALSE)</f>
        <v>シガンシナ区攻防戦</v>
      </c>
      <c r="F37" s="4" t="str">
        <f ca="1">VLOOKUP($D37,OFFSET([2]stages!$A$1,0,0,COUNTA([2]stages!$A:$A),MATCH(F$1,[2]stages!$2:$2,0)-MATCH($D$1,[2]stages!$2:$2,0)+1),MATCH(F$1,[2]stages!$2:$2,0)-MATCH($D$1,[2]stages!$2:$2,0)+1,FALSE)</f>
        <v>【超級】シガンシナ区攻防戦</v>
      </c>
      <c r="G37" s="20">
        <v>4</v>
      </c>
      <c r="H37" s="14" t="str">
        <f t="shared" si="22"/>
        <v>39006_4-4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6">
        <v>8</v>
      </c>
      <c r="L37" s="19">
        <v>984</v>
      </c>
      <c r="M37" s="16" t="str">
        <f ca="1">VLOOKUP($L37,OFFSET([3]enemies!$A$1,0,0,COUNTA([3]enemies!$A:$A),MATCH(M$1,[3]enemies!$1:$1,0)-MATCH($L$1,[3]enemies!$1:$1,0)+1),MATCH(M$1,[3]enemies!$1:$1,0)-MATCH($L$1,[3]enemies!$1:$1,0)+1,FALSE)</f>
        <v>破壁の剛弾 鎧の巨人</v>
      </c>
      <c r="N37" s="16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16" t="str">
        <f ca="1">VLOOKUP($L37,OFFSET([4]characters!$A$1,0,0,COUNTA([4]characters!$A:$A),MATCH(O$1,[4]characters!$1:$1,0)-MATCH($L$1,[4]characters!$1:$1,0)+1),MATCH(O$1,[4]characters!$1:$1,0)-MATCH($L$1,[4]characters!$1:$1,0)+1,FALSE)</f>
        <v>Drop2N</v>
      </c>
      <c r="P37" s="16" t="str">
        <f ca="1">VLOOKUP($L37,OFFSET([3]enemies!$A$1,0,0,COUNTA([3]enemies!$A:$A),MATCH(P$1,[3]enemies!$1:$1,0)-MATCH($L$1,[3]enemies!$1:$1,0)+1),MATCH(P$1,[3]enemies!$1:$1,0)-MATCH($L$1,[3]enemies!$1:$1,0)+1,FALSE)</f>
        <v>ti</v>
      </c>
      <c r="Q37" s="16">
        <f ca="1">VLOOKUP($L37,OFFSET([3]enemies!$A$1,0,0,COUNTA([3]enemies!$A:$A),MATCH(Q$1,[3]enemies!$1:$1,0)-MATCH($L$1,[3]enemies!$1:$1,0)+1),MATCH(Q$1,[3]enemies!$1:$1,0)-MATCH($L$1,[3]enemies!$1:$1,0)+1,FALSE)</f>
        <v>60</v>
      </c>
      <c r="R37" s="96">
        <v>55</v>
      </c>
      <c r="S37" s="24">
        <v>2</v>
      </c>
      <c r="T37" s="24">
        <v>1</v>
      </c>
      <c r="U37" s="5">
        <v>0</v>
      </c>
      <c r="V37" s="4" t="e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37" s="4">
        <v>39006029</v>
      </c>
      <c r="X37" s="110">
        <v>0</v>
      </c>
      <c r="Y37" s="110">
        <v>50</v>
      </c>
      <c r="Z37" s="110">
        <v>1</v>
      </c>
      <c r="AA37" s="16">
        <f ca="1">VLOOKUP($L37,OFFSET([3]enemies!$A$1,0,0,COUNTA([3]enemies!$A:$A),MATCH(AA$1,[3]enemies!$1:$1,0)-MATCH($L$1,[3]enemies!$1:$1,0)+1),MATCH(AA$1,[3]enemies!$1:$1,0)-MATCH($L$1,[3]enemies!$1:$1,0)+1,FALSE)</f>
        <v>3</v>
      </c>
      <c r="AB37" s="111">
        <v>983</v>
      </c>
      <c r="AC37" s="11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37" s="114">
        <f ca="1">VLOOKUP($AB37,OFFSET([4]characters!$A$1,0,0,COUNTA([4]characters!$A:$A),MATCH(AD$1,[4]characters!$1:$1,0)-MATCH("character_id",[4]characters!$1:$1,0)+1),MATCH(AD$1,[4]characters!$1:$1,0)-MATCH("character_id",[4]characters!$1:$1,0)+1,FALSE)</f>
        <v>4</v>
      </c>
      <c r="AE37" s="11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Drop2N</v>
      </c>
      <c r="AF37" s="99">
        <v>1</v>
      </c>
      <c r="AG37" s="23">
        <f t="shared" ca="1" si="24"/>
        <v>4</v>
      </c>
      <c r="AH37" s="8">
        <v>100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6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9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36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3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4" t="s">
        <v>54</v>
      </c>
      <c r="L1" s="34" t="s">
        <v>55</v>
      </c>
      <c r="M1" s="35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5" t="str">
        <f t="shared" ref="A2:A9" si="0">B2&amp;"_"&amp;C2&amp;"-"&amp;G2&amp;"/"&amp;M2&amp;"&lt;lv"&amp;S2&amp;"&gt;sq"&amp;K2&amp;"st"&amp;L2</f>
        <v>39006_1-4/982&lt;lv10&gt;sq1st2</v>
      </c>
      <c r="B2" s="21">
        <v>39006</v>
      </c>
      <c r="C2" s="20">
        <v>1</v>
      </c>
      <c r="D2" s="2" t="str">
        <f t="shared" ref="D2:D9" si="1">B2&amp;"_"&amp;C2</f>
        <v>39006_1</v>
      </c>
      <c r="E2" s="4" t="str">
        <f ca="1">VLOOKUP($B2,OFFSET([2]quests!$A$1,0,0,COUNTA([2]quests!$A:$A),MATCH(E$1,[2]quests!$1:$1,0)-MATCH($B$1,[2]quests!$1:$1,0)+1),MATCH(E$1,[2]quests!$1:$1,0)-MATCH($B$1,[2]quests!$1:$1,0)+1,FALSE)</f>
        <v>シガンシナ区攻防戦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【初級】シガンシナ区攻防戦</v>
      </c>
      <c r="G2" s="20">
        <v>4</v>
      </c>
      <c r="H2" s="14" t="str">
        <f t="shared" ref="H2:H9" si="2">B2&amp;"_"&amp;C2&amp;"-"&amp;G2</f>
        <v>39006_1-4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19">
        <v>982</v>
      </c>
      <c r="N2" s="16" t="str">
        <f ca="1">VLOOKUP($M2,OFFSET([3]enemies!$A$1,0,0,COUNTA([3]enemies!$A:$A),MATCH(N$1,[3]enemies!$1:$1,0)-MATCH($M$1,[3]enemies!$1:$1,0)+1),MATCH(N$1,[3]enemies!$1:$1,0)-MATCH($M$1,[3]enemies!$1:$1,0)+1,FALSE)</f>
        <v>柔靭なる剛脚 女型の巨人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ti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10</v>
      </c>
      <c r="T2" s="24">
        <v>2</v>
      </c>
      <c r="U2" s="24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4">
        <v>39006022</v>
      </c>
      <c r="Y2" s="67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5" t="str">
        <f t="shared" si="0"/>
        <v>39006_1-4/984&lt;lv10&gt;sq2st2</v>
      </c>
      <c r="B3" s="21">
        <v>39006</v>
      </c>
      <c r="C3" s="20">
        <v>1</v>
      </c>
      <c r="D3" s="2" t="str">
        <f t="shared" si="1"/>
        <v>39006_1</v>
      </c>
      <c r="E3" s="4" t="str">
        <f ca="1">VLOOKUP($B3,OFFSET([2]quests!$A$1,0,0,COUNTA([2]quests!$A:$A),MATCH(E$1,[2]quests!$1:$1,0)-MATCH($B$1,[2]quests!$1:$1,0)+1),MATCH(E$1,[2]quests!$1:$1,0)-MATCH($B$1,[2]quests!$1:$1,0)+1,FALSE)</f>
        <v>シガンシナ区攻防戦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【初級】シガンシナ区攻防戦</v>
      </c>
      <c r="G3" s="20">
        <v>4</v>
      </c>
      <c r="H3" s="14" t="str">
        <f t="shared" si="2"/>
        <v>39006_1-4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36">
        <v>2</v>
      </c>
      <c r="M3" s="19">
        <v>984</v>
      </c>
      <c r="N3" s="16" t="str">
        <f ca="1">VLOOKUP($M3,OFFSET([3]enemies!$A$1,0,0,COUNTA([3]enemies!$A:$A),MATCH(N$1,[3]enemies!$1:$1,0)-MATCH($M$1,[3]enemies!$1:$1,0)+1),MATCH(N$1,[3]enemies!$1:$1,0)-MATCH($M$1,[3]enemies!$1:$1,0)+1,FALSE)</f>
        <v>破壁の剛弾 鎧の巨人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6" t="str">
        <f ca="1">VLOOKUP($M3,OFFSET([3]enemies!$A$1,0,0,COUNTA([3]enemies!$A:$A),MATCH(Q$1,[3]enemies!$1:$1,0)-MATCH($M$1,[3]enemies!$1:$1,0)+1),MATCH(Q$1,[3]enemies!$1:$1,0)-MATCH($M$1,[3]enemies!$1:$1,0)+1,FALSE)</f>
        <v>ti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10</v>
      </c>
      <c r="T3" s="24">
        <v>2</v>
      </c>
      <c r="U3" s="24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4">
        <v>39006030</v>
      </c>
      <c r="Y3" s="67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5" t="str">
        <f t="shared" si="0"/>
        <v>39006_2-4/982&lt;lv20&gt;sq3st2</v>
      </c>
      <c r="B4" s="21">
        <v>39006</v>
      </c>
      <c r="C4" s="20">
        <v>2</v>
      </c>
      <c r="D4" s="2" t="str">
        <f t="shared" si="1"/>
        <v>39006_2</v>
      </c>
      <c r="E4" s="4" t="str">
        <f ca="1">VLOOKUP($B4,OFFSET([2]quests!$A$1,0,0,COUNTA([2]quests!$A:$A),MATCH(E$1,[2]quests!$1:$1,0)-MATCH($B$1,[2]quests!$1:$1,0)+1),MATCH(E$1,[2]quests!$1:$1,0)-MATCH($B$1,[2]quests!$1:$1,0)+1,FALSE)</f>
        <v>シガンシナ区攻防戦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【中級】シガンシナ区攻防戦</v>
      </c>
      <c r="G4" s="20">
        <v>4</v>
      </c>
      <c r="H4" s="14" t="str">
        <f t="shared" si="2"/>
        <v>39006_2-4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3</v>
      </c>
      <c r="L4" s="36">
        <v>2</v>
      </c>
      <c r="M4" s="19">
        <v>982</v>
      </c>
      <c r="N4" s="16" t="str">
        <f ca="1">VLOOKUP($M4,OFFSET([3]enemies!$A$1,0,0,COUNTA([3]enemies!$A:$A),MATCH(N$1,[3]enemies!$1:$1,0)-MATCH($M$1,[3]enemies!$1:$1,0)+1),MATCH(N$1,[3]enemies!$1:$1,0)-MATCH($M$1,[3]enemies!$1:$1,0)+1,FALSE)</f>
        <v>柔靭なる剛脚 女型の巨人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6" t="str">
        <f ca="1">VLOOKUP($M4,OFFSET([3]enemies!$A$1,0,0,COUNTA([3]enemies!$A:$A),MATCH(Q$1,[3]enemies!$1:$1,0)-MATCH($M$1,[3]enemies!$1:$1,0)+1),MATCH(Q$1,[3]enemies!$1:$1,0)-MATCH($M$1,[3]enemies!$1:$1,0)+1,FALSE)</f>
        <v>ti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20</v>
      </c>
      <c r="T4" s="24">
        <v>2</v>
      </c>
      <c r="U4" s="24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4">
        <v>39006023</v>
      </c>
      <c r="Y4" s="67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 x14ac:dyDescent="0.15">
      <c r="A5" s="15" t="str">
        <f t="shared" si="0"/>
        <v>39006_2-4/984&lt;lv20&gt;sq4st2</v>
      </c>
      <c r="B5" s="21">
        <v>39006</v>
      </c>
      <c r="C5" s="20">
        <v>2</v>
      </c>
      <c r="D5" s="2" t="str">
        <f t="shared" si="1"/>
        <v>39006_2</v>
      </c>
      <c r="E5" s="4" t="str">
        <f ca="1">VLOOKUP($B5,OFFSET([2]quests!$A$1,0,0,COUNTA([2]quests!$A:$A),MATCH(E$1,[2]quests!$1:$1,0)-MATCH($B$1,[2]quests!$1:$1,0)+1),MATCH(E$1,[2]quests!$1:$1,0)-MATCH($B$1,[2]quests!$1:$1,0)+1,FALSE)</f>
        <v>シガンシナ区攻防戦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【中級】シガンシナ区攻防戦</v>
      </c>
      <c r="G5" s="20">
        <v>4</v>
      </c>
      <c r="H5" s="14" t="str">
        <f t="shared" si="2"/>
        <v>39006_2-4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4</v>
      </c>
      <c r="L5" s="36">
        <v>2</v>
      </c>
      <c r="M5" s="19">
        <v>984</v>
      </c>
      <c r="N5" s="16" t="str">
        <f ca="1">VLOOKUP($M5,OFFSET([3]enemies!$A$1,0,0,COUNTA([3]enemies!$A:$A),MATCH(N$1,[3]enemies!$1:$1,0)-MATCH($M$1,[3]enemies!$1:$1,0)+1),MATCH(N$1,[3]enemies!$1:$1,0)-MATCH($M$1,[3]enemies!$1:$1,0)+1,FALSE)</f>
        <v>破壁の剛弾 鎧の巨人</v>
      </c>
      <c r="O5" s="16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6" t="str">
        <f ca="1">VLOOKUP($M5,OFFSET([3]enemies!$A$1,0,0,COUNTA([3]enemies!$A:$A),MATCH(Q$1,[3]enemies!$1:$1,0)-MATCH($M$1,[3]enemies!$1:$1,0)+1),MATCH(Q$1,[3]enemies!$1:$1,0)-MATCH($M$1,[3]enemies!$1:$1,0)+1,FALSE)</f>
        <v>ti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20</v>
      </c>
      <c r="T5" s="24">
        <v>2</v>
      </c>
      <c r="U5" s="24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4">
        <v>39006030</v>
      </c>
      <c r="Y5" s="67">
        <f ca="1">VLOOKUP($M5,OFFSET([3]enemies!$A$1,0,0,COUNTA([3]enemies!$A:$A),MATCH(Y$1,[3]enemies!$1:$1,0)-MATCH($M$1,[3]enemies!$1:$1,0)+1),MATCH(Y$1,[3]enemies!$1:$1,0)-MATCH($M$1,[3]enemies!$1:$1,0)+1,FALSE)</f>
        <v>3</v>
      </c>
    </row>
    <row r="6" spans="1:25" ht="21" customHeight="1" x14ac:dyDescent="0.15">
      <c r="A6" s="15" t="str">
        <f t="shared" si="0"/>
        <v>39006_3-4/982&lt;lv30&gt;sq5st2</v>
      </c>
      <c r="B6" s="21">
        <v>39006</v>
      </c>
      <c r="C6" s="20">
        <v>3</v>
      </c>
      <c r="D6" s="2" t="str">
        <f t="shared" si="1"/>
        <v>39006_3</v>
      </c>
      <c r="E6" s="4" t="str">
        <f ca="1">VLOOKUP($B6,OFFSET([2]quests!$A$1,0,0,COUNTA([2]quests!$A:$A),MATCH(E$1,[2]quests!$1:$1,0)-MATCH($B$1,[2]quests!$1:$1,0)+1),MATCH(E$1,[2]quests!$1:$1,0)-MATCH($B$1,[2]quests!$1:$1,0)+1,FALSE)</f>
        <v>シガンシナ区攻防戦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【上級】シガンシナ区攻防戦</v>
      </c>
      <c r="G6" s="20">
        <v>4</v>
      </c>
      <c r="H6" s="14" t="str">
        <f t="shared" si="2"/>
        <v>39006_3-4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>
        <v>5</v>
      </c>
      <c r="L6" s="36">
        <v>2</v>
      </c>
      <c r="M6" s="19">
        <v>982</v>
      </c>
      <c r="N6" s="16" t="str">
        <f ca="1">VLOOKUP($M6,OFFSET([3]enemies!$A$1,0,0,COUNTA([3]enemies!$A:$A),MATCH(N$1,[3]enemies!$1:$1,0)-MATCH($M$1,[3]enemies!$1:$1,0)+1),MATCH(N$1,[3]enemies!$1:$1,0)-MATCH($M$1,[3]enemies!$1:$1,0)+1,FALSE)</f>
        <v>柔靭なる剛脚 女型の巨人</v>
      </c>
      <c r="O6" s="16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6" t="str">
        <f ca="1">VLOOKUP($M6,OFFSET([3]enemies!$A$1,0,0,COUNTA([3]enemies!$A:$A),MATCH(Q$1,[3]enemies!$1:$1,0)-MATCH($M$1,[3]enemies!$1:$1,0)+1),MATCH(Q$1,[3]enemies!$1:$1,0)-MATCH($M$1,[3]enemies!$1:$1,0)+1,FALSE)</f>
        <v>ti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30</v>
      </c>
      <c r="T6" s="24">
        <v>3</v>
      </c>
      <c r="U6" s="24">
        <v>1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6" s="4">
        <v>39006024</v>
      </c>
      <c r="Y6" s="67">
        <f ca="1">VLOOKUP($M6,OFFSET([3]enemies!$A$1,0,0,COUNTA([3]enemies!$A:$A),MATCH(Y$1,[3]enemies!$1:$1,0)-MATCH($M$1,[3]enemies!$1:$1,0)+1),MATCH(Y$1,[3]enemies!$1:$1,0)-MATCH($M$1,[3]enemies!$1:$1,0)+1,FALSE)</f>
        <v>3</v>
      </c>
    </row>
    <row r="7" spans="1:25" ht="21" customHeight="1" x14ac:dyDescent="0.15">
      <c r="A7" s="15" t="str">
        <f t="shared" si="0"/>
        <v>39006_3-4/984&lt;lv30&gt;sq6st2</v>
      </c>
      <c r="B7" s="21">
        <v>39006</v>
      </c>
      <c r="C7" s="20">
        <v>3</v>
      </c>
      <c r="D7" s="2" t="str">
        <f t="shared" si="1"/>
        <v>39006_3</v>
      </c>
      <c r="E7" s="4" t="str">
        <f ca="1">VLOOKUP($B7,OFFSET([2]quests!$A$1,0,0,COUNTA([2]quests!$A:$A),MATCH(E$1,[2]quests!$1:$1,0)-MATCH($B$1,[2]quests!$1:$1,0)+1),MATCH(E$1,[2]quests!$1:$1,0)-MATCH($B$1,[2]quests!$1:$1,0)+1,FALSE)</f>
        <v>シガンシナ区攻防戦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【上級】シガンシナ区攻防戦</v>
      </c>
      <c r="G7" s="20">
        <v>4</v>
      </c>
      <c r="H7" s="14" t="str">
        <f t="shared" si="2"/>
        <v>39006_3-4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>
        <v>6</v>
      </c>
      <c r="L7" s="36">
        <v>2</v>
      </c>
      <c r="M7" s="19">
        <v>984</v>
      </c>
      <c r="N7" s="16" t="str">
        <f ca="1">VLOOKUP($M7,OFFSET([3]enemies!$A$1,0,0,COUNTA([3]enemies!$A:$A),MATCH(N$1,[3]enemies!$1:$1,0)-MATCH($M$1,[3]enemies!$1:$1,0)+1),MATCH(N$1,[3]enemies!$1:$1,0)-MATCH($M$1,[3]enemies!$1:$1,0)+1,FALSE)</f>
        <v>破壁の剛弾 鎧の巨人</v>
      </c>
      <c r="O7" s="16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6" t="str">
        <f ca="1">VLOOKUP($M7,OFFSET([3]enemies!$A$1,0,0,COUNTA([3]enemies!$A:$A),MATCH(Q$1,[3]enemies!$1:$1,0)-MATCH($M$1,[3]enemies!$1:$1,0)+1),MATCH(Q$1,[3]enemies!$1:$1,0)-MATCH($M$1,[3]enemies!$1:$1,0)+1,FALSE)</f>
        <v>ti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30</v>
      </c>
      <c r="T7" s="24">
        <v>3</v>
      </c>
      <c r="U7" s="24">
        <v>1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7" s="4">
        <v>39006030</v>
      </c>
      <c r="Y7" s="67">
        <f ca="1">VLOOKUP($M7,OFFSET([3]enemies!$A$1,0,0,COUNTA([3]enemies!$A:$A),MATCH(Y$1,[3]enemies!$1:$1,0)-MATCH($M$1,[3]enemies!$1:$1,0)+1),MATCH(Y$1,[3]enemies!$1:$1,0)-MATCH($M$1,[3]enemies!$1:$1,0)+1,FALSE)</f>
        <v>3</v>
      </c>
    </row>
    <row r="8" spans="1:25" ht="21" customHeight="1" x14ac:dyDescent="0.15">
      <c r="A8" s="15" t="str">
        <f t="shared" si="0"/>
        <v>39006_4-4/982&lt;lv55&gt;sq7st2</v>
      </c>
      <c r="B8" s="21">
        <v>39006</v>
      </c>
      <c r="C8" s="20">
        <v>4</v>
      </c>
      <c r="D8" s="2" t="str">
        <f t="shared" si="1"/>
        <v>39006_4</v>
      </c>
      <c r="E8" s="4" t="str">
        <f ca="1">VLOOKUP($B8,OFFSET([2]quests!$A$1,0,0,COUNTA([2]quests!$A:$A),MATCH(E$1,[2]quests!$1:$1,0)-MATCH($B$1,[2]quests!$1:$1,0)+1),MATCH(E$1,[2]quests!$1:$1,0)-MATCH($B$1,[2]quests!$1:$1,0)+1,FALSE)</f>
        <v>シガンシナ区攻防戦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【超級】シガンシナ区攻防戦</v>
      </c>
      <c r="G8" s="20">
        <v>4</v>
      </c>
      <c r="H8" s="14" t="str">
        <f t="shared" si="2"/>
        <v>39006_4-4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>
        <v>7</v>
      </c>
      <c r="L8" s="36">
        <v>2</v>
      </c>
      <c r="M8" s="19">
        <v>982</v>
      </c>
      <c r="N8" s="16" t="str">
        <f ca="1">VLOOKUP($M8,OFFSET([3]enemies!$A$1,0,0,COUNTA([3]enemies!$A:$A),MATCH(N$1,[3]enemies!$1:$1,0)-MATCH($M$1,[3]enemies!$1:$1,0)+1),MATCH(N$1,[3]enemies!$1:$1,0)-MATCH($M$1,[3]enemies!$1:$1,0)+1,FALSE)</f>
        <v>柔靭なる剛脚 女型の巨人</v>
      </c>
      <c r="O8" s="16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Drop2N</v>
      </c>
      <c r="Q8" s="16" t="str">
        <f ca="1">VLOOKUP($M8,OFFSET([3]enemies!$A$1,0,0,COUNTA([3]enemies!$A:$A),MATCH(Q$1,[3]enemies!$1:$1,0)-MATCH($M$1,[3]enemies!$1:$1,0)+1),MATCH(Q$1,[3]enemies!$1:$1,0)-MATCH($M$1,[3]enemies!$1:$1,0)+1,FALSE)</f>
        <v>ti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55</v>
      </c>
      <c r="T8" s="24">
        <v>3</v>
      </c>
      <c r="U8" s="24">
        <v>1</v>
      </c>
      <c r="V8" s="5">
        <v>0</v>
      </c>
      <c r="W8" s="4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8" s="4">
        <v>39006025</v>
      </c>
      <c r="Y8" s="67">
        <f ca="1">VLOOKUP($M8,OFFSET([3]enemies!$A$1,0,0,COUNTA([3]enemies!$A:$A),MATCH(Y$1,[3]enemies!$1:$1,0)-MATCH($M$1,[3]enemies!$1:$1,0)+1),MATCH(Y$1,[3]enemies!$1:$1,0)-MATCH($M$1,[3]enemies!$1:$1,0)+1,FALSE)</f>
        <v>3</v>
      </c>
    </row>
    <row r="9" spans="1:25" ht="21" customHeight="1" x14ac:dyDescent="0.15">
      <c r="A9" s="15" t="str">
        <f t="shared" si="0"/>
        <v>39006_4-4/984&lt;lv55&gt;sq8st2</v>
      </c>
      <c r="B9" s="21">
        <v>39006</v>
      </c>
      <c r="C9" s="20">
        <v>4</v>
      </c>
      <c r="D9" s="2" t="str">
        <f t="shared" si="1"/>
        <v>39006_4</v>
      </c>
      <c r="E9" s="4" t="str">
        <f ca="1">VLOOKUP($B9,OFFSET([2]quests!$A$1,0,0,COUNTA([2]quests!$A:$A),MATCH(E$1,[2]quests!$1:$1,0)-MATCH($B$1,[2]quests!$1:$1,0)+1),MATCH(E$1,[2]quests!$1:$1,0)-MATCH($B$1,[2]quests!$1:$1,0)+1,FALSE)</f>
        <v>シガンシナ区攻防戦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【超級】シガンシナ区攻防戦</v>
      </c>
      <c r="G9" s="20">
        <v>4</v>
      </c>
      <c r="H9" s="14" t="str">
        <f t="shared" si="2"/>
        <v>39006_4-4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>
        <v>8</v>
      </c>
      <c r="L9" s="36">
        <v>2</v>
      </c>
      <c r="M9" s="19">
        <v>984</v>
      </c>
      <c r="N9" s="16" t="str">
        <f ca="1">VLOOKUP($M9,OFFSET([3]enemies!$A$1,0,0,COUNTA([3]enemies!$A:$A),MATCH(N$1,[3]enemies!$1:$1,0)-MATCH($M$1,[3]enemies!$1:$1,0)+1),MATCH(N$1,[3]enemies!$1:$1,0)-MATCH($M$1,[3]enemies!$1:$1,0)+1,FALSE)</f>
        <v>破壁の剛弾 鎧の巨人</v>
      </c>
      <c r="O9" s="16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Drop2N</v>
      </c>
      <c r="Q9" s="16" t="str">
        <f ca="1">VLOOKUP($M9,OFFSET([3]enemies!$A$1,0,0,COUNTA([3]enemies!$A:$A),MATCH(Q$1,[3]enemies!$1:$1,0)-MATCH($M$1,[3]enemies!$1:$1,0)+1),MATCH(Q$1,[3]enemies!$1:$1,0)-MATCH($M$1,[3]enemies!$1:$1,0)+1,FALSE)</f>
        <v>ti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55</v>
      </c>
      <c r="T9" s="24">
        <v>3</v>
      </c>
      <c r="U9" s="24">
        <v>1</v>
      </c>
      <c r="V9" s="5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9" s="4">
        <v>39006030</v>
      </c>
      <c r="Y9" s="67">
        <f ca="1">VLOOKUP($M9,OFFSET([3]enemies!$A$1,0,0,COUNTA([3]enemies!$A:$A),MATCH(Y$1,[3]enemies!$1:$1,0)-MATCH($M$1,[3]enemies!$1:$1,0)+1),MATCH(Y$1,[3]enemies!$1:$1,0)-MATCH($M$1,[3]enemies!$1:$1,0)+1,FALSE)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0"/>
  <sheetViews>
    <sheetView showGridLines="0" workbookViewId="0">
      <pane xSplit="5" ySplit="1" topLeftCell="F2" activePane="bottomRight" state="frozen"/>
      <selection pane="topRight"/>
      <selection pane="bottomLeft"/>
      <selection pane="bottomRight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10.6640625" style="47" bestFit="1" customWidth="1"/>
    <col min="3" max="3" width="9.6640625" style="47" customWidth="1"/>
    <col min="4" max="4" width="27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9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:A4" si="0">B2&amp;"_"&amp;C2</f>
        <v>39006001_39006001</v>
      </c>
      <c r="B2" s="118">
        <v>39006001</v>
      </c>
      <c r="C2" s="45">
        <v>39006001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（鎧の巨人が突進してきた！）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4500固定ダメージ_x000D_＋防御力UP</v>
      </c>
      <c r="F2" s="45">
        <v>39006001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116"/>
      <c r="Q2" s="116"/>
      <c r="R2" s="48"/>
    </row>
    <row r="3" spans="1:18" ht="21" customHeight="1" x14ac:dyDescent="0.15">
      <c r="A3" s="37" t="str">
        <f t="shared" si="0"/>
        <v>39006001_39006005</v>
      </c>
      <c r="B3" s="118">
        <v>39006001</v>
      </c>
      <c r="C3" s="45">
        <v>39006005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オォオオオォ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5">
        <v>39006005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116"/>
      <c r="Q3" s="116"/>
      <c r="R3" s="48"/>
    </row>
    <row r="4" spans="1:18" ht="21" customHeight="1" x14ac:dyDescent="0.15">
      <c r="A4" s="37" t="str">
        <f t="shared" si="0"/>
        <v>39006001_39006006</v>
      </c>
      <c r="B4" s="118">
        <v>39006001</v>
      </c>
      <c r="C4" s="45">
        <v>39006006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撤退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鎧の巨人の行方を見失った…</v>
      </c>
      <c r="F4" s="45">
        <v>39006006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16"/>
      <c r="Q4" s="116"/>
      <c r="R4" s="48"/>
    </row>
    <row r="5" spans="1:18" ht="21" customHeight="1" x14ac:dyDescent="0.15">
      <c r="A5" s="37" t="str">
        <f t="shared" ref="A5:A63" si="1">B5&amp;"_"&amp;C5</f>
        <v>39006002_39006002</v>
      </c>
      <c r="B5" s="118">
        <v>39006002</v>
      </c>
      <c r="C5" s="45">
        <v>39006002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（鎧の巨人が突進してきた！）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5500固定ダメージ_x000D_＋防御力UP</v>
      </c>
      <c r="F5" s="45">
        <v>39006002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16"/>
      <c r="Q5" s="116"/>
      <c r="R5" s="48"/>
    </row>
    <row r="6" spans="1:18" ht="21" customHeight="1" x14ac:dyDescent="0.15">
      <c r="A6" s="37" t="str">
        <f t="shared" si="1"/>
        <v>39006002_39006005</v>
      </c>
      <c r="B6" s="118">
        <v>39006002</v>
      </c>
      <c r="C6" s="45">
        <v>39006005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オォオオオォ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45">
        <v>39006005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16"/>
      <c r="Q6" s="116"/>
      <c r="R6" s="48"/>
    </row>
    <row r="7" spans="1:18" ht="21" customHeight="1" x14ac:dyDescent="0.15">
      <c r="A7" s="37" t="str">
        <f t="shared" si="1"/>
        <v>39006002_39006006</v>
      </c>
      <c r="B7" s="118">
        <v>39006002</v>
      </c>
      <c r="C7" s="45">
        <v>39006006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撤退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鎧の巨人の行方を見失った…</v>
      </c>
      <c r="F7" s="45">
        <v>39006006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16"/>
      <c r="Q7" s="116"/>
      <c r="R7" s="48"/>
    </row>
    <row r="8" spans="1:18" ht="21" customHeight="1" x14ac:dyDescent="0.15">
      <c r="A8" s="37" t="str">
        <f t="shared" si="1"/>
        <v>39006003_39006003</v>
      </c>
      <c r="B8" s="118">
        <v>39006003</v>
      </c>
      <c r="C8" s="118">
        <v>39006003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（鎧の巨人が突進してきた！）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6500固定ダメージ_x000D_＋防御力UP</v>
      </c>
      <c r="F8" s="45">
        <v>39006003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16"/>
      <c r="Q8" s="116"/>
      <c r="R8" s="48"/>
    </row>
    <row r="9" spans="1:18" ht="21" customHeight="1" x14ac:dyDescent="0.15">
      <c r="A9" s="37" t="str">
        <f t="shared" si="1"/>
        <v>39006003_39006005</v>
      </c>
      <c r="B9" s="118">
        <v>39006003</v>
      </c>
      <c r="C9" s="45">
        <v>39006005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オォオオオォ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" s="45">
        <v>39006005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16"/>
      <c r="Q9" s="116"/>
      <c r="R9" s="48"/>
    </row>
    <row r="10" spans="1:18" ht="21" customHeight="1" x14ac:dyDescent="0.15">
      <c r="A10" s="37" t="str">
        <f t="shared" si="1"/>
        <v>39006003_39006006</v>
      </c>
      <c r="B10" s="118">
        <v>39006003</v>
      </c>
      <c r="C10" s="45">
        <v>39006006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撤退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鎧の巨人の行方を見失った…</v>
      </c>
      <c r="F10" s="45">
        <v>39006006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16"/>
      <c r="Q10" s="116"/>
      <c r="R10" s="48"/>
    </row>
    <row r="11" spans="1:18" ht="21" customHeight="1" x14ac:dyDescent="0.15">
      <c r="A11" s="37" t="str">
        <f t="shared" si="1"/>
        <v>39006004_39006004</v>
      </c>
      <c r="B11" s="118">
        <v>39006004</v>
      </c>
      <c r="C11" s="118">
        <v>39006004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（鎧の巨人が突進してきた！）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7500固定ダメージ_x000D_＋防御力UP</v>
      </c>
      <c r="F11" s="45">
        <v>39006004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16"/>
      <c r="Q11" s="116"/>
      <c r="R11" s="48"/>
    </row>
    <row r="12" spans="1:18" ht="21" customHeight="1" x14ac:dyDescent="0.15">
      <c r="A12" s="37" t="str">
        <f t="shared" si="1"/>
        <v>39006004_39006005</v>
      </c>
      <c r="B12" s="118">
        <v>39006004</v>
      </c>
      <c r="C12" s="45">
        <v>39006005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オォオオオォ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" s="45">
        <v>39006005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16"/>
      <c r="Q12" s="116"/>
      <c r="R12" s="48"/>
    </row>
    <row r="13" spans="1:18" ht="21" customHeight="1" x14ac:dyDescent="0.15">
      <c r="A13" s="37" t="str">
        <f t="shared" si="1"/>
        <v>39006004_39006006</v>
      </c>
      <c r="B13" s="118">
        <v>39006004</v>
      </c>
      <c r="C13" s="45">
        <v>39006006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撤退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鎧の巨人の行方を見失った…</v>
      </c>
      <c r="F13" s="45">
        <v>39006006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6"/>
      <c r="Q13" s="116"/>
      <c r="R13" s="48"/>
    </row>
    <row r="14" spans="1:18" ht="21" customHeight="1" x14ac:dyDescent="0.15">
      <c r="A14" s="37" t="str">
        <f t="shared" si="1"/>
        <v>39006005_39006007</v>
      </c>
      <c r="B14" s="118">
        <v>39006005</v>
      </c>
      <c r="C14" s="45">
        <v>39006007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（女型の巨人が身構えている）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2ターンの間攻撃者にカウンター</v>
      </c>
      <c r="F14" s="45">
        <v>39006007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1"/>
        <v>39006005_39006008</v>
      </c>
      <c r="B15" s="118">
        <v>39006005</v>
      </c>
      <c r="C15" s="45">
        <v>39006008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（鋭い蹴りだ！）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5" s="45">
        <v>39006008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5"/>
      <c r="Q15" s="45"/>
      <c r="R15" s="45"/>
    </row>
    <row r="16" spans="1:18" ht="21" customHeight="1" x14ac:dyDescent="0.15">
      <c r="A16" s="37" t="str">
        <f t="shared" si="1"/>
        <v>39006005_39006009</v>
      </c>
      <c r="B16" s="118">
        <v>39006005</v>
      </c>
      <c r="C16" s="45">
        <v>39006009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蹴り払い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6" s="45">
        <v>39006009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1"/>
        <v>39006005_39006010</v>
      </c>
      <c r="B17" s="118">
        <v>39006005</v>
      </c>
      <c r="C17" s="45">
        <v>39006010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きぃやああああああああああああああ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咆哮に呼び寄せられたと思われる_x000D_巨人の群れの中に消えていった…</v>
      </c>
      <c r="F17" s="45">
        <v>39006010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1"/>
        <v>39006006_39006011</v>
      </c>
      <c r="B18" s="118">
        <v>39006006</v>
      </c>
      <c r="C18" s="45">
        <v>39006011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「本当によかった…」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パーティ全員の攻撃力＆回復力UP_x000D_＋ハートパネルを6個生成</v>
      </c>
      <c r="F18" s="45">
        <v>39006011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1"/>
        <v>39006007_39006012</v>
      </c>
      <c r="B19" s="118">
        <v>39006007</v>
      </c>
      <c r="C19" s="45">
        <v>39006012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「聴いたことがあります！」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パーティ全員の攻撃力＆回復力UP_x000D_＋ハートパネルを6個生成</v>
      </c>
      <c r="F19" s="45">
        <v>39006012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39006008_39006013</v>
      </c>
      <c r="B20" s="118">
        <v>39006008</v>
      </c>
      <c r="C20" s="45">
        <v>39006013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「撤退命令じゃないのか…」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パーティ全員の攻撃力＆回復力UP_x000D_＋ハートパネルを8個生成</v>
      </c>
      <c r="F20" s="45">
        <v>39006013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1"/>
        <v>39006009_39006014</v>
      </c>
      <c r="B21" s="118">
        <v>39006009</v>
      </c>
      <c r="C21" s="45">
        <v>39006014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「すべてやり直せ」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パーティ全員の攻撃力＆回復力UP_x000D_＋ハートパネルを10個生成</v>
      </c>
      <c r="F21" s="45">
        <v>39006014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1"/>
        <v>39006010_39006015</v>
      </c>
      <c r="B22" s="118">
        <v>39006010</v>
      </c>
      <c r="C22" s="45">
        <v>39006015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「足手まといにはならない」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パーティ全員の_x000D_攻撃力＆防御力＆回復力UP</v>
      </c>
      <c r="F22" s="45">
        <v>39006015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1"/>
        <v>39006011_39006016</v>
      </c>
      <c r="B23" s="118">
        <v>39006011</v>
      </c>
      <c r="C23" s="45">
        <v>39006016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「世界は残酷なんだから」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パーティ全員の_x000D_攻撃力＆防御力＆回復力UP</v>
      </c>
      <c r="F23" s="45">
        <v>39006016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1"/>
        <v>39006012_39006017</v>
      </c>
      <c r="B24" s="118">
        <v>39006012</v>
      </c>
      <c r="C24" s="45">
        <v>39006017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「一匹残らず！！」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パーティ全員の_x000D_攻撃力＆防御力＆回復力UP</v>
      </c>
      <c r="F24" s="45">
        <v>39006017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1"/>
        <v>39006013_39006018</v>
      </c>
      <c r="B25" s="118">
        <v>39006013</v>
      </c>
      <c r="C25" s="45">
        <v>39006018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「迂回しろ！」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パーティ全員の攻撃力＆回復力UP_x000D_＋フィーバーゲージ増加</v>
      </c>
      <c r="F25" s="45">
        <v>39006018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1"/>
        <v>39006014_39006019</v>
      </c>
      <c r="B26" s="118">
        <v>39006014</v>
      </c>
      <c r="C26" s="45">
        <v>39006019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「心臓を捧げよ！」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パーティ全員の攻撃力＆回復力UP_x000D_＋フィーバーゲージMAX</v>
      </c>
      <c r="F26" s="45">
        <v>39006019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1"/>
        <v>39006015_39006020</v>
      </c>
      <c r="B27" s="118">
        <v>39006015</v>
      </c>
      <c r="C27" s="45">
        <v>39006020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「お前の調査兵団入団を…」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パーティ全員の攻撃力＆回復力UP_x000D_＋ボムパネル爆風増加</v>
      </c>
      <c r="F27" s="45">
        <v>39006020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1"/>
        <v>39006016_39006021</v>
      </c>
      <c r="B28" s="118">
        <v>39006016</v>
      </c>
      <c r="C28" s="45">
        <v>39006021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「一匹残らず！！」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パーティ全員の攻撃力＆回復力UP_x000D_＋ボムパネル爆風増加</v>
      </c>
      <c r="F28" s="45">
        <v>39006021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1"/>
        <v>39006017_39006022</v>
      </c>
      <c r="B29" s="118">
        <v>39006017</v>
      </c>
      <c r="C29" s="45">
        <v>39006022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（この巨人は味方のようだ）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パーティ全員の攻撃力＆回復力UP_x000D_＋ボムパネル1個生成＆爆風増加</v>
      </c>
      <c r="F29" s="45">
        <v>39006022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1"/>
        <v>39006018_39006023</v>
      </c>
      <c r="B30" s="118">
        <v>39006018</v>
      </c>
      <c r="C30" s="45">
        <v>39006023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（こちらの様子を伺っているようだ…）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（徐々に間合いを詰めてきている）</v>
      </c>
      <c r="F30" s="45">
        <v>39006023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si="1"/>
        <v>39006018_39006024</v>
      </c>
      <c r="B31" s="118">
        <v>39006018</v>
      </c>
      <c r="C31" s="45">
        <v>39006024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1" s="45">
        <v>39006024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1" s="45"/>
      <c r="Q31" s="45"/>
      <c r="R31" s="45"/>
    </row>
    <row r="32" spans="1:18" ht="21" customHeight="1" x14ac:dyDescent="0.15">
      <c r="A32" s="37" t="str">
        <f t="shared" si="1"/>
        <v>39006018_39006027</v>
      </c>
      <c r="B32" s="118">
        <v>39006018</v>
      </c>
      <c r="C32" s="45">
        <v>39006027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蹴り払い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2" s="45">
        <v>39006027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1"/>
        <v>39006018_39006028</v>
      </c>
      <c r="B33" s="118">
        <v>39006018</v>
      </c>
      <c r="C33" s="45">
        <v>39006028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（回復しながら攻撃してきた！）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HP10％回復＋単体攻撃</v>
      </c>
      <c r="F33" s="45">
        <v>39006028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ht="21" customHeight="1" x14ac:dyDescent="0.15">
      <c r="A34" s="37" t="str">
        <f t="shared" si="1"/>
        <v>39006019_39006023</v>
      </c>
      <c r="B34" s="118">
        <v>39006019</v>
      </c>
      <c r="C34" s="45">
        <v>39006023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（こちらの様子を伺っているようだ…）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（徐々に間合いを詰めてきている）</v>
      </c>
      <c r="F34" s="45">
        <v>39006023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si="1"/>
        <v>39006019_39006024</v>
      </c>
      <c r="B35" s="118">
        <v>39006019</v>
      </c>
      <c r="C35" s="45">
        <v>39006024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5" s="45">
        <v>39006024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5" s="45"/>
      <c r="Q35" s="45"/>
      <c r="R35" s="45"/>
    </row>
    <row r="36" spans="1:18" ht="21" customHeight="1" x14ac:dyDescent="0.15">
      <c r="A36" s="37" t="str">
        <f t="shared" si="1"/>
        <v>39006019_39006025</v>
      </c>
      <c r="B36" s="118">
        <v>39006019</v>
      </c>
      <c r="C36" s="45">
        <v>39006025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6" s="45">
        <v>39006025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5"/>
      <c r="Q36" s="45"/>
      <c r="R36" s="45"/>
    </row>
    <row r="37" spans="1:18" ht="21" customHeight="1" x14ac:dyDescent="0.15">
      <c r="A37" s="37" t="str">
        <f t="shared" si="1"/>
        <v>39006019_39006027</v>
      </c>
      <c r="B37" s="118">
        <v>39006019</v>
      </c>
      <c r="C37" s="45">
        <v>39006027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蹴り払い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7" s="45">
        <v>39006027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1"/>
        <v>39006019_39006029</v>
      </c>
      <c r="B38" s="118">
        <v>39006019</v>
      </c>
      <c r="C38" s="45">
        <v>39006029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（回復しながら攻撃してきた！）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HP15％回復＋2回連続攻撃</v>
      </c>
      <c r="F38" s="45">
        <v>39006029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6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1"/>
        <v>39006020_39006023</v>
      </c>
      <c r="B39" s="118">
        <v>39006020</v>
      </c>
      <c r="C39" s="45">
        <v>39006023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（こちらの様子を伺っているようだ…）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（徐々に間合いを詰めてきている）</v>
      </c>
      <c r="F39" s="45">
        <v>39006023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x14ac:dyDescent="0.15">
      <c r="A40" s="37" t="str">
        <f t="shared" si="1"/>
        <v>39006020_39006024</v>
      </c>
      <c r="B40" s="118">
        <v>39006020</v>
      </c>
      <c r="C40" s="45">
        <v>39006024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0" s="45">
        <v>39006024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0" s="45"/>
      <c r="Q40" s="45"/>
      <c r="R40" s="45"/>
    </row>
    <row r="41" spans="1:18" ht="21" customHeight="1" x14ac:dyDescent="0.15">
      <c r="A41" s="37" t="str">
        <f t="shared" si="1"/>
        <v>39006020_39006025</v>
      </c>
      <c r="B41" s="118">
        <v>39006020</v>
      </c>
      <c r="C41" s="45">
        <v>39006025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1" s="45">
        <v>39006025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5"/>
      <c r="Q41" s="45"/>
      <c r="R41" s="45"/>
    </row>
    <row r="42" spans="1:18" ht="21" customHeight="1" x14ac:dyDescent="0.15">
      <c r="A42" s="37" t="str">
        <f t="shared" si="1"/>
        <v>39006020_39006026</v>
      </c>
      <c r="B42" s="118">
        <v>39006020</v>
      </c>
      <c r="C42" s="45">
        <v>39006026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2" s="45">
        <v>39006026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ht="21" customHeight="1" x14ac:dyDescent="0.15">
      <c r="A43" s="37" t="str">
        <f t="shared" si="1"/>
        <v>39006020_39006027</v>
      </c>
      <c r="B43" s="118">
        <v>39006020</v>
      </c>
      <c r="C43" s="45">
        <v>39006027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蹴り払い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3" s="45">
        <v>39006027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6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ht="21" customHeight="1" x14ac:dyDescent="0.15">
      <c r="A44" s="37" t="str">
        <f t="shared" si="1"/>
        <v>39006020_39006030</v>
      </c>
      <c r="B44" s="118">
        <v>39006020</v>
      </c>
      <c r="C44" s="45">
        <v>39006030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（回復しながら攻撃してきた！）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HP20％回復＋3回連続攻撃</v>
      </c>
      <c r="F44" s="45">
        <v>39006030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6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4" s="4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ht="21" customHeight="1" x14ac:dyDescent="0.15">
      <c r="A45" s="37" t="str">
        <f t="shared" si="1"/>
        <v>39006021_39006023</v>
      </c>
      <c r="B45" s="118">
        <v>39006021</v>
      </c>
      <c r="C45" s="45">
        <v>39006023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（こちらの様子を伺っているようだ…）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（徐々に間合いを詰めてきている）</v>
      </c>
      <c r="F45" s="45">
        <v>39006023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5"/>
      <c r="Q45" s="45"/>
      <c r="R45" s="45"/>
    </row>
    <row r="46" spans="1:18" ht="21" customHeight="1" x14ac:dyDescent="0.15">
      <c r="A46" s="37" t="str">
        <f t="shared" si="1"/>
        <v>39006021_39006025</v>
      </c>
      <c r="B46" s="118">
        <v>39006021</v>
      </c>
      <c r="C46" s="45">
        <v>39006025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6" s="45">
        <v>39006025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6" s="45"/>
      <c r="Q46" s="45"/>
      <c r="R46" s="45"/>
    </row>
    <row r="47" spans="1:18" ht="21" customHeight="1" x14ac:dyDescent="0.15">
      <c r="A47" s="37" t="str">
        <f t="shared" si="1"/>
        <v>39006021_39006026</v>
      </c>
      <c r="B47" s="118">
        <v>39006021</v>
      </c>
      <c r="C47" s="45">
        <v>39006026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（素早い連続攻撃だ！）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7" s="45">
        <v>39006026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ht="21" customHeight="1" x14ac:dyDescent="0.15">
      <c r="A48" s="37" t="str">
        <f t="shared" si="1"/>
        <v>39006021_39006027</v>
      </c>
      <c r="B48" s="118">
        <v>39006021</v>
      </c>
      <c r="C48" s="45">
        <v>39006027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蹴り払い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8" s="45">
        <v>39006027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6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ht="21" customHeight="1" x14ac:dyDescent="0.15">
      <c r="A49" s="37" t="str">
        <f t="shared" si="1"/>
        <v>39006021_39006031</v>
      </c>
      <c r="B49" s="118">
        <v>39006021</v>
      </c>
      <c r="C49" s="45">
        <v>39006031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（回復しながら攻撃してきた！）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HP25％回復＋4回連続攻撃</v>
      </c>
      <c r="F49" s="45">
        <v>39006031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6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9" s="4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ht="21" customHeight="1" x14ac:dyDescent="0.15">
      <c r="A50" s="37" t="str">
        <f t="shared" si="1"/>
        <v>39006022_39006033</v>
      </c>
      <c r="B50" s="45">
        <v>39006022</v>
      </c>
      <c r="C50" s="45">
        <v>39006033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迎撃体勢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2ターンの間 攻撃者にカウンター_x000D_＋4ターンの間 Cパネル生成延長</v>
      </c>
      <c r="F50" s="45">
        <v>39006033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6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6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6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6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5"/>
      <c r="Q50" s="45"/>
      <c r="R50" s="45"/>
    </row>
    <row r="51" spans="1:18" ht="21" customHeight="1" x14ac:dyDescent="0.15">
      <c r="A51" s="37" t="str">
        <f t="shared" si="1"/>
        <v>39006022_39006037</v>
      </c>
      <c r="B51" s="45">
        <v>39006022</v>
      </c>
      <c r="C51" s="45">
        <v>39006037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（的確な連続攻撃だ！）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1" s="45">
        <v>39006037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6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6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6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ht="21" customHeight="1" x14ac:dyDescent="0.15">
      <c r="A52" s="37" t="str">
        <f t="shared" si="1"/>
        <v>39006022_39006038</v>
      </c>
      <c r="B52" s="45">
        <v>39006022</v>
      </c>
      <c r="C52" s="45">
        <v>39006038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（電光石火の蹴り）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2" s="45">
        <v>39006038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6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6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6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5"/>
      <c r="Q52" s="45"/>
      <c r="R52" s="45"/>
    </row>
    <row r="53" spans="1:18" ht="21" customHeight="1" x14ac:dyDescent="0.15">
      <c r="A53" s="37" t="str">
        <f t="shared" si="1"/>
        <v>39006022_39006039</v>
      </c>
      <c r="B53" s="45">
        <v>39006022</v>
      </c>
      <c r="C53" s="45">
        <v>39006039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（攻勢に出てきた！）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強力な3回連続攻撃</v>
      </c>
      <c r="F53" s="45">
        <v>39006039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6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6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ht="21" customHeight="1" x14ac:dyDescent="0.15">
      <c r="A54" s="37" t="str">
        <f t="shared" si="1"/>
        <v>39006022_39006040</v>
      </c>
      <c r="B54" s="45">
        <v>39006022</v>
      </c>
      <c r="C54" s="45">
        <v>39006040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（硬化能力があるようだ！）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防御力UP＋攻撃頻度DOWN</v>
      </c>
      <c r="F54" s="45">
        <v>39006040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6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6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ht="21" customHeight="1" x14ac:dyDescent="0.15">
      <c r="A55" s="37" t="str">
        <f t="shared" si="1"/>
        <v>39006023_39006034</v>
      </c>
      <c r="B55" s="45">
        <v>39006023</v>
      </c>
      <c r="C55" s="45">
        <v>39006034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迎撃体勢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2ターンの間 攻撃者にカウンター_x000D_＋4ターンの間 Cパネル生成延長</v>
      </c>
      <c r="F55" s="45">
        <v>39006034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6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ht="21" customHeight="1" x14ac:dyDescent="0.15">
      <c r="A56" s="37" t="str">
        <f t="shared" si="1"/>
        <v>39006023_39006037</v>
      </c>
      <c r="B56" s="45">
        <v>39006023</v>
      </c>
      <c r="C56" s="45">
        <v>39006037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（的確な連続攻撃だ！）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6" s="45">
        <v>39006037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6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ht="21" customHeight="1" x14ac:dyDescent="0.15">
      <c r="A57" s="37" t="str">
        <f t="shared" si="1"/>
        <v>39006023_39006038</v>
      </c>
      <c r="B57" s="45">
        <v>39006023</v>
      </c>
      <c r="C57" s="45">
        <v>39006038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（電光石火の蹴り）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7" s="45">
        <v>39006038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6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6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6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ht="21" customHeight="1" x14ac:dyDescent="0.15">
      <c r="A58" s="37" t="str">
        <f t="shared" si="1"/>
        <v>39006023_39006039</v>
      </c>
      <c r="B58" s="45">
        <v>39006023</v>
      </c>
      <c r="C58" s="45">
        <v>39006039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（攻勢に出てきた！）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強力な3回連続攻撃</v>
      </c>
      <c r="F58" s="45">
        <v>39006039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ht="21" customHeight="1" x14ac:dyDescent="0.15">
      <c r="A59" s="37" t="str">
        <f t="shared" si="1"/>
        <v>39006023_39006040</v>
      </c>
      <c r="B59" s="45">
        <v>39006023</v>
      </c>
      <c r="C59" s="45">
        <v>39006040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（硬化能力があるようだ！）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防御力UP＋攻撃頻度DOWN</v>
      </c>
      <c r="F59" s="45">
        <v>39006040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6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ht="21" customHeight="1" x14ac:dyDescent="0.15">
      <c r="A60" s="37" t="str">
        <f t="shared" si="1"/>
        <v>39006024_39006035</v>
      </c>
      <c r="B60" s="45">
        <v>39006024</v>
      </c>
      <c r="C60" s="45">
        <v>39006035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迎撃体勢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3ターンの間 攻撃者にカウンター_x000D_＋4ターンの間 Cパネル生成延長</v>
      </c>
      <c r="F60" s="45">
        <v>39006035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6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6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5"/>
      <c r="Q60" s="45"/>
      <c r="R60" s="45"/>
    </row>
    <row r="61" spans="1:18" ht="21" customHeight="1" x14ac:dyDescent="0.15">
      <c r="A61" s="37" t="str">
        <f t="shared" si="1"/>
        <v>39006024_39006037</v>
      </c>
      <c r="B61" s="45">
        <v>39006024</v>
      </c>
      <c r="C61" s="45">
        <v>39006037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（的確な連続攻撃だ！）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1" s="45">
        <v>39006037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6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6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6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ht="21" customHeight="1" x14ac:dyDescent="0.15">
      <c r="A62" s="37" t="str">
        <f t="shared" si="1"/>
        <v>39006024_39006038</v>
      </c>
      <c r="B62" s="45">
        <v>39006024</v>
      </c>
      <c r="C62" s="45">
        <v>39006038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（電光石火の蹴り）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2" s="45">
        <v>39006038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6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6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ht="21" customHeight="1" x14ac:dyDescent="0.15">
      <c r="A63" s="37" t="str">
        <f t="shared" si="1"/>
        <v>39006024_39006039</v>
      </c>
      <c r="B63" s="45">
        <v>39006024</v>
      </c>
      <c r="C63" s="45">
        <v>39006039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（攻勢に出てきた！）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強力な3回連続攻撃</v>
      </c>
      <c r="F63" s="45">
        <v>39006039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6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6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6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ht="21" customHeight="1" x14ac:dyDescent="0.15">
      <c r="A64" s="37" t="str">
        <f t="shared" ref="A64:A93" si="2">B64&amp;"_"&amp;C64</f>
        <v>39006024_39006040</v>
      </c>
      <c r="B64" s="45">
        <v>39006024</v>
      </c>
      <c r="C64" s="45">
        <v>39006040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（硬化能力があるようだ！）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防御力UP＋攻撃頻度DOWN</v>
      </c>
      <c r="F64" s="45">
        <v>39006040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6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6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6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ht="21" customHeight="1" x14ac:dyDescent="0.15">
      <c r="A65" s="37" t="str">
        <f t="shared" si="2"/>
        <v>39006025_39006036</v>
      </c>
      <c r="B65" s="45">
        <v>39006025</v>
      </c>
      <c r="C65" s="45">
        <v>39006036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迎撃体勢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3ターンの間 攻撃者にカウンター_x000D_＋4ターンの間 Cパネル生成延長</v>
      </c>
      <c r="F65" s="45">
        <v>39006036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6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6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6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ht="21" customHeight="1" x14ac:dyDescent="0.15">
      <c r="A66" s="37" t="str">
        <f t="shared" si="2"/>
        <v>39006025_39006037</v>
      </c>
      <c r="B66" s="45">
        <v>39006025</v>
      </c>
      <c r="C66" s="45">
        <v>39006037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（的確な連続攻撃だ！）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6" s="45">
        <v>39006037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6" t="str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6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ht="21" customHeight="1" x14ac:dyDescent="0.15">
      <c r="A67" s="37" t="str">
        <f t="shared" si="2"/>
        <v>39006025_39006038</v>
      </c>
      <c r="B67" s="45">
        <v>39006025</v>
      </c>
      <c r="C67" s="45">
        <v>39006038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（電光石火の蹴り）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7" s="45">
        <v>39006038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6" t="str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6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5"/>
      <c r="Q67" s="45"/>
      <c r="R67" s="45"/>
    </row>
    <row r="68" spans="1:18" ht="21" customHeight="1" x14ac:dyDescent="0.15">
      <c r="A68" s="37" t="str">
        <f t="shared" si="2"/>
        <v>39006025_39006039</v>
      </c>
      <c r="B68" s="45">
        <v>39006025</v>
      </c>
      <c r="C68" s="45">
        <v>39006039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（攻勢に出てきた！）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強力な3回連続攻撃</v>
      </c>
      <c r="F68" s="45">
        <v>39006039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6" t="str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6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6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5"/>
      <c r="Q68" s="45"/>
      <c r="R68" s="45"/>
    </row>
    <row r="69" spans="1:18" ht="21" customHeight="1" x14ac:dyDescent="0.15">
      <c r="A69" s="37" t="str">
        <f t="shared" si="2"/>
        <v>39006025_39006040</v>
      </c>
      <c r="B69" s="45">
        <v>39006025</v>
      </c>
      <c r="C69" s="45">
        <v>39006040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（硬化能力があるようだ！）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防御力UP＋攻撃頻度DOWN</v>
      </c>
      <c r="F69" s="45">
        <v>39006040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6" t="str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6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ht="21" customHeight="1" x14ac:dyDescent="0.15">
      <c r="A70" s="37" t="str">
        <f t="shared" si="2"/>
        <v>39006026_39006041</v>
      </c>
      <c r="B70" s="45">
        <v>39006026</v>
      </c>
      <c r="C70" s="45">
        <v>39006041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（鎧の巨人を発見！）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単体攻撃＋防御力UP</v>
      </c>
      <c r="F70" s="45">
        <v>39006041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6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ht="21" customHeight="1" x14ac:dyDescent="0.15">
      <c r="A71" s="37" t="str">
        <f t="shared" si="2"/>
        <v>39006026_39006065</v>
      </c>
      <c r="B71" s="45">
        <v>39006026</v>
      </c>
      <c r="C71" s="45">
        <v>39006065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（炎上した建物を吹き飛ばした！）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赤パネル吸収攻撃（最大5個）</v>
      </c>
      <c r="F71" s="45">
        <v>39006045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6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6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5"/>
      <c r="Q71" s="45"/>
      <c r="R71" s="45"/>
    </row>
    <row r="72" spans="1:18" ht="21" customHeight="1" x14ac:dyDescent="0.15">
      <c r="A72" s="37" t="str">
        <f t="shared" si="2"/>
        <v>39006026_39006066</v>
      </c>
      <c r="B72" s="45">
        <v>39006026</v>
      </c>
      <c r="C72" s="45">
        <v>39006066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（街路樹をなぎ倒してきた！）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緑パネル吸収攻撃（最大5個）</v>
      </c>
      <c r="F72" s="45">
        <v>39006046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6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ht="21" customHeight="1" x14ac:dyDescent="0.15">
      <c r="A73" s="37" t="str">
        <f t="shared" si="2"/>
        <v>39006026_39006067</v>
      </c>
      <c r="B73" s="45">
        <v>39006026</v>
      </c>
      <c r="C73" s="45">
        <v>39006067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（水路が破壊された！）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青パネル吸収攻撃（最大5個）</v>
      </c>
      <c r="F73" s="45">
        <v>39006048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6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ht="21" customHeight="1" x14ac:dyDescent="0.15">
      <c r="A74" s="37" t="str">
        <f t="shared" si="2"/>
        <v>39006026_39006068</v>
      </c>
      <c r="B74" s="45">
        <v>39006026</v>
      </c>
      <c r="C74" s="45">
        <v>39006068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（辺りの照明が破壊された！）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黄パネル吸収攻撃（最大5個）</v>
      </c>
      <c r="F74" s="45">
        <v>39006047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6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6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ht="21" customHeight="1" x14ac:dyDescent="0.15">
      <c r="A75" s="37" t="str">
        <f t="shared" si="2"/>
        <v>39006026_39006069</v>
      </c>
      <c r="B75" s="45">
        <v>39006026</v>
      </c>
      <c r="C75" s="45">
        <v>39006069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（物凄い勢いで突撃してきた！）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ハートパネル吸収攻撃（最大5個）</v>
      </c>
      <c r="F75" s="45">
        <v>39006049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6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6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ht="21" customHeight="1" x14ac:dyDescent="0.15">
      <c r="A76" s="37" t="str">
        <f t="shared" si="2"/>
        <v>39006027_39006042</v>
      </c>
      <c r="B76" s="45">
        <v>39006027</v>
      </c>
      <c r="C76" s="45">
        <v>39006042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（鎧の巨人を発見！）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単体攻撃＋防御力UP</v>
      </c>
      <c r="F76" s="45">
        <v>39006042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6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6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6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ht="21" customHeight="1" x14ac:dyDescent="0.15">
      <c r="A77" s="37" t="str">
        <f t="shared" si="2"/>
        <v>39006027_39006070</v>
      </c>
      <c r="B77" s="45">
        <v>39006027</v>
      </c>
      <c r="C77" s="45">
        <v>39006070</v>
      </c>
      <c r="D77" s="4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（炎上した建物を吹き飛ばした！）</v>
      </c>
      <c r="E77" s="4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赤パネル吸収攻撃（最大6個）</v>
      </c>
      <c r="F77" s="45">
        <v>39006045</v>
      </c>
      <c r="G77" s="4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7" s="4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6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6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6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5"/>
      <c r="Q77" s="45"/>
      <c r="R77" s="45"/>
    </row>
    <row r="78" spans="1:18" ht="21" customHeight="1" x14ac:dyDescent="0.15">
      <c r="A78" s="37" t="str">
        <f t="shared" si="2"/>
        <v>39006027_39006071</v>
      </c>
      <c r="B78" s="45">
        <v>39006027</v>
      </c>
      <c r="C78" s="45">
        <v>39006071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（街路樹をなぎ倒してきた！）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緑パネル吸収攻撃（最大6個）</v>
      </c>
      <c r="F78" s="45">
        <v>39006046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6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6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6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6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6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6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5"/>
      <c r="Q78" s="45"/>
      <c r="R78" s="45"/>
    </row>
    <row r="79" spans="1:18" ht="21" customHeight="1" x14ac:dyDescent="0.15">
      <c r="A79" s="37" t="str">
        <f t="shared" si="2"/>
        <v>39006027_39006072</v>
      </c>
      <c r="B79" s="45">
        <v>39006027</v>
      </c>
      <c r="C79" s="45">
        <v>39006072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（水路が破壊された！）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青パネル吸収攻撃（最大6個）</v>
      </c>
      <c r="F79" s="45">
        <v>39006048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6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6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6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5"/>
      <c r="Q79" s="45"/>
      <c r="R79" s="45"/>
    </row>
    <row r="80" spans="1:18" ht="21" customHeight="1" x14ac:dyDescent="0.15">
      <c r="A80" s="37" t="str">
        <f t="shared" si="2"/>
        <v>39006027_39006073</v>
      </c>
      <c r="B80" s="45">
        <v>39006027</v>
      </c>
      <c r="C80" s="45">
        <v>39006073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（辺りの照明が破壊された！）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黄パネル吸収攻撃（最大6個）</v>
      </c>
      <c r="F80" s="45">
        <v>39006047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6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ht="21" customHeight="1" x14ac:dyDescent="0.15">
      <c r="A81" s="37" t="str">
        <f t="shared" si="2"/>
        <v>39006027_39006074</v>
      </c>
      <c r="B81" s="45">
        <v>39006027</v>
      </c>
      <c r="C81" s="45">
        <v>39006074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（物凄い勢いで突撃してきた！）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ハートパネル吸収攻撃（最大6個）</v>
      </c>
      <c r="F81" s="45">
        <v>39006049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ht="21" customHeight="1" x14ac:dyDescent="0.15">
      <c r="A82" s="37" t="str">
        <f t="shared" si="2"/>
        <v>39006028_39006043</v>
      </c>
      <c r="B82" s="45">
        <v>39006028</v>
      </c>
      <c r="C82" s="45">
        <v>39006043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（鎧の巨人を発見！）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単体攻撃＋防御力UP</v>
      </c>
      <c r="F82" s="45">
        <v>39006043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6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6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/>
    </row>
    <row r="83" spans="1:18" ht="21" customHeight="1" x14ac:dyDescent="0.15">
      <c r="A83" s="37" t="str">
        <f t="shared" si="2"/>
        <v>39006028_39006075</v>
      </c>
      <c r="B83" s="45">
        <v>39006028</v>
      </c>
      <c r="C83" s="45">
        <v>39006075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（炎上した建物を吹き飛ばした！）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赤パネル吸収攻撃（最大7個）</v>
      </c>
      <c r="F83" s="45">
        <v>39006045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6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6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6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6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5"/>
      <c r="Q83" s="45"/>
      <c r="R83" s="45"/>
    </row>
    <row r="84" spans="1:18" ht="21" customHeight="1" x14ac:dyDescent="0.15">
      <c r="A84" s="37" t="str">
        <f t="shared" si="2"/>
        <v>39006028_39006076</v>
      </c>
      <c r="B84" s="45">
        <v>39006028</v>
      </c>
      <c r="C84" s="45">
        <v>39006076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（街路樹をなぎ倒してきた！）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緑パネル吸収攻撃（最大7個）</v>
      </c>
      <c r="F84" s="45">
        <v>39006046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6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6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6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6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5"/>
      <c r="Q84" s="45"/>
      <c r="R84" s="45"/>
    </row>
    <row r="85" spans="1:18" ht="21" customHeight="1" x14ac:dyDescent="0.15">
      <c r="A85" s="37" t="str">
        <f t="shared" si="2"/>
        <v>39006028_39006077</v>
      </c>
      <c r="B85" s="45">
        <v>39006028</v>
      </c>
      <c r="C85" s="45">
        <v>39006077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（水路が破壊された！）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青パネル吸収攻撃（最大7個）</v>
      </c>
      <c r="F85" s="45">
        <v>39006048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6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6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5"/>
      <c r="Q85" s="45"/>
      <c r="R85" s="45"/>
    </row>
    <row r="86" spans="1:18" ht="21" customHeight="1" x14ac:dyDescent="0.15">
      <c r="A86" s="37" t="str">
        <f t="shared" si="2"/>
        <v>39006028_39006078</v>
      </c>
      <c r="B86" s="45">
        <v>39006028</v>
      </c>
      <c r="C86" s="45">
        <v>39006078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（辺りの照明が破壊された！）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黄パネル吸収攻撃（最大7個）</v>
      </c>
      <c r="F86" s="45">
        <v>39006047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6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6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6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5"/>
      <c r="Q86" s="45"/>
      <c r="R86" s="45"/>
    </row>
    <row r="87" spans="1:18" ht="21" customHeight="1" x14ac:dyDescent="0.15">
      <c r="A87" s="37" t="str">
        <f t="shared" si="2"/>
        <v>39006028_39006079</v>
      </c>
      <c r="B87" s="45">
        <v>39006028</v>
      </c>
      <c r="C87" s="45">
        <v>39006079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（物凄い勢いで突撃してきた！）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ハートパネル吸収攻撃（最大7個）</v>
      </c>
      <c r="F87" s="45">
        <v>39006049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6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6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/>
    </row>
    <row r="88" spans="1:18" ht="21" customHeight="1" x14ac:dyDescent="0.15">
      <c r="A88" s="37" t="str">
        <f t="shared" si="2"/>
        <v>39006029_39006044</v>
      </c>
      <c r="B88" s="45">
        <v>39006029</v>
      </c>
      <c r="C88" s="45">
        <v>39006044</v>
      </c>
      <c r="D88" s="4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（鎧の巨人を発見！）</v>
      </c>
      <c r="E88" s="4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単体攻撃＋防御力UP</v>
      </c>
      <c r="F88" s="45">
        <v>39006044</v>
      </c>
      <c r="G88" s="4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8" s="4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6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6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6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5"/>
      <c r="Q88" s="45"/>
      <c r="R88" s="45"/>
    </row>
    <row r="89" spans="1:18" ht="21" customHeight="1" x14ac:dyDescent="0.15">
      <c r="A89" s="37" t="str">
        <f t="shared" si="2"/>
        <v>39006029_39006045</v>
      </c>
      <c r="B89" s="45">
        <v>39006029</v>
      </c>
      <c r="C89" s="45">
        <v>39006045</v>
      </c>
      <c r="D89" s="4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（炎上した建物を吹き飛ばした！）</v>
      </c>
      <c r="E89" s="4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赤パネル吸収攻撃（最大8個）</v>
      </c>
      <c r="F89" s="45">
        <v>39006045</v>
      </c>
      <c r="G89" s="4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6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9" s="4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6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6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6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6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5"/>
      <c r="Q89" s="45"/>
      <c r="R89" s="45"/>
    </row>
    <row r="90" spans="1:18" ht="21" customHeight="1" x14ac:dyDescent="0.15">
      <c r="A90" s="37" t="str">
        <f t="shared" si="2"/>
        <v>39006029_39006046</v>
      </c>
      <c r="B90" s="45">
        <v>39006029</v>
      </c>
      <c r="C90" s="45">
        <v>39006046</v>
      </c>
      <c r="D90" s="4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（街路樹をなぎ倒してきた！）</v>
      </c>
      <c r="E90" s="4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緑パネル吸収攻撃（最大8個）</v>
      </c>
      <c r="F90" s="45">
        <v>39006046</v>
      </c>
      <c r="G90" s="4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6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0" s="4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6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6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6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6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5"/>
      <c r="Q90" s="45"/>
      <c r="R90" s="45"/>
    </row>
    <row r="91" spans="1:18" ht="21" customHeight="1" x14ac:dyDescent="0.15">
      <c r="A91" s="37" t="str">
        <f t="shared" si="2"/>
        <v>39006029_39006047</v>
      </c>
      <c r="B91" s="45">
        <v>39006029</v>
      </c>
      <c r="C91" s="45">
        <v>39006047</v>
      </c>
      <c r="D91" s="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（水路が破壊された！）</v>
      </c>
      <c r="E91" s="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青パネル吸収攻撃（最大8個）</v>
      </c>
      <c r="F91" s="45">
        <v>39006048</v>
      </c>
      <c r="G91" s="4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1" s="4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6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6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6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5"/>
      <c r="Q91" s="45"/>
      <c r="R91" s="45"/>
    </row>
    <row r="92" spans="1:18" ht="21" customHeight="1" x14ac:dyDescent="0.15">
      <c r="A92" s="37" t="str">
        <f t="shared" si="2"/>
        <v>39006029_39006048</v>
      </c>
      <c r="B92" s="45">
        <v>39006029</v>
      </c>
      <c r="C92" s="45">
        <v>39006048</v>
      </c>
      <c r="D92" s="4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（辺りの照明が破壊された！）</v>
      </c>
      <c r="E92" s="4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黄パネル吸収攻撃（最大8個）</v>
      </c>
      <c r="F92" s="45">
        <v>39006047</v>
      </c>
      <c r="G92" s="4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6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2" s="4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6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6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6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6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5"/>
      <c r="Q92" s="45"/>
      <c r="R92" s="45"/>
    </row>
    <row r="93" spans="1:18" ht="21" customHeight="1" x14ac:dyDescent="0.15">
      <c r="A93" s="37" t="str">
        <f t="shared" si="2"/>
        <v>39006029_39006049</v>
      </c>
      <c r="B93" s="45">
        <v>39006029</v>
      </c>
      <c r="C93" s="45">
        <v>39006049</v>
      </c>
      <c r="D93" s="4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（物凄い勢いで突撃してきた！）</v>
      </c>
      <c r="E93" s="4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ハートパネル吸収攻撃（最大8個）</v>
      </c>
      <c r="F93" s="45">
        <v>39006049</v>
      </c>
      <c r="G93" s="4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6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3" s="4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6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6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6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6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5"/>
      <c r="Q93" s="45"/>
      <c r="R93" s="45"/>
    </row>
    <row r="94" spans="1:18" ht="21" customHeight="1" x14ac:dyDescent="0.15">
      <c r="A94" s="37" t="str">
        <f t="shared" ref="A94:A96" si="3">B94&amp;"_"&amp;C94</f>
        <v>39006030_39006050</v>
      </c>
      <c r="B94" s="45">
        <v>39006030</v>
      </c>
      <c r="C94" s="45">
        <v>39006050</v>
      </c>
      <c r="D94" s="4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オォオオオォ</v>
      </c>
      <c r="E94" s="4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行動頻度が2にUP</v>
      </c>
      <c r="F94" s="45">
        <v>39006050</v>
      </c>
      <c r="G94" s="4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6" t="str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4" s="4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6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6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6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5"/>
      <c r="Q94" s="45"/>
      <c r="R94" s="45"/>
    </row>
    <row r="95" spans="1:18" ht="21" customHeight="1" x14ac:dyDescent="0.15">
      <c r="A95" s="37" t="str">
        <f t="shared" si="3"/>
        <v>39006030_39006051</v>
      </c>
      <c r="B95" s="45">
        <v>39006030</v>
      </c>
      <c r="C95" s="45">
        <v>39006051</v>
      </c>
      <c r="D95" s="4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オォオオオォオォオオオォ</v>
      </c>
      <c r="E95" s="4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行動頻度が1にUP</v>
      </c>
      <c r="F95" s="45">
        <v>39006051</v>
      </c>
      <c r="G95" s="46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6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5" s="46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99</v>
      </c>
      <c r="J95" s="46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5" s="46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6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6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6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6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99</v>
      </c>
      <c r="P95" s="45"/>
      <c r="Q95" s="45"/>
      <c r="R95" s="45"/>
    </row>
    <row r="96" spans="1:18" ht="21" customHeight="1" x14ac:dyDescent="0.15">
      <c r="A96" s="37" t="str">
        <f t="shared" si="3"/>
        <v>39006030_39006052</v>
      </c>
      <c r="B96" s="45">
        <v>39006030</v>
      </c>
      <c r="C96" s="45">
        <v>39006052</v>
      </c>
      <c r="D96" s="4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捨て身の連撃</v>
      </c>
      <c r="E96" s="4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96" s="45">
        <v>39006052</v>
      </c>
      <c r="G96" s="4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6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6" s="4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98</v>
      </c>
      <c r="J96" s="46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6" s="4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6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6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6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98</v>
      </c>
      <c r="P96" s="45"/>
      <c r="Q96" s="45"/>
      <c r="R96" s="45"/>
    </row>
    <row r="97" spans="1:18" ht="21" customHeight="1" x14ac:dyDescent="0.15">
      <c r="A97" s="37" t="str">
        <f t="shared" ref="A97:A108" si="4">B97&amp;"_"&amp;C97</f>
        <v>39006006_39006053</v>
      </c>
      <c r="B97" s="118">
        <v>39006006</v>
      </c>
      <c r="C97" s="45">
        <v>39006053</v>
      </c>
      <c r="D97" s="4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（クリスタ・レンズ調査兵だ）</v>
      </c>
      <c r="E97" s="4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「でも良かった…みんな…最悪なことにならなくて」</v>
      </c>
      <c r="F97" s="45">
        <v>39006053</v>
      </c>
      <c r="G97" s="4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6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7" s="4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6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6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6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5"/>
      <c r="Q97" s="45"/>
      <c r="R97" s="45"/>
    </row>
    <row r="98" spans="1:18" ht="21" customHeight="1" x14ac:dyDescent="0.15">
      <c r="A98" s="37" t="str">
        <f t="shared" si="4"/>
        <v>39006007_39006054</v>
      </c>
      <c r="B98" s="118">
        <v>39006007</v>
      </c>
      <c r="C98" s="45">
        <v>39006054</v>
      </c>
      <c r="D98" s="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（サシャ・ブラウス調査兵だ）</v>
      </c>
      <c r="E98" s="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「さっきの悲鳴」</v>
      </c>
      <c r="F98" s="45">
        <v>39006054</v>
      </c>
      <c r="G98" s="4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8" s="4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6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6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6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6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5"/>
      <c r="Q98" s="45"/>
      <c r="R98" s="45"/>
    </row>
    <row r="99" spans="1:18" ht="21" customHeight="1" x14ac:dyDescent="0.15">
      <c r="A99" s="37" t="str">
        <f t="shared" si="4"/>
        <v>39006008_39006055</v>
      </c>
      <c r="B99" s="118">
        <v>39006008</v>
      </c>
      <c r="C99" s="45">
        <v>39006055</v>
      </c>
      <c r="D99" s="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（ジャン・キルシュタイン調査兵だ）</v>
      </c>
      <c r="E99" s="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「緑の煙弾だと！？」</v>
      </c>
      <c r="F99" s="45">
        <v>39006055</v>
      </c>
      <c r="G99" s="4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6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9" s="4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6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6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6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5"/>
      <c r="Q99" s="45"/>
      <c r="R99" s="45"/>
    </row>
    <row r="100" spans="1:18" ht="21" customHeight="1" x14ac:dyDescent="0.15">
      <c r="A100" s="37" t="str">
        <f t="shared" si="4"/>
        <v>39006009_39006056</v>
      </c>
      <c r="B100" s="118">
        <v>39006009</v>
      </c>
      <c r="C100" s="45">
        <v>39006056</v>
      </c>
      <c r="D100" s="4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（掃除中のリヴァイ兵長だ）</v>
      </c>
      <c r="E100" s="4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「全然なってない」</v>
      </c>
      <c r="F100" s="45">
        <v>39006056</v>
      </c>
      <c r="G100" s="4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0" s="4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6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6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6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6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5"/>
      <c r="Q100" s="45"/>
      <c r="R100" s="45"/>
    </row>
    <row r="101" spans="1:18" ht="21" customHeight="1" x14ac:dyDescent="0.15">
      <c r="A101" s="37" t="str">
        <f t="shared" si="4"/>
        <v>39006010_39006057</v>
      </c>
      <c r="B101" s="118">
        <v>39006010</v>
      </c>
      <c r="C101" s="45">
        <v>39006057</v>
      </c>
      <c r="D101" s="4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（アルミン・アルレルト調査兵だ）</v>
      </c>
      <c r="E101" s="4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「死んでも」</v>
      </c>
      <c r="F101" s="45">
        <v>39006057</v>
      </c>
      <c r="G101" s="4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1" s="4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6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6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6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5"/>
      <c r="Q101" s="45"/>
      <c r="R101" s="45"/>
    </row>
    <row r="102" spans="1:18" ht="21" customHeight="1" x14ac:dyDescent="0.15">
      <c r="A102" s="37" t="str">
        <f t="shared" si="4"/>
        <v>39006011_39006058</v>
      </c>
      <c r="B102" s="118">
        <v>39006011</v>
      </c>
      <c r="C102" s="45">
        <v>39006058</v>
      </c>
      <c r="D102" s="4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（ミカサ・アッカーマン調査兵だ）</v>
      </c>
      <c r="E102" s="4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「…仕方無いでしょ？」</v>
      </c>
      <c r="F102" s="45">
        <v>39006058</v>
      </c>
      <c r="G102" s="4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2" s="4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6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6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6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5"/>
      <c r="Q102" s="45"/>
      <c r="R102" s="45"/>
    </row>
    <row r="103" spans="1:18" ht="21" customHeight="1" x14ac:dyDescent="0.15">
      <c r="A103" s="37" t="str">
        <f t="shared" si="4"/>
        <v>39006012_39006059</v>
      </c>
      <c r="B103" s="118">
        <v>39006012</v>
      </c>
      <c r="C103" s="45">
        <v>39006059</v>
      </c>
      <c r="D103" s="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（エレン・イェーガー調査兵だ）</v>
      </c>
      <c r="E103" s="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「駆逐してやる…！この世から…」</v>
      </c>
      <c r="F103" s="45">
        <v>39006059</v>
      </c>
      <c r="G103" s="4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6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3" s="4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6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6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5"/>
      <c r="Q103" s="45"/>
      <c r="R103" s="45"/>
    </row>
    <row r="104" spans="1:18" ht="21" customHeight="1" x14ac:dyDescent="0.15">
      <c r="A104" s="37" t="str">
        <f t="shared" si="4"/>
        <v>39006013_39006060</v>
      </c>
      <c r="B104" s="118">
        <v>39006013</v>
      </c>
      <c r="C104" s="45">
        <v>39006060</v>
      </c>
      <c r="D104" s="44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（ハンジ・ゾエ分隊長だ）</v>
      </c>
      <c r="E104" s="44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「二手に分かれて」</v>
      </c>
      <c r="F104" s="45">
        <v>39006060</v>
      </c>
      <c r="G104" s="46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6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4" s="46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6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6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6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6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6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6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5"/>
      <c r="Q104" s="45"/>
      <c r="R104" s="45"/>
    </row>
    <row r="105" spans="1:18" ht="21" customHeight="1" x14ac:dyDescent="0.15">
      <c r="A105" s="37" t="str">
        <f t="shared" si="4"/>
        <v>39006014_39006061</v>
      </c>
      <c r="B105" s="118">
        <v>39006014</v>
      </c>
      <c r="C105" s="45">
        <v>39006061</v>
      </c>
      <c r="D105" s="44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（エルヴィン団長が現れた）</v>
      </c>
      <c r="E105" s="44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「これが本物の敬礼だ！」</v>
      </c>
      <c r="F105" s="45">
        <v>39006061</v>
      </c>
      <c r="G105" s="46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6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5" s="46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6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6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6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6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6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6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5"/>
      <c r="Q105" s="45"/>
      <c r="R105" s="45"/>
    </row>
    <row r="106" spans="1:18" ht="21" customHeight="1" x14ac:dyDescent="0.15">
      <c r="A106" s="37" t="str">
        <f t="shared" si="4"/>
        <v>39006015_39006062</v>
      </c>
      <c r="B106" s="118">
        <v>39006015</v>
      </c>
      <c r="C106" s="45">
        <v>39006062</v>
      </c>
      <c r="D106" s="44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（最強と名高いリヴァイ兵長だ）</v>
      </c>
      <c r="E106" s="44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「認めてやるよ」</v>
      </c>
      <c r="F106" s="45">
        <v>39006062</v>
      </c>
      <c r="G106" s="46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6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6" s="46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6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6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6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6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6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6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5"/>
      <c r="Q106" s="45"/>
      <c r="R106" s="45"/>
    </row>
    <row r="107" spans="1:18" ht="21" customHeight="1" x14ac:dyDescent="0.15">
      <c r="A107" s="37" t="str">
        <f t="shared" si="4"/>
        <v>39006016_39006063</v>
      </c>
      <c r="B107" s="118">
        <v>39006016</v>
      </c>
      <c r="C107" s="45">
        <v>39006063</v>
      </c>
      <c r="D107" s="44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（エレン・イェーガー調査兵だ）</v>
      </c>
      <c r="E107" s="44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「…駆逐してやる…！この世から…」</v>
      </c>
      <c r="F107" s="45">
        <v>39006063</v>
      </c>
      <c r="G107" s="46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6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7" s="46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6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6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6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6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6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6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5"/>
      <c r="Q107" s="45"/>
      <c r="R107" s="45"/>
    </row>
    <row r="108" spans="1:18" ht="21" customHeight="1" x14ac:dyDescent="0.15">
      <c r="A108" s="37" t="str">
        <f t="shared" si="4"/>
        <v>39006017_39006064</v>
      </c>
      <c r="B108" s="118">
        <v>39006017</v>
      </c>
      <c r="C108" s="45">
        <v>39006064</v>
      </c>
      <c r="D108" s="44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（見たことのない巨人が現れた）</v>
      </c>
      <c r="E108" s="44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（勇ましい咆哮を上げている！）</v>
      </c>
      <c r="F108" s="45">
        <v>39006064</v>
      </c>
      <c r="G108" s="46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6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8" s="46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6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6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6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6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6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6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5"/>
      <c r="Q108" s="45"/>
      <c r="R108" s="45"/>
    </row>
    <row r="109" spans="1:18" ht="21" customHeight="1" x14ac:dyDescent="0.15">
      <c r="A109" s="37" t="str">
        <f t="shared" ref="A109:A110" si="5">B109&amp;"_"&amp;C109</f>
        <v>39006031_39006080</v>
      </c>
      <c r="B109" s="118">
        <v>39006031</v>
      </c>
      <c r="C109" s="45">
        <v>39006080</v>
      </c>
      <c r="D109" s="44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こちらを見つめている…</v>
      </c>
      <c r="E109" s="44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敵対者発見…追尾モードON</v>
      </c>
      <c r="F109" s="45">
        <v>39006065</v>
      </c>
      <c r="G109" s="46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6" t="str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9" s="46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6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6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6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6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6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6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5"/>
      <c r="Q109" s="45"/>
      <c r="R109" s="45"/>
    </row>
    <row r="110" spans="1:18" ht="21" customHeight="1" x14ac:dyDescent="0.15">
      <c r="A110" s="37" t="str">
        <f t="shared" si="5"/>
        <v>39006031_39006081</v>
      </c>
      <c r="B110" s="118">
        <v>39006031</v>
      </c>
      <c r="C110" s="45">
        <v>39006081</v>
      </c>
      <c r="D110" s="44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突然接近してきた！</v>
      </c>
      <c r="E110" s="44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自爆攻撃</v>
      </c>
      <c r="F110" s="45">
        <v>39006066</v>
      </c>
      <c r="G110" s="46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6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0" s="46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6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6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6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6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0" s="46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6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5"/>
      <c r="Q110" s="45"/>
      <c r="R110" s="45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2"/>
  <sheetViews>
    <sheetView showGridLines="0" workbookViewId="0">
      <pane ySplit="1" topLeftCell="A20" activePane="bottomLeft" state="frozenSplit"/>
      <selection pane="bottomLeft" activeCell="E31" sqref="E31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88.1640625" style="123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79</v>
      </c>
      <c r="B1" s="122" t="s">
        <v>80</v>
      </c>
      <c r="C1" s="38" t="s">
        <v>81</v>
      </c>
      <c r="D1" s="38" t="s">
        <v>127</v>
      </c>
      <c r="E1" s="38" t="s">
        <v>82</v>
      </c>
      <c r="F1" s="38" t="s">
        <v>83</v>
      </c>
      <c r="G1" s="39" t="s">
        <v>133</v>
      </c>
      <c r="H1" s="39" t="s">
        <v>139</v>
      </c>
      <c r="I1" s="39" t="s">
        <v>141</v>
      </c>
      <c r="J1" s="39" t="s">
        <v>140</v>
      </c>
      <c r="K1" s="39" t="s">
        <v>142</v>
      </c>
      <c r="L1" s="39" t="s">
        <v>134</v>
      </c>
      <c r="M1" s="39" t="s">
        <v>132</v>
      </c>
      <c r="N1" s="39" t="s">
        <v>135</v>
      </c>
      <c r="O1" s="39" t="s">
        <v>143</v>
      </c>
      <c r="P1" s="39" t="s">
        <v>144</v>
      </c>
      <c r="Q1" s="39" t="s">
        <v>145</v>
      </c>
      <c r="R1" s="39" t="s">
        <v>146</v>
      </c>
      <c r="S1" s="39" t="s">
        <v>136</v>
      </c>
      <c r="T1" s="39" t="s">
        <v>137</v>
      </c>
      <c r="U1" s="39" t="s">
        <v>147</v>
      </c>
      <c r="V1" s="39" t="s">
        <v>148</v>
      </c>
      <c r="W1" s="39" t="s">
        <v>149</v>
      </c>
      <c r="X1" s="39" t="s">
        <v>150</v>
      </c>
      <c r="Y1" s="39" t="s">
        <v>138</v>
      </c>
      <c r="Z1" s="39" t="s">
        <v>76</v>
      </c>
      <c r="AA1" s="39" t="s">
        <v>77</v>
      </c>
      <c r="AB1" s="39" t="s">
        <v>78</v>
      </c>
    </row>
    <row r="2" spans="1:28" ht="21" customHeight="1" x14ac:dyDescent="0.15">
      <c r="A2" s="45">
        <v>39006001</v>
      </c>
      <c r="B2" s="121" t="s">
        <v>326</v>
      </c>
      <c r="C2" s="48">
        <v>3</v>
      </c>
      <c r="D2" s="48" t="s">
        <v>128</v>
      </c>
      <c r="E2" s="49" t="s">
        <v>494</v>
      </c>
      <c r="F2" s="49" t="s">
        <v>489</v>
      </c>
      <c r="G2" s="61" t="str">
        <f>IFERROR(LEFT(B2,FIND("],",B2)),B2)</f>
        <v>[effect:damage_fix_absolute, target:unit_one, val:4500]</v>
      </c>
      <c r="H2" s="61">
        <f>FIND("effect:",G2)+7</f>
        <v>9</v>
      </c>
      <c r="I2" s="61">
        <f>IFERROR(FIND(",",G2),LEN(G2))</f>
        <v>28</v>
      </c>
      <c r="J2" s="61">
        <f>FIND("target:",G2)+7</f>
        <v>37</v>
      </c>
      <c r="K2" s="61">
        <f>FIND(",",G2,I2+1)</f>
        <v>45</v>
      </c>
      <c r="L2" s="61" t="str">
        <f>IFERROR(VLOOKUP(MID(G2,J2,K2-J2),[6]skilldef!$C:$D,2,FALSE),"-") &amp; " / " &amp; IFERROR(VLOOKUP(MID(G2,H2,I2-H2),[6]skilldef!$A:$B,2,FALSE),"-")</f>
        <v>味方単体に / -</v>
      </c>
      <c r="M2" s="61" t="str">
        <f>IFERROR(RIGHT(B2,LEN(B2)-FIND("],",B2)-1),"none")</f>
        <v>[effect:enhance_enemy, target:myself, turn:-1, status:defense, val:100, calc:add, animation:enemy_enhance_defense]</v>
      </c>
      <c r="N2" s="46" t="str">
        <f>IFERROR(LEFT(M2,FIND("],",M2)+S15),M2)</f>
        <v>[effect:enhance_enemy, target:myself, turn:-1, status:defense, val:100, calc:add, animation:enemy_enhance_defense]</v>
      </c>
      <c r="O2" s="61">
        <f>FIND("effect:",N2)+7</f>
        <v>9</v>
      </c>
      <c r="P2" s="61">
        <f>IFERROR(FIND(",",N2),LEN(N2))</f>
        <v>22</v>
      </c>
      <c r="Q2" s="61">
        <f>FIND("target:",N2)+7</f>
        <v>31</v>
      </c>
      <c r="R2" s="61">
        <f>FIND(",",N2,P2+1)</f>
        <v>37</v>
      </c>
      <c r="S2" s="61" t="str">
        <f>IFERROR(VLOOKUP(MID(N2,Q2,R2-Q2),[6]skilldef!$C:$D,2,FALSE),"-") &amp; " / " &amp; IFERROR(VLOOKUP(MID(N2,O2,P2-O2),[6]skilldef!$A:$B,2,FALSE),"-")</f>
        <v>自分自身に / ステータス強化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8" t="s">
        <v>266</v>
      </c>
      <c r="AA2" s="50">
        <v>42531</v>
      </c>
      <c r="AB2" s="48" t="s">
        <v>267</v>
      </c>
    </row>
    <row r="3" spans="1:28" ht="21" customHeight="1" x14ac:dyDescent="0.15">
      <c r="A3" s="45">
        <v>39006002</v>
      </c>
      <c r="B3" s="121" t="s">
        <v>327</v>
      </c>
      <c r="C3" s="48">
        <v>3</v>
      </c>
      <c r="D3" s="48" t="s">
        <v>128</v>
      </c>
      <c r="E3" s="49" t="s">
        <v>494</v>
      </c>
      <c r="F3" s="49" t="s">
        <v>490</v>
      </c>
      <c r="G3" s="61" t="str">
        <f t="shared" ref="G3:G5" si="0">IFERROR(LEFT(B3,FIND("],",B3)),B3)</f>
        <v>[effect:damage_fix_absolute, target:unit_one, val:5500]</v>
      </c>
      <c r="H3" s="61">
        <f t="shared" ref="H3:H5" si="1">FIND("effect:",G3)+7</f>
        <v>9</v>
      </c>
      <c r="I3" s="61">
        <f t="shared" ref="I3:I5" si="2">IFERROR(FIND(",",G3),LEN(G3))</f>
        <v>28</v>
      </c>
      <c r="J3" s="61">
        <f t="shared" ref="J3:J5" si="3">FIND("target:",G3)+7</f>
        <v>37</v>
      </c>
      <c r="K3" s="61">
        <f t="shared" ref="K3:K5" si="4">FIND(",",G3,I3+1)</f>
        <v>45</v>
      </c>
      <c r="L3" s="61" t="str">
        <f>IFERROR(VLOOKUP(MID(G3,J3,K3-J3),[6]skilldef!$C:$D,2,FALSE),"-") &amp; " / " &amp; IFERROR(VLOOKUP(MID(G3,H3,I3-H3),[6]skilldef!$A:$B,2,FALSE),"-")</f>
        <v>味方単体に / -</v>
      </c>
      <c r="M3" s="61" t="str">
        <f t="shared" ref="M3:M5" si="5">IFERROR(RIGHT(B3,LEN(B3)-FIND("],",B3)-1),"none")</f>
        <v xml:space="preserve">[effect:enhance_enemy, target:myself, turn:-1, status:defense, val:200, calc:add, animation:enemy_enhance_defense]    </v>
      </c>
      <c r="N3" s="46" t="str">
        <f t="shared" ref="N3:N5" si="6">IFERROR(LEFT(M3,FIND("],",M3)+S16),M3)</f>
        <v xml:space="preserve">[effect:enhance_enemy, target:myself, turn:-1, status:defense, val:200, calc:add, animation:enemy_enhance_defense]    </v>
      </c>
      <c r="O3" s="61">
        <f t="shared" ref="O3:O5" si="7">FIND("effect:",N3)+7</f>
        <v>9</v>
      </c>
      <c r="P3" s="61">
        <f t="shared" ref="P3:P5" si="8">IFERROR(FIND(",",N3),LEN(N3))</f>
        <v>22</v>
      </c>
      <c r="Q3" s="61">
        <f t="shared" ref="Q3:Q5" si="9">FIND("target:",N3)+7</f>
        <v>31</v>
      </c>
      <c r="R3" s="61">
        <f t="shared" ref="R3:R5" si="10">FIND(",",N3,P3+1)</f>
        <v>37</v>
      </c>
      <c r="S3" s="61" t="str">
        <f>IFERROR(VLOOKUP(MID(N3,Q3,R3-Q3),[6]skilldef!$C:$D,2,FALSE),"-") &amp; " / " &amp; IFERROR(VLOOKUP(MID(N3,O3,P3-O3),[6]skilldef!$A:$B,2,FALSE),"-")</f>
        <v>自分自身に / ステータス強化</v>
      </c>
      <c r="T3" s="46" t="str">
        <f t="shared" ref="T3:T5" si="11">IFERROR(RIGHT(M3,LEN(M3)-FIND("],",M3)-1),"none")</f>
        <v>none</v>
      </c>
      <c r="U3" s="61" t="e">
        <f t="shared" ref="U3:U5" si="12">FIND("effect:",T3)+7</f>
        <v>#VALUE!</v>
      </c>
      <c r="V3" s="61">
        <f t="shared" ref="V3:V5" si="13">IFERROR(FIND(",",T3),LEN(T3))</f>
        <v>4</v>
      </c>
      <c r="W3" s="61" t="e">
        <f t="shared" ref="W3:W5" si="14">FIND("target:",T3)+7</f>
        <v>#VALUE!</v>
      </c>
      <c r="X3" s="61" t="e">
        <f t="shared" ref="X3:X5" si="15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8" t="s">
        <v>266</v>
      </c>
      <c r="AA3" s="50">
        <v>42531</v>
      </c>
      <c r="AB3" s="48" t="s">
        <v>268</v>
      </c>
    </row>
    <row r="4" spans="1:28" ht="21" customHeight="1" x14ac:dyDescent="0.15">
      <c r="A4" s="45">
        <v>39006003</v>
      </c>
      <c r="B4" s="121" t="s">
        <v>328</v>
      </c>
      <c r="C4" s="48">
        <v>3</v>
      </c>
      <c r="D4" s="48" t="s">
        <v>128</v>
      </c>
      <c r="E4" s="49" t="s">
        <v>494</v>
      </c>
      <c r="F4" s="49" t="s">
        <v>491</v>
      </c>
      <c r="G4" s="61" t="str">
        <f t="shared" si="0"/>
        <v>[effect:damage_fix_absolute, target:unit_one, val:6500]</v>
      </c>
      <c r="H4" s="61">
        <f t="shared" si="1"/>
        <v>9</v>
      </c>
      <c r="I4" s="61">
        <f t="shared" si="2"/>
        <v>28</v>
      </c>
      <c r="J4" s="61">
        <f t="shared" si="3"/>
        <v>37</v>
      </c>
      <c r="K4" s="61">
        <f t="shared" si="4"/>
        <v>45</v>
      </c>
      <c r="L4" s="61" t="str">
        <f>IFERROR(VLOOKUP(MID(G4,J4,K4-J4),[6]skilldef!$C:$D,2,FALSE),"-") &amp; " / " &amp; IFERROR(VLOOKUP(MID(G4,H4,I4-H4),[6]skilldef!$A:$B,2,FALSE),"-")</f>
        <v>味方単体に / -</v>
      </c>
      <c r="M4" s="61" t="str">
        <f t="shared" si="5"/>
        <v xml:space="preserve">[effect:enhance_enemy, target:myself, turn:-1, status:defense, val:300, calc:add, animation:enemy_enhance_defense]    </v>
      </c>
      <c r="N4" s="46" t="str">
        <f t="shared" si="6"/>
        <v xml:space="preserve">[effect:enhance_enemy, target:myself, turn:-1, status:defense, val:300, calc:add, animation:enemy_enhance_defense]    </v>
      </c>
      <c r="O4" s="61">
        <f t="shared" si="7"/>
        <v>9</v>
      </c>
      <c r="P4" s="61">
        <f t="shared" si="8"/>
        <v>22</v>
      </c>
      <c r="Q4" s="61">
        <f t="shared" si="9"/>
        <v>31</v>
      </c>
      <c r="R4" s="61">
        <f t="shared" si="10"/>
        <v>37</v>
      </c>
      <c r="S4" s="61" t="str">
        <f>IFERROR(VLOOKUP(MID(N4,Q4,R4-Q4),[6]skilldef!$C:$D,2,FALSE),"-") &amp; " / " &amp; IFERROR(VLOOKUP(MID(N4,O4,P4-O4),[6]skilldef!$A:$B,2,FALSE),"-")</f>
        <v>自分自身に / ステータス強化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 t="s">
        <v>266</v>
      </c>
      <c r="AA4" s="50">
        <v>42531</v>
      </c>
      <c r="AB4" s="48" t="s">
        <v>269</v>
      </c>
    </row>
    <row r="5" spans="1:28" ht="21" customHeight="1" x14ac:dyDescent="0.15">
      <c r="A5" s="45">
        <v>39006004</v>
      </c>
      <c r="B5" s="121" t="s">
        <v>329</v>
      </c>
      <c r="C5" s="48">
        <v>3</v>
      </c>
      <c r="D5" s="48" t="s">
        <v>128</v>
      </c>
      <c r="E5" s="49" t="s">
        <v>494</v>
      </c>
      <c r="F5" s="49" t="s">
        <v>492</v>
      </c>
      <c r="G5" s="61" t="str">
        <f t="shared" si="0"/>
        <v>[effect:damage_fix_absolute, target:unit_one, val:7500]</v>
      </c>
      <c r="H5" s="61">
        <f t="shared" si="1"/>
        <v>9</v>
      </c>
      <c r="I5" s="61">
        <f t="shared" si="2"/>
        <v>28</v>
      </c>
      <c r="J5" s="61">
        <f t="shared" si="3"/>
        <v>37</v>
      </c>
      <c r="K5" s="61">
        <f t="shared" si="4"/>
        <v>45</v>
      </c>
      <c r="L5" s="61" t="str">
        <f>IFERROR(VLOOKUP(MID(G5,J5,K5-J5),[6]skilldef!$C:$D,2,FALSE),"-") &amp; " / " &amp; IFERROR(VLOOKUP(MID(G5,H5,I5-H5),[6]skilldef!$A:$B,2,FALSE),"-")</f>
        <v>味方単体に / -</v>
      </c>
      <c r="M5" s="61" t="str">
        <f t="shared" si="5"/>
        <v xml:space="preserve">[effect:enhance_enemy, target:myself, turn:-1, status:defense, val:400, calc:add, animation:enemy_enhance_defense]    </v>
      </c>
      <c r="N5" s="46" t="str">
        <f t="shared" si="6"/>
        <v xml:space="preserve">[effect:enhance_enemy, target:myself, turn:-1, status:defense, val:400, calc:add, animation:enemy_enhance_defense]    </v>
      </c>
      <c r="O5" s="61">
        <f t="shared" si="7"/>
        <v>9</v>
      </c>
      <c r="P5" s="61">
        <f t="shared" si="8"/>
        <v>22</v>
      </c>
      <c r="Q5" s="61">
        <f t="shared" si="9"/>
        <v>31</v>
      </c>
      <c r="R5" s="61">
        <f t="shared" si="10"/>
        <v>37</v>
      </c>
      <c r="S5" s="61" t="str">
        <f>IFERROR(VLOOKUP(MID(N5,Q5,R5-Q5),[6]skilldef!$C:$D,2,FALSE),"-") &amp; " / " &amp; IFERROR(VLOOKUP(MID(N5,O5,P5-O5),[6]skilldef!$A:$B,2,FALSE),"-")</f>
        <v>自分自身に / ステータス強化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8" t="s">
        <v>266</v>
      </c>
      <c r="AA5" s="50">
        <v>42531</v>
      </c>
      <c r="AB5" s="48" t="s">
        <v>270</v>
      </c>
    </row>
    <row r="6" spans="1:28" ht="21" customHeight="1" x14ac:dyDescent="0.15">
      <c r="A6" s="45">
        <v>39006005</v>
      </c>
      <c r="B6" s="121" t="s">
        <v>493</v>
      </c>
      <c r="C6" s="48">
        <v>3</v>
      </c>
      <c r="D6" s="48" t="s">
        <v>128</v>
      </c>
      <c r="E6" s="49" t="s">
        <v>508</v>
      </c>
      <c r="F6" s="49" t="s">
        <v>482</v>
      </c>
      <c r="G6" s="61" t="str">
        <f t="shared" ref="G6:G53" si="16">IFERROR(LEFT(B6,FIND("],",B6)),B6)</f>
        <v xml:space="preserve">[effect:critical, val:1.55]    </v>
      </c>
      <c r="H6" s="61">
        <f t="shared" ref="H6:H53" si="17">FIND("effect:",G6)+7</f>
        <v>9</v>
      </c>
      <c r="I6" s="61">
        <f t="shared" ref="I6:I53" si="18">IFERROR(FIND(",",G6),LEN(G6))</f>
        <v>17</v>
      </c>
      <c r="J6" s="61" t="e">
        <f t="shared" ref="J6:J53" si="19">FIND("target:",G6)+7</f>
        <v>#VALUE!</v>
      </c>
      <c r="K6" s="61" t="e">
        <f t="shared" ref="K6:K53" si="20">FIND(",",G6,I6+1)</f>
        <v>#VALUE!</v>
      </c>
      <c r="L6" s="61" t="str">
        <f>IFERROR(VLOOKUP(MID(G6,J6,K6-J6),[6]skilldef!$C:$D,2,FALSE),"-") &amp; " / " &amp; IFERROR(VLOOKUP(MID(G6,H6,I6-H6),[6]skilldef!$A:$B,2,FALSE),"-")</f>
        <v>- / 大攻撃</v>
      </c>
      <c r="M6" s="61" t="str">
        <f t="shared" ref="M6:M53" si="21">IFERROR(RIGHT(B6,LEN(B6)-FIND("],",B6)-1),"none")</f>
        <v>none</v>
      </c>
      <c r="N6" s="46" t="str">
        <f t="shared" ref="N6:N43" si="22">IFERROR(LEFT(M6,FIND("],",M6)+S16),M6)</f>
        <v>none</v>
      </c>
      <c r="O6" s="61" t="e">
        <f t="shared" ref="O6:O53" si="23">FIND("effect:",N6)+7</f>
        <v>#VALUE!</v>
      </c>
      <c r="P6" s="61">
        <f t="shared" ref="P6:P53" si="24">IFERROR(FIND(",",N6),LEN(N6))</f>
        <v>4</v>
      </c>
      <c r="Q6" s="61" t="e">
        <f t="shared" ref="Q6:Q53" si="25">FIND("target:",N6)+7</f>
        <v>#VALUE!</v>
      </c>
      <c r="R6" s="61" t="e">
        <f t="shared" ref="R6:R53" si="26">FIND(",",N6,P6+1)</f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6" t="str">
        <f t="shared" ref="T6:T53" si="27">IFERROR(RIGHT(M6,LEN(M6)-FIND("],",M6)-1),"none")</f>
        <v>none</v>
      </c>
      <c r="U6" s="61" t="e">
        <f t="shared" ref="U6:U53" si="28">FIND("effect:",T6)+7</f>
        <v>#VALUE!</v>
      </c>
      <c r="V6" s="61">
        <f t="shared" ref="V6:V53" si="29">IFERROR(FIND(",",T6),LEN(T6))</f>
        <v>4</v>
      </c>
      <c r="W6" s="61" t="e">
        <f t="shared" ref="W6:W53" si="30">FIND("target:",T6)+7</f>
        <v>#VALUE!</v>
      </c>
      <c r="X6" s="61" t="e">
        <f t="shared" ref="X6:X53" si="31">FIND(",",T6,V6+1)</f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8" t="s">
        <v>266</v>
      </c>
      <c r="AA6" s="50">
        <v>42531</v>
      </c>
      <c r="AB6" s="48" t="s">
        <v>230</v>
      </c>
    </row>
    <row r="7" spans="1:28" ht="21" customHeight="1" x14ac:dyDescent="0.15">
      <c r="A7" s="45">
        <v>39006006</v>
      </c>
      <c r="B7" s="121" t="s">
        <v>514</v>
      </c>
      <c r="C7" s="48">
        <v>3</v>
      </c>
      <c r="D7" s="48" t="s">
        <v>128</v>
      </c>
      <c r="E7" s="49" t="s">
        <v>271</v>
      </c>
      <c r="F7" s="49" t="s">
        <v>283</v>
      </c>
      <c r="G7" s="61" t="str">
        <f t="shared" si="16"/>
        <v>[effect:enemy_message, val1:0,dead_type:escape]</v>
      </c>
      <c r="H7" s="61">
        <f t="shared" si="17"/>
        <v>9</v>
      </c>
      <c r="I7" s="61">
        <f t="shared" si="18"/>
        <v>22</v>
      </c>
      <c r="J7" s="61" t="e">
        <f t="shared" si="19"/>
        <v>#VALUE!</v>
      </c>
      <c r="K7" s="61">
        <f t="shared" si="20"/>
        <v>30</v>
      </c>
      <c r="L7" s="61" t="str">
        <f>IFERROR(VLOOKUP(MID(G7,J7,K7-J7),[6]skilldef!$C:$D,2,FALSE),"-") &amp; " / " &amp; IFERROR(VLOOKUP(MID(G7,H7,I7-H7),[6]skilldef!$A:$B,2,FALSE),"-")</f>
        <v>- / -</v>
      </c>
      <c r="M7" s="61" t="str">
        <f t="shared" si="21"/>
        <v>none</v>
      </c>
      <c r="N7" s="46" t="str">
        <f t="shared" si="22"/>
        <v>none</v>
      </c>
      <c r="O7" s="61" t="e">
        <f t="shared" si="23"/>
        <v>#VALUE!</v>
      </c>
      <c r="P7" s="61">
        <f t="shared" si="24"/>
        <v>4</v>
      </c>
      <c r="Q7" s="61" t="e">
        <f t="shared" si="25"/>
        <v>#VALUE!</v>
      </c>
      <c r="R7" s="61" t="e">
        <f t="shared" si="26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6" t="str">
        <f t="shared" si="27"/>
        <v>none</v>
      </c>
      <c r="U7" s="61" t="e">
        <f t="shared" si="28"/>
        <v>#VALUE!</v>
      </c>
      <c r="V7" s="61">
        <f t="shared" si="29"/>
        <v>4</v>
      </c>
      <c r="W7" s="61" t="e">
        <f t="shared" si="30"/>
        <v>#VALUE!</v>
      </c>
      <c r="X7" s="61" t="e">
        <f t="shared" si="31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8" t="s">
        <v>266</v>
      </c>
      <c r="AA7" s="50">
        <v>42531</v>
      </c>
      <c r="AB7" s="48" t="s">
        <v>231</v>
      </c>
    </row>
    <row r="8" spans="1:28" ht="21" customHeight="1" x14ac:dyDescent="0.15">
      <c r="A8" s="45">
        <v>39006007</v>
      </c>
      <c r="B8" s="121" t="s">
        <v>325</v>
      </c>
      <c r="C8" s="48">
        <v>3</v>
      </c>
      <c r="D8" s="48" t="s">
        <v>128</v>
      </c>
      <c r="E8" s="49" t="s">
        <v>341</v>
      </c>
      <c r="F8" s="49" t="s">
        <v>522</v>
      </c>
      <c r="G8" s="61" t="str">
        <f t="shared" si="16"/>
        <v xml:space="preserve">[effect:enemy_counter, target:myself, invoke_condition:unit_all, counter_target:attacker, turn:2, val:1.0, animation:enemy_counter]    </v>
      </c>
      <c r="H8" s="61">
        <f t="shared" si="17"/>
        <v>9</v>
      </c>
      <c r="I8" s="61">
        <f t="shared" si="18"/>
        <v>22</v>
      </c>
      <c r="J8" s="61">
        <f t="shared" si="19"/>
        <v>31</v>
      </c>
      <c r="K8" s="61">
        <f t="shared" si="20"/>
        <v>37</v>
      </c>
      <c r="L8" s="61" t="str">
        <f>IFERROR(VLOOKUP(MID(G8,J8,K8-J8),[6]skilldef!$C:$D,2,FALSE),"-") &amp; " / " &amp; IFERROR(VLOOKUP(MID(G8,H8,I8-H8),[6]skilldef!$A:$B,2,FALSE),"-")</f>
        <v>自分自身に / カウンター</v>
      </c>
      <c r="M8" s="61" t="str">
        <f t="shared" si="21"/>
        <v>none</v>
      </c>
      <c r="N8" s="46" t="str">
        <f t="shared" si="22"/>
        <v>none</v>
      </c>
      <c r="O8" s="61" t="e">
        <f t="shared" si="23"/>
        <v>#VALUE!</v>
      </c>
      <c r="P8" s="61">
        <f t="shared" si="24"/>
        <v>4</v>
      </c>
      <c r="Q8" s="61" t="e">
        <f t="shared" si="25"/>
        <v>#VALUE!</v>
      </c>
      <c r="R8" s="61" t="e">
        <f t="shared" si="26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6" t="str">
        <f t="shared" si="27"/>
        <v>none</v>
      </c>
      <c r="U8" s="61" t="e">
        <f t="shared" si="28"/>
        <v>#VALUE!</v>
      </c>
      <c r="V8" s="61">
        <f t="shared" si="29"/>
        <v>4</v>
      </c>
      <c r="W8" s="61" t="e">
        <f t="shared" si="30"/>
        <v>#VALUE!</v>
      </c>
      <c r="X8" s="61" t="e">
        <f t="shared" si="31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8" t="s">
        <v>266</v>
      </c>
      <c r="AA8" s="50">
        <v>42531</v>
      </c>
      <c r="AB8" s="48" t="s">
        <v>233</v>
      </c>
    </row>
    <row r="9" spans="1:28" ht="21" customHeight="1" x14ac:dyDescent="0.15">
      <c r="A9" s="45">
        <v>39006008</v>
      </c>
      <c r="B9" s="121" t="s">
        <v>324</v>
      </c>
      <c r="C9" s="48">
        <v>3</v>
      </c>
      <c r="D9" s="48" t="s">
        <v>128</v>
      </c>
      <c r="E9" s="49" t="s">
        <v>418</v>
      </c>
      <c r="F9" s="49" t="s">
        <v>275</v>
      </c>
      <c r="G9" s="61" t="str">
        <f t="shared" si="16"/>
        <v xml:space="preserve">[effect:rush, count:2, val:0.6]    </v>
      </c>
      <c r="H9" s="61">
        <f t="shared" si="17"/>
        <v>9</v>
      </c>
      <c r="I9" s="61">
        <f t="shared" si="18"/>
        <v>13</v>
      </c>
      <c r="J9" s="61" t="e">
        <f t="shared" si="19"/>
        <v>#VALUE!</v>
      </c>
      <c r="K9" s="61">
        <f t="shared" si="20"/>
        <v>22</v>
      </c>
      <c r="L9" s="61" t="str">
        <f>IFERROR(VLOOKUP(MID(G9,J9,K9-J9),[6]skilldef!$C:$D,2,FALSE),"-") &amp; " / " &amp; IFERROR(VLOOKUP(MID(G9,H9,I9-H9),[6]skilldef!$A:$B,2,FALSE),"-")</f>
        <v>- / 連続攻撃</v>
      </c>
      <c r="M9" s="61" t="str">
        <f t="shared" si="21"/>
        <v>none</v>
      </c>
      <c r="N9" s="46" t="str">
        <f t="shared" si="22"/>
        <v>none</v>
      </c>
      <c r="O9" s="61" t="e">
        <f t="shared" si="23"/>
        <v>#VALUE!</v>
      </c>
      <c r="P9" s="61">
        <f t="shared" si="24"/>
        <v>4</v>
      </c>
      <c r="Q9" s="61" t="e">
        <f t="shared" si="25"/>
        <v>#VALUE!</v>
      </c>
      <c r="R9" s="61" t="e">
        <f t="shared" si="26"/>
        <v>#VALUE!</v>
      </c>
      <c r="S9" s="61" t="str">
        <f>IFERROR(VLOOKUP(MID(N9,Q9,R9-Q9),[6]skilldef!$C:$D,2,FALSE),"-") &amp; " / " &amp; IFERROR(VLOOKUP(MID(N9,O9,P9-O9),[6]skilldef!$A:$B,2,FALSE),"-")</f>
        <v>- / -</v>
      </c>
      <c r="T9" s="46" t="str">
        <f t="shared" si="27"/>
        <v>none</v>
      </c>
      <c r="U9" s="61" t="e">
        <f t="shared" si="28"/>
        <v>#VALUE!</v>
      </c>
      <c r="V9" s="61">
        <f t="shared" si="29"/>
        <v>4</v>
      </c>
      <c r="W9" s="61" t="e">
        <f t="shared" si="30"/>
        <v>#VALUE!</v>
      </c>
      <c r="X9" s="61" t="e">
        <f t="shared" si="31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8" t="s">
        <v>266</v>
      </c>
      <c r="AA9" s="50">
        <v>42531</v>
      </c>
      <c r="AB9" s="48" t="s">
        <v>234</v>
      </c>
    </row>
    <row r="10" spans="1:28" ht="21" customHeight="1" x14ac:dyDescent="0.15">
      <c r="A10" s="45">
        <v>39006009</v>
      </c>
      <c r="B10" s="121" t="s">
        <v>323</v>
      </c>
      <c r="C10" s="48">
        <v>3</v>
      </c>
      <c r="D10" s="48" t="s">
        <v>128</v>
      </c>
      <c r="E10" s="49" t="s">
        <v>273</v>
      </c>
      <c r="F10" s="49" t="s">
        <v>272</v>
      </c>
      <c r="G10" s="61" t="str">
        <f t="shared" si="16"/>
        <v xml:space="preserve">[effect:spread, val:0.3]    </v>
      </c>
      <c r="H10" s="61">
        <f t="shared" si="17"/>
        <v>9</v>
      </c>
      <c r="I10" s="61">
        <f t="shared" si="18"/>
        <v>15</v>
      </c>
      <c r="J10" s="61" t="e">
        <f t="shared" si="19"/>
        <v>#VALUE!</v>
      </c>
      <c r="K10" s="61" t="e">
        <f t="shared" si="20"/>
        <v>#VALUE!</v>
      </c>
      <c r="L10" s="61" t="str">
        <f>IFERROR(VLOOKUP(MID(G10,J10,K10-J10),[6]skilldef!$C:$D,2,FALSE),"-") &amp; " / " &amp; IFERROR(VLOOKUP(MID(G10,H10,I10-H10),[6]skilldef!$A:$B,2,FALSE),"-")</f>
        <v>- / 全体攻撃</v>
      </c>
      <c r="M10" s="61" t="str">
        <f t="shared" si="21"/>
        <v>none</v>
      </c>
      <c r="N10" s="46" t="str">
        <f t="shared" si="22"/>
        <v>none</v>
      </c>
      <c r="O10" s="61" t="e">
        <f t="shared" si="23"/>
        <v>#VALUE!</v>
      </c>
      <c r="P10" s="61">
        <f t="shared" si="24"/>
        <v>4</v>
      </c>
      <c r="Q10" s="61" t="e">
        <f t="shared" si="25"/>
        <v>#VALUE!</v>
      </c>
      <c r="R10" s="61" t="e">
        <f t="shared" si="26"/>
        <v>#VALUE!</v>
      </c>
      <c r="S10" s="61" t="str">
        <f>IFERROR(VLOOKUP(MID(N10,Q10,R10-Q10),[6]skilldef!$C:$D,2,FALSE),"-") &amp; " / " &amp; IFERROR(VLOOKUP(MID(N10,O10,P10-O10),[6]skilldef!$A:$B,2,FALSE),"-")</f>
        <v>- / -</v>
      </c>
      <c r="T10" s="46" t="str">
        <f t="shared" si="27"/>
        <v>none</v>
      </c>
      <c r="U10" s="61" t="e">
        <f t="shared" si="28"/>
        <v>#VALUE!</v>
      </c>
      <c r="V10" s="61">
        <f t="shared" si="29"/>
        <v>4</v>
      </c>
      <c r="W10" s="61" t="e">
        <f t="shared" si="30"/>
        <v>#VALUE!</v>
      </c>
      <c r="X10" s="61" t="e">
        <f t="shared" si="31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8" t="s">
        <v>266</v>
      </c>
      <c r="AA10" s="50">
        <v>42531</v>
      </c>
      <c r="AB10" s="48" t="s">
        <v>235</v>
      </c>
    </row>
    <row r="11" spans="1:28" ht="43" customHeight="1" x14ac:dyDescent="0.15">
      <c r="A11" s="45">
        <v>39006010</v>
      </c>
      <c r="B11" s="121" t="s">
        <v>513</v>
      </c>
      <c r="C11" s="48">
        <v>3</v>
      </c>
      <c r="D11" s="48" t="s">
        <v>128</v>
      </c>
      <c r="E11" s="49" t="s">
        <v>340</v>
      </c>
      <c r="F11" s="49" t="s">
        <v>527</v>
      </c>
      <c r="G11" s="61" t="str">
        <f t="shared" si="16"/>
        <v>[effect:fix_speed, target:enemy_all, turn:1]</v>
      </c>
      <c r="H11" s="61">
        <f t="shared" si="17"/>
        <v>9</v>
      </c>
      <c r="I11" s="61">
        <f t="shared" si="18"/>
        <v>18</v>
      </c>
      <c r="J11" s="61">
        <f t="shared" si="19"/>
        <v>27</v>
      </c>
      <c r="K11" s="61">
        <f t="shared" si="20"/>
        <v>36</v>
      </c>
      <c r="L11" s="61" t="str">
        <f>IFERROR(VLOOKUP(MID(G11,J11,K11-J11),[6]skilldef!$C:$D,2,FALSE),"-") &amp; " / " &amp; IFERROR(VLOOKUP(MID(G11,H11,I11-H11),[6]skilldef!$A:$B,2,FALSE),"-")</f>
        <v>敵全体に / 行動値設定</v>
      </c>
      <c r="M11" s="61" t="str">
        <f t="shared" si="21"/>
        <v xml:space="preserve">[effect:enhance_enemy, target:enemy_all, turn:-1, status:attack, val:3000, calc:add, animation:enemy_enhance_attack],[effect:enemy_message, dead_type:escape]    </v>
      </c>
      <c r="N11" s="46" t="str">
        <f t="shared" si="22"/>
        <v xml:space="preserve">[effect:enhance_enemy, target:enemy_all, turn:-1, status:attack, val:3000, calc:add, animation:enemy_enhance_attack],[effect:enemy_message, dead_type:escape]    </v>
      </c>
      <c r="O11" s="61">
        <f t="shared" si="23"/>
        <v>9</v>
      </c>
      <c r="P11" s="61">
        <f t="shared" si="24"/>
        <v>22</v>
      </c>
      <c r="Q11" s="61">
        <f t="shared" si="25"/>
        <v>31</v>
      </c>
      <c r="R11" s="61">
        <f t="shared" si="26"/>
        <v>40</v>
      </c>
      <c r="S11" s="61" t="str">
        <f>IFERROR(VLOOKUP(MID(N11,Q11,R11-Q11),[6]skilldef!$C:$D,2,FALSE),"-") &amp; " / " &amp; IFERROR(VLOOKUP(MID(N11,O11,P11-O11),[6]skilldef!$A:$B,2,FALSE),"-")</f>
        <v>敵全体に / ステータス強化</v>
      </c>
      <c r="T11" s="46" t="str">
        <f t="shared" si="27"/>
        <v xml:space="preserve">[effect:enemy_message, dead_type:escape]    </v>
      </c>
      <c r="U11" s="61">
        <f t="shared" si="28"/>
        <v>9</v>
      </c>
      <c r="V11" s="61">
        <f t="shared" si="29"/>
        <v>22</v>
      </c>
      <c r="W11" s="61" t="e">
        <f t="shared" si="30"/>
        <v>#VALUE!</v>
      </c>
      <c r="X11" s="61" t="e">
        <f t="shared" si="31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 t="s">
        <v>266</v>
      </c>
      <c r="AA11" s="50">
        <v>42531</v>
      </c>
      <c r="AB11" s="48" t="s">
        <v>232</v>
      </c>
    </row>
    <row r="12" spans="1:28" ht="70" customHeight="1" x14ac:dyDescent="0.15">
      <c r="A12" s="163">
        <v>39006011</v>
      </c>
      <c r="B12" s="164" t="s">
        <v>578</v>
      </c>
      <c r="C12" s="165">
        <v>3</v>
      </c>
      <c r="D12" s="165" t="s">
        <v>128</v>
      </c>
      <c r="E12" s="166" t="s">
        <v>398</v>
      </c>
      <c r="F12" s="166" t="s">
        <v>554</v>
      </c>
      <c r="G12" s="61" t="str">
        <f t="shared" si="16"/>
        <v>[effect:enhance_unit, target:unit_all, turn:-1, status:attack, val:100, calc:add, animation:enhance_unit_all_attack02]</v>
      </c>
      <c r="H12" s="61">
        <f t="shared" si="17"/>
        <v>9</v>
      </c>
      <c r="I12" s="61">
        <f t="shared" si="18"/>
        <v>21</v>
      </c>
      <c r="J12" s="61">
        <f t="shared" si="19"/>
        <v>30</v>
      </c>
      <c r="K12" s="61">
        <f t="shared" si="20"/>
        <v>38</v>
      </c>
      <c r="L12" s="61" t="str">
        <f>IFERROR(VLOOKUP(MID(G12,J12,K12-J12),[6]skilldef!$C:$D,2,FALSE),"-") &amp; " / " &amp; IFERROR(VLOOKUP(MID(G12,H12,I12-H12),[6]skilldef!$A:$B,2,FALSE),"-")</f>
        <v>味方全体に / -</v>
      </c>
      <c r="M12" s="61" t="str">
        <f t="shared" si="21"/>
        <v>[effect:enhance_unit, target:unit_all, turn:-1, status:heal, val:100, calc:add],[effect:force_change_block, new_block:block_heart, target:block_all, ignore:crack_bomb, ignore02:crash, color:block_blue, count:6, val:0, animation:change_block],[effect:suicide, val:1, dead_type:escape, target:myself]</v>
      </c>
      <c r="N12" s="46" t="str">
        <f t="shared" si="22"/>
        <v>[effect:enhance_unit, target:unit_all, turn:-1, status:heal, val:100, calc:add],[effect:force_change_block, new_block:block_heart, target:block_all, ignore:crack_bomb, ignore02:crash, color:block_blue, count:6, val:0, animation:change_block],[effect:suicide, val:1, dead_type:escape, target:myself]</v>
      </c>
      <c r="O12" s="61">
        <f t="shared" si="23"/>
        <v>9</v>
      </c>
      <c r="P12" s="61">
        <f t="shared" si="24"/>
        <v>21</v>
      </c>
      <c r="Q12" s="61">
        <f t="shared" si="25"/>
        <v>30</v>
      </c>
      <c r="R12" s="61">
        <f t="shared" si="26"/>
        <v>38</v>
      </c>
      <c r="S12" s="61" t="str">
        <f>IFERROR(VLOOKUP(MID(N12,Q12,R12-Q12),[6]skilldef!$C:$D,2,FALSE),"-") &amp; " / " &amp; IFERROR(VLOOKUP(MID(N12,O12,P12-O12),[6]skilldef!$A:$B,2,FALSE),"-")</f>
        <v>味方全体に / -</v>
      </c>
      <c r="T12" s="46" t="str">
        <f t="shared" si="27"/>
        <v>[effect:force_change_block, new_block:block_heart, target:block_all, ignore:crack_bomb, ignore02:crash, color:block_blue, count:6, val:0, animation:change_block],[effect:suicide, val:1, dead_type:escape, target:myself]</v>
      </c>
      <c r="U12" s="61">
        <f t="shared" si="28"/>
        <v>9</v>
      </c>
      <c r="V12" s="61">
        <f t="shared" si="29"/>
        <v>27</v>
      </c>
      <c r="W12" s="61">
        <f t="shared" si="30"/>
        <v>59</v>
      </c>
      <c r="X12" s="61">
        <f t="shared" si="31"/>
        <v>50</v>
      </c>
      <c r="Y12" s="61" t="str">
        <f>IFERROR(VLOOKUP(MID(T12,W12,X12-W12),[6]skilldef!$C:$D,2,FALSE),"-") &amp; " / " &amp; IFERROR(VLOOKUP(MID(T12,U12,V12-U12),[6]skilldef!$A:$B,2,FALSE),"-")</f>
        <v>- / -</v>
      </c>
      <c r="Z12" s="48" t="s">
        <v>266</v>
      </c>
      <c r="AA12" s="50">
        <v>42531</v>
      </c>
      <c r="AB12" s="49" t="s">
        <v>293</v>
      </c>
    </row>
    <row r="13" spans="1:28" ht="62" customHeight="1" x14ac:dyDescent="0.15">
      <c r="A13" s="163">
        <v>39006012</v>
      </c>
      <c r="B13" s="164" t="s">
        <v>577</v>
      </c>
      <c r="C13" s="165">
        <v>3</v>
      </c>
      <c r="D13" s="165" t="s">
        <v>128</v>
      </c>
      <c r="E13" s="166" t="s">
        <v>399</v>
      </c>
      <c r="F13" s="166" t="s">
        <v>555</v>
      </c>
      <c r="G13" s="61" t="str">
        <f t="shared" si="16"/>
        <v>[effect:enhance_unit, target:unit_all, turn:-1, status:attack, val:100, calc:add, animation:enhance_unit_all_attack02]</v>
      </c>
      <c r="H13" s="61">
        <f t="shared" si="17"/>
        <v>9</v>
      </c>
      <c r="I13" s="61">
        <f t="shared" si="18"/>
        <v>21</v>
      </c>
      <c r="J13" s="61">
        <f t="shared" si="19"/>
        <v>30</v>
      </c>
      <c r="K13" s="61">
        <f t="shared" si="20"/>
        <v>38</v>
      </c>
      <c r="L13" s="61" t="str">
        <f>IFERROR(VLOOKUP(MID(G13,J13,K13-J13),[6]skilldef!$C:$D,2,FALSE),"-") &amp; " / " &amp; IFERROR(VLOOKUP(MID(G13,H13,I13-H13),[6]skilldef!$A:$B,2,FALSE),"-")</f>
        <v>味方全体に / -</v>
      </c>
      <c r="M13" s="61" t="str">
        <f t="shared" si="21"/>
        <v>[effect:enhance_unit, target:unit_all, turn:-1, status:heal, val:100, calc:add],[effect:force_change_block, new_block:block_heart, target:block_all, ignore:crack_bomb, ignore02:crash, color:block_blue, count:6, val:0, animation:change_block],[effect:suicide, val:1, dead_type:escape, target:myself]</v>
      </c>
      <c r="N13" s="46" t="str">
        <f t="shared" si="22"/>
        <v>[effect:enhance_unit, target:unit_all, turn:-1, status:heal, val:100, calc:add],[effect:force_change_block, new_block:block_heart, target:block_all, ignore:crack_bomb, ignore02:crash, color:block_blue, count:6, val:0, animation:change_block],[effect:suicide, val:1, dead_type:escape, target:myself]</v>
      </c>
      <c r="O13" s="61">
        <f t="shared" si="23"/>
        <v>9</v>
      </c>
      <c r="P13" s="61">
        <f t="shared" si="24"/>
        <v>21</v>
      </c>
      <c r="Q13" s="61">
        <f t="shared" si="25"/>
        <v>30</v>
      </c>
      <c r="R13" s="61">
        <f t="shared" si="26"/>
        <v>38</v>
      </c>
      <c r="S13" s="61" t="str">
        <f>IFERROR(VLOOKUP(MID(N13,Q13,R13-Q13),[6]skilldef!$C:$D,2,FALSE),"-") &amp; " / " &amp; IFERROR(VLOOKUP(MID(N13,O13,P13-O13),[6]skilldef!$A:$B,2,FALSE),"-")</f>
        <v>味方全体に / -</v>
      </c>
      <c r="T13" s="46" t="str">
        <f t="shared" si="27"/>
        <v>[effect:force_change_block, new_block:block_heart, target:block_all, ignore:crack_bomb, ignore02:crash, color:block_blue, count:6, val:0, animation:change_block],[effect:suicide, val:1, dead_type:escape, target:myself]</v>
      </c>
      <c r="U13" s="61">
        <f t="shared" si="28"/>
        <v>9</v>
      </c>
      <c r="V13" s="61">
        <f t="shared" si="29"/>
        <v>27</v>
      </c>
      <c r="W13" s="61">
        <f t="shared" si="30"/>
        <v>59</v>
      </c>
      <c r="X13" s="61">
        <f t="shared" si="31"/>
        <v>50</v>
      </c>
      <c r="Y13" s="61" t="str">
        <f>IFERROR(VLOOKUP(MID(T13,W13,X13-W13),[6]skilldef!$C:$D,2,FALSE),"-") &amp; " / " &amp; IFERROR(VLOOKUP(MID(T13,U13,V13-U13),[6]skilldef!$A:$B,2,FALSE),"-")</f>
        <v>- / -</v>
      </c>
      <c r="Z13" s="48" t="s">
        <v>266</v>
      </c>
      <c r="AA13" s="50">
        <v>42531</v>
      </c>
      <c r="AB13" s="49" t="s">
        <v>294</v>
      </c>
    </row>
    <row r="14" spans="1:28" ht="60" customHeight="1" x14ac:dyDescent="0.15">
      <c r="A14" s="163">
        <v>39006013</v>
      </c>
      <c r="B14" s="164" t="s">
        <v>576</v>
      </c>
      <c r="C14" s="165">
        <v>3</v>
      </c>
      <c r="D14" s="165" t="s">
        <v>128</v>
      </c>
      <c r="E14" s="166" t="s">
        <v>401</v>
      </c>
      <c r="F14" s="166" t="s">
        <v>556</v>
      </c>
      <c r="G14" s="61" t="str">
        <f t="shared" si="16"/>
        <v>[effect:enhance_unit, target:unit_all, turn:-1, status:attack, val:100, calc:add, animation:enhance_unit_all_attack02]</v>
      </c>
      <c r="H14" s="61">
        <f t="shared" si="17"/>
        <v>9</v>
      </c>
      <c r="I14" s="61">
        <f t="shared" si="18"/>
        <v>21</v>
      </c>
      <c r="J14" s="61">
        <f t="shared" si="19"/>
        <v>30</v>
      </c>
      <c r="K14" s="61">
        <f t="shared" si="20"/>
        <v>38</v>
      </c>
      <c r="L14" s="61" t="str">
        <f>IFERROR(VLOOKUP(MID(G14,J14,K14-J14),[6]skilldef!$C:$D,2,FALSE),"-") &amp; " / " &amp; IFERROR(VLOOKUP(MID(G14,H14,I14-H14),[6]skilldef!$A:$B,2,FALSE),"-")</f>
        <v>味方全体に / -</v>
      </c>
      <c r="M14" s="61" t="str">
        <f t="shared" si="21"/>
        <v>[effect:enhance_unit, target:unit_all, turn:-1, status:heal, val:100, calc:add],[effect:force_change_block, new_block:block_heart, target:block_all, ignore:crack_bomb, ignore02:crash, color:block_blue, count:8, val:0, animation:change_block],[effect:suicide, val:1, dead_type:escape, target:myself]</v>
      </c>
      <c r="N14" s="46" t="str">
        <f t="shared" si="22"/>
        <v>[effect:enhance_unit, target:unit_all, turn:-1, status:heal, val:100, calc:add],[effect:force_change_block, new_block:block_heart, target:block_all, ignore:crack_bomb, ignore02:crash, color:block_blue, count:8, val:0, animation:change_block],[effect:suicide, val:1, dead_type:escape, target:myself]</v>
      </c>
      <c r="O14" s="61">
        <f t="shared" si="23"/>
        <v>9</v>
      </c>
      <c r="P14" s="61">
        <f t="shared" si="24"/>
        <v>21</v>
      </c>
      <c r="Q14" s="61">
        <f t="shared" si="25"/>
        <v>30</v>
      </c>
      <c r="R14" s="61">
        <f t="shared" si="26"/>
        <v>38</v>
      </c>
      <c r="S14" s="61" t="str">
        <f>IFERROR(VLOOKUP(MID(N14,Q14,R14-Q14),[6]skilldef!$C:$D,2,FALSE),"-") &amp; " / " &amp; IFERROR(VLOOKUP(MID(N14,O14,P14-O14),[6]skilldef!$A:$B,2,FALSE),"-")</f>
        <v>味方全体に / -</v>
      </c>
      <c r="T14" s="46" t="str">
        <f t="shared" si="27"/>
        <v>[effect:force_change_block, new_block:block_heart, target:block_all, ignore:crack_bomb, ignore02:crash, color:block_blue, count:8, val:0, animation:change_block],[effect:suicide, val:1, dead_type:escape, target:myself]</v>
      </c>
      <c r="U14" s="61">
        <f t="shared" si="28"/>
        <v>9</v>
      </c>
      <c r="V14" s="61">
        <f t="shared" si="29"/>
        <v>27</v>
      </c>
      <c r="W14" s="61">
        <f t="shared" si="30"/>
        <v>59</v>
      </c>
      <c r="X14" s="61">
        <f t="shared" si="31"/>
        <v>50</v>
      </c>
      <c r="Y14" s="61" t="str">
        <f>IFERROR(VLOOKUP(MID(T14,W14,X14-W14),[6]skilldef!$C:$D,2,FALSE),"-") &amp; " / " &amp; IFERROR(VLOOKUP(MID(T14,U14,V14-U14),[6]skilldef!$A:$B,2,FALSE),"-")</f>
        <v>- / -</v>
      </c>
      <c r="Z14" s="48" t="s">
        <v>266</v>
      </c>
      <c r="AA14" s="50">
        <v>42531</v>
      </c>
      <c r="AB14" s="49" t="s">
        <v>321</v>
      </c>
    </row>
    <row r="15" spans="1:28" ht="58" customHeight="1" x14ac:dyDescent="0.15">
      <c r="A15" s="163">
        <v>39006014</v>
      </c>
      <c r="B15" s="164" t="s">
        <v>575</v>
      </c>
      <c r="C15" s="165">
        <v>3</v>
      </c>
      <c r="D15" s="165" t="s">
        <v>128</v>
      </c>
      <c r="E15" s="166" t="s">
        <v>403</v>
      </c>
      <c r="F15" s="166" t="s">
        <v>557</v>
      </c>
      <c r="G15" s="61" t="str">
        <f t="shared" si="16"/>
        <v>[effect:enhance_unit, target:unit_all, turn:-1, status:attack, val:100, calc:add, animation:enhance_unit_all_attack02]</v>
      </c>
      <c r="H15" s="61">
        <f t="shared" si="17"/>
        <v>9</v>
      </c>
      <c r="I15" s="61">
        <f t="shared" si="18"/>
        <v>21</v>
      </c>
      <c r="J15" s="61">
        <f t="shared" si="19"/>
        <v>30</v>
      </c>
      <c r="K15" s="61">
        <f t="shared" si="20"/>
        <v>38</v>
      </c>
      <c r="L15" s="61" t="str">
        <f>IFERROR(VLOOKUP(MID(G15,J15,K15-J15),[6]skilldef!$C:$D,2,FALSE),"-") &amp; " / " &amp; IFERROR(VLOOKUP(MID(G15,H15,I15-H15),[6]skilldef!$A:$B,2,FALSE),"-")</f>
        <v>味方全体に / -</v>
      </c>
      <c r="M15" s="61" t="str">
        <f t="shared" si="21"/>
        <v>[effect:enhance_unit, target:unit_all, turn:-1, status:heal, val:100, calc:add],[effect:force_change_block, new_block:block_heart, target:block_all, ignore:crack_bomb, ignore02:crash, color:block_blue, count:10, val:0, animation:change_block],[effect:suicide, val:1, dead_type:escape, target:myself]</v>
      </c>
      <c r="N15" s="46" t="str">
        <f t="shared" si="22"/>
        <v>[effect:enhance_unit, target:unit_all, turn:-1, status:heal, val:100, calc:add],[effect:force_change_block, new_block:block_heart, target:block_all, ignore:crack_bomb, ignore02:crash, color:block_blue, count:10, val:0, animation:change_block],[effect:suicide, val:1, dead_type:escape, target:myself]</v>
      </c>
      <c r="O15" s="61">
        <f t="shared" si="23"/>
        <v>9</v>
      </c>
      <c r="P15" s="61">
        <f t="shared" si="24"/>
        <v>21</v>
      </c>
      <c r="Q15" s="61">
        <f t="shared" si="25"/>
        <v>30</v>
      </c>
      <c r="R15" s="61">
        <f t="shared" si="26"/>
        <v>38</v>
      </c>
      <c r="S15" s="61" t="str">
        <f>IFERROR(VLOOKUP(MID(N15,Q15,R15-Q15),[6]skilldef!$C:$D,2,FALSE),"-") &amp; " / " &amp; IFERROR(VLOOKUP(MID(N15,O15,P15-O15),[6]skilldef!$A:$B,2,FALSE),"-")</f>
        <v>味方全体に / -</v>
      </c>
      <c r="T15" s="46" t="str">
        <f t="shared" si="27"/>
        <v>[effect:force_change_block, new_block:block_heart, target:block_all, ignore:crack_bomb, ignore02:crash, color:block_blue, count:10, val:0, animation:change_block],[effect:suicide, val:1, dead_type:escape, target:myself]</v>
      </c>
      <c r="U15" s="61">
        <f t="shared" si="28"/>
        <v>9</v>
      </c>
      <c r="V15" s="61">
        <f t="shared" si="29"/>
        <v>27</v>
      </c>
      <c r="W15" s="61">
        <f t="shared" si="30"/>
        <v>59</v>
      </c>
      <c r="X15" s="61">
        <f t="shared" si="31"/>
        <v>50</v>
      </c>
      <c r="Y15" s="61" t="str">
        <f>IFERROR(VLOOKUP(MID(T15,W15,X15-W15),[6]skilldef!$C:$D,2,FALSE),"-") &amp; " / " &amp; IFERROR(VLOOKUP(MID(T15,U15,V15-U15),[6]skilldef!$A:$B,2,FALSE),"-")</f>
        <v>- / -</v>
      </c>
      <c r="Z15" s="48" t="s">
        <v>266</v>
      </c>
      <c r="AA15" s="50">
        <v>42531</v>
      </c>
      <c r="AB15" s="49" t="s">
        <v>317</v>
      </c>
    </row>
    <row r="16" spans="1:28" ht="80" customHeight="1" x14ac:dyDescent="0.15">
      <c r="A16" s="163">
        <v>39006015</v>
      </c>
      <c r="B16" s="164" t="s">
        <v>572</v>
      </c>
      <c r="C16" s="165">
        <v>3</v>
      </c>
      <c r="D16" s="165" t="s">
        <v>128</v>
      </c>
      <c r="E16" s="166" t="s">
        <v>517</v>
      </c>
      <c r="F16" s="166" t="s">
        <v>558</v>
      </c>
      <c r="G16" s="61" t="str">
        <f t="shared" si="16"/>
        <v>[effect:enhance_unit, target:unit_all, turn:-1, status:attack, val:200, calc:add, animation:enhance_unit_all_attack02]</v>
      </c>
      <c r="H16" s="61">
        <f t="shared" si="17"/>
        <v>9</v>
      </c>
      <c r="I16" s="61">
        <f t="shared" si="18"/>
        <v>21</v>
      </c>
      <c r="J16" s="61">
        <f t="shared" si="19"/>
        <v>30</v>
      </c>
      <c r="K16" s="61">
        <f t="shared" si="20"/>
        <v>38</v>
      </c>
      <c r="L16" s="61" t="str">
        <f>IFERROR(VLOOKUP(MID(G16,J16,K16-J16),[6]skilldef!$C:$D,2,FALSE),"-") &amp; " / " &amp; IFERROR(VLOOKUP(MID(G16,H16,I16-H16),[6]skilldef!$A:$B,2,FALSE),"-")</f>
        <v>味方全体に / -</v>
      </c>
      <c r="M16" s="61" t="str">
        <f t="shared" si="21"/>
        <v>[effect:enhance_unit, target:unit_all, turn:-1, status:defense, val:200, calc:add],[effect:enhance_unit, target:unit_all, turn:-1, status:heal, val:250, calc:add],[effect:suicide, val:1, dead_type:escape, target:myself]</v>
      </c>
      <c r="N16" s="46" t="str">
        <f t="shared" si="22"/>
        <v>[effect:enhance_unit, target:unit_all, turn:-1, status:defense, val:200, calc:add],[effect:enhance_unit, target:unit_all, turn:-1, status:heal, val:250, calc:add],[effect:suicide, val:1, dead_type:escape, target:myself]</v>
      </c>
      <c r="O16" s="61">
        <f t="shared" si="23"/>
        <v>9</v>
      </c>
      <c r="P16" s="61">
        <f t="shared" si="24"/>
        <v>21</v>
      </c>
      <c r="Q16" s="61">
        <f t="shared" si="25"/>
        <v>30</v>
      </c>
      <c r="R16" s="61">
        <f t="shared" si="26"/>
        <v>38</v>
      </c>
      <c r="S16" s="61" t="str">
        <f>IFERROR(VLOOKUP(MID(N16,Q16,R16-Q16),[6]skilldef!$C:$D,2,FALSE),"-") &amp; " / " &amp; IFERROR(VLOOKUP(MID(N16,O16,P16-O16),[6]skilldef!$A:$B,2,FALSE),"-")</f>
        <v>味方全体に / -</v>
      </c>
      <c r="T16" s="46" t="str">
        <f t="shared" si="27"/>
        <v>[effect:enhance_unit, target:unit_all, turn:-1, status:heal, val:250, calc:add],[effect:suicide, val:1, dead_type:escape, target:myself]</v>
      </c>
      <c r="U16" s="61">
        <f t="shared" si="28"/>
        <v>9</v>
      </c>
      <c r="V16" s="61">
        <f t="shared" si="29"/>
        <v>21</v>
      </c>
      <c r="W16" s="61">
        <f t="shared" si="30"/>
        <v>30</v>
      </c>
      <c r="X16" s="61">
        <f t="shared" si="31"/>
        <v>38</v>
      </c>
      <c r="Y16" s="61" t="str">
        <f>IFERROR(VLOOKUP(MID(T16,W16,X16-W16),[6]skilldef!$C:$D,2,FALSE),"-") &amp; " / " &amp; IFERROR(VLOOKUP(MID(T16,U16,V16-U16),[6]skilldef!$A:$B,2,FALSE),"-")</f>
        <v>味方全体に / -</v>
      </c>
      <c r="Z16" s="48" t="s">
        <v>266</v>
      </c>
      <c r="AA16" s="50">
        <v>42531</v>
      </c>
      <c r="AB16" s="49" t="s">
        <v>291</v>
      </c>
    </row>
    <row r="17" spans="1:28" ht="80" customHeight="1" x14ac:dyDescent="0.15">
      <c r="A17" s="163">
        <v>39006016</v>
      </c>
      <c r="B17" s="164" t="s">
        <v>573</v>
      </c>
      <c r="C17" s="165">
        <v>3</v>
      </c>
      <c r="D17" s="165" t="s">
        <v>128</v>
      </c>
      <c r="E17" s="166" t="s">
        <v>404</v>
      </c>
      <c r="F17" s="166" t="s">
        <v>558</v>
      </c>
      <c r="G17" s="61" t="str">
        <f t="shared" si="16"/>
        <v>[effect:enhance_unit, target:unit_all, turn:-1, status:attack, val:250, calc:add, animation:enhance_unit_all_attack02]</v>
      </c>
      <c r="H17" s="61">
        <f t="shared" si="17"/>
        <v>9</v>
      </c>
      <c r="I17" s="61">
        <f t="shared" si="18"/>
        <v>21</v>
      </c>
      <c r="J17" s="61">
        <f t="shared" si="19"/>
        <v>30</v>
      </c>
      <c r="K17" s="61">
        <f t="shared" si="20"/>
        <v>38</v>
      </c>
      <c r="L17" s="61" t="str">
        <f>IFERROR(VLOOKUP(MID(G17,J17,K17-J17),[6]skilldef!$C:$D,2,FALSE),"-") &amp; " / " &amp; IFERROR(VLOOKUP(MID(G17,H17,I17-H17),[6]skilldef!$A:$B,2,FALSE),"-")</f>
        <v>味方全体に / -</v>
      </c>
      <c r="M17" s="61" t="str">
        <f t="shared" si="21"/>
        <v>[effect:enhance_unit, target:unit_all, turn:-1, status:defense, val:200, calc:add],[effect:enhance_unit, target:unit_all, turn:-1, status:heal, val:200, calc:add],[effect:suicide, val:1, dead_type:escape, target:myself]</v>
      </c>
      <c r="N17" s="46" t="str">
        <f t="shared" si="22"/>
        <v>[effect:enhance_unit, target:unit_all, turn:-1, status:defense, val:200, calc:add],[effect:enhance_unit, target:unit_all, turn:-1, status:heal, val:200, calc:add],[effect:suicide, val:1, dead_type:escape, target:myself]</v>
      </c>
      <c r="O17" s="61">
        <f t="shared" si="23"/>
        <v>9</v>
      </c>
      <c r="P17" s="61">
        <f t="shared" si="24"/>
        <v>21</v>
      </c>
      <c r="Q17" s="61">
        <f t="shared" si="25"/>
        <v>30</v>
      </c>
      <c r="R17" s="61">
        <f t="shared" si="26"/>
        <v>38</v>
      </c>
      <c r="S17" s="61" t="str">
        <f>IFERROR(VLOOKUP(MID(N17,Q17,R17-Q17),[6]skilldef!$C:$D,2,FALSE),"-") &amp; " / " &amp; IFERROR(VLOOKUP(MID(N17,O17,P17-O17),[6]skilldef!$A:$B,2,FALSE),"-")</f>
        <v>味方全体に / -</v>
      </c>
      <c r="T17" s="46" t="str">
        <f t="shared" si="27"/>
        <v>[effect:enhance_unit, target:unit_all, turn:-1, status:heal, val:200, calc:add],[effect:suicide, val:1, dead_type:escape, target:myself]</v>
      </c>
      <c r="U17" s="61">
        <f t="shared" si="28"/>
        <v>9</v>
      </c>
      <c r="V17" s="61">
        <f t="shared" si="29"/>
        <v>21</v>
      </c>
      <c r="W17" s="61">
        <f t="shared" si="30"/>
        <v>30</v>
      </c>
      <c r="X17" s="61">
        <f t="shared" si="31"/>
        <v>38</v>
      </c>
      <c r="Y17" s="61" t="str">
        <f>IFERROR(VLOOKUP(MID(T17,W17,X17-W17),[6]skilldef!$C:$D,2,FALSE),"-") &amp; " / " &amp; IFERROR(VLOOKUP(MID(T17,U17,V17-U17),[6]skilldef!$A:$B,2,FALSE),"-")</f>
        <v>味方全体に / -</v>
      </c>
      <c r="Z17" s="48" t="s">
        <v>266</v>
      </c>
      <c r="AA17" s="50">
        <v>42531</v>
      </c>
      <c r="AB17" s="49" t="s">
        <v>292</v>
      </c>
    </row>
    <row r="18" spans="1:28" ht="80" customHeight="1" x14ac:dyDescent="0.15">
      <c r="A18" s="163">
        <v>39006017</v>
      </c>
      <c r="B18" s="164" t="s">
        <v>574</v>
      </c>
      <c r="C18" s="165">
        <v>3</v>
      </c>
      <c r="D18" s="165" t="s">
        <v>128</v>
      </c>
      <c r="E18" s="166" t="s">
        <v>520</v>
      </c>
      <c r="F18" s="166" t="s">
        <v>558</v>
      </c>
      <c r="G18" s="61" t="str">
        <f t="shared" si="16"/>
        <v>[effect:enhance_unit, target:unit_all, turn:-1, status:attack, val:225, calc:add, animation:enhance_unit_all_attack02]</v>
      </c>
      <c r="H18" s="61">
        <f t="shared" si="17"/>
        <v>9</v>
      </c>
      <c r="I18" s="61">
        <f t="shared" si="18"/>
        <v>21</v>
      </c>
      <c r="J18" s="61">
        <f t="shared" si="19"/>
        <v>30</v>
      </c>
      <c r="K18" s="61">
        <f t="shared" si="20"/>
        <v>38</v>
      </c>
      <c r="L18" s="61" t="str">
        <f>IFERROR(VLOOKUP(MID(G18,J18,K18-J18),[6]skilldef!$C:$D,2,FALSE),"-") &amp; " / " &amp; IFERROR(VLOOKUP(MID(G18,H18,I18-H18),[6]skilldef!$A:$B,2,FALSE),"-")</f>
        <v>味方全体に / -</v>
      </c>
      <c r="M18" s="61" t="str">
        <f t="shared" si="21"/>
        <v>[effect:enhance_unit, target:unit_all, turn:-1, status:defense, val:225, calc:add],[effect:enhance_unit, target:unit_all, turn:-1, status:heal, val:200, calc:add],[effect:suicide, val:1, dead_type:escape, target:myself]</v>
      </c>
      <c r="N18" s="46" t="str">
        <f t="shared" si="22"/>
        <v>[effect:enhance_unit, target:unit_all, turn:-1, status:defense, val:225, calc:add],[effect:enhance_unit, target:unit_all, turn:-1, status:heal, val:200, calc:add],[effect:suicide, val:1, dead_type:escape, target:myself]</v>
      </c>
      <c r="O18" s="61">
        <f t="shared" si="23"/>
        <v>9</v>
      </c>
      <c r="P18" s="61">
        <f t="shared" si="24"/>
        <v>21</v>
      </c>
      <c r="Q18" s="61">
        <f t="shared" si="25"/>
        <v>30</v>
      </c>
      <c r="R18" s="61">
        <f t="shared" si="26"/>
        <v>38</v>
      </c>
      <c r="S18" s="61" t="str">
        <f>IFERROR(VLOOKUP(MID(N18,Q18,R18-Q18),[6]skilldef!$C:$D,2,FALSE),"-") &amp; " / " &amp; IFERROR(VLOOKUP(MID(N18,O18,P18-O18),[6]skilldef!$A:$B,2,FALSE),"-")</f>
        <v>味方全体に / -</v>
      </c>
      <c r="T18" s="46" t="str">
        <f t="shared" si="27"/>
        <v>[effect:enhance_unit, target:unit_all, turn:-1, status:heal, val:200, calc:add],[effect:suicide, val:1, dead_type:escape, target:myself]</v>
      </c>
      <c r="U18" s="61">
        <f t="shared" si="28"/>
        <v>9</v>
      </c>
      <c r="V18" s="61">
        <f t="shared" si="29"/>
        <v>21</v>
      </c>
      <c r="W18" s="61">
        <f t="shared" si="30"/>
        <v>30</v>
      </c>
      <c r="X18" s="61">
        <f t="shared" si="31"/>
        <v>38</v>
      </c>
      <c r="Y18" s="61" t="str">
        <f>IFERROR(VLOOKUP(MID(T18,W18,X18-W18),[6]skilldef!$C:$D,2,FALSE),"-") &amp; " / " &amp; IFERROR(VLOOKUP(MID(T18,U18,V18-U18),[6]skilldef!$A:$B,2,FALSE),"-")</f>
        <v>味方全体に / -</v>
      </c>
      <c r="Z18" s="48" t="s">
        <v>266</v>
      </c>
      <c r="AA18" s="50">
        <v>42531</v>
      </c>
      <c r="AB18" s="49" t="s">
        <v>316</v>
      </c>
    </row>
    <row r="19" spans="1:28" ht="80" customHeight="1" x14ac:dyDescent="0.15">
      <c r="A19" s="163">
        <v>39006018</v>
      </c>
      <c r="B19" s="164" t="s">
        <v>571</v>
      </c>
      <c r="C19" s="165">
        <v>3</v>
      </c>
      <c r="D19" s="165" t="s">
        <v>128</v>
      </c>
      <c r="E19" s="166" t="s">
        <v>512</v>
      </c>
      <c r="F19" s="166" t="s">
        <v>559</v>
      </c>
      <c r="G19" s="61" t="str">
        <f t="shared" si="16"/>
        <v>[effect:enhance_unit, target:unit_all, turn:-1, status:attack, val:300, calc:add, animation:enhance_unit_all_attack02]</v>
      </c>
      <c r="H19" s="61">
        <f t="shared" si="17"/>
        <v>9</v>
      </c>
      <c r="I19" s="61">
        <f t="shared" si="18"/>
        <v>21</v>
      </c>
      <c r="J19" s="61">
        <f t="shared" si="19"/>
        <v>30</v>
      </c>
      <c r="K19" s="61">
        <f t="shared" si="20"/>
        <v>38</v>
      </c>
      <c r="L19" s="61" t="str">
        <f>IFERROR(VLOOKUP(MID(G19,J19,K19-J19),[6]skilldef!$C:$D,2,FALSE),"-") &amp; " / " &amp; IFERROR(VLOOKUP(MID(G19,H19,I19-H19),[6]skilldef!$A:$B,2,FALSE),"-")</f>
        <v>味方全体に / -</v>
      </c>
      <c r="M19" s="61" t="str">
        <f t="shared" si="21"/>
        <v xml:space="preserve">[effect:enhance_unit, target:unit_all, turn:-1, status:heal, val:300, calc:add],[effect:enhance_fever, val:500.0, animation:fevergauge_up04],[effect:suicide, val:1, dead_type:escape, target:myself]    </v>
      </c>
      <c r="N19" s="46" t="str">
        <f t="shared" si="22"/>
        <v xml:space="preserve">[effect:enhance_unit, target:unit_all, turn:-1, status:heal, val:300, calc:add],[effect:enhance_fever, val:500.0, animation:fevergauge_up04],[effect:suicide, val:1, dead_type:escape, target:myself]    </v>
      </c>
      <c r="O19" s="61">
        <f t="shared" si="23"/>
        <v>9</v>
      </c>
      <c r="P19" s="61">
        <f t="shared" si="24"/>
        <v>21</v>
      </c>
      <c r="Q19" s="61">
        <f t="shared" si="25"/>
        <v>30</v>
      </c>
      <c r="R19" s="61">
        <f t="shared" si="26"/>
        <v>38</v>
      </c>
      <c r="S19" s="61" t="str">
        <f>IFERROR(VLOOKUP(MID(N19,Q19,R19-Q19),[6]skilldef!$C:$D,2,FALSE),"-") &amp; " / " &amp; IFERROR(VLOOKUP(MID(N19,O19,P19-O19),[6]skilldef!$A:$B,2,FALSE),"-")</f>
        <v>味方全体に / -</v>
      </c>
      <c r="T19" s="46" t="str">
        <f t="shared" si="27"/>
        <v xml:space="preserve">[effect:enhance_fever, val:500.0, animation:fevergauge_up04],[effect:suicide, val:1, dead_type:escape, target:myself]    </v>
      </c>
      <c r="U19" s="61">
        <f t="shared" si="28"/>
        <v>9</v>
      </c>
      <c r="V19" s="61">
        <f t="shared" si="29"/>
        <v>22</v>
      </c>
      <c r="W19" s="61">
        <f t="shared" si="30"/>
        <v>111</v>
      </c>
      <c r="X19" s="61">
        <f t="shared" si="31"/>
        <v>33</v>
      </c>
      <c r="Y19" s="61" t="str">
        <f>IFERROR(VLOOKUP(MID(T19,W19,X19-W19),[6]skilldef!$C:$D,2,FALSE),"-") &amp; " / " &amp; IFERROR(VLOOKUP(MID(T19,U19,V19-U19),[6]skilldef!$A:$B,2,FALSE),"-")</f>
        <v>- / -</v>
      </c>
      <c r="Z19" s="48" t="s">
        <v>266</v>
      </c>
      <c r="AA19" s="50">
        <v>42531</v>
      </c>
      <c r="AB19" s="49" t="s">
        <v>289</v>
      </c>
    </row>
    <row r="20" spans="1:28" ht="80" customHeight="1" x14ac:dyDescent="0.15">
      <c r="A20" s="163">
        <v>39006019</v>
      </c>
      <c r="B20" s="164" t="s">
        <v>570</v>
      </c>
      <c r="C20" s="165">
        <v>3</v>
      </c>
      <c r="D20" s="165" t="s">
        <v>128</v>
      </c>
      <c r="E20" s="166" t="s">
        <v>390</v>
      </c>
      <c r="F20" s="166" t="s">
        <v>560</v>
      </c>
      <c r="G20" s="61" t="str">
        <f t="shared" si="16"/>
        <v>[effect:enhance_unit, target:unit_all, turn:-1, status:attack, val:300, calc:add, animation:enhance_unit_all_attack02]</v>
      </c>
      <c r="H20" s="61">
        <f t="shared" si="17"/>
        <v>9</v>
      </c>
      <c r="I20" s="61">
        <f t="shared" si="18"/>
        <v>21</v>
      </c>
      <c r="J20" s="61">
        <f t="shared" si="19"/>
        <v>30</v>
      </c>
      <c r="K20" s="61">
        <f t="shared" si="20"/>
        <v>38</v>
      </c>
      <c r="L20" s="61" t="str">
        <f>IFERROR(VLOOKUP(MID(G20,J20,K20-J20),[6]skilldef!$C:$D,2,FALSE),"-") &amp; " / " &amp; IFERROR(VLOOKUP(MID(G20,H20,I20-H20),[6]skilldef!$A:$B,2,FALSE),"-")</f>
        <v>味方全体に / -</v>
      </c>
      <c r="M20" s="61" t="str">
        <f t="shared" si="21"/>
        <v>[effect:enhance_unit, target:unit_all, turn:-1, status:heal, val:300, calc:add],[effect:enhance_fever, val:1000.0, animation:fevergauge_up04],[effect:suicide, val:1, dead_type:escape, target:myself]</v>
      </c>
      <c r="N20" s="46" t="str">
        <f t="shared" si="22"/>
        <v>[effect:enhance_unit, target:unit_all, turn:-1, status:heal, val:300, calc:add],[effect:enhance_fever, val:1000.0, animation:fevergauge_up04],[effect:suicide, val:1, dead_type:escape, target:myself]</v>
      </c>
      <c r="O20" s="61">
        <f t="shared" si="23"/>
        <v>9</v>
      </c>
      <c r="P20" s="61">
        <f t="shared" si="24"/>
        <v>21</v>
      </c>
      <c r="Q20" s="61">
        <f t="shared" si="25"/>
        <v>30</v>
      </c>
      <c r="R20" s="61">
        <f t="shared" si="26"/>
        <v>38</v>
      </c>
      <c r="S20" s="61" t="str">
        <f>IFERROR(VLOOKUP(MID(N20,Q20,R20-Q20),[6]skilldef!$C:$D,2,FALSE),"-") &amp; " / " &amp; IFERROR(VLOOKUP(MID(N20,O20,P20-O20),[6]skilldef!$A:$B,2,FALSE),"-")</f>
        <v>味方全体に / -</v>
      </c>
      <c r="T20" s="46" t="str">
        <f t="shared" si="27"/>
        <v>[effect:enhance_fever, val:1000.0, animation:fevergauge_up04],[effect:suicide, val:1, dead_type:escape, target:myself]</v>
      </c>
      <c r="U20" s="61">
        <f t="shared" si="28"/>
        <v>9</v>
      </c>
      <c r="V20" s="61">
        <f t="shared" si="29"/>
        <v>22</v>
      </c>
      <c r="W20" s="61">
        <f t="shared" si="30"/>
        <v>112</v>
      </c>
      <c r="X20" s="61">
        <f t="shared" si="31"/>
        <v>34</v>
      </c>
      <c r="Y20" s="61" t="str">
        <f>IFERROR(VLOOKUP(MID(T20,W20,X20-W20),[6]skilldef!$C:$D,2,FALSE),"-") &amp; " / " &amp; IFERROR(VLOOKUP(MID(T20,U20,V20-U20),[6]skilldef!$A:$B,2,FALSE),"-")</f>
        <v>- / -</v>
      </c>
      <c r="Z20" s="48" t="s">
        <v>266</v>
      </c>
      <c r="AA20" s="50">
        <v>42531</v>
      </c>
      <c r="AB20" s="49" t="s">
        <v>290</v>
      </c>
    </row>
    <row r="21" spans="1:28" ht="80" customHeight="1" x14ac:dyDescent="0.15">
      <c r="A21" s="163">
        <v>39006020</v>
      </c>
      <c r="B21" s="164" t="s">
        <v>567</v>
      </c>
      <c r="C21" s="165">
        <v>3</v>
      </c>
      <c r="D21" s="165" t="s">
        <v>128</v>
      </c>
      <c r="E21" s="166" t="s">
        <v>397</v>
      </c>
      <c r="F21" s="166" t="s">
        <v>561</v>
      </c>
      <c r="G21" s="61" t="str">
        <f t="shared" si="16"/>
        <v>[effect:enhance_unit, target:unit_all, turn:-1, status:attack, val:550, calc:add]</v>
      </c>
      <c r="H21" s="61">
        <f t="shared" si="17"/>
        <v>9</v>
      </c>
      <c r="I21" s="61">
        <f t="shared" si="18"/>
        <v>21</v>
      </c>
      <c r="J21" s="61">
        <f t="shared" si="19"/>
        <v>30</v>
      </c>
      <c r="K21" s="61">
        <f t="shared" si="20"/>
        <v>38</v>
      </c>
      <c r="L21" s="61" t="str">
        <f>IFERROR(VLOOKUP(MID(G21,J21,K21-J21),[6]skilldef!$C:$D,2,FALSE),"-") &amp; " / " &amp; IFERROR(VLOOKUP(MID(G21,H21,I21-H21),[6]skilldef!$A:$B,2,FALSE),"-")</f>
        <v>味方全体に / -</v>
      </c>
      <c r="M21" s="61" t="str">
        <f t="shared" si="21"/>
        <v xml:space="preserve">[effect:enhance_unit, target:unit_all, turn:-1, status:heal, val:450, calc:add],[effect:change_bomb_range, turn:-1, val:1.4, rate:1, animation:bomb_big],[effect:suicide, val:1, dead_type:escape, target:myself]    </v>
      </c>
      <c r="N21" s="46" t="str">
        <f t="shared" si="22"/>
        <v xml:space="preserve">[effect:enhance_unit, target:unit_all, turn:-1, status:heal, val:450, calc:add],[effect:change_bomb_range, turn:-1, val:1.4, rate:1, animation:bomb_big],[effect:suicide, val:1, dead_type:escape, target:myself]    </v>
      </c>
      <c r="O21" s="61">
        <f t="shared" si="23"/>
        <v>9</v>
      </c>
      <c r="P21" s="61">
        <f t="shared" si="24"/>
        <v>21</v>
      </c>
      <c r="Q21" s="61">
        <f t="shared" si="25"/>
        <v>30</v>
      </c>
      <c r="R21" s="61">
        <f t="shared" si="26"/>
        <v>38</v>
      </c>
      <c r="S21" s="61" t="str">
        <f>IFERROR(VLOOKUP(MID(N21,Q21,R21-Q21),[6]skilldef!$C:$D,2,FALSE),"-") &amp; " / " &amp; IFERROR(VLOOKUP(MID(N21,O21,P21-O21),[6]skilldef!$A:$B,2,FALSE),"-")</f>
        <v>味方全体に / -</v>
      </c>
      <c r="T21" s="46" t="str">
        <f t="shared" si="27"/>
        <v xml:space="preserve">[effect:change_bomb_range, turn:-1, val:1.4, rate:1, animation:bomb_big],[effect:suicide, val:1, dead_type:escape, target:myself]    </v>
      </c>
      <c r="U21" s="61">
        <f t="shared" si="28"/>
        <v>9</v>
      </c>
      <c r="V21" s="61">
        <f t="shared" si="29"/>
        <v>26</v>
      </c>
      <c r="W21" s="61">
        <f t="shared" si="30"/>
        <v>123</v>
      </c>
      <c r="X21" s="61">
        <f t="shared" si="31"/>
        <v>35</v>
      </c>
      <c r="Y21" s="61" t="str">
        <f>IFERROR(VLOOKUP(MID(T21,W21,X21-W21),[6]skilldef!$C:$D,2,FALSE),"-") &amp; " / " &amp; IFERROR(VLOOKUP(MID(T21,U21,V21-U21),[6]skilldef!$A:$B,2,FALSE),"-")</f>
        <v>- / -</v>
      </c>
      <c r="Z21" s="48" t="s">
        <v>266</v>
      </c>
      <c r="AA21" s="50">
        <v>42531</v>
      </c>
      <c r="AB21" s="49" t="s">
        <v>286</v>
      </c>
    </row>
    <row r="22" spans="1:28" ht="80" customHeight="1" x14ac:dyDescent="0.15">
      <c r="A22" s="163">
        <v>39006021</v>
      </c>
      <c r="B22" s="164" t="s">
        <v>568</v>
      </c>
      <c r="C22" s="165">
        <v>3</v>
      </c>
      <c r="D22" s="165" t="s">
        <v>128</v>
      </c>
      <c r="E22" s="166" t="s">
        <v>521</v>
      </c>
      <c r="F22" s="166" t="s">
        <v>561</v>
      </c>
      <c r="G22" s="61" t="str">
        <f t="shared" si="16"/>
        <v>[effect:enhance_unit, target:unit_all, turn:-1, status:attack, val:500, calc:add]</v>
      </c>
      <c r="H22" s="61">
        <f t="shared" si="17"/>
        <v>9</v>
      </c>
      <c r="I22" s="61">
        <f t="shared" si="18"/>
        <v>21</v>
      </c>
      <c r="J22" s="61">
        <f t="shared" si="19"/>
        <v>30</v>
      </c>
      <c r="K22" s="61">
        <f t="shared" si="20"/>
        <v>38</v>
      </c>
      <c r="L22" s="61" t="str">
        <f>IFERROR(VLOOKUP(MID(G22,J22,K22-J22),[6]skilldef!$C:$D,2,FALSE),"-") &amp; " / " &amp; IFERROR(VLOOKUP(MID(G22,H22,I22-H22),[6]skilldef!$A:$B,2,FALSE),"-")</f>
        <v>味方全体に / -</v>
      </c>
      <c r="M22" s="61" t="str">
        <f t="shared" si="21"/>
        <v>[effect:enhance_unit, target:unit_all, turn:-1, status:heal, val:500, calc:add],[effect:change_bomb_range, turn:-1, val:1.2, rate:1, animation:bomb_big],[effect:suicide, val:1, dead_type:escape, target:myself]</v>
      </c>
      <c r="N22" s="46" t="str">
        <f t="shared" si="22"/>
        <v>[effect:enhance_unit, target:unit_all, turn:-1, status:heal, val:500, calc:add],[effect:change_bomb_range, turn:-1, val:1.2, rate:1, animation:bomb_big],[effect:suicide, val:1, dead_type:escape, target:myself]</v>
      </c>
      <c r="O22" s="61">
        <f t="shared" si="23"/>
        <v>9</v>
      </c>
      <c r="P22" s="61">
        <f t="shared" si="24"/>
        <v>21</v>
      </c>
      <c r="Q22" s="61">
        <f t="shared" si="25"/>
        <v>30</v>
      </c>
      <c r="R22" s="61">
        <f t="shared" si="26"/>
        <v>38</v>
      </c>
      <c r="S22" s="61" t="str">
        <f>IFERROR(VLOOKUP(MID(N22,Q22,R22-Q22),[6]skilldef!$C:$D,2,FALSE),"-") &amp; " / " &amp; IFERROR(VLOOKUP(MID(N22,O22,P22-O22),[6]skilldef!$A:$B,2,FALSE),"-")</f>
        <v>味方全体に / -</v>
      </c>
      <c r="T22" s="46" t="str">
        <f t="shared" si="27"/>
        <v>[effect:change_bomb_range, turn:-1, val:1.2, rate:1, animation:bomb_big],[effect:suicide, val:1, dead_type:escape, target:myself]</v>
      </c>
      <c r="U22" s="61">
        <f t="shared" si="28"/>
        <v>9</v>
      </c>
      <c r="V22" s="61">
        <f t="shared" si="29"/>
        <v>26</v>
      </c>
      <c r="W22" s="61">
        <f t="shared" si="30"/>
        <v>123</v>
      </c>
      <c r="X22" s="61">
        <f t="shared" si="31"/>
        <v>35</v>
      </c>
      <c r="Y22" s="61" t="str">
        <f>IFERROR(VLOOKUP(MID(T22,W22,X22-W22),[6]skilldef!$C:$D,2,FALSE),"-") &amp; " / " &amp; IFERROR(VLOOKUP(MID(T22,U22,V22-U22),[6]skilldef!$A:$B,2,FALSE),"-")</f>
        <v>- / -</v>
      </c>
      <c r="Z22" s="48" t="s">
        <v>266</v>
      </c>
      <c r="AA22" s="50">
        <v>42531</v>
      </c>
      <c r="AB22" s="49" t="s">
        <v>287</v>
      </c>
    </row>
    <row r="23" spans="1:28" ht="80" customHeight="1" x14ac:dyDescent="0.15">
      <c r="A23" s="163">
        <v>39006022</v>
      </c>
      <c r="B23" s="164" t="s">
        <v>569</v>
      </c>
      <c r="C23" s="165">
        <v>3</v>
      </c>
      <c r="D23" s="165" t="s">
        <v>128</v>
      </c>
      <c r="E23" s="166" t="s">
        <v>407</v>
      </c>
      <c r="F23" s="166" t="s">
        <v>562</v>
      </c>
      <c r="G23" s="61" t="str">
        <f t="shared" si="16"/>
        <v>[effect:enhance_unit, target:unit_all, turn:-1, status:attack, val:550, calc:add]</v>
      </c>
      <c r="H23" s="61">
        <f t="shared" si="17"/>
        <v>9</v>
      </c>
      <c r="I23" s="61">
        <f t="shared" si="18"/>
        <v>21</v>
      </c>
      <c r="J23" s="61">
        <f t="shared" si="19"/>
        <v>30</v>
      </c>
      <c r="K23" s="61">
        <f t="shared" si="20"/>
        <v>38</v>
      </c>
      <c r="L23" s="61" t="str">
        <f>IFERROR(VLOOKUP(MID(G23,J23,K23-J23),[6]skilldef!$C:$D,2,FALSE),"-") &amp; " / " &amp; IFERROR(VLOOKUP(MID(G23,H23,I23-H23),[6]skilldef!$A:$B,2,FALSE),"-")</f>
        <v>味方全体に / -</v>
      </c>
      <c r="M23" s="61" t="str">
        <f t="shared" si="21"/>
        <v>[effect:enhance_unit, target:unit_all, turn:-1, status:heal, val:500, calc:add],[effect:force_change_block, new_block:crack_bomb, target:block_all, ignore:crack_bomb, ignore02:crash, color:block_red, count:1, val:40, animation:change_block],[effect:change_bomb_range, turn:-1, val:1.5, rate:1, animation:bomb_big],[effect:suicide, val:1, dead_type:escape, target:myself]</v>
      </c>
      <c r="N23" s="46" t="str">
        <f t="shared" si="22"/>
        <v>[effect:enhance_unit, target:unit_all, turn:-1, status:heal, val:500, calc:add],[effect:force_change_block, new_block:crack_bomb, target:block_all, ignore:crack_bomb, ignore02:crash, color:block_red, count:1, val:40, animation:change_block],[effect:change_bomb_range, turn:-1, val:1.5, rate:1, animation:bomb_big],[effect:suicide, val:1, dead_type:escape, target:myself]</v>
      </c>
      <c r="O23" s="61">
        <f t="shared" si="23"/>
        <v>9</v>
      </c>
      <c r="P23" s="61">
        <f t="shared" si="24"/>
        <v>21</v>
      </c>
      <c r="Q23" s="61">
        <f t="shared" si="25"/>
        <v>30</v>
      </c>
      <c r="R23" s="61">
        <f t="shared" si="26"/>
        <v>38</v>
      </c>
      <c r="S23" s="61" t="str">
        <f>IFERROR(VLOOKUP(MID(N23,Q23,R23-Q23),[6]skilldef!$C:$D,2,FALSE),"-") &amp; " / " &amp; IFERROR(VLOOKUP(MID(N23,O23,P23-O23),[6]skilldef!$A:$B,2,FALSE),"-")</f>
        <v>味方全体に / -</v>
      </c>
      <c r="T23" s="46" t="str">
        <f t="shared" si="27"/>
        <v>[effect:force_change_block, new_block:crack_bomb, target:block_all, ignore:crack_bomb, ignore02:crash, color:block_red, count:1, val:40, animation:change_block],[effect:change_bomb_range, turn:-1, val:1.5, rate:1, animation:bomb_big],[effect:suicide, val:1, dead_type:escape, target:myself]</v>
      </c>
      <c r="U23" s="61">
        <f t="shared" si="28"/>
        <v>9</v>
      </c>
      <c r="V23" s="61">
        <f t="shared" si="29"/>
        <v>27</v>
      </c>
      <c r="W23" s="61">
        <f t="shared" si="30"/>
        <v>58</v>
      </c>
      <c r="X23" s="61">
        <f t="shared" si="31"/>
        <v>49</v>
      </c>
      <c r="Y23" s="61" t="str">
        <f>IFERROR(VLOOKUP(MID(T23,W23,X23-W23),[6]skilldef!$C:$D,2,FALSE),"-") &amp; " / " &amp; IFERROR(VLOOKUP(MID(T23,U23,V23-U23),[6]skilldef!$A:$B,2,FALSE),"-")</f>
        <v>- / -</v>
      </c>
      <c r="Z23" s="48" t="s">
        <v>266</v>
      </c>
      <c r="AA23" s="50">
        <v>42531</v>
      </c>
      <c r="AB23" s="49" t="s">
        <v>288</v>
      </c>
    </row>
    <row r="24" spans="1:28" ht="21" customHeight="1" x14ac:dyDescent="0.15">
      <c r="A24" s="45">
        <v>39006023</v>
      </c>
      <c r="B24" s="121" t="s">
        <v>295</v>
      </c>
      <c r="C24" s="165">
        <v>3</v>
      </c>
      <c r="D24" s="48" t="s">
        <v>128</v>
      </c>
      <c r="E24" s="49" t="s">
        <v>274</v>
      </c>
      <c r="F24" s="49" t="s">
        <v>296</v>
      </c>
      <c r="G24" s="61" t="str">
        <f t="shared" si="16"/>
        <v xml:space="preserve">[effect:enemy_message, val1:1.2, val2:2.2]    </v>
      </c>
      <c r="H24" s="61">
        <f t="shared" si="17"/>
        <v>9</v>
      </c>
      <c r="I24" s="61">
        <f t="shared" si="18"/>
        <v>22</v>
      </c>
      <c r="J24" s="61" t="e">
        <f t="shared" si="19"/>
        <v>#VALUE!</v>
      </c>
      <c r="K24" s="61">
        <f t="shared" si="20"/>
        <v>32</v>
      </c>
      <c r="L24" s="61" t="str">
        <f>IFERROR(VLOOKUP(MID(G24,J24,K24-J24),[6]skilldef!$C:$D,2,FALSE),"-") &amp; " / " &amp; IFERROR(VLOOKUP(MID(G24,H24,I24-H24),[6]skilldef!$A:$B,2,FALSE),"-")</f>
        <v>- / -</v>
      </c>
      <c r="M24" s="61" t="str">
        <f t="shared" si="21"/>
        <v>none</v>
      </c>
      <c r="N24" s="46" t="str">
        <f t="shared" si="22"/>
        <v>none</v>
      </c>
      <c r="O24" s="61" t="e">
        <f t="shared" si="23"/>
        <v>#VALUE!</v>
      </c>
      <c r="P24" s="61">
        <f t="shared" si="24"/>
        <v>4</v>
      </c>
      <c r="Q24" s="61" t="e">
        <f t="shared" si="25"/>
        <v>#VALUE!</v>
      </c>
      <c r="R24" s="61" t="e">
        <f t="shared" si="26"/>
        <v>#VALUE!</v>
      </c>
      <c r="S24" s="61" t="str">
        <f>IFERROR(VLOOKUP(MID(N24,Q24,R24-Q24),[6]skilldef!$C:$D,2,FALSE),"-") &amp; " / " &amp; IFERROR(VLOOKUP(MID(N24,O24,P24-O24),[6]skilldef!$A:$B,2,FALSE),"-")</f>
        <v>- / -</v>
      </c>
      <c r="T24" s="46" t="str">
        <f t="shared" si="27"/>
        <v>none</v>
      </c>
      <c r="U24" s="61" t="e">
        <f t="shared" si="28"/>
        <v>#VALUE!</v>
      </c>
      <c r="V24" s="61">
        <f t="shared" si="29"/>
        <v>4</v>
      </c>
      <c r="W24" s="61" t="e">
        <f t="shared" si="30"/>
        <v>#VALUE!</v>
      </c>
      <c r="X24" s="61" t="e">
        <f t="shared" si="31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8" t="s">
        <v>266</v>
      </c>
      <c r="AA24" s="50">
        <v>42531</v>
      </c>
      <c r="AB24" s="48" t="s">
        <v>236</v>
      </c>
    </row>
    <row r="25" spans="1:28" ht="21" customHeight="1" x14ac:dyDescent="0.15">
      <c r="A25" s="45">
        <v>39006024</v>
      </c>
      <c r="B25" s="121" t="s">
        <v>299</v>
      </c>
      <c r="C25" s="165">
        <v>3</v>
      </c>
      <c r="D25" s="48" t="s">
        <v>128</v>
      </c>
      <c r="E25" s="49" t="s">
        <v>495</v>
      </c>
      <c r="F25" s="49" t="s">
        <v>275</v>
      </c>
      <c r="G25" s="61" t="str">
        <f t="shared" si="16"/>
        <v xml:space="preserve">[effect:rush, count:2, val:0.6]    </v>
      </c>
      <c r="H25" s="61">
        <f t="shared" si="17"/>
        <v>9</v>
      </c>
      <c r="I25" s="61">
        <f t="shared" si="18"/>
        <v>13</v>
      </c>
      <c r="J25" s="61" t="e">
        <f t="shared" si="19"/>
        <v>#VALUE!</v>
      </c>
      <c r="K25" s="61">
        <f t="shared" si="20"/>
        <v>22</v>
      </c>
      <c r="L25" s="61" t="str">
        <f>IFERROR(VLOOKUP(MID(G25,J25,K25-J25),[6]skilldef!$C:$D,2,FALSE),"-") &amp; " / " &amp; IFERROR(VLOOKUP(MID(G25,H25,I25-H25),[6]skilldef!$A:$B,2,FALSE),"-")</f>
        <v>- / 連続攻撃</v>
      </c>
      <c r="M25" s="61" t="str">
        <f t="shared" si="21"/>
        <v>none</v>
      </c>
      <c r="N25" s="46" t="str">
        <f t="shared" si="22"/>
        <v>none</v>
      </c>
      <c r="O25" s="61" t="e">
        <f t="shared" si="23"/>
        <v>#VALUE!</v>
      </c>
      <c r="P25" s="61">
        <f t="shared" si="24"/>
        <v>4</v>
      </c>
      <c r="Q25" s="61" t="e">
        <f t="shared" si="25"/>
        <v>#VALUE!</v>
      </c>
      <c r="R25" s="61" t="e">
        <f t="shared" si="26"/>
        <v>#VALUE!</v>
      </c>
      <c r="S25" s="61" t="str">
        <f>IFERROR(VLOOKUP(MID(N25,Q25,R25-Q25),[6]skilldef!$C:$D,2,FALSE),"-") &amp; " / " &amp; IFERROR(VLOOKUP(MID(N25,O25,P25-O25),[6]skilldef!$A:$B,2,FALSE),"-")</f>
        <v>- / -</v>
      </c>
      <c r="T25" s="46" t="str">
        <f t="shared" si="27"/>
        <v>none</v>
      </c>
      <c r="U25" s="61" t="e">
        <f t="shared" si="28"/>
        <v>#VALUE!</v>
      </c>
      <c r="V25" s="61">
        <f t="shared" si="29"/>
        <v>4</v>
      </c>
      <c r="W25" s="61" t="e">
        <f t="shared" si="30"/>
        <v>#VALUE!</v>
      </c>
      <c r="X25" s="61" t="e">
        <f t="shared" si="31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8" t="s">
        <v>266</v>
      </c>
      <c r="AA25" s="50">
        <v>42531</v>
      </c>
      <c r="AB25" s="48" t="s">
        <v>237</v>
      </c>
    </row>
    <row r="26" spans="1:28" ht="21" customHeight="1" x14ac:dyDescent="0.15">
      <c r="A26" s="45">
        <v>39006025</v>
      </c>
      <c r="B26" s="121" t="s">
        <v>297</v>
      </c>
      <c r="C26" s="165">
        <v>3</v>
      </c>
      <c r="D26" s="48" t="s">
        <v>128</v>
      </c>
      <c r="E26" s="49" t="s">
        <v>495</v>
      </c>
      <c r="F26" s="49" t="s">
        <v>276</v>
      </c>
      <c r="G26" s="61" t="str">
        <f t="shared" si="16"/>
        <v xml:space="preserve">[effect:rush, count:3, val:0.5]    </v>
      </c>
      <c r="H26" s="61">
        <f t="shared" si="17"/>
        <v>9</v>
      </c>
      <c r="I26" s="61">
        <f t="shared" si="18"/>
        <v>13</v>
      </c>
      <c r="J26" s="61" t="e">
        <f t="shared" si="19"/>
        <v>#VALUE!</v>
      </c>
      <c r="K26" s="61">
        <f t="shared" si="20"/>
        <v>22</v>
      </c>
      <c r="L26" s="61" t="str">
        <f>IFERROR(VLOOKUP(MID(G26,J26,K26-J26),[6]skilldef!$C:$D,2,FALSE),"-") &amp; " / " &amp; IFERROR(VLOOKUP(MID(G26,H26,I26-H26),[6]skilldef!$A:$B,2,FALSE),"-")</f>
        <v>- / 連続攻撃</v>
      </c>
      <c r="M26" s="61" t="str">
        <f t="shared" si="21"/>
        <v>none</v>
      </c>
      <c r="N26" s="46" t="str">
        <f t="shared" si="22"/>
        <v>none</v>
      </c>
      <c r="O26" s="61" t="e">
        <f t="shared" si="23"/>
        <v>#VALUE!</v>
      </c>
      <c r="P26" s="61">
        <f t="shared" si="24"/>
        <v>4</v>
      </c>
      <c r="Q26" s="61" t="e">
        <f t="shared" si="25"/>
        <v>#VALUE!</v>
      </c>
      <c r="R26" s="61" t="e">
        <f t="shared" si="26"/>
        <v>#VALUE!</v>
      </c>
      <c r="S26" s="61" t="str">
        <f>IFERROR(VLOOKUP(MID(N26,Q26,R26-Q26),[6]skilldef!$C:$D,2,FALSE),"-") &amp; " / " &amp; IFERROR(VLOOKUP(MID(N26,O26,P26-O26),[6]skilldef!$A:$B,2,FALSE),"-")</f>
        <v>- / -</v>
      </c>
      <c r="T26" s="46" t="str">
        <f t="shared" si="27"/>
        <v>none</v>
      </c>
      <c r="U26" s="61" t="e">
        <f t="shared" si="28"/>
        <v>#VALUE!</v>
      </c>
      <c r="V26" s="61">
        <f t="shared" si="29"/>
        <v>4</v>
      </c>
      <c r="W26" s="61" t="e">
        <f t="shared" si="30"/>
        <v>#VALUE!</v>
      </c>
      <c r="X26" s="61" t="e">
        <f t="shared" si="31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8" t="s">
        <v>266</v>
      </c>
      <c r="AA26" s="50">
        <v>42531</v>
      </c>
      <c r="AB26" s="48" t="s">
        <v>238</v>
      </c>
    </row>
    <row r="27" spans="1:28" ht="21" customHeight="1" x14ac:dyDescent="0.15">
      <c r="A27" s="45">
        <v>39006026</v>
      </c>
      <c r="B27" s="121" t="s">
        <v>298</v>
      </c>
      <c r="C27" s="165">
        <v>3</v>
      </c>
      <c r="D27" s="48" t="s">
        <v>128</v>
      </c>
      <c r="E27" s="49" t="s">
        <v>495</v>
      </c>
      <c r="F27" s="49" t="s">
        <v>277</v>
      </c>
      <c r="G27" s="61" t="str">
        <f t="shared" si="16"/>
        <v xml:space="preserve">[effect:rush, count:4, val:0.45]    </v>
      </c>
      <c r="H27" s="61">
        <f t="shared" si="17"/>
        <v>9</v>
      </c>
      <c r="I27" s="61">
        <f t="shared" si="18"/>
        <v>13</v>
      </c>
      <c r="J27" s="61" t="e">
        <f t="shared" si="19"/>
        <v>#VALUE!</v>
      </c>
      <c r="K27" s="61">
        <f t="shared" si="20"/>
        <v>22</v>
      </c>
      <c r="L27" s="61" t="str">
        <f>IFERROR(VLOOKUP(MID(G27,J27,K27-J27),[6]skilldef!$C:$D,2,FALSE),"-") &amp; " / " &amp; IFERROR(VLOOKUP(MID(G27,H27,I27-H27),[6]skilldef!$A:$B,2,FALSE),"-")</f>
        <v>- / 連続攻撃</v>
      </c>
      <c r="M27" s="61" t="str">
        <f t="shared" si="21"/>
        <v>none</v>
      </c>
      <c r="N27" s="46" t="str">
        <f t="shared" si="22"/>
        <v>none</v>
      </c>
      <c r="O27" s="61" t="e">
        <f t="shared" si="23"/>
        <v>#VALUE!</v>
      </c>
      <c r="P27" s="61">
        <f t="shared" si="24"/>
        <v>4</v>
      </c>
      <c r="Q27" s="61" t="e">
        <f t="shared" si="25"/>
        <v>#VALUE!</v>
      </c>
      <c r="R27" s="61" t="e">
        <f t="shared" si="26"/>
        <v>#VALUE!</v>
      </c>
      <c r="S27" s="61" t="str">
        <f>IFERROR(VLOOKUP(MID(N27,Q27,R27-Q27),[6]skilldef!$C:$D,2,FALSE),"-") &amp; " / " &amp; IFERROR(VLOOKUP(MID(N27,O27,P27-O27),[6]skilldef!$A:$B,2,FALSE),"-")</f>
        <v>- / -</v>
      </c>
      <c r="T27" s="46" t="str">
        <f t="shared" si="27"/>
        <v>none</v>
      </c>
      <c r="U27" s="61" t="e">
        <f t="shared" si="28"/>
        <v>#VALUE!</v>
      </c>
      <c r="V27" s="61">
        <f t="shared" si="29"/>
        <v>4</v>
      </c>
      <c r="W27" s="61" t="e">
        <f t="shared" si="30"/>
        <v>#VALUE!</v>
      </c>
      <c r="X27" s="61" t="e">
        <f t="shared" si="31"/>
        <v>#VALUE!</v>
      </c>
      <c r="Y27" s="61" t="str">
        <f>IFERROR(VLOOKUP(MID(T27,W27,X27-W27),[6]skilldef!$C:$D,2,FALSE),"-") &amp; " / " &amp; IFERROR(VLOOKUP(MID(T27,U27,V27-U27),[6]skilldef!$A:$B,2,FALSE),"-")</f>
        <v>- / -</v>
      </c>
      <c r="Z27" s="48" t="s">
        <v>266</v>
      </c>
      <c r="AA27" s="50">
        <v>42531</v>
      </c>
      <c r="AB27" s="48" t="s">
        <v>239</v>
      </c>
    </row>
    <row r="28" spans="1:28" ht="21" customHeight="1" x14ac:dyDescent="0.15">
      <c r="A28" s="45">
        <v>39006027</v>
      </c>
      <c r="B28" s="121" t="s">
        <v>285</v>
      </c>
      <c r="C28" s="165">
        <v>3</v>
      </c>
      <c r="D28" s="48" t="s">
        <v>128</v>
      </c>
      <c r="E28" s="49" t="s">
        <v>273</v>
      </c>
      <c r="F28" s="49" t="s">
        <v>272</v>
      </c>
      <c r="G28" s="61" t="str">
        <f t="shared" si="16"/>
        <v xml:space="preserve">[effect:spread, val:0.5]    </v>
      </c>
      <c r="H28" s="61">
        <f t="shared" si="17"/>
        <v>9</v>
      </c>
      <c r="I28" s="61">
        <f t="shared" si="18"/>
        <v>15</v>
      </c>
      <c r="J28" s="61" t="e">
        <f t="shared" si="19"/>
        <v>#VALUE!</v>
      </c>
      <c r="K28" s="61" t="e">
        <f t="shared" si="20"/>
        <v>#VALUE!</v>
      </c>
      <c r="L28" s="61" t="str">
        <f>IFERROR(VLOOKUP(MID(G28,J28,K28-J28),[6]skilldef!$C:$D,2,FALSE),"-") &amp; " / " &amp; IFERROR(VLOOKUP(MID(G28,H28,I28-H28),[6]skilldef!$A:$B,2,FALSE),"-")</f>
        <v>- / 全体攻撃</v>
      </c>
      <c r="M28" s="61" t="str">
        <f t="shared" si="21"/>
        <v>none</v>
      </c>
      <c r="N28" s="46" t="str">
        <f t="shared" si="22"/>
        <v>none</v>
      </c>
      <c r="O28" s="61" t="e">
        <f t="shared" si="23"/>
        <v>#VALUE!</v>
      </c>
      <c r="P28" s="61">
        <f t="shared" si="24"/>
        <v>4</v>
      </c>
      <c r="Q28" s="61" t="e">
        <f t="shared" si="25"/>
        <v>#VALUE!</v>
      </c>
      <c r="R28" s="61" t="e">
        <f t="shared" si="26"/>
        <v>#VALUE!</v>
      </c>
      <c r="S28" s="61" t="str">
        <f>IFERROR(VLOOKUP(MID(N28,Q28,R28-Q28),[6]skilldef!$C:$D,2,FALSE),"-") &amp; " / " &amp; IFERROR(VLOOKUP(MID(N28,O28,P28-O28),[6]skilldef!$A:$B,2,FALSE),"-")</f>
        <v>- / -</v>
      </c>
      <c r="T28" s="46" t="str">
        <f t="shared" si="27"/>
        <v>none</v>
      </c>
      <c r="U28" s="61" t="e">
        <f t="shared" si="28"/>
        <v>#VALUE!</v>
      </c>
      <c r="V28" s="61">
        <f t="shared" si="29"/>
        <v>4</v>
      </c>
      <c r="W28" s="61" t="e">
        <f t="shared" si="30"/>
        <v>#VALUE!</v>
      </c>
      <c r="X28" s="61" t="e">
        <f t="shared" si="31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8" t="s">
        <v>266</v>
      </c>
      <c r="AA28" s="50">
        <v>42531</v>
      </c>
      <c r="AB28" s="48" t="s">
        <v>240</v>
      </c>
    </row>
    <row r="29" spans="1:28" ht="21" customHeight="1" x14ac:dyDescent="0.15">
      <c r="A29" s="45">
        <v>39006028</v>
      </c>
      <c r="B29" s="121" t="s">
        <v>300</v>
      </c>
      <c r="C29" s="165">
        <v>3</v>
      </c>
      <c r="D29" s="48" t="s">
        <v>128</v>
      </c>
      <c r="E29" s="49" t="s">
        <v>496</v>
      </c>
      <c r="F29" s="49" t="s">
        <v>487</v>
      </c>
      <c r="G29" s="61" t="str">
        <f t="shared" si="16"/>
        <v>[effect:heal, target:enemy_one, val:0.1, animation:enemy_heal]</v>
      </c>
      <c r="H29" s="61">
        <f t="shared" si="17"/>
        <v>9</v>
      </c>
      <c r="I29" s="61">
        <f t="shared" si="18"/>
        <v>13</v>
      </c>
      <c r="J29" s="61">
        <f t="shared" si="19"/>
        <v>22</v>
      </c>
      <c r="K29" s="61">
        <f t="shared" si="20"/>
        <v>31</v>
      </c>
      <c r="L29" s="61" t="str">
        <f>IFERROR(VLOOKUP(MID(G29,J29,K29-J29),[6]skilldef!$C:$D,2,FALSE),"-") &amp; " / " &amp; IFERROR(VLOOKUP(MID(G29,H29,I29-H29),[6]skilldef!$A:$B,2,FALSE),"-")</f>
        <v>敵単体に / 回復</v>
      </c>
      <c r="M29" s="61" t="str">
        <f t="shared" si="21"/>
        <v xml:space="preserve">[effect:rush, count:1, val:1.0]  </v>
      </c>
      <c r="N29" s="46" t="str">
        <f t="shared" si="22"/>
        <v xml:space="preserve">[effect:rush, count:1, val:1.0]  </v>
      </c>
      <c r="O29" s="61">
        <f t="shared" si="23"/>
        <v>9</v>
      </c>
      <c r="P29" s="61">
        <f t="shared" si="24"/>
        <v>13</v>
      </c>
      <c r="Q29" s="61" t="e">
        <f t="shared" si="25"/>
        <v>#VALUE!</v>
      </c>
      <c r="R29" s="61">
        <f t="shared" si="26"/>
        <v>22</v>
      </c>
      <c r="S29" s="61" t="str">
        <f>IFERROR(VLOOKUP(MID(N29,Q29,R29-Q29),[6]skilldef!$C:$D,2,FALSE),"-") &amp; " / " &amp; IFERROR(VLOOKUP(MID(N29,O29,P29-O29),[6]skilldef!$A:$B,2,FALSE),"-")</f>
        <v>- / 連続攻撃</v>
      </c>
      <c r="T29" s="46" t="str">
        <f t="shared" si="27"/>
        <v>none</v>
      </c>
      <c r="U29" s="61" t="e">
        <f t="shared" si="28"/>
        <v>#VALUE!</v>
      </c>
      <c r="V29" s="61">
        <f t="shared" si="29"/>
        <v>4</v>
      </c>
      <c r="W29" s="61" t="e">
        <f t="shared" si="30"/>
        <v>#VALUE!</v>
      </c>
      <c r="X29" s="61" t="e">
        <f t="shared" si="31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8" t="s">
        <v>266</v>
      </c>
      <c r="AA29" s="50">
        <v>42531</v>
      </c>
      <c r="AB29" s="48" t="s">
        <v>241</v>
      </c>
    </row>
    <row r="30" spans="1:28" ht="21" customHeight="1" x14ac:dyDescent="0.15">
      <c r="A30" s="45">
        <v>39006029</v>
      </c>
      <c r="B30" s="121" t="s">
        <v>301</v>
      </c>
      <c r="C30" s="165">
        <v>3</v>
      </c>
      <c r="D30" s="48" t="s">
        <v>128</v>
      </c>
      <c r="E30" s="49" t="s">
        <v>496</v>
      </c>
      <c r="F30" s="49" t="s">
        <v>486</v>
      </c>
      <c r="G30" s="61" t="str">
        <f t="shared" si="16"/>
        <v>[effect:heal, target:enemy_one, val:0.15, animation:enemy_heal]</v>
      </c>
      <c r="H30" s="61">
        <f t="shared" si="17"/>
        <v>9</v>
      </c>
      <c r="I30" s="61">
        <f t="shared" si="18"/>
        <v>13</v>
      </c>
      <c r="J30" s="61">
        <f t="shared" si="19"/>
        <v>22</v>
      </c>
      <c r="K30" s="61">
        <f t="shared" si="20"/>
        <v>31</v>
      </c>
      <c r="L30" s="61" t="str">
        <f>IFERROR(VLOOKUP(MID(G30,J30,K30-J30),[6]skilldef!$C:$D,2,FALSE),"-") &amp; " / " &amp; IFERROR(VLOOKUP(MID(G30,H30,I30-H30),[6]skilldef!$A:$B,2,FALSE),"-")</f>
        <v>敵単体に / 回復</v>
      </c>
      <c r="M30" s="61" t="str">
        <f t="shared" si="21"/>
        <v xml:space="preserve">[effect:rush, count:2, val:0.6]  </v>
      </c>
      <c r="N30" s="46" t="str">
        <f t="shared" si="22"/>
        <v xml:space="preserve">[effect:rush, count:2, val:0.6]  </v>
      </c>
      <c r="O30" s="61">
        <f t="shared" si="23"/>
        <v>9</v>
      </c>
      <c r="P30" s="61">
        <f t="shared" si="24"/>
        <v>13</v>
      </c>
      <c r="Q30" s="61" t="e">
        <f t="shared" si="25"/>
        <v>#VALUE!</v>
      </c>
      <c r="R30" s="61">
        <f t="shared" si="26"/>
        <v>22</v>
      </c>
      <c r="S30" s="61" t="str">
        <f>IFERROR(VLOOKUP(MID(N30,Q30,R30-Q30),[6]skilldef!$C:$D,2,FALSE),"-") &amp; " / " &amp; IFERROR(VLOOKUP(MID(N30,O30,P30-O30),[6]skilldef!$A:$B,2,FALSE),"-")</f>
        <v>- / 連続攻撃</v>
      </c>
      <c r="T30" s="46" t="str">
        <f t="shared" si="27"/>
        <v>none</v>
      </c>
      <c r="U30" s="61" t="e">
        <f t="shared" si="28"/>
        <v>#VALUE!</v>
      </c>
      <c r="V30" s="61">
        <f t="shared" si="29"/>
        <v>4</v>
      </c>
      <c r="W30" s="61" t="e">
        <f t="shared" si="30"/>
        <v>#VALUE!</v>
      </c>
      <c r="X30" s="61" t="e">
        <f t="shared" si="31"/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8" t="s">
        <v>266</v>
      </c>
      <c r="AA30" s="50">
        <v>42531</v>
      </c>
      <c r="AB30" s="48" t="s">
        <v>242</v>
      </c>
    </row>
    <row r="31" spans="1:28" ht="21" customHeight="1" x14ac:dyDescent="0.15">
      <c r="A31" s="45">
        <v>39006030</v>
      </c>
      <c r="B31" s="121" t="s">
        <v>302</v>
      </c>
      <c r="C31" s="165">
        <v>3</v>
      </c>
      <c r="D31" s="48" t="s">
        <v>128</v>
      </c>
      <c r="E31" s="49" t="s">
        <v>496</v>
      </c>
      <c r="F31" s="49" t="s">
        <v>485</v>
      </c>
      <c r="G31" s="61" t="str">
        <f t="shared" si="16"/>
        <v>[effect:heal, target:enemy_one, val:0.2, animation:enemy_heal]</v>
      </c>
      <c r="H31" s="61">
        <f t="shared" si="17"/>
        <v>9</v>
      </c>
      <c r="I31" s="61">
        <f t="shared" si="18"/>
        <v>13</v>
      </c>
      <c r="J31" s="61">
        <f t="shared" si="19"/>
        <v>22</v>
      </c>
      <c r="K31" s="61">
        <f t="shared" si="20"/>
        <v>31</v>
      </c>
      <c r="L31" s="61" t="str">
        <f>IFERROR(VLOOKUP(MID(G31,J31,K31-J31),[6]skilldef!$C:$D,2,FALSE),"-") &amp; " / " &amp; IFERROR(VLOOKUP(MID(G31,H31,I31-H31),[6]skilldef!$A:$B,2,FALSE),"-")</f>
        <v>敵単体に / 回復</v>
      </c>
      <c r="M31" s="61" t="str">
        <f t="shared" si="21"/>
        <v xml:space="preserve">[effect:rush, count:3, val:0.5]    </v>
      </c>
      <c r="N31" s="46" t="str">
        <f t="shared" si="22"/>
        <v xml:space="preserve">[effect:rush, count:3, val:0.5]    </v>
      </c>
      <c r="O31" s="61">
        <f t="shared" si="23"/>
        <v>9</v>
      </c>
      <c r="P31" s="61">
        <f t="shared" si="24"/>
        <v>13</v>
      </c>
      <c r="Q31" s="61" t="e">
        <f t="shared" si="25"/>
        <v>#VALUE!</v>
      </c>
      <c r="R31" s="61">
        <f t="shared" si="26"/>
        <v>22</v>
      </c>
      <c r="S31" s="61" t="str">
        <f>IFERROR(VLOOKUP(MID(N31,Q31,R31-Q31),[6]skilldef!$C:$D,2,FALSE),"-") &amp; " / " &amp; IFERROR(VLOOKUP(MID(N31,O31,P31-O31),[6]skilldef!$A:$B,2,FALSE),"-")</f>
        <v>- / 連続攻撃</v>
      </c>
      <c r="T31" s="46" t="str">
        <f t="shared" si="27"/>
        <v>none</v>
      </c>
      <c r="U31" s="61" t="e">
        <f t="shared" si="28"/>
        <v>#VALUE!</v>
      </c>
      <c r="V31" s="61">
        <f t="shared" si="29"/>
        <v>4</v>
      </c>
      <c r="W31" s="61" t="e">
        <f t="shared" si="30"/>
        <v>#VALUE!</v>
      </c>
      <c r="X31" s="61" t="e">
        <f t="shared" si="31"/>
        <v>#VALUE!</v>
      </c>
      <c r="Y31" s="61" t="str">
        <f>IFERROR(VLOOKUP(MID(T31,W31,X31-W31),[6]skilldef!$C:$D,2,FALSE),"-") &amp; " / " &amp; IFERROR(VLOOKUP(MID(T31,U31,V31-U31),[6]skilldef!$A:$B,2,FALSE),"-")</f>
        <v>- / -</v>
      </c>
      <c r="Z31" s="48" t="s">
        <v>266</v>
      </c>
      <c r="AA31" s="50">
        <v>42531</v>
      </c>
      <c r="AB31" s="48" t="s">
        <v>243</v>
      </c>
    </row>
    <row r="32" spans="1:28" ht="21" customHeight="1" x14ac:dyDescent="0.15">
      <c r="A32" s="45">
        <v>39006031</v>
      </c>
      <c r="B32" s="121" t="s">
        <v>303</v>
      </c>
      <c r="C32" s="165">
        <v>3</v>
      </c>
      <c r="D32" s="48" t="s">
        <v>128</v>
      </c>
      <c r="E32" s="49" t="s">
        <v>496</v>
      </c>
      <c r="F32" s="49" t="s">
        <v>484</v>
      </c>
      <c r="G32" s="61" t="str">
        <f t="shared" si="16"/>
        <v>[effect:heal, target:enemy_one, val:0.25, animation:enemy_heal]</v>
      </c>
      <c r="H32" s="61">
        <f t="shared" si="17"/>
        <v>9</v>
      </c>
      <c r="I32" s="61">
        <f t="shared" si="18"/>
        <v>13</v>
      </c>
      <c r="J32" s="61">
        <f t="shared" si="19"/>
        <v>22</v>
      </c>
      <c r="K32" s="61">
        <f t="shared" si="20"/>
        <v>31</v>
      </c>
      <c r="L32" s="61" t="str">
        <f>IFERROR(VLOOKUP(MID(G32,J32,K32-J32),[6]skilldef!$C:$D,2,FALSE),"-") &amp; " / " &amp; IFERROR(VLOOKUP(MID(G32,H32,I32-H32),[6]skilldef!$A:$B,2,FALSE),"-")</f>
        <v>敵単体に / 回復</v>
      </c>
      <c r="M32" s="61" t="str">
        <f t="shared" si="21"/>
        <v xml:space="preserve">[effect:rush, count:4, val:0.45]    </v>
      </c>
      <c r="N32" s="46" t="str">
        <f t="shared" si="22"/>
        <v xml:space="preserve">[effect:rush, count:4, val:0.45]    </v>
      </c>
      <c r="O32" s="61">
        <f t="shared" si="23"/>
        <v>9</v>
      </c>
      <c r="P32" s="61">
        <f t="shared" si="24"/>
        <v>13</v>
      </c>
      <c r="Q32" s="61" t="e">
        <f t="shared" si="25"/>
        <v>#VALUE!</v>
      </c>
      <c r="R32" s="61">
        <f t="shared" si="26"/>
        <v>22</v>
      </c>
      <c r="S32" s="61" t="str">
        <f>IFERROR(VLOOKUP(MID(N32,Q32,R32-Q32),[6]skilldef!$C:$D,2,FALSE),"-") &amp; " / " &amp; IFERROR(VLOOKUP(MID(N32,O32,P32-O32),[6]skilldef!$A:$B,2,FALSE),"-")</f>
        <v>- / 連続攻撃</v>
      </c>
      <c r="T32" s="46" t="str">
        <f t="shared" si="27"/>
        <v>none</v>
      </c>
      <c r="U32" s="61" t="e">
        <f t="shared" si="28"/>
        <v>#VALUE!</v>
      </c>
      <c r="V32" s="61">
        <f t="shared" si="29"/>
        <v>4</v>
      </c>
      <c r="W32" s="61" t="e">
        <f t="shared" si="30"/>
        <v>#VALUE!</v>
      </c>
      <c r="X32" s="61" t="e">
        <f t="shared" si="31"/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8" t="s">
        <v>266</v>
      </c>
      <c r="AA32" s="50">
        <v>42531</v>
      </c>
      <c r="AB32" s="48" t="s">
        <v>244</v>
      </c>
    </row>
    <row r="33" spans="1:28" ht="21" customHeight="1" x14ac:dyDescent="0.15">
      <c r="A33" s="45">
        <v>39006032</v>
      </c>
      <c r="B33" s="121" t="s">
        <v>304</v>
      </c>
      <c r="C33" s="165">
        <v>3</v>
      </c>
      <c r="D33" s="48" t="s">
        <v>128</v>
      </c>
      <c r="E33" s="49" t="s">
        <v>497</v>
      </c>
      <c r="F33" s="49" t="s">
        <v>278</v>
      </c>
      <c r="G33" s="61" t="str">
        <f t="shared" si="16"/>
        <v>[effect:rush, count:4, val:0.4]</v>
      </c>
      <c r="H33" s="61">
        <f t="shared" si="17"/>
        <v>9</v>
      </c>
      <c r="I33" s="61">
        <f t="shared" si="18"/>
        <v>13</v>
      </c>
      <c r="J33" s="61" t="e">
        <f t="shared" si="19"/>
        <v>#VALUE!</v>
      </c>
      <c r="K33" s="61">
        <f t="shared" si="20"/>
        <v>22</v>
      </c>
      <c r="L33" s="61" t="str">
        <f>IFERROR(VLOOKUP(MID(G33,J33,K33-J33),[6]skilldef!$C:$D,2,FALSE),"-") &amp; " / " &amp; IFERROR(VLOOKUP(MID(G33,H33,I33-H33),[6]skilldef!$A:$B,2,FALSE),"-")</f>
        <v>- / 連続攻撃</v>
      </c>
      <c r="M33" s="61" t="str">
        <f t="shared" si="21"/>
        <v xml:space="preserve">[effect:spread, val:0.35]     </v>
      </c>
      <c r="N33" s="46" t="str">
        <f t="shared" si="22"/>
        <v xml:space="preserve">[effect:spread, val:0.35]     </v>
      </c>
      <c r="O33" s="61">
        <f t="shared" si="23"/>
        <v>9</v>
      </c>
      <c r="P33" s="61">
        <f t="shared" si="24"/>
        <v>15</v>
      </c>
      <c r="Q33" s="61" t="e">
        <f t="shared" si="25"/>
        <v>#VALUE!</v>
      </c>
      <c r="R33" s="61" t="e">
        <f t="shared" si="26"/>
        <v>#VALUE!</v>
      </c>
      <c r="S33" s="61" t="str">
        <f>IFERROR(VLOOKUP(MID(N33,Q33,R33-Q33),[6]skilldef!$C:$D,2,FALSE),"-") &amp; " / " &amp; IFERROR(VLOOKUP(MID(N33,O33,P33-O33),[6]skilldef!$A:$B,2,FALSE),"-")</f>
        <v>- / 全体攻撃</v>
      </c>
      <c r="T33" s="46" t="str">
        <f t="shared" si="27"/>
        <v>none</v>
      </c>
      <c r="U33" s="61" t="e">
        <f t="shared" si="28"/>
        <v>#VALUE!</v>
      </c>
      <c r="V33" s="61">
        <f t="shared" si="29"/>
        <v>4</v>
      </c>
      <c r="W33" s="61" t="e">
        <f t="shared" si="30"/>
        <v>#VALUE!</v>
      </c>
      <c r="X33" s="61" t="e">
        <f t="shared" si="31"/>
        <v>#VALUE!</v>
      </c>
      <c r="Y33" s="61" t="str">
        <f>IFERROR(VLOOKUP(MID(T33,W33,X33-W33),[6]skilldef!$C:$D,2,FALSE),"-") &amp; " / " &amp; IFERROR(VLOOKUP(MID(T33,U33,V33-U33),[6]skilldef!$A:$B,2,FALSE),"-")</f>
        <v>- / -</v>
      </c>
      <c r="Z33" s="48" t="s">
        <v>266</v>
      </c>
      <c r="AA33" s="50">
        <v>42531</v>
      </c>
      <c r="AB33" s="48" t="s">
        <v>245</v>
      </c>
    </row>
    <row r="34" spans="1:28" ht="21" customHeight="1" x14ac:dyDescent="0.15">
      <c r="A34" s="45">
        <v>39006033</v>
      </c>
      <c r="B34" s="121" t="s">
        <v>333</v>
      </c>
      <c r="C34" s="165">
        <v>3</v>
      </c>
      <c r="D34" s="48" t="s">
        <v>128</v>
      </c>
      <c r="E34" s="49" t="s">
        <v>279</v>
      </c>
      <c r="F34" s="49" t="s">
        <v>523</v>
      </c>
      <c r="G34" s="61" t="str">
        <f t="shared" si="16"/>
        <v>[effect:enemy_counter, target:myself, invoke_condition:unit_all, counter_target:attacker, turn:2, val:0.25, animation:enemy_counter]</v>
      </c>
      <c r="H34" s="61">
        <f t="shared" si="17"/>
        <v>9</v>
      </c>
      <c r="I34" s="61">
        <f t="shared" si="18"/>
        <v>22</v>
      </c>
      <c r="J34" s="61">
        <f t="shared" si="19"/>
        <v>31</v>
      </c>
      <c r="K34" s="61">
        <f t="shared" si="20"/>
        <v>37</v>
      </c>
      <c r="L34" s="61" t="str">
        <f>IFERROR(VLOOKUP(MID(G34,J34,K34-J34),[6]skilldef!$C:$D,2,FALSE),"-") &amp; " / " &amp; IFERROR(VLOOKUP(MID(G34,H34,I34-H34),[6]skilldef!$A:$B,2,FALSE),"-")</f>
        <v>自分自身に / カウンター</v>
      </c>
      <c r="M34" s="61" t="str">
        <f t="shared" si="21"/>
        <v xml:space="preserve">[effect:crash_condition, target:unit_all, val:2, turn:4, animation:enemy_crash_extend]        </v>
      </c>
      <c r="N34" s="46" t="str">
        <f t="shared" si="22"/>
        <v xml:space="preserve">[effect:crash_condition, target:unit_all, val:2, turn:4, animation:enemy_crash_extend]        </v>
      </c>
      <c r="O34" s="61">
        <f t="shared" si="23"/>
        <v>9</v>
      </c>
      <c r="P34" s="61">
        <f t="shared" si="24"/>
        <v>24</v>
      </c>
      <c r="Q34" s="61">
        <f t="shared" si="25"/>
        <v>33</v>
      </c>
      <c r="R34" s="61">
        <f t="shared" si="26"/>
        <v>41</v>
      </c>
      <c r="S34" s="61" t="str">
        <f>IFERROR(VLOOKUP(MID(N34,Q34,R34-Q34),[6]skilldef!$C:$D,2,FALSE),"-") &amp; " / " &amp; IFERROR(VLOOKUP(MID(N34,O34,P34-O34),[6]skilldef!$A:$B,2,FALSE),"-")</f>
        <v>味方全体に / -</v>
      </c>
      <c r="T34" s="46" t="str">
        <f t="shared" si="27"/>
        <v>none</v>
      </c>
      <c r="U34" s="61" t="e">
        <f t="shared" si="28"/>
        <v>#VALUE!</v>
      </c>
      <c r="V34" s="61">
        <f t="shared" si="29"/>
        <v>4</v>
      </c>
      <c r="W34" s="61" t="e">
        <f t="shared" si="30"/>
        <v>#VALUE!</v>
      </c>
      <c r="X34" s="61" t="e">
        <f t="shared" si="31"/>
        <v>#VALUE!</v>
      </c>
      <c r="Y34" s="61" t="str">
        <f>IFERROR(VLOOKUP(MID(T34,W34,X34-W34),[6]skilldef!$C:$D,2,FALSE),"-") &amp; " / " &amp; IFERROR(VLOOKUP(MID(T34,U34,V34-U34),[6]skilldef!$A:$B,2,FALSE),"-")</f>
        <v>- / -</v>
      </c>
      <c r="Z34" s="48" t="s">
        <v>266</v>
      </c>
      <c r="AA34" s="50">
        <v>42531</v>
      </c>
      <c r="AB34" s="48" t="s">
        <v>246</v>
      </c>
    </row>
    <row r="35" spans="1:28" ht="21" customHeight="1" x14ac:dyDescent="0.15">
      <c r="A35" s="45">
        <v>39006034</v>
      </c>
      <c r="B35" s="121" t="s">
        <v>305</v>
      </c>
      <c r="C35" s="165">
        <v>3</v>
      </c>
      <c r="D35" s="48" t="s">
        <v>128</v>
      </c>
      <c r="E35" s="49" t="s">
        <v>279</v>
      </c>
      <c r="F35" s="49" t="s">
        <v>524</v>
      </c>
      <c r="G35" s="61" t="str">
        <f t="shared" si="16"/>
        <v>[effect:enemy_counter, target:myself, invoke_condition:unit_all, counter_target:attacker, turn:2, val:0.35, animation:enemy_counter]</v>
      </c>
      <c r="H35" s="61">
        <f t="shared" si="17"/>
        <v>9</v>
      </c>
      <c r="I35" s="61">
        <f t="shared" si="18"/>
        <v>22</v>
      </c>
      <c r="J35" s="61">
        <f t="shared" si="19"/>
        <v>31</v>
      </c>
      <c r="K35" s="61">
        <f t="shared" si="20"/>
        <v>37</v>
      </c>
      <c r="L35" s="61" t="str">
        <f>IFERROR(VLOOKUP(MID(G35,J35,K35-J35),[6]skilldef!$C:$D,2,FALSE),"-") &amp; " / " &amp; IFERROR(VLOOKUP(MID(G35,H35,I35-H35),[6]skilldef!$A:$B,2,FALSE),"-")</f>
        <v>自分自身に / カウンター</v>
      </c>
      <c r="M35" s="61" t="str">
        <f t="shared" si="21"/>
        <v xml:space="preserve">[effect:crash_condition, target:unit_all, val:2, turn:4, animation:enemy_crash_extend]        </v>
      </c>
      <c r="N35" s="46" t="str">
        <f t="shared" si="22"/>
        <v xml:space="preserve">[effect:crash_condition, target:unit_all, val:2, turn:4, animation:enemy_crash_extend]        </v>
      </c>
      <c r="O35" s="61">
        <f t="shared" si="23"/>
        <v>9</v>
      </c>
      <c r="P35" s="61">
        <f t="shared" si="24"/>
        <v>24</v>
      </c>
      <c r="Q35" s="61">
        <f t="shared" si="25"/>
        <v>33</v>
      </c>
      <c r="R35" s="61">
        <f t="shared" si="26"/>
        <v>41</v>
      </c>
      <c r="S35" s="61" t="str">
        <f>IFERROR(VLOOKUP(MID(N35,Q35,R35-Q35),[6]skilldef!$C:$D,2,FALSE),"-") &amp; " / " &amp; IFERROR(VLOOKUP(MID(N35,O35,P35-O35),[6]skilldef!$A:$B,2,FALSE),"-")</f>
        <v>味方全体に / -</v>
      </c>
      <c r="T35" s="46" t="str">
        <f t="shared" si="27"/>
        <v>none</v>
      </c>
      <c r="U35" s="61" t="e">
        <f t="shared" si="28"/>
        <v>#VALUE!</v>
      </c>
      <c r="V35" s="61">
        <f t="shared" si="29"/>
        <v>4</v>
      </c>
      <c r="W35" s="61" t="e">
        <f t="shared" si="30"/>
        <v>#VALUE!</v>
      </c>
      <c r="X35" s="61" t="e">
        <f t="shared" si="31"/>
        <v>#VALUE!</v>
      </c>
      <c r="Y35" s="61" t="str">
        <f>IFERROR(VLOOKUP(MID(T35,W35,X35-W35),[6]skilldef!$C:$D,2,FALSE),"-") &amp; " / " &amp; IFERROR(VLOOKUP(MID(T35,U35,V35-U35),[6]skilldef!$A:$B,2,FALSE),"-")</f>
        <v>- / -</v>
      </c>
      <c r="Z35" s="48" t="s">
        <v>266</v>
      </c>
      <c r="AA35" s="50">
        <v>42531</v>
      </c>
      <c r="AB35" s="48" t="s">
        <v>247</v>
      </c>
    </row>
    <row r="36" spans="1:28" ht="21" customHeight="1" x14ac:dyDescent="0.15">
      <c r="A36" s="45">
        <v>39006035</v>
      </c>
      <c r="B36" s="121" t="s">
        <v>309</v>
      </c>
      <c r="C36" s="165">
        <v>3</v>
      </c>
      <c r="D36" s="48" t="s">
        <v>128</v>
      </c>
      <c r="E36" s="49" t="s">
        <v>279</v>
      </c>
      <c r="F36" s="49" t="s">
        <v>525</v>
      </c>
      <c r="G36" s="61" t="str">
        <f t="shared" si="16"/>
        <v>[effect:enemy_counter, target:myself, invoke_condition:unit_all, counter_target:attacker, turn:3, val:0.45, animation:enemy_counter]</v>
      </c>
      <c r="H36" s="61">
        <f t="shared" si="17"/>
        <v>9</v>
      </c>
      <c r="I36" s="61">
        <f t="shared" si="18"/>
        <v>22</v>
      </c>
      <c r="J36" s="61">
        <f t="shared" si="19"/>
        <v>31</v>
      </c>
      <c r="K36" s="61">
        <f t="shared" si="20"/>
        <v>37</v>
      </c>
      <c r="L36" s="61" t="str">
        <f>IFERROR(VLOOKUP(MID(G36,J36,K36-J36),[6]skilldef!$C:$D,2,FALSE),"-") &amp; " / " &amp; IFERROR(VLOOKUP(MID(G36,H36,I36-H36),[6]skilldef!$A:$B,2,FALSE),"-")</f>
        <v>自分自身に / カウンター</v>
      </c>
      <c r="M36" s="61" t="str">
        <f t="shared" si="21"/>
        <v xml:space="preserve">[effect:crash_condition, target:unit_all, val:2, turn:4, animation:enemy_crash_extend]        </v>
      </c>
      <c r="N36" s="46" t="str">
        <f t="shared" si="22"/>
        <v xml:space="preserve">[effect:crash_condition, target:unit_all, val:2, turn:4, animation:enemy_crash_extend]        </v>
      </c>
      <c r="O36" s="61">
        <f t="shared" si="23"/>
        <v>9</v>
      </c>
      <c r="P36" s="61">
        <f t="shared" si="24"/>
        <v>24</v>
      </c>
      <c r="Q36" s="61">
        <f t="shared" si="25"/>
        <v>33</v>
      </c>
      <c r="R36" s="61">
        <f t="shared" si="26"/>
        <v>41</v>
      </c>
      <c r="S36" s="61" t="str">
        <f>IFERROR(VLOOKUP(MID(N36,Q36,R36-Q36),[6]skilldef!$C:$D,2,FALSE),"-") &amp; " / " &amp; IFERROR(VLOOKUP(MID(N36,O36,P36-O36),[6]skilldef!$A:$B,2,FALSE),"-")</f>
        <v>味方全体に / -</v>
      </c>
      <c r="T36" s="46" t="str">
        <f t="shared" si="27"/>
        <v>none</v>
      </c>
      <c r="U36" s="61" t="e">
        <f t="shared" si="28"/>
        <v>#VALUE!</v>
      </c>
      <c r="V36" s="61">
        <f t="shared" si="29"/>
        <v>4</v>
      </c>
      <c r="W36" s="61" t="e">
        <f t="shared" si="30"/>
        <v>#VALUE!</v>
      </c>
      <c r="X36" s="61" t="e">
        <f t="shared" si="31"/>
        <v>#VALUE!</v>
      </c>
      <c r="Y36" s="61" t="str">
        <f>IFERROR(VLOOKUP(MID(T36,W36,X36-W36),[6]skilldef!$C:$D,2,FALSE),"-") &amp; " / " &amp; IFERROR(VLOOKUP(MID(T36,U36,V36-U36),[6]skilldef!$A:$B,2,FALSE),"-")</f>
        <v>- / -</v>
      </c>
      <c r="Z36" s="48" t="s">
        <v>266</v>
      </c>
      <c r="AA36" s="50">
        <v>42531</v>
      </c>
      <c r="AB36" s="48" t="s">
        <v>248</v>
      </c>
    </row>
    <row r="37" spans="1:28" ht="21" customHeight="1" x14ac:dyDescent="0.15">
      <c r="A37" s="45">
        <v>39006036</v>
      </c>
      <c r="B37" s="121" t="s">
        <v>310</v>
      </c>
      <c r="C37" s="165">
        <v>3</v>
      </c>
      <c r="D37" s="48" t="s">
        <v>128</v>
      </c>
      <c r="E37" s="49" t="s">
        <v>279</v>
      </c>
      <c r="F37" s="49" t="s">
        <v>525</v>
      </c>
      <c r="G37" s="61" t="str">
        <f t="shared" si="16"/>
        <v>[effect:enemy_counter, target:myself, invoke_condition:unit_all, counter_target:attacker, turn:3, val:0.6, animation:enemy_counter]</v>
      </c>
      <c r="H37" s="61">
        <f t="shared" si="17"/>
        <v>9</v>
      </c>
      <c r="I37" s="61">
        <f t="shared" si="18"/>
        <v>22</v>
      </c>
      <c r="J37" s="61">
        <f t="shared" si="19"/>
        <v>31</v>
      </c>
      <c r="K37" s="61">
        <f t="shared" si="20"/>
        <v>37</v>
      </c>
      <c r="L37" s="61" t="str">
        <f>IFERROR(VLOOKUP(MID(G37,J37,K37-J37),[6]skilldef!$C:$D,2,FALSE),"-") &amp; " / " &amp; IFERROR(VLOOKUP(MID(G37,H37,I37-H37),[6]skilldef!$A:$B,2,FALSE),"-")</f>
        <v>自分自身に / カウンター</v>
      </c>
      <c r="M37" s="61" t="str">
        <f t="shared" si="21"/>
        <v xml:space="preserve">[effect:crash_condition, target:unit_all, val:2, turn:4, animation:enemy_crash_extend]        </v>
      </c>
      <c r="N37" s="46" t="str">
        <f t="shared" si="22"/>
        <v xml:space="preserve">[effect:crash_condition, target:unit_all, val:2, turn:4, animation:enemy_crash_extend]        </v>
      </c>
      <c r="O37" s="61">
        <f t="shared" si="23"/>
        <v>9</v>
      </c>
      <c r="P37" s="61">
        <f t="shared" si="24"/>
        <v>24</v>
      </c>
      <c r="Q37" s="61">
        <f t="shared" si="25"/>
        <v>33</v>
      </c>
      <c r="R37" s="61">
        <f t="shared" si="26"/>
        <v>41</v>
      </c>
      <c r="S37" s="61" t="str">
        <f>IFERROR(VLOOKUP(MID(N37,Q37,R37-Q37),[6]skilldef!$C:$D,2,FALSE),"-") &amp; " / " &amp; IFERROR(VLOOKUP(MID(N37,O37,P37-O37),[6]skilldef!$A:$B,2,FALSE),"-")</f>
        <v>味方全体に / -</v>
      </c>
      <c r="T37" s="46" t="str">
        <f t="shared" si="27"/>
        <v>none</v>
      </c>
      <c r="U37" s="61" t="e">
        <f t="shared" si="28"/>
        <v>#VALUE!</v>
      </c>
      <c r="V37" s="61">
        <f t="shared" si="29"/>
        <v>4</v>
      </c>
      <c r="W37" s="61" t="e">
        <f t="shared" si="30"/>
        <v>#VALUE!</v>
      </c>
      <c r="X37" s="61" t="e">
        <f t="shared" si="31"/>
        <v>#VALUE!</v>
      </c>
      <c r="Y37" s="61" t="str">
        <f>IFERROR(VLOOKUP(MID(T37,W37,X37-W37),[6]skilldef!$C:$D,2,FALSE),"-") &amp; " / " &amp; IFERROR(VLOOKUP(MID(T37,U37,V37-U37),[6]skilldef!$A:$B,2,FALSE),"-")</f>
        <v>- / -</v>
      </c>
      <c r="Z37" s="48" t="s">
        <v>266</v>
      </c>
      <c r="AA37" s="50">
        <v>42531</v>
      </c>
      <c r="AB37" s="48" t="s">
        <v>249</v>
      </c>
    </row>
    <row r="38" spans="1:28" ht="21" customHeight="1" x14ac:dyDescent="0.15">
      <c r="A38" s="45">
        <v>39006037</v>
      </c>
      <c r="B38" s="121" t="s">
        <v>334</v>
      </c>
      <c r="C38" s="165">
        <v>3</v>
      </c>
      <c r="D38" s="48" t="s">
        <v>128</v>
      </c>
      <c r="E38" s="49" t="s">
        <v>498</v>
      </c>
      <c r="F38" s="49" t="s">
        <v>280</v>
      </c>
      <c r="G38" s="61" t="str">
        <f t="shared" si="16"/>
        <v xml:space="preserve">[effect:rush, count:2, val:0.7]    </v>
      </c>
      <c r="H38" s="61">
        <f t="shared" si="17"/>
        <v>9</v>
      </c>
      <c r="I38" s="61">
        <f t="shared" si="18"/>
        <v>13</v>
      </c>
      <c r="J38" s="61" t="e">
        <f t="shared" si="19"/>
        <v>#VALUE!</v>
      </c>
      <c r="K38" s="61">
        <f t="shared" si="20"/>
        <v>22</v>
      </c>
      <c r="L38" s="61" t="str">
        <f>IFERROR(VLOOKUP(MID(G38,J38,K38-J38),[6]skilldef!$C:$D,2,FALSE),"-") &amp; " / " &amp; IFERROR(VLOOKUP(MID(G38,H38,I38-H38),[6]skilldef!$A:$B,2,FALSE),"-")</f>
        <v>- / 連続攻撃</v>
      </c>
      <c r="M38" s="61" t="str">
        <f t="shared" si="21"/>
        <v>none</v>
      </c>
      <c r="N38" s="46" t="str">
        <f t="shared" si="22"/>
        <v>none</v>
      </c>
      <c r="O38" s="61" t="e">
        <f t="shared" si="23"/>
        <v>#VALUE!</v>
      </c>
      <c r="P38" s="61">
        <f t="shared" si="24"/>
        <v>4</v>
      </c>
      <c r="Q38" s="61" t="e">
        <f t="shared" si="25"/>
        <v>#VALUE!</v>
      </c>
      <c r="R38" s="61" t="e">
        <f t="shared" si="26"/>
        <v>#VALUE!</v>
      </c>
      <c r="S38" s="61" t="str">
        <f>IFERROR(VLOOKUP(MID(N38,Q38,R38-Q38),[6]skilldef!$C:$D,2,FALSE),"-") &amp; " / " &amp; IFERROR(VLOOKUP(MID(N38,O38,P38-O38),[6]skilldef!$A:$B,2,FALSE),"-")</f>
        <v>- / -</v>
      </c>
      <c r="T38" s="46" t="str">
        <f t="shared" si="27"/>
        <v>none</v>
      </c>
      <c r="U38" s="61" t="e">
        <f t="shared" si="28"/>
        <v>#VALUE!</v>
      </c>
      <c r="V38" s="61">
        <f t="shared" si="29"/>
        <v>4</v>
      </c>
      <c r="W38" s="61" t="e">
        <f t="shared" si="30"/>
        <v>#VALUE!</v>
      </c>
      <c r="X38" s="61" t="e">
        <f t="shared" si="31"/>
        <v>#VALUE!</v>
      </c>
      <c r="Y38" s="61" t="str">
        <f>IFERROR(VLOOKUP(MID(T38,W38,X38-W38),[6]skilldef!$C:$D,2,FALSE),"-") &amp; " / " &amp; IFERROR(VLOOKUP(MID(T38,U38,V38-U38),[6]skilldef!$A:$B,2,FALSE),"-")</f>
        <v>- / -</v>
      </c>
      <c r="Z38" s="48" t="s">
        <v>266</v>
      </c>
      <c r="AA38" s="50">
        <v>42531</v>
      </c>
      <c r="AB38" s="48" t="s">
        <v>250</v>
      </c>
    </row>
    <row r="39" spans="1:28" ht="21" customHeight="1" x14ac:dyDescent="0.15">
      <c r="A39" s="45">
        <v>39006038</v>
      </c>
      <c r="B39" s="121" t="s">
        <v>311</v>
      </c>
      <c r="C39" s="165">
        <v>3</v>
      </c>
      <c r="D39" s="48" t="s">
        <v>128</v>
      </c>
      <c r="E39" s="49" t="s">
        <v>499</v>
      </c>
      <c r="F39" s="49" t="s">
        <v>272</v>
      </c>
      <c r="G39" s="61" t="str">
        <f t="shared" si="16"/>
        <v xml:space="preserve">[effect:spread, val:0.55]  </v>
      </c>
      <c r="H39" s="61">
        <f t="shared" si="17"/>
        <v>9</v>
      </c>
      <c r="I39" s="61">
        <f t="shared" si="18"/>
        <v>15</v>
      </c>
      <c r="J39" s="61" t="e">
        <f t="shared" si="19"/>
        <v>#VALUE!</v>
      </c>
      <c r="K39" s="61" t="e">
        <f t="shared" si="20"/>
        <v>#VALUE!</v>
      </c>
      <c r="L39" s="61" t="str">
        <f>IFERROR(VLOOKUP(MID(G39,J39,K39-J39),[6]skilldef!$C:$D,2,FALSE),"-") &amp; " / " &amp; IFERROR(VLOOKUP(MID(G39,H39,I39-H39),[6]skilldef!$A:$B,2,FALSE),"-")</f>
        <v>- / 全体攻撃</v>
      </c>
      <c r="M39" s="61" t="str">
        <f t="shared" si="21"/>
        <v>none</v>
      </c>
      <c r="N39" s="46" t="str">
        <f t="shared" si="22"/>
        <v>none</v>
      </c>
      <c r="O39" s="61" t="e">
        <f t="shared" si="23"/>
        <v>#VALUE!</v>
      </c>
      <c r="P39" s="61">
        <f t="shared" si="24"/>
        <v>4</v>
      </c>
      <c r="Q39" s="61" t="e">
        <f t="shared" si="25"/>
        <v>#VALUE!</v>
      </c>
      <c r="R39" s="61" t="e">
        <f t="shared" si="26"/>
        <v>#VALUE!</v>
      </c>
      <c r="S39" s="61" t="str">
        <f>IFERROR(VLOOKUP(MID(N39,Q39,R39-Q39),[6]skilldef!$C:$D,2,FALSE),"-") &amp; " / " &amp; IFERROR(VLOOKUP(MID(N39,O39,P39-O39),[6]skilldef!$A:$B,2,FALSE),"-")</f>
        <v>- / -</v>
      </c>
      <c r="T39" s="46" t="str">
        <f t="shared" si="27"/>
        <v>none</v>
      </c>
      <c r="U39" s="61" t="e">
        <f t="shared" si="28"/>
        <v>#VALUE!</v>
      </c>
      <c r="V39" s="61">
        <f t="shared" si="29"/>
        <v>4</v>
      </c>
      <c r="W39" s="61" t="e">
        <f t="shared" si="30"/>
        <v>#VALUE!</v>
      </c>
      <c r="X39" s="61" t="e">
        <f t="shared" si="31"/>
        <v>#VALUE!</v>
      </c>
      <c r="Y39" s="61" t="str">
        <f>IFERROR(VLOOKUP(MID(T39,W39,X39-W39),[6]skilldef!$C:$D,2,FALSE),"-") &amp; " / " &amp; IFERROR(VLOOKUP(MID(T39,U39,V39-U39),[6]skilldef!$A:$B,2,FALSE),"-")</f>
        <v>- / -</v>
      </c>
      <c r="Z39" s="48" t="s">
        <v>266</v>
      </c>
      <c r="AA39" s="50">
        <v>42531</v>
      </c>
      <c r="AB39" s="48" t="s">
        <v>251</v>
      </c>
    </row>
    <row r="40" spans="1:28" ht="21" customHeight="1" x14ac:dyDescent="0.15">
      <c r="A40" s="45">
        <v>39006039</v>
      </c>
      <c r="B40" s="121" t="s">
        <v>380</v>
      </c>
      <c r="C40" s="165">
        <v>3</v>
      </c>
      <c r="D40" s="48" t="s">
        <v>128</v>
      </c>
      <c r="E40" s="49" t="s">
        <v>500</v>
      </c>
      <c r="F40" s="49" t="s">
        <v>526</v>
      </c>
      <c r="G40" s="61" t="str">
        <f t="shared" si="16"/>
        <v xml:space="preserve">[effect:rush, count:3, val:0.6]    </v>
      </c>
      <c r="H40" s="61">
        <f t="shared" si="17"/>
        <v>9</v>
      </c>
      <c r="I40" s="61">
        <f t="shared" si="18"/>
        <v>13</v>
      </c>
      <c r="J40" s="61" t="e">
        <f t="shared" si="19"/>
        <v>#VALUE!</v>
      </c>
      <c r="K40" s="61">
        <f t="shared" si="20"/>
        <v>22</v>
      </c>
      <c r="L40" s="61" t="str">
        <f>IFERROR(VLOOKUP(MID(G40,J40,K40-J40),[6]skilldef!$C:$D,2,FALSE),"-") &amp; " / " &amp; IFERROR(VLOOKUP(MID(G40,H40,I40-H40),[6]skilldef!$A:$B,2,FALSE),"-")</f>
        <v>- / 連続攻撃</v>
      </c>
      <c r="M40" s="61" t="str">
        <f t="shared" si="21"/>
        <v>none</v>
      </c>
      <c r="N40" s="46" t="str">
        <f t="shared" si="22"/>
        <v>none</v>
      </c>
      <c r="O40" s="61" t="e">
        <f t="shared" si="23"/>
        <v>#VALUE!</v>
      </c>
      <c r="P40" s="61">
        <f t="shared" si="24"/>
        <v>4</v>
      </c>
      <c r="Q40" s="61" t="e">
        <f t="shared" si="25"/>
        <v>#VALUE!</v>
      </c>
      <c r="R40" s="61" t="e">
        <f t="shared" si="26"/>
        <v>#VALUE!</v>
      </c>
      <c r="S40" s="61" t="str">
        <f>IFERROR(VLOOKUP(MID(N40,Q40,R40-Q40),[6]skilldef!$C:$D,2,FALSE),"-") &amp; " / " &amp; IFERROR(VLOOKUP(MID(N40,O40,P40-O40),[6]skilldef!$A:$B,2,FALSE),"-")</f>
        <v>- / -</v>
      </c>
      <c r="T40" s="46" t="str">
        <f t="shared" si="27"/>
        <v>none</v>
      </c>
      <c r="U40" s="61" t="e">
        <f t="shared" si="28"/>
        <v>#VALUE!</v>
      </c>
      <c r="V40" s="61">
        <f t="shared" si="29"/>
        <v>4</v>
      </c>
      <c r="W40" s="61" t="e">
        <f t="shared" si="30"/>
        <v>#VALUE!</v>
      </c>
      <c r="X40" s="61" t="e">
        <f t="shared" si="31"/>
        <v>#VALUE!</v>
      </c>
      <c r="Y40" s="61" t="str">
        <f>IFERROR(VLOOKUP(MID(T40,W40,X40-W40),[6]skilldef!$C:$D,2,FALSE),"-") &amp; " / " &amp; IFERROR(VLOOKUP(MID(T40,U40,V40-U40),[6]skilldef!$A:$B,2,FALSE),"-")</f>
        <v>- / -</v>
      </c>
      <c r="Z40" s="48" t="s">
        <v>266</v>
      </c>
      <c r="AA40" s="50">
        <v>42531</v>
      </c>
      <c r="AB40" s="48" t="s">
        <v>252</v>
      </c>
    </row>
    <row r="41" spans="1:28" ht="21" customHeight="1" x14ac:dyDescent="0.15">
      <c r="A41" s="45">
        <v>39006040</v>
      </c>
      <c r="B41" s="121" t="s">
        <v>306</v>
      </c>
      <c r="C41" s="165">
        <v>3</v>
      </c>
      <c r="D41" s="48" t="s">
        <v>128</v>
      </c>
      <c r="E41" s="49" t="s">
        <v>501</v>
      </c>
      <c r="F41" s="49" t="s">
        <v>488</v>
      </c>
      <c r="G41" s="61" t="str">
        <f t="shared" si="16"/>
        <v>[effect:enhance_enemy, target:myself, turn:-1, status:defense, val:2000, calc:add, animation:enemy_enhance_defense]</v>
      </c>
      <c r="H41" s="61">
        <f t="shared" si="17"/>
        <v>9</v>
      </c>
      <c r="I41" s="61">
        <f t="shared" si="18"/>
        <v>22</v>
      </c>
      <c r="J41" s="61">
        <f t="shared" si="19"/>
        <v>31</v>
      </c>
      <c r="K41" s="61">
        <f t="shared" si="20"/>
        <v>37</v>
      </c>
      <c r="L41" s="61" t="str">
        <f>IFERROR(VLOOKUP(MID(G41,J41,K41-J41),[6]skilldef!$C:$D,2,FALSE),"-") &amp; " / " &amp; IFERROR(VLOOKUP(MID(G41,H41,I41-H41),[6]skilldef!$A:$B,2,FALSE),"-")</f>
        <v>自分自身に / ステータス強化</v>
      </c>
      <c r="M41" s="61" t="str">
        <f t="shared" si="21"/>
        <v xml:space="preserve">[effect:fix_speed, target:myself, turn:3]    </v>
      </c>
      <c r="N41" s="46" t="str">
        <f t="shared" si="22"/>
        <v xml:space="preserve">[effect:fix_speed, target:myself, turn:3]    </v>
      </c>
      <c r="O41" s="61">
        <f t="shared" si="23"/>
        <v>9</v>
      </c>
      <c r="P41" s="61">
        <f t="shared" si="24"/>
        <v>18</v>
      </c>
      <c r="Q41" s="61">
        <f t="shared" si="25"/>
        <v>27</v>
      </c>
      <c r="R41" s="61">
        <f t="shared" si="26"/>
        <v>33</v>
      </c>
      <c r="S41" s="61" t="str">
        <f>IFERROR(VLOOKUP(MID(N41,Q41,R41-Q41),[6]skilldef!$C:$D,2,FALSE),"-") &amp; " / " &amp; IFERROR(VLOOKUP(MID(N41,O41,P41-O41),[6]skilldef!$A:$B,2,FALSE),"-")</f>
        <v>自分自身に / 行動値設定</v>
      </c>
      <c r="T41" s="46" t="str">
        <f t="shared" si="27"/>
        <v>none</v>
      </c>
      <c r="U41" s="61" t="e">
        <f t="shared" si="28"/>
        <v>#VALUE!</v>
      </c>
      <c r="V41" s="61">
        <f t="shared" si="29"/>
        <v>4</v>
      </c>
      <c r="W41" s="61" t="e">
        <f t="shared" si="30"/>
        <v>#VALUE!</v>
      </c>
      <c r="X41" s="61" t="e">
        <f t="shared" si="31"/>
        <v>#VALUE!</v>
      </c>
      <c r="Y41" s="61" t="str">
        <f>IFERROR(VLOOKUP(MID(T41,W41,X41-W41),[6]skilldef!$C:$D,2,FALSE),"-") &amp; " / " &amp; IFERROR(VLOOKUP(MID(T41,U41,V41-U41),[6]skilldef!$A:$B,2,FALSE),"-")</f>
        <v>- / -</v>
      </c>
      <c r="Z41" s="48" t="s">
        <v>266</v>
      </c>
      <c r="AA41" s="50">
        <v>42531</v>
      </c>
      <c r="AB41" s="48" t="s">
        <v>253</v>
      </c>
    </row>
    <row r="42" spans="1:28" ht="21" customHeight="1" x14ac:dyDescent="0.15">
      <c r="A42" s="45">
        <v>39006041</v>
      </c>
      <c r="B42" s="121" t="s">
        <v>566</v>
      </c>
      <c r="C42" s="165">
        <v>3</v>
      </c>
      <c r="D42" s="48" t="s">
        <v>128</v>
      </c>
      <c r="E42" s="49" t="s">
        <v>502</v>
      </c>
      <c r="F42" s="49" t="s">
        <v>483</v>
      </c>
      <c r="G42" s="61" t="str">
        <f t="shared" si="16"/>
        <v>[effect:rush, count:1, val:1.0]</v>
      </c>
      <c r="H42" s="61">
        <f t="shared" si="17"/>
        <v>9</v>
      </c>
      <c r="I42" s="61">
        <f t="shared" si="18"/>
        <v>13</v>
      </c>
      <c r="J42" s="61" t="e">
        <f t="shared" si="19"/>
        <v>#VALUE!</v>
      </c>
      <c r="K42" s="61">
        <f t="shared" si="20"/>
        <v>22</v>
      </c>
      <c r="L42" s="61" t="str">
        <f>IFERROR(VLOOKUP(MID(G42,J42,K42-J42),[6]skilldef!$C:$D,2,FALSE),"-") &amp; " / " &amp; IFERROR(VLOOKUP(MID(G42,H42,I42-H42),[6]skilldef!$A:$B,2,FALSE),"-")</f>
        <v>- / 連続攻撃</v>
      </c>
      <c r="M42" s="61" t="str">
        <f t="shared" si="21"/>
        <v xml:space="preserve">[effect:enhance_enemy, target:myself, turn:-1, status:defense, val:100, calc:add, animation:enemy_enhance_defense]    </v>
      </c>
      <c r="N42" s="46" t="str">
        <f t="shared" si="22"/>
        <v xml:space="preserve">[effect:enhance_enemy, target:myself, turn:-1, status:defense, val:100, calc:add, animation:enemy_enhance_defense]    </v>
      </c>
      <c r="O42" s="61">
        <f t="shared" si="23"/>
        <v>9</v>
      </c>
      <c r="P42" s="61">
        <f t="shared" si="24"/>
        <v>22</v>
      </c>
      <c r="Q42" s="61">
        <f t="shared" si="25"/>
        <v>31</v>
      </c>
      <c r="R42" s="61">
        <f t="shared" si="26"/>
        <v>37</v>
      </c>
      <c r="S42" s="61" t="str">
        <f>IFERROR(VLOOKUP(MID(N42,Q42,R42-Q42),[6]skilldef!$C:$D,2,FALSE),"-") &amp; " / " &amp; IFERROR(VLOOKUP(MID(N42,O42,P42-O42),[6]skilldef!$A:$B,2,FALSE),"-")</f>
        <v>自分自身に / ステータス強化</v>
      </c>
      <c r="T42" s="46" t="str">
        <f t="shared" si="27"/>
        <v>none</v>
      </c>
      <c r="U42" s="61" t="e">
        <f t="shared" si="28"/>
        <v>#VALUE!</v>
      </c>
      <c r="V42" s="61">
        <f t="shared" si="29"/>
        <v>4</v>
      </c>
      <c r="W42" s="61" t="e">
        <f t="shared" si="30"/>
        <v>#VALUE!</v>
      </c>
      <c r="X42" s="61" t="e">
        <f t="shared" si="31"/>
        <v>#VALUE!</v>
      </c>
      <c r="Y42" s="61" t="str">
        <f>IFERROR(VLOOKUP(MID(T42,W42,X42-W42),[6]skilldef!$C:$D,2,FALSE),"-") &amp; " / " &amp; IFERROR(VLOOKUP(MID(T42,U42,V42-U42),[6]skilldef!$A:$B,2,FALSE),"-")</f>
        <v>- / -</v>
      </c>
      <c r="Z42" s="48" t="s">
        <v>266</v>
      </c>
      <c r="AA42" s="50">
        <v>42531</v>
      </c>
      <c r="AB42" s="48" t="s">
        <v>254</v>
      </c>
    </row>
    <row r="43" spans="1:28" ht="21" customHeight="1" x14ac:dyDescent="0.15">
      <c r="A43" s="45">
        <v>39006042</v>
      </c>
      <c r="B43" s="121" t="s">
        <v>332</v>
      </c>
      <c r="C43" s="165">
        <v>3</v>
      </c>
      <c r="D43" s="48" t="s">
        <v>128</v>
      </c>
      <c r="E43" s="49" t="s">
        <v>502</v>
      </c>
      <c r="F43" s="49" t="s">
        <v>483</v>
      </c>
      <c r="G43" s="61" t="str">
        <f t="shared" si="16"/>
        <v>[effect:rush, count:1, val:1.1]</v>
      </c>
      <c r="H43" s="61">
        <f t="shared" si="17"/>
        <v>9</v>
      </c>
      <c r="I43" s="61">
        <f t="shared" si="18"/>
        <v>13</v>
      </c>
      <c r="J43" s="61" t="e">
        <f t="shared" si="19"/>
        <v>#VALUE!</v>
      </c>
      <c r="K43" s="61">
        <f t="shared" si="20"/>
        <v>22</v>
      </c>
      <c r="L43" s="61" t="str">
        <f>IFERROR(VLOOKUP(MID(G43,J43,K43-J43),[6]skilldef!$C:$D,2,FALSE),"-") &amp; " / " &amp; IFERROR(VLOOKUP(MID(G43,H43,I43-H43),[6]skilldef!$A:$B,2,FALSE),"-")</f>
        <v>- / 連続攻撃</v>
      </c>
      <c r="M43" s="61" t="str">
        <f t="shared" si="21"/>
        <v xml:space="preserve">[effect:enhance_enemy, target:myself, turn:-1, status:defense, val:150, calc:add, animation:enemy_enhance_defense]    </v>
      </c>
      <c r="N43" s="46" t="str">
        <f t="shared" si="22"/>
        <v xml:space="preserve">[effect:enhance_enemy, target:myself, turn:-1, status:defense, val:150, calc:add, animation:enemy_enhance_defense]    </v>
      </c>
      <c r="O43" s="61">
        <f t="shared" si="23"/>
        <v>9</v>
      </c>
      <c r="P43" s="61">
        <f t="shared" si="24"/>
        <v>22</v>
      </c>
      <c r="Q43" s="61">
        <f t="shared" si="25"/>
        <v>31</v>
      </c>
      <c r="R43" s="61">
        <f t="shared" si="26"/>
        <v>37</v>
      </c>
      <c r="S43" s="61" t="str">
        <f>IFERROR(VLOOKUP(MID(N43,Q43,R43-Q43),[6]skilldef!$C:$D,2,FALSE),"-") &amp; " / " &amp; IFERROR(VLOOKUP(MID(N43,O43,P43-O43),[6]skilldef!$A:$B,2,FALSE),"-")</f>
        <v>自分自身に / ステータス強化</v>
      </c>
      <c r="T43" s="46" t="str">
        <f t="shared" si="27"/>
        <v>none</v>
      </c>
      <c r="U43" s="61" t="e">
        <f t="shared" si="28"/>
        <v>#VALUE!</v>
      </c>
      <c r="V43" s="61">
        <f t="shared" si="29"/>
        <v>4</v>
      </c>
      <c r="W43" s="61" t="e">
        <f t="shared" si="30"/>
        <v>#VALUE!</v>
      </c>
      <c r="X43" s="61" t="e">
        <f t="shared" si="31"/>
        <v>#VALUE!</v>
      </c>
      <c r="Y43" s="61" t="str">
        <f>IFERROR(VLOOKUP(MID(T43,W43,X43-W43),[6]skilldef!$C:$D,2,FALSE),"-") &amp; " / " &amp; IFERROR(VLOOKUP(MID(T43,U43,V43-U43),[6]skilldef!$A:$B,2,FALSE),"-")</f>
        <v>- / -</v>
      </c>
      <c r="Z43" s="48" t="s">
        <v>266</v>
      </c>
      <c r="AA43" s="50">
        <v>42531</v>
      </c>
      <c r="AB43" s="48" t="s">
        <v>255</v>
      </c>
    </row>
    <row r="44" spans="1:28" ht="21" customHeight="1" x14ac:dyDescent="0.15">
      <c r="A44" s="45">
        <v>39006043</v>
      </c>
      <c r="B44" s="121" t="s">
        <v>331</v>
      </c>
      <c r="C44" s="165">
        <v>3</v>
      </c>
      <c r="D44" s="48" t="s">
        <v>128</v>
      </c>
      <c r="E44" s="49" t="s">
        <v>502</v>
      </c>
      <c r="F44" s="49" t="s">
        <v>483</v>
      </c>
      <c r="G44" s="61" t="str">
        <f t="shared" si="16"/>
        <v>[effect:rush, count:1, val:1.20]</v>
      </c>
      <c r="H44" s="61">
        <f t="shared" si="17"/>
        <v>9</v>
      </c>
      <c r="I44" s="61">
        <f t="shared" si="18"/>
        <v>13</v>
      </c>
      <c r="J44" s="61" t="e">
        <f t="shared" si="19"/>
        <v>#VALUE!</v>
      </c>
      <c r="K44" s="61">
        <f t="shared" si="20"/>
        <v>22</v>
      </c>
      <c r="L44" s="61" t="str">
        <f>IFERROR(VLOOKUP(MID(G44,J44,K44-J44),[6]skilldef!$C:$D,2,FALSE),"-") &amp; " / " &amp; IFERROR(VLOOKUP(MID(G44,H44,I44-H44),[6]skilldef!$A:$B,2,FALSE),"-")</f>
        <v>- / 連続攻撃</v>
      </c>
      <c r="M44" s="61" t="str">
        <f t="shared" si="21"/>
        <v xml:space="preserve">[effect:enhance_enemy, target:myself, turn:-1, status:defense, val:200, calc:add, animation:enemy_enhance_defense]    </v>
      </c>
      <c r="N44" s="46" t="str">
        <f>IFERROR(LEFT(M44,FIND("],",M44)+#REF!),M44)</f>
        <v xml:space="preserve">[effect:enhance_enemy, target:myself, turn:-1, status:defense, val:200, calc:add, animation:enemy_enhance_defense]    </v>
      </c>
      <c r="O44" s="61">
        <f t="shared" si="23"/>
        <v>9</v>
      </c>
      <c r="P44" s="61">
        <f t="shared" si="24"/>
        <v>22</v>
      </c>
      <c r="Q44" s="61">
        <f t="shared" si="25"/>
        <v>31</v>
      </c>
      <c r="R44" s="61">
        <f t="shared" si="26"/>
        <v>37</v>
      </c>
      <c r="S44" s="61" t="str">
        <f>IFERROR(VLOOKUP(MID(N44,Q44,R44-Q44),[6]skilldef!$C:$D,2,FALSE),"-") &amp; " / " &amp; IFERROR(VLOOKUP(MID(N44,O44,P44-O44),[6]skilldef!$A:$B,2,FALSE),"-")</f>
        <v>自分自身に / ステータス強化</v>
      </c>
      <c r="T44" s="46" t="str">
        <f t="shared" si="27"/>
        <v>none</v>
      </c>
      <c r="U44" s="61" t="e">
        <f t="shared" si="28"/>
        <v>#VALUE!</v>
      </c>
      <c r="V44" s="61">
        <f t="shared" si="29"/>
        <v>4</v>
      </c>
      <c r="W44" s="61" t="e">
        <f t="shared" si="30"/>
        <v>#VALUE!</v>
      </c>
      <c r="X44" s="61" t="e">
        <f t="shared" si="31"/>
        <v>#VALUE!</v>
      </c>
      <c r="Y44" s="61" t="str">
        <f>IFERROR(VLOOKUP(MID(T44,W44,X44-W44),[6]skilldef!$C:$D,2,FALSE),"-") &amp; " / " &amp; IFERROR(VLOOKUP(MID(T44,U44,V44-U44),[6]skilldef!$A:$B,2,FALSE),"-")</f>
        <v>- / -</v>
      </c>
      <c r="Z44" s="48" t="s">
        <v>266</v>
      </c>
      <c r="AA44" s="50">
        <v>42531</v>
      </c>
      <c r="AB44" s="48" t="s">
        <v>256</v>
      </c>
    </row>
    <row r="45" spans="1:28" ht="21" customHeight="1" x14ac:dyDescent="0.15">
      <c r="A45" s="45">
        <v>39006044</v>
      </c>
      <c r="B45" s="121" t="s">
        <v>330</v>
      </c>
      <c r="C45" s="165">
        <v>3</v>
      </c>
      <c r="D45" s="48" t="s">
        <v>128</v>
      </c>
      <c r="E45" s="49" t="s">
        <v>502</v>
      </c>
      <c r="F45" s="49" t="s">
        <v>483</v>
      </c>
      <c r="G45" s="61" t="str">
        <f t="shared" si="16"/>
        <v>[effect:rush, count:1, val:1.5]</v>
      </c>
      <c r="H45" s="61">
        <f t="shared" si="17"/>
        <v>9</v>
      </c>
      <c r="I45" s="61">
        <f t="shared" si="18"/>
        <v>13</v>
      </c>
      <c r="J45" s="61" t="e">
        <f t="shared" si="19"/>
        <v>#VALUE!</v>
      </c>
      <c r="K45" s="61">
        <f t="shared" si="20"/>
        <v>22</v>
      </c>
      <c r="L45" s="61" t="str">
        <f>IFERROR(VLOOKUP(MID(G45,J45,K45-J45),[6]skilldef!$C:$D,2,FALSE),"-") &amp; " / " &amp; IFERROR(VLOOKUP(MID(G45,H45,I45-H45),[6]skilldef!$A:$B,2,FALSE),"-")</f>
        <v>- / 連続攻撃</v>
      </c>
      <c r="M45" s="61" t="str">
        <f t="shared" si="21"/>
        <v xml:space="preserve">[effect:enhance_enemy, target:myself, turn:-1, status:defense, val:250, calc:add, animation:enemy_enhance_defense]    </v>
      </c>
      <c r="N45" s="46" t="str">
        <f>IFERROR(LEFT(M45,FIND("],",M45)+#REF!),M45)</f>
        <v xml:space="preserve">[effect:enhance_enemy, target:myself, turn:-1, status:defense, val:250, calc:add, animation:enemy_enhance_defense]    </v>
      </c>
      <c r="O45" s="61">
        <f t="shared" si="23"/>
        <v>9</v>
      </c>
      <c r="P45" s="61">
        <f t="shared" si="24"/>
        <v>22</v>
      </c>
      <c r="Q45" s="61">
        <f t="shared" si="25"/>
        <v>31</v>
      </c>
      <c r="R45" s="61">
        <f t="shared" si="26"/>
        <v>37</v>
      </c>
      <c r="S45" s="61" t="str">
        <f>IFERROR(VLOOKUP(MID(N45,Q45,R45-Q45),[6]skilldef!$C:$D,2,FALSE),"-") &amp; " / " &amp; IFERROR(VLOOKUP(MID(N45,O45,P45-O45),[6]skilldef!$A:$B,2,FALSE),"-")</f>
        <v>自分自身に / ステータス強化</v>
      </c>
      <c r="T45" s="46" t="str">
        <f t="shared" si="27"/>
        <v>none</v>
      </c>
      <c r="U45" s="61" t="e">
        <f t="shared" si="28"/>
        <v>#VALUE!</v>
      </c>
      <c r="V45" s="61">
        <f t="shared" si="29"/>
        <v>4</v>
      </c>
      <c r="W45" s="61" t="e">
        <f t="shared" si="30"/>
        <v>#VALUE!</v>
      </c>
      <c r="X45" s="61" t="e">
        <f t="shared" si="31"/>
        <v>#VALUE!</v>
      </c>
      <c r="Y45" s="61" t="str">
        <f>IFERROR(VLOOKUP(MID(T45,W45,X45-W45),[6]skilldef!$C:$D,2,FALSE),"-") &amp; " / " &amp; IFERROR(VLOOKUP(MID(T45,U45,V45-U45),[6]skilldef!$A:$B,2,FALSE),"-")</f>
        <v>- / -</v>
      </c>
      <c r="Z45" s="48" t="s">
        <v>266</v>
      </c>
      <c r="AA45" s="50">
        <v>42531</v>
      </c>
      <c r="AB45" s="48" t="s">
        <v>257</v>
      </c>
    </row>
    <row r="46" spans="1:28" ht="21" customHeight="1" x14ac:dyDescent="0.15">
      <c r="A46" s="45">
        <v>39006045</v>
      </c>
      <c r="B46" s="172" t="s">
        <v>391</v>
      </c>
      <c r="C46" s="165">
        <v>3</v>
      </c>
      <c r="D46" s="48" t="s">
        <v>128</v>
      </c>
      <c r="E46" s="49" t="s">
        <v>503</v>
      </c>
      <c r="F46" s="49" t="s">
        <v>543</v>
      </c>
      <c r="G46" s="61" t="str">
        <f t="shared" si="16"/>
        <v xml:space="preserve">[effect:break_attack_fix, val:120, lowest_val:2000, count:8, block:block_red, target:unit_all]    </v>
      </c>
      <c r="H46" s="61">
        <f t="shared" si="17"/>
        <v>9</v>
      </c>
      <c r="I46" s="61">
        <f t="shared" si="18"/>
        <v>25</v>
      </c>
      <c r="J46" s="61">
        <f t="shared" si="19"/>
        <v>86</v>
      </c>
      <c r="K46" s="61">
        <f t="shared" si="20"/>
        <v>34</v>
      </c>
      <c r="L46" s="61" t="str">
        <f>IFERROR(VLOOKUP(MID(G46,J46,K46-J46),[6]skilldef!$C:$D,2,FALSE),"-") &amp; " / " &amp; IFERROR(VLOOKUP(MID(G46,H46,I46-H46),[6]skilldef!$A:$B,2,FALSE),"-")</f>
        <v>- / -</v>
      </c>
      <c r="M46" s="61" t="str">
        <f t="shared" si="21"/>
        <v>none</v>
      </c>
      <c r="N46" s="46" t="str">
        <f>IFERROR(LEFT(M46,FIND("],",M46)+#REF!),M46)</f>
        <v>none</v>
      </c>
      <c r="O46" s="61" t="e">
        <f t="shared" si="23"/>
        <v>#VALUE!</v>
      </c>
      <c r="P46" s="61">
        <f t="shared" si="24"/>
        <v>4</v>
      </c>
      <c r="Q46" s="61" t="e">
        <f t="shared" si="25"/>
        <v>#VALUE!</v>
      </c>
      <c r="R46" s="61" t="e">
        <f t="shared" si="26"/>
        <v>#VALUE!</v>
      </c>
      <c r="S46" s="61" t="str">
        <f>IFERROR(VLOOKUP(MID(N46,Q46,R46-Q46),[6]skilldef!$C:$D,2,FALSE),"-") &amp; " / " &amp; IFERROR(VLOOKUP(MID(N46,O46,P46-O46),[6]skilldef!$A:$B,2,FALSE),"-")</f>
        <v>- / -</v>
      </c>
      <c r="T46" s="46" t="str">
        <f t="shared" si="27"/>
        <v>none</v>
      </c>
      <c r="U46" s="61" t="e">
        <f t="shared" si="28"/>
        <v>#VALUE!</v>
      </c>
      <c r="V46" s="61">
        <f t="shared" si="29"/>
        <v>4</v>
      </c>
      <c r="W46" s="61" t="e">
        <f t="shared" si="30"/>
        <v>#VALUE!</v>
      </c>
      <c r="X46" s="61" t="e">
        <f t="shared" si="31"/>
        <v>#VALUE!</v>
      </c>
      <c r="Y46" s="61" t="str">
        <f>IFERROR(VLOOKUP(MID(T46,W46,X46-W46),[6]skilldef!$C:$D,2,FALSE),"-") &amp; " / " &amp; IFERROR(VLOOKUP(MID(T46,U46,V46-U46),[6]skilldef!$A:$B,2,FALSE),"-")</f>
        <v>- / -</v>
      </c>
      <c r="Z46" s="48" t="s">
        <v>266</v>
      </c>
      <c r="AA46" s="50">
        <v>42531</v>
      </c>
      <c r="AB46" s="48" t="s">
        <v>258</v>
      </c>
    </row>
    <row r="47" spans="1:28" ht="21" customHeight="1" x14ac:dyDescent="0.15">
      <c r="A47" s="45">
        <v>39006046</v>
      </c>
      <c r="B47" s="172" t="s">
        <v>392</v>
      </c>
      <c r="C47" s="165">
        <v>3</v>
      </c>
      <c r="D47" s="48" t="s">
        <v>128</v>
      </c>
      <c r="E47" s="49" t="s">
        <v>504</v>
      </c>
      <c r="F47" s="49" t="s">
        <v>544</v>
      </c>
      <c r="G47" s="61" t="str">
        <f t="shared" si="16"/>
        <v xml:space="preserve">[effect:break_attack_fix, val:120, lowest_val:2000, count:8, block:block_green, target:unit_all]    </v>
      </c>
      <c r="H47" s="61">
        <f t="shared" si="17"/>
        <v>9</v>
      </c>
      <c r="I47" s="61">
        <f t="shared" si="18"/>
        <v>25</v>
      </c>
      <c r="J47" s="61">
        <f t="shared" si="19"/>
        <v>88</v>
      </c>
      <c r="K47" s="61">
        <f t="shared" si="20"/>
        <v>34</v>
      </c>
      <c r="L47" s="61" t="str">
        <f>IFERROR(VLOOKUP(MID(G47,J47,K47-J47),[6]skilldef!$C:$D,2,FALSE),"-") &amp; " / " &amp; IFERROR(VLOOKUP(MID(G47,H47,I47-H47),[6]skilldef!$A:$B,2,FALSE),"-")</f>
        <v>- / -</v>
      </c>
      <c r="M47" s="61" t="str">
        <f t="shared" si="21"/>
        <v>none</v>
      </c>
      <c r="N47" s="46" t="str">
        <f>IFERROR(LEFT(M47,FIND("],",M47)+#REF!),M47)</f>
        <v>none</v>
      </c>
      <c r="O47" s="61" t="e">
        <f t="shared" si="23"/>
        <v>#VALUE!</v>
      </c>
      <c r="P47" s="61">
        <f t="shared" si="24"/>
        <v>4</v>
      </c>
      <c r="Q47" s="61" t="e">
        <f t="shared" si="25"/>
        <v>#VALUE!</v>
      </c>
      <c r="R47" s="61" t="e">
        <f t="shared" si="26"/>
        <v>#VALUE!</v>
      </c>
      <c r="S47" s="61" t="str">
        <f>IFERROR(VLOOKUP(MID(N47,Q47,R47-Q47),[6]skilldef!$C:$D,2,FALSE),"-") &amp; " / " &amp; IFERROR(VLOOKUP(MID(N47,O47,P47-O47),[6]skilldef!$A:$B,2,FALSE),"-")</f>
        <v>- / -</v>
      </c>
      <c r="T47" s="46" t="str">
        <f t="shared" si="27"/>
        <v>none</v>
      </c>
      <c r="U47" s="61" t="e">
        <f t="shared" si="28"/>
        <v>#VALUE!</v>
      </c>
      <c r="V47" s="61">
        <f t="shared" si="29"/>
        <v>4</v>
      </c>
      <c r="W47" s="61" t="e">
        <f t="shared" si="30"/>
        <v>#VALUE!</v>
      </c>
      <c r="X47" s="61" t="e">
        <f t="shared" si="31"/>
        <v>#VALUE!</v>
      </c>
      <c r="Y47" s="61" t="str">
        <f>IFERROR(VLOOKUP(MID(T47,W47,X47-W47),[6]skilldef!$C:$D,2,FALSE),"-") &amp; " / " &amp; IFERROR(VLOOKUP(MID(T47,U47,V47-U47),[6]skilldef!$A:$B,2,FALSE),"-")</f>
        <v>- / -</v>
      </c>
      <c r="Z47" s="48" t="s">
        <v>266</v>
      </c>
      <c r="AA47" s="50">
        <v>42531</v>
      </c>
      <c r="AB47" s="48" t="s">
        <v>259</v>
      </c>
    </row>
    <row r="48" spans="1:28" ht="21" customHeight="1" x14ac:dyDescent="0.15">
      <c r="A48" s="45">
        <v>39006047</v>
      </c>
      <c r="B48" s="172" t="s">
        <v>393</v>
      </c>
      <c r="C48" s="165">
        <v>3</v>
      </c>
      <c r="D48" s="48" t="s">
        <v>128</v>
      </c>
      <c r="E48" s="49" t="s">
        <v>505</v>
      </c>
      <c r="F48" s="49" t="s">
        <v>545</v>
      </c>
      <c r="G48" s="61" t="str">
        <f t="shared" si="16"/>
        <v xml:space="preserve">[effect:break_attack_fix, val:120, lowest_val:2000, count:8, block:block_blue, target:unit_all]      </v>
      </c>
      <c r="H48" s="61">
        <f t="shared" si="17"/>
        <v>9</v>
      </c>
      <c r="I48" s="61">
        <f t="shared" si="18"/>
        <v>25</v>
      </c>
      <c r="J48" s="61">
        <f t="shared" si="19"/>
        <v>87</v>
      </c>
      <c r="K48" s="61">
        <f t="shared" si="20"/>
        <v>34</v>
      </c>
      <c r="L48" s="61" t="str">
        <f>IFERROR(VLOOKUP(MID(G48,J48,K48-J48),[6]skilldef!$C:$D,2,FALSE),"-") &amp; " / " &amp; IFERROR(VLOOKUP(MID(G48,H48,I48-H48),[6]skilldef!$A:$B,2,FALSE),"-")</f>
        <v>- / -</v>
      </c>
      <c r="M48" s="61" t="str">
        <f t="shared" si="21"/>
        <v>none</v>
      </c>
      <c r="N48" s="46" t="str">
        <f>IFERROR(LEFT(M48,FIND("],",M48)+#REF!),M48)</f>
        <v>none</v>
      </c>
      <c r="O48" s="61" t="e">
        <f t="shared" si="23"/>
        <v>#VALUE!</v>
      </c>
      <c r="P48" s="61">
        <f t="shared" si="24"/>
        <v>4</v>
      </c>
      <c r="Q48" s="61" t="e">
        <f t="shared" si="25"/>
        <v>#VALUE!</v>
      </c>
      <c r="R48" s="61" t="e">
        <f t="shared" si="26"/>
        <v>#VALUE!</v>
      </c>
      <c r="S48" s="61" t="str">
        <f>IFERROR(VLOOKUP(MID(N48,Q48,R48-Q48),[6]skilldef!$C:$D,2,FALSE),"-") &amp; " / " &amp; IFERROR(VLOOKUP(MID(N48,O48,P48-O48),[6]skilldef!$A:$B,2,FALSE),"-")</f>
        <v>- / -</v>
      </c>
      <c r="T48" s="46" t="str">
        <f t="shared" si="27"/>
        <v>none</v>
      </c>
      <c r="U48" s="61" t="e">
        <f t="shared" si="28"/>
        <v>#VALUE!</v>
      </c>
      <c r="V48" s="61">
        <f t="shared" si="29"/>
        <v>4</v>
      </c>
      <c r="W48" s="61" t="e">
        <f t="shared" si="30"/>
        <v>#VALUE!</v>
      </c>
      <c r="X48" s="61" t="e">
        <f t="shared" si="31"/>
        <v>#VALUE!</v>
      </c>
      <c r="Y48" s="61" t="str">
        <f>IFERROR(VLOOKUP(MID(T48,W48,X48-W48),[6]skilldef!$C:$D,2,FALSE),"-") &amp; " / " &amp; IFERROR(VLOOKUP(MID(T48,U48,V48-U48),[6]skilldef!$A:$B,2,FALSE),"-")</f>
        <v>- / -</v>
      </c>
      <c r="Z48" s="48" t="s">
        <v>266</v>
      </c>
      <c r="AA48" s="50">
        <v>42531</v>
      </c>
      <c r="AB48" s="48" t="s">
        <v>260</v>
      </c>
    </row>
    <row r="49" spans="1:28" ht="21" customHeight="1" x14ac:dyDescent="0.15">
      <c r="A49" s="45">
        <v>39006048</v>
      </c>
      <c r="B49" s="172" t="s">
        <v>394</v>
      </c>
      <c r="C49" s="165">
        <v>3</v>
      </c>
      <c r="D49" s="48" t="s">
        <v>128</v>
      </c>
      <c r="E49" s="49" t="s">
        <v>506</v>
      </c>
      <c r="F49" s="49" t="s">
        <v>546</v>
      </c>
      <c r="G49" s="61" t="str">
        <f t="shared" si="16"/>
        <v xml:space="preserve">[effect:break_attack_fix, val:120, lowest_val:2000, count:8, block:block_yellow, target:unit_all]    </v>
      </c>
      <c r="H49" s="61">
        <f t="shared" si="17"/>
        <v>9</v>
      </c>
      <c r="I49" s="61">
        <f t="shared" si="18"/>
        <v>25</v>
      </c>
      <c r="J49" s="61">
        <f t="shared" si="19"/>
        <v>89</v>
      </c>
      <c r="K49" s="61">
        <f t="shared" si="20"/>
        <v>34</v>
      </c>
      <c r="L49" s="61" t="str">
        <f>IFERROR(VLOOKUP(MID(G49,J49,K49-J49),[6]skilldef!$C:$D,2,FALSE),"-") &amp; " / " &amp; IFERROR(VLOOKUP(MID(G49,H49,I49-H49),[6]skilldef!$A:$B,2,FALSE),"-")</f>
        <v>- / -</v>
      </c>
      <c r="M49" s="61" t="str">
        <f t="shared" si="21"/>
        <v>none</v>
      </c>
      <c r="N49" s="46" t="str">
        <f>IFERROR(LEFT(M49,FIND("],",M49)+S54),M49)</f>
        <v>none</v>
      </c>
      <c r="O49" s="61" t="e">
        <f t="shared" si="23"/>
        <v>#VALUE!</v>
      </c>
      <c r="P49" s="61">
        <f t="shared" si="24"/>
        <v>4</v>
      </c>
      <c r="Q49" s="61" t="e">
        <f t="shared" si="25"/>
        <v>#VALUE!</v>
      </c>
      <c r="R49" s="61" t="e">
        <f t="shared" si="26"/>
        <v>#VALUE!</v>
      </c>
      <c r="S49" s="61" t="str">
        <f>IFERROR(VLOOKUP(MID(N49,Q49,R49-Q49),[6]skilldef!$C:$D,2,FALSE),"-") &amp; " / " &amp; IFERROR(VLOOKUP(MID(N49,O49,P49-O49),[6]skilldef!$A:$B,2,FALSE),"-")</f>
        <v>- / -</v>
      </c>
      <c r="T49" s="46" t="str">
        <f t="shared" si="27"/>
        <v>none</v>
      </c>
      <c r="U49" s="61" t="e">
        <f t="shared" si="28"/>
        <v>#VALUE!</v>
      </c>
      <c r="V49" s="61">
        <f t="shared" si="29"/>
        <v>4</v>
      </c>
      <c r="W49" s="61" t="e">
        <f t="shared" si="30"/>
        <v>#VALUE!</v>
      </c>
      <c r="X49" s="61" t="e">
        <f t="shared" si="31"/>
        <v>#VALUE!</v>
      </c>
      <c r="Y49" s="61" t="str">
        <f>IFERROR(VLOOKUP(MID(T49,W49,X49-W49),[6]skilldef!$C:$D,2,FALSE),"-") &amp; " / " &amp; IFERROR(VLOOKUP(MID(T49,U49,V49-U49),[6]skilldef!$A:$B,2,FALSE),"-")</f>
        <v>- / -</v>
      </c>
      <c r="Z49" s="48" t="s">
        <v>266</v>
      </c>
      <c r="AA49" s="50">
        <v>42531</v>
      </c>
      <c r="AB49" s="48" t="s">
        <v>261</v>
      </c>
    </row>
    <row r="50" spans="1:28" ht="21" customHeight="1" x14ac:dyDescent="0.15">
      <c r="A50" s="45">
        <v>39006049</v>
      </c>
      <c r="B50" s="172" t="s">
        <v>395</v>
      </c>
      <c r="C50" s="165">
        <v>3</v>
      </c>
      <c r="D50" s="48" t="s">
        <v>128</v>
      </c>
      <c r="E50" s="49" t="s">
        <v>507</v>
      </c>
      <c r="F50" s="49" t="s">
        <v>547</v>
      </c>
      <c r="G50" s="61" t="str">
        <f t="shared" si="16"/>
        <v xml:space="preserve">[effect:break_attack_fix, val:120, lowest_val:2000, count:8, block:block_heart, target:unit_all]    </v>
      </c>
      <c r="H50" s="61">
        <f t="shared" si="17"/>
        <v>9</v>
      </c>
      <c r="I50" s="61">
        <f t="shared" si="18"/>
        <v>25</v>
      </c>
      <c r="J50" s="61">
        <f t="shared" si="19"/>
        <v>88</v>
      </c>
      <c r="K50" s="61">
        <f t="shared" si="20"/>
        <v>34</v>
      </c>
      <c r="L50" s="61" t="str">
        <f>IFERROR(VLOOKUP(MID(G50,J50,K50-J50),[6]skilldef!$C:$D,2,FALSE),"-") &amp; " / " &amp; IFERROR(VLOOKUP(MID(G50,H50,I50-H50),[6]skilldef!$A:$B,2,FALSE),"-")</f>
        <v>- / -</v>
      </c>
      <c r="M50" s="61" t="str">
        <f t="shared" si="21"/>
        <v>none</v>
      </c>
      <c r="N50" s="46" t="str">
        <f>IFERROR(LEFT(M50,FIND("],",M50)+S55),M50)</f>
        <v>none</v>
      </c>
      <c r="O50" s="61" t="e">
        <f t="shared" si="23"/>
        <v>#VALUE!</v>
      </c>
      <c r="P50" s="61">
        <f t="shared" si="24"/>
        <v>4</v>
      </c>
      <c r="Q50" s="61" t="e">
        <f t="shared" si="25"/>
        <v>#VALUE!</v>
      </c>
      <c r="R50" s="61" t="e">
        <f t="shared" si="26"/>
        <v>#VALUE!</v>
      </c>
      <c r="S50" s="61" t="str">
        <f>IFERROR(VLOOKUP(MID(N50,Q50,R50-Q50),[6]skilldef!$C:$D,2,FALSE),"-") &amp; " / " &amp; IFERROR(VLOOKUP(MID(N50,O50,P50-O50),[6]skilldef!$A:$B,2,FALSE),"-")</f>
        <v>- / -</v>
      </c>
      <c r="T50" s="46" t="str">
        <f t="shared" si="27"/>
        <v>none</v>
      </c>
      <c r="U50" s="61" t="e">
        <f t="shared" si="28"/>
        <v>#VALUE!</v>
      </c>
      <c r="V50" s="61">
        <f t="shared" si="29"/>
        <v>4</v>
      </c>
      <c r="W50" s="61" t="e">
        <f t="shared" si="30"/>
        <v>#VALUE!</v>
      </c>
      <c r="X50" s="61" t="e">
        <f t="shared" si="31"/>
        <v>#VALUE!</v>
      </c>
      <c r="Y50" s="61" t="str">
        <f>IFERROR(VLOOKUP(MID(T50,W50,X50-W50),[6]skilldef!$C:$D,2,FALSE),"-") &amp; " / " &amp; IFERROR(VLOOKUP(MID(T50,U50,V50-U50),[6]skilldef!$A:$B,2,FALSE),"-")</f>
        <v>- / -</v>
      </c>
      <c r="Z50" s="48" t="s">
        <v>266</v>
      </c>
      <c r="AA50" s="50">
        <v>42531</v>
      </c>
      <c r="AB50" s="48" t="s">
        <v>262</v>
      </c>
    </row>
    <row r="51" spans="1:28" ht="21" customHeight="1" x14ac:dyDescent="0.15">
      <c r="A51" s="45">
        <v>39006050</v>
      </c>
      <c r="B51" s="121" t="s">
        <v>307</v>
      </c>
      <c r="C51" s="165">
        <v>3</v>
      </c>
      <c r="D51" s="48" t="s">
        <v>128</v>
      </c>
      <c r="E51" s="49" t="s">
        <v>508</v>
      </c>
      <c r="F51" s="49" t="s">
        <v>281</v>
      </c>
      <c r="G51" s="61" t="str">
        <f t="shared" si="16"/>
        <v xml:space="preserve">[effect:fix_speed, target:myself, turn:2]    </v>
      </c>
      <c r="H51" s="61">
        <f t="shared" si="17"/>
        <v>9</v>
      </c>
      <c r="I51" s="61">
        <f t="shared" si="18"/>
        <v>18</v>
      </c>
      <c r="J51" s="61">
        <f t="shared" si="19"/>
        <v>27</v>
      </c>
      <c r="K51" s="61">
        <f t="shared" si="20"/>
        <v>33</v>
      </c>
      <c r="L51" s="61" t="str">
        <f>IFERROR(VLOOKUP(MID(G51,J51,K51-J51),[6]skilldef!$C:$D,2,FALSE),"-") &amp; " / " &amp; IFERROR(VLOOKUP(MID(G51,H51,I51-H51),[6]skilldef!$A:$B,2,FALSE),"-")</f>
        <v>自分自身に / 行動値設定</v>
      </c>
      <c r="M51" s="61" t="str">
        <f t="shared" si="21"/>
        <v>none</v>
      </c>
      <c r="N51" s="46" t="str">
        <f>IFERROR(LEFT(M51,FIND("],",M51)+S56),M51)</f>
        <v>none</v>
      </c>
      <c r="O51" s="61" t="e">
        <f t="shared" si="23"/>
        <v>#VALUE!</v>
      </c>
      <c r="P51" s="61">
        <f t="shared" si="24"/>
        <v>4</v>
      </c>
      <c r="Q51" s="61" t="e">
        <f t="shared" si="25"/>
        <v>#VALUE!</v>
      </c>
      <c r="R51" s="61" t="e">
        <f t="shared" si="26"/>
        <v>#VALUE!</v>
      </c>
      <c r="S51" s="61" t="str">
        <f>IFERROR(VLOOKUP(MID(N51,Q51,R51-Q51),[6]skilldef!$C:$D,2,FALSE),"-") &amp; " / " &amp; IFERROR(VLOOKUP(MID(N51,O51,P51-O51),[6]skilldef!$A:$B,2,FALSE),"-")</f>
        <v>- / -</v>
      </c>
      <c r="T51" s="46" t="str">
        <f t="shared" si="27"/>
        <v>none</v>
      </c>
      <c r="U51" s="61" t="e">
        <f t="shared" si="28"/>
        <v>#VALUE!</v>
      </c>
      <c r="V51" s="61">
        <f t="shared" si="29"/>
        <v>4</v>
      </c>
      <c r="W51" s="61" t="e">
        <f t="shared" si="30"/>
        <v>#VALUE!</v>
      </c>
      <c r="X51" s="61" t="e">
        <f t="shared" si="31"/>
        <v>#VALUE!</v>
      </c>
      <c r="Y51" s="61" t="str">
        <f>IFERROR(VLOOKUP(MID(T51,W51,X51-W51),[6]skilldef!$C:$D,2,FALSE),"-") &amp; " / " &amp; IFERROR(VLOOKUP(MID(T51,U51,V51-U51),[6]skilldef!$A:$B,2,FALSE),"-")</f>
        <v>- / -</v>
      </c>
      <c r="Z51" s="48" t="s">
        <v>266</v>
      </c>
      <c r="AA51" s="50">
        <v>42531</v>
      </c>
      <c r="AB51" s="48" t="s">
        <v>263</v>
      </c>
    </row>
    <row r="52" spans="1:28" ht="21" customHeight="1" x14ac:dyDescent="0.15">
      <c r="A52" s="45">
        <v>39006051</v>
      </c>
      <c r="B52" s="121" t="s">
        <v>308</v>
      </c>
      <c r="C52" s="165">
        <v>3</v>
      </c>
      <c r="D52" s="48" t="s">
        <v>128</v>
      </c>
      <c r="E52" s="49" t="s">
        <v>515</v>
      </c>
      <c r="F52" s="49" t="s">
        <v>282</v>
      </c>
      <c r="G52" s="61" t="str">
        <f t="shared" si="16"/>
        <v xml:space="preserve">[effect:fix_speed, target:myself, turn:1]    </v>
      </c>
      <c r="H52" s="61">
        <f t="shared" si="17"/>
        <v>9</v>
      </c>
      <c r="I52" s="61">
        <f t="shared" si="18"/>
        <v>18</v>
      </c>
      <c r="J52" s="61">
        <f t="shared" si="19"/>
        <v>27</v>
      </c>
      <c r="K52" s="61">
        <f t="shared" si="20"/>
        <v>33</v>
      </c>
      <c r="L52" s="61" t="str">
        <f>IFERROR(VLOOKUP(MID(G52,J52,K52-J52),[6]skilldef!$C:$D,2,FALSE),"-") &amp; " / " &amp; IFERROR(VLOOKUP(MID(G52,H52,I52-H52),[6]skilldef!$A:$B,2,FALSE),"-")</f>
        <v>自分自身に / 行動値設定</v>
      </c>
      <c r="M52" s="61" t="str">
        <f t="shared" si="21"/>
        <v>none</v>
      </c>
      <c r="N52" s="46" t="str">
        <f>IFERROR(LEFT(M52,FIND("],",M52)+S57),M52)</f>
        <v>none</v>
      </c>
      <c r="O52" s="61" t="e">
        <f t="shared" si="23"/>
        <v>#VALUE!</v>
      </c>
      <c r="P52" s="61">
        <f t="shared" si="24"/>
        <v>4</v>
      </c>
      <c r="Q52" s="61" t="e">
        <f t="shared" si="25"/>
        <v>#VALUE!</v>
      </c>
      <c r="R52" s="61" t="e">
        <f t="shared" si="26"/>
        <v>#VALUE!</v>
      </c>
      <c r="S52" s="61" t="str">
        <f>IFERROR(VLOOKUP(MID(N52,Q52,R52-Q52),[6]skilldef!$C:$D,2,FALSE),"-") &amp; " / " &amp; IFERROR(VLOOKUP(MID(N52,O52,P52-O52),[6]skilldef!$A:$B,2,FALSE),"-")</f>
        <v>- / -</v>
      </c>
      <c r="T52" s="46" t="str">
        <f t="shared" si="27"/>
        <v>none</v>
      </c>
      <c r="U52" s="61" t="e">
        <f t="shared" si="28"/>
        <v>#VALUE!</v>
      </c>
      <c r="V52" s="61">
        <f t="shared" si="29"/>
        <v>4</v>
      </c>
      <c r="W52" s="61" t="e">
        <f t="shared" si="30"/>
        <v>#VALUE!</v>
      </c>
      <c r="X52" s="61" t="e">
        <f t="shared" si="31"/>
        <v>#VALUE!</v>
      </c>
      <c r="Y52" s="61" t="str">
        <f>IFERROR(VLOOKUP(MID(T52,W52,X52-W52),[6]skilldef!$C:$D,2,FALSE),"-") &amp; " / " &amp; IFERROR(VLOOKUP(MID(T52,U52,V52-U52),[6]skilldef!$A:$B,2,FALSE),"-")</f>
        <v>- / -</v>
      </c>
      <c r="Z52" s="48" t="s">
        <v>266</v>
      </c>
      <c r="AA52" s="50">
        <v>42531</v>
      </c>
      <c r="AB52" s="48" t="s">
        <v>265</v>
      </c>
    </row>
    <row r="53" spans="1:28" ht="21" customHeight="1" x14ac:dyDescent="0.15">
      <c r="A53" s="45">
        <v>39006052</v>
      </c>
      <c r="B53" s="121" t="s">
        <v>381</v>
      </c>
      <c r="C53" s="165">
        <v>3</v>
      </c>
      <c r="D53" s="48" t="s">
        <v>128</v>
      </c>
      <c r="E53" s="49" t="s">
        <v>388</v>
      </c>
      <c r="F53" s="49" t="s">
        <v>280</v>
      </c>
      <c r="G53" s="61" t="str">
        <f t="shared" si="16"/>
        <v xml:space="preserve">[effect:rush, count:2, val:0.7]    </v>
      </c>
      <c r="H53" s="61">
        <f t="shared" si="17"/>
        <v>9</v>
      </c>
      <c r="I53" s="61">
        <f t="shared" si="18"/>
        <v>13</v>
      </c>
      <c r="J53" s="61" t="e">
        <f t="shared" si="19"/>
        <v>#VALUE!</v>
      </c>
      <c r="K53" s="61">
        <f t="shared" si="20"/>
        <v>22</v>
      </c>
      <c r="L53" s="61" t="str">
        <f>IFERROR(VLOOKUP(MID(G53,J53,K53-J53),[6]skilldef!$C:$D,2,FALSE),"-") &amp; " / " &amp; IFERROR(VLOOKUP(MID(G53,H53,I53-H53),[6]skilldef!$A:$B,2,FALSE),"-")</f>
        <v>- / 連続攻撃</v>
      </c>
      <c r="M53" s="61" t="str">
        <f t="shared" si="21"/>
        <v>none</v>
      </c>
      <c r="N53" s="46" t="str">
        <f>IFERROR(LEFT(M53,FIND("],",M53)+S58),M53)</f>
        <v>none</v>
      </c>
      <c r="O53" s="61" t="e">
        <f t="shared" si="23"/>
        <v>#VALUE!</v>
      </c>
      <c r="P53" s="61">
        <f t="shared" si="24"/>
        <v>4</v>
      </c>
      <c r="Q53" s="61" t="e">
        <f t="shared" si="25"/>
        <v>#VALUE!</v>
      </c>
      <c r="R53" s="61" t="e">
        <f t="shared" si="26"/>
        <v>#VALUE!</v>
      </c>
      <c r="S53" s="61" t="str">
        <f>IFERROR(VLOOKUP(MID(N53,Q53,R53-Q53),[6]skilldef!$C:$D,2,FALSE),"-") &amp; " / " &amp; IFERROR(VLOOKUP(MID(N53,O53,P53-O53),[6]skilldef!$A:$B,2,FALSE),"-")</f>
        <v>- / -</v>
      </c>
      <c r="T53" s="46" t="str">
        <f t="shared" si="27"/>
        <v>none</v>
      </c>
      <c r="U53" s="61" t="e">
        <f t="shared" si="28"/>
        <v>#VALUE!</v>
      </c>
      <c r="V53" s="61">
        <f t="shared" si="29"/>
        <v>4</v>
      </c>
      <c r="W53" s="61" t="e">
        <f t="shared" si="30"/>
        <v>#VALUE!</v>
      </c>
      <c r="X53" s="61" t="e">
        <f t="shared" si="31"/>
        <v>#VALUE!</v>
      </c>
      <c r="Y53" s="61" t="str">
        <f>IFERROR(VLOOKUP(MID(T53,W53,X53-W53),[6]skilldef!$C:$D,2,FALSE),"-") &amp; " / " &amp; IFERROR(VLOOKUP(MID(T53,U53,V53-U53),[6]skilldef!$A:$B,2,FALSE),"-")</f>
        <v>- / -</v>
      </c>
      <c r="Z53" s="48" t="s">
        <v>266</v>
      </c>
      <c r="AA53" s="50">
        <v>42531</v>
      </c>
      <c r="AB53" s="48" t="s">
        <v>264</v>
      </c>
    </row>
    <row r="54" spans="1:28" s="171" customFormat="1" ht="21" customHeight="1" x14ac:dyDescent="0.15">
      <c r="A54" s="119">
        <v>39006053</v>
      </c>
      <c r="B54" s="167" t="s">
        <v>379</v>
      </c>
      <c r="C54" s="165">
        <v>3</v>
      </c>
      <c r="D54" s="168" t="s">
        <v>128</v>
      </c>
      <c r="E54" s="166" t="s">
        <v>412</v>
      </c>
      <c r="F54" s="169" t="s">
        <v>553</v>
      </c>
      <c r="G54" s="169" t="str">
        <f t="shared" ref="G54:G80" si="32">IFERROR(LEFT(B54,FIND("],",B54)),B54)</f>
        <v>[effect:ability_lock, target:unit_all, turn:1]</v>
      </c>
      <c r="H54" s="169">
        <f t="shared" ref="H54:H80" si="33">FIND("effect:",G54)+7</f>
        <v>9</v>
      </c>
      <c r="I54" s="169">
        <f t="shared" ref="I54:I80" si="34">IFERROR(FIND(",",G54),LEN(G54))</f>
        <v>21</v>
      </c>
      <c r="J54" s="169">
        <f t="shared" ref="J54:J80" si="35">FIND("target:",G54)+7</f>
        <v>30</v>
      </c>
      <c r="K54" s="169">
        <f t="shared" ref="K54:K80" si="36">FIND(",",G54,I54+1)</f>
        <v>38</v>
      </c>
      <c r="L54" s="169" t="str">
        <f>IFERROR(VLOOKUP(MID(G54,J54,K54-J54),[6]skilldef!$C:$D,2,FALSE),"-") &amp; " / " &amp; IFERROR(VLOOKUP(MID(G54,H54,I54-H54),[6]skilldef!$A:$B,2,FALSE),"-")</f>
        <v>味方全体に / -</v>
      </c>
      <c r="M54" s="169" t="str">
        <f t="shared" ref="M54:M80" si="37">IFERROR(RIGHT(B54,LEN(B54)-FIND("],",B54)-1),"none")</f>
        <v xml:space="preserve">[effect:sleep, target:unit_all, turn:1, rate:1, calc_type:target_all],[effect:fix_speed, target:myself, turn:1]    </v>
      </c>
      <c r="N54" s="119" t="str">
        <f t="shared" ref="N54:N60" si="38">IFERROR(LEFT(M54,FIND("],",M54)+S59),M54)</f>
        <v xml:space="preserve">[effect:sleep, target:unit_all, turn:1, rate:1, calc_type:target_all],[effect:fix_speed, target:myself, turn:1]    </v>
      </c>
      <c r="O54" s="169">
        <f t="shared" ref="O54:O80" si="39">FIND("effect:",N54)+7</f>
        <v>9</v>
      </c>
      <c r="P54" s="169">
        <f t="shared" ref="P54:P80" si="40">IFERROR(FIND(",",N54),LEN(N54))</f>
        <v>14</v>
      </c>
      <c r="Q54" s="169">
        <f t="shared" ref="Q54:Q80" si="41">FIND("target:",N54)+7</f>
        <v>23</v>
      </c>
      <c r="R54" s="169">
        <f t="shared" ref="R54:R80" si="42">FIND(",",N54,P54+1)</f>
        <v>31</v>
      </c>
      <c r="S54" s="169" t="str">
        <f>IFERROR(VLOOKUP(MID(N54,Q54,R54-Q54),[6]skilldef!$C:$D,2,FALSE),"-") &amp; " / " &amp; IFERROR(VLOOKUP(MID(N54,O54,P54-O54),[6]skilldef!$A:$B,2,FALSE),"-")</f>
        <v>味方全体に / スリープ</v>
      </c>
      <c r="T54" s="119" t="str">
        <f t="shared" ref="T54:T80" si="43">IFERROR(RIGHT(M54,LEN(M54)-FIND("],",M54)-1),"none")</f>
        <v xml:space="preserve">[effect:fix_speed, target:myself, turn:1]    </v>
      </c>
      <c r="U54" s="169">
        <f t="shared" ref="U54:U80" si="44">FIND("effect:",T54)+7</f>
        <v>9</v>
      </c>
      <c r="V54" s="169">
        <f t="shared" ref="V54:V80" si="45">IFERROR(FIND(",",T54),LEN(T54))</f>
        <v>18</v>
      </c>
      <c r="W54" s="169">
        <f t="shared" ref="W54:W80" si="46">FIND("target:",T54)+7</f>
        <v>27</v>
      </c>
      <c r="X54" s="169">
        <f t="shared" ref="X54:X80" si="47">FIND(",",T54,V54+1)</f>
        <v>33</v>
      </c>
      <c r="Y54" s="169" t="str">
        <f>IFERROR(VLOOKUP(MID(T54,W54,X54-W54),[6]skilldef!$C:$D,2,FALSE),"-") &amp; " / " &amp; IFERROR(VLOOKUP(MID(T54,U54,V54-U54),[6]skilldef!$A:$B,2,FALSE),"-")</f>
        <v>自分自身に / 行動値設定</v>
      </c>
      <c r="Z54" s="168" t="s">
        <v>266</v>
      </c>
      <c r="AA54" s="170">
        <v>42531</v>
      </c>
      <c r="AB54" s="168" t="s">
        <v>264</v>
      </c>
    </row>
    <row r="55" spans="1:28" s="171" customFormat="1" ht="21" customHeight="1" x14ac:dyDescent="0.15">
      <c r="A55" s="119">
        <v>39006054</v>
      </c>
      <c r="B55" s="167" t="s">
        <v>379</v>
      </c>
      <c r="C55" s="165">
        <v>3</v>
      </c>
      <c r="D55" s="168" t="s">
        <v>128</v>
      </c>
      <c r="E55" s="166" t="s">
        <v>413</v>
      </c>
      <c r="F55" s="169" t="s">
        <v>400</v>
      </c>
      <c r="G55" s="169" t="str">
        <f t="shared" si="32"/>
        <v>[effect:ability_lock, target:unit_all, turn:1]</v>
      </c>
      <c r="H55" s="169">
        <f t="shared" si="33"/>
        <v>9</v>
      </c>
      <c r="I55" s="169">
        <f t="shared" si="34"/>
        <v>21</v>
      </c>
      <c r="J55" s="169">
        <f t="shared" si="35"/>
        <v>30</v>
      </c>
      <c r="K55" s="169">
        <f t="shared" si="36"/>
        <v>38</v>
      </c>
      <c r="L55" s="169" t="str">
        <f>IFERROR(VLOOKUP(MID(G55,J55,K55-J55),[6]skilldef!$C:$D,2,FALSE),"-") &amp; " / " &amp; IFERROR(VLOOKUP(MID(G55,H55,I55-H55),[6]skilldef!$A:$B,2,FALSE),"-")</f>
        <v>味方全体に / -</v>
      </c>
      <c r="M55" s="169" t="str">
        <f t="shared" si="37"/>
        <v xml:space="preserve">[effect:sleep, target:unit_all, turn:1, rate:1, calc_type:target_all],[effect:fix_speed, target:myself, turn:1]    </v>
      </c>
      <c r="N55" s="119" t="str">
        <f t="shared" si="38"/>
        <v xml:space="preserve">[effect:sleep, target:unit_all, turn:1, rate:1, calc_type:target_all],[effect:fix_speed, target:myself, turn:1]    </v>
      </c>
      <c r="O55" s="169">
        <f t="shared" si="39"/>
        <v>9</v>
      </c>
      <c r="P55" s="169">
        <f t="shared" si="40"/>
        <v>14</v>
      </c>
      <c r="Q55" s="169">
        <f t="shared" si="41"/>
        <v>23</v>
      </c>
      <c r="R55" s="169">
        <f t="shared" si="42"/>
        <v>31</v>
      </c>
      <c r="S55" s="169" t="str">
        <f>IFERROR(VLOOKUP(MID(N55,Q55,R55-Q55),[6]skilldef!$C:$D,2,FALSE),"-") &amp; " / " &amp; IFERROR(VLOOKUP(MID(N55,O55,P55-O55),[6]skilldef!$A:$B,2,FALSE),"-")</f>
        <v>味方全体に / スリープ</v>
      </c>
      <c r="T55" s="119" t="str">
        <f t="shared" si="43"/>
        <v xml:space="preserve">[effect:fix_speed, target:myself, turn:1]    </v>
      </c>
      <c r="U55" s="169">
        <f t="shared" si="44"/>
        <v>9</v>
      </c>
      <c r="V55" s="169">
        <f t="shared" si="45"/>
        <v>18</v>
      </c>
      <c r="W55" s="169">
        <f t="shared" si="46"/>
        <v>27</v>
      </c>
      <c r="X55" s="169">
        <f t="shared" si="47"/>
        <v>33</v>
      </c>
      <c r="Y55" s="169" t="str">
        <f>IFERROR(VLOOKUP(MID(T55,W55,X55-W55),[6]skilldef!$C:$D,2,FALSE),"-") &amp; " / " &amp; IFERROR(VLOOKUP(MID(T55,U55,V55-U55),[6]skilldef!$A:$B,2,FALSE),"-")</f>
        <v>自分自身に / 行動値設定</v>
      </c>
      <c r="Z55" s="168" t="s">
        <v>266</v>
      </c>
      <c r="AA55" s="170">
        <v>42531</v>
      </c>
      <c r="AB55" s="168" t="s">
        <v>264</v>
      </c>
    </row>
    <row r="56" spans="1:28" s="171" customFormat="1" ht="21" customHeight="1" x14ac:dyDescent="0.15">
      <c r="A56" s="119">
        <v>39006055</v>
      </c>
      <c r="B56" s="167" t="s">
        <v>379</v>
      </c>
      <c r="C56" s="165">
        <v>3</v>
      </c>
      <c r="D56" s="168" t="s">
        <v>128</v>
      </c>
      <c r="E56" s="166" t="s">
        <v>411</v>
      </c>
      <c r="F56" s="169" t="s">
        <v>511</v>
      </c>
      <c r="G56" s="169" t="str">
        <f t="shared" si="32"/>
        <v>[effect:ability_lock, target:unit_all, turn:1]</v>
      </c>
      <c r="H56" s="169">
        <f t="shared" si="33"/>
        <v>9</v>
      </c>
      <c r="I56" s="169">
        <f t="shared" si="34"/>
        <v>21</v>
      </c>
      <c r="J56" s="169">
        <f t="shared" si="35"/>
        <v>30</v>
      </c>
      <c r="K56" s="169">
        <f t="shared" si="36"/>
        <v>38</v>
      </c>
      <c r="L56" s="169" t="str">
        <f>IFERROR(VLOOKUP(MID(G56,J56,K56-J56),[6]skilldef!$C:$D,2,FALSE),"-") &amp; " / " &amp; IFERROR(VLOOKUP(MID(G56,H56,I56-H56),[6]skilldef!$A:$B,2,FALSE),"-")</f>
        <v>味方全体に / -</v>
      </c>
      <c r="M56" s="169" t="str">
        <f t="shared" si="37"/>
        <v xml:space="preserve">[effect:sleep, target:unit_all, turn:1, rate:1, calc_type:target_all],[effect:fix_speed, target:myself, turn:1]    </v>
      </c>
      <c r="N56" s="119" t="str">
        <f t="shared" si="38"/>
        <v xml:space="preserve">[effect:sleep, target:unit_all, turn:1, rate:1, calc_type:target_all],[effect:fix_speed, target:myself, turn:1]    </v>
      </c>
      <c r="O56" s="169">
        <f t="shared" si="39"/>
        <v>9</v>
      </c>
      <c r="P56" s="169">
        <f t="shared" si="40"/>
        <v>14</v>
      </c>
      <c r="Q56" s="169">
        <f t="shared" si="41"/>
        <v>23</v>
      </c>
      <c r="R56" s="169">
        <f t="shared" si="42"/>
        <v>31</v>
      </c>
      <c r="S56" s="169" t="str">
        <f>IFERROR(VLOOKUP(MID(N56,Q56,R56-Q56),[6]skilldef!$C:$D,2,FALSE),"-") &amp; " / " &amp; IFERROR(VLOOKUP(MID(N56,O56,P56-O56),[6]skilldef!$A:$B,2,FALSE),"-")</f>
        <v>味方全体に / スリープ</v>
      </c>
      <c r="T56" s="119" t="str">
        <f t="shared" si="43"/>
        <v xml:space="preserve">[effect:fix_speed, target:myself, turn:1]    </v>
      </c>
      <c r="U56" s="169">
        <f t="shared" si="44"/>
        <v>9</v>
      </c>
      <c r="V56" s="169">
        <f t="shared" si="45"/>
        <v>18</v>
      </c>
      <c r="W56" s="169">
        <f t="shared" si="46"/>
        <v>27</v>
      </c>
      <c r="X56" s="169">
        <f t="shared" si="47"/>
        <v>33</v>
      </c>
      <c r="Y56" s="169" t="str">
        <f>IFERROR(VLOOKUP(MID(T56,W56,X56-W56),[6]skilldef!$C:$D,2,FALSE),"-") &amp; " / " &amp; IFERROR(VLOOKUP(MID(T56,U56,V56-U56),[6]skilldef!$A:$B,2,FALSE),"-")</f>
        <v>自分自身に / 行動値設定</v>
      </c>
      <c r="Z56" s="168" t="s">
        <v>266</v>
      </c>
      <c r="AA56" s="170">
        <v>42531</v>
      </c>
      <c r="AB56" s="168" t="s">
        <v>264</v>
      </c>
    </row>
    <row r="57" spans="1:28" s="171" customFormat="1" ht="21" customHeight="1" x14ac:dyDescent="0.15">
      <c r="A57" s="119">
        <v>39006056</v>
      </c>
      <c r="B57" s="167" t="s">
        <v>379</v>
      </c>
      <c r="C57" s="165">
        <v>3</v>
      </c>
      <c r="D57" s="168" t="s">
        <v>128</v>
      </c>
      <c r="E57" s="166" t="s">
        <v>408</v>
      </c>
      <c r="F57" s="169" t="s">
        <v>402</v>
      </c>
      <c r="G57" s="169" t="str">
        <f t="shared" si="32"/>
        <v>[effect:ability_lock, target:unit_all, turn:1]</v>
      </c>
      <c r="H57" s="169">
        <f t="shared" si="33"/>
        <v>9</v>
      </c>
      <c r="I57" s="169">
        <f t="shared" si="34"/>
        <v>21</v>
      </c>
      <c r="J57" s="169">
        <f t="shared" si="35"/>
        <v>30</v>
      </c>
      <c r="K57" s="169">
        <f t="shared" si="36"/>
        <v>38</v>
      </c>
      <c r="L57" s="169" t="str">
        <f>IFERROR(VLOOKUP(MID(G57,J57,K57-J57),[6]skilldef!$C:$D,2,FALSE),"-") &amp; " / " &amp; IFERROR(VLOOKUP(MID(G57,H57,I57-H57),[6]skilldef!$A:$B,2,FALSE),"-")</f>
        <v>味方全体に / -</v>
      </c>
      <c r="M57" s="169" t="str">
        <f t="shared" si="37"/>
        <v xml:space="preserve">[effect:sleep, target:unit_all, turn:1, rate:1, calc_type:target_all],[effect:fix_speed, target:myself, turn:1]    </v>
      </c>
      <c r="N57" s="119" t="str">
        <f t="shared" si="38"/>
        <v xml:space="preserve">[effect:sleep, target:unit_all, turn:1, rate:1, calc_type:target_all],[effect:fix_speed, target:myself, turn:1]    </v>
      </c>
      <c r="O57" s="169">
        <f t="shared" si="39"/>
        <v>9</v>
      </c>
      <c r="P57" s="169">
        <f t="shared" si="40"/>
        <v>14</v>
      </c>
      <c r="Q57" s="169">
        <f t="shared" si="41"/>
        <v>23</v>
      </c>
      <c r="R57" s="169">
        <f t="shared" si="42"/>
        <v>31</v>
      </c>
      <c r="S57" s="169" t="str">
        <f>IFERROR(VLOOKUP(MID(N57,Q57,R57-Q57),[6]skilldef!$C:$D,2,FALSE),"-") &amp; " / " &amp; IFERROR(VLOOKUP(MID(N57,O57,P57-O57),[6]skilldef!$A:$B,2,FALSE),"-")</f>
        <v>味方全体に / スリープ</v>
      </c>
      <c r="T57" s="119" t="str">
        <f t="shared" si="43"/>
        <v xml:space="preserve">[effect:fix_speed, target:myself, turn:1]    </v>
      </c>
      <c r="U57" s="169">
        <f t="shared" si="44"/>
        <v>9</v>
      </c>
      <c r="V57" s="169">
        <f t="shared" si="45"/>
        <v>18</v>
      </c>
      <c r="W57" s="169">
        <f t="shared" si="46"/>
        <v>27</v>
      </c>
      <c r="X57" s="169">
        <f t="shared" si="47"/>
        <v>33</v>
      </c>
      <c r="Y57" s="169" t="str">
        <f>IFERROR(VLOOKUP(MID(T57,W57,X57-W57),[6]skilldef!$C:$D,2,FALSE),"-") &amp; " / " &amp; IFERROR(VLOOKUP(MID(T57,U57,V57-U57),[6]skilldef!$A:$B,2,FALSE),"-")</f>
        <v>自分自身に / 行動値設定</v>
      </c>
      <c r="Z57" s="168" t="s">
        <v>266</v>
      </c>
      <c r="AA57" s="170">
        <v>42531</v>
      </c>
      <c r="AB57" s="168" t="s">
        <v>264</v>
      </c>
    </row>
    <row r="58" spans="1:28" s="171" customFormat="1" ht="21" customHeight="1" x14ac:dyDescent="0.15">
      <c r="A58" s="119">
        <v>39006057</v>
      </c>
      <c r="B58" s="167" t="s">
        <v>379</v>
      </c>
      <c r="C58" s="165">
        <v>3</v>
      </c>
      <c r="D58" s="168" t="s">
        <v>128</v>
      </c>
      <c r="E58" s="166" t="s">
        <v>414</v>
      </c>
      <c r="F58" s="169" t="s">
        <v>516</v>
      </c>
      <c r="G58" s="169" t="str">
        <f t="shared" si="32"/>
        <v>[effect:ability_lock, target:unit_all, turn:1]</v>
      </c>
      <c r="H58" s="169">
        <f t="shared" si="33"/>
        <v>9</v>
      </c>
      <c r="I58" s="169">
        <f t="shared" si="34"/>
        <v>21</v>
      </c>
      <c r="J58" s="169">
        <f t="shared" si="35"/>
        <v>30</v>
      </c>
      <c r="K58" s="169">
        <f t="shared" si="36"/>
        <v>38</v>
      </c>
      <c r="L58" s="169" t="str">
        <f>IFERROR(VLOOKUP(MID(G58,J58,K58-J58),[6]skilldef!$C:$D,2,FALSE),"-") &amp; " / " &amp; IFERROR(VLOOKUP(MID(G58,H58,I58-H58),[6]skilldef!$A:$B,2,FALSE),"-")</f>
        <v>味方全体に / -</v>
      </c>
      <c r="M58" s="169" t="str">
        <f t="shared" si="37"/>
        <v xml:space="preserve">[effect:sleep, target:unit_all, turn:1, rate:1, calc_type:target_all],[effect:fix_speed, target:myself, turn:1]    </v>
      </c>
      <c r="N58" s="119" t="str">
        <f t="shared" si="38"/>
        <v xml:space="preserve">[effect:sleep, target:unit_all, turn:1, rate:1, calc_type:target_all],[effect:fix_speed, target:myself, turn:1]    </v>
      </c>
      <c r="O58" s="169">
        <f t="shared" si="39"/>
        <v>9</v>
      </c>
      <c r="P58" s="169">
        <f t="shared" si="40"/>
        <v>14</v>
      </c>
      <c r="Q58" s="169">
        <f t="shared" si="41"/>
        <v>23</v>
      </c>
      <c r="R58" s="169">
        <f t="shared" si="42"/>
        <v>31</v>
      </c>
      <c r="S58" s="169" t="str">
        <f>IFERROR(VLOOKUP(MID(N58,Q58,R58-Q58),[6]skilldef!$C:$D,2,FALSE),"-") &amp; " / " &amp; IFERROR(VLOOKUP(MID(N58,O58,P58-O58),[6]skilldef!$A:$B,2,FALSE),"-")</f>
        <v>味方全体に / スリープ</v>
      </c>
      <c r="T58" s="119" t="str">
        <f t="shared" si="43"/>
        <v xml:space="preserve">[effect:fix_speed, target:myself, turn:1]    </v>
      </c>
      <c r="U58" s="169">
        <f t="shared" si="44"/>
        <v>9</v>
      </c>
      <c r="V58" s="169">
        <f t="shared" si="45"/>
        <v>18</v>
      </c>
      <c r="W58" s="169">
        <f t="shared" si="46"/>
        <v>27</v>
      </c>
      <c r="X58" s="169">
        <f t="shared" si="47"/>
        <v>33</v>
      </c>
      <c r="Y58" s="169" t="str">
        <f>IFERROR(VLOOKUP(MID(T58,W58,X58-W58),[6]skilldef!$C:$D,2,FALSE),"-") &amp; " / " &amp; IFERROR(VLOOKUP(MID(T58,U58,V58-U58),[6]skilldef!$A:$B,2,FALSE),"-")</f>
        <v>自分自身に / 行動値設定</v>
      </c>
      <c r="Z58" s="168" t="s">
        <v>266</v>
      </c>
      <c r="AA58" s="170">
        <v>42531</v>
      </c>
      <c r="AB58" s="168" t="s">
        <v>264</v>
      </c>
    </row>
    <row r="59" spans="1:28" s="171" customFormat="1" ht="21" customHeight="1" x14ac:dyDescent="0.15">
      <c r="A59" s="119">
        <v>39006058</v>
      </c>
      <c r="B59" s="167" t="s">
        <v>379</v>
      </c>
      <c r="C59" s="165">
        <v>3</v>
      </c>
      <c r="D59" s="168" t="s">
        <v>128</v>
      </c>
      <c r="E59" s="166" t="s">
        <v>415</v>
      </c>
      <c r="F59" s="169" t="s">
        <v>518</v>
      </c>
      <c r="G59" s="169" t="str">
        <f t="shared" si="32"/>
        <v>[effect:ability_lock, target:unit_all, turn:1]</v>
      </c>
      <c r="H59" s="169">
        <f t="shared" si="33"/>
        <v>9</v>
      </c>
      <c r="I59" s="169">
        <f t="shared" si="34"/>
        <v>21</v>
      </c>
      <c r="J59" s="169">
        <f t="shared" si="35"/>
        <v>30</v>
      </c>
      <c r="K59" s="169">
        <f t="shared" si="36"/>
        <v>38</v>
      </c>
      <c r="L59" s="169" t="str">
        <f>IFERROR(VLOOKUP(MID(G59,J59,K59-J59),[6]skilldef!$C:$D,2,FALSE),"-") &amp; " / " &amp; IFERROR(VLOOKUP(MID(G59,H59,I59-H59),[6]skilldef!$A:$B,2,FALSE),"-")</f>
        <v>味方全体に / -</v>
      </c>
      <c r="M59" s="169" t="str">
        <f t="shared" si="37"/>
        <v xml:space="preserve">[effect:sleep, target:unit_all, turn:1, rate:1, calc_type:target_all],[effect:fix_speed, target:myself, turn:1]    </v>
      </c>
      <c r="N59" s="119" t="str">
        <f t="shared" si="38"/>
        <v xml:space="preserve">[effect:sleep, target:unit_all, turn:1, rate:1, calc_type:target_all],[effect:fix_speed, target:myself, turn:1]    </v>
      </c>
      <c r="O59" s="169">
        <f t="shared" si="39"/>
        <v>9</v>
      </c>
      <c r="P59" s="169">
        <f t="shared" si="40"/>
        <v>14</v>
      </c>
      <c r="Q59" s="169">
        <f t="shared" si="41"/>
        <v>23</v>
      </c>
      <c r="R59" s="169">
        <f t="shared" si="42"/>
        <v>31</v>
      </c>
      <c r="S59" s="169" t="str">
        <f>IFERROR(VLOOKUP(MID(N59,Q59,R59-Q59),[6]skilldef!$C:$D,2,FALSE),"-") &amp; " / " &amp; IFERROR(VLOOKUP(MID(N59,O59,P59-O59),[6]skilldef!$A:$B,2,FALSE),"-")</f>
        <v>味方全体に / スリープ</v>
      </c>
      <c r="T59" s="119" t="str">
        <f t="shared" si="43"/>
        <v xml:space="preserve">[effect:fix_speed, target:myself, turn:1]    </v>
      </c>
      <c r="U59" s="169">
        <f t="shared" si="44"/>
        <v>9</v>
      </c>
      <c r="V59" s="169">
        <f t="shared" si="45"/>
        <v>18</v>
      </c>
      <c r="W59" s="169">
        <f t="shared" si="46"/>
        <v>27</v>
      </c>
      <c r="X59" s="169">
        <f t="shared" si="47"/>
        <v>33</v>
      </c>
      <c r="Y59" s="169" t="str">
        <f>IFERROR(VLOOKUP(MID(T59,W59,X59-W59),[6]skilldef!$C:$D,2,FALSE),"-") &amp; " / " &amp; IFERROR(VLOOKUP(MID(T59,U59,V59-U59),[6]skilldef!$A:$B,2,FALSE),"-")</f>
        <v>自分自身に / 行動値設定</v>
      </c>
      <c r="Z59" s="168" t="s">
        <v>266</v>
      </c>
      <c r="AA59" s="170">
        <v>42531</v>
      </c>
      <c r="AB59" s="168" t="s">
        <v>264</v>
      </c>
    </row>
    <row r="60" spans="1:28" s="171" customFormat="1" ht="21" customHeight="1" x14ac:dyDescent="0.15">
      <c r="A60" s="119">
        <v>39006059</v>
      </c>
      <c r="B60" s="167" t="s">
        <v>379</v>
      </c>
      <c r="C60" s="165">
        <v>3</v>
      </c>
      <c r="D60" s="168" t="s">
        <v>128</v>
      </c>
      <c r="E60" s="166" t="s">
        <v>410</v>
      </c>
      <c r="F60" s="169" t="s">
        <v>509</v>
      </c>
      <c r="G60" s="169" t="str">
        <f t="shared" si="32"/>
        <v>[effect:ability_lock, target:unit_all, turn:1]</v>
      </c>
      <c r="H60" s="169">
        <f t="shared" si="33"/>
        <v>9</v>
      </c>
      <c r="I60" s="169">
        <f t="shared" si="34"/>
        <v>21</v>
      </c>
      <c r="J60" s="169">
        <f t="shared" si="35"/>
        <v>30</v>
      </c>
      <c r="K60" s="169">
        <f t="shared" si="36"/>
        <v>38</v>
      </c>
      <c r="L60" s="169" t="str">
        <f>IFERROR(VLOOKUP(MID(G60,J60,K60-J60),[6]skilldef!$C:$D,2,FALSE),"-") &amp; " / " &amp; IFERROR(VLOOKUP(MID(G60,H60,I60-H60),[6]skilldef!$A:$B,2,FALSE),"-")</f>
        <v>味方全体に / -</v>
      </c>
      <c r="M60" s="169" t="str">
        <f t="shared" si="37"/>
        <v xml:space="preserve">[effect:sleep, target:unit_all, turn:1, rate:1, calc_type:target_all],[effect:fix_speed, target:myself, turn:1]    </v>
      </c>
      <c r="N60" s="119" t="str">
        <f t="shared" si="38"/>
        <v xml:space="preserve">[effect:sleep, target:unit_all, turn:1, rate:1, calc_type:target_all],[effect:fix_speed, target:myself, turn:1]    </v>
      </c>
      <c r="O60" s="169">
        <f t="shared" si="39"/>
        <v>9</v>
      </c>
      <c r="P60" s="169">
        <f t="shared" si="40"/>
        <v>14</v>
      </c>
      <c r="Q60" s="169">
        <f t="shared" si="41"/>
        <v>23</v>
      </c>
      <c r="R60" s="169">
        <f t="shared" si="42"/>
        <v>31</v>
      </c>
      <c r="S60" s="169" t="str">
        <f>IFERROR(VLOOKUP(MID(N60,Q60,R60-Q60),[6]skilldef!$C:$D,2,FALSE),"-") &amp; " / " &amp; IFERROR(VLOOKUP(MID(N60,O60,P60-O60),[6]skilldef!$A:$B,2,FALSE),"-")</f>
        <v>味方全体に / スリープ</v>
      </c>
      <c r="T60" s="119" t="str">
        <f t="shared" si="43"/>
        <v xml:space="preserve">[effect:fix_speed, target:myself, turn:1]    </v>
      </c>
      <c r="U60" s="169">
        <f t="shared" si="44"/>
        <v>9</v>
      </c>
      <c r="V60" s="169">
        <f t="shared" si="45"/>
        <v>18</v>
      </c>
      <c r="W60" s="169">
        <f t="shared" si="46"/>
        <v>27</v>
      </c>
      <c r="X60" s="169">
        <f t="shared" si="47"/>
        <v>33</v>
      </c>
      <c r="Y60" s="169" t="str">
        <f>IFERROR(VLOOKUP(MID(T60,W60,X60-W60),[6]skilldef!$C:$D,2,FALSE),"-") &amp; " / " &amp; IFERROR(VLOOKUP(MID(T60,U60,V60-U60),[6]skilldef!$A:$B,2,FALSE),"-")</f>
        <v>自分自身に / 行動値設定</v>
      </c>
      <c r="Z60" s="168" t="s">
        <v>266</v>
      </c>
      <c r="AA60" s="170">
        <v>42531</v>
      </c>
      <c r="AB60" s="168" t="s">
        <v>264</v>
      </c>
    </row>
    <row r="61" spans="1:28" s="171" customFormat="1" ht="21" customHeight="1" x14ac:dyDescent="0.15">
      <c r="A61" s="119">
        <v>39006060</v>
      </c>
      <c r="B61" s="167" t="s">
        <v>379</v>
      </c>
      <c r="C61" s="165">
        <v>3</v>
      </c>
      <c r="D61" s="168" t="s">
        <v>128</v>
      </c>
      <c r="E61" s="166" t="s">
        <v>409</v>
      </c>
      <c r="F61" s="169" t="s">
        <v>510</v>
      </c>
      <c r="G61" s="169" t="str">
        <f t="shared" si="32"/>
        <v>[effect:ability_lock, target:unit_all, turn:1]</v>
      </c>
      <c r="H61" s="169">
        <f t="shared" si="33"/>
        <v>9</v>
      </c>
      <c r="I61" s="169">
        <f t="shared" si="34"/>
        <v>21</v>
      </c>
      <c r="J61" s="169">
        <f t="shared" si="35"/>
        <v>30</v>
      </c>
      <c r="K61" s="169">
        <f t="shared" si="36"/>
        <v>38</v>
      </c>
      <c r="L61" s="169" t="str">
        <f>IFERROR(VLOOKUP(MID(G61,J61,K61-J61),[6]skilldef!$C:$D,2,FALSE),"-") &amp; " / " &amp; IFERROR(VLOOKUP(MID(G61,H61,I61-H61),[6]skilldef!$A:$B,2,FALSE),"-")</f>
        <v>味方全体に / -</v>
      </c>
      <c r="M61" s="169" t="str">
        <f t="shared" si="37"/>
        <v xml:space="preserve">[effect:sleep, target:unit_all, turn:1, rate:1, calc_type:target_all],[effect:fix_speed, target:myself, turn:1]    </v>
      </c>
      <c r="N61" s="119" t="str">
        <f>IFERROR(LEFT(M61,FIND("],",M61)+#REF!),M61)</f>
        <v xml:space="preserve">[effect:sleep, target:unit_all, turn:1, rate:1, calc_type:target_all],[effect:fix_speed, target:myself, turn:1]    </v>
      </c>
      <c r="O61" s="169">
        <f t="shared" si="39"/>
        <v>9</v>
      </c>
      <c r="P61" s="169">
        <f t="shared" si="40"/>
        <v>14</v>
      </c>
      <c r="Q61" s="169">
        <f t="shared" si="41"/>
        <v>23</v>
      </c>
      <c r="R61" s="169">
        <f t="shared" si="42"/>
        <v>31</v>
      </c>
      <c r="S61" s="169" t="str">
        <f>IFERROR(VLOOKUP(MID(N61,Q61,R61-Q61),[6]skilldef!$C:$D,2,FALSE),"-") &amp; " / " &amp; IFERROR(VLOOKUP(MID(N61,O61,P61-O61),[6]skilldef!$A:$B,2,FALSE),"-")</f>
        <v>味方全体に / スリープ</v>
      </c>
      <c r="T61" s="119" t="str">
        <f t="shared" si="43"/>
        <v xml:space="preserve">[effect:fix_speed, target:myself, turn:1]    </v>
      </c>
      <c r="U61" s="169">
        <f t="shared" si="44"/>
        <v>9</v>
      </c>
      <c r="V61" s="169">
        <f t="shared" si="45"/>
        <v>18</v>
      </c>
      <c r="W61" s="169">
        <f t="shared" si="46"/>
        <v>27</v>
      </c>
      <c r="X61" s="169">
        <f t="shared" si="47"/>
        <v>33</v>
      </c>
      <c r="Y61" s="169" t="str">
        <f>IFERROR(VLOOKUP(MID(T61,W61,X61-W61),[6]skilldef!$C:$D,2,FALSE),"-") &amp; " / " &amp; IFERROR(VLOOKUP(MID(T61,U61,V61-U61),[6]skilldef!$A:$B,2,FALSE),"-")</f>
        <v>自分自身に / 行動値設定</v>
      </c>
      <c r="Z61" s="168" t="s">
        <v>266</v>
      </c>
      <c r="AA61" s="170">
        <v>42531</v>
      </c>
      <c r="AB61" s="168" t="s">
        <v>264</v>
      </c>
    </row>
    <row r="62" spans="1:28" s="171" customFormat="1" ht="21" customHeight="1" x14ac:dyDescent="0.15">
      <c r="A62" s="119">
        <v>39006061</v>
      </c>
      <c r="B62" s="167" t="s">
        <v>379</v>
      </c>
      <c r="C62" s="165">
        <v>3</v>
      </c>
      <c r="D62" s="168" t="s">
        <v>128</v>
      </c>
      <c r="E62" s="166" t="s">
        <v>406</v>
      </c>
      <c r="F62" s="169" t="s">
        <v>389</v>
      </c>
      <c r="G62" s="169" t="str">
        <f t="shared" si="32"/>
        <v>[effect:ability_lock, target:unit_all, turn:1]</v>
      </c>
      <c r="H62" s="169">
        <f t="shared" si="33"/>
        <v>9</v>
      </c>
      <c r="I62" s="169">
        <f t="shared" si="34"/>
        <v>21</v>
      </c>
      <c r="J62" s="169">
        <f t="shared" si="35"/>
        <v>30</v>
      </c>
      <c r="K62" s="169">
        <f t="shared" si="36"/>
        <v>38</v>
      </c>
      <c r="L62" s="169" t="str">
        <f>IFERROR(VLOOKUP(MID(G62,J62,K62-J62),[6]skilldef!$C:$D,2,FALSE),"-") &amp; " / " &amp; IFERROR(VLOOKUP(MID(G62,H62,I62-H62),[6]skilldef!$A:$B,2,FALSE),"-")</f>
        <v>味方全体に / -</v>
      </c>
      <c r="M62" s="169" t="str">
        <f t="shared" si="37"/>
        <v xml:space="preserve">[effect:sleep, target:unit_all, turn:1, rate:1, calc_type:target_all],[effect:fix_speed, target:myself, turn:1]    </v>
      </c>
      <c r="N62" s="119" t="str">
        <f>IFERROR(LEFT(M62,FIND("],",M62)+S66),M62)</f>
        <v xml:space="preserve">[effect:sleep, target:unit_all, turn:1, rate:1, calc_type:target_all],[effect:fix_speed, target:myself, turn:1]    </v>
      </c>
      <c r="O62" s="169">
        <f t="shared" si="39"/>
        <v>9</v>
      </c>
      <c r="P62" s="169">
        <f t="shared" si="40"/>
        <v>14</v>
      </c>
      <c r="Q62" s="169">
        <f t="shared" si="41"/>
        <v>23</v>
      </c>
      <c r="R62" s="169">
        <f t="shared" si="42"/>
        <v>31</v>
      </c>
      <c r="S62" s="169" t="str">
        <f>IFERROR(VLOOKUP(MID(N62,Q62,R62-Q62),[6]skilldef!$C:$D,2,FALSE),"-") &amp; " / " &amp; IFERROR(VLOOKUP(MID(N62,O62,P62-O62),[6]skilldef!$A:$B,2,FALSE),"-")</f>
        <v>味方全体に / スリープ</v>
      </c>
      <c r="T62" s="119" t="str">
        <f t="shared" si="43"/>
        <v xml:space="preserve">[effect:fix_speed, target:myself, turn:1]    </v>
      </c>
      <c r="U62" s="169">
        <f t="shared" si="44"/>
        <v>9</v>
      </c>
      <c r="V62" s="169">
        <f t="shared" si="45"/>
        <v>18</v>
      </c>
      <c r="W62" s="169">
        <f t="shared" si="46"/>
        <v>27</v>
      </c>
      <c r="X62" s="169">
        <f t="shared" si="47"/>
        <v>33</v>
      </c>
      <c r="Y62" s="169" t="str">
        <f>IFERROR(VLOOKUP(MID(T62,W62,X62-W62),[6]skilldef!$C:$D,2,FALSE),"-") &amp; " / " &amp; IFERROR(VLOOKUP(MID(T62,U62,V62-U62),[6]skilldef!$A:$B,2,FALSE),"-")</f>
        <v>自分自身に / 行動値設定</v>
      </c>
      <c r="Z62" s="168" t="s">
        <v>266</v>
      </c>
      <c r="AA62" s="170">
        <v>42531</v>
      </c>
      <c r="AB62" s="168" t="s">
        <v>264</v>
      </c>
    </row>
    <row r="63" spans="1:28" s="171" customFormat="1" ht="21" customHeight="1" x14ac:dyDescent="0.15">
      <c r="A63" s="119">
        <v>39006062</v>
      </c>
      <c r="B63" s="167" t="s">
        <v>379</v>
      </c>
      <c r="C63" s="165">
        <v>3</v>
      </c>
      <c r="D63" s="168" t="s">
        <v>128</v>
      </c>
      <c r="E63" s="166" t="s">
        <v>405</v>
      </c>
      <c r="F63" s="169" t="s">
        <v>396</v>
      </c>
      <c r="G63" s="169" t="str">
        <f t="shared" si="32"/>
        <v>[effect:ability_lock, target:unit_all, turn:1]</v>
      </c>
      <c r="H63" s="169">
        <f t="shared" si="33"/>
        <v>9</v>
      </c>
      <c r="I63" s="169">
        <f t="shared" si="34"/>
        <v>21</v>
      </c>
      <c r="J63" s="169">
        <f t="shared" si="35"/>
        <v>30</v>
      </c>
      <c r="K63" s="169">
        <f t="shared" si="36"/>
        <v>38</v>
      </c>
      <c r="L63" s="169" t="str">
        <f>IFERROR(VLOOKUP(MID(G63,J63,K63-J63),[6]skilldef!$C:$D,2,FALSE),"-") &amp; " / " &amp; IFERROR(VLOOKUP(MID(G63,H63,I63-H63),[6]skilldef!$A:$B,2,FALSE),"-")</f>
        <v>味方全体に / -</v>
      </c>
      <c r="M63" s="169" t="str">
        <f t="shared" si="37"/>
        <v xml:space="preserve">[effect:sleep, target:unit_all, turn:1, rate:1, calc_type:target_all],[effect:fix_speed, target:myself, turn:1]    </v>
      </c>
      <c r="N63" s="119" t="str">
        <f>IFERROR(LEFT(M63,FIND("],",M63)+S67),M63)</f>
        <v xml:space="preserve">[effect:sleep, target:unit_all, turn:1, rate:1, calc_type:target_all],[effect:fix_speed, target:myself, turn:1]    </v>
      </c>
      <c r="O63" s="169">
        <f t="shared" si="39"/>
        <v>9</v>
      </c>
      <c r="P63" s="169">
        <f t="shared" si="40"/>
        <v>14</v>
      </c>
      <c r="Q63" s="169">
        <f t="shared" si="41"/>
        <v>23</v>
      </c>
      <c r="R63" s="169">
        <f t="shared" si="42"/>
        <v>31</v>
      </c>
      <c r="S63" s="169" t="str">
        <f>IFERROR(VLOOKUP(MID(N63,Q63,R63-Q63),[6]skilldef!$C:$D,2,FALSE),"-") &amp; " / " &amp; IFERROR(VLOOKUP(MID(N63,O63,P63-O63),[6]skilldef!$A:$B,2,FALSE),"-")</f>
        <v>味方全体に / スリープ</v>
      </c>
      <c r="T63" s="119" t="str">
        <f t="shared" si="43"/>
        <v xml:space="preserve">[effect:fix_speed, target:myself, turn:1]    </v>
      </c>
      <c r="U63" s="169">
        <f t="shared" si="44"/>
        <v>9</v>
      </c>
      <c r="V63" s="169">
        <f t="shared" si="45"/>
        <v>18</v>
      </c>
      <c r="W63" s="169">
        <f t="shared" si="46"/>
        <v>27</v>
      </c>
      <c r="X63" s="169">
        <f t="shared" si="47"/>
        <v>33</v>
      </c>
      <c r="Y63" s="169" t="str">
        <f>IFERROR(VLOOKUP(MID(T63,W63,X63-W63),[6]skilldef!$C:$D,2,FALSE),"-") &amp; " / " &amp; IFERROR(VLOOKUP(MID(T63,U63,V63-U63),[6]skilldef!$A:$B,2,FALSE),"-")</f>
        <v>自分自身に / 行動値設定</v>
      </c>
      <c r="Z63" s="168" t="s">
        <v>266</v>
      </c>
      <c r="AA63" s="170">
        <v>42531</v>
      </c>
      <c r="AB63" s="168" t="s">
        <v>264</v>
      </c>
    </row>
    <row r="64" spans="1:28" s="171" customFormat="1" ht="21" customHeight="1" x14ac:dyDescent="0.15">
      <c r="A64" s="119">
        <v>39006063</v>
      </c>
      <c r="B64" s="167" t="s">
        <v>379</v>
      </c>
      <c r="C64" s="165">
        <v>3</v>
      </c>
      <c r="D64" s="168" t="s">
        <v>128</v>
      </c>
      <c r="E64" s="166" t="s">
        <v>410</v>
      </c>
      <c r="F64" s="169" t="s">
        <v>519</v>
      </c>
      <c r="G64" s="169" t="str">
        <f t="shared" si="32"/>
        <v>[effect:ability_lock, target:unit_all, turn:1]</v>
      </c>
      <c r="H64" s="169">
        <f t="shared" si="33"/>
        <v>9</v>
      </c>
      <c r="I64" s="169">
        <f t="shared" si="34"/>
        <v>21</v>
      </c>
      <c r="J64" s="169">
        <f t="shared" si="35"/>
        <v>30</v>
      </c>
      <c r="K64" s="169">
        <f t="shared" si="36"/>
        <v>38</v>
      </c>
      <c r="L64" s="169" t="str">
        <f>IFERROR(VLOOKUP(MID(G64,J64,K64-J64),[6]skilldef!$C:$D,2,FALSE),"-") &amp; " / " &amp; IFERROR(VLOOKUP(MID(G64,H64,I64-H64),[6]skilldef!$A:$B,2,FALSE),"-")</f>
        <v>味方全体に / -</v>
      </c>
      <c r="M64" s="169" t="str">
        <f t="shared" si="37"/>
        <v xml:space="preserve">[effect:sleep, target:unit_all, turn:1, rate:1, calc_type:target_all],[effect:fix_speed, target:myself, turn:1]    </v>
      </c>
      <c r="N64" s="119" t="str">
        <f>IFERROR(LEFT(M64,FIND("],",M64)+S68),M64)</f>
        <v xml:space="preserve">[effect:sleep, target:unit_all, turn:1, rate:1, calc_type:target_all],[effect:fix_speed, target:myself, turn:1]    </v>
      </c>
      <c r="O64" s="169">
        <f t="shared" si="39"/>
        <v>9</v>
      </c>
      <c r="P64" s="169">
        <f t="shared" si="40"/>
        <v>14</v>
      </c>
      <c r="Q64" s="169">
        <f t="shared" si="41"/>
        <v>23</v>
      </c>
      <c r="R64" s="169">
        <f t="shared" si="42"/>
        <v>31</v>
      </c>
      <c r="S64" s="169" t="str">
        <f>IFERROR(VLOOKUP(MID(N64,Q64,R64-Q64),[6]skilldef!$C:$D,2,FALSE),"-") &amp; " / " &amp; IFERROR(VLOOKUP(MID(N64,O64,P64-O64),[6]skilldef!$A:$B,2,FALSE),"-")</f>
        <v>味方全体に / スリープ</v>
      </c>
      <c r="T64" s="119" t="str">
        <f t="shared" si="43"/>
        <v xml:space="preserve">[effect:fix_speed, target:myself, turn:1]    </v>
      </c>
      <c r="U64" s="169">
        <f t="shared" si="44"/>
        <v>9</v>
      </c>
      <c r="V64" s="169">
        <f t="shared" si="45"/>
        <v>18</v>
      </c>
      <c r="W64" s="169">
        <f t="shared" si="46"/>
        <v>27</v>
      </c>
      <c r="X64" s="169">
        <f t="shared" si="47"/>
        <v>33</v>
      </c>
      <c r="Y64" s="169" t="str">
        <f>IFERROR(VLOOKUP(MID(T64,W64,X64-W64),[6]skilldef!$C:$D,2,FALSE),"-") &amp; " / " &amp; IFERROR(VLOOKUP(MID(T64,U64,V64-U64),[6]skilldef!$A:$B,2,FALSE),"-")</f>
        <v>自分自身に / 行動値設定</v>
      </c>
      <c r="Z64" s="168" t="s">
        <v>266</v>
      </c>
      <c r="AA64" s="170">
        <v>42531</v>
      </c>
      <c r="AB64" s="168" t="s">
        <v>264</v>
      </c>
    </row>
    <row r="65" spans="1:28" s="171" customFormat="1" ht="21" customHeight="1" x14ac:dyDescent="0.15">
      <c r="A65" s="119">
        <v>39006064</v>
      </c>
      <c r="B65" s="167" t="s">
        <v>379</v>
      </c>
      <c r="C65" s="165">
        <v>3</v>
      </c>
      <c r="D65" s="168" t="s">
        <v>128</v>
      </c>
      <c r="E65" s="166" t="s">
        <v>416</v>
      </c>
      <c r="F65" s="169" t="s">
        <v>417</v>
      </c>
      <c r="G65" s="169" t="str">
        <f t="shared" si="32"/>
        <v>[effect:ability_lock, target:unit_all, turn:1]</v>
      </c>
      <c r="H65" s="169">
        <f t="shared" si="33"/>
        <v>9</v>
      </c>
      <c r="I65" s="169">
        <f t="shared" si="34"/>
        <v>21</v>
      </c>
      <c r="J65" s="169">
        <f t="shared" si="35"/>
        <v>30</v>
      </c>
      <c r="K65" s="169">
        <f t="shared" si="36"/>
        <v>38</v>
      </c>
      <c r="L65" s="169" t="str">
        <f>IFERROR(VLOOKUP(MID(G65,J65,K65-J65),[6]skilldef!$C:$D,2,FALSE),"-") &amp; " / " &amp; IFERROR(VLOOKUP(MID(G65,H65,I65-H65),[6]skilldef!$A:$B,2,FALSE),"-")</f>
        <v>味方全体に / -</v>
      </c>
      <c r="M65" s="169" t="str">
        <f t="shared" si="37"/>
        <v xml:space="preserve">[effect:sleep, target:unit_all, turn:1, rate:1, calc_type:target_all],[effect:fix_speed, target:myself, turn:1]    </v>
      </c>
      <c r="N65" s="119" t="str">
        <f>IFERROR(LEFT(M65,FIND("],",M65)+S69),M65)</f>
        <v xml:space="preserve">[effect:sleep, target:unit_all, turn:1, rate:1, calc_type:target_all],[effect:fix_speed, target:myself, turn:1]    </v>
      </c>
      <c r="O65" s="169">
        <f t="shared" si="39"/>
        <v>9</v>
      </c>
      <c r="P65" s="169">
        <f t="shared" si="40"/>
        <v>14</v>
      </c>
      <c r="Q65" s="169">
        <f t="shared" si="41"/>
        <v>23</v>
      </c>
      <c r="R65" s="169">
        <f t="shared" si="42"/>
        <v>31</v>
      </c>
      <c r="S65" s="169" t="str">
        <f>IFERROR(VLOOKUP(MID(N65,Q65,R65-Q65),[6]skilldef!$C:$D,2,FALSE),"-") &amp; " / " &amp; IFERROR(VLOOKUP(MID(N65,O65,P65-O65),[6]skilldef!$A:$B,2,FALSE),"-")</f>
        <v>味方全体に / スリープ</v>
      </c>
      <c r="T65" s="119" t="str">
        <f t="shared" si="43"/>
        <v xml:space="preserve">[effect:fix_speed, target:myself, turn:1]    </v>
      </c>
      <c r="U65" s="169">
        <f t="shared" si="44"/>
        <v>9</v>
      </c>
      <c r="V65" s="169">
        <f t="shared" si="45"/>
        <v>18</v>
      </c>
      <c r="W65" s="169">
        <f t="shared" si="46"/>
        <v>27</v>
      </c>
      <c r="X65" s="169">
        <f t="shared" si="47"/>
        <v>33</v>
      </c>
      <c r="Y65" s="169" t="str">
        <f>IFERROR(VLOOKUP(MID(T65,W65,X65-W65),[6]skilldef!$C:$D,2,FALSE),"-") &amp; " / " &amp; IFERROR(VLOOKUP(MID(T65,U65,V65-U65),[6]skilldef!$A:$B,2,FALSE),"-")</f>
        <v>自分自身に / 行動値設定</v>
      </c>
      <c r="Z65" s="168" t="s">
        <v>266</v>
      </c>
      <c r="AA65" s="170">
        <v>42531</v>
      </c>
      <c r="AB65" s="168" t="s">
        <v>264</v>
      </c>
    </row>
    <row r="66" spans="1:28" ht="21" customHeight="1" x14ac:dyDescent="0.15">
      <c r="A66" s="45">
        <v>39006065</v>
      </c>
      <c r="B66" s="182" t="s">
        <v>467</v>
      </c>
      <c r="C66" s="165">
        <v>3</v>
      </c>
      <c r="D66" s="48" t="s">
        <v>128</v>
      </c>
      <c r="E66" s="49" t="s">
        <v>503</v>
      </c>
      <c r="F66" s="49" t="s">
        <v>528</v>
      </c>
      <c r="G66" s="61" t="str">
        <f t="shared" si="32"/>
        <v xml:space="preserve">[effect:break_attack_fix, val:60, lowest_val:1500, count:5, block:block_red, target:unit_all]    </v>
      </c>
      <c r="H66" s="61">
        <f t="shared" si="33"/>
        <v>9</v>
      </c>
      <c r="I66" s="61">
        <f t="shared" si="34"/>
        <v>25</v>
      </c>
      <c r="J66" s="61">
        <f t="shared" si="35"/>
        <v>85</v>
      </c>
      <c r="K66" s="61">
        <f t="shared" si="36"/>
        <v>33</v>
      </c>
      <c r="L66" s="61" t="str">
        <f>IFERROR(VLOOKUP(MID(G66,J66,K66-J66),[6]skilldef!$C:$D,2,FALSE),"-") &amp; " / " &amp; IFERROR(VLOOKUP(MID(G66,H66,I66-H66),[6]skilldef!$A:$B,2,FALSE),"-")</f>
        <v>- / -</v>
      </c>
      <c r="M66" s="61" t="str">
        <f t="shared" si="37"/>
        <v>none</v>
      </c>
      <c r="N66" s="46" t="str">
        <f>IFERROR(LEFT(M66,FIND("],",M66)+#REF!),M66)</f>
        <v>none</v>
      </c>
      <c r="O66" s="61" t="e">
        <f t="shared" si="39"/>
        <v>#VALUE!</v>
      </c>
      <c r="P66" s="61">
        <f t="shared" si="40"/>
        <v>4</v>
      </c>
      <c r="Q66" s="61" t="e">
        <f t="shared" si="41"/>
        <v>#VALUE!</v>
      </c>
      <c r="R66" s="61" t="e">
        <f t="shared" si="42"/>
        <v>#VALUE!</v>
      </c>
      <c r="S66" s="61" t="str">
        <f>IFERROR(VLOOKUP(MID(N66,Q66,R66-Q66),[6]skilldef!$C:$D,2,FALSE),"-") &amp; " / " &amp; IFERROR(VLOOKUP(MID(N66,O66,P66-O66),[6]skilldef!$A:$B,2,FALSE),"-")</f>
        <v>- / -</v>
      </c>
      <c r="T66" s="46" t="str">
        <f t="shared" si="43"/>
        <v>none</v>
      </c>
      <c r="U66" s="61" t="e">
        <f t="shared" si="44"/>
        <v>#VALUE!</v>
      </c>
      <c r="V66" s="61">
        <f t="shared" si="45"/>
        <v>4</v>
      </c>
      <c r="W66" s="61" t="e">
        <f t="shared" si="46"/>
        <v>#VALUE!</v>
      </c>
      <c r="X66" s="61" t="e">
        <f t="shared" si="47"/>
        <v>#VALUE!</v>
      </c>
      <c r="Y66" s="61" t="str">
        <f>IFERROR(VLOOKUP(MID(T66,W66,X66-W66),[6]skilldef!$C:$D,2,FALSE),"-") &amp; " / " &amp; IFERROR(VLOOKUP(MID(T66,U66,V66-U66),[6]skilldef!$A:$B,2,FALSE),"-")</f>
        <v>- / -</v>
      </c>
      <c r="Z66" s="48" t="s">
        <v>266</v>
      </c>
      <c r="AA66" s="50">
        <v>42558</v>
      </c>
      <c r="AB66" s="48" t="s">
        <v>452</v>
      </c>
    </row>
    <row r="67" spans="1:28" ht="21" customHeight="1" x14ac:dyDescent="0.15">
      <c r="A67" s="45">
        <v>39006066</v>
      </c>
      <c r="B67" s="182" t="s">
        <v>468</v>
      </c>
      <c r="C67" s="165">
        <v>3</v>
      </c>
      <c r="D67" s="48" t="s">
        <v>128</v>
      </c>
      <c r="E67" s="49" t="s">
        <v>504</v>
      </c>
      <c r="F67" s="49" t="s">
        <v>529</v>
      </c>
      <c r="G67" s="61" t="str">
        <f t="shared" si="32"/>
        <v xml:space="preserve">[effect:break_attack_fix, val:60, lowest_val:1500, count:5, block:block_green, target:unit_all]    </v>
      </c>
      <c r="H67" s="61">
        <f t="shared" si="33"/>
        <v>9</v>
      </c>
      <c r="I67" s="61">
        <f t="shared" si="34"/>
        <v>25</v>
      </c>
      <c r="J67" s="61">
        <f t="shared" si="35"/>
        <v>87</v>
      </c>
      <c r="K67" s="61">
        <f t="shared" si="36"/>
        <v>33</v>
      </c>
      <c r="L67" s="61" t="str">
        <f>IFERROR(VLOOKUP(MID(G67,J67,K67-J67),[6]skilldef!$C:$D,2,FALSE),"-") &amp; " / " &amp; IFERROR(VLOOKUP(MID(G67,H67,I67-H67),[6]skilldef!$A:$B,2,FALSE),"-")</f>
        <v>- / -</v>
      </c>
      <c r="M67" s="61" t="str">
        <f t="shared" si="37"/>
        <v>none</v>
      </c>
      <c r="N67" s="46" t="str">
        <f>IFERROR(LEFT(M67,FIND("],",M67)+#REF!),M67)</f>
        <v>none</v>
      </c>
      <c r="O67" s="61" t="e">
        <f t="shared" si="39"/>
        <v>#VALUE!</v>
      </c>
      <c r="P67" s="61">
        <f t="shared" si="40"/>
        <v>4</v>
      </c>
      <c r="Q67" s="61" t="e">
        <f t="shared" si="41"/>
        <v>#VALUE!</v>
      </c>
      <c r="R67" s="61" t="e">
        <f t="shared" si="42"/>
        <v>#VALUE!</v>
      </c>
      <c r="S67" s="61" t="str">
        <f>IFERROR(VLOOKUP(MID(N67,Q67,R67-Q67),[6]skilldef!$C:$D,2,FALSE),"-") &amp; " / " &amp; IFERROR(VLOOKUP(MID(N67,O67,P67-O67),[6]skilldef!$A:$B,2,FALSE),"-")</f>
        <v>- / -</v>
      </c>
      <c r="T67" s="46" t="str">
        <f t="shared" si="43"/>
        <v>none</v>
      </c>
      <c r="U67" s="61" t="e">
        <f t="shared" si="44"/>
        <v>#VALUE!</v>
      </c>
      <c r="V67" s="61">
        <f t="shared" si="45"/>
        <v>4</v>
      </c>
      <c r="W67" s="61" t="e">
        <f t="shared" si="46"/>
        <v>#VALUE!</v>
      </c>
      <c r="X67" s="61" t="e">
        <f t="shared" si="47"/>
        <v>#VALUE!</v>
      </c>
      <c r="Y67" s="61" t="str">
        <f>IFERROR(VLOOKUP(MID(T67,W67,X67-W67),[6]skilldef!$C:$D,2,FALSE),"-") &amp; " / " &amp; IFERROR(VLOOKUP(MID(T67,U67,V67-U67),[6]skilldef!$A:$B,2,FALSE),"-")</f>
        <v>- / -</v>
      </c>
      <c r="Z67" s="48" t="s">
        <v>266</v>
      </c>
      <c r="AA67" s="50">
        <v>42558</v>
      </c>
      <c r="AB67" s="48" t="s">
        <v>453</v>
      </c>
    </row>
    <row r="68" spans="1:28" ht="21" customHeight="1" x14ac:dyDescent="0.15">
      <c r="A68" s="45">
        <v>39006067</v>
      </c>
      <c r="B68" s="182" t="s">
        <v>469</v>
      </c>
      <c r="C68" s="165">
        <v>3</v>
      </c>
      <c r="D68" s="48" t="s">
        <v>128</v>
      </c>
      <c r="E68" s="49" t="s">
        <v>505</v>
      </c>
      <c r="F68" s="49" t="s">
        <v>530</v>
      </c>
      <c r="G68" s="61" t="str">
        <f t="shared" si="32"/>
        <v xml:space="preserve">[effect:break_attack_fix, val:60, lowest_val:1500, count:5, block:block_blue, target:unit_all]      </v>
      </c>
      <c r="H68" s="61">
        <f t="shared" si="33"/>
        <v>9</v>
      </c>
      <c r="I68" s="61">
        <f t="shared" si="34"/>
        <v>25</v>
      </c>
      <c r="J68" s="61">
        <f t="shared" si="35"/>
        <v>86</v>
      </c>
      <c r="K68" s="61">
        <f t="shared" si="36"/>
        <v>33</v>
      </c>
      <c r="L68" s="61" t="str">
        <f>IFERROR(VLOOKUP(MID(G68,J68,K68-J68),[6]skilldef!$C:$D,2,FALSE),"-") &amp; " / " &amp; IFERROR(VLOOKUP(MID(G68,H68,I68-H68),[6]skilldef!$A:$B,2,FALSE),"-")</f>
        <v>- / -</v>
      </c>
      <c r="M68" s="61" t="str">
        <f t="shared" si="37"/>
        <v>none</v>
      </c>
      <c r="N68" s="46" t="str">
        <f>IFERROR(LEFT(M68,FIND("],",M68)+#REF!),M68)</f>
        <v>none</v>
      </c>
      <c r="O68" s="61" t="e">
        <f t="shared" si="39"/>
        <v>#VALUE!</v>
      </c>
      <c r="P68" s="61">
        <f t="shared" si="40"/>
        <v>4</v>
      </c>
      <c r="Q68" s="61" t="e">
        <f t="shared" si="41"/>
        <v>#VALUE!</v>
      </c>
      <c r="R68" s="61" t="e">
        <f t="shared" si="42"/>
        <v>#VALUE!</v>
      </c>
      <c r="S68" s="61" t="str">
        <f>IFERROR(VLOOKUP(MID(N68,Q68,R68-Q68),[6]skilldef!$C:$D,2,FALSE),"-") &amp; " / " &amp; IFERROR(VLOOKUP(MID(N68,O68,P68-O68),[6]skilldef!$A:$B,2,FALSE),"-")</f>
        <v>- / -</v>
      </c>
      <c r="T68" s="46" t="str">
        <f t="shared" si="43"/>
        <v>none</v>
      </c>
      <c r="U68" s="61" t="e">
        <f t="shared" si="44"/>
        <v>#VALUE!</v>
      </c>
      <c r="V68" s="61">
        <f t="shared" si="45"/>
        <v>4</v>
      </c>
      <c r="W68" s="61" t="e">
        <f t="shared" si="46"/>
        <v>#VALUE!</v>
      </c>
      <c r="X68" s="61" t="e">
        <f t="shared" si="47"/>
        <v>#VALUE!</v>
      </c>
      <c r="Y68" s="61" t="str">
        <f>IFERROR(VLOOKUP(MID(T68,W68,X68-W68),[6]skilldef!$C:$D,2,FALSE),"-") &amp; " / " &amp; IFERROR(VLOOKUP(MID(T68,U68,V68-U68),[6]skilldef!$A:$B,2,FALSE),"-")</f>
        <v>- / -</v>
      </c>
      <c r="Z68" s="48" t="s">
        <v>266</v>
      </c>
      <c r="AA68" s="50">
        <v>42558</v>
      </c>
      <c r="AB68" s="48" t="s">
        <v>454</v>
      </c>
    </row>
    <row r="69" spans="1:28" ht="21" customHeight="1" x14ac:dyDescent="0.15">
      <c r="A69" s="45">
        <v>39006068</v>
      </c>
      <c r="B69" s="182" t="s">
        <v>471</v>
      </c>
      <c r="C69" s="165">
        <v>3</v>
      </c>
      <c r="D69" s="48" t="s">
        <v>128</v>
      </c>
      <c r="E69" s="49" t="s">
        <v>506</v>
      </c>
      <c r="F69" s="49" t="s">
        <v>531</v>
      </c>
      <c r="G69" s="61" t="str">
        <f t="shared" si="32"/>
        <v xml:space="preserve">[effect:break_attack_fix, val:60, lowest_val:1500, count:5, block:block_yellow, target:unit_all]    </v>
      </c>
      <c r="H69" s="61">
        <f t="shared" si="33"/>
        <v>9</v>
      </c>
      <c r="I69" s="61">
        <f t="shared" si="34"/>
        <v>25</v>
      </c>
      <c r="J69" s="61">
        <f t="shared" si="35"/>
        <v>88</v>
      </c>
      <c r="K69" s="61">
        <f t="shared" si="36"/>
        <v>33</v>
      </c>
      <c r="L69" s="61" t="str">
        <f>IFERROR(VLOOKUP(MID(G69,J69,K69-J69),[6]skilldef!$C:$D,2,FALSE),"-") &amp; " / " &amp; IFERROR(VLOOKUP(MID(G69,H69,I69-H69),[6]skilldef!$A:$B,2,FALSE),"-")</f>
        <v>- / -</v>
      </c>
      <c r="M69" s="61" t="str">
        <f t="shared" si="37"/>
        <v>none</v>
      </c>
      <c r="N69" s="46" t="str">
        <f>IFERROR(LEFT(M69,FIND("],",M69)+S74),M69)</f>
        <v>none</v>
      </c>
      <c r="O69" s="61" t="e">
        <f t="shared" si="39"/>
        <v>#VALUE!</v>
      </c>
      <c r="P69" s="61">
        <f t="shared" si="40"/>
        <v>4</v>
      </c>
      <c r="Q69" s="61" t="e">
        <f t="shared" si="41"/>
        <v>#VALUE!</v>
      </c>
      <c r="R69" s="61" t="e">
        <f t="shared" si="42"/>
        <v>#VALUE!</v>
      </c>
      <c r="S69" s="61" t="str">
        <f>IFERROR(VLOOKUP(MID(N69,Q69,R69-Q69),[6]skilldef!$C:$D,2,FALSE),"-") &amp; " / " &amp; IFERROR(VLOOKUP(MID(N69,O69,P69-O69),[6]skilldef!$A:$B,2,FALSE),"-")</f>
        <v>- / -</v>
      </c>
      <c r="T69" s="46" t="str">
        <f t="shared" si="43"/>
        <v>none</v>
      </c>
      <c r="U69" s="61" t="e">
        <f t="shared" si="44"/>
        <v>#VALUE!</v>
      </c>
      <c r="V69" s="61">
        <f t="shared" si="45"/>
        <v>4</v>
      </c>
      <c r="W69" s="61" t="e">
        <f t="shared" si="46"/>
        <v>#VALUE!</v>
      </c>
      <c r="X69" s="61" t="e">
        <f t="shared" si="47"/>
        <v>#VALUE!</v>
      </c>
      <c r="Y69" s="61" t="str">
        <f>IFERROR(VLOOKUP(MID(T69,W69,X69-W69),[6]skilldef!$C:$D,2,FALSE),"-") &amp; " / " &amp; IFERROR(VLOOKUP(MID(T69,U69,V69-U69),[6]skilldef!$A:$B,2,FALSE),"-")</f>
        <v>- / -</v>
      </c>
      <c r="Z69" s="48" t="s">
        <v>266</v>
      </c>
      <c r="AA69" s="50">
        <v>42558</v>
      </c>
      <c r="AB69" s="48" t="s">
        <v>455</v>
      </c>
    </row>
    <row r="70" spans="1:28" ht="21" customHeight="1" x14ac:dyDescent="0.15">
      <c r="A70" s="45">
        <v>39006069</v>
      </c>
      <c r="B70" s="182" t="s">
        <v>470</v>
      </c>
      <c r="C70" s="165">
        <v>3</v>
      </c>
      <c r="D70" s="48" t="s">
        <v>128</v>
      </c>
      <c r="E70" s="49" t="s">
        <v>507</v>
      </c>
      <c r="F70" s="49" t="s">
        <v>532</v>
      </c>
      <c r="G70" s="61" t="str">
        <f t="shared" si="32"/>
        <v xml:space="preserve">[effect:break_attack_fix, val:60, lowest_val:1500, count:5, block:block_heart, target:unit_all]    </v>
      </c>
      <c r="H70" s="61">
        <f t="shared" si="33"/>
        <v>9</v>
      </c>
      <c r="I70" s="61">
        <f t="shared" si="34"/>
        <v>25</v>
      </c>
      <c r="J70" s="61">
        <f t="shared" si="35"/>
        <v>87</v>
      </c>
      <c r="K70" s="61">
        <f t="shared" si="36"/>
        <v>33</v>
      </c>
      <c r="L70" s="61" t="str">
        <f>IFERROR(VLOOKUP(MID(G70,J70,K70-J70),[6]skilldef!$C:$D,2,FALSE),"-") &amp; " / " &amp; IFERROR(VLOOKUP(MID(G70,H70,I70-H70),[6]skilldef!$A:$B,2,FALSE),"-")</f>
        <v>- / -</v>
      </c>
      <c r="M70" s="61" t="str">
        <f t="shared" si="37"/>
        <v>none</v>
      </c>
      <c r="N70" s="46" t="str">
        <f>IFERROR(LEFT(M70,FIND("],",M70)+S75),M70)</f>
        <v>none</v>
      </c>
      <c r="O70" s="61" t="e">
        <f t="shared" si="39"/>
        <v>#VALUE!</v>
      </c>
      <c r="P70" s="61">
        <f t="shared" si="40"/>
        <v>4</v>
      </c>
      <c r="Q70" s="61" t="e">
        <f t="shared" si="41"/>
        <v>#VALUE!</v>
      </c>
      <c r="R70" s="61" t="e">
        <f t="shared" si="42"/>
        <v>#VALUE!</v>
      </c>
      <c r="S70" s="61" t="str">
        <f>IFERROR(VLOOKUP(MID(N70,Q70,R70-Q70),[6]skilldef!$C:$D,2,FALSE),"-") &amp; " / " &amp; IFERROR(VLOOKUP(MID(N70,O70,P70-O70),[6]skilldef!$A:$B,2,FALSE),"-")</f>
        <v>- / -</v>
      </c>
      <c r="T70" s="46" t="str">
        <f t="shared" si="43"/>
        <v>none</v>
      </c>
      <c r="U70" s="61" t="e">
        <f t="shared" si="44"/>
        <v>#VALUE!</v>
      </c>
      <c r="V70" s="61">
        <f t="shared" si="45"/>
        <v>4</v>
      </c>
      <c r="W70" s="61" t="e">
        <f t="shared" si="46"/>
        <v>#VALUE!</v>
      </c>
      <c r="X70" s="61" t="e">
        <f t="shared" si="47"/>
        <v>#VALUE!</v>
      </c>
      <c r="Y70" s="61" t="str">
        <f>IFERROR(VLOOKUP(MID(T70,W70,X70-W70),[6]skilldef!$C:$D,2,FALSE),"-") &amp; " / " &amp; IFERROR(VLOOKUP(MID(T70,U70,V70-U70),[6]skilldef!$A:$B,2,FALSE),"-")</f>
        <v>- / -</v>
      </c>
      <c r="Z70" s="48" t="s">
        <v>266</v>
      </c>
      <c r="AA70" s="50">
        <v>42558</v>
      </c>
      <c r="AB70" s="48" t="s">
        <v>456</v>
      </c>
    </row>
    <row r="71" spans="1:28" ht="21" customHeight="1" x14ac:dyDescent="0.15">
      <c r="A71" s="45">
        <v>39006070</v>
      </c>
      <c r="B71" s="181" t="s">
        <v>477</v>
      </c>
      <c r="C71" s="165">
        <v>3</v>
      </c>
      <c r="D71" s="48" t="s">
        <v>128</v>
      </c>
      <c r="E71" s="49" t="s">
        <v>503</v>
      </c>
      <c r="F71" s="49" t="s">
        <v>533</v>
      </c>
      <c r="G71" s="61" t="str">
        <f t="shared" si="32"/>
        <v xml:space="preserve">[effect:break_attack_fix, val:80, lowest_val:1600, count:6, block:block_red, target:unit_all]    </v>
      </c>
      <c r="H71" s="61">
        <f t="shared" si="33"/>
        <v>9</v>
      </c>
      <c r="I71" s="61">
        <f t="shared" si="34"/>
        <v>25</v>
      </c>
      <c r="J71" s="61">
        <f t="shared" si="35"/>
        <v>85</v>
      </c>
      <c r="K71" s="61">
        <f t="shared" si="36"/>
        <v>33</v>
      </c>
      <c r="L71" s="61" t="str">
        <f>IFERROR(VLOOKUP(MID(G71,J71,K71-J71),[6]skilldef!$C:$D,2,FALSE),"-") &amp; " / " &amp; IFERROR(VLOOKUP(MID(G71,H71,I71-H71),[6]skilldef!$A:$B,2,FALSE),"-")</f>
        <v>- / -</v>
      </c>
      <c r="M71" s="61" t="str">
        <f t="shared" si="37"/>
        <v>none</v>
      </c>
      <c r="N71" s="46" t="str">
        <f>IFERROR(LEFT(M71,FIND("],",M71)+#REF!),M71)</f>
        <v>none</v>
      </c>
      <c r="O71" s="61" t="e">
        <f t="shared" si="39"/>
        <v>#VALUE!</v>
      </c>
      <c r="P71" s="61">
        <f t="shared" si="40"/>
        <v>4</v>
      </c>
      <c r="Q71" s="61" t="e">
        <f t="shared" si="41"/>
        <v>#VALUE!</v>
      </c>
      <c r="R71" s="61" t="e">
        <f t="shared" si="42"/>
        <v>#VALUE!</v>
      </c>
      <c r="S71" s="61" t="str">
        <f>IFERROR(VLOOKUP(MID(N71,Q71,R71-Q71),[6]skilldef!$C:$D,2,FALSE),"-") &amp; " / " &amp; IFERROR(VLOOKUP(MID(N71,O71,P71-O71),[6]skilldef!$A:$B,2,FALSE),"-")</f>
        <v>- / -</v>
      </c>
      <c r="T71" s="46" t="str">
        <f t="shared" si="43"/>
        <v>none</v>
      </c>
      <c r="U71" s="61" t="e">
        <f t="shared" si="44"/>
        <v>#VALUE!</v>
      </c>
      <c r="V71" s="61">
        <f t="shared" si="45"/>
        <v>4</v>
      </c>
      <c r="W71" s="61" t="e">
        <f t="shared" si="46"/>
        <v>#VALUE!</v>
      </c>
      <c r="X71" s="61" t="e">
        <f t="shared" si="47"/>
        <v>#VALUE!</v>
      </c>
      <c r="Y71" s="61" t="str">
        <f>IFERROR(VLOOKUP(MID(T71,W71,X71-W71),[6]skilldef!$C:$D,2,FALSE),"-") &amp; " / " &amp; IFERROR(VLOOKUP(MID(T71,U71,V71-U71),[6]skilldef!$A:$B,2,FALSE),"-")</f>
        <v>- / -</v>
      </c>
      <c r="Z71" s="48" t="s">
        <v>266</v>
      </c>
      <c r="AA71" s="50">
        <v>42558</v>
      </c>
      <c r="AB71" s="48" t="s">
        <v>457</v>
      </c>
    </row>
    <row r="72" spans="1:28" ht="21" customHeight="1" x14ac:dyDescent="0.15">
      <c r="A72" s="45">
        <v>39006071</v>
      </c>
      <c r="B72" s="181" t="s">
        <v>478</v>
      </c>
      <c r="C72" s="165">
        <v>3</v>
      </c>
      <c r="D72" s="48" t="s">
        <v>128</v>
      </c>
      <c r="E72" s="49" t="s">
        <v>504</v>
      </c>
      <c r="F72" s="49" t="s">
        <v>534</v>
      </c>
      <c r="G72" s="61" t="str">
        <f t="shared" si="32"/>
        <v xml:space="preserve">[effect:break_attack_fix, val:80, lowest_val:1600, count:6, block:block_green, target:unit_all]    </v>
      </c>
      <c r="H72" s="61">
        <f t="shared" si="33"/>
        <v>9</v>
      </c>
      <c r="I72" s="61">
        <f t="shared" si="34"/>
        <v>25</v>
      </c>
      <c r="J72" s="61">
        <f t="shared" si="35"/>
        <v>87</v>
      </c>
      <c r="K72" s="61">
        <f t="shared" si="36"/>
        <v>33</v>
      </c>
      <c r="L72" s="61" t="str">
        <f>IFERROR(VLOOKUP(MID(G72,J72,K72-J72),[6]skilldef!$C:$D,2,FALSE),"-") &amp; " / " &amp; IFERROR(VLOOKUP(MID(G72,H72,I72-H72),[6]skilldef!$A:$B,2,FALSE),"-")</f>
        <v>- / -</v>
      </c>
      <c r="M72" s="61" t="str">
        <f t="shared" si="37"/>
        <v>none</v>
      </c>
      <c r="N72" s="46" t="str">
        <f>IFERROR(LEFT(M72,FIND("],",M72)+#REF!),M72)</f>
        <v>none</v>
      </c>
      <c r="O72" s="61" t="e">
        <f t="shared" si="39"/>
        <v>#VALUE!</v>
      </c>
      <c r="P72" s="61">
        <f t="shared" si="40"/>
        <v>4</v>
      </c>
      <c r="Q72" s="61" t="e">
        <f t="shared" si="41"/>
        <v>#VALUE!</v>
      </c>
      <c r="R72" s="61" t="e">
        <f t="shared" si="42"/>
        <v>#VALUE!</v>
      </c>
      <c r="S72" s="61" t="str">
        <f>IFERROR(VLOOKUP(MID(N72,Q72,R72-Q72),[6]skilldef!$C:$D,2,FALSE),"-") &amp; " / " &amp; IFERROR(VLOOKUP(MID(N72,O72,P72-O72),[6]skilldef!$A:$B,2,FALSE),"-")</f>
        <v>- / -</v>
      </c>
      <c r="T72" s="46" t="str">
        <f t="shared" si="43"/>
        <v>none</v>
      </c>
      <c r="U72" s="61" t="e">
        <f t="shared" si="44"/>
        <v>#VALUE!</v>
      </c>
      <c r="V72" s="61">
        <f t="shared" si="45"/>
        <v>4</v>
      </c>
      <c r="W72" s="61" t="e">
        <f t="shared" si="46"/>
        <v>#VALUE!</v>
      </c>
      <c r="X72" s="61" t="e">
        <f t="shared" si="47"/>
        <v>#VALUE!</v>
      </c>
      <c r="Y72" s="61" t="str">
        <f>IFERROR(VLOOKUP(MID(T72,W72,X72-W72),[6]skilldef!$C:$D,2,FALSE),"-") &amp; " / " &amp; IFERROR(VLOOKUP(MID(T72,U72,V72-U72),[6]skilldef!$A:$B,2,FALSE),"-")</f>
        <v>- / -</v>
      </c>
      <c r="Z72" s="48" t="s">
        <v>266</v>
      </c>
      <c r="AA72" s="50">
        <v>42558</v>
      </c>
      <c r="AB72" s="48" t="s">
        <v>458</v>
      </c>
    </row>
    <row r="73" spans="1:28" ht="21" customHeight="1" x14ac:dyDescent="0.15">
      <c r="A73" s="45">
        <v>39006072</v>
      </c>
      <c r="B73" s="181" t="s">
        <v>479</v>
      </c>
      <c r="C73" s="165">
        <v>3</v>
      </c>
      <c r="D73" s="48" t="s">
        <v>128</v>
      </c>
      <c r="E73" s="49" t="s">
        <v>505</v>
      </c>
      <c r="F73" s="49" t="s">
        <v>535</v>
      </c>
      <c r="G73" s="61" t="str">
        <f t="shared" si="32"/>
        <v xml:space="preserve">[effect:break_attack_fix, val:80, lowest_val:1600, count:6, block:block_blue, target:unit_all]    </v>
      </c>
      <c r="H73" s="61">
        <f t="shared" si="33"/>
        <v>9</v>
      </c>
      <c r="I73" s="61">
        <f t="shared" si="34"/>
        <v>25</v>
      </c>
      <c r="J73" s="61">
        <f t="shared" si="35"/>
        <v>86</v>
      </c>
      <c r="K73" s="61">
        <f t="shared" si="36"/>
        <v>33</v>
      </c>
      <c r="L73" s="61" t="str">
        <f>IFERROR(VLOOKUP(MID(G73,J73,K73-J73),[6]skilldef!$C:$D,2,FALSE),"-") &amp; " / " &amp; IFERROR(VLOOKUP(MID(G73,H73,I73-H73),[6]skilldef!$A:$B,2,FALSE),"-")</f>
        <v>- / -</v>
      </c>
      <c r="M73" s="61" t="str">
        <f t="shared" si="37"/>
        <v>none</v>
      </c>
      <c r="N73" s="46" t="str">
        <f>IFERROR(LEFT(M73,FIND("],",M73)+#REF!),M73)</f>
        <v>none</v>
      </c>
      <c r="O73" s="61" t="e">
        <f t="shared" si="39"/>
        <v>#VALUE!</v>
      </c>
      <c r="P73" s="61">
        <f t="shared" si="40"/>
        <v>4</v>
      </c>
      <c r="Q73" s="61" t="e">
        <f t="shared" si="41"/>
        <v>#VALUE!</v>
      </c>
      <c r="R73" s="61" t="e">
        <f t="shared" si="42"/>
        <v>#VALUE!</v>
      </c>
      <c r="S73" s="61" t="str">
        <f>IFERROR(VLOOKUP(MID(N73,Q73,R73-Q73),[6]skilldef!$C:$D,2,FALSE),"-") &amp; " / " &amp; IFERROR(VLOOKUP(MID(N73,O73,P73-O73),[6]skilldef!$A:$B,2,FALSE),"-")</f>
        <v>- / -</v>
      </c>
      <c r="T73" s="46" t="str">
        <f t="shared" si="43"/>
        <v>none</v>
      </c>
      <c r="U73" s="61" t="e">
        <f t="shared" si="44"/>
        <v>#VALUE!</v>
      </c>
      <c r="V73" s="61">
        <f t="shared" si="45"/>
        <v>4</v>
      </c>
      <c r="W73" s="61" t="e">
        <f t="shared" si="46"/>
        <v>#VALUE!</v>
      </c>
      <c r="X73" s="61" t="e">
        <f t="shared" si="47"/>
        <v>#VALUE!</v>
      </c>
      <c r="Y73" s="61" t="str">
        <f>IFERROR(VLOOKUP(MID(T73,W73,X73-W73),[6]skilldef!$C:$D,2,FALSE),"-") &amp; " / " &amp; IFERROR(VLOOKUP(MID(T73,U73,V73-U73),[6]skilldef!$A:$B,2,FALSE),"-")</f>
        <v>- / -</v>
      </c>
      <c r="Z73" s="48" t="s">
        <v>266</v>
      </c>
      <c r="AA73" s="50">
        <v>42558</v>
      </c>
      <c r="AB73" s="48" t="s">
        <v>459</v>
      </c>
    </row>
    <row r="74" spans="1:28" ht="21" customHeight="1" x14ac:dyDescent="0.15">
      <c r="A74" s="45">
        <v>39006073</v>
      </c>
      <c r="B74" s="181" t="s">
        <v>480</v>
      </c>
      <c r="C74" s="165">
        <v>3</v>
      </c>
      <c r="D74" s="48" t="s">
        <v>128</v>
      </c>
      <c r="E74" s="49" t="s">
        <v>506</v>
      </c>
      <c r="F74" s="49" t="s">
        <v>536</v>
      </c>
      <c r="G74" s="61" t="str">
        <f t="shared" si="32"/>
        <v xml:space="preserve">[effect:break_attack_fix, val:80, lowest_val:1600, count:6, block:block_yellow, target:unit_all]    </v>
      </c>
      <c r="H74" s="61">
        <f t="shared" si="33"/>
        <v>9</v>
      </c>
      <c r="I74" s="61">
        <f t="shared" si="34"/>
        <v>25</v>
      </c>
      <c r="J74" s="61">
        <f t="shared" si="35"/>
        <v>88</v>
      </c>
      <c r="K74" s="61">
        <f t="shared" si="36"/>
        <v>33</v>
      </c>
      <c r="L74" s="61" t="str">
        <f>IFERROR(VLOOKUP(MID(G74,J74,K74-J74),[6]skilldef!$C:$D,2,FALSE),"-") &amp; " / " &amp; IFERROR(VLOOKUP(MID(G74,H74,I74-H74),[6]skilldef!$A:$B,2,FALSE),"-")</f>
        <v>- / -</v>
      </c>
      <c r="M74" s="61" t="str">
        <f t="shared" si="37"/>
        <v>none</v>
      </c>
      <c r="N74" s="46" t="str">
        <f>IFERROR(LEFT(M74,FIND("],",M74)+S79),M74)</f>
        <v>none</v>
      </c>
      <c r="O74" s="61" t="e">
        <f t="shared" si="39"/>
        <v>#VALUE!</v>
      </c>
      <c r="P74" s="61">
        <f t="shared" si="40"/>
        <v>4</v>
      </c>
      <c r="Q74" s="61" t="e">
        <f t="shared" si="41"/>
        <v>#VALUE!</v>
      </c>
      <c r="R74" s="61" t="e">
        <f t="shared" si="42"/>
        <v>#VALUE!</v>
      </c>
      <c r="S74" s="61" t="str">
        <f>IFERROR(VLOOKUP(MID(N74,Q74,R74-Q74),[6]skilldef!$C:$D,2,FALSE),"-") &amp; " / " &amp; IFERROR(VLOOKUP(MID(N74,O74,P74-O74),[6]skilldef!$A:$B,2,FALSE),"-")</f>
        <v>- / -</v>
      </c>
      <c r="T74" s="46" t="str">
        <f t="shared" si="43"/>
        <v>none</v>
      </c>
      <c r="U74" s="61" t="e">
        <f t="shared" si="44"/>
        <v>#VALUE!</v>
      </c>
      <c r="V74" s="61">
        <f t="shared" si="45"/>
        <v>4</v>
      </c>
      <c r="W74" s="61" t="e">
        <f t="shared" si="46"/>
        <v>#VALUE!</v>
      </c>
      <c r="X74" s="61" t="e">
        <f t="shared" si="47"/>
        <v>#VALUE!</v>
      </c>
      <c r="Y74" s="61" t="str">
        <f>IFERROR(VLOOKUP(MID(T74,W74,X74-W74),[6]skilldef!$C:$D,2,FALSE),"-") &amp; " / " &amp; IFERROR(VLOOKUP(MID(T74,U74,V74-U74),[6]skilldef!$A:$B,2,FALSE),"-")</f>
        <v>- / -</v>
      </c>
      <c r="Z74" s="48" t="s">
        <v>266</v>
      </c>
      <c r="AA74" s="50">
        <v>42558</v>
      </c>
      <c r="AB74" s="48" t="s">
        <v>460</v>
      </c>
    </row>
    <row r="75" spans="1:28" ht="21" customHeight="1" x14ac:dyDescent="0.15">
      <c r="A75" s="45">
        <v>39006074</v>
      </c>
      <c r="B75" s="181" t="s">
        <v>481</v>
      </c>
      <c r="C75" s="165">
        <v>3</v>
      </c>
      <c r="D75" s="48" t="s">
        <v>128</v>
      </c>
      <c r="E75" s="49" t="s">
        <v>507</v>
      </c>
      <c r="F75" s="49" t="s">
        <v>537</v>
      </c>
      <c r="G75" s="61" t="str">
        <f t="shared" si="32"/>
        <v xml:space="preserve">[effect:break_attack_fix, val:80, lowest_val:1600, count:6, block:block_heart, target:unit_all]    </v>
      </c>
      <c r="H75" s="61">
        <f t="shared" si="33"/>
        <v>9</v>
      </c>
      <c r="I75" s="61">
        <f t="shared" si="34"/>
        <v>25</v>
      </c>
      <c r="J75" s="61">
        <f t="shared" si="35"/>
        <v>87</v>
      </c>
      <c r="K75" s="61">
        <f t="shared" si="36"/>
        <v>33</v>
      </c>
      <c r="L75" s="61" t="str">
        <f>IFERROR(VLOOKUP(MID(G75,J75,K75-J75),[6]skilldef!$C:$D,2,FALSE),"-") &amp; " / " &amp; IFERROR(VLOOKUP(MID(G75,H75,I75-H75),[6]skilldef!$A:$B,2,FALSE),"-")</f>
        <v>- / -</v>
      </c>
      <c r="M75" s="61" t="str">
        <f t="shared" si="37"/>
        <v>none</v>
      </c>
      <c r="N75" s="46" t="str">
        <f>IFERROR(LEFT(M75,FIND("],",M75)+S80),M75)</f>
        <v>none</v>
      </c>
      <c r="O75" s="61" t="e">
        <f t="shared" si="39"/>
        <v>#VALUE!</v>
      </c>
      <c r="P75" s="61">
        <f t="shared" si="40"/>
        <v>4</v>
      </c>
      <c r="Q75" s="61" t="e">
        <f t="shared" si="41"/>
        <v>#VALUE!</v>
      </c>
      <c r="R75" s="61" t="e">
        <f t="shared" si="42"/>
        <v>#VALUE!</v>
      </c>
      <c r="S75" s="61" t="str">
        <f>IFERROR(VLOOKUP(MID(N75,Q75,R75-Q75),[6]skilldef!$C:$D,2,FALSE),"-") &amp; " / " &amp; IFERROR(VLOOKUP(MID(N75,O75,P75-O75),[6]skilldef!$A:$B,2,FALSE),"-")</f>
        <v>- / -</v>
      </c>
      <c r="T75" s="46" t="str">
        <f t="shared" si="43"/>
        <v>none</v>
      </c>
      <c r="U75" s="61" t="e">
        <f t="shared" si="44"/>
        <v>#VALUE!</v>
      </c>
      <c r="V75" s="61">
        <f t="shared" si="45"/>
        <v>4</v>
      </c>
      <c r="W75" s="61" t="e">
        <f t="shared" si="46"/>
        <v>#VALUE!</v>
      </c>
      <c r="X75" s="61" t="e">
        <f t="shared" si="47"/>
        <v>#VALUE!</v>
      </c>
      <c r="Y75" s="61" t="str">
        <f>IFERROR(VLOOKUP(MID(T75,W75,X75-W75),[6]skilldef!$C:$D,2,FALSE),"-") &amp; " / " &amp; IFERROR(VLOOKUP(MID(T75,U75,V75-U75),[6]skilldef!$A:$B,2,FALSE),"-")</f>
        <v>- / -</v>
      </c>
      <c r="Z75" s="48" t="s">
        <v>266</v>
      </c>
      <c r="AA75" s="50">
        <v>42558</v>
      </c>
      <c r="AB75" s="48" t="s">
        <v>461</v>
      </c>
    </row>
    <row r="76" spans="1:28" ht="21" customHeight="1" x14ac:dyDescent="0.15">
      <c r="A76" s="45">
        <v>39006075</v>
      </c>
      <c r="B76" s="180" t="s">
        <v>472</v>
      </c>
      <c r="C76" s="165">
        <v>3</v>
      </c>
      <c r="D76" s="48" t="s">
        <v>128</v>
      </c>
      <c r="E76" s="49" t="s">
        <v>503</v>
      </c>
      <c r="F76" s="49" t="s">
        <v>538</v>
      </c>
      <c r="G76" s="61" t="str">
        <f t="shared" si="32"/>
        <v xml:space="preserve">[effect:break_attack_fix, val:100, lowest_val:1800, count:7, block:block_red, target:unit_all]    </v>
      </c>
      <c r="H76" s="61">
        <f t="shared" si="33"/>
        <v>9</v>
      </c>
      <c r="I76" s="61">
        <f t="shared" si="34"/>
        <v>25</v>
      </c>
      <c r="J76" s="61">
        <f t="shared" si="35"/>
        <v>86</v>
      </c>
      <c r="K76" s="61">
        <f t="shared" si="36"/>
        <v>34</v>
      </c>
      <c r="L76" s="61" t="str">
        <f>IFERROR(VLOOKUP(MID(G76,J76,K76-J76),[6]skilldef!$C:$D,2,FALSE),"-") &amp; " / " &amp; IFERROR(VLOOKUP(MID(G76,H76,I76-H76),[6]skilldef!$A:$B,2,FALSE),"-")</f>
        <v>- / -</v>
      </c>
      <c r="M76" s="61" t="str">
        <f t="shared" si="37"/>
        <v>none</v>
      </c>
      <c r="N76" s="46" t="str">
        <f>IFERROR(LEFT(M76,FIND("],",M76)+#REF!),M76)</f>
        <v>none</v>
      </c>
      <c r="O76" s="61" t="e">
        <f t="shared" si="39"/>
        <v>#VALUE!</v>
      </c>
      <c r="P76" s="61">
        <f t="shared" si="40"/>
        <v>4</v>
      </c>
      <c r="Q76" s="61" t="e">
        <f t="shared" si="41"/>
        <v>#VALUE!</v>
      </c>
      <c r="R76" s="61" t="e">
        <f t="shared" si="42"/>
        <v>#VALUE!</v>
      </c>
      <c r="S76" s="61" t="str">
        <f>IFERROR(VLOOKUP(MID(N76,Q76,R76-Q76),[6]skilldef!$C:$D,2,FALSE),"-") &amp; " / " &amp; IFERROR(VLOOKUP(MID(N76,O76,P76-O76),[6]skilldef!$A:$B,2,FALSE),"-")</f>
        <v>- / -</v>
      </c>
      <c r="T76" s="46" t="str">
        <f t="shared" si="43"/>
        <v>none</v>
      </c>
      <c r="U76" s="61" t="e">
        <f t="shared" si="44"/>
        <v>#VALUE!</v>
      </c>
      <c r="V76" s="61">
        <f t="shared" si="45"/>
        <v>4</v>
      </c>
      <c r="W76" s="61" t="e">
        <f t="shared" si="46"/>
        <v>#VALUE!</v>
      </c>
      <c r="X76" s="61" t="e">
        <f t="shared" si="47"/>
        <v>#VALUE!</v>
      </c>
      <c r="Y76" s="61" t="str">
        <f>IFERROR(VLOOKUP(MID(T76,W76,X76-W76),[6]skilldef!$C:$D,2,FALSE),"-") &amp; " / " &amp; IFERROR(VLOOKUP(MID(T76,U76,V76-U76),[6]skilldef!$A:$B,2,FALSE),"-")</f>
        <v>- / -</v>
      </c>
      <c r="Z76" s="48" t="s">
        <v>266</v>
      </c>
      <c r="AA76" s="50">
        <v>42558</v>
      </c>
      <c r="AB76" s="48" t="s">
        <v>462</v>
      </c>
    </row>
    <row r="77" spans="1:28" ht="21" customHeight="1" x14ac:dyDescent="0.15">
      <c r="A77" s="45">
        <v>39006076</v>
      </c>
      <c r="B77" s="180" t="s">
        <v>473</v>
      </c>
      <c r="C77" s="165">
        <v>3</v>
      </c>
      <c r="D77" s="48" t="s">
        <v>128</v>
      </c>
      <c r="E77" s="49" t="s">
        <v>504</v>
      </c>
      <c r="F77" s="49" t="s">
        <v>539</v>
      </c>
      <c r="G77" s="61" t="str">
        <f t="shared" si="32"/>
        <v xml:space="preserve">[effect:break_attack_fix, val:100, lowest_val:1800, count:7, block:block_green, target:unit_all]    </v>
      </c>
      <c r="H77" s="61">
        <f t="shared" si="33"/>
        <v>9</v>
      </c>
      <c r="I77" s="61">
        <f t="shared" si="34"/>
        <v>25</v>
      </c>
      <c r="J77" s="61">
        <f t="shared" si="35"/>
        <v>88</v>
      </c>
      <c r="K77" s="61">
        <f t="shared" si="36"/>
        <v>34</v>
      </c>
      <c r="L77" s="61" t="str">
        <f>IFERROR(VLOOKUP(MID(G77,J77,K77-J77),[6]skilldef!$C:$D,2,FALSE),"-") &amp; " / " &amp; IFERROR(VLOOKUP(MID(G77,H77,I77-H77),[6]skilldef!$A:$B,2,FALSE),"-")</f>
        <v>- / -</v>
      </c>
      <c r="M77" s="61" t="str">
        <f t="shared" si="37"/>
        <v>none</v>
      </c>
      <c r="N77" s="46" t="str">
        <f>IFERROR(LEFT(M77,FIND("],",M77)+#REF!),M77)</f>
        <v>none</v>
      </c>
      <c r="O77" s="61" t="e">
        <f t="shared" si="39"/>
        <v>#VALUE!</v>
      </c>
      <c r="P77" s="61">
        <f t="shared" si="40"/>
        <v>4</v>
      </c>
      <c r="Q77" s="61" t="e">
        <f t="shared" si="41"/>
        <v>#VALUE!</v>
      </c>
      <c r="R77" s="61" t="e">
        <f t="shared" si="42"/>
        <v>#VALUE!</v>
      </c>
      <c r="S77" s="61" t="str">
        <f>IFERROR(VLOOKUP(MID(N77,Q77,R77-Q77),[6]skilldef!$C:$D,2,FALSE),"-") &amp; " / " &amp; IFERROR(VLOOKUP(MID(N77,O77,P77-O77),[6]skilldef!$A:$B,2,FALSE),"-")</f>
        <v>- / -</v>
      </c>
      <c r="T77" s="46" t="str">
        <f t="shared" si="43"/>
        <v>none</v>
      </c>
      <c r="U77" s="61" t="e">
        <f t="shared" si="44"/>
        <v>#VALUE!</v>
      </c>
      <c r="V77" s="61">
        <f t="shared" si="45"/>
        <v>4</v>
      </c>
      <c r="W77" s="61" t="e">
        <f t="shared" si="46"/>
        <v>#VALUE!</v>
      </c>
      <c r="X77" s="61" t="e">
        <f t="shared" si="47"/>
        <v>#VALUE!</v>
      </c>
      <c r="Y77" s="61" t="str">
        <f>IFERROR(VLOOKUP(MID(T77,W77,X77-W77),[6]skilldef!$C:$D,2,FALSE),"-") &amp; " / " &amp; IFERROR(VLOOKUP(MID(T77,U77,V77-U77),[6]skilldef!$A:$B,2,FALSE),"-")</f>
        <v>- / -</v>
      </c>
      <c r="Z77" s="48" t="s">
        <v>266</v>
      </c>
      <c r="AA77" s="50">
        <v>42558</v>
      </c>
      <c r="AB77" s="48" t="s">
        <v>463</v>
      </c>
    </row>
    <row r="78" spans="1:28" ht="21" customHeight="1" x14ac:dyDescent="0.15">
      <c r="A78" s="45">
        <v>39006077</v>
      </c>
      <c r="B78" s="180" t="s">
        <v>474</v>
      </c>
      <c r="C78" s="165">
        <v>3</v>
      </c>
      <c r="D78" s="48" t="s">
        <v>128</v>
      </c>
      <c r="E78" s="49" t="s">
        <v>505</v>
      </c>
      <c r="F78" s="49" t="s">
        <v>540</v>
      </c>
      <c r="G78" s="61" t="str">
        <f t="shared" si="32"/>
        <v xml:space="preserve">[effect:break_attack_fix, val:100, lowest_val:1800, count:7, block:block_blue, target:unit_all]      </v>
      </c>
      <c r="H78" s="61">
        <f t="shared" si="33"/>
        <v>9</v>
      </c>
      <c r="I78" s="61">
        <f t="shared" si="34"/>
        <v>25</v>
      </c>
      <c r="J78" s="61">
        <f t="shared" si="35"/>
        <v>87</v>
      </c>
      <c r="K78" s="61">
        <f t="shared" si="36"/>
        <v>34</v>
      </c>
      <c r="L78" s="61" t="str">
        <f>IFERROR(VLOOKUP(MID(G78,J78,K78-J78),[6]skilldef!$C:$D,2,FALSE),"-") &amp; " / " &amp; IFERROR(VLOOKUP(MID(G78,H78,I78-H78),[6]skilldef!$A:$B,2,FALSE),"-")</f>
        <v>- / -</v>
      </c>
      <c r="M78" s="61" t="str">
        <f t="shared" si="37"/>
        <v>none</v>
      </c>
      <c r="N78" s="46" t="str">
        <f>IFERROR(LEFT(M78,FIND("],",M78)+#REF!),M78)</f>
        <v>none</v>
      </c>
      <c r="O78" s="61" t="e">
        <f t="shared" si="39"/>
        <v>#VALUE!</v>
      </c>
      <c r="P78" s="61">
        <f t="shared" si="40"/>
        <v>4</v>
      </c>
      <c r="Q78" s="61" t="e">
        <f t="shared" si="41"/>
        <v>#VALUE!</v>
      </c>
      <c r="R78" s="61" t="e">
        <f t="shared" si="42"/>
        <v>#VALUE!</v>
      </c>
      <c r="S78" s="61" t="str">
        <f>IFERROR(VLOOKUP(MID(N78,Q78,R78-Q78),[6]skilldef!$C:$D,2,FALSE),"-") &amp; " / " &amp; IFERROR(VLOOKUP(MID(N78,O78,P78-O78),[6]skilldef!$A:$B,2,FALSE),"-")</f>
        <v>- / -</v>
      </c>
      <c r="T78" s="46" t="str">
        <f t="shared" si="43"/>
        <v>none</v>
      </c>
      <c r="U78" s="61" t="e">
        <f t="shared" si="44"/>
        <v>#VALUE!</v>
      </c>
      <c r="V78" s="61">
        <f t="shared" si="45"/>
        <v>4</v>
      </c>
      <c r="W78" s="61" t="e">
        <f t="shared" si="46"/>
        <v>#VALUE!</v>
      </c>
      <c r="X78" s="61" t="e">
        <f t="shared" si="47"/>
        <v>#VALUE!</v>
      </c>
      <c r="Y78" s="61" t="str">
        <f>IFERROR(VLOOKUP(MID(T78,W78,X78-W78),[6]skilldef!$C:$D,2,FALSE),"-") &amp; " / " &amp; IFERROR(VLOOKUP(MID(T78,U78,V78-U78),[6]skilldef!$A:$B,2,FALSE),"-")</f>
        <v>- / -</v>
      </c>
      <c r="Z78" s="48" t="s">
        <v>266</v>
      </c>
      <c r="AA78" s="50">
        <v>42558</v>
      </c>
      <c r="AB78" s="48" t="s">
        <v>464</v>
      </c>
    </row>
    <row r="79" spans="1:28" ht="21" customHeight="1" x14ac:dyDescent="0.15">
      <c r="A79" s="45">
        <v>39006078</v>
      </c>
      <c r="B79" s="180" t="s">
        <v>475</v>
      </c>
      <c r="C79" s="165">
        <v>3</v>
      </c>
      <c r="D79" s="48" t="s">
        <v>128</v>
      </c>
      <c r="E79" s="49" t="s">
        <v>506</v>
      </c>
      <c r="F79" s="49" t="s">
        <v>541</v>
      </c>
      <c r="G79" s="61" t="str">
        <f t="shared" si="32"/>
        <v xml:space="preserve">[effect:break_attack_fix, val:100, lowest_val:1800, count:7, block:block_yellow, target:unit_all]    </v>
      </c>
      <c r="H79" s="61">
        <f t="shared" si="33"/>
        <v>9</v>
      </c>
      <c r="I79" s="61">
        <f t="shared" si="34"/>
        <v>25</v>
      </c>
      <c r="J79" s="61">
        <f t="shared" si="35"/>
        <v>89</v>
      </c>
      <c r="K79" s="61">
        <f t="shared" si="36"/>
        <v>34</v>
      </c>
      <c r="L79" s="61" t="str">
        <f>IFERROR(VLOOKUP(MID(G79,J79,K79-J79),[6]skilldef!$C:$D,2,FALSE),"-") &amp; " / " &amp; IFERROR(VLOOKUP(MID(G79,H79,I79-H79),[6]skilldef!$A:$B,2,FALSE),"-")</f>
        <v>- / -</v>
      </c>
      <c r="M79" s="61" t="str">
        <f t="shared" si="37"/>
        <v>none</v>
      </c>
      <c r="N79" s="46" t="str">
        <f>IFERROR(LEFT(M79,FIND("],",M79)+S84),M79)</f>
        <v>none</v>
      </c>
      <c r="O79" s="61" t="e">
        <f t="shared" si="39"/>
        <v>#VALUE!</v>
      </c>
      <c r="P79" s="61">
        <f t="shared" si="40"/>
        <v>4</v>
      </c>
      <c r="Q79" s="61" t="e">
        <f t="shared" si="41"/>
        <v>#VALUE!</v>
      </c>
      <c r="R79" s="61" t="e">
        <f t="shared" si="42"/>
        <v>#VALUE!</v>
      </c>
      <c r="S79" s="61" t="str">
        <f>IFERROR(VLOOKUP(MID(N79,Q79,R79-Q79),[6]skilldef!$C:$D,2,FALSE),"-") &amp; " / " &amp; IFERROR(VLOOKUP(MID(N79,O79,P79-O79),[6]skilldef!$A:$B,2,FALSE),"-")</f>
        <v>- / -</v>
      </c>
      <c r="T79" s="46" t="str">
        <f t="shared" si="43"/>
        <v>none</v>
      </c>
      <c r="U79" s="61" t="e">
        <f t="shared" si="44"/>
        <v>#VALUE!</v>
      </c>
      <c r="V79" s="61">
        <f t="shared" si="45"/>
        <v>4</v>
      </c>
      <c r="W79" s="61" t="e">
        <f t="shared" si="46"/>
        <v>#VALUE!</v>
      </c>
      <c r="X79" s="61" t="e">
        <f t="shared" si="47"/>
        <v>#VALUE!</v>
      </c>
      <c r="Y79" s="61" t="str">
        <f>IFERROR(VLOOKUP(MID(T79,W79,X79-W79),[6]skilldef!$C:$D,2,FALSE),"-") &amp; " / " &amp; IFERROR(VLOOKUP(MID(T79,U79,V79-U79),[6]skilldef!$A:$B,2,FALSE),"-")</f>
        <v>- / -</v>
      </c>
      <c r="Z79" s="48" t="s">
        <v>266</v>
      </c>
      <c r="AA79" s="50">
        <v>42558</v>
      </c>
      <c r="AB79" s="48" t="s">
        <v>465</v>
      </c>
    </row>
    <row r="80" spans="1:28" ht="21" customHeight="1" x14ac:dyDescent="0.15">
      <c r="A80" s="45">
        <v>39006079</v>
      </c>
      <c r="B80" s="180" t="s">
        <v>476</v>
      </c>
      <c r="C80" s="165">
        <v>3</v>
      </c>
      <c r="D80" s="48" t="s">
        <v>128</v>
      </c>
      <c r="E80" s="49" t="s">
        <v>507</v>
      </c>
      <c r="F80" s="49" t="s">
        <v>542</v>
      </c>
      <c r="G80" s="61" t="str">
        <f t="shared" si="32"/>
        <v xml:space="preserve">[effect:break_attack_fix, val:100, lowest_val:1800, count:7, block:block_heart, target:unit_all]    </v>
      </c>
      <c r="H80" s="61">
        <f t="shared" si="33"/>
        <v>9</v>
      </c>
      <c r="I80" s="61">
        <f t="shared" si="34"/>
        <v>25</v>
      </c>
      <c r="J80" s="61">
        <f t="shared" si="35"/>
        <v>88</v>
      </c>
      <c r="K80" s="61">
        <f t="shared" si="36"/>
        <v>34</v>
      </c>
      <c r="L80" s="61" t="str">
        <f>IFERROR(VLOOKUP(MID(G80,J80,K80-J80),[6]skilldef!$C:$D,2,FALSE),"-") &amp; " / " &amp; IFERROR(VLOOKUP(MID(G80,H80,I80-H80),[6]skilldef!$A:$B,2,FALSE),"-")</f>
        <v>- / -</v>
      </c>
      <c r="M80" s="61" t="str">
        <f t="shared" si="37"/>
        <v>none</v>
      </c>
      <c r="N80" s="46" t="str">
        <f>IFERROR(LEFT(M80,FIND("],",M80)+S85),M80)</f>
        <v>none</v>
      </c>
      <c r="O80" s="61" t="e">
        <f t="shared" si="39"/>
        <v>#VALUE!</v>
      </c>
      <c r="P80" s="61">
        <f t="shared" si="40"/>
        <v>4</v>
      </c>
      <c r="Q80" s="61" t="e">
        <f t="shared" si="41"/>
        <v>#VALUE!</v>
      </c>
      <c r="R80" s="61" t="e">
        <f t="shared" si="42"/>
        <v>#VALUE!</v>
      </c>
      <c r="S80" s="61" t="str">
        <f>IFERROR(VLOOKUP(MID(N80,Q80,R80-Q80),[6]skilldef!$C:$D,2,FALSE),"-") &amp; " / " &amp; IFERROR(VLOOKUP(MID(N80,O80,P80-O80),[6]skilldef!$A:$B,2,FALSE),"-")</f>
        <v>- / -</v>
      </c>
      <c r="T80" s="46" t="str">
        <f t="shared" si="43"/>
        <v>none</v>
      </c>
      <c r="U80" s="61" t="e">
        <f t="shared" si="44"/>
        <v>#VALUE!</v>
      </c>
      <c r="V80" s="61">
        <f t="shared" si="45"/>
        <v>4</v>
      </c>
      <c r="W80" s="61" t="e">
        <f t="shared" si="46"/>
        <v>#VALUE!</v>
      </c>
      <c r="X80" s="61" t="e">
        <f t="shared" si="47"/>
        <v>#VALUE!</v>
      </c>
      <c r="Y80" s="61" t="str">
        <f>IFERROR(VLOOKUP(MID(T80,W80,X80-W80),[6]skilldef!$C:$D,2,FALSE),"-") &amp; " / " &amp; IFERROR(VLOOKUP(MID(T80,U80,V80-U80),[6]skilldef!$A:$B,2,FALSE),"-")</f>
        <v>- / -</v>
      </c>
      <c r="Z80" s="48" t="s">
        <v>266</v>
      </c>
      <c r="AA80" s="50">
        <v>42558</v>
      </c>
      <c r="AB80" s="48" t="s">
        <v>466</v>
      </c>
    </row>
    <row r="81" spans="1:28" ht="21" customHeight="1" x14ac:dyDescent="0.15">
      <c r="A81" s="45">
        <v>39006080</v>
      </c>
      <c r="B81" s="183" t="s">
        <v>548</v>
      </c>
      <c r="C81" s="165">
        <v>3</v>
      </c>
      <c r="D81" s="48" t="s">
        <v>128</v>
      </c>
      <c r="E81" s="49" t="s">
        <v>563</v>
      </c>
      <c r="F81" s="49" t="s">
        <v>564</v>
      </c>
      <c r="G81" s="61" t="str">
        <f t="shared" ref="G81:G82" si="48">IFERROR(LEFT(B81,FIND("],",B81)),B81)</f>
        <v xml:space="preserve">[effect:nothing] </v>
      </c>
      <c r="H81" s="61">
        <f t="shared" ref="H81:H82" si="49">FIND("effect:",G81)+7</f>
        <v>9</v>
      </c>
      <c r="I81" s="61">
        <f t="shared" ref="I81:I82" si="50">IFERROR(FIND(",",G81),LEN(G81))</f>
        <v>17</v>
      </c>
      <c r="J81" s="61" t="e">
        <f t="shared" ref="J81:J82" si="51">FIND("target:",G81)+7</f>
        <v>#VALUE!</v>
      </c>
      <c r="K81" s="61" t="e">
        <f t="shared" ref="K81:K82" si="52">FIND(",",G81,I81+1)</f>
        <v>#VALUE!</v>
      </c>
      <c r="L81" s="61" t="str">
        <f>IFERROR(VLOOKUP(MID(G81,J81,K81-J81),[6]skilldef!$C:$D,2,FALSE),"-") &amp; " / " &amp; IFERROR(VLOOKUP(MID(G81,H81,I81-H81),[6]skilldef!$A:$B,2,FALSE),"-")</f>
        <v>- / -</v>
      </c>
      <c r="M81" s="61" t="str">
        <f t="shared" ref="M81:M82" si="53">IFERROR(RIGHT(B81,LEN(B81)-FIND("],",B81)-1),"none")</f>
        <v>none</v>
      </c>
      <c r="N81" s="46" t="str">
        <f t="shared" ref="N81:N82" si="54">IFERROR(LEFT(M81,FIND("],",M81)+S86),M81)</f>
        <v>none</v>
      </c>
      <c r="O81" s="61" t="e">
        <f t="shared" ref="O81:O82" si="55">FIND("effect:",N81)+7</f>
        <v>#VALUE!</v>
      </c>
      <c r="P81" s="61">
        <f t="shared" ref="P81:P82" si="56">IFERROR(FIND(",",N81),LEN(N81))</f>
        <v>4</v>
      </c>
      <c r="Q81" s="61" t="e">
        <f t="shared" ref="Q81:Q82" si="57">FIND("target:",N81)+7</f>
        <v>#VALUE!</v>
      </c>
      <c r="R81" s="61" t="e">
        <f t="shared" ref="R81:R82" si="58">FIND(",",N81,P81+1)</f>
        <v>#VALUE!</v>
      </c>
      <c r="S81" s="61" t="str">
        <f>IFERROR(VLOOKUP(MID(N81,Q81,R81-Q81),[6]skilldef!$C:$D,2,FALSE),"-") &amp; " / " &amp; IFERROR(VLOOKUP(MID(N81,O81,P81-O81),[6]skilldef!$A:$B,2,FALSE),"-")</f>
        <v>- / -</v>
      </c>
      <c r="T81" s="46" t="str">
        <f t="shared" ref="T81:T82" si="59">IFERROR(RIGHT(M81,LEN(M81)-FIND("],",M81)-1),"none")</f>
        <v>none</v>
      </c>
      <c r="U81" s="61" t="e">
        <f t="shared" ref="U81:U82" si="60">FIND("effect:",T81)+7</f>
        <v>#VALUE!</v>
      </c>
      <c r="V81" s="61">
        <f t="shared" ref="V81:V82" si="61">IFERROR(FIND(",",T81),LEN(T81))</f>
        <v>4</v>
      </c>
      <c r="W81" s="61" t="e">
        <f t="shared" ref="W81:W82" si="62">FIND("target:",T81)+7</f>
        <v>#VALUE!</v>
      </c>
      <c r="X81" s="61" t="e">
        <f t="shared" ref="X81:X82" si="63">FIND(",",T81,V81+1)</f>
        <v>#VALUE!</v>
      </c>
      <c r="Y81" s="61" t="str">
        <f>IFERROR(VLOOKUP(MID(T81,W81,X81-W81),[6]skilldef!$C:$D,2,FALSE),"-") &amp; " / " &amp; IFERROR(VLOOKUP(MID(T81,U81,V81-U81),[6]skilldef!$A:$B,2,FALSE),"-")</f>
        <v>- / -</v>
      </c>
      <c r="Z81" s="48" t="s">
        <v>266</v>
      </c>
      <c r="AA81" s="50">
        <v>42558</v>
      </c>
      <c r="AB81" s="48" t="s">
        <v>466</v>
      </c>
    </row>
    <row r="82" spans="1:28" ht="21" customHeight="1" x14ac:dyDescent="0.15">
      <c r="A82" s="45">
        <v>39006081</v>
      </c>
      <c r="B82" s="183" t="s">
        <v>551</v>
      </c>
      <c r="C82" s="165">
        <v>3</v>
      </c>
      <c r="D82" s="48" t="s">
        <v>128</v>
      </c>
      <c r="E82" s="49" t="s">
        <v>565</v>
      </c>
      <c r="F82" s="49" t="s">
        <v>549</v>
      </c>
      <c r="G82" s="61" t="str">
        <f t="shared" si="48"/>
        <v>[effect:kamikaze, val:3.0, animation:enemy_kamikaze]</v>
      </c>
      <c r="H82" s="61">
        <f t="shared" si="49"/>
        <v>9</v>
      </c>
      <c r="I82" s="61">
        <f t="shared" si="50"/>
        <v>17</v>
      </c>
      <c r="J82" s="61" t="e">
        <f t="shared" si="51"/>
        <v>#VALUE!</v>
      </c>
      <c r="K82" s="61">
        <f t="shared" si="52"/>
        <v>26</v>
      </c>
      <c r="L82" s="61" t="str">
        <f>IFERROR(VLOOKUP(MID(G82,J82,K82-J82),[6]skilldef!$C:$D,2,FALSE),"-") &amp; " / " &amp; IFERROR(VLOOKUP(MID(G82,H82,I82-H82),[6]skilldef!$A:$B,2,FALSE),"-")</f>
        <v>- / 自爆</v>
      </c>
      <c r="M82" s="61" t="str">
        <f t="shared" si="53"/>
        <v>none</v>
      </c>
      <c r="N82" s="46" t="str">
        <f t="shared" si="54"/>
        <v>none</v>
      </c>
      <c r="O82" s="61" t="e">
        <f t="shared" si="55"/>
        <v>#VALUE!</v>
      </c>
      <c r="P82" s="61">
        <f t="shared" si="56"/>
        <v>4</v>
      </c>
      <c r="Q82" s="61" t="e">
        <f t="shared" si="57"/>
        <v>#VALUE!</v>
      </c>
      <c r="R82" s="61" t="e">
        <f t="shared" si="58"/>
        <v>#VALUE!</v>
      </c>
      <c r="S82" s="61" t="str">
        <f>IFERROR(VLOOKUP(MID(N82,Q82,R82-Q82),[6]skilldef!$C:$D,2,FALSE),"-") &amp; " / " &amp; IFERROR(VLOOKUP(MID(N82,O82,P82-O82),[6]skilldef!$A:$B,2,FALSE),"-")</f>
        <v>- / -</v>
      </c>
      <c r="T82" s="46" t="str">
        <f t="shared" si="59"/>
        <v>none</v>
      </c>
      <c r="U82" s="61" t="e">
        <f t="shared" si="60"/>
        <v>#VALUE!</v>
      </c>
      <c r="V82" s="61">
        <f t="shared" si="61"/>
        <v>4</v>
      </c>
      <c r="W82" s="61" t="e">
        <f t="shared" si="62"/>
        <v>#VALUE!</v>
      </c>
      <c r="X82" s="61" t="e">
        <f t="shared" si="63"/>
        <v>#VALUE!</v>
      </c>
      <c r="Y82" s="61" t="str">
        <f>IFERROR(VLOOKUP(MID(T82,W82,X82-W82),[6]skilldef!$C:$D,2,FALSE),"-") &amp; " / " &amp; IFERROR(VLOOKUP(MID(T82,U82,V82-U82),[6]skilldef!$A:$B,2,FALSE),"-")</f>
        <v>- / -</v>
      </c>
      <c r="Z82" s="48" t="s">
        <v>266</v>
      </c>
      <c r="AA82" s="50">
        <v>42558</v>
      </c>
      <c r="AB82" s="48" t="s">
        <v>466</v>
      </c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67"/>
  <sheetViews>
    <sheetView showGridLines="0" workbookViewId="0">
      <pane ySplit="1" topLeftCell="A2" activePane="bottomLeft" state="frozen"/>
      <selection pane="bottomLeft" activeCell="A14" sqref="A14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18.1640625" style="43" customWidth="1"/>
    <col min="13" max="16384" width="12.83203125" style="43"/>
  </cols>
  <sheetData>
    <row r="1" spans="1:12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318</v>
      </c>
      <c r="I1" s="40" t="s">
        <v>74</v>
      </c>
      <c r="J1" s="40" t="s">
        <v>75</v>
      </c>
      <c r="K1" s="52" t="s">
        <v>88</v>
      </c>
    </row>
    <row r="2" spans="1:12" ht="14" x14ac:dyDescent="0.15">
      <c r="A2" s="119">
        <v>39006001</v>
      </c>
      <c r="B2" s="119">
        <v>1</v>
      </c>
      <c r="C2" s="119">
        <v>100</v>
      </c>
      <c r="D2" s="119">
        <v>100</v>
      </c>
      <c r="E2" s="119" t="s">
        <v>284</v>
      </c>
      <c r="F2" s="119" t="s">
        <v>90</v>
      </c>
      <c r="G2" s="119">
        <v>1</v>
      </c>
      <c r="H2" s="119" t="s">
        <v>90</v>
      </c>
      <c r="I2" s="119" t="s">
        <v>90</v>
      </c>
      <c r="J2" s="46">
        <f t="shared" ref="J2" si="0">D2</f>
        <v>100</v>
      </c>
      <c r="L2" s="117" t="s">
        <v>267</v>
      </c>
    </row>
    <row r="3" spans="1:12" ht="21" customHeight="1" x14ac:dyDescent="0.15">
      <c r="A3" s="119">
        <v>39006002</v>
      </c>
      <c r="B3" s="119">
        <v>1</v>
      </c>
      <c r="C3" s="119">
        <v>100</v>
      </c>
      <c r="D3" s="119">
        <v>100</v>
      </c>
      <c r="E3" s="119" t="s">
        <v>284</v>
      </c>
      <c r="F3" s="119" t="s">
        <v>90</v>
      </c>
      <c r="G3" s="119">
        <v>1</v>
      </c>
      <c r="H3" s="119" t="s">
        <v>90</v>
      </c>
      <c r="I3" s="119" t="s">
        <v>90</v>
      </c>
      <c r="J3" s="46">
        <f t="shared" ref="J3:J53" si="1">D3</f>
        <v>100</v>
      </c>
      <c r="L3" s="43" t="s">
        <v>268</v>
      </c>
    </row>
    <row r="4" spans="1:12" ht="21" customHeight="1" x14ac:dyDescent="0.15">
      <c r="A4" s="119">
        <v>39006003</v>
      </c>
      <c r="B4" s="119">
        <v>1</v>
      </c>
      <c r="C4" s="119">
        <v>100</v>
      </c>
      <c r="D4" s="119">
        <v>100</v>
      </c>
      <c r="E4" s="119" t="s">
        <v>284</v>
      </c>
      <c r="F4" s="119" t="s">
        <v>90</v>
      </c>
      <c r="G4" s="119">
        <v>1</v>
      </c>
      <c r="H4" s="119" t="s">
        <v>90</v>
      </c>
      <c r="I4" s="119" t="s">
        <v>90</v>
      </c>
      <c r="J4" s="46">
        <f t="shared" si="1"/>
        <v>100</v>
      </c>
      <c r="L4" s="43" t="s">
        <v>269</v>
      </c>
    </row>
    <row r="5" spans="1:12" ht="21" customHeight="1" x14ac:dyDescent="0.15">
      <c r="A5" s="119">
        <v>39006004</v>
      </c>
      <c r="B5" s="119">
        <v>1</v>
      </c>
      <c r="C5" s="119">
        <v>100</v>
      </c>
      <c r="D5" s="119">
        <v>100</v>
      </c>
      <c r="E5" s="119" t="s">
        <v>284</v>
      </c>
      <c r="F5" s="119" t="s">
        <v>53</v>
      </c>
      <c r="G5" s="119">
        <v>1</v>
      </c>
      <c r="H5" s="119" t="s">
        <v>53</v>
      </c>
      <c r="I5" s="119" t="s">
        <v>53</v>
      </c>
      <c r="J5" s="46">
        <f t="shared" si="1"/>
        <v>100</v>
      </c>
      <c r="L5" s="43" t="s">
        <v>270</v>
      </c>
    </row>
    <row r="6" spans="1:12" ht="21" customHeight="1" x14ac:dyDescent="0.15">
      <c r="A6" s="45">
        <v>39006005</v>
      </c>
      <c r="B6" s="45">
        <v>0</v>
      </c>
      <c r="C6" s="45">
        <v>99</v>
      </c>
      <c r="D6" s="45">
        <v>100</v>
      </c>
      <c r="E6" s="45" t="s">
        <v>284</v>
      </c>
      <c r="F6" s="45" t="s">
        <v>90</v>
      </c>
      <c r="G6" s="45">
        <v>1</v>
      </c>
      <c r="H6" s="45" t="s">
        <v>90</v>
      </c>
      <c r="I6" s="45" t="s">
        <v>90</v>
      </c>
      <c r="J6" s="46">
        <f t="shared" si="1"/>
        <v>100</v>
      </c>
      <c r="L6" s="43" t="s">
        <v>230</v>
      </c>
    </row>
    <row r="7" spans="1:12" ht="21" customHeight="1" x14ac:dyDescent="0.15">
      <c r="A7" s="45">
        <v>39006006</v>
      </c>
      <c r="B7" s="45">
        <v>0</v>
      </c>
      <c r="C7" s="45" t="s">
        <v>89</v>
      </c>
      <c r="D7" s="45">
        <v>100</v>
      </c>
      <c r="E7" s="45" t="s">
        <v>284</v>
      </c>
      <c r="F7" s="45" t="s">
        <v>90</v>
      </c>
      <c r="G7" s="45">
        <v>0</v>
      </c>
      <c r="H7" s="45" t="s">
        <v>90</v>
      </c>
      <c r="I7" s="45">
        <v>0</v>
      </c>
      <c r="J7" s="46">
        <f t="shared" si="1"/>
        <v>100</v>
      </c>
      <c r="L7" s="43" t="s">
        <v>231</v>
      </c>
    </row>
    <row r="8" spans="1:12" ht="21" customHeight="1" x14ac:dyDescent="0.15">
      <c r="A8" s="45">
        <v>39006007</v>
      </c>
      <c r="B8" s="45">
        <v>1</v>
      </c>
      <c r="C8" s="45">
        <v>100</v>
      </c>
      <c r="D8" s="45">
        <v>100</v>
      </c>
      <c r="E8" s="45" t="s">
        <v>314</v>
      </c>
      <c r="F8" s="45" t="s">
        <v>53</v>
      </c>
      <c r="G8" s="45">
        <v>1</v>
      </c>
      <c r="H8" s="45" t="s">
        <v>53</v>
      </c>
      <c r="I8" s="45" t="s">
        <v>90</v>
      </c>
      <c r="J8" s="46">
        <f t="shared" si="1"/>
        <v>100</v>
      </c>
      <c r="L8" s="43" t="s">
        <v>233</v>
      </c>
    </row>
    <row r="9" spans="1:12" ht="21" customHeight="1" x14ac:dyDescent="0.15">
      <c r="A9" s="45">
        <v>39006008</v>
      </c>
      <c r="B9" s="45">
        <v>0</v>
      </c>
      <c r="C9" s="45">
        <v>99</v>
      </c>
      <c r="D9" s="45">
        <v>50</v>
      </c>
      <c r="E9" s="45" t="s">
        <v>284</v>
      </c>
      <c r="F9" s="45" t="s">
        <v>53</v>
      </c>
      <c r="G9" s="45">
        <v>0</v>
      </c>
      <c r="H9" s="45" t="s">
        <v>53</v>
      </c>
      <c r="I9" s="45" t="s">
        <v>90</v>
      </c>
      <c r="J9" s="46">
        <f t="shared" si="1"/>
        <v>50</v>
      </c>
      <c r="L9" s="43" t="s">
        <v>234</v>
      </c>
    </row>
    <row r="10" spans="1:12" ht="21" customHeight="1" x14ac:dyDescent="0.15">
      <c r="A10" s="45">
        <v>39006009</v>
      </c>
      <c r="B10" s="45">
        <v>0</v>
      </c>
      <c r="C10" s="45">
        <v>98</v>
      </c>
      <c r="D10" s="45">
        <v>100</v>
      </c>
      <c r="E10" s="45" t="s">
        <v>284</v>
      </c>
      <c r="F10" s="45" t="s">
        <v>90</v>
      </c>
      <c r="G10" s="45">
        <v>0</v>
      </c>
      <c r="H10" s="45" t="s">
        <v>90</v>
      </c>
      <c r="I10" s="45" t="s">
        <v>90</v>
      </c>
      <c r="J10" s="46">
        <f t="shared" si="1"/>
        <v>100</v>
      </c>
      <c r="L10" s="43" t="s">
        <v>235</v>
      </c>
    </row>
    <row r="11" spans="1:12" ht="21" customHeight="1" x14ac:dyDescent="0.15">
      <c r="A11" s="45">
        <v>39006010</v>
      </c>
      <c r="B11" s="45">
        <v>0</v>
      </c>
      <c r="C11" s="45" t="s">
        <v>89</v>
      </c>
      <c r="D11" s="45">
        <v>100</v>
      </c>
      <c r="E11" s="45" t="s">
        <v>284</v>
      </c>
      <c r="F11" s="45" t="s">
        <v>90</v>
      </c>
      <c r="G11" s="45">
        <v>0</v>
      </c>
      <c r="H11" s="45" t="s">
        <v>90</v>
      </c>
      <c r="I11" s="45">
        <v>0</v>
      </c>
      <c r="J11" s="46">
        <f t="shared" si="1"/>
        <v>100</v>
      </c>
      <c r="L11" s="43" t="s">
        <v>232</v>
      </c>
    </row>
    <row r="12" spans="1:12" ht="21" customHeight="1" x14ac:dyDescent="0.15">
      <c r="A12" s="120">
        <v>39006011</v>
      </c>
      <c r="B12" s="120">
        <v>0</v>
      </c>
      <c r="C12" s="120">
        <v>99</v>
      </c>
      <c r="D12" s="120">
        <v>100</v>
      </c>
      <c r="E12" s="120" t="s">
        <v>313</v>
      </c>
      <c r="F12" s="120" t="s">
        <v>90</v>
      </c>
      <c r="G12" s="120">
        <v>1</v>
      </c>
      <c r="H12" s="120" t="s">
        <v>90</v>
      </c>
      <c r="I12" s="120" t="s">
        <v>90</v>
      </c>
      <c r="J12" s="46">
        <f t="shared" si="1"/>
        <v>100</v>
      </c>
      <c r="L12" s="43" t="s">
        <v>293</v>
      </c>
    </row>
    <row r="13" spans="1:12" ht="21" customHeight="1" x14ac:dyDescent="0.15">
      <c r="A13" s="120">
        <v>39006012</v>
      </c>
      <c r="B13" s="120">
        <v>0</v>
      </c>
      <c r="C13" s="120">
        <v>99</v>
      </c>
      <c r="D13" s="120">
        <v>100</v>
      </c>
      <c r="E13" s="120" t="s">
        <v>313</v>
      </c>
      <c r="F13" s="120" t="s">
        <v>90</v>
      </c>
      <c r="G13" s="120">
        <v>1</v>
      </c>
      <c r="H13" s="120" t="s">
        <v>90</v>
      </c>
      <c r="I13" s="120" t="s">
        <v>90</v>
      </c>
      <c r="J13" s="46">
        <f t="shared" si="1"/>
        <v>100</v>
      </c>
      <c r="L13" s="43" t="s">
        <v>294</v>
      </c>
    </row>
    <row r="14" spans="1:12" ht="21" customHeight="1" x14ac:dyDescent="0.15">
      <c r="A14" s="120">
        <v>39006013</v>
      </c>
      <c r="B14" s="120">
        <v>0</v>
      </c>
      <c r="C14" s="120">
        <v>99</v>
      </c>
      <c r="D14" s="120">
        <v>100</v>
      </c>
      <c r="E14" s="120" t="s">
        <v>313</v>
      </c>
      <c r="F14" s="120" t="s">
        <v>90</v>
      </c>
      <c r="G14" s="120">
        <v>1</v>
      </c>
      <c r="H14" s="120" t="s">
        <v>90</v>
      </c>
      <c r="I14" s="120" t="s">
        <v>90</v>
      </c>
      <c r="J14" s="46">
        <f t="shared" si="1"/>
        <v>100</v>
      </c>
      <c r="L14" s="43" t="s">
        <v>321</v>
      </c>
    </row>
    <row r="15" spans="1:12" ht="21" customHeight="1" x14ac:dyDescent="0.15">
      <c r="A15" s="120">
        <v>39006014</v>
      </c>
      <c r="B15" s="120">
        <v>0</v>
      </c>
      <c r="C15" s="120">
        <v>99</v>
      </c>
      <c r="D15" s="120">
        <v>100</v>
      </c>
      <c r="E15" s="120" t="s">
        <v>313</v>
      </c>
      <c r="F15" s="120" t="s">
        <v>90</v>
      </c>
      <c r="G15" s="120">
        <v>1</v>
      </c>
      <c r="H15" s="120" t="s">
        <v>90</v>
      </c>
      <c r="I15" s="120" t="s">
        <v>90</v>
      </c>
      <c r="J15" s="46">
        <f t="shared" si="1"/>
        <v>100</v>
      </c>
      <c r="L15" s="43" t="s">
        <v>312</v>
      </c>
    </row>
    <row r="16" spans="1:12" ht="21" customHeight="1" x14ac:dyDescent="0.15">
      <c r="A16" s="120">
        <v>39006015</v>
      </c>
      <c r="B16" s="120">
        <v>0</v>
      </c>
      <c r="C16" s="120">
        <v>99</v>
      </c>
      <c r="D16" s="120">
        <v>100</v>
      </c>
      <c r="E16" s="120" t="s">
        <v>313</v>
      </c>
      <c r="F16" s="120" t="s">
        <v>90</v>
      </c>
      <c r="G16" s="120">
        <v>1</v>
      </c>
      <c r="H16" s="120" t="s">
        <v>90</v>
      </c>
      <c r="I16" s="120" t="s">
        <v>90</v>
      </c>
      <c r="J16" s="46">
        <f t="shared" si="1"/>
        <v>100</v>
      </c>
      <c r="L16" s="43" t="s">
        <v>291</v>
      </c>
    </row>
    <row r="17" spans="1:12" ht="21" customHeight="1" x14ac:dyDescent="0.15">
      <c r="A17" s="120">
        <v>39006016</v>
      </c>
      <c r="B17" s="120">
        <v>0</v>
      </c>
      <c r="C17" s="120">
        <v>99</v>
      </c>
      <c r="D17" s="120">
        <v>100</v>
      </c>
      <c r="E17" s="120" t="s">
        <v>313</v>
      </c>
      <c r="F17" s="120" t="s">
        <v>90</v>
      </c>
      <c r="G17" s="120">
        <v>1</v>
      </c>
      <c r="H17" s="120" t="s">
        <v>90</v>
      </c>
      <c r="I17" s="120" t="s">
        <v>90</v>
      </c>
      <c r="J17" s="46">
        <f t="shared" si="1"/>
        <v>100</v>
      </c>
      <c r="L17" s="43" t="s">
        <v>292</v>
      </c>
    </row>
    <row r="18" spans="1:12" ht="21" customHeight="1" x14ac:dyDescent="0.15">
      <c r="A18" s="120">
        <v>39006017</v>
      </c>
      <c r="B18" s="120">
        <v>0</v>
      </c>
      <c r="C18" s="120">
        <v>99</v>
      </c>
      <c r="D18" s="120">
        <v>100</v>
      </c>
      <c r="E18" s="120" t="s">
        <v>313</v>
      </c>
      <c r="F18" s="120" t="s">
        <v>90</v>
      </c>
      <c r="G18" s="120">
        <v>1</v>
      </c>
      <c r="H18" s="120" t="s">
        <v>90</v>
      </c>
      <c r="I18" s="120" t="s">
        <v>90</v>
      </c>
      <c r="J18" s="46">
        <f t="shared" si="1"/>
        <v>100</v>
      </c>
      <c r="L18" s="43" t="s">
        <v>320</v>
      </c>
    </row>
    <row r="19" spans="1:12" ht="21" customHeight="1" x14ac:dyDescent="0.15">
      <c r="A19" s="120">
        <v>39006018</v>
      </c>
      <c r="B19" s="120">
        <v>0</v>
      </c>
      <c r="C19" s="120">
        <v>99</v>
      </c>
      <c r="D19" s="120">
        <v>100</v>
      </c>
      <c r="E19" s="120" t="s">
        <v>313</v>
      </c>
      <c r="F19" s="120" t="s">
        <v>90</v>
      </c>
      <c r="G19" s="120">
        <v>1</v>
      </c>
      <c r="H19" s="120" t="s">
        <v>90</v>
      </c>
      <c r="I19" s="120" t="s">
        <v>90</v>
      </c>
      <c r="J19" s="46">
        <f t="shared" si="1"/>
        <v>100</v>
      </c>
      <c r="L19" s="43" t="s">
        <v>289</v>
      </c>
    </row>
    <row r="20" spans="1:12" ht="21" customHeight="1" x14ac:dyDescent="0.15">
      <c r="A20" s="120">
        <v>39006019</v>
      </c>
      <c r="B20" s="120">
        <v>0</v>
      </c>
      <c r="C20" s="120">
        <v>99</v>
      </c>
      <c r="D20" s="120">
        <v>100</v>
      </c>
      <c r="E20" s="120" t="s">
        <v>313</v>
      </c>
      <c r="F20" s="120" t="s">
        <v>90</v>
      </c>
      <c r="G20" s="120">
        <v>1</v>
      </c>
      <c r="H20" s="120" t="s">
        <v>90</v>
      </c>
      <c r="I20" s="120" t="s">
        <v>90</v>
      </c>
      <c r="J20" s="46">
        <f t="shared" si="1"/>
        <v>100</v>
      </c>
      <c r="L20" s="43" t="s">
        <v>290</v>
      </c>
    </row>
    <row r="21" spans="1:12" ht="21" customHeight="1" x14ac:dyDescent="0.15">
      <c r="A21" s="120">
        <v>39006020</v>
      </c>
      <c r="B21" s="120">
        <v>0</v>
      </c>
      <c r="C21" s="120">
        <v>99</v>
      </c>
      <c r="D21" s="120">
        <v>100</v>
      </c>
      <c r="E21" s="120" t="s">
        <v>313</v>
      </c>
      <c r="F21" s="120" t="s">
        <v>90</v>
      </c>
      <c r="G21" s="120">
        <v>1</v>
      </c>
      <c r="H21" s="120" t="s">
        <v>90</v>
      </c>
      <c r="I21" s="120" t="s">
        <v>90</v>
      </c>
      <c r="J21" s="46">
        <f t="shared" si="1"/>
        <v>100</v>
      </c>
      <c r="L21" s="43" t="s">
        <v>286</v>
      </c>
    </row>
    <row r="22" spans="1:12" ht="21" customHeight="1" x14ac:dyDescent="0.15">
      <c r="A22" s="120">
        <v>39006021</v>
      </c>
      <c r="B22" s="120">
        <v>0</v>
      </c>
      <c r="C22" s="120">
        <v>99</v>
      </c>
      <c r="D22" s="120">
        <v>100</v>
      </c>
      <c r="E22" s="120" t="s">
        <v>313</v>
      </c>
      <c r="F22" s="120" t="s">
        <v>90</v>
      </c>
      <c r="G22" s="120">
        <v>1</v>
      </c>
      <c r="H22" s="120" t="s">
        <v>90</v>
      </c>
      <c r="I22" s="120" t="s">
        <v>90</v>
      </c>
      <c r="J22" s="46">
        <f t="shared" si="1"/>
        <v>100</v>
      </c>
      <c r="L22" s="43" t="s">
        <v>287</v>
      </c>
    </row>
    <row r="23" spans="1:12" ht="21" customHeight="1" x14ac:dyDescent="0.15">
      <c r="A23" s="120">
        <v>39006022</v>
      </c>
      <c r="B23" s="120">
        <v>0</v>
      </c>
      <c r="C23" s="120">
        <v>99</v>
      </c>
      <c r="D23" s="120">
        <v>100</v>
      </c>
      <c r="E23" s="120" t="s">
        <v>313</v>
      </c>
      <c r="F23" s="120" t="s">
        <v>90</v>
      </c>
      <c r="G23" s="120">
        <v>1</v>
      </c>
      <c r="H23" s="120" t="s">
        <v>90</v>
      </c>
      <c r="I23" s="120" t="s">
        <v>90</v>
      </c>
      <c r="J23" s="46">
        <f t="shared" si="1"/>
        <v>100</v>
      </c>
      <c r="L23" s="43" t="s">
        <v>288</v>
      </c>
    </row>
    <row r="24" spans="1:12" ht="21" customHeight="1" x14ac:dyDescent="0.15">
      <c r="A24" s="45">
        <v>39006023</v>
      </c>
      <c r="B24" s="45">
        <v>1</v>
      </c>
      <c r="C24" s="45">
        <v>100</v>
      </c>
      <c r="D24" s="45">
        <v>100</v>
      </c>
      <c r="E24" s="45" t="s">
        <v>313</v>
      </c>
      <c r="F24" s="45" t="s">
        <v>90</v>
      </c>
      <c r="G24" s="45">
        <v>1</v>
      </c>
      <c r="H24" s="45" t="s">
        <v>90</v>
      </c>
      <c r="I24" s="45" t="s">
        <v>90</v>
      </c>
      <c r="J24" s="46">
        <f t="shared" si="1"/>
        <v>100</v>
      </c>
      <c r="L24" s="43" t="s">
        <v>236</v>
      </c>
    </row>
    <row r="25" spans="1:12" ht="21" customHeight="1" x14ac:dyDescent="0.15">
      <c r="A25" s="45">
        <v>39006024</v>
      </c>
      <c r="B25" s="45">
        <v>0</v>
      </c>
      <c r="C25" s="45">
        <v>99</v>
      </c>
      <c r="D25" s="45">
        <v>33</v>
      </c>
      <c r="E25" s="45" t="s">
        <v>313</v>
      </c>
      <c r="F25" s="45" t="s">
        <v>90</v>
      </c>
      <c r="G25" s="45" t="s">
        <v>315</v>
      </c>
      <c r="H25" s="45" t="s">
        <v>90</v>
      </c>
      <c r="I25" s="45" t="s">
        <v>90</v>
      </c>
      <c r="J25" s="46">
        <f t="shared" si="1"/>
        <v>33</v>
      </c>
      <c r="L25" s="43" t="s">
        <v>237</v>
      </c>
    </row>
    <row r="26" spans="1:12" ht="21" customHeight="1" x14ac:dyDescent="0.15">
      <c r="A26" s="45">
        <v>39006025</v>
      </c>
      <c r="B26" s="45">
        <v>0</v>
      </c>
      <c r="C26" s="45">
        <v>98</v>
      </c>
      <c r="D26" s="45">
        <v>50</v>
      </c>
      <c r="E26" s="45" t="s">
        <v>313</v>
      </c>
      <c r="F26" s="45" t="s">
        <v>90</v>
      </c>
      <c r="G26" s="45" t="s">
        <v>315</v>
      </c>
      <c r="H26" s="45" t="s">
        <v>90</v>
      </c>
      <c r="I26" s="45" t="s">
        <v>90</v>
      </c>
      <c r="J26" s="46">
        <f t="shared" si="1"/>
        <v>50</v>
      </c>
      <c r="L26" s="43" t="s">
        <v>238</v>
      </c>
    </row>
    <row r="27" spans="1:12" ht="21" customHeight="1" x14ac:dyDescent="0.15">
      <c r="A27" s="45">
        <v>39006026</v>
      </c>
      <c r="B27" s="45">
        <v>0</v>
      </c>
      <c r="C27" s="45">
        <v>97</v>
      </c>
      <c r="D27" s="45">
        <v>100</v>
      </c>
      <c r="E27" s="45" t="s">
        <v>313</v>
      </c>
      <c r="F27" s="45" t="s">
        <v>90</v>
      </c>
      <c r="G27" s="45" t="s">
        <v>315</v>
      </c>
      <c r="H27" s="45" t="s">
        <v>90</v>
      </c>
      <c r="I27" s="45" t="s">
        <v>90</v>
      </c>
      <c r="J27" s="46">
        <f t="shared" si="1"/>
        <v>100</v>
      </c>
      <c r="L27" s="43" t="s">
        <v>239</v>
      </c>
    </row>
    <row r="28" spans="1:12" ht="21" customHeight="1" x14ac:dyDescent="0.15">
      <c r="A28" s="45">
        <v>39006027</v>
      </c>
      <c r="B28" s="45">
        <v>0</v>
      </c>
      <c r="C28" s="45" t="s">
        <v>89</v>
      </c>
      <c r="D28" s="45">
        <v>100</v>
      </c>
      <c r="E28" s="45" t="s">
        <v>313</v>
      </c>
      <c r="F28" s="45" t="s">
        <v>90</v>
      </c>
      <c r="G28" s="45" t="s">
        <v>315</v>
      </c>
      <c r="H28" s="45" t="s">
        <v>90</v>
      </c>
      <c r="I28" s="45" t="s">
        <v>90</v>
      </c>
      <c r="J28" s="46">
        <f t="shared" si="1"/>
        <v>100</v>
      </c>
      <c r="L28" s="43" t="s">
        <v>240</v>
      </c>
    </row>
    <row r="29" spans="1:12" ht="21" customHeight="1" x14ac:dyDescent="0.15">
      <c r="A29" s="119">
        <v>39006028</v>
      </c>
      <c r="B29" s="119">
        <v>0</v>
      </c>
      <c r="C29" s="119">
        <v>90</v>
      </c>
      <c r="D29" s="119">
        <v>100</v>
      </c>
      <c r="E29" s="119" t="s">
        <v>313</v>
      </c>
      <c r="F29" s="119" t="s">
        <v>90</v>
      </c>
      <c r="G29" s="119" t="s">
        <v>313</v>
      </c>
      <c r="H29" s="119">
        <v>5</v>
      </c>
      <c r="I29" s="119" t="s">
        <v>90</v>
      </c>
      <c r="J29" s="46">
        <f t="shared" si="1"/>
        <v>100</v>
      </c>
      <c r="L29" s="43" t="s">
        <v>241</v>
      </c>
    </row>
    <row r="30" spans="1:12" ht="21" customHeight="1" x14ac:dyDescent="0.15">
      <c r="A30" s="119">
        <v>39006029</v>
      </c>
      <c r="B30" s="119">
        <v>0</v>
      </c>
      <c r="C30" s="119">
        <v>90</v>
      </c>
      <c r="D30" s="119">
        <v>100</v>
      </c>
      <c r="E30" s="119" t="s">
        <v>313</v>
      </c>
      <c r="F30" s="119" t="s">
        <v>90</v>
      </c>
      <c r="G30" s="119" t="s">
        <v>313</v>
      </c>
      <c r="H30" s="119">
        <v>5</v>
      </c>
      <c r="I30" s="119" t="s">
        <v>90</v>
      </c>
      <c r="J30" s="46">
        <f t="shared" si="1"/>
        <v>100</v>
      </c>
      <c r="L30" s="43" t="s">
        <v>242</v>
      </c>
    </row>
    <row r="31" spans="1:12" ht="21" customHeight="1" x14ac:dyDescent="0.15">
      <c r="A31" s="119">
        <v>39006030</v>
      </c>
      <c r="B31" s="119">
        <v>0</v>
      </c>
      <c r="C31" s="119">
        <v>90</v>
      </c>
      <c r="D31" s="119">
        <v>100</v>
      </c>
      <c r="E31" s="119" t="s">
        <v>313</v>
      </c>
      <c r="F31" s="119" t="s">
        <v>90</v>
      </c>
      <c r="G31" s="119" t="s">
        <v>313</v>
      </c>
      <c r="H31" s="119">
        <v>5</v>
      </c>
      <c r="I31" s="119" t="s">
        <v>90</v>
      </c>
      <c r="J31" s="46">
        <f t="shared" si="1"/>
        <v>100</v>
      </c>
      <c r="L31" s="43" t="s">
        <v>243</v>
      </c>
    </row>
    <row r="32" spans="1:12" ht="21" customHeight="1" x14ac:dyDescent="0.15">
      <c r="A32" s="119">
        <v>39006031</v>
      </c>
      <c r="B32" s="119">
        <v>0</v>
      </c>
      <c r="C32" s="119">
        <v>90</v>
      </c>
      <c r="D32" s="119">
        <v>100</v>
      </c>
      <c r="E32" s="119" t="s">
        <v>313</v>
      </c>
      <c r="F32" s="119" t="s">
        <v>90</v>
      </c>
      <c r="G32" s="119" t="s">
        <v>313</v>
      </c>
      <c r="H32" s="119">
        <v>5</v>
      </c>
      <c r="I32" s="119" t="s">
        <v>90</v>
      </c>
      <c r="J32" s="46">
        <f t="shared" si="1"/>
        <v>100</v>
      </c>
      <c r="L32" s="43" t="s">
        <v>244</v>
      </c>
    </row>
    <row r="33" spans="1:12" ht="21" customHeight="1" x14ac:dyDescent="0.15">
      <c r="A33" s="45">
        <v>39006032</v>
      </c>
      <c r="B33" s="45">
        <v>0</v>
      </c>
      <c r="C33" s="45">
        <v>100</v>
      </c>
      <c r="D33" s="45">
        <v>100</v>
      </c>
      <c r="E33" s="45">
        <v>50</v>
      </c>
      <c r="F33" s="45" t="s">
        <v>90</v>
      </c>
      <c r="G33" s="45">
        <v>1</v>
      </c>
      <c r="H33" s="45" t="s">
        <v>90</v>
      </c>
      <c r="I33" s="45" t="s">
        <v>90</v>
      </c>
      <c r="J33" s="46">
        <f t="shared" si="1"/>
        <v>100</v>
      </c>
      <c r="L33" s="43" t="s">
        <v>245</v>
      </c>
    </row>
    <row r="34" spans="1:12" ht="21" customHeight="1" x14ac:dyDescent="0.15">
      <c r="A34" s="119">
        <v>39006033</v>
      </c>
      <c r="B34" s="119">
        <v>1</v>
      </c>
      <c r="C34" s="119" t="s">
        <v>89</v>
      </c>
      <c r="D34" s="119">
        <v>100</v>
      </c>
      <c r="E34" s="119" t="s">
        <v>313</v>
      </c>
      <c r="F34" s="119" t="s">
        <v>90</v>
      </c>
      <c r="G34" s="119">
        <v>1</v>
      </c>
      <c r="H34" s="119" t="s">
        <v>90</v>
      </c>
      <c r="I34" s="119" t="s">
        <v>90</v>
      </c>
      <c r="J34" s="46">
        <f t="shared" si="1"/>
        <v>100</v>
      </c>
      <c r="L34" s="43" t="s">
        <v>246</v>
      </c>
    </row>
    <row r="35" spans="1:12" ht="21" customHeight="1" x14ac:dyDescent="0.15">
      <c r="A35" s="119">
        <v>39006034</v>
      </c>
      <c r="B35" s="119">
        <v>1</v>
      </c>
      <c r="C35" s="119" t="s">
        <v>89</v>
      </c>
      <c r="D35" s="119">
        <v>100</v>
      </c>
      <c r="E35" s="119" t="s">
        <v>313</v>
      </c>
      <c r="F35" s="119" t="s">
        <v>90</v>
      </c>
      <c r="G35" s="119">
        <v>1</v>
      </c>
      <c r="H35" s="119" t="s">
        <v>90</v>
      </c>
      <c r="I35" s="119" t="s">
        <v>90</v>
      </c>
      <c r="J35" s="46">
        <f t="shared" si="1"/>
        <v>100</v>
      </c>
      <c r="L35" s="43" t="s">
        <v>247</v>
      </c>
    </row>
    <row r="36" spans="1:12" ht="21" customHeight="1" x14ac:dyDescent="0.15">
      <c r="A36" s="119">
        <v>39006035</v>
      </c>
      <c r="B36" s="119">
        <v>1</v>
      </c>
      <c r="C36" s="119" t="s">
        <v>89</v>
      </c>
      <c r="D36" s="119">
        <v>100</v>
      </c>
      <c r="E36" s="119" t="s">
        <v>313</v>
      </c>
      <c r="F36" s="119" t="s">
        <v>90</v>
      </c>
      <c r="G36" s="119">
        <v>1</v>
      </c>
      <c r="H36" s="119" t="s">
        <v>90</v>
      </c>
      <c r="I36" s="119" t="s">
        <v>90</v>
      </c>
      <c r="J36" s="46">
        <f t="shared" si="1"/>
        <v>100</v>
      </c>
      <c r="L36" s="43" t="s">
        <v>248</v>
      </c>
    </row>
    <row r="37" spans="1:12" ht="21" customHeight="1" x14ac:dyDescent="0.15">
      <c r="A37" s="119">
        <v>39006036</v>
      </c>
      <c r="B37" s="119">
        <v>1</v>
      </c>
      <c r="C37" s="119" t="s">
        <v>89</v>
      </c>
      <c r="D37" s="119">
        <v>100</v>
      </c>
      <c r="E37" s="119" t="s">
        <v>313</v>
      </c>
      <c r="F37" s="119" t="s">
        <v>90</v>
      </c>
      <c r="G37" s="119">
        <v>1</v>
      </c>
      <c r="H37" s="119" t="s">
        <v>90</v>
      </c>
      <c r="I37" s="119" t="s">
        <v>90</v>
      </c>
      <c r="J37" s="46">
        <f t="shared" si="1"/>
        <v>100</v>
      </c>
      <c r="L37" s="43" t="s">
        <v>249</v>
      </c>
    </row>
    <row r="38" spans="1:12" ht="21" customHeight="1" x14ac:dyDescent="0.15">
      <c r="A38" s="45">
        <v>39006037</v>
      </c>
      <c r="B38" s="45">
        <v>0</v>
      </c>
      <c r="C38" s="45" t="s">
        <v>89</v>
      </c>
      <c r="D38" s="45">
        <v>100</v>
      </c>
      <c r="E38" s="45" t="s">
        <v>313</v>
      </c>
      <c r="F38" s="45" t="s">
        <v>90</v>
      </c>
      <c r="G38" s="45">
        <v>1</v>
      </c>
      <c r="H38" s="45" t="s">
        <v>90</v>
      </c>
      <c r="I38" s="45" t="s">
        <v>90</v>
      </c>
      <c r="J38" s="46">
        <f t="shared" si="1"/>
        <v>100</v>
      </c>
      <c r="L38" s="43" t="s">
        <v>250</v>
      </c>
    </row>
    <row r="39" spans="1:12" ht="21" customHeight="1" x14ac:dyDescent="0.15">
      <c r="A39" s="45">
        <v>39006038</v>
      </c>
      <c r="B39" s="45">
        <v>0</v>
      </c>
      <c r="C39" s="45" t="s">
        <v>89</v>
      </c>
      <c r="D39" s="45">
        <v>100</v>
      </c>
      <c r="E39" s="45" t="s">
        <v>313</v>
      </c>
      <c r="F39" s="45" t="s">
        <v>90</v>
      </c>
      <c r="G39" s="45">
        <v>1</v>
      </c>
      <c r="H39" s="45" t="s">
        <v>90</v>
      </c>
      <c r="I39" s="45" t="s">
        <v>90</v>
      </c>
      <c r="J39" s="46">
        <f t="shared" si="1"/>
        <v>100</v>
      </c>
      <c r="L39" s="43" t="s">
        <v>251</v>
      </c>
    </row>
    <row r="40" spans="1:12" ht="21" customHeight="1" x14ac:dyDescent="0.15">
      <c r="A40" s="45">
        <v>39006039</v>
      </c>
      <c r="B40" s="45">
        <v>0</v>
      </c>
      <c r="C40" s="45" t="s">
        <v>89</v>
      </c>
      <c r="D40" s="45">
        <v>100</v>
      </c>
      <c r="E40" s="45">
        <v>50</v>
      </c>
      <c r="F40" s="45" t="s">
        <v>90</v>
      </c>
      <c r="G40" s="45">
        <v>1</v>
      </c>
      <c r="H40" s="45" t="s">
        <v>90</v>
      </c>
      <c r="I40" s="45" t="s">
        <v>90</v>
      </c>
      <c r="J40" s="46">
        <f t="shared" si="1"/>
        <v>100</v>
      </c>
      <c r="L40" s="43" t="s">
        <v>252</v>
      </c>
    </row>
    <row r="41" spans="1:12" ht="21" customHeight="1" x14ac:dyDescent="0.15">
      <c r="A41" s="45">
        <v>39006040</v>
      </c>
      <c r="B41" s="45">
        <v>0</v>
      </c>
      <c r="C41" s="45" t="s">
        <v>89</v>
      </c>
      <c r="D41" s="45">
        <v>100</v>
      </c>
      <c r="E41" s="45">
        <v>40</v>
      </c>
      <c r="F41" s="45" t="s">
        <v>90</v>
      </c>
      <c r="G41" s="45">
        <v>1</v>
      </c>
      <c r="H41" s="45" t="s">
        <v>90</v>
      </c>
      <c r="I41" s="45" t="s">
        <v>90</v>
      </c>
      <c r="J41" s="46">
        <f t="shared" si="1"/>
        <v>100</v>
      </c>
      <c r="L41" s="43" t="s">
        <v>253</v>
      </c>
    </row>
    <row r="42" spans="1:12" ht="21" customHeight="1" x14ac:dyDescent="0.15">
      <c r="A42" s="119">
        <v>39006041</v>
      </c>
      <c r="B42" s="119">
        <v>1</v>
      </c>
      <c r="C42" s="119">
        <v>80</v>
      </c>
      <c r="D42" s="119">
        <v>100</v>
      </c>
      <c r="E42" s="119" t="s">
        <v>313</v>
      </c>
      <c r="F42" s="119" t="s">
        <v>90</v>
      </c>
      <c r="G42" s="119">
        <v>1</v>
      </c>
      <c r="H42" s="119" t="s">
        <v>90</v>
      </c>
      <c r="I42" s="119" t="s">
        <v>90</v>
      </c>
      <c r="J42" s="46">
        <f t="shared" si="1"/>
        <v>100</v>
      </c>
      <c r="L42" s="43" t="s">
        <v>254</v>
      </c>
    </row>
    <row r="43" spans="1:12" ht="21" customHeight="1" x14ac:dyDescent="0.15">
      <c r="A43" s="119">
        <v>39006042</v>
      </c>
      <c r="B43" s="119">
        <v>1</v>
      </c>
      <c r="C43" s="119">
        <v>80</v>
      </c>
      <c r="D43" s="119">
        <v>100</v>
      </c>
      <c r="E43" s="119" t="s">
        <v>313</v>
      </c>
      <c r="F43" s="119" t="s">
        <v>90</v>
      </c>
      <c r="G43" s="119">
        <v>1</v>
      </c>
      <c r="H43" s="119" t="s">
        <v>90</v>
      </c>
      <c r="I43" s="119" t="s">
        <v>90</v>
      </c>
      <c r="J43" s="46">
        <f t="shared" si="1"/>
        <v>100</v>
      </c>
      <c r="L43" s="43" t="s">
        <v>255</v>
      </c>
    </row>
    <row r="44" spans="1:12" ht="21" customHeight="1" x14ac:dyDescent="0.15">
      <c r="A44" s="119">
        <v>39006043</v>
      </c>
      <c r="B44" s="119">
        <v>1</v>
      </c>
      <c r="C44" s="119">
        <v>80</v>
      </c>
      <c r="D44" s="119">
        <v>100</v>
      </c>
      <c r="E44" s="119" t="s">
        <v>313</v>
      </c>
      <c r="F44" s="119" t="s">
        <v>90</v>
      </c>
      <c r="G44" s="119">
        <v>1</v>
      </c>
      <c r="H44" s="119" t="s">
        <v>90</v>
      </c>
      <c r="I44" s="119" t="s">
        <v>90</v>
      </c>
      <c r="J44" s="46">
        <f t="shared" si="1"/>
        <v>100</v>
      </c>
      <c r="L44" s="43" t="s">
        <v>256</v>
      </c>
    </row>
    <row r="45" spans="1:12" ht="21" customHeight="1" x14ac:dyDescent="0.15">
      <c r="A45" s="119">
        <v>39006044</v>
      </c>
      <c r="B45" s="119">
        <v>1</v>
      </c>
      <c r="C45" s="119">
        <v>80</v>
      </c>
      <c r="D45" s="119">
        <v>100</v>
      </c>
      <c r="E45" s="119" t="s">
        <v>313</v>
      </c>
      <c r="F45" s="119" t="s">
        <v>90</v>
      </c>
      <c r="G45" s="119">
        <v>1</v>
      </c>
      <c r="H45" s="119" t="s">
        <v>90</v>
      </c>
      <c r="I45" s="119" t="s">
        <v>90</v>
      </c>
      <c r="J45" s="46">
        <f t="shared" si="1"/>
        <v>100</v>
      </c>
      <c r="L45" s="43" t="s">
        <v>257</v>
      </c>
    </row>
    <row r="46" spans="1:12" ht="21" customHeight="1" x14ac:dyDescent="0.15">
      <c r="A46" s="45">
        <v>39006045</v>
      </c>
      <c r="B46" s="45">
        <v>0</v>
      </c>
      <c r="C46" s="45">
        <v>100</v>
      </c>
      <c r="D46" s="45">
        <v>100</v>
      </c>
      <c r="E46" s="45" t="s">
        <v>313</v>
      </c>
      <c r="F46" s="45" t="s">
        <v>90</v>
      </c>
      <c r="G46" s="45">
        <v>1</v>
      </c>
      <c r="H46" s="45" t="s">
        <v>90</v>
      </c>
      <c r="I46" s="45" t="s">
        <v>90</v>
      </c>
      <c r="J46" s="46">
        <f t="shared" si="1"/>
        <v>100</v>
      </c>
      <c r="L46" s="43" t="s">
        <v>258</v>
      </c>
    </row>
    <row r="47" spans="1:12" ht="21" customHeight="1" x14ac:dyDescent="0.15">
      <c r="A47" s="45">
        <v>39006046</v>
      </c>
      <c r="B47" s="45">
        <v>0</v>
      </c>
      <c r="C47" s="45">
        <v>99</v>
      </c>
      <c r="D47" s="45">
        <v>100</v>
      </c>
      <c r="E47" s="45" t="s">
        <v>313</v>
      </c>
      <c r="F47" s="45" t="s">
        <v>90</v>
      </c>
      <c r="G47" s="45">
        <v>1</v>
      </c>
      <c r="H47" s="45" t="s">
        <v>90</v>
      </c>
      <c r="I47" s="45" t="s">
        <v>90</v>
      </c>
      <c r="J47" s="46">
        <f t="shared" si="1"/>
        <v>100</v>
      </c>
      <c r="L47" s="43" t="s">
        <v>259</v>
      </c>
    </row>
    <row r="48" spans="1:12" ht="21" customHeight="1" x14ac:dyDescent="0.15">
      <c r="A48" s="45">
        <v>39006047</v>
      </c>
      <c r="B48" s="45">
        <v>0</v>
      </c>
      <c r="C48" s="45">
        <v>98</v>
      </c>
      <c r="D48" s="45">
        <v>100</v>
      </c>
      <c r="E48" s="45" t="s">
        <v>313</v>
      </c>
      <c r="F48" s="45" t="s">
        <v>90</v>
      </c>
      <c r="G48" s="45">
        <v>1</v>
      </c>
      <c r="H48" s="45" t="s">
        <v>90</v>
      </c>
      <c r="I48" s="45" t="s">
        <v>90</v>
      </c>
      <c r="J48" s="46">
        <f t="shared" si="1"/>
        <v>100</v>
      </c>
      <c r="L48" s="43" t="s">
        <v>260</v>
      </c>
    </row>
    <row r="49" spans="1:12" ht="21" customHeight="1" x14ac:dyDescent="0.15">
      <c r="A49" s="45">
        <v>39006048</v>
      </c>
      <c r="B49" s="45">
        <v>0</v>
      </c>
      <c r="C49" s="45">
        <v>97</v>
      </c>
      <c r="D49" s="45">
        <v>100</v>
      </c>
      <c r="E49" s="45" t="s">
        <v>313</v>
      </c>
      <c r="F49" s="45" t="s">
        <v>90</v>
      </c>
      <c r="G49" s="45">
        <v>1</v>
      </c>
      <c r="H49" s="45" t="s">
        <v>90</v>
      </c>
      <c r="I49" s="45" t="s">
        <v>90</v>
      </c>
      <c r="J49" s="46">
        <f t="shared" si="1"/>
        <v>100</v>
      </c>
      <c r="L49" s="43" t="s">
        <v>261</v>
      </c>
    </row>
    <row r="50" spans="1:12" ht="21" customHeight="1" x14ac:dyDescent="0.15">
      <c r="A50" s="45">
        <v>39006049</v>
      </c>
      <c r="B50" s="45">
        <v>0</v>
      </c>
      <c r="C50" s="45">
        <v>96</v>
      </c>
      <c r="D50" s="45">
        <v>100</v>
      </c>
      <c r="E50" s="45" t="s">
        <v>313</v>
      </c>
      <c r="F50" s="45" t="s">
        <v>90</v>
      </c>
      <c r="G50" s="45">
        <v>1</v>
      </c>
      <c r="H50" s="45" t="s">
        <v>90</v>
      </c>
      <c r="I50" s="45" t="s">
        <v>90</v>
      </c>
      <c r="J50" s="46">
        <f t="shared" si="1"/>
        <v>100</v>
      </c>
      <c r="L50" s="43" t="s">
        <v>322</v>
      </c>
    </row>
    <row r="51" spans="1:12" ht="21" customHeight="1" x14ac:dyDescent="0.15">
      <c r="A51" s="45">
        <v>39006050</v>
      </c>
      <c r="B51" s="45">
        <v>1</v>
      </c>
      <c r="C51" s="45" t="s">
        <v>89</v>
      </c>
      <c r="D51" s="45">
        <v>100</v>
      </c>
      <c r="E51" s="45" t="s">
        <v>313</v>
      </c>
      <c r="F51" s="45" t="s">
        <v>90</v>
      </c>
      <c r="G51" s="45">
        <v>1</v>
      </c>
      <c r="H51" s="45" t="s">
        <v>90</v>
      </c>
      <c r="I51" s="45" t="s">
        <v>90</v>
      </c>
      <c r="J51" s="46">
        <f t="shared" si="1"/>
        <v>100</v>
      </c>
      <c r="L51" s="43" t="s">
        <v>263</v>
      </c>
    </row>
    <row r="52" spans="1:12" ht="21" customHeight="1" x14ac:dyDescent="0.15">
      <c r="A52" s="45">
        <v>39006051</v>
      </c>
      <c r="B52" s="45">
        <v>0</v>
      </c>
      <c r="C52" s="45">
        <v>100</v>
      </c>
      <c r="D52" s="45">
        <v>99</v>
      </c>
      <c r="E52" s="45">
        <v>30</v>
      </c>
      <c r="F52" s="45" t="s">
        <v>90</v>
      </c>
      <c r="G52" s="45">
        <v>1</v>
      </c>
      <c r="H52" s="45" t="s">
        <v>90</v>
      </c>
      <c r="I52" s="45" t="s">
        <v>90</v>
      </c>
      <c r="J52" s="46">
        <f t="shared" si="1"/>
        <v>99</v>
      </c>
      <c r="L52" s="43" t="s">
        <v>265</v>
      </c>
    </row>
    <row r="53" spans="1:12" ht="21" customHeight="1" x14ac:dyDescent="0.15">
      <c r="A53" s="45">
        <v>39006052</v>
      </c>
      <c r="B53" s="45">
        <v>0</v>
      </c>
      <c r="C53" s="45">
        <v>99</v>
      </c>
      <c r="D53" s="45">
        <v>98</v>
      </c>
      <c r="E53" s="45">
        <v>30</v>
      </c>
      <c r="F53" s="45" t="s">
        <v>90</v>
      </c>
      <c r="G53" s="45" t="s">
        <v>315</v>
      </c>
      <c r="H53" s="45" t="s">
        <v>90</v>
      </c>
      <c r="I53" s="45" t="s">
        <v>90</v>
      </c>
      <c r="J53" s="46">
        <f t="shared" si="1"/>
        <v>98</v>
      </c>
      <c r="L53" s="43" t="s">
        <v>264</v>
      </c>
    </row>
    <row r="54" spans="1:12" ht="21" customHeight="1" x14ac:dyDescent="0.15">
      <c r="A54" s="120">
        <v>39006053</v>
      </c>
      <c r="B54" s="120">
        <v>1</v>
      </c>
      <c r="C54" s="120">
        <v>100</v>
      </c>
      <c r="D54" s="120">
        <v>100</v>
      </c>
      <c r="E54" s="120" t="s">
        <v>313</v>
      </c>
      <c r="F54" s="120" t="s">
        <v>90</v>
      </c>
      <c r="G54" s="120">
        <v>1</v>
      </c>
      <c r="H54" s="120" t="s">
        <v>90</v>
      </c>
      <c r="I54" s="120" t="s">
        <v>90</v>
      </c>
      <c r="J54" s="46">
        <f t="shared" ref="J54:J65" si="2">D54</f>
        <v>100</v>
      </c>
      <c r="L54" s="43" t="s">
        <v>293</v>
      </c>
    </row>
    <row r="55" spans="1:12" ht="21" customHeight="1" x14ac:dyDescent="0.15">
      <c r="A55" s="120">
        <v>39006054</v>
      </c>
      <c r="B55" s="120">
        <v>1</v>
      </c>
      <c r="C55" s="120">
        <v>100</v>
      </c>
      <c r="D55" s="120">
        <v>100</v>
      </c>
      <c r="E55" s="120" t="s">
        <v>313</v>
      </c>
      <c r="F55" s="120" t="s">
        <v>90</v>
      </c>
      <c r="G55" s="120">
        <v>1</v>
      </c>
      <c r="H55" s="120" t="s">
        <v>90</v>
      </c>
      <c r="I55" s="120" t="s">
        <v>90</v>
      </c>
      <c r="J55" s="46">
        <f t="shared" si="2"/>
        <v>100</v>
      </c>
      <c r="L55" s="43" t="s">
        <v>294</v>
      </c>
    </row>
    <row r="56" spans="1:12" ht="21" customHeight="1" x14ac:dyDescent="0.15">
      <c r="A56" s="120">
        <v>39006055</v>
      </c>
      <c r="B56" s="120">
        <v>1</v>
      </c>
      <c r="C56" s="120">
        <v>100</v>
      </c>
      <c r="D56" s="120">
        <v>100</v>
      </c>
      <c r="E56" s="120" t="s">
        <v>313</v>
      </c>
      <c r="F56" s="120" t="s">
        <v>90</v>
      </c>
      <c r="G56" s="120">
        <v>1</v>
      </c>
      <c r="H56" s="120" t="s">
        <v>90</v>
      </c>
      <c r="I56" s="120" t="s">
        <v>90</v>
      </c>
      <c r="J56" s="46">
        <f t="shared" si="2"/>
        <v>100</v>
      </c>
      <c r="L56" s="43" t="s">
        <v>321</v>
      </c>
    </row>
    <row r="57" spans="1:12" ht="21" customHeight="1" x14ac:dyDescent="0.15">
      <c r="A57" s="120">
        <v>39006056</v>
      </c>
      <c r="B57" s="120">
        <v>1</v>
      </c>
      <c r="C57" s="120">
        <v>100</v>
      </c>
      <c r="D57" s="120">
        <v>100</v>
      </c>
      <c r="E57" s="120" t="s">
        <v>313</v>
      </c>
      <c r="F57" s="120" t="s">
        <v>90</v>
      </c>
      <c r="G57" s="120">
        <v>1</v>
      </c>
      <c r="H57" s="120" t="s">
        <v>90</v>
      </c>
      <c r="I57" s="120" t="s">
        <v>90</v>
      </c>
      <c r="J57" s="46">
        <f t="shared" si="2"/>
        <v>100</v>
      </c>
      <c r="L57" s="43" t="s">
        <v>312</v>
      </c>
    </row>
    <row r="58" spans="1:12" ht="21" customHeight="1" x14ac:dyDescent="0.15">
      <c r="A58" s="120">
        <v>39006057</v>
      </c>
      <c r="B58" s="120">
        <v>1</v>
      </c>
      <c r="C58" s="120">
        <v>100</v>
      </c>
      <c r="D58" s="120">
        <v>100</v>
      </c>
      <c r="E58" s="120" t="s">
        <v>313</v>
      </c>
      <c r="F58" s="120" t="s">
        <v>90</v>
      </c>
      <c r="G58" s="120">
        <v>1</v>
      </c>
      <c r="H58" s="120" t="s">
        <v>90</v>
      </c>
      <c r="I58" s="120" t="s">
        <v>90</v>
      </c>
      <c r="J58" s="46">
        <f t="shared" si="2"/>
        <v>100</v>
      </c>
      <c r="L58" s="43" t="s">
        <v>291</v>
      </c>
    </row>
    <row r="59" spans="1:12" ht="21" customHeight="1" x14ac:dyDescent="0.15">
      <c r="A59" s="120">
        <v>39006058</v>
      </c>
      <c r="B59" s="120">
        <v>1</v>
      </c>
      <c r="C59" s="120">
        <v>100</v>
      </c>
      <c r="D59" s="120">
        <v>100</v>
      </c>
      <c r="E59" s="120" t="s">
        <v>313</v>
      </c>
      <c r="F59" s="120" t="s">
        <v>90</v>
      </c>
      <c r="G59" s="120">
        <v>1</v>
      </c>
      <c r="H59" s="120" t="s">
        <v>90</v>
      </c>
      <c r="I59" s="120" t="s">
        <v>90</v>
      </c>
      <c r="J59" s="46">
        <f t="shared" si="2"/>
        <v>100</v>
      </c>
      <c r="L59" s="43" t="s">
        <v>292</v>
      </c>
    </row>
    <row r="60" spans="1:12" ht="21" customHeight="1" x14ac:dyDescent="0.15">
      <c r="A60" s="120">
        <v>39006059</v>
      </c>
      <c r="B60" s="120">
        <v>1</v>
      </c>
      <c r="C60" s="120">
        <v>100</v>
      </c>
      <c r="D60" s="120">
        <v>100</v>
      </c>
      <c r="E60" s="120" t="s">
        <v>313</v>
      </c>
      <c r="F60" s="120" t="s">
        <v>90</v>
      </c>
      <c r="G60" s="120">
        <v>1</v>
      </c>
      <c r="H60" s="120" t="s">
        <v>90</v>
      </c>
      <c r="I60" s="120" t="s">
        <v>90</v>
      </c>
      <c r="J60" s="46">
        <f t="shared" si="2"/>
        <v>100</v>
      </c>
      <c r="L60" s="43" t="s">
        <v>320</v>
      </c>
    </row>
    <row r="61" spans="1:12" ht="21" customHeight="1" x14ac:dyDescent="0.15">
      <c r="A61" s="120">
        <v>39006060</v>
      </c>
      <c r="B61" s="120">
        <v>1</v>
      </c>
      <c r="C61" s="120">
        <v>100</v>
      </c>
      <c r="D61" s="120">
        <v>100</v>
      </c>
      <c r="E61" s="120" t="s">
        <v>313</v>
      </c>
      <c r="F61" s="120" t="s">
        <v>90</v>
      </c>
      <c r="G61" s="120">
        <v>1</v>
      </c>
      <c r="H61" s="120" t="s">
        <v>90</v>
      </c>
      <c r="I61" s="120" t="s">
        <v>90</v>
      </c>
      <c r="J61" s="46">
        <f t="shared" si="2"/>
        <v>100</v>
      </c>
      <c r="L61" s="43" t="s">
        <v>289</v>
      </c>
    </row>
    <row r="62" spans="1:12" ht="21" customHeight="1" x14ac:dyDescent="0.15">
      <c r="A62" s="120">
        <v>39006061</v>
      </c>
      <c r="B62" s="120">
        <v>1</v>
      </c>
      <c r="C62" s="120">
        <v>100</v>
      </c>
      <c r="D62" s="120">
        <v>100</v>
      </c>
      <c r="E62" s="120" t="s">
        <v>313</v>
      </c>
      <c r="F62" s="120" t="s">
        <v>90</v>
      </c>
      <c r="G62" s="120">
        <v>1</v>
      </c>
      <c r="H62" s="120" t="s">
        <v>90</v>
      </c>
      <c r="I62" s="120" t="s">
        <v>90</v>
      </c>
      <c r="J62" s="46">
        <f t="shared" si="2"/>
        <v>100</v>
      </c>
      <c r="L62" s="43" t="s">
        <v>290</v>
      </c>
    </row>
    <row r="63" spans="1:12" ht="21" customHeight="1" x14ac:dyDescent="0.15">
      <c r="A63" s="120">
        <v>39006062</v>
      </c>
      <c r="B63" s="120">
        <v>1</v>
      </c>
      <c r="C63" s="120">
        <v>100</v>
      </c>
      <c r="D63" s="120">
        <v>100</v>
      </c>
      <c r="E63" s="120" t="s">
        <v>313</v>
      </c>
      <c r="F63" s="120" t="s">
        <v>90</v>
      </c>
      <c r="G63" s="120">
        <v>1</v>
      </c>
      <c r="H63" s="120" t="s">
        <v>90</v>
      </c>
      <c r="I63" s="120" t="s">
        <v>90</v>
      </c>
      <c r="J63" s="46">
        <f t="shared" si="2"/>
        <v>100</v>
      </c>
      <c r="L63" s="43" t="s">
        <v>286</v>
      </c>
    </row>
    <row r="64" spans="1:12" ht="21" customHeight="1" x14ac:dyDescent="0.15">
      <c r="A64" s="120">
        <v>39006063</v>
      </c>
      <c r="B64" s="120">
        <v>1</v>
      </c>
      <c r="C64" s="120">
        <v>100</v>
      </c>
      <c r="D64" s="120">
        <v>100</v>
      </c>
      <c r="E64" s="120" t="s">
        <v>313</v>
      </c>
      <c r="F64" s="120" t="s">
        <v>90</v>
      </c>
      <c r="G64" s="120">
        <v>1</v>
      </c>
      <c r="H64" s="120" t="s">
        <v>90</v>
      </c>
      <c r="I64" s="120" t="s">
        <v>90</v>
      </c>
      <c r="J64" s="46">
        <f t="shared" si="2"/>
        <v>100</v>
      </c>
      <c r="L64" s="43" t="s">
        <v>287</v>
      </c>
    </row>
    <row r="65" spans="1:12" ht="21" customHeight="1" x14ac:dyDescent="0.15">
      <c r="A65" s="120">
        <v>39006064</v>
      </c>
      <c r="B65" s="120">
        <v>1</v>
      </c>
      <c r="C65" s="120">
        <v>100</v>
      </c>
      <c r="D65" s="120">
        <v>100</v>
      </c>
      <c r="E65" s="120" t="s">
        <v>313</v>
      </c>
      <c r="F65" s="120" t="s">
        <v>90</v>
      </c>
      <c r="G65" s="120">
        <v>1</v>
      </c>
      <c r="H65" s="120" t="s">
        <v>90</v>
      </c>
      <c r="I65" s="120" t="s">
        <v>90</v>
      </c>
      <c r="J65" s="46">
        <f t="shared" si="2"/>
        <v>100</v>
      </c>
      <c r="L65" s="43" t="s">
        <v>288</v>
      </c>
    </row>
    <row r="66" spans="1:12" ht="21" customHeight="1" x14ac:dyDescent="0.15">
      <c r="A66" s="184">
        <v>39006065</v>
      </c>
      <c r="B66" s="184">
        <v>1</v>
      </c>
      <c r="C66" s="45" t="s">
        <v>89</v>
      </c>
      <c r="D66" s="184">
        <v>100</v>
      </c>
      <c r="E66" s="184" t="s">
        <v>89</v>
      </c>
      <c r="F66" s="184" t="s">
        <v>89</v>
      </c>
      <c r="G66" s="184">
        <v>1</v>
      </c>
      <c r="H66" s="184" t="s">
        <v>89</v>
      </c>
      <c r="I66" s="184" t="s">
        <v>89</v>
      </c>
      <c r="J66" s="46">
        <f t="shared" ref="J66:J67" si="3">D66</f>
        <v>100</v>
      </c>
      <c r="L66" s="43" t="s">
        <v>550</v>
      </c>
    </row>
    <row r="67" spans="1:12" ht="21" customHeight="1" x14ac:dyDescent="0.15">
      <c r="A67" s="184">
        <v>39006066</v>
      </c>
      <c r="B67" s="184">
        <v>0</v>
      </c>
      <c r="C67" s="184">
        <v>100</v>
      </c>
      <c r="D67" s="184">
        <v>100</v>
      </c>
      <c r="E67" s="184" t="s">
        <v>89</v>
      </c>
      <c r="F67" s="184" t="s">
        <v>89</v>
      </c>
      <c r="G67" s="184">
        <v>1</v>
      </c>
      <c r="H67" s="184">
        <v>4</v>
      </c>
      <c r="I67" s="184" t="s">
        <v>89</v>
      </c>
      <c r="J67" s="46">
        <f t="shared" si="3"/>
        <v>100</v>
      </c>
      <c r="L67" s="43" t="s">
        <v>550</v>
      </c>
    </row>
  </sheetData>
  <autoFilter ref="A1:G1"/>
  <phoneticPr fontId="6"/>
  <conditionalFormatting sqref="K1:K53 K68:K1048576">
    <cfRule type="duplicateValues" dxfId="1" priority="2"/>
  </conditionalFormatting>
  <conditionalFormatting sqref="K54:K6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0000FF"/>
  </sheetPr>
  <dimension ref="A1:V61"/>
  <sheetViews>
    <sheetView workbookViewId="0">
      <selection activeCell="N1" sqref="N1"/>
    </sheetView>
  </sheetViews>
  <sheetFormatPr baseColWidth="12" defaultRowHeight="15" x14ac:dyDescent="0.15"/>
  <cols>
    <col min="17" max="18" width="19" bestFit="1" customWidth="1"/>
    <col min="19" max="19" width="19.83203125" customWidth="1"/>
  </cols>
  <sheetData>
    <row r="1" spans="1:21" ht="16" thickBot="1" x14ac:dyDescent="0.2">
      <c r="A1" s="125" t="s">
        <v>342</v>
      </c>
      <c r="B1" s="125" t="s">
        <v>343</v>
      </c>
      <c r="C1" s="126" t="s">
        <v>344</v>
      </c>
      <c r="D1" s="127" t="s">
        <v>345</v>
      </c>
      <c r="E1" s="128" t="s">
        <v>346</v>
      </c>
      <c r="F1" s="125" t="s">
        <v>347</v>
      </c>
      <c r="G1" s="125" t="s">
        <v>152</v>
      </c>
      <c r="H1" s="125" t="s">
        <v>348</v>
      </c>
      <c r="I1" s="125" t="s">
        <v>57</v>
      </c>
      <c r="J1" s="125" t="s">
        <v>155</v>
      </c>
      <c r="K1" s="125" t="s">
        <v>38</v>
      </c>
      <c r="L1" s="125" t="s">
        <v>40</v>
      </c>
      <c r="M1" s="125" t="s">
        <v>42</v>
      </c>
      <c r="N1" s="125" t="s">
        <v>349</v>
      </c>
      <c r="O1" s="125" t="s">
        <v>46</v>
      </c>
      <c r="P1" s="125" t="s">
        <v>350</v>
      </c>
      <c r="Q1" s="125" t="s">
        <v>351</v>
      </c>
      <c r="R1" s="129" t="s">
        <v>352</v>
      </c>
      <c r="S1" s="130"/>
      <c r="T1" s="131" t="s">
        <v>353</v>
      </c>
      <c r="U1" s="130" t="s">
        <v>354</v>
      </c>
    </row>
    <row r="2" spans="1:21" x14ac:dyDescent="0.15">
      <c r="A2" s="132">
        <v>39006</v>
      </c>
      <c r="B2" s="77">
        <v>1</v>
      </c>
      <c r="C2" s="68" t="str">
        <f>A2&amp; "_"&amp;B2</f>
        <v>39006_1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7">
        <v>1</v>
      </c>
      <c r="F2" s="77" t="s">
        <v>164</v>
      </c>
      <c r="G2" s="77">
        <v>1700</v>
      </c>
      <c r="H2" s="77" t="s">
        <v>355</v>
      </c>
      <c r="I2" s="77">
        <v>1</v>
      </c>
      <c r="J2" s="77">
        <v>1</v>
      </c>
      <c r="K2" s="77">
        <v>0</v>
      </c>
      <c r="L2" s="77">
        <v>0</v>
      </c>
      <c r="M2" s="77">
        <v>0</v>
      </c>
      <c r="N2" s="77">
        <v>0</v>
      </c>
      <c r="O2" s="77">
        <v>1</v>
      </c>
      <c r="P2" s="77">
        <v>150</v>
      </c>
      <c r="Q2" s="77" t="s">
        <v>165</v>
      </c>
      <c r="R2" s="133" t="s">
        <v>166</v>
      </c>
      <c r="T2" s="134">
        <f t="shared" ref="T2:T15" si="0">P2/SUM(P$2:P$15)</f>
        <v>0.15</v>
      </c>
      <c r="U2" t="str">
        <f>IF($F2="unit",VLOOKUP($G2,[4]characters!$A:$C,3,),($G2&amp;$F2))</f>
        <v>1700bit</v>
      </c>
    </row>
    <row r="3" spans="1:21" x14ac:dyDescent="0.15">
      <c r="A3" s="132">
        <v>39006</v>
      </c>
      <c r="B3" s="77">
        <v>1</v>
      </c>
      <c r="C3" s="68" t="str">
        <f t="shared" ref="C3:C61" si="1">A3&amp; "_"&amp;B3</f>
        <v>39006_1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7">
        <v>2</v>
      </c>
      <c r="F3" s="77" t="s">
        <v>356</v>
      </c>
      <c r="G3" s="77">
        <v>20</v>
      </c>
      <c r="H3" s="77" t="s">
        <v>357</v>
      </c>
      <c r="I3" s="77">
        <v>1</v>
      </c>
      <c r="J3" s="77">
        <v>1</v>
      </c>
      <c r="K3" s="77">
        <v>0</v>
      </c>
      <c r="L3" s="77">
        <v>0</v>
      </c>
      <c r="M3" s="77">
        <v>0</v>
      </c>
      <c r="N3" s="77">
        <v>0</v>
      </c>
      <c r="O3" s="77">
        <v>1</v>
      </c>
      <c r="P3" s="77">
        <v>150</v>
      </c>
      <c r="Q3" s="77" t="s">
        <v>165</v>
      </c>
      <c r="R3" s="133" t="s">
        <v>166</v>
      </c>
      <c r="T3" s="135">
        <f t="shared" si="0"/>
        <v>0.15</v>
      </c>
      <c r="U3" t="str">
        <f>IF($F3="unit",VLOOKUP($G3,[4]characters!$A:$C,3,),($G3&amp;$F3))</f>
        <v>20link</v>
      </c>
    </row>
    <row r="4" spans="1:21" x14ac:dyDescent="0.15">
      <c r="A4" s="132">
        <v>39006</v>
      </c>
      <c r="B4" s="77">
        <v>1</v>
      </c>
      <c r="C4" s="68" t="str">
        <f t="shared" si="1"/>
        <v>39006_1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7">
        <v>3</v>
      </c>
      <c r="F4" s="77" t="s">
        <v>359</v>
      </c>
      <c r="G4" s="77">
        <v>336</v>
      </c>
      <c r="H4" s="77">
        <v>1</v>
      </c>
      <c r="I4" s="77">
        <v>1</v>
      </c>
      <c r="J4" s="77">
        <v>1</v>
      </c>
      <c r="K4" s="77">
        <v>0</v>
      </c>
      <c r="L4" s="77">
        <v>0</v>
      </c>
      <c r="M4" s="77">
        <v>0</v>
      </c>
      <c r="N4" s="77">
        <v>0</v>
      </c>
      <c r="O4" s="77">
        <v>1</v>
      </c>
      <c r="P4" s="77">
        <v>50</v>
      </c>
      <c r="Q4" s="77" t="s">
        <v>165</v>
      </c>
      <c r="R4" s="133" t="s">
        <v>166</v>
      </c>
      <c r="T4" s="135">
        <f t="shared" si="0"/>
        <v>0.05</v>
      </c>
      <c r="U4" t="str">
        <f>IF($F4="unit",VLOOKUP($G4,[4]characters!$A:$C,3,),($G4&amp;$F4))</f>
        <v>森のメタルピヨピヨ</v>
      </c>
    </row>
    <row r="5" spans="1:21" x14ac:dyDescent="0.15">
      <c r="A5" s="132">
        <v>39006</v>
      </c>
      <c r="B5" s="77">
        <v>1</v>
      </c>
      <c r="C5" s="68" t="str">
        <f t="shared" si="1"/>
        <v>39006_1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7">
        <v>4</v>
      </c>
      <c r="F5" s="77" t="s">
        <v>360</v>
      </c>
      <c r="G5" s="77">
        <v>344</v>
      </c>
      <c r="H5" s="77">
        <v>1</v>
      </c>
      <c r="I5" s="77">
        <v>1</v>
      </c>
      <c r="J5" s="77">
        <v>1</v>
      </c>
      <c r="K5" s="77">
        <v>0</v>
      </c>
      <c r="L5" s="77">
        <v>0</v>
      </c>
      <c r="M5" s="77">
        <v>0</v>
      </c>
      <c r="N5" s="77">
        <v>0</v>
      </c>
      <c r="O5" s="77">
        <v>1</v>
      </c>
      <c r="P5" s="77">
        <v>50</v>
      </c>
      <c r="Q5" s="77" t="s">
        <v>165</v>
      </c>
      <c r="R5" s="133" t="s">
        <v>166</v>
      </c>
      <c r="T5" s="135">
        <f t="shared" si="0"/>
        <v>0.05</v>
      </c>
      <c r="U5" t="str">
        <f>IF($F5="unit",VLOOKUP($G5,[4]characters!$A:$C,3,),($G5&amp;$F5))</f>
        <v>雷のメタルピヨピヨ</v>
      </c>
    </row>
    <row r="6" spans="1:21" x14ac:dyDescent="0.15">
      <c r="A6" s="132">
        <v>39006</v>
      </c>
      <c r="B6" s="77">
        <v>1</v>
      </c>
      <c r="C6" s="68" t="str">
        <f t="shared" ref="C6:C7" si="2">A6&amp; "_"&amp;B6</f>
        <v>39006_1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7">
        <v>5</v>
      </c>
      <c r="F6" s="77" t="s">
        <v>360</v>
      </c>
      <c r="G6" s="77">
        <v>337</v>
      </c>
      <c r="H6" s="77">
        <v>1</v>
      </c>
      <c r="I6" s="77">
        <v>1</v>
      </c>
      <c r="J6" s="77">
        <v>1</v>
      </c>
      <c r="K6" s="77">
        <v>0</v>
      </c>
      <c r="L6" s="77">
        <v>0</v>
      </c>
      <c r="M6" s="77">
        <v>0</v>
      </c>
      <c r="N6" s="77">
        <v>0</v>
      </c>
      <c r="O6" s="77">
        <v>1</v>
      </c>
      <c r="P6" s="77">
        <v>50</v>
      </c>
      <c r="Q6" s="77" t="s">
        <v>165</v>
      </c>
      <c r="R6" s="133" t="s">
        <v>166</v>
      </c>
      <c r="T6" s="135">
        <f t="shared" si="0"/>
        <v>0.05</v>
      </c>
      <c r="U6" t="str">
        <f>IF($F6="unit",VLOOKUP($G6,[4]characters!$A:$C,3,),($G6&amp;$F6))</f>
        <v>森のメタルチック</v>
      </c>
    </row>
    <row r="7" spans="1:21" x14ac:dyDescent="0.15">
      <c r="A7" s="132">
        <v>39006</v>
      </c>
      <c r="B7" s="77">
        <v>1</v>
      </c>
      <c r="C7" s="68" t="str">
        <f t="shared" si="2"/>
        <v>39006_1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7">
        <v>6</v>
      </c>
      <c r="F7" s="77" t="s">
        <v>360</v>
      </c>
      <c r="G7" s="77">
        <v>345</v>
      </c>
      <c r="H7" s="77">
        <v>1</v>
      </c>
      <c r="I7" s="77">
        <v>1</v>
      </c>
      <c r="J7" s="77">
        <v>1</v>
      </c>
      <c r="K7" s="77">
        <v>0</v>
      </c>
      <c r="L7" s="77">
        <v>0</v>
      </c>
      <c r="M7" s="77">
        <v>0</v>
      </c>
      <c r="N7" s="77">
        <v>0</v>
      </c>
      <c r="O7" s="77">
        <v>1</v>
      </c>
      <c r="P7" s="77">
        <v>50</v>
      </c>
      <c r="Q7" s="77" t="s">
        <v>165</v>
      </c>
      <c r="R7" s="133" t="s">
        <v>166</v>
      </c>
      <c r="T7" s="135">
        <f t="shared" si="0"/>
        <v>0.05</v>
      </c>
      <c r="U7" t="str">
        <f>IF($F7="unit",VLOOKUP($G7,[4]characters!$A:$C,3,),($G7&amp;$F7))</f>
        <v>雷のメタルチック</v>
      </c>
    </row>
    <row r="8" spans="1:21" x14ac:dyDescent="0.15">
      <c r="A8" s="132">
        <v>39006</v>
      </c>
      <c r="B8" s="77">
        <v>1</v>
      </c>
      <c r="C8" s="68" t="str">
        <f t="shared" si="1"/>
        <v>39006_1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7">
        <v>7</v>
      </c>
      <c r="F8" s="77" t="s">
        <v>361</v>
      </c>
      <c r="G8" s="77">
        <v>121</v>
      </c>
      <c r="H8" s="77">
        <v>1</v>
      </c>
      <c r="I8" s="77">
        <v>1</v>
      </c>
      <c r="J8" s="77">
        <v>1</v>
      </c>
      <c r="K8" s="77">
        <v>0</v>
      </c>
      <c r="L8" s="77">
        <v>0</v>
      </c>
      <c r="M8" s="77">
        <v>0</v>
      </c>
      <c r="N8" s="77">
        <v>0</v>
      </c>
      <c r="O8" s="77">
        <v>1</v>
      </c>
      <c r="P8" s="77">
        <v>50</v>
      </c>
      <c r="Q8" s="77" t="s">
        <v>165</v>
      </c>
      <c r="R8" s="133" t="s">
        <v>166</v>
      </c>
      <c r="T8" s="135">
        <f t="shared" si="0"/>
        <v>0.05</v>
      </c>
      <c r="U8" t="str">
        <f>IF($F8="unit",VLOOKUP($G8,[4]characters!$A:$C,3,),($G8&amp;$F8))</f>
        <v>攻めの果実</v>
      </c>
    </row>
    <row r="9" spans="1:21" x14ac:dyDescent="0.15">
      <c r="A9" s="132">
        <v>39006</v>
      </c>
      <c r="B9" s="77">
        <v>1</v>
      </c>
      <c r="C9" s="68" t="str">
        <f t="shared" si="1"/>
        <v>39006_1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7">
        <v>8</v>
      </c>
      <c r="F9" s="77" t="s">
        <v>362</v>
      </c>
      <c r="G9" s="77">
        <v>122</v>
      </c>
      <c r="H9" s="77">
        <v>1</v>
      </c>
      <c r="I9" s="77">
        <v>1</v>
      </c>
      <c r="J9" s="77">
        <v>1</v>
      </c>
      <c r="K9" s="77">
        <v>0</v>
      </c>
      <c r="L9" s="77">
        <v>0</v>
      </c>
      <c r="M9" s="77">
        <v>0</v>
      </c>
      <c r="N9" s="77">
        <v>0</v>
      </c>
      <c r="O9" s="77">
        <v>1</v>
      </c>
      <c r="P9" s="77">
        <v>50</v>
      </c>
      <c r="Q9" s="77" t="s">
        <v>165</v>
      </c>
      <c r="R9" s="133" t="s">
        <v>166</v>
      </c>
      <c r="T9" s="135">
        <f t="shared" si="0"/>
        <v>0.05</v>
      </c>
      <c r="U9" t="str">
        <f>IF($F9="unit",VLOOKUP($G9,[4]characters!$A:$C,3,),($G9&amp;$F9))</f>
        <v>生命の果実</v>
      </c>
    </row>
    <row r="10" spans="1:21" x14ac:dyDescent="0.15">
      <c r="A10" s="132">
        <v>39006</v>
      </c>
      <c r="B10" s="77">
        <v>1</v>
      </c>
      <c r="C10" s="68" t="str">
        <f t="shared" si="1"/>
        <v>39006_1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7">
        <v>9</v>
      </c>
      <c r="F10" s="77" t="s">
        <v>361</v>
      </c>
      <c r="G10" s="77">
        <v>123</v>
      </c>
      <c r="H10" s="77">
        <v>1</v>
      </c>
      <c r="I10" s="77">
        <v>1</v>
      </c>
      <c r="J10" s="77">
        <v>1</v>
      </c>
      <c r="K10" s="77">
        <v>0</v>
      </c>
      <c r="L10" s="77">
        <v>0</v>
      </c>
      <c r="M10" s="77">
        <v>0</v>
      </c>
      <c r="N10" s="77">
        <v>0</v>
      </c>
      <c r="O10" s="77">
        <v>1</v>
      </c>
      <c r="P10" s="77">
        <v>50</v>
      </c>
      <c r="Q10" s="77" t="s">
        <v>165</v>
      </c>
      <c r="R10" s="133" t="s">
        <v>166</v>
      </c>
      <c r="T10" s="135">
        <f t="shared" si="0"/>
        <v>0.05</v>
      </c>
      <c r="U10" t="str">
        <f>IF($F10="unit",VLOOKUP($G10,[4]characters!$A:$C,3,),($G10&amp;$F10))</f>
        <v>癒しの果実</v>
      </c>
    </row>
    <row r="11" spans="1:21" x14ac:dyDescent="0.15">
      <c r="A11" s="132">
        <v>39006</v>
      </c>
      <c r="B11" s="77">
        <v>1</v>
      </c>
      <c r="C11" s="68" t="str">
        <f t="shared" si="1"/>
        <v>39006_1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7">
        <v>10</v>
      </c>
      <c r="F11" s="77" t="s">
        <v>361</v>
      </c>
      <c r="G11" s="77">
        <v>125</v>
      </c>
      <c r="H11" s="77">
        <v>1</v>
      </c>
      <c r="I11" s="77">
        <v>1</v>
      </c>
      <c r="J11" s="77">
        <v>1</v>
      </c>
      <c r="K11" s="77">
        <v>0</v>
      </c>
      <c r="L11" s="77">
        <v>0</v>
      </c>
      <c r="M11" s="77">
        <v>0</v>
      </c>
      <c r="N11" s="77">
        <v>0</v>
      </c>
      <c r="O11" s="77">
        <v>1</v>
      </c>
      <c r="P11" s="77">
        <v>50</v>
      </c>
      <c r="Q11" s="77" t="s">
        <v>165</v>
      </c>
      <c r="R11" s="133" t="s">
        <v>166</v>
      </c>
      <c r="T11" s="135">
        <f t="shared" si="0"/>
        <v>0.05</v>
      </c>
      <c r="U11" t="str">
        <f>IF($F11="unit",VLOOKUP($G11,[4]characters!$A:$C,3,),($G11&amp;$F11))</f>
        <v>秘術の果実</v>
      </c>
    </row>
    <row r="12" spans="1:21" x14ac:dyDescent="0.15">
      <c r="A12" s="132">
        <v>39006</v>
      </c>
      <c r="B12" s="77">
        <v>1</v>
      </c>
      <c r="C12" s="68" t="str">
        <f t="shared" si="1"/>
        <v>39006_1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7">
        <v>11</v>
      </c>
      <c r="F12" s="77" t="s">
        <v>362</v>
      </c>
      <c r="G12" s="136">
        <v>981</v>
      </c>
      <c r="H12" s="77">
        <v>1</v>
      </c>
      <c r="I12" s="77">
        <v>1</v>
      </c>
      <c r="J12" s="77">
        <v>1</v>
      </c>
      <c r="K12" s="77">
        <v>0</v>
      </c>
      <c r="L12" s="77">
        <v>0</v>
      </c>
      <c r="M12" s="77">
        <v>0</v>
      </c>
      <c r="N12" s="77">
        <v>0</v>
      </c>
      <c r="O12" s="77">
        <v>1</v>
      </c>
      <c r="P12" s="77">
        <v>100</v>
      </c>
      <c r="Q12" s="77" t="s">
        <v>165</v>
      </c>
      <c r="R12" s="133" t="s">
        <v>166</v>
      </c>
      <c r="T12" s="135">
        <f t="shared" si="0"/>
        <v>0.1</v>
      </c>
      <c r="U12" t="str">
        <f>IF($F12="unit",VLOOKUP($G12,[4]characters!$A:$C,3,),($G12&amp;$F12))</f>
        <v>女型の巨人</v>
      </c>
    </row>
    <row r="13" spans="1:21" x14ac:dyDescent="0.15">
      <c r="A13" s="132">
        <v>39006</v>
      </c>
      <c r="B13" s="77">
        <v>1</v>
      </c>
      <c r="C13" s="68" t="str">
        <f t="shared" ref="C13:C14" si="3">A13&amp; "_"&amp;B13</f>
        <v>39006_1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7">
        <v>12</v>
      </c>
      <c r="F13" s="77" t="s">
        <v>362</v>
      </c>
      <c r="G13" s="136">
        <v>983</v>
      </c>
      <c r="H13" s="77">
        <v>1</v>
      </c>
      <c r="I13" s="77">
        <v>1</v>
      </c>
      <c r="J13" s="77">
        <v>1</v>
      </c>
      <c r="K13" s="77">
        <v>0</v>
      </c>
      <c r="L13" s="77">
        <v>0</v>
      </c>
      <c r="M13" s="77">
        <v>0</v>
      </c>
      <c r="N13" s="77">
        <v>0</v>
      </c>
      <c r="O13" s="77">
        <v>1</v>
      </c>
      <c r="P13" s="77">
        <v>100</v>
      </c>
      <c r="Q13" s="77" t="s">
        <v>165</v>
      </c>
      <c r="R13" s="133" t="s">
        <v>166</v>
      </c>
      <c r="T13" s="135">
        <f t="shared" si="0"/>
        <v>0.1</v>
      </c>
      <c r="U13" t="str">
        <f>IF($F13="unit",VLOOKUP($G13,[4]characters!$A:$C,3,),($G13&amp;$F13))</f>
        <v>鎧の巨人</v>
      </c>
    </row>
    <row r="14" spans="1:21" x14ac:dyDescent="0.15">
      <c r="A14" s="132">
        <v>39006</v>
      </c>
      <c r="B14" s="77">
        <v>1</v>
      </c>
      <c r="C14" s="68" t="str">
        <f t="shared" si="3"/>
        <v>39006_1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7">
        <v>13</v>
      </c>
      <c r="F14" s="77" t="s">
        <v>360</v>
      </c>
      <c r="G14" s="77">
        <v>350</v>
      </c>
      <c r="H14" s="77">
        <v>1</v>
      </c>
      <c r="I14" s="77">
        <v>1</v>
      </c>
      <c r="J14" s="77">
        <v>1</v>
      </c>
      <c r="K14" s="77">
        <v>0</v>
      </c>
      <c r="L14" s="77">
        <v>0</v>
      </c>
      <c r="M14" s="77">
        <v>0</v>
      </c>
      <c r="N14" s="77">
        <v>0</v>
      </c>
      <c r="O14" s="77">
        <v>1</v>
      </c>
      <c r="P14" s="77">
        <v>50</v>
      </c>
      <c r="Q14" s="77" t="s">
        <v>165</v>
      </c>
      <c r="R14" s="133" t="s">
        <v>166</v>
      </c>
      <c r="T14" s="135">
        <f t="shared" si="0"/>
        <v>0.05</v>
      </c>
      <c r="U14" t="str">
        <f>IF($F14="unit",VLOOKUP($G14,[4]characters!$A:$C,3,),($G14&amp;$F14))</f>
        <v>森のケロケロ</v>
      </c>
    </row>
    <row r="15" spans="1:21" ht="16" thickBot="1" x14ac:dyDescent="0.2">
      <c r="A15" s="132">
        <v>39006</v>
      </c>
      <c r="B15" s="77">
        <v>1</v>
      </c>
      <c r="C15" s="68" t="str">
        <f t="shared" si="1"/>
        <v>39006_1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44">
        <v>14</v>
      </c>
      <c r="F15" s="77" t="s">
        <v>360</v>
      </c>
      <c r="G15" s="77">
        <v>354</v>
      </c>
      <c r="H15" s="77">
        <v>1</v>
      </c>
      <c r="I15" s="77">
        <v>1</v>
      </c>
      <c r="J15" s="77">
        <v>1</v>
      </c>
      <c r="K15" s="77">
        <v>0</v>
      </c>
      <c r="L15" s="77">
        <v>0</v>
      </c>
      <c r="M15" s="77">
        <v>0</v>
      </c>
      <c r="N15" s="77">
        <v>0</v>
      </c>
      <c r="O15" s="77">
        <v>1</v>
      </c>
      <c r="P15" s="77">
        <v>50</v>
      </c>
      <c r="Q15" s="77" t="s">
        <v>165</v>
      </c>
      <c r="R15" s="133" t="s">
        <v>166</v>
      </c>
      <c r="T15" s="135">
        <f t="shared" si="0"/>
        <v>0.05</v>
      </c>
      <c r="U15" t="str">
        <f>IF($F15="unit",VLOOKUP($G15,[4]characters!$A:$C,3,),($G15&amp;$F15))</f>
        <v>雷のケロケロ</v>
      </c>
    </row>
    <row r="16" spans="1:21" x14ac:dyDescent="0.15">
      <c r="A16" s="138">
        <v>39006</v>
      </c>
      <c r="B16" s="139">
        <v>2</v>
      </c>
      <c r="C16" s="140" t="str">
        <f t="shared" si="1"/>
        <v>39006_2</v>
      </c>
      <c r="D16" s="14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46">
        <v>15</v>
      </c>
      <c r="F16" s="139" t="s">
        <v>164</v>
      </c>
      <c r="G16" s="139">
        <v>3200</v>
      </c>
      <c r="H16" s="139" t="s">
        <v>364</v>
      </c>
      <c r="I16" s="139">
        <v>1</v>
      </c>
      <c r="J16" s="139">
        <v>1</v>
      </c>
      <c r="K16" s="139">
        <v>0</v>
      </c>
      <c r="L16" s="139">
        <v>0</v>
      </c>
      <c r="M16" s="139">
        <v>0</v>
      </c>
      <c r="N16" s="139">
        <v>0</v>
      </c>
      <c r="O16" s="139">
        <v>1</v>
      </c>
      <c r="P16" s="77">
        <v>125</v>
      </c>
      <c r="Q16" s="139" t="s">
        <v>165</v>
      </c>
      <c r="R16" s="142" t="s">
        <v>166</v>
      </c>
      <c r="T16" s="134">
        <f>P16/SUM(P$16:P$29)</f>
        <v>0.125</v>
      </c>
      <c r="U16" t="str">
        <f>IF($F16="unit",VLOOKUP($G16,[4]characters!$A:$C,3,),($G16&amp;$F16))</f>
        <v>3200bit</v>
      </c>
    </row>
    <row r="17" spans="1:21" x14ac:dyDescent="0.15">
      <c r="A17" s="143">
        <v>39006</v>
      </c>
      <c r="B17" s="77">
        <v>2</v>
      </c>
      <c r="C17" s="68" t="str">
        <f t="shared" si="1"/>
        <v>39006_2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7">
        <v>16</v>
      </c>
      <c r="F17" s="77" t="s">
        <v>365</v>
      </c>
      <c r="G17" s="77">
        <v>20</v>
      </c>
      <c r="H17" s="77" t="s">
        <v>366</v>
      </c>
      <c r="I17" s="77">
        <v>1</v>
      </c>
      <c r="J17" s="77">
        <v>1</v>
      </c>
      <c r="K17" s="77">
        <v>0</v>
      </c>
      <c r="L17" s="77">
        <v>0</v>
      </c>
      <c r="M17" s="77">
        <v>0</v>
      </c>
      <c r="N17" s="77">
        <v>0</v>
      </c>
      <c r="O17" s="77">
        <v>1</v>
      </c>
      <c r="P17" s="77">
        <v>125</v>
      </c>
      <c r="Q17" s="77" t="s">
        <v>165</v>
      </c>
      <c r="R17" s="133" t="s">
        <v>166</v>
      </c>
      <c r="T17" s="135">
        <f>P17/SUM(P$16:P$29)</f>
        <v>0.125</v>
      </c>
      <c r="U17" t="str">
        <f>IF($F17="unit",VLOOKUP($G17,[4]characters!$A:$C,3,),($G17&amp;$F17))</f>
        <v>20link</v>
      </c>
    </row>
    <row r="18" spans="1:21" x14ac:dyDescent="0.15">
      <c r="A18" s="132">
        <v>39006</v>
      </c>
      <c r="B18" s="77">
        <v>2</v>
      </c>
      <c r="C18" s="68" t="str">
        <f t="shared" ref="C18:C21" si="4">A18&amp; "_"&amp;B18</f>
        <v>39006_2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7">
        <v>17</v>
      </c>
      <c r="F18" s="77" t="s">
        <v>359</v>
      </c>
      <c r="G18" s="77">
        <v>336</v>
      </c>
      <c r="H18" s="77">
        <v>1</v>
      </c>
      <c r="I18" s="77">
        <v>1</v>
      </c>
      <c r="J18" s="77">
        <v>1</v>
      </c>
      <c r="K18" s="77">
        <v>0</v>
      </c>
      <c r="L18" s="77">
        <v>0</v>
      </c>
      <c r="M18" s="77">
        <v>0</v>
      </c>
      <c r="N18" s="77">
        <v>0</v>
      </c>
      <c r="O18" s="77">
        <v>1</v>
      </c>
      <c r="P18" s="77">
        <v>50</v>
      </c>
      <c r="Q18" s="77" t="s">
        <v>165</v>
      </c>
      <c r="R18" s="133" t="s">
        <v>166</v>
      </c>
      <c r="T18" s="135">
        <f>P18/SUM(P$2:P$15)</f>
        <v>0.05</v>
      </c>
      <c r="U18" t="str">
        <f>IF($F18="unit",VLOOKUP($G18,[4]characters!$A:$C,3,),($G18&amp;$F18))</f>
        <v>森のメタルピヨピヨ</v>
      </c>
    </row>
    <row r="19" spans="1:21" x14ac:dyDescent="0.15">
      <c r="A19" s="132">
        <v>39006</v>
      </c>
      <c r="B19" s="77">
        <v>2</v>
      </c>
      <c r="C19" s="68" t="str">
        <f t="shared" si="4"/>
        <v>39006_2</v>
      </c>
      <c r="D19" s="17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7">
        <v>18</v>
      </c>
      <c r="F19" s="77" t="s">
        <v>360</v>
      </c>
      <c r="G19" s="77">
        <v>344</v>
      </c>
      <c r="H19" s="77">
        <v>1</v>
      </c>
      <c r="I19" s="77">
        <v>1</v>
      </c>
      <c r="J19" s="77">
        <v>1</v>
      </c>
      <c r="K19" s="77">
        <v>0</v>
      </c>
      <c r="L19" s="77">
        <v>0</v>
      </c>
      <c r="M19" s="77">
        <v>0</v>
      </c>
      <c r="N19" s="77">
        <v>0</v>
      </c>
      <c r="O19" s="77">
        <v>1</v>
      </c>
      <c r="P19" s="77">
        <v>50</v>
      </c>
      <c r="Q19" s="77" t="s">
        <v>165</v>
      </c>
      <c r="R19" s="133" t="s">
        <v>166</v>
      </c>
      <c r="T19" s="135">
        <f>P19/SUM(P$2:P$15)</f>
        <v>0.05</v>
      </c>
      <c r="U19" t="str">
        <f>IF($F19="unit",VLOOKUP($G19,[4]characters!$A:$C,3,),($G19&amp;$F19))</f>
        <v>雷のメタルピヨピヨ</v>
      </c>
    </row>
    <row r="20" spans="1:21" x14ac:dyDescent="0.15">
      <c r="A20" s="132">
        <v>39006</v>
      </c>
      <c r="B20" s="77">
        <v>2</v>
      </c>
      <c r="C20" s="68" t="str">
        <f t="shared" si="4"/>
        <v>39006_2</v>
      </c>
      <c r="D20" s="17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7">
        <v>19</v>
      </c>
      <c r="F20" s="77" t="s">
        <v>360</v>
      </c>
      <c r="G20" s="77">
        <v>337</v>
      </c>
      <c r="H20" s="77">
        <v>1</v>
      </c>
      <c r="I20" s="77">
        <v>1</v>
      </c>
      <c r="J20" s="77">
        <v>1</v>
      </c>
      <c r="K20" s="77">
        <v>0</v>
      </c>
      <c r="L20" s="77">
        <v>0</v>
      </c>
      <c r="M20" s="77">
        <v>0</v>
      </c>
      <c r="N20" s="77">
        <v>0</v>
      </c>
      <c r="O20" s="77">
        <v>1</v>
      </c>
      <c r="P20" s="77">
        <v>50</v>
      </c>
      <c r="Q20" s="77" t="s">
        <v>165</v>
      </c>
      <c r="R20" s="133" t="s">
        <v>166</v>
      </c>
      <c r="T20" s="135">
        <f>P20/SUM(P$2:P$15)</f>
        <v>0.05</v>
      </c>
      <c r="U20" t="str">
        <f>IF($F20="unit",VLOOKUP($G20,[4]characters!$A:$C,3,),($G20&amp;$F20))</f>
        <v>森のメタルチック</v>
      </c>
    </row>
    <row r="21" spans="1:21" x14ac:dyDescent="0.15">
      <c r="A21" s="132">
        <v>39006</v>
      </c>
      <c r="B21" s="77">
        <v>2</v>
      </c>
      <c r="C21" s="68" t="str">
        <f t="shared" si="4"/>
        <v>39006_2</v>
      </c>
      <c r="D21" s="17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7">
        <v>20</v>
      </c>
      <c r="F21" s="77" t="s">
        <v>360</v>
      </c>
      <c r="G21" s="77">
        <v>345</v>
      </c>
      <c r="H21" s="77">
        <v>1</v>
      </c>
      <c r="I21" s="77">
        <v>1</v>
      </c>
      <c r="J21" s="77">
        <v>1</v>
      </c>
      <c r="K21" s="77">
        <v>0</v>
      </c>
      <c r="L21" s="77">
        <v>0</v>
      </c>
      <c r="M21" s="77">
        <v>0</v>
      </c>
      <c r="N21" s="77">
        <v>0</v>
      </c>
      <c r="O21" s="77">
        <v>1</v>
      </c>
      <c r="P21" s="77">
        <v>50</v>
      </c>
      <c r="Q21" s="77" t="s">
        <v>165</v>
      </c>
      <c r="R21" s="133" t="s">
        <v>166</v>
      </c>
      <c r="T21" s="135">
        <f>P21/SUM(P$2:P$15)</f>
        <v>0.05</v>
      </c>
      <c r="U21" t="str">
        <f>IF($F21="unit",VLOOKUP($G21,[4]characters!$A:$C,3,),($G21&amp;$F21))</f>
        <v>雷のメタルチック</v>
      </c>
    </row>
    <row r="22" spans="1:21" x14ac:dyDescent="0.15">
      <c r="A22" s="143">
        <v>39006</v>
      </c>
      <c r="B22" s="77">
        <v>2</v>
      </c>
      <c r="C22" s="68" t="str">
        <f t="shared" si="1"/>
        <v>39006_2</v>
      </c>
      <c r="D22" s="1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7">
        <v>21</v>
      </c>
      <c r="F22" s="77" t="s">
        <v>362</v>
      </c>
      <c r="G22" s="77">
        <v>121</v>
      </c>
      <c r="H22" s="77">
        <v>1</v>
      </c>
      <c r="I22" s="77">
        <v>1</v>
      </c>
      <c r="J22" s="77">
        <v>1</v>
      </c>
      <c r="K22" s="77">
        <v>0</v>
      </c>
      <c r="L22" s="77">
        <v>0</v>
      </c>
      <c r="M22" s="77">
        <v>0</v>
      </c>
      <c r="N22" s="77">
        <v>0</v>
      </c>
      <c r="O22" s="77">
        <v>1</v>
      </c>
      <c r="P22" s="77">
        <v>50</v>
      </c>
      <c r="Q22" s="77" t="s">
        <v>165</v>
      </c>
      <c r="R22" s="133" t="s">
        <v>166</v>
      </c>
      <c r="T22" s="135">
        <f t="shared" ref="T22:T29" si="5">P22/SUM(P$16:P$29)</f>
        <v>0.05</v>
      </c>
      <c r="U22" t="str">
        <f>IF($F22="unit",VLOOKUP($G22,[4]characters!$A:$C,3,),($G22&amp;$F22))</f>
        <v>攻めの果実</v>
      </c>
    </row>
    <row r="23" spans="1:21" x14ac:dyDescent="0.15">
      <c r="A23" s="143">
        <v>39006</v>
      </c>
      <c r="B23" s="77">
        <v>2</v>
      </c>
      <c r="C23" s="68" t="str">
        <f t="shared" si="1"/>
        <v>39006_2</v>
      </c>
      <c r="D23" s="17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7">
        <v>22</v>
      </c>
      <c r="F23" s="77" t="s">
        <v>367</v>
      </c>
      <c r="G23" s="77">
        <v>122</v>
      </c>
      <c r="H23" s="77">
        <v>1</v>
      </c>
      <c r="I23" s="77">
        <v>1</v>
      </c>
      <c r="J23" s="77">
        <v>1</v>
      </c>
      <c r="K23" s="77">
        <v>0</v>
      </c>
      <c r="L23" s="77">
        <v>0</v>
      </c>
      <c r="M23" s="77">
        <v>0</v>
      </c>
      <c r="N23" s="77">
        <v>0</v>
      </c>
      <c r="O23" s="77">
        <v>1</v>
      </c>
      <c r="P23" s="77">
        <v>50</v>
      </c>
      <c r="Q23" s="77" t="s">
        <v>165</v>
      </c>
      <c r="R23" s="133" t="s">
        <v>166</v>
      </c>
      <c r="T23" s="135">
        <f t="shared" si="5"/>
        <v>0.05</v>
      </c>
      <c r="U23" t="str">
        <f>IF($F23="unit",VLOOKUP($G23,[4]characters!$A:$C,3,),($G23&amp;$F23))</f>
        <v>生命の果実</v>
      </c>
    </row>
    <row r="24" spans="1:21" x14ac:dyDescent="0.15">
      <c r="A24" s="143">
        <v>39006</v>
      </c>
      <c r="B24" s="77">
        <v>2</v>
      </c>
      <c r="C24" s="68" t="str">
        <f t="shared" si="1"/>
        <v>39006_2</v>
      </c>
      <c r="D24" s="17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7">
        <v>23</v>
      </c>
      <c r="F24" s="77" t="s">
        <v>367</v>
      </c>
      <c r="G24" s="77">
        <v>123</v>
      </c>
      <c r="H24" s="77">
        <v>1</v>
      </c>
      <c r="I24" s="77">
        <v>1</v>
      </c>
      <c r="J24" s="77">
        <v>1</v>
      </c>
      <c r="K24" s="77">
        <v>0</v>
      </c>
      <c r="L24" s="77">
        <v>0</v>
      </c>
      <c r="M24" s="77">
        <v>0</v>
      </c>
      <c r="N24" s="77">
        <v>0</v>
      </c>
      <c r="O24" s="77">
        <v>1</v>
      </c>
      <c r="P24" s="77">
        <v>50</v>
      </c>
      <c r="Q24" s="77" t="s">
        <v>165</v>
      </c>
      <c r="R24" s="133" t="s">
        <v>166</v>
      </c>
      <c r="T24" s="135">
        <f t="shared" si="5"/>
        <v>0.05</v>
      </c>
      <c r="U24" t="str">
        <f>IF($F24="unit",VLOOKUP($G24,[4]characters!$A:$C,3,),($G24&amp;$F24))</f>
        <v>癒しの果実</v>
      </c>
    </row>
    <row r="25" spans="1:21" x14ac:dyDescent="0.15">
      <c r="A25" s="143">
        <v>39006</v>
      </c>
      <c r="B25" s="77">
        <v>2</v>
      </c>
      <c r="C25" s="68" t="str">
        <f t="shared" si="1"/>
        <v>39006_2</v>
      </c>
      <c r="D25" s="17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7">
        <v>24</v>
      </c>
      <c r="F25" s="77" t="s">
        <v>362</v>
      </c>
      <c r="G25" s="77">
        <v>125</v>
      </c>
      <c r="H25" s="77">
        <v>1</v>
      </c>
      <c r="I25" s="77">
        <v>1</v>
      </c>
      <c r="J25" s="77">
        <v>1</v>
      </c>
      <c r="K25" s="77">
        <v>0</v>
      </c>
      <c r="L25" s="77">
        <v>0</v>
      </c>
      <c r="M25" s="77">
        <v>0</v>
      </c>
      <c r="N25" s="77">
        <v>0</v>
      </c>
      <c r="O25" s="77">
        <v>1</v>
      </c>
      <c r="P25" s="77">
        <v>50</v>
      </c>
      <c r="Q25" s="77" t="s">
        <v>165</v>
      </c>
      <c r="R25" s="133" t="s">
        <v>166</v>
      </c>
      <c r="T25" s="135">
        <f t="shared" si="5"/>
        <v>0.05</v>
      </c>
      <c r="U25" t="str">
        <f>IF($F25="unit",VLOOKUP($G25,[4]characters!$A:$C,3,),($G25&amp;$F25))</f>
        <v>秘術の果実</v>
      </c>
    </row>
    <row r="26" spans="1:21" x14ac:dyDescent="0.15">
      <c r="A26" s="143">
        <v>39006</v>
      </c>
      <c r="B26" s="77">
        <v>2</v>
      </c>
      <c r="C26" s="68" t="str">
        <f t="shared" si="1"/>
        <v>39006_2</v>
      </c>
      <c r="D26" s="17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7">
        <v>25</v>
      </c>
      <c r="F26" s="77" t="s">
        <v>367</v>
      </c>
      <c r="G26" s="136">
        <v>981</v>
      </c>
      <c r="H26" s="77">
        <v>1</v>
      </c>
      <c r="I26" s="77">
        <v>1</v>
      </c>
      <c r="J26" s="77">
        <v>1</v>
      </c>
      <c r="K26" s="77">
        <v>0</v>
      </c>
      <c r="L26" s="77">
        <v>0</v>
      </c>
      <c r="M26" s="77">
        <v>0</v>
      </c>
      <c r="N26" s="77">
        <v>0</v>
      </c>
      <c r="O26" s="77">
        <v>1</v>
      </c>
      <c r="P26" s="77">
        <v>125</v>
      </c>
      <c r="Q26" s="77" t="s">
        <v>165</v>
      </c>
      <c r="R26" s="133" t="s">
        <v>166</v>
      </c>
      <c r="T26" s="135">
        <f t="shared" si="5"/>
        <v>0.125</v>
      </c>
      <c r="U26" t="str">
        <f>IF($F26="unit",VLOOKUP($G26,[4]characters!$A:$C,3,),($G26&amp;$F26))</f>
        <v>女型の巨人</v>
      </c>
    </row>
    <row r="27" spans="1:21" x14ac:dyDescent="0.15">
      <c r="A27" s="143">
        <v>39006</v>
      </c>
      <c r="B27" s="77">
        <v>2</v>
      </c>
      <c r="C27" s="68" t="str">
        <f t="shared" ref="C27:C28" si="6">A27&amp; "_"&amp;B27</f>
        <v>39006_2</v>
      </c>
      <c r="D27" s="17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7">
        <v>26</v>
      </c>
      <c r="F27" s="77" t="s">
        <v>367</v>
      </c>
      <c r="G27" s="136">
        <v>983</v>
      </c>
      <c r="H27" s="77">
        <v>1</v>
      </c>
      <c r="I27" s="77">
        <v>1</v>
      </c>
      <c r="J27" s="77">
        <v>1</v>
      </c>
      <c r="K27" s="77">
        <v>0</v>
      </c>
      <c r="L27" s="77">
        <v>0</v>
      </c>
      <c r="M27" s="77">
        <v>0</v>
      </c>
      <c r="N27" s="77">
        <v>0</v>
      </c>
      <c r="O27" s="77">
        <v>1</v>
      </c>
      <c r="P27" s="77">
        <v>125</v>
      </c>
      <c r="Q27" s="77" t="s">
        <v>165</v>
      </c>
      <c r="R27" s="133" t="s">
        <v>166</v>
      </c>
      <c r="T27" s="135">
        <f t="shared" si="5"/>
        <v>0.125</v>
      </c>
      <c r="U27" t="str">
        <f>IF($F27="unit",VLOOKUP($G27,[4]characters!$A:$C,3,),($G27&amp;$F27))</f>
        <v>鎧の巨人</v>
      </c>
    </row>
    <row r="28" spans="1:21" x14ac:dyDescent="0.15">
      <c r="A28" s="143">
        <v>39006</v>
      </c>
      <c r="B28" s="77">
        <v>2</v>
      </c>
      <c r="C28" s="68" t="str">
        <f t="shared" si="6"/>
        <v>39006_2</v>
      </c>
      <c r="D28" s="17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7">
        <v>27</v>
      </c>
      <c r="F28" s="77" t="s">
        <v>368</v>
      </c>
      <c r="G28" s="77">
        <v>350</v>
      </c>
      <c r="H28" s="77">
        <v>1</v>
      </c>
      <c r="I28" s="77">
        <v>1</v>
      </c>
      <c r="J28" s="77">
        <v>1</v>
      </c>
      <c r="K28" s="77">
        <v>0</v>
      </c>
      <c r="L28" s="77">
        <v>0</v>
      </c>
      <c r="M28" s="77">
        <v>0</v>
      </c>
      <c r="N28" s="77">
        <v>0</v>
      </c>
      <c r="O28" s="77">
        <v>1</v>
      </c>
      <c r="P28" s="77">
        <v>50</v>
      </c>
      <c r="Q28" s="77" t="s">
        <v>165</v>
      </c>
      <c r="R28" s="133" t="s">
        <v>166</v>
      </c>
      <c r="T28" s="135">
        <f t="shared" si="5"/>
        <v>0.05</v>
      </c>
      <c r="U28" t="str">
        <f>IF($F28="unit",VLOOKUP($G28,[4]characters!$A:$C,3,),($G28&amp;$F28))</f>
        <v>森のケロケロ</v>
      </c>
    </row>
    <row r="29" spans="1:21" ht="16" thickBot="1" x14ac:dyDescent="0.2">
      <c r="A29" s="143">
        <v>39006</v>
      </c>
      <c r="B29" s="77">
        <v>2</v>
      </c>
      <c r="C29" s="68" t="str">
        <f t="shared" si="1"/>
        <v>39006_2</v>
      </c>
      <c r="D29" s="17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44">
        <v>28</v>
      </c>
      <c r="F29" s="77" t="s">
        <v>368</v>
      </c>
      <c r="G29" s="77">
        <v>354</v>
      </c>
      <c r="H29" s="77">
        <v>1</v>
      </c>
      <c r="I29" s="77">
        <v>1</v>
      </c>
      <c r="J29" s="77">
        <v>1</v>
      </c>
      <c r="K29" s="77">
        <v>0</v>
      </c>
      <c r="L29" s="77">
        <v>0</v>
      </c>
      <c r="M29" s="77">
        <v>0</v>
      </c>
      <c r="N29" s="77">
        <v>0</v>
      </c>
      <c r="O29" s="77">
        <v>1</v>
      </c>
      <c r="P29" s="77">
        <v>50</v>
      </c>
      <c r="Q29" s="77" t="s">
        <v>165</v>
      </c>
      <c r="R29" s="133" t="s">
        <v>166</v>
      </c>
      <c r="T29" s="135">
        <f t="shared" si="5"/>
        <v>0.05</v>
      </c>
      <c r="U29" t="str">
        <f>IF($F29="unit",VLOOKUP($G29,[4]characters!$A:$C,3,),($G29&amp;$F29))</f>
        <v>雷のケロケロ</v>
      </c>
    </row>
    <row r="30" spans="1:21" x14ac:dyDescent="0.15">
      <c r="A30" s="138">
        <v>39006</v>
      </c>
      <c r="B30" s="139">
        <v>3</v>
      </c>
      <c r="C30" s="140" t="str">
        <f t="shared" si="1"/>
        <v>39006_3</v>
      </c>
      <c r="D30" s="14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46">
        <v>29</v>
      </c>
      <c r="F30" s="139" t="s">
        <v>164</v>
      </c>
      <c r="G30" s="139">
        <v>5000</v>
      </c>
      <c r="H30" s="139" t="s">
        <v>369</v>
      </c>
      <c r="I30" s="139">
        <v>1</v>
      </c>
      <c r="J30" s="139">
        <v>1</v>
      </c>
      <c r="K30" s="139">
        <v>0</v>
      </c>
      <c r="L30" s="139">
        <v>0</v>
      </c>
      <c r="M30" s="139">
        <v>0</v>
      </c>
      <c r="N30" s="139">
        <v>0</v>
      </c>
      <c r="O30" s="139">
        <v>1</v>
      </c>
      <c r="P30" s="139">
        <v>100</v>
      </c>
      <c r="Q30" s="139" t="s">
        <v>165</v>
      </c>
      <c r="R30" s="142" t="s">
        <v>166</v>
      </c>
      <c r="T30" s="134">
        <f t="shared" ref="T30:T45" si="7">P30/SUM(P$30:P$45)</f>
        <v>0.1</v>
      </c>
      <c r="U30" t="str">
        <f>IF($F30="unit",VLOOKUP($G30,[4]characters!$A:$C,3,),($G30&amp;$F30))</f>
        <v>5000bit</v>
      </c>
    </row>
    <row r="31" spans="1:21" x14ac:dyDescent="0.15">
      <c r="A31" s="143">
        <v>39006</v>
      </c>
      <c r="B31" s="77">
        <v>3</v>
      </c>
      <c r="C31" s="68" t="str">
        <f t="shared" si="1"/>
        <v>39006_3</v>
      </c>
      <c r="D31" s="17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7">
        <v>30</v>
      </c>
      <c r="F31" s="77" t="s">
        <v>370</v>
      </c>
      <c r="G31" s="77">
        <v>25</v>
      </c>
      <c r="H31" s="77" t="s">
        <v>371</v>
      </c>
      <c r="I31" s="77">
        <v>1</v>
      </c>
      <c r="J31" s="77">
        <v>1</v>
      </c>
      <c r="K31" s="77">
        <v>0</v>
      </c>
      <c r="L31" s="77">
        <v>0</v>
      </c>
      <c r="M31" s="77">
        <v>0</v>
      </c>
      <c r="N31" s="77">
        <v>0</v>
      </c>
      <c r="O31" s="77">
        <v>1</v>
      </c>
      <c r="P31" s="77">
        <v>100</v>
      </c>
      <c r="Q31" s="77" t="s">
        <v>165</v>
      </c>
      <c r="R31" s="133" t="s">
        <v>166</v>
      </c>
      <c r="T31" s="135">
        <f t="shared" si="7"/>
        <v>0.1</v>
      </c>
      <c r="U31" t="str">
        <f>IF($F31="unit",VLOOKUP($G31,[4]characters!$A:$C,3,),($G31&amp;$F31))</f>
        <v>25link</v>
      </c>
    </row>
    <row r="32" spans="1:21" x14ac:dyDescent="0.15">
      <c r="A32" s="143">
        <v>39006</v>
      </c>
      <c r="B32" s="77">
        <v>3</v>
      </c>
      <c r="C32" s="68" t="str">
        <f t="shared" si="1"/>
        <v>39006_3</v>
      </c>
      <c r="D32" s="17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7">
        <v>31</v>
      </c>
      <c r="F32" s="77" t="s">
        <v>368</v>
      </c>
      <c r="G32" s="77">
        <v>336</v>
      </c>
      <c r="H32" s="77">
        <v>1</v>
      </c>
      <c r="I32" s="77">
        <v>1</v>
      </c>
      <c r="J32" s="77">
        <v>1</v>
      </c>
      <c r="K32" s="77">
        <v>0</v>
      </c>
      <c r="L32" s="77">
        <v>0</v>
      </c>
      <c r="M32" s="77">
        <v>0</v>
      </c>
      <c r="N32" s="77">
        <v>0</v>
      </c>
      <c r="O32" s="77">
        <v>1</v>
      </c>
      <c r="P32" s="77">
        <v>50</v>
      </c>
      <c r="Q32" s="77" t="s">
        <v>165</v>
      </c>
      <c r="R32" s="133" t="s">
        <v>166</v>
      </c>
      <c r="T32" s="135">
        <f t="shared" si="7"/>
        <v>0.05</v>
      </c>
      <c r="U32" t="str">
        <f>IF($F32="unit",VLOOKUP($G32,[4]characters!$A:$C,3,),($G32&amp;$F32))</f>
        <v>森のメタルピヨピヨ</v>
      </c>
    </row>
    <row r="33" spans="1:21" x14ac:dyDescent="0.15">
      <c r="A33" s="143">
        <v>39006</v>
      </c>
      <c r="B33" s="77">
        <v>3</v>
      </c>
      <c r="C33" s="68" t="str">
        <f t="shared" si="1"/>
        <v>39006_3</v>
      </c>
      <c r="D33" s="17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7">
        <v>32</v>
      </c>
      <c r="F33" s="77" t="s">
        <v>360</v>
      </c>
      <c r="G33" s="77">
        <v>337</v>
      </c>
      <c r="H33" s="77">
        <v>1</v>
      </c>
      <c r="I33" s="77">
        <v>1</v>
      </c>
      <c r="J33" s="77">
        <v>1</v>
      </c>
      <c r="K33" s="77">
        <v>0</v>
      </c>
      <c r="L33" s="77">
        <v>0</v>
      </c>
      <c r="M33" s="77">
        <v>0</v>
      </c>
      <c r="N33" s="77">
        <v>0</v>
      </c>
      <c r="O33" s="77">
        <v>1</v>
      </c>
      <c r="P33" s="77">
        <v>50</v>
      </c>
      <c r="Q33" s="77" t="s">
        <v>165</v>
      </c>
      <c r="R33" s="133" t="s">
        <v>166</v>
      </c>
      <c r="T33" s="135">
        <f t="shared" si="7"/>
        <v>0.05</v>
      </c>
      <c r="U33" t="str">
        <f>IF($F33="unit",VLOOKUP($G33,[4]characters!$A:$C,3,),($G33&amp;$F33))</f>
        <v>森のメタルチック</v>
      </c>
    </row>
    <row r="34" spans="1:21" x14ac:dyDescent="0.15">
      <c r="A34" s="143">
        <v>39006</v>
      </c>
      <c r="B34" s="77">
        <v>3</v>
      </c>
      <c r="C34" s="68" t="str">
        <f t="shared" si="1"/>
        <v>39006_3</v>
      </c>
      <c r="D34" s="17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77">
        <v>33</v>
      </c>
      <c r="F34" s="77" t="s">
        <v>372</v>
      </c>
      <c r="G34" s="77">
        <v>338</v>
      </c>
      <c r="H34" s="77">
        <v>1</v>
      </c>
      <c r="I34" s="77">
        <v>1</v>
      </c>
      <c r="J34" s="77">
        <v>1</v>
      </c>
      <c r="K34" s="77">
        <v>0</v>
      </c>
      <c r="L34" s="77">
        <v>0</v>
      </c>
      <c r="M34" s="77">
        <v>0</v>
      </c>
      <c r="N34" s="77">
        <v>0</v>
      </c>
      <c r="O34" s="77">
        <v>1</v>
      </c>
      <c r="P34" s="77">
        <v>50</v>
      </c>
      <c r="Q34" s="77" t="s">
        <v>165</v>
      </c>
      <c r="R34" s="133" t="s">
        <v>166</v>
      </c>
      <c r="T34" s="135">
        <f t="shared" si="7"/>
        <v>0.05</v>
      </c>
      <c r="U34" t="str">
        <f>IF($F34="unit",VLOOKUP($G34,[4]characters!$A:$C,3,),($G34&amp;$F34))</f>
        <v>森のメタルダック</v>
      </c>
    </row>
    <row r="35" spans="1:21" x14ac:dyDescent="0.15">
      <c r="A35" s="143">
        <v>39006</v>
      </c>
      <c r="B35" s="77">
        <v>3</v>
      </c>
      <c r="C35" s="68" t="str">
        <f t="shared" ref="C35:C37" si="8">A35&amp; "_"&amp;B35</f>
        <v>39006_3</v>
      </c>
      <c r="D35" s="17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77">
        <v>34</v>
      </c>
      <c r="F35" s="77" t="s">
        <v>368</v>
      </c>
      <c r="G35" s="77">
        <v>344</v>
      </c>
      <c r="H35" s="77">
        <v>1</v>
      </c>
      <c r="I35" s="77">
        <v>1</v>
      </c>
      <c r="J35" s="77">
        <v>1</v>
      </c>
      <c r="K35" s="77">
        <v>0</v>
      </c>
      <c r="L35" s="77">
        <v>0</v>
      </c>
      <c r="M35" s="77">
        <v>0</v>
      </c>
      <c r="N35" s="77">
        <v>0</v>
      </c>
      <c r="O35" s="77">
        <v>1</v>
      </c>
      <c r="P35" s="77">
        <v>50</v>
      </c>
      <c r="Q35" s="77" t="s">
        <v>165</v>
      </c>
      <c r="R35" s="133" t="s">
        <v>166</v>
      </c>
      <c r="T35" s="135">
        <f t="shared" si="7"/>
        <v>0.05</v>
      </c>
      <c r="U35" t="str">
        <f>IF($F35="unit",VLOOKUP($G35,[4]characters!$A:$C,3,),($G35&amp;$F35))</f>
        <v>雷のメタルピヨピヨ</v>
      </c>
    </row>
    <row r="36" spans="1:21" x14ac:dyDescent="0.15">
      <c r="A36" s="143">
        <v>39006</v>
      </c>
      <c r="B36" s="77">
        <v>3</v>
      </c>
      <c r="C36" s="68" t="str">
        <f t="shared" si="8"/>
        <v>39006_3</v>
      </c>
      <c r="D36" s="17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77">
        <v>35</v>
      </c>
      <c r="F36" s="77" t="s">
        <v>360</v>
      </c>
      <c r="G36" s="77">
        <v>345</v>
      </c>
      <c r="H36" s="77">
        <v>1</v>
      </c>
      <c r="I36" s="77">
        <v>1</v>
      </c>
      <c r="J36" s="77">
        <v>1</v>
      </c>
      <c r="K36" s="77">
        <v>0</v>
      </c>
      <c r="L36" s="77">
        <v>0</v>
      </c>
      <c r="M36" s="77">
        <v>0</v>
      </c>
      <c r="N36" s="77">
        <v>0</v>
      </c>
      <c r="O36" s="77">
        <v>1</v>
      </c>
      <c r="P36" s="77">
        <v>50</v>
      </c>
      <c r="Q36" s="77" t="s">
        <v>165</v>
      </c>
      <c r="R36" s="133" t="s">
        <v>166</v>
      </c>
      <c r="T36" s="135">
        <f t="shared" si="7"/>
        <v>0.05</v>
      </c>
      <c r="U36" t="str">
        <f>IF($F36="unit",VLOOKUP($G36,[4]characters!$A:$C,3,),($G36&amp;$F36))</f>
        <v>雷のメタルチック</v>
      </c>
    </row>
    <row r="37" spans="1:21" x14ac:dyDescent="0.15">
      <c r="A37" s="143">
        <v>39006</v>
      </c>
      <c r="B37" s="77">
        <v>3</v>
      </c>
      <c r="C37" s="68" t="str">
        <f t="shared" si="8"/>
        <v>39006_3</v>
      </c>
      <c r="D37" s="17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77">
        <v>36</v>
      </c>
      <c r="F37" s="77" t="s">
        <v>372</v>
      </c>
      <c r="G37" s="77">
        <v>346</v>
      </c>
      <c r="H37" s="77">
        <v>1</v>
      </c>
      <c r="I37" s="77">
        <v>1</v>
      </c>
      <c r="J37" s="77">
        <v>1</v>
      </c>
      <c r="K37" s="77">
        <v>0</v>
      </c>
      <c r="L37" s="77">
        <v>0</v>
      </c>
      <c r="M37" s="77">
        <v>0</v>
      </c>
      <c r="N37" s="77">
        <v>0</v>
      </c>
      <c r="O37" s="77">
        <v>1</v>
      </c>
      <c r="P37" s="77">
        <v>50</v>
      </c>
      <c r="Q37" s="77" t="s">
        <v>165</v>
      </c>
      <c r="R37" s="133" t="s">
        <v>166</v>
      </c>
      <c r="T37" s="135">
        <f t="shared" si="7"/>
        <v>0.05</v>
      </c>
      <c r="U37" t="str">
        <f>IF($F37="unit",VLOOKUP($G37,[4]characters!$A:$C,3,),($G37&amp;$F37))</f>
        <v>雷のメタルダック</v>
      </c>
    </row>
    <row r="38" spans="1:21" x14ac:dyDescent="0.15">
      <c r="A38" s="143">
        <v>39006</v>
      </c>
      <c r="B38" s="77">
        <v>3</v>
      </c>
      <c r="C38" s="68" t="str">
        <f t="shared" si="1"/>
        <v>39006_3</v>
      </c>
      <c r="D38" s="17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77">
        <v>37</v>
      </c>
      <c r="F38" s="77" t="s">
        <v>363</v>
      </c>
      <c r="G38" s="77">
        <v>121</v>
      </c>
      <c r="H38" s="77">
        <v>1</v>
      </c>
      <c r="I38" s="77">
        <v>1</v>
      </c>
      <c r="J38" s="77">
        <v>1</v>
      </c>
      <c r="K38" s="77">
        <v>0</v>
      </c>
      <c r="L38" s="77">
        <v>0</v>
      </c>
      <c r="M38" s="77">
        <v>0</v>
      </c>
      <c r="N38" s="77">
        <v>0</v>
      </c>
      <c r="O38" s="77">
        <v>1</v>
      </c>
      <c r="P38" s="77">
        <v>25</v>
      </c>
      <c r="Q38" s="77" t="s">
        <v>165</v>
      </c>
      <c r="R38" s="133" t="s">
        <v>166</v>
      </c>
      <c r="T38" s="135">
        <f t="shared" si="7"/>
        <v>2.5000000000000001E-2</v>
      </c>
      <c r="U38" t="str">
        <f>IF($F38="unit",VLOOKUP($G38,[4]characters!$A:$C,3,),($G38&amp;$F38))</f>
        <v>攻めの果実</v>
      </c>
    </row>
    <row r="39" spans="1:21" x14ac:dyDescent="0.15">
      <c r="A39" s="143">
        <v>39006</v>
      </c>
      <c r="B39" s="77">
        <v>3</v>
      </c>
      <c r="C39" s="68" t="str">
        <f t="shared" si="1"/>
        <v>39006_3</v>
      </c>
      <c r="D39" s="17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77">
        <v>38</v>
      </c>
      <c r="F39" s="77" t="s">
        <v>373</v>
      </c>
      <c r="G39" s="77">
        <v>122</v>
      </c>
      <c r="H39" s="77">
        <v>1</v>
      </c>
      <c r="I39" s="77">
        <v>1</v>
      </c>
      <c r="J39" s="77">
        <v>1</v>
      </c>
      <c r="K39" s="77">
        <v>0</v>
      </c>
      <c r="L39" s="77">
        <v>0</v>
      </c>
      <c r="M39" s="77">
        <v>0</v>
      </c>
      <c r="N39" s="77">
        <v>0</v>
      </c>
      <c r="O39" s="77">
        <v>1</v>
      </c>
      <c r="P39" s="77">
        <v>25</v>
      </c>
      <c r="Q39" s="77" t="s">
        <v>165</v>
      </c>
      <c r="R39" s="133" t="s">
        <v>166</v>
      </c>
      <c r="T39" s="135">
        <f t="shared" si="7"/>
        <v>2.5000000000000001E-2</v>
      </c>
      <c r="U39" t="str">
        <f>IF($F39="unit",VLOOKUP($G39,[4]characters!$A:$C,3,),($G39&amp;$F39))</f>
        <v>生命の果実</v>
      </c>
    </row>
    <row r="40" spans="1:21" x14ac:dyDescent="0.15">
      <c r="A40" s="143">
        <v>39006</v>
      </c>
      <c r="B40" s="77">
        <v>3</v>
      </c>
      <c r="C40" s="68" t="str">
        <f t="shared" si="1"/>
        <v>39006_3</v>
      </c>
      <c r="D40" s="17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77">
        <v>39</v>
      </c>
      <c r="F40" s="77" t="s">
        <v>360</v>
      </c>
      <c r="G40" s="77">
        <v>123</v>
      </c>
      <c r="H40" s="77">
        <v>1</v>
      </c>
      <c r="I40" s="77">
        <v>1</v>
      </c>
      <c r="J40" s="77">
        <v>1</v>
      </c>
      <c r="K40" s="77">
        <v>0</v>
      </c>
      <c r="L40" s="77">
        <v>0</v>
      </c>
      <c r="M40" s="77">
        <v>0</v>
      </c>
      <c r="N40" s="77">
        <v>0</v>
      </c>
      <c r="O40" s="77">
        <v>1</v>
      </c>
      <c r="P40" s="77">
        <v>25</v>
      </c>
      <c r="Q40" s="77" t="s">
        <v>165</v>
      </c>
      <c r="R40" s="133" t="s">
        <v>166</v>
      </c>
      <c r="T40" s="135">
        <f t="shared" si="7"/>
        <v>2.5000000000000001E-2</v>
      </c>
      <c r="U40" t="str">
        <f>IF($F40="unit",VLOOKUP($G40,[4]characters!$A:$C,3,),($G40&amp;$F40))</f>
        <v>癒しの果実</v>
      </c>
    </row>
    <row r="41" spans="1:21" x14ac:dyDescent="0.15">
      <c r="A41" s="143">
        <v>39006</v>
      </c>
      <c r="B41" s="77">
        <v>3</v>
      </c>
      <c r="C41" s="68" t="str">
        <f t="shared" si="1"/>
        <v>39006_3</v>
      </c>
      <c r="D41" s="17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77">
        <v>40</v>
      </c>
      <c r="F41" s="77" t="s">
        <v>363</v>
      </c>
      <c r="G41" s="77">
        <v>125</v>
      </c>
      <c r="H41" s="77">
        <v>1</v>
      </c>
      <c r="I41" s="77">
        <v>1</v>
      </c>
      <c r="J41" s="77">
        <v>1</v>
      </c>
      <c r="K41" s="77">
        <v>0</v>
      </c>
      <c r="L41" s="77">
        <v>0</v>
      </c>
      <c r="M41" s="77">
        <v>0</v>
      </c>
      <c r="N41" s="77">
        <v>0</v>
      </c>
      <c r="O41" s="77">
        <v>1</v>
      </c>
      <c r="P41" s="77">
        <v>25</v>
      </c>
      <c r="Q41" s="77" t="s">
        <v>165</v>
      </c>
      <c r="R41" s="133" t="s">
        <v>166</v>
      </c>
      <c r="T41" s="135">
        <f t="shared" si="7"/>
        <v>2.5000000000000001E-2</v>
      </c>
      <c r="U41" t="str">
        <f>IF($F41="unit",VLOOKUP($G41,[4]characters!$A:$C,3,),($G41&amp;$F41))</f>
        <v>秘術の果実</v>
      </c>
    </row>
    <row r="42" spans="1:21" x14ac:dyDescent="0.15">
      <c r="A42" s="143">
        <v>39006</v>
      </c>
      <c r="B42" s="77">
        <v>3</v>
      </c>
      <c r="C42" s="68" t="str">
        <f t="shared" si="1"/>
        <v>39006_3</v>
      </c>
      <c r="D42" s="17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77">
        <v>41</v>
      </c>
      <c r="F42" s="77" t="s">
        <v>373</v>
      </c>
      <c r="G42" s="136">
        <v>981</v>
      </c>
      <c r="H42" s="77">
        <v>1</v>
      </c>
      <c r="I42" s="77">
        <v>1</v>
      </c>
      <c r="J42" s="77">
        <v>1</v>
      </c>
      <c r="K42" s="77">
        <v>0</v>
      </c>
      <c r="L42" s="77">
        <v>0</v>
      </c>
      <c r="M42" s="77">
        <v>0</v>
      </c>
      <c r="N42" s="77">
        <v>0</v>
      </c>
      <c r="O42" s="77">
        <v>1</v>
      </c>
      <c r="P42" s="77">
        <v>150</v>
      </c>
      <c r="Q42" s="77" t="s">
        <v>165</v>
      </c>
      <c r="R42" s="133" t="s">
        <v>166</v>
      </c>
      <c r="T42" s="135">
        <f t="shared" si="7"/>
        <v>0.15</v>
      </c>
      <c r="U42" t="str">
        <f>IF($F42="unit",VLOOKUP($G42,[4]characters!$A:$C,3,),($G42&amp;$F42))</f>
        <v>女型の巨人</v>
      </c>
    </row>
    <row r="43" spans="1:21" x14ac:dyDescent="0.15">
      <c r="A43" s="143">
        <v>39006</v>
      </c>
      <c r="B43" s="77">
        <v>3</v>
      </c>
      <c r="C43" s="68" t="str">
        <f t="shared" ref="C43" si="9">A43&amp; "_"&amp;B43</f>
        <v>39006_3</v>
      </c>
      <c r="D43" s="17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77">
        <v>42</v>
      </c>
      <c r="F43" s="77" t="s">
        <v>373</v>
      </c>
      <c r="G43" s="136">
        <v>983</v>
      </c>
      <c r="H43" s="77">
        <v>1</v>
      </c>
      <c r="I43" s="77">
        <v>1</v>
      </c>
      <c r="J43" s="77">
        <v>1</v>
      </c>
      <c r="K43" s="77">
        <v>0</v>
      </c>
      <c r="L43" s="77">
        <v>0</v>
      </c>
      <c r="M43" s="77">
        <v>0</v>
      </c>
      <c r="N43" s="77">
        <v>0</v>
      </c>
      <c r="O43" s="77">
        <v>1</v>
      </c>
      <c r="P43" s="77">
        <v>150</v>
      </c>
      <c r="Q43" s="77" t="s">
        <v>165</v>
      </c>
      <c r="R43" s="133" t="s">
        <v>166</v>
      </c>
      <c r="T43" s="135">
        <f t="shared" si="7"/>
        <v>0.15</v>
      </c>
      <c r="U43" t="str">
        <f>IF($F43="unit",VLOOKUP($G43,[4]characters!$A:$C,3,),($G43&amp;$F43))</f>
        <v>鎧の巨人</v>
      </c>
    </row>
    <row r="44" spans="1:21" x14ac:dyDescent="0.15">
      <c r="A44" s="143">
        <v>39006</v>
      </c>
      <c r="B44" s="77">
        <v>3</v>
      </c>
      <c r="C44" s="68" t="str">
        <f t="shared" ref="C44" si="10">A44&amp; "_"&amp;B44</f>
        <v>39006_3</v>
      </c>
      <c r="D44" s="17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77">
        <v>43</v>
      </c>
      <c r="F44" s="77" t="s">
        <v>358</v>
      </c>
      <c r="G44" s="77">
        <v>350</v>
      </c>
      <c r="H44" s="77">
        <v>1</v>
      </c>
      <c r="I44" s="77">
        <v>1</v>
      </c>
      <c r="J44" s="77">
        <v>1</v>
      </c>
      <c r="K44" s="77">
        <v>0</v>
      </c>
      <c r="L44" s="77">
        <v>0</v>
      </c>
      <c r="M44" s="77">
        <v>0</v>
      </c>
      <c r="N44" s="77">
        <v>0</v>
      </c>
      <c r="O44" s="77">
        <v>1</v>
      </c>
      <c r="P44" s="77">
        <v>50</v>
      </c>
      <c r="Q44" s="77" t="s">
        <v>165</v>
      </c>
      <c r="R44" s="133" t="s">
        <v>166</v>
      </c>
      <c r="T44" s="135">
        <f t="shared" si="7"/>
        <v>0.05</v>
      </c>
      <c r="U44" t="str">
        <f>IF($F44="unit",VLOOKUP($G44,[4]characters!$A:$C,3,),($G44&amp;$F44))</f>
        <v>森のケロケロ</v>
      </c>
    </row>
    <row r="45" spans="1:21" ht="16" thickBot="1" x14ac:dyDescent="0.2">
      <c r="A45" s="143">
        <v>39006</v>
      </c>
      <c r="B45" s="77">
        <v>3</v>
      </c>
      <c r="C45" s="68" t="str">
        <f t="shared" si="1"/>
        <v>39006_3</v>
      </c>
      <c r="D45" s="17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144">
        <v>44</v>
      </c>
      <c r="F45" s="77" t="s">
        <v>358</v>
      </c>
      <c r="G45" s="77">
        <v>354</v>
      </c>
      <c r="H45" s="77">
        <v>1</v>
      </c>
      <c r="I45" s="77">
        <v>1</v>
      </c>
      <c r="J45" s="77">
        <v>1</v>
      </c>
      <c r="K45" s="77">
        <v>0</v>
      </c>
      <c r="L45" s="77">
        <v>0</v>
      </c>
      <c r="M45" s="77">
        <v>0</v>
      </c>
      <c r="N45" s="77">
        <v>0</v>
      </c>
      <c r="O45" s="77">
        <v>1</v>
      </c>
      <c r="P45" s="77">
        <v>50</v>
      </c>
      <c r="Q45" s="77" t="s">
        <v>165</v>
      </c>
      <c r="R45" s="133" t="s">
        <v>166</v>
      </c>
      <c r="T45" s="135">
        <f t="shared" si="7"/>
        <v>0.05</v>
      </c>
      <c r="U45" t="str">
        <f>IF($F45="unit",VLOOKUP($G45,[4]characters!$A:$C,3,),($G45&amp;$F45))</f>
        <v>雷のケロケロ</v>
      </c>
    </row>
    <row r="46" spans="1:21" x14ac:dyDescent="0.15">
      <c r="A46" s="138">
        <v>39006</v>
      </c>
      <c r="B46" s="139">
        <v>4</v>
      </c>
      <c r="C46" s="140" t="str">
        <f t="shared" si="1"/>
        <v>39006_4</v>
      </c>
      <c r="D46" s="141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146">
        <v>45</v>
      </c>
      <c r="F46" s="139" t="s">
        <v>164</v>
      </c>
      <c r="G46" s="139">
        <v>6500</v>
      </c>
      <c r="H46" s="139" t="s">
        <v>376</v>
      </c>
      <c r="I46" s="139">
        <v>1</v>
      </c>
      <c r="J46" s="139">
        <v>1</v>
      </c>
      <c r="K46" s="139">
        <v>0</v>
      </c>
      <c r="L46" s="139">
        <v>0</v>
      </c>
      <c r="M46" s="139">
        <v>0</v>
      </c>
      <c r="N46" s="139">
        <v>0</v>
      </c>
      <c r="O46" s="139">
        <v>1</v>
      </c>
      <c r="P46" s="139">
        <v>100</v>
      </c>
      <c r="Q46" s="139" t="s">
        <v>165</v>
      </c>
      <c r="R46" s="145" t="s">
        <v>377</v>
      </c>
      <c r="T46" s="134">
        <f t="shared" ref="T46:T61" si="11">P46/SUM(P$46:P$61)</f>
        <v>0.1</v>
      </c>
      <c r="U46" t="str">
        <f>IF($F46="unit",VLOOKUP($G46,[4]characters!$A:$C,3,),($G46&amp;$F46))</f>
        <v>6500bit</v>
      </c>
    </row>
    <row r="47" spans="1:21" x14ac:dyDescent="0.15">
      <c r="A47" s="143">
        <v>39006</v>
      </c>
      <c r="B47" s="77">
        <v>4</v>
      </c>
      <c r="C47" s="68" t="str">
        <f t="shared" si="1"/>
        <v>39006_4</v>
      </c>
      <c r="D47" s="17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77">
        <v>46</v>
      </c>
      <c r="F47" s="77" t="s">
        <v>356</v>
      </c>
      <c r="G47" s="77">
        <v>25</v>
      </c>
      <c r="H47" s="77" t="s">
        <v>357</v>
      </c>
      <c r="I47" s="77">
        <v>1</v>
      </c>
      <c r="J47" s="77">
        <v>1</v>
      </c>
      <c r="K47" s="77">
        <v>0</v>
      </c>
      <c r="L47" s="77">
        <v>0</v>
      </c>
      <c r="M47" s="77">
        <v>0</v>
      </c>
      <c r="N47" s="77">
        <v>0</v>
      </c>
      <c r="O47" s="77">
        <v>1</v>
      </c>
      <c r="P47" s="77">
        <v>100</v>
      </c>
      <c r="Q47" s="77" t="s">
        <v>165</v>
      </c>
      <c r="R47" s="137" t="s">
        <v>378</v>
      </c>
      <c r="T47" s="135">
        <f t="shared" si="11"/>
        <v>0.1</v>
      </c>
      <c r="U47" t="str">
        <f>IF($F47="unit",VLOOKUP($G47,[4]characters!$A:$C,3,),($G47&amp;$F47))</f>
        <v>25link</v>
      </c>
    </row>
    <row r="48" spans="1:21" x14ac:dyDescent="0.15">
      <c r="A48" s="143">
        <v>39006</v>
      </c>
      <c r="B48" s="77">
        <v>4</v>
      </c>
      <c r="C48" s="68" t="str">
        <f t="shared" si="1"/>
        <v>39006_4</v>
      </c>
      <c r="D48" s="17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77">
        <v>47</v>
      </c>
      <c r="F48" s="77" t="s">
        <v>363</v>
      </c>
      <c r="G48" s="77">
        <v>336</v>
      </c>
      <c r="H48" s="77">
        <v>1</v>
      </c>
      <c r="I48" s="77">
        <v>1</v>
      </c>
      <c r="J48" s="77">
        <v>1</v>
      </c>
      <c r="K48" s="77">
        <v>0</v>
      </c>
      <c r="L48" s="77">
        <v>0</v>
      </c>
      <c r="M48" s="77">
        <v>0</v>
      </c>
      <c r="N48" s="77">
        <v>0</v>
      </c>
      <c r="O48" s="77">
        <v>1</v>
      </c>
      <c r="P48" s="77">
        <v>50</v>
      </c>
      <c r="Q48" s="77" t="s">
        <v>165</v>
      </c>
      <c r="R48" s="137" t="s">
        <v>166</v>
      </c>
      <c r="T48" s="135">
        <f t="shared" si="11"/>
        <v>0.05</v>
      </c>
      <c r="U48" t="str">
        <f>IF($F48="unit",VLOOKUP($G48,[4]characters!$A:$C,3,),($G48&amp;$F48))</f>
        <v>森のメタルピヨピヨ</v>
      </c>
    </row>
    <row r="49" spans="1:22" x14ac:dyDescent="0.15">
      <c r="A49" s="143">
        <v>39006</v>
      </c>
      <c r="B49" s="77">
        <v>4</v>
      </c>
      <c r="C49" s="68" t="str">
        <f t="shared" si="1"/>
        <v>39006_4</v>
      </c>
      <c r="D49" s="17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77">
        <v>48</v>
      </c>
      <c r="F49" s="77" t="s">
        <v>374</v>
      </c>
      <c r="G49" s="77">
        <v>337</v>
      </c>
      <c r="H49" s="77">
        <v>1</v>
      </c>
      <c r="I49" s="77">
        <v>1</v>
      </c>
      <c r="J49" s="77">
        <v>1</v>
      </c>
      <c r="K49" s="77">
        <v>0</v>
      </c>
      <c r="L49" s="77">
        <v>0</v>
      </c>
      <c r="M49" s="77">
        <v>0</v>
      </c>
      <c r="N49" s="77">
        <v>0</v>
      </c>
      <c r="O49" s="77">
        <v>1</v>
      </c>
      <c r="P49" s="77">
        <v>25</v>
      </c>
      <c r="Q49" s="77" t="s">
        <v>165</v>
      </c>
      <c r="R49" s="137" t="s">
        <v>166</v>
      </c>
      <c r="T49" s="135">
        <f t="shared" si="11"/>
        <v>2.5000000000000001E-2</v>
      </c>
      <c r="U49" t="str">
        <f>IF($F49="unit",VLOOKUP($G49,[4]characters!$A:$C,3,),($G49&amp;$F49))</f>
        <v>森のメタルチック</v>
      </c>
    </row>
    <row r="50" spans="1:22" x14ac:dyDescent="0.15">
      <c r="A50" s="143">
        <v>39006</v>
      </c>
      <c r="B50" s="77">
        <v>4</v>
      </c>
      <c r="C50" s="68" t="str">
        <f t="shared" si="1"/>
        <v>39006_4</v>
      </c>
      <c r="D50" s="17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77">
        <v>49</v>
      </c>
      <c r="F50" s="77" t="s">
        <v>373</v>
      </c>
      <c r="G50" s="77">
        <v>338</v>
      </c>
      <c r="H50" s="77">
        <v>1</v>
      </c>
      <c r="I50" s="77">
        <v>1</v>
      </c>
      <c r="J50" s="77">
        <v>1</v>
      </c>
      <c r="K50" s="77">
        <v>0</v>
      </c>
      <c r="L50" s="77">
        <v>0</v>
      </c>
      <c r="M50" s="77">
        <v>0</v>
      </c>
      <c r="N50" s="77">
        <v>0</v>
      </c>
      <c r="O50" s="77">
        <v>1</v>
      </c>
      <c r="P50" s="77">
        <v>25</v>
      </c>
      <c r="Q50" s="77" t="s">
        <v>165</v>
      </c>
      <c r="R50" s="137" t="s">
        <v>166</v>
      </c>
      <c r="T50" s="135">
        <f t="shared" si="11"/>
        <v>2.5000000000000001E-2</v>
      </c>
      <c r="U50" t="str">
        <f>IF($F50="unit",VLOOKUP($G50,[4]characters!$A:$C,3,),($G50&amp;$F50))</f>
        <v>森のメタルダック</v>
      </c>
    </row>
    <row r="51" spans="1:22" x14ac:dyDescent="0.15">
      <c r="A51" s="143">
        <v>39006</v>
      </c>
      <c r="B51" s="77">
        <v>4</v>
      </c>
      <c r="C51" s="68" t="str">
        <f t="shared" ref="C51:C53" si="12">A51&amp; "_"&amp;B51</f>
        <v>39006_4</v>
      </c>
      <c r="D51" s="17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77">
        <v>50</v>
      </c>
      <c r="F51" s="77" t="s">
        <v>363</v>
      </c>
      <c r="G51" s="77">
        <v>344</v>
      </c>
      <c r="H51" s="77">
        <v>1</v>
      </c>
      <c r="I51" s="77">
        <v>1</v>
      </c>
      <c r="J51" s="77">
        <v>1</v>
      </c>
      <c r="K51" s="77">
        <v>0</v>
      </c>
      <c r="L51" s="77">
        <v>0</v>
      </c>
      <c r="M51" s="77">
        <v>0</v>
      </c>
      <c r="N51" s="77">
        <v>0</v>
      </c>
      <c r="O51" s="77">
        <v>1</v>
      </c>
      <c r="P51" s="77">
        <v>50</v>
      </c>
      <c r="Q51" s="77" t="s">
        <v>165</v>
      </c>
      <c r="R51" s="137" t="s">
        <v>166</v>
      </c>
      <c r="T51" s="135">
        <f t="shared" si="11"/>
        <v>0.05</v>
      </c>
      <c r="U51" t="str">
        <f>IF($F51="unit",VLOOKUP($G51,[4]characters!$A:$C,3,),($G51&amp;$F51))</f>
        <v>雷のメタルピヨピヨ</v>
      </c>
    </row>
    <row r="52" spans="1:22" x14ac:dyDescent="0.15">
      <c r="A52" s="143">
        <v>39006</v>
      </c>
      <c r="B52" s="77">
        <v>4</v>
      </c>
      <c r="C52" s="68" t="str">
        <f t="shared" si="12"/>
        <v>39006_4</v>
      </c>
      <c r="D52" s="17" t="str">
        <f ca="1">VLOOKUP($C52,OFFSET([2]stages!$A$1,0,0,COUNTA([2]stages!$A:$A),MATCH(D$1,[2]stages!$2:$2,0)-MATCH($C$1,[2]stages!$2:$2,0)+1),MATCH(D$1,[2]stages!$2:$2,0)-MATCH($C$1,[2]stages!$2:$2,0)+1,FALSE)</f>
        <v>everyone</v>
      </c>
      <c r="E52" s="77">
        <v>51</v>
      </c>
      <c r="F52" s="77" t="s">
        <v>374</v>
      </c>
      <c r="G52" s="77">
        <v>345</v>
      </c>
      <c r="H52" s="77">
        <v>1</v>
      </c>
      <c r="I52" s="77">
        <v>1</v>
      </c>
      <c r="J52" s="77">
        <v>1</v>
      </c>
      <c r="K52" s="77">
        <v>0</v>
      </c>
      <c r="L52" s="77">
        <v>0</v>
      </c>
      <c r="M52" s="77">
        <v>0</v>
      </c>
      <c r="N52" s="77">
        <v>0</v>
      </c>
      <c r="O52" s="77">
        <v>1</v>
      </c>
      <c r="P52" s="77">
        <v>25</v>
      </c>
      <c r="Q52" s="77" t="s">
        <v>165</v>
      </c>
      <c r="R52" s="137" t="s">
        <v>166</v>
      </c>
      <c r="T52" s="135">
        <f t="shared" si="11"/>
        <v>2.5000000000000001E-2</v>
      </c>
      <c r="U52" t="str">
        <f>IF($F52="unit",VLOOKUP($G52,[4]characters!$A:$C,3,),($G52&amp;$F52))</f>
        <v>雷のメタルチック</v>
      </c>
    </row>
    <row r="53" spans="1:22" x14ac:dyDescent="0.15">
      <c r="A53" s="143">
        <v>39006</v>
      </c>
      <c r="B53" s="77">
        <v>4</v>
      </c>
      <c r="C53" s="68" t="str">
        <f t="shared" si="12"/>
        <v>39006_4</v>
      </c>
      <c r="D53" s="17" t="str">
        <f ca="1">VLOOKUP($C53,OFFSET([2]stages!$A$1,0,0,COUNTA([2]stages!$A:$A),MATCH(D$1,[2]stages!$2:$2,0)-MATCH($C$1,[2]stages!$2:$2,0)+1),MATCH(D$1,[2]stages!$2:$2,0)-MATCH($C$1,[2]stages!$2:$2,0)+1,FALSE)</f>
        <v>everyone</v>
      </c>
      <c r="E53" s="77">
        <v>52</v>
      </c>
      <c r="F53" s="77" t="s">
        <v>373</v>
      </c>
      <c r="G53" s="77">
        <v>346</v>
      </c>
      <c r="H53" s="77">
        <v>1</v>
      </c>
      <c r="I53" s="77">
        <v>1</v>
      </c>
      <c r="J53" s="77">
        <v>1</v>
      </c>
      <c r="K53" s="77">
        <v>0</v>
      </c>
      <c r="L53" s="77">
        <v>0</v>
      </c>
      <c r="M53" s="77">
        <v>0</v>
      </c>
      <c r="N53" s="77">
        <v>0</v>
      </c>
      <c r="O53" s="77">
        <v>1</v>
      </c>
      <c r="P53" s="77">
        <v>25</v>
      </c>
      <c r="Q53" s="77" t="s">
        <v>165</v>
      </c>
      <c r="R53" s="137" t="s">
        <v>166</v>
      </c>
      <c r="T53" s="135">
        <f t="shared" si="11"/>
        <v>2.5000000000000001E-2</v>
      </c>
      <c r="U53" t="str">
        <f>IF($F53="unit",VLOOKUP($G53,[4]characters!$A:$C,3,),($G53&amp;$F53))</f>
        <v>雷のメタルダック</v>
      </c>
    </row>
    <row r="54" spans="1:22" x14ac:dyDescent="0.15">
      <c r="A54" s="143">
        <v>39006</v>
      </c>
      <c r="B54" s="77">
        <v>4</v>
      </c>
      <c r="C54" s="68" t="str">
        <f t="shared" si="1"/>
        <v>39006_4</v>
      </c>
      <c r="D54" s="17" t="str">
        <f ca="1">VLOOKUP($C54,OFFSET([2]stages!$A$1,0,0,COUNTA([2]stages!$A:$A),MATCH(D$1,[2]stages!$2:$2,0)-MATCH($C$1,[2]stages!$2:$2,0)+1),MATCH(D$1,[2]stages!$2:$2,0)-MATCH($C$1,[2]stages!$2:$2,0)+1,FALSE)</f>
        <v>everyone</v>
      </c>
      <c r="E54" s="77">
        <v>53</v>
      </c>
      <c r="F54" s="77" t="s">
        <v>375</v>
      </c>
      <c r="G54" s="77">
        <v>121</v>
      </c>
      <c r="H54" s="77">
        <v>1</v>
      </c>
      <c r="I54" s="77">
        <v>1</v>
      </c>
      <c r="J54" s="77">
        <v>1</v>
      </c>
      <c r="K54" s="77">
        <v>0</v>
      </c>
      <c r="L54" s="77">
        <v>0</v>
      </c>
      <c r="M54" s="77">
        <v>0</v>
      </c>
      <c r="N54" s="77">
        <v>0</v>
      </c>
      <c r="O54" s="77">
        <v>1</v>
      </c>
      <c r="P54" s="77">
        <v>25</v>
      </c>
      <c r="Q54" s="77" t="s">
        <v>165</v>
      </c>
      <c r="R54" s="137" t="s">
        <v>166</v>
      </c>
      <c r="T54" s="135">
        <f t="shared" si="11"/>
        <v>2.5000000000000001E-2</v>
      </c>
      <c r="U54" t="str">
        <f>IF($F54="unit",VLOOKUP($G54,[4]characters!$A:$C,3,),($G54&amp;$F54))</f>
        <v>攻めの果実</v>
      </c>
    </row>
    <row r="55" spans="1:22" x14ac:dyDescent="0.15">
      <c r="A55" s="143">
        <v>39006</v>
      </c>
      <c r="B55" s="77">
        <v>4</v>
      </c>
      <c r="C55" s="68" t="str">
        <f t="shared" si="1"/>
        <v>39006_4</v>
      </c>
      <c r="D55" s="17" t="str">
        <f ca="1">VLOOKUP($C55,OFFSET([2]stages!$A$1,0,0,COUNTA([2]stages!$A:$A),MATCH(D$1,[2]stages!$2:$2,0)-MATCH($C$1,[2]stages!$2:$2,0)+1),MATCH(D$1,[2]stages!$2:$2,0)-MATCH($C$1,[2]stages!$2:$2,0)+1,FALSE)</f>
        <v>everyone</v>
      </c>
      <c r="E55" s="77">
        <v>54</v>
      </c>
      <c r="F55" s="77" t="s">
        <v>374</v>
      </c>
      <c r="G55" s="77">
        <v>122</v>
      </c>
      <c r="H55" s="77">
        <v>1</v>
      </c>
      <c r="I55" s="77">
        <v>1</v>
      </c>
      <c r="J55" s="77">
        <v>1</v>
      </c>
      <c r="K55" s="77">
        <v>0</v>
      </c>
      <c r="L55" s="77">
        <v>0</v>
      </c>
      <c r="M55" s="77">
        <v>0</v>
      </c>
      <c r="N55" s="77">
        <v>0</v>
      </c>
      <c r="O55" s="77">
        <v>1</v>
      </c>
      <c r="P55" s="77">
        <v>25</v>
      </c>
      <c r="Q55" s="77" t="s">
        <v>165</v>
      </c>
      <c r="R55" s="137" t="s">
        <v>166</v>
      </c>
      <c r="T55" s="135">
        <f t="shared" si="11"/>
        <v>2.5000000000000001E-2</v>
      </c>
      <c r="U55" t="str">
        <f>IF($F55="unit",VLOOKUP($G55,[4]characters!$A:$C,3,),($G55&amp;$F55))</f>
        <v>生命の果実</v>
      </c>
    </row>
    <row r="56" spans="1:22" x14ac:dyDescent="0.15">
      <c r="A56" s="143">
        <v>39006</v>
      </c>
      <c r="B56" s="77">
        <v>4</v>
      </c>
      <c r="C56" s="68" t="str">
        <f t="shared" si="1"/>
        <v>39006_4</v>
      </c>
      <c r="D56" s="17" t="str">
        <f ca="1">VLOOKUP($C56,OFFSET([2]stages!$A$1,0,0,COUNTA([2]stages!$A:$A),MATCH(D$1,[2]stages!$2:$2,0)-MATCH($C$1,[2]stages!$2:$2,0)+1),MATCH(D$1,[2]stages!$2:$2,0)-MATCH($C$1,[2]stages!$2:$2,0)+1,FALSE)</f>
        <v>everyone</v>
      </c>
      <c r="E56" s="77">
        <v>55</v>
      </c>
      <c r="F56" s="77" t="s">
        <v>375</v>
      </c>
      <c r="G56" s="77">
        <v>123</v>
      </c>
      <c r="H56" s="77">
        <v>1</v>
      </c>
      <c r="I56" s="77">
        <v>1</v>
      </c>
      <c r="J56" s="77">
        <v>1</v>
      </c>
      <c r="K56" s="77">
        <v>0</v>
      </c>
      <c r="L56" s="77">
        <v>0</v>
      </c>
      <c r="M56" s="77">
        <v>0</v>
      </c>
      <c r="N56" s="77">
        <v>0</v>
      </c>
      <c r="O56" s="77">
        <v>1</v>
      </c>
      <c r="P56" s="77">
        <v>25</v>
      </c>
      <c r="Q56" s="77" t="s">
        <v>165</v>
      </c>
      <c r="R56" s="137" t="s">
        <v>166</v>
      </c>
      <c r="T56" s="135">
        <f t="shared" si="11"/>
        <v>2.5000000000000001E-2</v>
      </c>
      <c r="U56" t="str">
        <f>IF($F56="unit",VLOOKUP($G56,[4]characters!$A:$C,3,),($G56&amp;$F56))</f>
        <v>癒しの果実</v>
      </c>
    </row>
    <row r="57" spans="1:22" x14ac:dyDescent="0.15">
      <c r="A57" s="143">
        <v>39006</v>
      </c>
      <c r="B57" s="77">
        <v>4</v>
      </c>
      <c r="C57" s="68" t="str">
        <f t="shared" si="1"/>
        <v>39006_4</v>
      </c>
      <c r="D57" s="17" t="str">
        <f ca="1">VLOOKUP($C57,OFFSET([2]stages!$A$1,0,0,COUNTA([2]stages!$A:$A),MATCH(D$1,[2]stages!$2:$2,0)-MATCH($C$1,[2]stages!$2:$2,0)+1),MATCH(D$1,[2]stages!$2:$2,0)-MATCH($C$1,[2]stages!$2:$2,0)+1,FALSE)</f>
        <v>everyone</v>
      </c>
      <c r="E57" s="77">
        <v>56</v>
      </c>
      <c r="F57" s="77" t="s">
        <v>374</v>
      </c>
      <c r="G57" s="77">
        <v>125</v>
      </c>
      <c r="H57" s="77">
        <v>1</v>
      </c>
      <c r="I57" s="77">
        <v>1</v>
      </c>
      <c r="J57" s="77">
        <v>1</v>
      </c>
      <c r="K57" s="77">
        <v>0</v>
      </c>
      <c r="L57" s="77">
        <v>0</v>
      </c>
      <c r="M57" s="77">
        <v>0</v>
      </c>
      <c r="N57" s="77">
        <v>0</v>
      </c>
      <c r="O57" s="77">
        <v>1</v>
      </c>
      <c r="P57" s="77">
        <v>25</v>
      </c>
      <c r="Q57" s="77" t="s">
        <v>165</v>
      </c>
      <c r="R57" s="137" t="s">
        <v>166</v>
      </c>
      <c r="T57" s="135">
        <f t="shared" si="11"/>
        <v>2.5000000000000001E-2</v>
      </c>
      <c r="U57" t="str">
        <f>IF($F57="unit",VLOOKUP($G57,[4]characters!$A:$C,3,),($G57&amp;$F57))</f>
        <v>秘術の果実</v>
      </c>
    </row>
    <row r="58" spans="1:22" x14ac:dyDescent="0.15">
      <c r="A58" s="143">
        <v>39006</v>
      </c>
      <c r="B58" s="77">
        <v>4</v>
      </c>
      <c r="C58" s="68" t="str">
        <f t="shared" si="1"/>
        <v>39006_4</v>
      </c>
      <c r="D58" s="17" t="str">
        <f ca="1">VLOOKUP($C58,OFFSET([2]stages!$A$1,0,0,COUNTA([2]stages!$A:$A),MATCH(D$1,[2]stages!$2:$2,0)-MATCH($C$1,[2]stages!$2:$2,0)+1),MATCH(D$1,[2]stages!$2:$2,0)-MATCH($C$1,[2]stages!$2:$2,0)+1,FALSE)</f>
        <v>everyone</v>
      </c>
      <c r="E58" s="77">
        <v>57</v>
      </c>
      <c r="F58" s="77" t="s">
        <v>373</v>
      </c>
      <c r="G58" s="136">
        <v>981</v>
      </c>
      <c r="H58" s="77">
        <v>1</v>
      </c>
      <c r="I58" s="77">
        <v>1</v>
      </c>
      <c r="J58" s="77">
        <v>1</v>
      </c>
      <c r="K58" s="77">
        <v>0</v>
      </c>
      <c r="L58" s="77">
        <v>0</v>
      </c>
      <c r="M58" s="77">
        <v>0</v>
      </c>
      <c r="N58" s="77">
        <v>0</v>
      </c>
      <c r="O58" s="77">
        <v>1</v>
      </c>
      <c r="P58" s="77">
        <v>200</v>
      </c>
      <c r="Q58" s="77" t="s">
        <v>165</v>
      </c>
      <c r="R58" s="137" t="s">
        <v>166</v>
      </c>
      <c r="T58" s="135">
        <f t="shared" si="11"/>
        <v>0.2</v>
      </c>
      <c r="U58" t="str">
        <f>IF($F58="unit",VLOOKUP($G58,[4]characters!$A:$C,3,),($G58&amp;$F58))</f>
        <v>女型の巨人</v>
      </c>
      <c r="V58">
        <v>200</v>
      </c>
    </row>
    <row r="59" spans="1:22" x14ac:dyDescent="0.15">
      <c r="A59" s="143">
        <v>39006</v>
      </c>
      <c r="B59" s="77">
        <v>4</v>
      </c>
      <c r="C59" s="68" t="str">
        <f t="shared" ref="C59" si="13">A59&amp; "_"&amp;B59</f>
        <v>39006_4</v>
      </c>
      <c r="D59" s="17" t="str">
        <f ca="1">VLOOKUP($C59,OFFSET([2]stages!$A$1,0,0,COUNTA([2]stages!$A:$A),MATCH(D$1,[2]stages!$2:$2,0)-MATCH($C$1,[2]stages!$2:$2,0)+1),MATCH(D$1,[2]stages!$2:$2,0)-MATCH($C$1,[2]stages!$2:$2,0)+1,FALSE)</f>
        <v>everyone</v>
      </c>
      <c r="E59" s="77">
        <v>58</v>
      </c>
      <c r="F59" s="77" t="s">
        <v>373</v>
      </c>
      <c r="G59" s="136">
        <v>983</v>
      </c>
      <c r="H59" s="77">
        <v>1</v>
      </c>
      <c r="I59" s="77">
        <v>1</v>
      </c>
      <c r="J59" s="77">
        <v>1</v>
      </c>
      <c r="K59" s="77">
        <v>0</v>
      </c>
      <c r="L59" s="77">
        <v>0</v>
      </c>
      <c r="M59" s="77">
        <v>0</v>
      </c>
      <c r="N59" s="77">
        <v>0</v>
      </c>
      <c r="O59" s="77">
        <v>1</v>
      </c>
      <c r="P59" s="77">
        <v>200</v>
      </c>
      <c r="Q59" s="77" t="s">
        <v>165</v>
      </c>
      <c r="R59" s="137" t="s">
        <v>166</v>
      </c>
      <c r="T59" s="135">
        <f t="shared" si="11"/>
        <v>0.2</v>
      </c>
      <c r="U59" t="str">
        <f>IF($F59="unit",VLOOKUP($G59,[4]characters!$A:$C,3,),($G59&amp;$F59))</f>
        <v>鎧の巨人</v>
      </c>
      <c r="V59">
        <v>200</v>
      </c>
    </row>
    <row r="60" spans="1:22" x14ac:dyDescent="0.15">
      <c r="A60" s="143">
        <v>39006</v>
      </c>
      <c r="B60" s="77">
        <v>4</v>
      </c>
      <c r="C60" s="68" t="str">
        <f t="shared" ref="C60" si="14">A60&amp; "_"&amp;B60</f>
        <v>39006_4</v>
      </c>
      <c r="D60" s="17" t="str">
        <f ca="1">VLOOKUP($C60,OFFSET([2]stages!$A$1,0,0,COUNTA([2]stages!$A:$A),MATCH(D$1,[2]stages!$2:$2,0)-MATCH($C$1,[2]stages!$2:$2,0)+1),MATCH(D$1,[2]stages!$2:$2,0)-MATCH($C$1,[2]stages!$2:$2,0)+1,FALSE)</f>
        <v>everyone</v>
      </c>
      <c r="E60" s="77">
        <v>59</v>
      </c>
      <c r="F60" s="77" t="s">
        <v>375</v>
      </c>
      <c r="G60" s="77">
        <v>350</v>
      </c>
      <c r="H60" s="77">
        <v>1</v>
      </c>
      <c r="I60" s="77">
        <v>1</v>
      </c>
      <c r="J60" s="77">
        <v>1</v>
      </c>
      <c r="K60" s="77">
        <v>0</v>
      </c>
      <c r="L60" s="77">
        <v>0</v>
      </c>
      <c r="M60" s="77">
        <v>0</v>
      </c>
      <c r="N60" s="77">
        <v>0</v>
      </c>
      <c r="O60" s="77">
        <v>1</v>
      </c>
      <c r="P60" s="77">
        <v>50</v>
      </c>
      <c r="Q60" s="77" t="s">
        <v>165</v>
      </c>
      <c r="R60" s="137" t="s">
        <v>166</v>
      </c>
      <c r="T60" s="135">
        <f t="shared" si="11"/>
        <v>0.05</v>
      </c>
      <c r="U60" t="str">
        <f>IF($F60="unit",VLOOKUP($G60,[4]characters!$A:$C,3,),($G60&amp;$F60))</f>
        <v>森のケロケロ</v>
      </c>
    </row>
    <row r="61" spans="1:22" x14ac:dyDescent="0.15">
      <c r="A61" s="143">
        <v>39006</v>
      </c>
      <c r="B61" s="77">
        <v>4</v>
      </c>
      <c r="C61" s="68" t="str">
        <f t="shared" si="1"/>
        <v>39006_4</v>
      </c>
      <c r="D61" s="17" t="str">
        <f ca="1">VLOOKUP($C61,OFFSET([2]stages!$A$1,0,0,COUNTA([2]stages!$A:$A),MATCH(D$1,[2]stages!$2:$2,0)-MATCH($C$1,[2]stages!$2:$2,0)+1),MATCH(D$1,[2]stages!$2:$2,0)-MATCH($C$1,[2]stages!$2:$2,0)+1,FALSE)</f>
        <v>everyone</v>
      </c>
      <c r="E61" s="77">
        <v>60</v>
      </c>
      <c r="F61" s="77" t="s">
        <v>375</v>
      </c>
      <c r="G61" s="77">
        <v>354</v>
      </c>
      <c r="H61" s="77">
        <v>1</v>
      </c>
      <c r="I61" s="77">
        <v>1</v>
      </c>
      <c r="J61" s="77">
        <v>1</v>
      </c>
      <c r="K61" s="77">
        <v>0</v>
      </c>
      <c r="L61" s="77">
        <v>0</v>
      </c>
      <c r="M61" s="77">
        <v>0</v>
      </c>
      <c r="N61" s="77">
        <v>0</v>
      </c>
      <c r="O61" s="77">
        <v>1</v>
      </c>
      <c r="P61" s="77">
        <v>50</v>
      </c>
      <c r="Q61" s="77" t="s">
        <v>165</v>
      </c>
      <c r="R61" s="137" t="s">
        <v>166</v>
      </c>
      <c r="T61" s="135">
        <f t="shared" si="11"/>
        <v>0.05</v>
      </c>
      <c r="U61" t="str">
        <f>IF($F61="unit",VLOOKUP($G61,[4]characters!$A:$C,3,),($G61&amp;$F61))</f>
        <v>雷のケロケロ</v>
      </c>
    </row>
  </sheetData>
  <phoneticPr fontId="6"/>
  <dataValidations count="1">
    <dataValidation type="list" allowBlank="1" showInputMessage="1" showErrorMessage="1" sqref="F2:F6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K10" sqref="K10"/>
    </sheetView>
  </sheetViews>
  <sheetFormatPr baseColWidth="12" defaultColWidth="13" defaultRowHeight="20" outlineLevelCol="1" x14ac:dyDescent="0.3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31" style="177" bestFit="1" customWidth="1"/>
    <col min="12" max="12" width="42.6640625" customWidth="1"/>
  </cols>
  <sheetData>
    <row r="1" spans="1:13" ht="18" x14ac:dyDescent="0.3">
      <c r="A1" s="72" t="s">
        <v>183</v>
      </c>
      <c r="B1" s="69" t="s">
        <v>184</v>
      </c>
      <c r="C1" s="73" t="s">
        <v>185</v>
      </c>
      <c r="D1" s="73" t="s">
        <v>33</v>
      </c>
      <c r="E1" s="69" t="s">
        <v>186</v>
      </c>
      <c r="F1" s="73" t="s">
        <v>187</v>
      </c>
      <c r="G1" s="73" t="s">
        <v>33</v>
      </c>
      <c r="H1" s="69" t="s">
        <v>188</v>
      </c>
      <c r="I1" s="87" t="s">
        <v>190</v>
      </c>
      <c r="J1" s="75" t="s">
        <v>127</v>
      </c>
      <c r="K1" s="175" t="s">
        <v>182</v>
      </c>
      <c r="L1" s="88" t="s">
        <v>181</v>
      </c>
      <c r="M1" s="76" t="s">
        <v>191</v>
      </c>
    </row>
  </sheetData>
  <phoneticPr fontId="6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7"/>
  <sheetViews>
    <sheetView showGridLines="0" workbookViewId="0">
      <pane ySplit="1" topLeftCell="A28" activePane="bottomLeft" state="frozen"/>
      <selection pane="bottomLeft" activeCell="M34" sqref="M3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183</v>
      </c>
      <c r="B1" s="69" t="s">
        <v>151</v>
      </c>
      <c r="C1" s="73" t="s">
        <v>185</v>
      </c>
      <c r="D1" s="73" t="s">
        <v>33</v>
      </c>
      <c r="E1" s="69" t="s">
        <v>186</v>
      </c>
      <c r="F1" s="73" t="s">
        <v>18</v>
      </c>
      <c r="G1" s="73" t="s">
        <v>33</v>
      </c>
      <c r="H1" s="69" t="s">
        <v>188</v>
      </c>
      <c r="I1" s="85" t="s">
        <v>189</v>
      </c>
      <c r="J1" s="87" t="s">
        <v>190</v>
      </c>
      <c r="K1" s="75" t="s">
        <v>127</v>
      </c>
      <c r="L1" s="74" t="s">
        <v>182</v>
      </c>
      <c r="M1" s="88" t="s">
        <v>181</v>
      </c>
      <c r="N1" s="76" t="s">
        <v>191</v>
      </c>
    </row>
    <row r="2" spans="1:14" ht="42" x14ac:dyDescent="0.15">
      <c r="A2" s="77" t="s">
        <v>192</v>
      </c>
      <c r="B2" s="78">
        <f>floors!$C$2</f>
        <v>39006</v>
      </c>
      <c r="C2" s="79" t="str">
        <f ca="1">VLOOKUP($B2,OFFSET([2]quests!$A$1,0,0,COUNTA([2]quests!$A:$A),MATCH(C$1,[2]quests!$1:$1,0)-MATCH($B$1,[2]quests!$1:$1,0)+1),MATCH(C$1,[2]quests!$1:$1,0)-MATCH($B$1,[2]quests!$1:$1,0)+1,FALSE)</f>
        <v>シガンシナ区攻防戦</v>
      </c>
      <c r="D2" s="79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【初級】シガンシナ区攻防戦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1">
        <v>1</v>
      </c>
      <c r="I2" s="86">
        <f>ROW()-1</f>
        <v>1</v>
      </c>
      <c r="J2" s="82" t="str">
        <f>B2&amp;TEXT(I2,"00")</f>
        <v>3900601</v>
      </c>
      <c r="K2" s="80" t="s">
        <v>193</v>
      </c>
      <c r="L2" s="83" t="s">
        <v>194</v>
      </c>
      <c r="M2" s="124" t="s">
        <v>339</v>
      </c>
      <c r="N2" s="55" t="s">
        <v>195</v>
      </c>
    </row>
    <row r="3" spans="1:14" ht="28" x14ac:dyDescent="0.15">
      <c r="A3" s="77" t="s">
        <v>192</v>
      </c>
      <c r="B3" s="78">
        <f>floors!$C$2</f>
        <v>39006</v>
      </c>
      <c r="C3" s="79" t="str">
        <f ca="1">VLOOKUP($B3,OFFSET([2]quests!$A$1,0,0,COUNTA([2]quests!$A:$A),MATCH(C$1,[2]quests!$1:$1,0)-MATCH($B$1,[2]quests!$1:$1,0)+1),MATCH(C$1,[2]quests!$1:$1,0)-MATCH($B$1,[2]quests!$1:$1,0)+1,FALSE)</f>
        <v>シガンシナ区攻防戦</v>
      </c>
      <c r="D3" s="79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【初級】シガンシナ区攻防戦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1">
        <v>2</v>
      </c>
      <c r="I3" s="86">
        <f t="shared" ref="I3:I57" si="0">ROW()-1</f>
        <v>2</v>
      </c>
      <c r="J3" s="82" t="str">
        <f t="shared" ref="J3:J16" si="1">B3&amp;TEXT(I3,"00")</f>
        <v>3900602</v>
      </c>
      <c r="K3" s="80" t="s">
        <v>128</v>
      </c>
      <c r="L3" s="83" t="s">
        <v>194</v>
      </c>
      <c r="M3" s="124" t="s">
        <v>335</v>
      </c>
      <c r="N3" s="55" t="s">
        <v>195</v>
      </c>
    </row>
    <row r="4" spans="1:14" ht="42" x14ac:dyDescent="0.15">
      <c r="A4" s="77" t="s">
        <v>192</v>
      </c>
      <c r="B4" s="78">
        <f>floors!$C$2</f>
        <v>39006</v>
      </c>
      <c r="C4" s="79" t="str">
        <f ca="1">VLOOKUP($B4,OFFSET([2]quests!$A$1,0,0,COUNTA([2]quests!$A:$A),MATCH(C$1,[2]quests!$1:$1,0)-MATCH($B$1,[2]quests!$1:$1,0)+1),MATCH(C$1,[2]quests!$1:$1,0)-MATCH($B$1,[2]quests!$1:$1,0)+1,FALSE)</f>
        <v>シガンシナ区攻防戦</v>
      </c>
      <c r="D4" s="79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【初級】シガンシナ区攻防戦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1">
        <v>4</v>
      </c>
      <c r="I4" s="86">
        <f t="shared" si="0"/>
        <v>3</v>
      </c>
      <c r="J4" s="82" t="str">
        <f t="shared" si="1"/>
        <v>3900603</v>
      </c>
      <c r="K4" s="80" t="s">
        <v>128</v>
      </c>
      <c r="L4" s="83" t="s">
        <v>194</v>
      </c>
      <c r="M4" s="124" t="s">
        <v>336</v>
      </c>
      <c r="N4" s="55" t="s">
        <v>195</v>
      </c>
    </row>
    <row r="5" spans="1:14" ht="43" thickBot="1" x14ac:dyDescent="0.2">
      <c r="A5" s="144" t="s">
        <v>192</v>
      </c>
      <c r="B5" s="154">
        <f>floors!$C$2</f>
        <v>39006</v>
      </c>
      <c r="C5" s="155" t="str">
        <f ca="1">VLOOKUP($B5,OFFSET([2]quests!$A$1,0,0,COUNTA([2]quests!$A:$A),MATCH(C$1,[2]quests!$1:$1,0)-MATCH($B$1,[2]quests!$1:$1,0)+1),MATCH(C$1,[2]quests!$1:$1,0)-MATCH($B$1,[2]quests!$1:$1,0)+1,FALSE)</f>
        <v>シガンシナ区攻防戦</v>
      </c>
      <c r="D5" s="155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156">
        <v>1</v>
      </c>
      <c r="F5" s="155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【初級】シガンシナ区攻防戦</v>
      </c>
      <c r="G5" s="155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157">
        <v>4</v>
      </c>
      <c r="I5" s="158">
        <f t="shared" si="0"/>
        <v>4</v>
      </c>
      <c r="J5" s="159" t="str">
        <f t="shared" ref="J5" si="2">B5&amp;TEXT(I5,"00")</f>
        <v>3900604</v>
      </c>
      <c r="K5" s="156" t="s">
        <v>128</v>
      </c>
      <c r="L5" s="160" t="s">
        <v>194</v>
      </c>
      <c r="M5" s="161" t="s">
        <v>338</v>
      </c>
      <c r="N5" s="162" t="s">
        <v>195</v>
      </c>
    </row>
    <row r="6" spans="1:14" ht="42" x14ac:dyDescent="0.15">
      <c r="A6" s="146" t="s">
        <v>192</v>
      </c>
      <c r="B6" s="147">
        <f>floors!$C$2</f>
        <v>39006</v>
      </c>
      <c r="C6" s="79" t="str">
        <f ca="1">VLOOKUP($B6,OFFSET([2]quests!$A$1,0,0,COUNTA([2]quests!$A:$A),MATCH(C$1,[2]quests!$1:$1,0)-MATCH($B$1,[2]quests!$1:$1,0)+1),MATCH(C$1,[2]quests!$1:$1,0)-MATCH($B$1,[2]quests!$1:$1,0)+1,FALSE)</f>
        <v>シガンシナ区攻防戦</v>
      </c>
      <c r="D6" s="79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148">
        <v>2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【中級】シガンシナ区攻防戦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1">
        <v>1</v>
      </c>
      <c r="I6" s="149">
        <f t="shared" si="0"/>
        <v>5</v>
      </c>
      <c r="J6" s="150" t="str">
        <f t="shared" si="1"/>
        <v>3900605</v>
      </c>
      <c r="K6" s="148" t="s">
        <v>128</v>
      </c>
      <c r="L6" s="151" t="s">
        <v>194</v>
      </c>
      <c r="M6" s="152" t="s">
        <v>339</v>
      </c>
      <c r="N6" s="153" t="s">
        <v>195</v>
      </c>
    </row>
    <row r="7" spans="1:14" ht="28" x14ac:dyDescent="0.15">
      <c r="A7" s="77" t="s">
        <v>192</v>
      </c>
      <c r="B7" s="78">
        <f>floors!$C$2</f>
        <v>39006</v>
      </c>
      <c r="C7" s="79" t="str">
        <f ca="1">VLOOKUP($B7,OFFSET([2]quests!$A$1,0,0,COUNTA([2]quests!$A:$A),MATCH(C$1,[2]quests!$1:$1,0)-MATCH($B$1,[2]quests!$1:$1,0)+1),MATCH(C$1,[2]quests!$1:$1,0)-MATCH($B$1,[2]quests!$1:$1,0)+1,FALSE)</f>
        <v>シガンシナ区攻防戦</v>
      </c>
      <c r="D7" s="79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0">
        <v>2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【中級】シガンシナ区攻防戦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1">
        <v>2</v>
      </c>
      <c r="I7" s="86">
        <f t="shared" si="0"/>
        <v>6</v>
      </c>
      <c r="J7" s="82" t="str">
        <f t="shared" si="1"/>
        <v>3900606</v>
      </c>
      <c r="K7" s="80" t="s">
        <v>128</v>
      </c>
      <c r="L7" s="83" t="s">
        <v>194</v>
      </c>
      <c r="M7" s="124" t="s">
        <v>335</v>
      </c>
      <c r="N7" s="55" t="s">
        <v>195</v>
      </c>
    </row>
    <row r="8" spans="1:14" ht="42" x14ac:dyDescent="0.15">
      <c r="A8" s="77" t="s">
        <v>192</v>
      </c>
      <c r="B8" s="78">
        <f>floors!$C$2</f>
        <v>39006</v>
      </c>
      <c r="C8" s="79" t="str">
        <f ca="1">VLOOKUP($B8,OFFSET([2]quests!$A$1,0,0,COUNTA([2]quests!$A:$A),MATCH(C$1,[2]quests!$1:$1,0)-MATCH($B$1,[2]quests!$1:$1,0)+1),MATCH(C$1,[2]quests!$1:$1,0)-MATCH($B$1,[2]quests!$1:$1,0)+1,FALSE)</f>
        <v>シガンシナ区攻防戦</v>
      </c>
      <c r="D8" s="79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0">
        <v>2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【中級】シガンシナ区攻防戦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1">
        <v>4</v>
      </c>
      <c r="I8" s="86">
        <f t="shared" si="0"/>
        <v>7</v>
      </c>
      <c r="J8" s="82" t="str">
        <f t="shared" si="1"/>
        <v>3900607</v>
      </c>
      <c r="K8" s="80" t="s">
        <v>128</v>
      </c>
      <c r="L8" s="83" t="s">
        <v>194</v>
      </c>
      <c r="M8" s="124" t="s">
        <v>336</v>
      </c>
      <c r="N8" s="55" t="s">
        <v>195</v>
      </c>
    </row>
    <row r="9" spans="1:14" ht="43" thickBot="1" x14ac:dyDescent="0.2">
      <c r="A9" s="144" t="s">
        <v>192</v>
      </c>
      <c r="B9" s="154">
        <f>floors!$C$2</f>
        <v>39006</v>
      </c>
      <c r="C9" s="155" t="str">
        <f ca="1">VLOOKUP($B9,OFFSET([2]quests!$A$1,0,0,COUNTA([2]quests!$A:$A),MATCH(C$1,[2]quests!$1:$1,0)-MATCH($B$1,[2]quests!$1:$1,0)+1),MATCH(C$1,[2]quests!$1:$1,0)-MATCH($B$1,[2]quests!$1:$1,0)+1,FALSE)</f>
        <v>シガンシナ区攻防戦</v>
      </c>
      <c r="D9" s="155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156">
        <v>2</v>
      </c>
      <c r="F9" s="155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【中級】シガンシナ区攻防戦</v>
      </c>
      <c r="G9" s="155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157">
        <v>4</v>
      </c>
      <c r="I9" s="158">
        <f t="shared" si="0"/>
        <v>8</v>
      </c>
      <c r="J9" s="159" t="str">
        <f t="shared" ref="J9" si="3">B9&amp;TEXT(I9,"00")</f>
        <v>3900608</v>
      </c>
      <c r="K9" s="156" t="s">
        <v>128</v>
      </c>
      <c r="L9" s="160" t="s">
        <v>194</v>
      </c>
      <c r="M9" s="161" t="s">
        <v>338</v>
      </c>
      <c r="N9" s="162" t="s">
        <v>195</v>
      </c>
    </row>
    <row r="10" spans="1:14" ht="42" x14ac:dyDescent="0.15">
      <c r="A10" s="146" t="s">
        <v>192</v>
      </c>
      <c r="B10" s="147">
        <f>floors!$C$2</f>
        <v>39006</v>
      </c>
      <c r="C10" s="79" t="str">
        <f ca="1">VLOOKUP($B10,OFFSET([2]quests!$A$1,0,0,COUNTA([2]quests!$A:$A),MATCH(C$1,[2]quests!$1:$1,0)-MATCH($B$1,[2]quests!$1:$1,0)+1),MATCH(C$1,[2]quests!$1:$1,0)-MATCH($B$1,[2]quests!$1:$1,0)+1,FALSE)</f>
        <v>シガンシナ区攻防戦</v>
      </c>
      <c r="D10" s="79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148">
        <v>3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【上級】シガンシナ区攻防戦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1">
        <v>1</v>
      </c>
      <c r="I10" s="149">
        <f t="shared" si="0"/>
        <v>9</v>
      </c>
      <c r="J10" s="150" t="str">
        <f t="shared" si="1"/>
        <v>3900609</v>
      </c>
      <c r="K10" s="148" t="s">
        <v>128</v>
      </c>
      <c r="L10" s="151" t="s">
        <v>194</v>
      </c>
      <c r="M10" s="152" t="s">
        <v>339</v>
      </c>
      <c r="N10" s="153" t="s">
        <v>195</v>
      </c>
    </row>
    <row r="11" spans="1:14" ht="28" x14ac:dyDescent="0.15">
      <c r="A11" s="77" t="s">
        <v>192</v>
      </c>
      <c r="B11" s="78">
        <f>floors!$C$2</f>
        <v>39006</v>
      </c>
      <c r="C11" s="79" t="str">
        <f ca="1">VLOOKUP($B11,OFFSET([2]quests!$A$1,0,0,COUNTA([2]quests!$A:$A),MATCH(C$1,[2]quests!$1:$1,0)-MATCH($B$1,[2]quests!$1:$1,0)+1),MATCH(C$1,[2]quests!$1:$1,0)-MATCH($B$1,[2]quests!$1:$1,0)+1,FALSE)</f>
        <v>シガンシナ区攻防戦</v>
      </c>
      <c r="D11" s="79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0">
        <v>3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【上級】シガンシナ区攻防戦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1">
        <v>2</v>
      </c>
      <c r="I11" s="86">
        <f t="shared" si="0"/>
        <v>10</v>
      </c>
      <c r="J11" s="82" t="str">
        <f t="shared" si="1"/>
        <v>3900610</v>
      </c>
      <c r="K11" s="80" t="s">
        <v>128</v>
      </c>
      <c r="L11" s="83" t="s">
        <v>194</v>
      </c>
      <c r="M11" s="124" t="s">
        <v>335</v>
      </c>
      <c r="N11" s="55" t="s">
        <v>195</v>
      </c>
    </row>
    <row r="12" spans="1:14" ht="42" x14ac:dyDescent="0.15">
      <c r="A12" s="77" t="s">
        <v>192</v>
      </c>
      <c r="B12" s="78">
        <f>floors!$C$2</f>
        <v>39006</v>
      </c>
      <c r="C12" s="79" t="str">
        <f ca="1">VLOOKUP($B12,OFFSET([2]quests!$A$1,0,0,COUNTA([2]quests!$A:$A),MATCH(C$1,[2]quests!$1:$1,0)-MATCH($B$1,[2]quests!$1:$1,0)+1),MATCH(C$1,[2]quests!$1:$1,0)-MATCH($B$1,[2]quests!$1:$1,0)+1,FALSE)</f>
        <v>シガンシナ区攻防戦</v>
      </c>
      <c r="D12" s="79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0">
        <v>3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【上級】シガンシナ区攻防戦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1">
        <v>4</v>
      </c>
      <c r="I12" s="86">
        <f t="shared" si="0"/>
        <v>11</v>
      </c>
      <c r="J12" s="82" t="str">
        <f t="shared" si="1"/>
        <v>3900611</v>
      </c>
      <c r="K12" s="80" t="s">
        <v>128</v>
      </c>
      <c r="L12" s="83" t="s">
        <v>194</v>
      </c>
      <c r="M12" s="124" t="s">
        <v>336</v>
      </c>
      <c r="N12" s="55" t="s">
        <v>195</v>
      </c>
    </row>
    <row r="13" spans="1:14" ht="43" thickBot="1" x14ac:dyDescent="0.2">
      <c r="A13" s="144" t="s">
        <v>192</v>
      </c>
      <c r="B13" s="154">
        <f>floors!$C$2</f>
        <v>39006</v>
      </c>
      <c r="C13" s="155" t="str">
        <f ca="1">VLOOKUP($B13,OFFSET([2]quests!$A$1,0,0,COUNTA([2]quests!$A:$A),MATCH(C$1,[2]quests!$1:$1,0)-MATCH($B$1,[2]quests!$1:$1,0)+1),MATCH(C$1,[2]quests!$1:$1,0)-MATCH($B$1,[2]quests!$1:$1,0)+1,FALSE)</f>
        <v>シガンシナ区攻防戦</v>
      </c>
      <c r="D13" s="155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156">
        <v>3</v>
      </c>
      <c r="F13" s="155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【上級】シガンシナ区攻防戦</v>
      </c>
      <c r="G13" s="155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157">
        <v>4</v>
      </c>
      <c r="I13" s="158">
        <f t="shared" si="0"/>
        <v>12</v>
      </c>
      <c r="J13" s="159" t="str">
        <f t="shared" ref="J13" si="4">B13&amp;TEXT(I13,"00")</f>
        <v>3900612</v>
      </c>
      <c r="K13" s="156" t="s">
        <v>128</v>
      </c>
      <c r="L13" s="160" t="s">
        <v>194</v>
      </c>
      <c r="M13" s="161" t="s">
        <v>338</v>
      </c>
      <c r="N13" s="162" t="s">
        <v>195</v>
      </c>
    </row>
    <row r="14" spans="1:14" ht="42" x14ac:dyDescent="0.15">
      <c r="A14" s="146" t="s">
        <v>192</v>
      </c>
      <c r="B14" s="147">
        <f>floors!$C$2</f>
        <v>39006</v>
      </c>
      <c r="C14" s="79" t="str">
        <f ca="1">VLOOKUP($B14,OFFSET([2]quests!$A$1,0,0,COUNTA([2]quests!$A:$A),MATCH(C$1,[2]quests!$1:$1,0)-MATCH($B$1,[2]quests!$1:$1,0)+1),MATCH(C$1,[2]quests!$1:$1,0)-MATCH($B$1,[2]quests!$1:$1,0)+1,FALSE)</f>
        <v>シガンシナ区攻防戦</v>
      </c>
      <c r="D14" s="79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148">
        <v>4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【超級】シガンシナ区攻防戦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1">
        <v>1</v>
      </c>
      <c r="I14" s="149">
        <f t="shared" si="0"/>
        <v>13</v>
      </c>
      <c r="J14" s="150" t="str">
        <f t="shared" si="1"/>
        <v>3900613</v>
      </c>
      <c r="K14" s="148" t="s">
        <v>128</v>
      </c>
      <c r="L14" s="151" t="s">
        <v>194</v>
      </c>
      <c r="M14" s="152" t="s">
        <v>339</v>
      </c>
      <c r="N14" s="153" t="s">
        <v>195</v>
      </c>
    </row>
    <row r="15" spans="1:14" ht="28" x14ac:dyDescent="0.15">
      <c r="A15" s="77" t="s">
        <v>192</v>
      </c>
      <c r="B15" s="78">
        <f>floors!$C$2</f>
        <v>39006</v>
      </c>
      <c r="C15" s="79" t="str">
        <f ca="1">VLOOKUP($B15,OFFSET([2]quests!$A$1,0,0,COUNTA([2]quests!$A:$A),MATCH(C$1,[2]quests!$1:$1,0)-MATCH($B$1,[2]quests!$1:$1,0)+1),MATCH(C$1,[2]quests!$1:$1,0)-MATCH($B$1,[2]quests!$1:$1,0)+1,FALSE)</f>
        <v>シガンシナ区攻防戦</v>
      </c>
      <c r="D15" s="79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0">
        <v>4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【超級】シガンシナ区攻防戦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1">
        <v>2</v>
      </c>
      <c r="I15" s="86">
        <f t="shared" si="0"/>
        <v>14</v>
      </c>
      <c r="J15" s="82" t="str">
        <f t="shared" si="1"/>
        <v>3900614</v>
      </c>
      <c r="K15" s="80" t="s">
        <v>128</v>
      </c>
      <c r="L15" s="83" t="s">
        <v>194</v>
      </c>
      <c r="M15" s="124" t="s">
        <v>335</v>
      </c>
      <c r="N15" s="55" t="s">
        <v>195</v>
      </c>
    </row>
    <row r="16" spans="1:14" ht="42" x14ac:dyDescent="0.15">
      <c r="A16" s="77" t="s">
        <v>192</v>
      </c>
      <c r="B16" s="78">
        <f>floors!$C$2</f>
        <v>39006</v>
      </c>
      <c r="C16" s="79" t="str">
        <f ca="1">VLOOKUP($B16,OFFSET([2]quests!$A$1,0,0,COUNTA([2]quests!$A:$A),MATCH(C$1,[2]quests!$1:$1,0)-MATCH($B$1,[2]quests!$1:$1,0)+1),MATCH(C$1,[2]quests!$1:$1,0)-MATCH($B$1,[2]quests!$1:$1,0)+1,FALSE)</f>
        <v>シガンシナ区攻防戦</v>
      </c>
      <c r="D16" s="79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0">
        <v>4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【超級】シガンシナ区攻防戦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1">
        <v>4</v>
      </c>
      <c r="I16" s="86">
        <f t="shared" si="0"/>
        <v>15</v>
      </c>
      <c r="J16" s="82" t="str">
        <f t="shared" si="1"/>
        <v>3900615</v>
      </c>
      <c r="K16" s="80" t="s">
        <v>128</v>
      </c>
      <c r="L16" s="83" t="s">
        <v>194</v>
      </c>
      <c r="M16" s="124" t="s">
        <v>337</v>
      </c>
      <c r="N16" s="55" t="s">
        <v>195</v>
      </c>
    </row>
    <row r="17" spans="1:14" ht="43" thickBot="1" x14ac:dyDescent="0.2">
      <c r="A17" s="144" t="s">
        <v>192</v>
      </c>
      <c r="B17" s="154">
        <f>floors!$C$2</f>
        <v>39006</v>
      </c>
      <c r="C17" s="155" t="str">
        <f ca="1">VLOOKUP($B17,OFFSET([2]quests!$A$1,0,0,COUNTA([2]quests!$A:$A),MATCH(C$1,[2]quests!$1:$1,0)-MATCH($B$1,[2]quests!$1:$1,0)+1),MATCH(C$1,[2]quests!$1:$1,0)-MATCH($B$1,[2]quests!$1:$1,0)+1,FALSE)</f>
        <v>シガンシナ区攻防戦</v>
      </c>
      <c r="D17" s="155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156">
        <v>4</v>
      </c>
      <c r="F17" s="155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【超級】シガンシナ区攻防戦</v>
      </c>
      <c r="G17" s="155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157">
        <v>4</v>
      </c>
      <c r="I17" s="158">
        <f t="shared" si="0"/>
        <v>16</v>
      </c>
      <c r="J17" s="159" t="str">
        <f t="shared" ref="J17" si="5">B17&amp;TEXT(I17,"00")</f>
        <v>3900616</v>
      </c>
      <c r="K17" s="156" t="s">
        <v>128</v>
      </c>
      <c r="L17" s="160" t="s">
        <v>194</v>
      </c>
      <c r="M17" s="161" t="s">
        <v>338</v>
      </c>
      <c r="N17" s="162" t="s">
        <v>195</v>
      </c>
    </row>
    <row r="18" spans="1:14" ht="46" thickBot="1" x14ac:dyDescent="0.35">
      <c r="A18" s="77" t="s">
        <v>196</v>
      </c>
      <c r="B18" s="78">
        <f>floors!$C$2</f>
        <v>39006</v>
      </c>
      <c r="C18" s="79" t="str">
        <f ca="1">VLOOKUP($B18,OFFSET([2]quests!$A$1,0,0,COUNTA([2]quests!$A:$A),MATCH(stage_hints_complete!C$1,[2]quests!$1:$1,0)-MATCH(stage_hints_complete!$B$1,[2]quests!$1:$1,0)+1),MATCH(stage_hints_complete!C$1,[2]quests!$1:$1,0)-MATCH(stage_hints_complete!$B$1,[2]quests!$1:$1,0)+1,FALSE)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18" s="79" t="str">
        <f ca="1">VLOOKUP($B18,OFFSET([2]quests!$A$1,0,0,COUNTA([2]quests!$A:$A),MATCH(stage_hints_complete!D$1,[2]quests!$1:$1,0)-MATCH(stage_hints_complete!$B$1,[2]quests!$1:$1,0)+1),MATCH(stage_hints_complete!D$1,[2]quests!$1:$1,0)-MATCH(stage_hints_complete!$B$1,[2]quests!$1:$1,0)+1,FALSE)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18" s="83">
        <v>1</v>
      </c>
      <c r="F18" s="79" t="str">
        <f ca="1">VLOOKUP($B18&amp;"_"&amp;$E18,OFFSET([2]stages!$A$1,0,0,COUNTA([2]stages!$A:$A),MATCH(stage_hints_complete!F$1,[2]stages!$2:$2,0)-MATCH("temp_stage",[2]stages!$2:$2,0)+1),MATCH(stage_hints_complete!F$1,[2]stages!$2:$2,0)-MATCH("temp_stage",[2]stages!$2:$2,0)+1,FALSE)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18" s="79" t="str">
        <f ca="1">VLOOKUP($B18&amp;"_"&amp;$E18,OFFSET([2]stages!$A$1,0,0,COUNTA([2]stages!$A:$A),MATCH(stage_hints_complete!G$1,[2]stages!$2:$2,0)-MATCH("temp_stage",[2]stages!$2:$2,0)+1),MATCH(stage_hints_complete!G$1,[2]stages!$2:$2,0)-MATCH("temp_stage",[2]stages!$2:$2,0)+1,FALSE)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18" s="81">
        <v>0</v>
      </c>
      <c r="I18" s="158">
        <f t="shared" si="0"/>
        <v>17</v>
      </c>
      <c r="J18" s="159" t="str">
        <f t="shared" ref="J18:J57" si="6">B18&amp;TEXT(I18,"00")</f>
        <v>3900617</v>
      </c>
      <c r="K18" s="80" t="s">
        <v>193</v>
      </c>
      <c r="L18" s="176" t="s">
        <v>383</v>
      </c>
      <c r="M18" s="174" t="s">
        <v>441</v>
      </c>
      <c r="N18" s="55" t="s">
        <v>206</v>
      </c>
    </row>
    <row r="19" spans="1:14" ht="46" thickBot="1" x14ac:dyDescent="0.35">
      <c r="A19" s="77" t="s">
        <v>196</v>
      </c>
      <c r="B19" s="78">
        <f>floors!$C$2</f>
        <v>39006</v>
      </c>
      <c r="C19" s="79" t="str">
        <f ca="1">VLOOKUP($B19,OFFSET([2]quests!$A$1,0,0,COUNTA([2]quests!$A:$A),MATCH(stage_hints_complete!C$1,[2]quests!$1:$1,0)-MATCH(stage_hints_complete!$B$1,[2]quests!$1:$1,0)+1),MATCH(stage_hints_complete!C$1,[2]quests!$1:$1,0)-MATCH(stage_hints_complete!$B$1,[2]quests!$1:$1,0)+1,FALSE)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19" s="79" t="str">
        <f ca="1">VLOOKUP($B19,OFFSET([2]quests!$A$1,0,0,COUNTA([2]quests!$A:$A),MATCH(stage_hints_complete!D$1,[2]quests!$1:$1,0)-MATCH(stage_hints_complete!$B$1,[2]quests!$1:$1,0)+1),MATCH(stage_hints_complete!D$1,[2]quests!$1:$1,0)-MATCH(stage_hints_complete!$B$1,[2]quests!$1:$1,0)+1,FALSE)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19" s="83">
        <v>1</v>
      </c>
      <c r="F19" s="79" t="str">
        <f ca="1">VLOOKUP($B19&amp;"_"&amp;$E19,OFFSET([2]stages!$A$1,0,0,COUNTA([2]stages!$A:$A),MATCH(stage_hints_complete!F$1,[2]stages!$2:$2,0)-MATCH("temp_stage",[2]stages!$2:$2,0)+1),MATCH(stage_hints_complete!F$1,[2]stages!$2:$2,0)-MATCH("temp_stage",[2]stages!$2:$2,0)+1,FALSE)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19" s="79" t="str">
        <f ca="1">VLOOKUP($B19&amp;"_"&amp;$E19,OFFSET([2]stages!$A$1,0,0,COUNTA([2]stages!$A:$A),MATCH(stage_hints_complete!G$1,[2]stages!$2:$2,0)-MATCH("temp_stage",[2]stages!$2:$2,0)+1),MATCH(stage_hints_complete!G$1,[2]stages!$2:$2,0)-MATCH("temp_stage",[2]stages!$2:$2,0)+1,FALSE)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19" s="81">
        <v>0</v>
      </c>
      <c r="I19" s="158">
        <f t="shared" si="0"/>
        <v>18</v>
      </c>
      <c r="J19" s="159" t="str">
        <f t="shared" si="6"/>
        <v>3900618</v>
      </c>
      <c r="K19" s="80" t="s">
        <v>193</v>
      </c>
      <c r="L19" s="176" t="s">
        <v>446</v>
      </c>
      <c r="M19" s="174" t="s">
        <v>442</v>
      </c>
      <c r="N19" s="55" t="s">
        <v>206</v>
      </c>
    </row>
    <row r="20" spans="1:14" ht="46" thickBot="1" x14ac:dyDescent="0.35">
      <c r="A20" s="77" t="s">
        <v>196</v>
      </c>
      <c r="B20" s="78">
        <f>floors!$C$2</f>
        <v>39006</v>
      </c>
      <c r="C20" s="79" t="str">
        <f ca="1">VLOOKUP($B20,OFFSET([2]quests!$A$1,0,0,COUNTA([2]quests!$A:$A),MATCH(stage_hints_complete!C$1,[2]quests!$1:$1,0)-MATCH(stage_hints_complete!$B$1,[2]quests!$1:$1,0)+1),MATCH(stage_hints_complete!C$1,[2]quests!$1:$1,0)-MATCH(stage_hints_complete!$B$1,[2]quests!$1:$1,0)+1,FALSE)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0" s="79" t="str">
        <f ca="1">VLOOKUP($B20,OFFSET([2]quests!$A$1,0,0,COUNTA([2]quests!$A:$A),MATCH(stage_hints_complete!D$1,[2]quests!$1:$1,0)-MATCH(stage_hints_complete!$B$1,[2]quests!$1:$1,0)+1),MATCH(stage_hints_complete!D$1,[2]quests!$1:$1,0)-MATCH(stage_hints_complete!$B$1,[2]quests!$1:$1,0)+1,FALSE)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0" s="83">
        <v>1</v>
      </c>
      <c r="F20" s="79" t="str">
        <f ca="1">VLOOKUP($B20&amp;"_"&amp;$E20,OFFSET([2]stages!$A$1,0,0,COUNTA([2]stages!$A:$A),MATCH(stage_hints_complete!F$1,[2]stages!$2:$2,0)-MATCH("temp_stage",[2]stages!$2:$2,0)+1),MATCH(stage_hints_complete!F$1,[2]stages!$2:$2,0)-MATCH("temp_stage",[2]stages!$2:$2,0)+1,FALSE)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0" s="79" t="str">
        <f ca="1">VLOOKUP($B20&amp;"_"&amp;$E20,OFFSET([2]stages!$A$1,0,0,COUNTA([2]stages!$A:$A),MATCH(stage_hints_complete!G$1,[2]stages!$2:$2,0)-MATCH("temp_stage",[2]stages!$2:$2,0)+1),MATCH(stage_hints_complete!G$1,[2]stages!$2:$2,0)-MATCH("temp_stage",[2]stages!$2:$2,0)+1,FALSE)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0" s="81">
        <v>0</v>
      </c>
      <c r="I20" s="158">
        <f t="shared" si="0"/>
        <v>19</v>
      </c>
      <c r="J20" s="159" t="str">
        <f t="shared" si="6"/>
        <v>3900619</v>
      </c>
      <c r="K20" s="80" t="s">
        <v>193</v>
      </c>
      <c r="L20" s="176" t="s">
        <v>447</v>
      </c>
      <c r="M20" s="174" t="s">
        <v>443</v>
      </c>
      <c r="N20" s="55" t="s">
        <v>206</v>
      </c>
    </row>
    <row r="21" spans="1:14" ht="46" thickBot="1" x14ac:dyDescent="0.35">
      <c r="A21" s="77" t="s">
        <v>196</v>
      </c>
      <c r="B21" s="78">
        <f>floors!$C$2</f>
        <v>39006</v>
      </c>
      <c r="C21" s="79" t="str">
        <f ca="1">VLOOKUP($B21,OFFSET([2]quests!$A$1,0,0,COUNTA([2]quests!$A:$A),MATCH(stage_hints_complete!C$1,[2]quests!$1:$1,0)-MATCH(stage_hints_complete!$B$1,[2]quests!$1:$1,0)+1),MATCH(stage_hints_complete!C$1,[2]quests!$1:$1,0)-MATCH(stage_hints_complete!$B$1,[2]quests!$1:$1,0)+1,FALSE)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1" s="79" t="str">
        <f ca="1">VLOOKUP($B21,OFFSET([2]quests!$A$1,0,0,COUNTA([2]quests!$A:$A),MATCH(stage_hints_complete!D$1,[2]quests!$1:$1,0)-MATCH(stage_hints_complete!$B$1,[2]quests!$1:$1,0)+1),MATCH(stage_hints_complete!D$1,[2]quests!$1:$1,0)-MATCH(stage_hints_complete!$B$1,[2]quests!$1:$1,0)+1,FALSE)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1" s="83">
        <v>1</v>
      </c>
      <c r="F21" s="79" t="str">
        <f ca="1">VLOOKUP($B21&amp;"_"&amp;$E21,OFFSET([2]stages!$A$1,0,0,COUNTA([2]stages!$A:$A),MATCH(stage_hints_complete!F$1,[2]stages!$2:$2,0)-MATCH("temp_stage",[2]stages!$2:$2,0)+1),MATCH(stage_hints_complete!F$1,[2]stages!$2:$2,0)-MATCH("temp_stage",[2]stages!$2:$2,0)+1,FALSE)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1" s="79" t="str">
        <f ca="1">VLOOKUP($B21&amp;"_"&amp;$E21,OFFSET([2]stages!$A$1,0,0,COUNTA([2]stages!$A:$A),MATCH(stage_hints_complete!G$1,[2]stages!$2:$2,0)-MATCH("temp_stage",[2]stages!$2:$2,0)+1),MATCH(stage_hints_complete!G$1,[2]stages!$2:$2,0)-MATCH("temp_stage",[2]stages!$2:$2,0)+1,FALSE)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1" s="81">
        <v>0</v>
      </c>
      <c r="I21" s="158">
        <f t="shared" si="0"/>
        <v>20</v>
      </c>
      <c r="J21" s="159" t="str">
        <f t="shared" si="6"/>
        <v>3900620</v>
      </c>
      <c r="K21" s="80" t="s">
        <v>193</v>
      </c>
      <c r="L21" s="176" t="s">
        <v>448</v>
      </c>
      <c r="M21" s="174" t="s">
        <v>440</v>
      </c>
      <c r="N21" s="55" t="s">
        <v>206</v>
      </c>
    </row>
    <row r="22" spans="1:14" ht="46" thickBot="1" x14ac:dyDescent="0.35">
      <c r="A22" s="77" t="s">
        <v>196</v>
      </c>
      <c r="B22" s="78">
        <f>floors!$C$2</f>
        <v>39006</v>
      </c>
      <c r="C22" s="79" t="str">
        <f ca="1">VLOOKUP($B22,OFFSET([2]quests!$A$1,0,0,COUNTA([2]quests!$A:$A),MATCH(stage_hints_complete!C$1,[2]quests!$1:$1,0)-MATCH(stage_hints_complete!$B$1,[2]quests!$1:$1,0)+1),MATCH(stage_hints_complete!C$1,[2]quests!$1:$1,0)-MATCH(stage_hints_complete!$B$1,[2]quests!$1:$1,0)+1,FALSE)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2" s="79" t="str">
        <f ca="1">VLOOKUP($B22,OFFSET([2]quests!$A$1,0,0,COUNTA([2]quests!$A:$A),MATCH(stage_hints_complete!D$1,[2]quests!$1:$1,0)-MATCH(stage_hints_complete!$B$1,[2]quests!$1:$1,0)+1),MATCH(stage_hints_complete!D$1,[2]quests!$1:$1,0)-MATCH(stage_hints_complete!$B$1,[2]quests!$1:$1,0)+1,FALSE)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2" s="83">
        <v>1</v>
      </c>
      <c r="F22" s="79" t="str">
        <f ca="1">VLOOKUP($B22&amp;"_"&amp;$E22,OFFSET([2]stages!$A$1,0,0,COUNTA([2]stages!$A:$A),MATCH(stage_hints_complete!F$1,[2]stages!$2:$2,0)-MATCH("temp_stage",[2]stages!$2:$2,0)+1),MATCH(stage_hints_complete!F$1,[2]stages!$2:$2,0)-MATCH("temp_stage",[2]stages!$2:$2,0)+1,FALSE)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2" s="79" t="str">
        <f ca="1">VLOOKUP($B22&amp;"_"&amp;$E22,OFFSET([2]stages!$A$1,0,0,COUNTA([2]stages!$A:$A),MATCH(stage_hints_complete!G$1,[2]stages!$2:$2,0)-MATCH("temp_stage",[2]stages!$2:$2,0)+1),MATCH(stage_hints_complete!G$1,[2]stages!$2:$2,0)-MATCH("temp_stage",[2]stages!$2:$2,0)+1,FALSE)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2" s="81">
        <v>0</v>
      </c>
      <c r="I22" s="158">
        <f t="shared" si="0"/>
        <v>21</v>
      </c>
      <c r="J22" s="159" t="str">
        <f t="shared" si="6"/>
        <v>3900621</v>
      </c>
      <c r="K22" s="80" t="s">
        <v>193</v>
      </c>
      <c r="L22" s="176" t="s">
        <v>382</v>
      </c>
      <c r="M22" s="174" t="s">
        <v>439</v>
      </c>
      <c r="N22" s="55" t="s">
        <v>206</v>
      </c>
    </row>
    <row r="23" spans="1:14" ht="46" thickBot="1" x14ac:dyDescent="0.35">
      <c r="A23" s="77" t="s">
        <v>196</v>
      </c>
      <c r="B23" s="78">
        <f>floors!$C$2</f>
        <v>39006</v>
      </c>
      <c r="C23" s="79" t="str">
        <f ca="1">VLOOKUP($B23,OFFSET([2]quests!$A$1,0,0,COUNTA([2]quests!$A:$A),MATCH(stage_hints_complete!C$1,[2]quests!$1:$1,0)-MATCH(stage_hints_complete!$B$1,[2]quests!$1:$1,0)+1),MATCH(stage_hints_complete!C$1,[2]quests!$1:$1,0)-MATCH(stage_hints_complete!$B$1,[2]quests!$1:$1,0)+1,FALSE)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3" s="79" t="str">
        <f ca="1">VLOOKUP($B23,OFFSET([2]quests!$A$1,0,0,COUNTA([2]quests!$A:$A),MATCH(stage_hints_complete!D$1,[2]quests!$1:$1,0)-MATCH(stage_hints_complete!$B$1,[2]quests!$1:$1,0)+1),MATCH(stage_hints_complete!D$1,[2]quests!$1:$1,0)-MATCH(stage_hints_complete!$B$1,[2]quests!$1:$1,0)+1,FALSE)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3" s="83">
        <v>1</v>
      </c>
      <c r="F23" s="79" t="str">
        <f ca="1">VLOOKUP($B23&amp;"_"&amp;$E23,OFFSET([2]stages!$A$1,0,0,COUNTA([2]stages!$A:$A),MATCH(stage_hints_complete!F$1,[2]stages!$2:$2,0)-MATCH("temp_stage",[2]stages!$2:$2,0)+1),MATCH(stage_hints_complete!F$1,[2]stages!$2:$2,0)-MATCH("temp_stage",[2]stages!$2:$2,0)+1,FALSE)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3" s="79" t="str">
        <f ca="1">VLOOKUP($B23&amp;"_"&amp;$E23,OFFSET([2]stages!$A$1,0,0,COUNTA([2]stages!$A:$A),MATCH(stage_hints_complete!G$1,[2]stages!$2:$2,0)-MATCH("temp_stage",[2]stages!$2:$2,0)+1),MATCH(stage_hints_complete!G$1,[2]stages!$2:$2,0)-MATCH("temp_stage",[2]stages!$2:$2,0)+1,FALSE)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3" s="81">
        <v>0</v>
      </c>
      <c r="I23" s="158">
        <f t="shared" si="0"/>
        <v>22</v>
      </c>
      <c r="J23" s="159" t="str">
        <f t="shared" si="6"/>
        <v>3900622</v>
      </c>
      <c r="K23" s="80" t="s">
        <v>193</v>
      </c>
      <c r="L23" s="176" t="s">
        <v>449</v>
      </c>
      <c r="M23" s="174" t="s">
        <v>444</v>
      </c>
      <c r="N23" s="55" t="s">
        <v>206</v>
      </c>
    </row>
    <row r="24" spans="1:14" ht="46" thickBot="1" x14ac:dyDescent="0.35">
      <c r="A24" s="77" t="s">
        <v>196</v>
      </c>
      <c r="B24" s="78">
        <f>floors!$C$2</f>
        <v>39006</v>
      </c>
      <c r="C24" s="79" t="str">
        <f ca="1">VLOOKUP($B24,OFFSET([2]quests!$A$1,0,0,COUNTA([2]quests!$A:$A),MATCH(stage_hints_complete!C$1,[2]quests!$1:$1,0)-MATCH(stage_hints_complete!$B$1,[2]quests!$1:$1,0)+1),MATCH(stage_hints_complete!C$1,[2]quests!$1:$1,0)-MATCH(stage_hints_complete!$B$1,[2]quests!$1:$1,0)+1,FALSE)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4" s="79" t="str">
        <f ca="1">VLOOKUP($B24,OFFSET([2]quests!$A$1,0,0,COUNTA([2]quests!$A:$A),MATCH(stage_hints_complete!D$1,[2]quests!$1:$1,0)-MATCH(stage_hints_complete!$B$1,[2]quests!$1:$1,0)+1),MATCH(stage_hints_complete!D$1,[2]quests!$1:$1,0)-MATCH(stage_hints_complete!$B$1,[2]quests!$1:$1,0)+1,FALSE)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4" s="83">
        <v>1</v>
      </c>
      <c r="F24" s="79" t="str">
        <f ca="1">VLOOKUP($B24&amp;"_"&amp;$E24,OFFSET([2]stages!$A$1,0,0,COUNTA([2]stages!$A:$A),MATCH(stage_hints_complete!F$1,[2]stages!$2:$2,0)-MATCH("temp_stage",[2]stages!$2:$2,0)+1),MATCH(stage_hints_complete!F$1,[2]stages!$2:$2,0)-MATCH("temp_stage",[2]stages!$2:$2,0)+1,FALSE)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4" s="79" t="str">
        <f ca="1">VLOOKUP($B24&amp;"_"&amp;$E24,OFFSET([2]stages!$A$1,0,0,COUNTA([2]stages!$A:$A),MATCH(stage_hints_complete!G$1,[2]stages!$2:$2,0)-MATCH("temp_stage",[2]stages!$2:$2,0)+1),MATCH(stage_hints_complete!G$1,[2]stages!$2:$2,0)-MATCH("temp_stage",[2]stages!$2:$2,0)+1,FALSE)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4" s="81">
        <v>0</v>
      </c>
      <c r="I24" s="158">
        <f t="shared" si="0"/>
        <v>23</v>
      </c>
      <c r="J24" s="159" t="str">
        <f t="shared" si="6"/>
        <v>3900623</v>
      </c>
      <c r="K24" s="80" t="s">
        <v>193</v>
      </c>
      <c r="L24" s="176" t="s">
        <v>450</v>
      </c>
      <c r="M24" s="174" t="s">
        <v>552</v>
      </c>
      <c r="N24" s="55" t="s">
        <v>206</v>
      </c>
    </row>
    <row r="25" spans="1:14" ht="46" thickBot="1" x14ac:dyDescent="0.35">
      <c r="A25" s="77" t="s">
        <v>196</v>
      </c>
      <c r="B25" s="78">
        <f>floors!$C$2</f>
        <v>39006</v>
      </c>
      <c r="C25" s="79" t="str">
        <f ca="1">VLOOKUP($B25,OFFSET([2]quests!$A$1,0,0,COUNTA([2]quests!$A:$A),MATCH(stage_hints_complete!C$1,[2]quests!$1:$1,0)-MATCH(stage_hints_complete!$B$1,[2]quests!$1:$1,0)+1),MATCH(stage_hints_complete!C$1,[2]quests!$1:$1,0)-MATCH(stage_hints_complete!$B$1,[2]quests!$1:$1,0)+1,FALSE)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5" s="79" t="str">
        <f ca="1">VLOOKUP($B25,OFFSET([2]quests!$A$1,0,0,COUNTA([2]quests!$A:$A),MATCH(stage_hints_complete!D$1,[2]quests!$1:$1,0)-MATCH(stage_hints_complete!$B$1,[2]quests!$1:$1,0)+1),MATCH(stage_hints_complete!D$1,[2]quests!$1:$1,0)-MATCH(stage_hints_complete!$B$1,[2]quests!$1:$1,0)+1,FALSE)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5" s="83">
        <v>1</v>
      </c>
      <c r="F25" s="79" t="str">
        <f ca="1">VLOOKUP($B25&amp;"_"&amp;$E25,OFFSET([2]stages!$A$1,0,0,COUNTA([2]stages!$A:$A),MATCH(stage_hints_complete!F$1,[2]stages!$2:$2,0)-MATCH("temp_stage",[2]stages!$2:$2,0)+1),MATCH(stage_hints_complete!F$1,[2]stages!$2:$2,0)-MATCH("temp_stage",[2]stages!$2:$2,0)+1,FALSE)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5" s="79" t="str">
        <f ca="1">VLOOKUP($B25&amp;"_"&amp;$E25,OFFSET([2]stages!$A$1,0,0,COUNTA([2]stages!$A:$A),MATCH(stage_hints_complete!G$1,[2]stages!$2:$2,0)-MATCH("temp_stage",[2]stages!$2:$2,0)+1),MATCH(stage_hints_complete!G$1,[2]stages!$2:$2,0)-MATCH("temp_stage",[2]stages!$2:$2,0)+1,FALSE)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5" s="81">
        <v>0</v>
      </c>
      <c r="I25" s="158">
        <f t="shared" si="0"/>
        <v>24</v>
      </c>
      <c r="J25" s="159" t="str">
        <f t="shared" si="6"/>
        <v>3900624</v>
      </c>
      <c r="K25" s="80" t="s">
        <v>193</v>
      </c>
      <c r="L25" s="176" t="s">
        <v>451</v>
      </c>
      <c r="M25" s="174" t="s">
        <v>445</v>
      </c>
      <c r="N25" s="55" t="s">
        <v>206</v>
      </c>
    </row>
    <row r="26" spans="1:14" ht="46" thickBot="1" x14ac:dyDescent="0.35">
      <c r="A26" s="77" t="s">
        <v>196</v>
      </c>
      <c r="B26" s="78">
        <f>floors!$C$2</f>
        <v>39006</v>
      </c>
      <c r="C26" s="79" t="str">
        <f ca="1">VLOOKUP($B26,OFFSET([2]quests!$A$1,0,0,COUNTA([2]quests!$A:$A),MATCH(stage_hints_complete!C$1,[2]quests!$1:$1,0)-MATCH(stage_hints_complete!$B$1,[2]quests!$1:$1,0)+1),MATCH(stage_hints_complete!C$1,[2]quests!$1:$1,0)-MATCH(stage_hints_complete!$B$1,[2]quests!$1:$1,0)+1,FALSE)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6" s="79" t="str">
        <f ca="1">VLOOKUP($B26,OFFSET([2]quests!$A$1,0,0,COUNTA([2]quests!$A:$A),MATCH(stage_hints_complete!D$1,[2]quests!$1:$1,0)-MATCH(stage_hints_complete!$B$1,[2]quests!$1:$1,0)+1),MATCH(stage_hints_complete!D$1,[2]quests!$1:$1,0)-MATCH(stage_hints_complete!$B$1,[2]quests!$1:$1,0)+1,FALSE)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6" s="83">
        <v>1</v>
      </c>
      <c r="F26" s="79" t="str">
        <f ca="1">VLOOKUP($B26&amp;"_"&amp;$E26,OFFSET([2]stages!$A$1,0,0,COUNTA([2]stages!$A:$A),MATCH(stage_hints_complete!F$1,[2]stages!$2:$2,0)-MATCH("temp_stage",[2]stages!$2:$2,0)+1),MATCH(stage_hints_complete!F$1,[2]stages!$2:$2,0)-MATCH("temp_stage",[2]stages!$2:$2,0)+1,FALSE)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6" s="79" t="str">
        <f ca="1">VLOOKUP($B26&amp;"_"&amp;$E26,OFFSET([2]stages!$A$1,0,0,COUNTA([2]stages!$A:$A),MATCH(stage_hints_complete!G$1,[2]stages!$2:$2,0)-MATCH("temp_stage",[2]stages!$2:$2,0)+1),MATCH(stage_hints_complete!G$1,[2]stages!$2:$2,0)-MATCH("temp_stage",[2]stages!$2:$2,0)+1,FALSE)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6" s="81">
        <v>0</v>
      </c>
      <c r="I26" s="158">
        <f t="shared" si="0"/>
        <v>25</v>
      </c>
      <c r="J26" s="159" t="str">
        <f t="shared" si="6"/>
        <v>3900625</v>
      </c>
      <c r="K26" s="80" t="s">
        <v>193</v>
      </c>
      <c r="L26" s="176" t="s">
        <v>384</v>
      </c>
      <c r="M26" s="173" t="s">
        <v>386</v>
      </c>
      <c r="N26" s="55" t="s">
        <v>206</v>
      </c>
    </row>
    <row r="27" spans="1:14" ht="46" thickBot="1" x14ac:dyDescent="0.35">
      <c r="A27" s="77" t="s">
        <v>196</v>
      </c>
      <c r="B27" s="78">
        <f>floors!$C$2</f>
        <v>39006</v>
      </c>
      <c r="C27" s="79" t="str">
        <f ca="1">VLOOKUP($B27,OFFSET([2]quests!$A$1,0,0,COUNTA([2]quests!$A:$A),MATCH(stage_hints_complete!C$1,[2]quests!$1:$1,0)-MATCH(stage_hints_complete!$B$1,[2]quests!$1:$1,0)+1),MATCH(stage_hints_complete!C$1,[2]quests!$1:$1,0)-MATCH(stage_hints_complete!$B$1,[2]quests!$1:$1,0)+1,FALSE)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7" s="79" t="str">
        <f ca="1">VLOOKUP($B27,OFFSET([2]quests!$A$1,0,0,COUNTA([2]quests!$A:$A),MATCH(stage_hints_complete!D$1,[2]quests!$1:$1,0)-MATCH(stage_hints_complete!$B$1,[2]quests!$1:$1,0)+1),MATCH(stage_hints_complete!D$1,[2]quests!$1:$1,0)-MATCH(stage_hints_complete!$B$1,[2]quests!$1:$1,0)+1,FALSE)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7" s="83">
        <v>1</v>
      </c>
      <c r="F27" s="79" t="str">
        <f ca="1">VLOOKUP($B27&amp;"_"&amp;$E27,OFFSET([2]stages!$A$1,0,0,COUNTA([2]stages!$A:$A),MATCH(stage_hints_complete!F$1,[2]stages!$2:$2,0)-MATCH("temp_stage",[2]stages!$2:$2,0)+1),MATCH(stage_hints_complete!F$1,[2]stages!$2:$2,0)-MATCH("temp_stage",[2]stages!$2:$2,0)+1,FALSE)</f>
        <v>【初級】シガンシナ区攻防戦</v>
      </c>
      <c r="G27" s="79" t="str">
        <f ca="1">VLOOKUP($B27&amp;"_"&amp;$E27,OFFSET([2]stages!$A$1,0,0,COUNTA([2]stages!$A:$A),MATCH(stage_hints_complete!G$1,[2]stages!$2:$2,0)-MATCH("temp_stage",[2]stages!$2:$2,0)+1),MATCH(stage_hints_complete!G$1,[2]stages!$2:$2,0)-MATCH("temp_stage",[2]stages!$2:$2,0)+1,FALSE)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7" s="81">
        <v>0</v>
      </c>
      <c r="I27" s="158">
        <f t="shared" si="0"/>
        <v>26</v>
      </c>
      <c r="J27" s="159" t="str">
        <f t="shared" si="6"/>
        <v>3900626</v>
      </c>
      <c r="K27" s="80" t="s">
        <v>193</v>
      </c>
      <c r="L27" s="176" t="s">
        <v>385</v>
      </c>
      <c r="M27" s="173" t="s">
        <v>387</v>
      </c>
      <c r="N27" s="55" t="s">
        <v>206</v>
      </c>
    </row>
    <row r="28" spans="1:14" ht="46" thickBot="1" x14ac:dyDescent="0.35">
      <c r="A28" s="77" t="s">
        <v>196</v>
      </c>
      <c r="B28" s="78">
        <f>floors!$C$2</f>
        <v>39006</v>
      </c>
      <c r="C28" s="79" t="str">
        <f ca="1">VLOOKUP($B28,OFFSET([2]quests!$A$1,0,0,COUNTA([2]quests!$A:$A),MATCH(stage_hints_complete!C$1,[2]quests!$1:$1,0)-MATCH(stage_hints_complete!$B$1,[2]quests!$1:$1,0)+1),MATCH(stage_hints_complete!C$1,[2]quests!$1:$1,0)-MATCH(stage_hints_complete!$B$1,[2]quests!$1:$1,0)+1,FALSE)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8" s="79" t="str">
        <f ca="1">VLOOKUP($B28,OFFSET([2]quests!$A$1,0,0,COUNTA([2]quests!$A:$A),MATCH(stage_hints_complete!D$1,[2]quests!$1:$1,0)-MATCH(stage_hints_complete!$B$1,[2]quests!$1:$1,0)+1),MATCH(stage_hints_complete!D$1,[2]quests!$1:$1,0)-MATCH(stage_hints_complete!$B$1,[2]quests!$1:$1,0)+1,FALSE)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8" s="83">
        <v>2</v>
      </c>
      <c r="F28" s="79" t="str">
        <f ca="1">VLOOKUP($B28&amp;"_"&amp;$E28,OFFSET([2]stages!$A$1,0,0,COUNTA([2]stages!$A:$A),MATCH(stage_hints_complete!F$1,[2]stages!$2:$2,0)-MATCH("temp_stage",[2]stages!$2:$2,0)+1),MATCH(stage_hints_complete!F$1,[2]stages!$2:$2,0)-MATCH("temp_stage",[2]stages!$2:$2,0)+1,FALSE)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28" s="79" t="str">
        <f ca="1">VLOOKUP($B28&amp;"_"&amp;$E28,OFFSET([2]stages!$A$1,0,0,COUNTA([2]stages!$A:$A),MATCH(stage_hints_complete!G$1,[2]stages!$2:$2,0)-MATCH("temp_stage",[2]stages!$2:$2,0)+1),MATCH(stage_hints_complete!G$1,[2]stages!$2:$2,0)-MATCH("temp_stage",[2]stages!$2:$2,0)+1,FALSE)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8" s="81">
        <v>0</v>
      </c>
      <c r="I28" s="158">
        <f t="shared" si="0"/>
        <v>27</v>
      </c>
      <c r="J28" s="159" t="str">
        <f t="shared" si="6"/>
        <v>3900627</v>
      </c>
      <c r="K28" s="80" t="s">
        <v>128</v>
      </c>
      <c r="L28" s="176" t="s">
        <v>383</v>
      </c>
      <c r="M28" s="174" t="s">
        <v>441</v>
      </c>
      <c r="N28" s="55" t="s">
        <v>195</v>
      </c>
    </row>
    <row r="29" spans="1:14" ht="46" thickBot="1" x14ac:dyDescent="0.35">
      <c r="A29" s="77" t="s">
        <v>196</v>
      </c>
      <c r="B29" s="78">
        <f>floors!$C$2</f>
        <v>39006</v>
      </c>
      <c r="C29" s="79" t="str">
        <f ca="1">VLOOKUP($B29,OFFSET([2]quests!$A$1,0,0,COUNTA([2]quests!$A:$A),MATCH(stage_hints_complete!C$1,[2]quests!$1:$1,0)-MATCH(stage_hints_complete!$B$1,[2]quests!$1:$1,0)+1),MATCH(stage_hints_complete!C$1,[2]quests!$1:$1,0)-MATCH(stage_hints_complete!$B$1,[2]quests!$1:$1,0)+1,FALSE)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29" s="79" t="str">
        <f ca="1">VLOOKUP($B29,OFFSET([2]quests!$A$1,0,0,COUNTA([2]quests!$A:$A),MATCH(stage_hints_complete!D$1,[2]quests!$1:$1,0)-MATCH(stage_hints_complete!$B$1,[2]quests!$1:$1,0)+1),MATCH(stage_hints_complete!D$1,[2]quests!$1:$1,0)-MATCH(stage_hints_complete!$B$1,[2]quests!$1:$1,0)+1,FALSE)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29" s="83">
        <v>2</v>
      </c>
      <c r="F29" s="79" t="str">
        <f ca="1">VLOOKUP($B29&amp;"_"&amp;$E29,OFFSET([2]stages!$A$1,0,0,COUNTA([2]stages!$A:$A),MATCH(stage_hints_complete!F$1,[2]stages!$2:$2,0)-MATCH("temp_stage",[2]stages!$2:$2,0)+1),MATCH(stage_hints_complete!F$1,[2]stages!$2:$2,0)-MATCH("temp_stage",[2]stages!$2:$2,0)+1,FALSE)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29" s="79" t="str">
        <f ca="1">VLOOKUP($B29&amp;"_"&amp;$E29,OFFSET([2]stages!$A$1,0,0,COUNTA([2]stages!$A:$A),MATCH(stage_hints_complete!G$1,[2]stages!$2:$2,0)-MATCH("temp_stage",[2]stages!$2:$2,0)+1),MATCH(stage_hints_complete!G$1,[2]stages!$2:$2,0)-MATCH("temp_stage",[2]stages!$2:$2,0)+1,FALSE)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29" s="81">
        <v>0</v>
      </c>
      <c r="I29" s="158">
        <f t="shared" si="0"/>
        <v>28</v>
      </c>
      <c r="J29" s="159" t="str">
        <f t="shared" si="6"/>
        <v>3900628</v>
      </c>
      <c r="K29" s="80" t="s">
        <v>128</v>
      </c>
      <c r="L29" s="176" t="s">
        <v>446</v>
      </c>
      <c r="M29" s="174" t="s">
        <v>442</v>
      </c>
      <c r="N29" s="55" t="s">
        <v>195</v>
      </c>
    </row>
    <row r="30" spans="1:14" ht="46" thickBot="1" x14ac:dyDescent="0.35">
      <c r="A30" s="77" t="s">
        <v>196</v>
      </c>
      <c r="B30" s="78">
        <f>floors!$C$2</f>
        <v>39006</v>
      </c>
      <c r="C30" s="79" t="str">
        <f ca="1">VLOOKUP($B30,OFFSET([2]quests!$A$1,0,0,COUNTA([2]quests!$A:$A),MATCH(stage_hints_complete!C$1,[2]quests!$1:$1,0)-MATCH(stage_hints_complete!$B$1,[2]quests!$1:$1,0)+1),MATCH(stage_hints_complete!C$1,[2]quests!$1:$1,0)-MATCH(stage_hints_complete!$B$1,[2]quests!$1:$1,0)+1,FALSE)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0" s="79" t="str">
        <f ca="1">VLOOKUP($B30,OFFSET([2]quests!$A$1,0,0,COUNTA([2]quests!$A:$A),MATCH(stage_hints_complete!D$1,[2]quests!$1:$1,0)-MATCH(stage_hints_complete!$B$1,[2]quests!$1:$1,0)+1),MATCH(stage_hints_complete!D$1,[2]quests!$1:$1,0)-MATCH(stage_hints_complete!$B$1,[2]quests!$1:$1,0)+1,FALSE)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0" s="83">
        <v>2</v>
      </c>
      <c r="F30" s="79" t="str">
        <f ca="1">VLOOKUP($B30&amp;"_"&amp;$E30,OFFSET([2]stages!$A$1,0,0,COUNTA([2]stages!$A:$A),MATCH(stage_hints_complete!F$1,[2]stages!$2:$2,0)-MATCH("temp_stage",[2]stages!$2:$2,0)+1),MATCH(stage_hints_complete!F$1,[2]stages!$2:$2,0)-MATCH("temp_stage",[2]stages!$2:$2,0)+1,FALSE)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0" s="79" t="str">
        <f ca="1">VLOOKUP($B30&amp;"_"&amp;$E30,OFFSET([2]stages!$A$1,0,0,COUNTA([2]stages!$A:$A),MATCH(stage_hints_complete!G$1,[2]stages!$2:$2,0)-MATCH("temp_stage",[2]stages!$2:$2,0)+1),MATCH(stage_hints_complete!G$1,[2]stages!$2:$2,0)-MATCH("temp_stage",[2]stages!$2:$2,0)+1,FALSE)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0" s="81">
        <v>0</v>
      </c>
      <c r="I30" s="158">
        <f t="shared" si="0"/>
        <v>29</v>
      </c>
      <c r="J30" s="159" t="str">
        <f t="shared" si="6"/>
        <v>3900629</v>
      </c>
      <c r="K30" s="80" t="s">
        <v>128</v>
      </c>
      <c r="L30" s="176" t="s">
        <v>447</v>
      </c>
      <c r="M30" s="174" t="s">
        <v>443</v>
      </c>
      <c r="N30" s="55" t="s">
        <v>195</v>
      </c>
    </row>
    <row r="31" spans="1:14" ht="46" thickBot="1" x14ac:dyDescent="0.35">
      <c r="A31" s="77" t="s">
        <v>196</v>
      </c>
      <c r="B31" s="78">
        <f>floors!$C$2</f>
        <v>39006</v>
      </c>
      <c r="C31" s="79" t="str">
        <f ca="1">VLOOKUP($B31,OFFSET([2]quests!$A$1,0,0,COUNTA([2]quests!$A:$A),MATCH(stage_hints_complete!C$1,[2]quests!$1:$1,0)-MATCH(stage_hints_complete!$B$1,[2]quests!$1:$1,0)+1),MATCH(stage_hints_complete!C$1,[2]quests!$1:$1,0)-MATCH(stage_hints_complete!$B$1,[2]quests!$1:$1,0)+1,FALSE)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1" s="79" t="str">
        <f ca="1">VLOOKUP($B31,OFFSET([2]quests!$A$1,0,0,COUNTA([2]quests!$A:$A),MATCH(stage_hints_complete!D$1,[2]quests!$1:$1,0)-MATCH(stage_hints_complete!$B$1,[2]quests!$1:$1,0)+1),MATCH(stage_hints_complete!D$1,[2]quests!$1:$1,0)-MATCH(stage_hints_complete!$B$1,[2]quests!$1:$1,0)+1,FALSE)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1" s="83">
        <v>2</v>
      </c>
      <c r="F31" s="79" t="str">
        <f ca="1">VLOOKUP($B31&amp;"_"&amp;$E31,OFFSET([2]stages!$A$1,0,0,COUNTA([2]stages!$A:$A),MATCH(stage_hints_complete!F$1,[2]stages!$2:$2,0)-MATCH("temp_stage",[2]stages!$2:$2,0)+1),MATCH(stage_hints_complete!F$1,[2]stages!$2:$2,0)-MATCH("temp_stage",[2]stages!$2:$2,0)+1,FALSE)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1" s="79" t="str">
        <f ca="1">VLOOKUP($B31&amp;"_"&amp;$E31,OFFSET([2]stages!$A$1,0,0,COUNTA([2]stages!$A:$A),MATCH(stage_hints_complete!G$1,[2]stages!$2:$2,0)-MATCH("temp_stage",[2]stages!$2:$2,0)+1),MATCH(stage_hints_complete!G$1,[2]stages!$2:$2,0)-MATCH("temp_stage",[2]stages!$2:$2,0)+1,FALSE)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1" s="81">
        <v>0</v>
      </c>
      <c r="I31" s="158">
        <f t="shared" si="0"/>
        <v>30</v>
      </c>
      <c r="J31" s="159" t="str">
        <f t="shared" si="6"/>
        <v>3900630</v>
      </c>
      <c r="K31" s="80" t="s">
        <v>128</v>
      </c>
      <c r="L31" s="176" t="s">
        <v>448</v>
      </c>
      <c r="M31" s="174" t="s">
        <v>440</v>
      </c>
      <c r="N31" s="55" t="s">
        <v>195</v>
      </c>
    </row>
    <row r="32" spans="1:14" ht="46" thickBot="1" x14ac:dyDescent="0.35">
      <c r="A32" s="77" t="s">
        <v>196</v>
      </c>
      <c r="B32" s="78">
        <f>floors!$C$2</f>
        <v>39006</v>
      </c>
      <c r="C32" s="79" t="str">
        <f ca="1">VLOOKUP($B32,OFFSET([2]quests!$A$1,0,0,COUNTA([2]quests!$A:$A),MATCH(stage_hints_complete!C$1,[2]quests!$1:$1,0)-MATCH(stage_hints_complete!$B$1,[2]quests!$1:$1,0)+1),MATCH(stage_hints_complete!C$1,[2]quests!$1:$1,0)-MATCH(stage_hints_complete!$B$1,[2]quests!$1:$1,0)+1,FALSE)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2" s="79" t="str">
        <f ca="1">VLOOKUP($B32,OFFSET([2]quests!$A$1,0,0,COUNTA([2]quests!$A:$A),MATCH(stage_hints_complete!D$1,[2]quests!$1:$1,0)-MATCH(stage_hints_complete!$B$1,[2]quests!$1:$1,0)+1),MATCH(stage_hints_complete!D$1,[2]quests!$1:$1,0)-MATCH(stage_hints_complete!$B$1,[2]quests!$1:$1,0)+1,FALSE)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2" s="83">
        <v>2</v>
      </c>
      <c r="F32" s="79" t="str">
        <f ca="1">VLOOKUP($B32&amp;"_"&amp;$E32,OFFSET([2]stages!$A$1,0,0,COUNTA([2]stages!$A:$A),MATCH(stage_hints_complete!F$1,[2]stages!$2:$2,0)-MATCH("temp_stage",[2]stages!$2:$2,0)+1),MATCH(stage_hints_complete!F$1,[2]stages!$2:$2,0)-MATCH("temp_stage",[2]stages!$2:$2,0)+1,FALSE)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2" s="79" t="str">
        <f ca="1">VLOOKUP($B32&amp;"_"&amp;$E32,OFFSET([2]stages!$A$1,0,0,COUNTA([2]stages!$A:$A),MATCH(stage_hints_complete!G$1,[2]stages!$2:$2,0)-MATCH("temp_stage",[2]stages!$2:$2,0)+1),MATCH(stage_hints_complete!G$1,[2]stages!$2:$2,0)-MATCH("temp_stage",[2]stages!$2:$2,0)+1,FALSE)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2" s="81">
        <v>0</v>
      </c>
      <c r="I32" s="158">
        <f t="shared" si="0"/>
        <v>31</v>
      </c>
      <c r="J32" s="159" t="str">
        <f t="shared" si="6"/>
        <v>3900631</v>
      </c>
      <c r="K32" s="80" t="s">
        <v>128</v>
      </c>
      <c r="L32" s="176" t="s">
        <v>382</v>
      </c>
      <c r="M32" s="174" t="s">
        <v>439</v>
      </c>
      <c r="N32" s="55" t="s">
        <v>195</v>
      </c>
    </row>
    <row r="33" spans="1:14" ht="46" thickBot="1" x14ac:dyDescent="0.35">
      <c r="A33" s="77" t="s">
        <v>196</v>
      </c>
      <c r="B33" s="78">
        <f>floors!$C$2</f>
        <v>39006</v>
      </c>
      <c r="C33" s="79" t="str">
        <f ca="1">VLOOKUP($B33,OFFSET([2]quests!$A$1,0,0,COUNTA([2]quests!$A:$A),MATCH(stage_hints_complete!C$1,[2]quests!$1:$1,0)-MATCH(stage_hints_complete!$B$1,[2]quests!$1:$1,0)+1),MATCH(stage_hints_complete!C$1,[2]quests!$1:$1,0)-MATCH(stage_hints_complete!$B$1,[2]quests!$1:$1,0)+1,FALSE)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3" s="79" t="str">
        <f ca="1">VLOOKUP($B33,OFFSET([2]quests!$A$1,0,0,COUNTA([2]quests!$A:$A),MATCH(stage_hints_complete!D$1,[2]quests!$1:$1,0)-MATCH(stage_hints_complete!$B$1,[2]quests!$1:$1,0)+1),MATCH(stage_hints_complete!D$1,[2]quests!$1:$1,0)-MATCH(stage_hints_complete!$B$1,[2]quests!$1:$1,0)+1,FALSE)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3" s="83">
        <v>2</v>
      </c>
      <c r="F33" s="79" t="str">
        <f ca="1">VLOOKUP($B33&amp;"_"&amp;$E33,OFFSET([2]stages!$A$1,0,0,COUNTA([2]stages!$A:$A),MATCH(stage_hints_complete!F$1,[2]stages!$2:$2,0)-MATCH("temp_stage",[2]stages!$2:$2,0)+1),MATCH(stage_hints_complete!F$1,[2]stages!$2:$2,0)-MATCH("temp_stage",[2]stages!$2:$2,0)+1,FALSE)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3" s="79" t="str">
        <f ca="1">VLOOKUP($B33&amp;"_"&amp;$E33,OFFSET([2]stages!$A$1,0,0,COUNTA([2]stages!$A:$A),MATCH(stage_hints_complete!G$1,[2]stages!$2:$2,0)-MATCH("temp_stage",[2]stages!$2:$2,0)+1),MATCH(stage_hints_complete!G$1,[2]stages!$2:$2,0)-MATCH("temp_stage",[2]stages!$2:$2,0)+1,FALSE)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3" s="81">
        <v>0</v>
      </c>
      <c r="I33" s="158">
        <f t="shared" si="0"/>
        <v>32</v>
      </c>
      <c r="J33" s="159" t="str">
        <f t="shared" si="6"/>
        <v>3900632</v>
      </c>
      <c r="K33" s="80" t="s">
        <v>128</v>
      </c>
      <c r="L33" s="176" t="s">
        <v>449</v>
      </c>
      <c r="M33" s="174" t="s">
        <v>444</v>
      </c>
      <c r="N33" s="55" t="s">
        <v>195</v>
      </c>
    </row>
    <row r="34" spans="1:14" ht="46" thickBot="1" x14ac:dyDescent="0.35">
      <c r="A34" s="77" t="s">
        <v>196</v>
      </c>
      <c r="B34" s="78">
        <f>floors!$C$2</f>
        <v>39006</v>
      </c>
      <c r="C34" s="79" t="str">
        <f ca="1">VLOOKUP($B34,OFFSET([2]quests!$A$1,0,0,COUNTA([2]quests!$A:$A),MATCH(stage_hints_complete!C$1,[2]quests!$1:$1,0)-MATCH(stage_hints_complete!$B$1,[2]quests!$1:$1,0)+1),MATCH(stage_hints_complete!C$1,[2]quests!$1:$1,0)-MATCH(stage_hints_complete!$B$1,[2]quests!$1:$1,0)+1,FALSE)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4" s="79" t="str">
        <f ca="1">VLOOKUP($B34,OFFSET([2]quests!$A$1,0,0,COUNTA([2]quests!$A:$A),MATCH(stage_hints_complete!D$1,[2]quests!$1:$1,0)-MATCH(stage_hints_complete!$B$1,[2]quests!$1:$1,0)+1),MATCH(stage_hints_complete!D$1,[2]quests!$1:$1,0)-MATCH(stage_hints_complete!$B$1,[2]quests!$1:$1,0)+1,FALSE)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4" s="83">
        <v>2</v>
      </c>
      <c r="F34" s="79" t="str">
        <f ca="1">VLOOKUP($B34&amp;"_"&amp;$E34,OFFSET([2]stages!$A$1,0,0,COUNTA([2]stages!$A:$A),MATCH(stage_hints_complete!F$1,[2]stages!$2:$2,0)-MATCH("temp_stage",[2]stages!$2:$2,0)+1),MATCH(stage_hints_complete!F$1,[2]stages!$2:$2,0)-MATCH("temp_stage",[2]stages!$2:$2,0)+1,FALSE)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4" s="79" t="str">
        <f ca="1">VLOOKUP($B34&amp;"_"&amp;$E34,OFFSET([2]stages!$A$1,0,0,COUNTA([2]stages!$A:$A),MATCH(stage_hints_complete!G$1,[2]stages!$2:$2,0)-MATCH("temp_stage",[2]stages!$2:$2,0)+1),MATCH(stage_hints_complete!G$1,[2]stages!$2:$2,0)-MATCH("temp_stage",[2]stages!$2:$2,0)+1,FALSE)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4" s="81">
        <v>0</v>
      </c>
      <c r="I34" s="158">
        <f t="shared" si="0"/>
        <v>33</v>
      </c>
      <c r="J34" s="159" t="str">
        <f t="shared" si="6"/>
        <v>3900633</v>
      </c>
      <c r="K34" s="80" t="s">
        <v>128</v>
      </c>
      <c r="L34" s="176" t="s">
        <v>450</v>
      </c>
      <c r="M34" s="174" t="s">
        <v>552</v>
      </c>
      <c r="N34" s="55" t="s">
        <v>195</v>
      </c>
    </row>
    <row r="35" spans="1:14" ht="46" thickBot="1" x14ac:dyDescent="0.35">
      <c r="A35" s="77" t="s">
        <v>196</v>
      </c>
      <c r="B35" s="78">
        <f>floors!$C$2</f>
        <v>39006</v>
      </c>
      <c r="C35" s="79" t="str">
        <f ca="1">VLOOKUP($B35,OFFSET([2]quests!$A$1,0,0,COUNTA([2]quests!$A:$A),MATCH(stage_hints_complete!C$1,[2]quests!$1:$1,0)-MATCH(stage_hints_complete!$B$1,[2]quests!$1:$1,0)+1),MATCH(stage_hints_complete!C$1,[2]quests!$1:$1,0)-MATCH(stage_hints_complete!$B$1,[2]quests!$1:$1,0)+1,FALSE)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5" s="79" t="str">
        <f ca="1">VLOOKUP($B35,OFFSET([2]quests!$A$1,0,0,COUNTA([2]quests!$A:$A),MATCH(stage_hints_complete!D$1,[2]quests!$1:$1,0)-MATCH(stage_hints_complete!$B$1,[2]quests!$1:$1,0)+1),MATCH(stage_hints_complete!D$1,[2]quests!$1:$1,0)-MATCH(stage_hints_complete!$B$1,[2]quests!$1:$1,0)+1,FALSE)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5" s="83">
        <v>2</v>
      </c>
      <c r="F35" s="79" t="str">
        <f ca="1">VLOOKUP($B35&amp;"_"&amp;$E35,OFFSET([2]stages!$A$1,0,0,COUNTA([2]stages!$A:$A),MATCH(stage_hints_complete!F$1,[2]stages!$2:$2,0)-MATCH("temp_stage",[2]stages!$2:$2,0)+1),MATCH(stage_hints_complete!F$1,[2]stages!$2:$2,0)-MATCH("temp_stage",[2]stages!$2:$2,0)+1,FALSE)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5" s="79" t="str">
        <f ca="1">VLOOKUP($B35&amp;"_"&amp;$E35,OFFSET([2]stages!$A$1,0,0,COUNTA([2]stages!$A:$A),MATCH(stage_hints_complete!G$1,[2]stages!$2:$2,0)-MATCH("temp_stage",[2]stages!$2:$2,0)+1),MATCH(stage_hints_complete!G$1,[2]stages!$2:$2,0)-MATCH("temp_stage",[2]stages!$2:$2,0)+1,FALSE)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5" s="81">
        <v>0</v>
      </c>
      <c r="I35" s="158">
        <f t="shared" si="0"/>
        <v>34</v>
      </c>
      <c r="J35" s="159" t="str">
        <f t="shared" si="6"/>
        <v>3900634</v>
      </c>
      <c r="K35" s="80" t="s">
        <v>128</v>
      </c>
      <c r="L35" s="176" t="s">
        <v>451</v>
      </c>
      <c r="M35" s="174" t="s">
        <v>445</v>
      </c>
      <c r="N35" s="55" t="s">
        <v>195</v>
      </c>
    </row>
    <row r="36" spans="1:14" ht="46" thickBot="1" x14ac:dyDescent="0.35">
      <c r="A36" s="77" t="s">
        <v>196</v>
      </c>
      <c r="B36" s="78">
        <f>floors!$C$2</f>
        <v>39006</v>
      </c>
      <c r="C36" s="79" t="str">
        <f ca="1">VLOOKUP($B36,OFFSET([2]quests!$A$1,0,0,COUNTA([2]quests!$A:$A),MATCH(stage_hints_complete!C$1,[2]quests!$1:$1,0)-MATCH(stage_hints_complete!$B$1,[2]quests!$1:$1,0)+1),MATCH(stage_hints_complete!C$1,[2]quests!$1:$1,0)-MATCH(stage_hints_complete!$B$1,[2]quests!$1:$1,0)+1,FALSE)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6" s="79" t="str">
        <f ca="1">VLOOKUP($B36,OFFSET([2]quests!$A$1,0,0,COUNTA([2]quests!$A:$A),MATCH(stage_hints_complete!D$1,[2]quests!$1:$1,0)-MATCH(stage_hints_complete!$B$1,[2]quests!$1:$1,0)+1),MATCH(stage_hints_complete!D$1,[2]quests!$1:$1,0)-MATCH(stage_hints_complete!$B$1,[2]quests!$1:$1,0)+1,FALSE)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6" s="83">
        <v>2</v>
      </c>
      <c r="F36" s="79" t="str">
        <f ca="1">VLOOKUP($B36&amp;"_"&amp;$E36,OFFSET([2]stages!$A$1,0,0,COUNTA([2]stages!$A:$A),MATCH(stage_hints_complete!F$1,[2]stages!$2:$2,0)-MATCH("temp_stage",[2]stages!$2:$2,0)+1),MATCH(stage_hints_complete!F$1,[2]stages!$2:$2,0)-MATCH("temp_stage",[2]stages!$2:$2,0)+1,FALSE)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6" s="79" t="str">
        <f ca="1">VLOOKUP($B36&amp;"_"&amp;$E36,OFFSET([2]stages!$A$1,0,0,COUNTA([2]stages!$A:$A),MATCH(stage_hints_complete!G$1,[2]stages!$2:$2,0)-MATCH("temp_stage",[2]stages!$2:$2,0)+1),MATCH(stage_hints_complete!G$1,[2]stages!$2:$2,0)-MATCH("temp_stage",[2]stages!$2:$2,0)+1,FALSE)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6" s="81">
        <v>0</v>
      </c>
      <c r="I36" s="158">
        <f t="shared" si="0"/>
        <v>35</v>
      </c>
      <c r="J36" s="159" t="str">
        <f t="shared" si="6"/>
        <v>3900635</v>
      </c>
      <c r="K36" s="80" t="s">
        <v>128</v>
      </c>
      <c r="L36" s="176" t="s">
        <v>384</v>
      </c>
      <c r="M36" s="173" t="s">
        <v>386</v>
      </c>
      <c r="N36" s="55" t="s">
        <v>195</v>
      </c>
    </row>
    <row r="37" spans="1:14" ht="46" thickBot="1" x14ac:dyDescent="0.35">
      <c r="A37" s="77" t="s">
        <v>196</v>
      </c>
      <c r="B37" s="78">
        <f>floors!$C$2</f>
        <v>39006</v>
      </c>
      <c r="C37" s="79" t="str">
        <f ca="1">VLOOKUP($B37,OFFSET([2]quests!$A$1,0,0,COUNTA([2]quests!$A:$A),MATCH(stage_hints_complete!C$1,[2]quests!$1:$1,0)-MATCH(stage_hints_complete!$B$1,[2]quests!$1:$1,0)+1),MATCH(stage_hints_complete!C$1,[2]quests!$1:$1,0)-MATCH(stage_hints_complete!$B$1,[2]quests!$1:$1,0)+1,FALSE)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7" s="79" t="str">
        <f ca="1">VLOOKUP($B37,OFFSET([2]quests!$A$1,0,0,COUNTA([2]quests!$A:$A),MATCH(stage_hints_complete!D$1,[2]quests!$1:$1,0)-MATCH(stage_hints_complete!$B$1,[2]quests!$1:$1,0)+1),MATCH(stage_hints_complete!D$1,[2]quests!$1:$1,0)-MATCH(stage_hints_complete!$B$1,[2]quests!$1:$1,0)+1,FALSE)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7" s="83">
        <v>2</v>
      </c>
      <c r="F37" s="79" t="str">
        <f ca="1">VLOOKUP($B37&amp;"_"&amp;$E37,OFFSET([2]stages!$A$1,0,0,COUNTA([2]stages!$A:$A),MATCH(stage_hints_complete!F$1,[2]stages!$2:$2,0)-MATCH("temp_stage",[2]stages!$2:$2,0)+1),MATCH(stage_hints_complete!F$1,[2]stages!$2:$2,0)-MATCH("temp_stage",[2]stages!$2:$2,0)+1,FALSE)</f>
        <v>【中級】シガンシナ区攻防戦</v>
      </c>
      <c r="G37" s="79" t="str">
        <f ca="1">VLOOKUP($B37&amp;"_"&amp;$E37,OFFSET([2]stages!$A$1,0,0,COUNTA([2]stages!$A:$A),MATCH(stage_hints_complete!G$1,[2]stages!$2:$2,0)-MATCH("temp_stage",[2]stages!$2:$2,0)+1),MATCH(stage_hints_complete!G$1,[2]stages!$2:$2,0)-MATCH("temp_stage",[2]stages!$2:$2,0)+1,FALSE)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7" s="81">
        <v>0</v>
      </c>
      <c r="I37" s="158">
        <f t="shared" si="0"/>
        <v>36</v>
      </c>
      <c r="J37" s="159" t="str">
        <f t="shared" si="6"/>
        <v>3900636</v>
      </c>
      <c r="K37" s="80" t="s">
        <v>128</v>
      </c>
      <c r="L37" s="176" t="s">
        <v>385</v>
      </c>
      <c r="M37" s="173" t="s">
        <v>387</v>
      </c>
      <c r="N37" s="55" t="s">
        <v>195</v>
      </c>
    </row>
    <row r="38" spans="1:14" ht="46" thickBot="1" x14ac:dyDescent="0.35">
      <c r="A38" s="77" t="s">
        <v>196</v>
      </c>
      <c r="B38" s="78">
        <f>floors!$C$2</f>
        <v>39006</v>
      </c>
      <c r="C38" s="79" t="str">
        <f ca="1">VLOOKUP($B38,OFFSET([2]quests!$A$1,0,0,COUNTA([2]quests!$A:$A),MATCH(stage_hints_complete!C$1,[2]quests!$1:$1,0)-MATCH(stage_hints_complete!$B$1,[2]quests!$1:$1,0)+1),MATCH(stage_hints_complete!C$1,[2]quests!$1:$1,0)-MATCH(stage_hints_complete!$B$1,[2]quests!$1:$1,0)+1,FALSE)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8" s="79" t="str">
        <f ca="1">VLOOKUP($B38,OFFSET([2]quests!$A$1,0,0,COUNTA([2]quests!$A:$A),MATCH(stage_hints_complete!D$1,[2]quests!$1:$1,0)-MATCH(stage_hints_complete!$B$1,[2]quests!$1:$1,0)+1),MATCH(stage_hints_complete!D$1,[2]quests!$1:$1,0)-MATCH(stage_hints_complete!$B$1,[2]quests!$1:$1,0)+1,FALSE)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8" s="83">
        <v>3</v>
      </c>
      <c r="F38" s="79" t="str">
        <f ca="1">VLOOKUP($B38&amp;"_"&amp;$E38,OFFSET([2]stages!$A$1,0,0,COUNTA([2]stages!$A:$A),MATCH(stage_hints_complete!F$1,[2]stages!$2:$2,0)-MATCH("temp_stage",[2]stages!$2:$2,0)+1),MATCH(stage_hints_complete!F$1,[2]stages!$2:$2,0)-MATCH("temp_stage",[2]stages!$2:$2,0)+1,FALSE)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38" s="79" t="str">
        <f ca="1">VLOOKUP($B38&amp;"_"&amp;$E38,OFFSET([2]stages!$A$1,0,0,COUNTA([2]stages!$A:$A),MATCH(stage_hints_complete!G$1,[2]stages!$2:$2,0)-MATCH("temp_stage",[2]stages!$2:$2,0)+1),MATCH(stage_hints_complete!G$1,[2]stages!$2:$2,0)-MATCH("temp_stage",[2]stages!$2:$2,0)+1,FALSE)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8" s="81">
        <v>0</v>
      </c>
      <c r="I38" s="158">
        <f t="shared" si="0"/>
        <v>37</v>
      </c>
      <c r="J38" s="159" t="str">
        <f t="shared" si="6"/>
        <v>3900637</v>
      </c>
      <c r="K38" s="80" t="s">
        <v>128</v>
      </c>
      <c r="L38" s="176" t="s">
        <v>383</v>
      </c>
      <c r="M38" s="174" t="s">
        <v>441</v>
      </c>
      <c r="N38" s="55" t="s">
        <v>195</v>
      </c>
    </row>
    <row r="39" spans="1:14" ht="46" thickBot="1" x14ac:dyDescent="0.35">
      <c r="A39" s="77" t="s">
        <v>196</v>
      </c>
      <c r="B39" s="78">
        <f>floors!$C$2</f>
        <v>39006</v>
      </c>
      <c r="C39" s="79" t="str">
        <f ca="1">VLOOKUP($B39,OFFSET([2]quests!$A$1,0,0,COUNTA([2]quests!$A:$A),MATCH(stage_hints_complete!C$1,[2]quests!$1:$1,0)-MATCH(stage_hints_complete!$B$1,[2]quests!$1:$1,0)+1),MATCH(stage_hints_complete!C$1,[2]quests!$1:$1,0)-MATCH(stage_hints_complete!$B$1,[2]quests!$1:$1,0)+1,FALSE)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39" s="79" t="str">
        <f ca="1">VLOOKUP($B39,OFFSET([2]quests!$A$1,0,0,COUNTA([2]quests!$A:$A),MATCH(stage_hints_complete!D$1,[2]quests!$1:$1,0)-MATCH(stage_hints_complete!$B$1,[2]quests!$1:$1,0)+1),MATCH(stage_hints_complete!D$1,[2]quests!$1:$1,0)-MATCH(stage_hints_complete!$B$1,[2]quests!$1:$1,0)+1,FALSE)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39" s="83">
        <v>3</v>
      </c>
      <c r="F39" s="79" t="str">
        <f ca="1">VLOOKUP($B39&amp;"_"&amp;$E39,OFFSET([2]stages!$A$1,0,0,COUNTA([2]stages!$A:$A),MATCH(stage_hints_complete!F$1,[2]stages!$2:$2,0)-MATCH("temp_stage",[2]stages!$2:$2,0)+1),MATCH(stage_hints_complete!F$1,[2]stages!$2:$2,0)-MATCH("temp_stage",[2]stages!$2:$2,0)+1,FALSE)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39" s="79" t="str">
        <f ca="1">VLOOKUP($B39&amp;"_"&amp;$E39,OFFSET([2]stages!$A$1,0,0,COUNTA([2]stages!$A:$A),MATCH(stage_hints_complete!G$1,[2]stages!$2:$2,0)-MATCH("temp_stage",[2]stages!$2:$2,0)+1),MATCH(stage_hints_complete!G$1,[2]stages!$2:$2,0)-MATCH("temp_stage",[2]stages!$2:$2,0)+1,FALSE)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39" s="81">
        <v>0</v>
      </c>
      <c r="I39" s="158">
        <f t="shared" si="0"/>
        <v>38</v>
      </c>
      <c r="J39" s="159" t="str">
        <f t="shared" si="6"/>
        <v>3900638</v>
      </c>
      <c r="K39" s="80" t="s">
        <v>128</v>
      </c>
      <c r="L39" s="176" t="s">
        <v>446</v>
      </c>
      <c r="M39" s="174" t="s">
        <v>442</v>
      </c>
      <c r="N39" s="55" t="s">
        <v>195</v>
      </c>
    </row>
    <row r="40" spans="1:14" ht="46" thickBot="1" x14ac:dyDescent="0.35">
      <c r="A40" s="77" t="s">
        <v>196</v>
      </c>
      <c r="B40" s="78">
        <f>floors!$C$2</f>
        <v>39006</v>
      </c>
      <c r="C40" s="79" t="str">
        <f ca="1">VLOOKUP($B40,OFFSET([2]quests!$A$1,0,0,COUNTA([2]quests!$A:$A),MATCH(stage_hints_complete!C$1,[2]quests!$1:$1,0)-MATCH(stage_hints_complete!$B$1,[2]quests!$1:$1,0)+1),MATCH(stage_hints_complete!C$1,[2]quests!$1:$1,0)-MATCH(stage_hints_complete!$B$1,[2]quests!$1:$1,0)+1,FALSE)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0" s="79" t="str">
        <f ca="1">VLOOKUP($B40,OFFSET([2]quests!$A$1,0,0,COUNTA([2]quests!$A:$A),MATCH(stage_hints_complete!D$1,[2]quests!$1:$1,0)-MATCH(stage_hints_complete!$B$1,[2]quests!$1:$1,0)+1),MATCH(stage_hints_complete!D$1,[2]quests!$1:$1,0)-MATCH(stage_hints_complete!$B$1,[2]quests!$1:$1,0)+1,FALSE)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0" s="83">
        <v>3</v>
      </c>
      <c r="F40" s="79" t="str">
        <f ca="1">VLOOKUP($B40&amp;"_"&amp;$E40,OFFSET([2]stages!$A$1,0,0,COUNTA([2]stages!$A:$A),MATCH(stage_hints_complete!F$1,[2]stages!$2:$2,0)-MATCH("temp_stage",[2]stages!$2:$2,0)+1),MATCH(stage_hints_complete!F$1,[2]stages!$2:$2,0)-MATCH("temp_stage",[2]stages!$2:$2,0)+1,FALSE)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0" s="79" t="str">
        <f ca="1">VLOOKUP($B40&amp;"_"&amp;$E40,OFFSET([2]stages!$A$1,0,0,COUNTA([2]stages!$A:$A),MATCH(stage_hints_complete!G$1,[2]stages!$2:$2,0)-MATCH("temp_stage",[2]stages!$2:$2,0)+1),MATCH(stage_hints_complete!G$1,[2]stages!$2:$2,0)-MATCH("temp_stage",[2]stages!$2:$2,0)+1,FALSE)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0" s="81">
        <v>0</v>
      </c>
      <c r="I40" s="158">
        <f t="shared" si="0"/>
        <v>39</v>
      </c>
      <c r="J40" s="159" t="str">
        <f t="shared" si="6"/>
        <v>3900639</v>
      </c>
      <c r="K40" s="80" t="s">
        <v>128</v>
      </c>
      <c r="L40" s="176" t="s">
        <v>447</v>
      </c>
      <c r="M40" s="174" t="s">
        <v>443</v>
      </c>
      <c r="N40" s="55" t="s">
        <v>195</v>
      </c>
    </row>
    <row r="41" spans="1:14" ht="46" thickBot="1" x14ac:dyDescent="0.35">
      <c r="A41" s="77" t="s">
        <v>196</v>
      </c>
      <c r="B41" s="78">
        <f>floors!$C$2</f>
        <v>39006</v>
      </c>
      <c r="C41" s="79" t="str">
        <f ca="1">VLOOKUP($B41,OFFSET([2]quests!$A$1,0,0,COUNTA([2]quests!$A:$A),MATCH(stage_hints_complete!C$1,[2]quests!$1:$1,0)-MATCH(stage_hints_complete!$B$1,[2]quests!$1:$1,0)+1),MATCH(stage_hints_complete!C$1,[2]quests!$1:$1,0)-MATCH(stage_hints_complete!$B$1,[2]quests!$1:$1,0)+1,FALSE)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1" s="79" t="str">
        <f ca="1">VLOOKUP($B41,OFFSET([2]quests!$A$1,0,0,COUNTA([2]quests!$A:$A),MATCH(stage_hints_complete!D$1,[2]quests!$1:$1,0)-MATCH(stage_hints_complete!$B$1,[2]quests!$1:$1,0)+1),MATCH(stage_hints_complete!D$1,[2]quests!$1:$1,0)-MATCH(stage_hints_complete!$B$1,[2]quests!$1:$1,0)+1,FALSE)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1" s="83">
        <v>3</v>
      </c>
      <c r="F41" s="79" t="str">
        <f ca="1">VLOOKUP($B41&amp;"_"&amp;$E41,OFFSET([2]stages!$A$1,0,0,COUNTA([2]stages!$A:$A),MATCH(stage_hints_complete!F$1,[2]stages!$2:$2,0)-MATCH("temp_stage",[2]stages!$2:$2,0)+1),MATCH(stage_hints_complete!F$1,[2]stages!$2:$2,0)-MATCH("temp_stage",[2]stages!$2:$2,0)+1,FALSE)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1" s="79" t="str">
        <f ca="1">VLOOKUP($B41&amp;"_"&amp;$E41,OFFSET([2]stages!$A$1,0,0,COUNTA([2]stages!$A:$A),MATCH(stage_hints_complete!G$1,[2]stages!$2:$2,0)-MATCH("temp_stage",[2]stages!$2:$2,0)+1),MATCH(stage_hints_complete!G$1,[2]stages!$2:$2,0)-MATCH("temp_stage",[2]stages!$2:$2,0)+1,FALSE)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1" s="81">
        <v>0</v>
      </c>
      <c r="I41" s="158">
        <f t="shared" si="0"/>
        <v>40</v>
      </c>
      <c r="J41" s="159" t="str">
        <f t="shared" si="6"/>
        <v>3900640</v>
      </c>
      <c r="K41" s="80" t="s">
        <v>128</v>
      </c>
      <c r="L41" s="176" t="s">
        <v>448</v>
      </c>
      <c r="M41" s="174" t="s">
        <v>440</v>
      </c>
      <c r="N41" s="55" t="s">
        <v>195</v>
      </c>
    </row>
    <row r="42" spans="1:14" ht="46" thickBot="1" x14ac:dyDescent="0.35">
      <c r="A42" s="77" t="s">
        <v>196</v>
      </c>
      <c r="B42" s="78">
        <f>floors!$C$2</f>
        <v>39006</v>
      </c>
      <c r="C42" s="79" t="str">
        <f ca="1">VLOOKUP($B42,OFFSET([2]quests!$A$1,0,0,COUNTA([2]quests!$A:$A),MATCH(stage_hints_complete!C$1,[2]quests!$1:$1,0)-MATCH(stage_hints_complete!$B$1,[2]quests!$1:$1,0)+1),MATCH(stage_hints_complete!C$1,[2]quests!$1:$1,0)-MATCH(stage_hints_complete!$B$1,[2]quests!$1:$1,0)+1,FALSE)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2" s="79" t="str">
        <f ca="1">VLOOKUP($B42,OFFSET([2]quests!$A$1,0,0,COUNTA([2]quests!$A:$A),MATCH(stage_hints_complete!D$1,[2]quests!$1:$1,0)-MATCH(stage_hints_complete!$B$1,[2]quests!$1:$1,0)+1),MATCH(stage_hints_complete!D$1,[2]quests!$1:$1,0)-MATCH(stage_hints_complete!$B$1,[2]quests!$1:$1,0)+1,FALSE)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2" s="83">
        <v>3</v>
      </c>
      <c r="F42" s="79" t="str">
        <f ca="1">VLOOKUP($B42&amp;"_"&amp;$E42,OFFSET([2]stages!$A$1,0,0,COUNTA([2]stages!$A:$A),MATCH(stage_hints_complete!F$1,[2]stages!$2:$2,0)-MATCH("temp_stage",[2]stages!$2:$2,0)+1),MATCH(stage_hints_complete!F$1,[2]stages!$2:$2,0)-MATCH("temp_stage",[2]stages!$2:$2,0)+1,FALSE)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2" s="79" t="str">
        <f ca="1">VLOOKUP($B42&amp;"_"&amp;$E42,OFFSET([2]stages!$A$1,0,0,COUNTA([2]stages!$A:$A),MATCH(stage_hints_complete!G$1,[2]stages!$2:$2,0)-MATCH("temp_stage",[2]stages!$2:$2,0)+1),MATCH(stage_hints_complete!G$1,[2]stages!$2:$2,0)-MATCH("temp_stage",[2]stages!$2:$2,0)+1,FALSE)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2" s="81">
        <v>0</v>
      </c>
      <c r="I42" s="158">
        <f t="shared" si="0"/>
        <v>41</v>
      </c>
      <c r="J42" s="159" t="str">
        <f t="shared" si="6"/>
        <v>3900641</v>
      </c>
      <c r="K42" s="80" t="s">
        <v>128</v>
      </c>
      <c r="L42" s="176" t="s">
        <v>382</v>
      </c>
      <c r="M42" s="174" t="s">
        <v>439</v>
      </c>
      <c r="N42" s="55" t="s">
        <v>195</v>
      </c>
    </row>
    <row r="43" spans="1:14" ht="46" thickBot="1" x14ac:dyDescent="0.35">
      <c r="A43" s="77" t="s">
        <v>196</v>
      </c>
      <c r="B43" s="78">
        <f>floors!$C$2</f>
        <v>39006</v>
      </c>
      <c r="C43" s="79" t="str">
        <f ca="1">VLOOKUP($B43,OFFSET([2]quests!$A$1,0,0,COUNTA([2]quests!$A:$A),MATCH(stage_hints_complete!C$1,[2]quests!$1:$1,0)-MATCH(stage_hints_complete!$B$1,[2]quests!$1:$1,0)+1),MATCH(stage_hints_complete!C$1,[2]quests!$1:$1,0)-MATCH(stage_hints_complete!$B$1,[2]quests!$1:$1,0)+1,FALSE)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3" s="79" t="str">
        <f ca="1">VLOOKUP($B43,OFFSET([2]quests!$A$1,0,0,COUNTA([2]quests!$A:$A),MATCH(stage_hints_complete!D$1,[2]quests!$1:$1,0)-MATCH(stage_hints_complete!$B$1,[2]quests!$1:$1,0)+1),MATCH(stage_hints_complete!D$1,[2]quests!$1:$1,0)-MATCH(stage_hints_complete!$B$1,[2]quests!$1:$1,0)+1,FALSE)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3" s="83">
        <v>3</v>
      </c>
      <c r="F43" s="79" t="str">
        <f ca="1">VLOOKUP($B43&amp;"_"&amp;$E43,OFFSET([2]stages!$A$1,0,0,COUNTA([2]stages!$A:$A),MATCH(stage_hints_complete!F$1,[2]stages!$2:$2,0)-MATCH("temp_stage",[2]stages!$2:$2,0)+1),MATCH(stage_hints_complete!F$1,[2]stages!$2:$2,0)-MATCH("temp_stage",[2]stages!$2:$2,0)+1,FALSE)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3" s="79" t="str">
        <f ca="1">VLOOKUP($B43&amp;"_"&amp;$E43,OFFSET([2]stages!$A$1,0,0,COUNTA([2]stages!$A:$A),MATCH(stage_hints_complete!G$1,[2]stages!$2:$2,0)-MATCH("temp_stage",[2]stages!$2:$2,0)+1),MATCH(stage_hints_complete!G$1,[2]stages!$2:$2,0)-MATCH("temp_stage",[2]stages!$2:$2,0)+1,FALSE)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3" s="81">
        <v>0</v>
      </c>
      <c r="I43" s="158">
        <f t="shared" si="0"/>
        <v>42</v>
      </c>
      <c r="J43" s="159" t="str">
        <f t="shared" si="6"/>
        <v>3900642</v>
      </c>
      <c r="K43" s="80" t="s">
        <v>128</v>
      </c>
      <c r="L43" s="176" t="s">
        <v>449</v>
      </c>
      <c r="M43" s="174" t="s">
        <v>444</v>
      </c>
      <c r="N43" s="55" t="s">
        <v>195</v>
      </c>
    </row>
    <row r="44" spans="1:14" ht="46" thickBot="1" x14ac:dyDescent="0.35">
      <c r="A44" s="77" t="s">
        <v>196</v>
      </c>
      <c r="B44" s="78">
        <f>floors!$C$2</f>
        <v>39006</v>
      </c>
      <c r="C44" s="79" t="str">
        <f ca="1">VLOOKUP($B44,OFFSET([2]quests!$A$1,0,0,COUNTA([2]quests!$A:$A),MATCH(stage_hints_complete!C$1,[2]quests!$1:$1,0)-MATCH(stage_hints_complete!$B$1,[2]quests!$1:$1,0)+1),MATCH(stage_hints_complete!C$1,[2]quests!$1:$1,0)-MATCH(stage_hints_complete!$B$1,[2]quests!$1:$1,0)+1,FALSE)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4" s="79" t="str">
        <f ca="1">VLOOKUP($B44,OFFSET([2]quests!$A$1,0,0,COUNTA([2]quests!$A:$A),MATCH(stage_hints_complete!D$1,[2]quests!$1:$1,0)-MATCH(stage_hints_complete!$B$1,[2]quests!$1:$1,0)+1),MATCH(stage_hints_complete!D$1,[2]quests!$1:$1,0)-MATCH(stage_hints_complete!$B$1,[2]quests!$1:$1,0)+1,FALSE)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4" s="83">
        <v>3</v>
      </c>
      <c r="F44" s="79" t="str">
        <f ca="1">VLOOKUP($B44&amp;"_"&amp;$E44,OFFSET([2]stages!$A$1,0,0,COUNTA([2]stages!$A:$A),MATCH(stage_hints_complete!F$1,[2]stages!$2:$2,0)-MATCH("temp_stage",[2]stages!$2:$2,0)+1),MATCH(stage_hints_complete!F$1,[2]stages!$2:$2,0)-MATCH("temp_stage",[2]stages!$2:$2,0)+1,FALSE)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4" s="79" t="str">
        <f ca="1">VLOOKUP($B44&amp;"_"&amp;$E44,OFFSET([2]stages!$A$1,0,0,COUNTA([2]stages!$A:$A),MATCH(stage_hints_complete!G$1,[2]stages!$2:$2,0)-MATCH("temp_stage",[2]stages!$2:$2,0)+1),MATCH(stage_hints_complete!G$1,[2]stages!$2:$2,0)-MATCH("temp_stage",[2]stages!$2:$2,0)+1,FALSE)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4" s="81">
        <v>0</v>
      </c>
      <c r="I44" s="158">
        <f t="shared" si="0"/>
        <v>43</v>
      </c>
      <c r="J44" s="159" t="str">
        <f t="shared" si="6"/>
        <v>3900643</v>
      </c>
      <c r="K44" s="80" t="s">
        <v>128</v>
      </c>
      <c r="L44" s="176" t="s">
        <v>450</v>
      </c>
      <c r="M44" s="174" t="s">
        <v>579</v>
      </c>
      <c r="N44" s="55" t="s">
        <v>195</v>
      </c>
    </row>
    <row r="45" spans="1:14" ht="46" thickBot="1" x14ac:dyDescent="0.35">
      <c r="A45" s="77" t="s">
        <v>196</v>
      </c>
      <c r="B45" s="78">
        <f>floors!$C$2</f>
        <v>39006</v>
      </c>
      <c r="C45" s="79" t="str">
        <f ca="1">VLOOKUP($B45,OFFSET([2]quests!$A$1,0,0,COUNTA([2]quests!$A:$A),MATCH(stage_hints_complete!C$1,[2]quests!$1:$1,0)-MATCH(stage_hints_complete!$B$1,[2]quests!$1:$1,0)+1),MATCH(stage_hints_complete!C$1,[2]quests!$1:$1,0)-MATCH(stage_hints_complete!$B$1,[2]quests!$1:$1,0)+1,FALSE)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5" s="79" t="str">
        <f ca="1">VLOOKUP($B45,OFFSET([2]quests!$A$1,0,0,COUNTA([2]quests!$A:$A),MATCH(stage_hints_complete!D$1,[2]quests!$1:$1,0)-MATCH(stage_hints_complete!$B$1,[2]quests!$1:$1,0)+1),MATCH(stage_hints_complete!D$1,[2]quests!$1:$1,0)-MATCH(stage_hints_complete!$B$1,[2]quests!$1:$1,0)+1,FALSE)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5" s="83">
        <v>3</v>
      </c>
      <c r="F45" s="79" t="str">
        <f ca="1">VLOOKUP($B45&amp;"_"&amp;$E45,OFFSET([2]stages!$A$1,0,0,COUNTA([2]stages!$A:$A),MATCH(stage_hints_complete!F$1,[2]stages!$2:$2,0)-MATCH("temp_stage",[2]stages!$2:$2,0)+1),MATCH(stage_hints_complete!F$1,[2]stages!$2:$2,0)-MATCH("temp_stage",[2]stages!$2:$2,0)+1,FALSE)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5" s="79" t="str">
        <f ca="1">VLOOKUP($B45&amp;"_"&amp;$E45,OFFSET([2]stages!$A$1,0,0,COUNTA([2]stages!$A:$A),MATCH(stage_hints_complete!G$1,[2]stages!$2:$2,0)-MATCH("temp_stage",[2]stages!$2:$2,0)+1),MATCH(stage_hints_complete!G$1,[2]stages!$2:$2,0)-MATCH("temp_stage",[2]stages!$2:$2,0)+1,FALSE)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5" s="81">
        <v>0</v>
      </c>
      <c r="I45" s="158">
        <f t="shared" si="0"/>
        <v>44</v>
      </c>
      <c r="J45" s="159" t="str">
        <f t="shared" si="6"/>
        <v>3900644</v>
      </c>
      <c r="K45" s="80" t="s">
        <v>128</v>
      </c>
      <c r="L45" s="176" t="s">
        <v>451</v>
      </c>
      <c r="M45" s="174" t="s">
        <v>445</v>
      </c>
      <c r="N45" s="55" t="s">
        <v>195</v>
      </c>
    </row>
    <row r="46" spans="1:14" ht="46" thickBot="1" x14ac:dyDescent="0.35">
      <c r="A46" s="77" t="s">
        <v>196</v>
      </c>
      <c r="B46" s="78">
        <f>floors!$C$2</f>
        <v>39006</v>
      </c>
      <c r="C46" s="79" t="str">
        <f ca="1">VLOOKUP($B46,OFFSET([2]quests!$A$1,0,0,COUNTA([2]quests!$A:$A),MATCH(stage_hints_complete!C$1,[2]quests!$1:$1,0)-MATCH(stage_hints_complete!$B$1,[2]quests!$1:$1,0)+1),MATCH(stage_hints_complete!C$1,[2]quests!$1:$1,0)-MATCH(stage_hints_complete!$B$1,[2]quests!$1:$1,0)+1,FALSE)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6" s="79" t="str">
        <f ca="1">VLOOKUP($B46,OFFSET([2]quests!$A$1,0,0,COUNTA([2]quests!$A:$A),MATCH(stage_hints_complete!D$1,[2]quests!$1:$1,0)-MATCH(stage_hints_complete!$B$1,[2]quests!$1:$1,0)+1),MATCH(stage_hints_complete!D$1,[2]quests!$1:$1,0)-MATCH(stage_hints_complete!$B$1,[2]quests!$1:$1,0)+1,FALSE)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6" s="83">
        <v>3</v>
      </c>
      <c r="F46" s="79" t="str">
        <f ca="1">VLOOKUP($B46&amp;"_"&amp;$E46,OFFSET([2]stages!$A$1,0,0,COUNTA([2]stages!$A:$A),MATCH(stage_hints_complete!F$1,[2]stages!$2:$2,0)-MATCH("temp_stage",[2]stages!$2:$2,0)+1),MATCH(stage_hints_complete!F$1,[2]stages!$2:$2,0)-MATCH("temp_stage",[2]stages!$2:$2,0)+1,FALSE)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6" s="79" t="str">
        <f ca="1">VLOOKUP($B46&amp;"_"&amp;$E46,OFFSET([2]stages!$A$1,0,0,COUNTA([2]stages!$A:$A),MATCH(stage_hints_complete!G$1,[2]stages!$2:$2,0)-MATCH("temp_stage",[2]stages!$2:$2,0)+1),MATCH(stage_hints_complete!G$1,[2]stages!$2:$2,0)-MATCH("temp_stage",[2]stages!$2:$2,0)+1,FALSE)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6" s="81">
        <v>0</v>
      </c>
      <c r="I46" s="158">
        <f t="shared" si="0"/>
        <v>45</v>
      </c>
      <c r="J46" s="159" t="str">
        <f t="shared" si="6"/>
        <v>3900645</v>
      </c>
      <c r="K46" s="80" t="s">
        <v>128</v>
      </c>
      <c r="L46" s="176" t="s">
        <v>384</v>
      </c>
      <c r="M46" s="173" t="s">
        <v>386</v>
      </c>
      <c r="N46" s="55" t="s">
        <v>195</v>
      </c>
    </row>
    <row r="47" spans="1:14" ht="46" thickBot="1" x14ac:dyDescent="0.35">
      <c r="A47" s="77" t="s">
        <v>196</v>
      </c>
      <c r="B47" s="78">
        <f>floors!$C$2</f>
        <v>39006</v>
      </c>
      <c r="C47" s="79" t="str">
        <f ca="1">VLOOKUP($B47,OFFSET([2]quests!$A$1,0,0,COUNTA([2]quests!$A:$A),MATCH(stage_hints_complete!C$1,[2]quests!$1:$1,0)-MATCH(stage_hints_complete!$B$1,[2]quests!$1:$1,0)+1),MATCH(stage_hints_complete!C$1,[2]quests!$1:$1,0)-MATCH(stage_hints_complete!$B$1,[2]quests!$1:$1,0)+1,FALSE)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7" s="79" t="str">
        <f ca="1">VLOOKUP($B47,OFFSET([2]quests!$A$1,0,0,COUNTA([2]quests!$A:$A),MATCH(stage_hints_complete!D$1,[2]quests!$1:$1,0)-MATCH(stage_hints_complete!$B$1,[2]quests!$1:$1,0)+1),MATCH(stage_hints_complete!D$1,[2]quests!$1:$1,0)-MATCH(stage_hints_complete!$B$1,[2]quests!$1:$1,0)+1,FALSE)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7" s="83">
        <v>3</v>
      </c>
      <c r="F47" s="79" t="str">
        <f ca="1">VLOOKUP($B47&amp;"_"&amp;$E47,OFFSET([2]stages!$A$1,0,0,COUNTA([2]stages!$A:$A),MATCH(stage_hints_complete!F$1,[2]stages!$2:$2,0)-MATCH("temp_stage",[2]stages!$2:$2,0)+1),MATCH(stage_hints_complete!F$1,[2]stages!$2:$2,0)-MATCH("temp_stage",[2]stages!$2:$2,0)+1,FALSE)</f>
        <v>【上級】シガンシナ区攻防戦</v>
      </c>
      <c r="G47" s="79" t="str">
        <f ca="1">VLOOKUP($B47&amp;"_"&amp;$E47,OFFSET([2]stages!$A$1,0,0,COUNTA([2]stages!$A:$A),MATCH(stage_hints_complete!G$1,[2]stages!$2:$2,0)-MATCH("temp_stage",[2]stages!$2:$2,0)+1),MATCH(stage_hints_complete!G$1,[2]stages!$2:$2,0)-MATCH("temp_stage",[2]stages!$2:$2,0)+1,FALSE)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7" s="81">
        <v>0</v>
      </c>
      <c r="I47" s="158">
        <f t="shared" si="0"/>
        <v>46</v>
      </c>
      <c r="J47" s="159" t="str">
        <f t="shared" si="6"/>
        <v>3900646</v>
      </c>
      <c r="K47" s="80" t="s">
        <v>128</v>
      </c>
      <c r="L47" s="176" t="s">
        <v>385</v>
      </c>
      <c r="M47" s="173" t="s">
        <v>387</v>
      </c>
      <c r="N47" s="55" t="s">
        <v>195</v>
      </c>
    </row>
    <row r="48" spans="1:14" ht="46" thickBot="1" x14ac:dyDescent="0.35">
      <c r="A48" s="77" t="s">
        <v>196</v>
      </c>
      <c r="B48" s="78">
        <f>floors!$C$2</f>
        <v>39006</v>
      </c>
      <c r="C48" s="79" t="str">
        <f ca="1">VLOOKUP($B48,OFFSET([2]quests!$A$1,0,0,COUNTA([2]quests!$A:$A),MATCH(stage_hints_complete!C$1,[2]quests!$1:$1,0)-MATCH(stage_hints_complete!$B$1,[2]quests!$1:$1,0)+1),MATCH(stage_hints_complete!C$1,[2]quests!$1:$1,0)-MATCH(stage_hints_complete!$B$1,[2]quests!$1:$1,0)+1,FALSE)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8" s="79" t="str">
        <f ca="1">VLOOKUP($B48,OFFSET([2]quests!$A$1,0,0,COUNTA([2]quests!$A:$A),MATCH(stage_hints_complete!D$1,[2]quests!$1:$1,0)-MATCH(stage_hints_complete!$B$1,[2]quests!$1:$1,0)+1),MATCH(stage_hints_complete!D$1,[2]quests!$1:$1,0)-MATCH(stage_hints_complete!$B$1,[2]quests!$1:$1,0)+1,FALSE)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8" s="83">
        <v>4</v>
      </c>
      <c r="F48" s="79" t="str">
        <f ca="1">VLOOKUP($B48&amp;"_"&amp;$E48,OFFSET([2]stages!$A$1,0,0,COUNTA([2]stages!$A:$A),MATCH(stage_hints_complete!F$1,[2]stages!$2:$2,0)-MATCH("temp_stage",[2]stages!$2:$2,0)+1),MATCH(stage_hints_complete!F$1,[2]stages!$2:$2,0)-MATCH("temp_stage",[2]stages!$2:$2,0)+1,FALSE)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48" s="79" t="str">
        <f ca="1">VLOOKUP($B48&amp;"_"&amp;$E48,OFFSET([2]stages!$A$1,0,0,COUNTA([2]stages!$A:$A),MATCH(stage_hints_complete!G$1,[2]stages!$2:$2,0)-MATCH("temp_stage",[2]stages!$2:$2,0)+1),MATCH(stage_hints_complete!G$1,[2]stages!$2:$2,0)-MATCH("temp_stage",[2]stages!$2:$2,0)+1,FALSE)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8" s="81">
        <v>0</v>
      </c>
      <c r="I48" s="158">
        <f t="shared" si="0"/>
        <v>47</v>
      </c>
      <c r="J48" s="159" t="str">
        <f t="shared" si="6"/>
        <v>3900647</v>
      </c>
      <c r="K48" s="80" t="s">
        <v>128</v>
      </c>
      <c r="L48" s="176" t="s">
        <v>383</v>
      </c>
      <c r="M48" s="174" t="s">
        <v>441</v>
      </c>
      <c r="N48" s="55" t="s">
        <v>195</v>
      </c>
    </row>
    <row r="49" spans="1:14" ht="46" thickBot="1" x14ac:dyDescent="0.35">
      <c r="A49" s="77" t="s">
        <v>196</v>
      </c>
      <c r="B49" s="78">
        <f>floors!$C$2</f>
        <v>39006</v>
      </c>
      <c r="C49" s="79" t="str">
        <f ca="1">VLOOKUP($B49,OFFSET([2]quests!$A$1,0,0,COUNTA([2]quests!$A:$A),MATCH(stage_hints_complete!C$1,[2]quests!$1:$1,0)-MATCH(stage_hints_complete!$B$1,[2]quests!$1:$1,0)+1),MATCH(stage_hints_complete!C$1,[2]quests!$1:$1,0)-MATCH(stage_hints_complete!$B$1,[2]quests!$1:$1,0)+1,FALSE)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49" s="79" t="str">
        <f ca="1">VLOOKUP($B49,OFFSET([2]quests!$A$1,0,0,COUNTA([2]quests!$A:$A),MATCH(stage_hints_complete!D$1,[2]quests!$1:$1,0)-MATCH(stage_hints_complete!$B$1,[2]quests!$1:$1,0)+1),MATCH(stage_hints_complete!D$1,[2]quests!$1:$1,0)-MATCH(stage_hints_complete!$B$1,[2]quests!$1:$1,0)+1,FALSE)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49" s="83">
        <v>4</v>
      </c>
      <c r="F49" s="79" t="str">
        <f ca="1">VLOOKUP($B49&amp;"_"&amp;$E49,OFFSET([2]stages!$A$1,0,0,COUNTA([2]stages!$A:$A),MATCH(stage_hints_complete!F$1,[2]stages!$2:$2,0)-MATCH("temp_stage",[2]stages!$2:$2,0)+1),MATCH(stage_hints_complete!F$1,[2]stages!$2:$2,0)-MATCH("temp_stage",[2]stages!$2:$2,0)+1,FALSE)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49" s="79" t="str">
        <f ca="1">VLOOKUP($B49&amp;"_"&amp;$E49,OFFSET([2]stages!$A$1,0,0,COUNTA([2]stages!$A:$A),MATCH(stage_hints_complete!G$1,[2]stages!$2:$2,0)-MATCH("temp_stage",[2]stages!$2:$2,0)+1),MATCH(stage_hints_complete!G$1,[2]stages!$2:$2,0)-MATCH("temp_stage",[2]stages!$2:$2,0)+1,FALSE)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49" s="81">
        <v>0</v>
      </c>
      <c r="I49" s="158">
        <f t="shared" si="0"/>
        <v>48</v>
      </c>
      <c r="J49" s="159" t="str">
        <f t="shared" si="6"/>
        <v>3900648</v>
      </c>
      <c r="K49" s="80" t="s">
        <v>128</v>
      </c>
      <c r="L49" s="176" t="s">
        <v>446</v>
      </c>
      <c r="M49" s="174" t="s">
        <v>442</v>
      </c>
      <c r="N49" s="55" t="s">
        <v>195</v>
      </c>
    </row>
    <row r="50" spans="1:14" ht="46" thickBot="1" x14ac:dyDescent="0.35">
      <c r="A50" s="77" t="s">
        <v>196</v>
      </c>
      <c r="B50" s="78">
        <f>floors!$C$2</f>
        <v>39006</v>
      </c>
      <c r="C50" s="79" t="str">
        <f ca="1">VLOOKUP($B50,OFFSET([2]quests!$A$1,0,0,COUNTA([2]quests!$A:$A),MATCH(stage_hints_complete!C$1,[2]quests!$1:$1,0)-MATCH(stage_hints_complete!$B$1,[2]quests!$1:$1,0)+1),MATCH(stage_hints_complete!C$1,[2]quests!$1:$1,0)-MATCH(stage_hints_complete!$B$1,[2]quests!$1:$1,0)+1,FALSE)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0" s="79" t="str">
        <f ca="1">VLOOKUP($B50,OFFSET([2]quests!$A$1,0,0,COUNTA([2]quests!$A:$A),MATCH(stage_hints_complete!D$1,[2]quests!$1:$1,0)-MATCH(stage_hints_complete!$B$1,[2]quests!$1:$1,0)+1),MATCH(stage_hints_complete!D$1,[2]quests!$1:$1,0)-MATCH(stage_hints_complete!$B$1,[2]quests!$1:$1,0)+1,FALSE)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0" s="83">
        <v>4</v>
      </c>
      <c r="F50" s="79" t="str">
        <f ca="1">VLOOKUP($B50&amp;"_"&amp;$E50,OFFSET([2]stages!$A$1,0,0,COUNTA([2]stages!$A:$A),MATCH(stage_hints_complete!F$1,[2]stages!$2:$2,0)-MATCH("temp_stage",[2]stages!$2:$2,0)+1),MATCH(stage_hints_complete!F$1,[2]stages!$2:$2,0)-MATCH("temp_stage",[2]stages!$2:$2,0)+1,FALSE)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0" s="79" t="str">
        <f ca="1">VLOOKUP($B50&amp;"_"&amp;$E50,OFFSET([2]stages!$A$1,0,0,COUNTA([2]stages!$A:$A),MATCH(stage_hints_complete!G$1,[2]stages!$2:$2,0)-MATCH("temp_stage",[2]stages!$2:$2,0)+1),MATCH(stage_hints_complete!G$1,[2]stages!$2:$2,0)-MATCH("temp_stage",[2]stages!$2:$2,0)+1,FALSE)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0" s="81">
        <v>0</v>
      </c>
      <c r="I50" s="158">
        <f t="shared" si="0"/>
        <v>49</v>
      </c>
      <c r="J50" s="159" t="str">
        <f t="shared" si="6"/>
        <v>3900649</v>
      </c>
      <c r="K50" s="80" t="s">
        <v>128</v>
      </c>
      <c r="L50" s="176" t="s">
        <v>447</v>
      </c>
      <c r="M50" s="174" t="s">
        <v>443</v>
      </c>
      <c r="N50" s="55" t="s">
        <v>195</v>
      </c>
    </row>
    <row r="51" spans="1:14" ht="46" thickBot="1" x14ac:dyDescent="0.35">
      <c r="A51" s="77" t="s">
        <v>196</v>
      </c>
      <c r="B51" s="78">
        <f>floors!$C$2</f>
        <v>39006</v>
      </c>
      <c r="C51" s="79" t="str">
        <f ca="1">VLOOKUP($B51,OFFSET([2]quests!$A$1,0,0,COUNTA([2]quests!$A:$A),MATCH(stage_hints_complete!C$1,[2]quests!$1:$1,0)-MATCH(stage_hints_complete!$B$1,[2]quests!$1:$1,0)+1),MATCH(stage_hints_complete!C$1,[2]quests!$1:$1,0)-MATCH(stage_hints_complete!$B$1,[2]quests!$1:$1,0)+1,FALSE)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1" s="79" t="str">
        <f ca="1">VLOOKUP($B51,OFFSET([2]quests!$A$1,0,0,COUNTA([2]quests!$A:$A),MATCH(stage_hints_complete!D$1,[2]quests!$1:$1,0)-MATCH(stage_hints_complete!$B$1,[2]quests!$1:$1,0)+1),MATCH(stage_hints_complete!D$1,[2]quests!$1:$1,0)-MATCH(stage_hints_complete!$B$1,[2]quests!$1:$1,0)+1,FALSE)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1" s="83">
        <v>4</v>
      </c>
      <c r="F51" s="79" t="str">
        <f ca="1">VLOOKUP($B51&amp;"_"&amp;$E51,OFFSET([2]stages!$A$1,0,0,COUNTA([2]stages!$A:$A),MATCH(stage_hints_complete!F$1,[2]stages!$2:$2,0)-MATCH("temp_stage",[2]stages!$2:$2,0)+1),MATCH(stage_hints_complete!F$1,[2]stages!$2:$2,0)-MATCH("temp_stage",[2]stages!$2:$2,0)+1,FALSE)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1" s="79" t="str">
        <f ca="1">VLOOKUP($B51&amp;"_"&amp;$E51,OFFSET([2]stages!$A$1,0,0,COUNTA([2]stages!$A:$A),MATCH(stage_hints_complete!G$1,[2]stages!$2:$2,0)-MATCH("temp_stage",[2]stages!$2:$2,0)+1),MATCH(stage_hints_complete!G$1,[2]stages!$2:$2,0)-MATCH("temp_stage",[2]stages!$2:$2,0)+1,FALSE)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1" s="81">
        <v>0</v>
      </c>
      <c r="I51" s="158">
        <f t="shared" si="0"/>
        <v>50</v>
      </c>
      <c r="J51" s="159" t="str">
        <f t="shared" si="6"/>
        <v>3900650</v>
      </c>
      <c r="K51" s="80" t="s">
        <v>128</v>
      </c>
      <c r="L51" s="176" t="s">
        <v>448</v>
      </c>
      <c r="M51" s="174" t="s">
        <v>440</v>
      </c>
      <c r="N51" s="55" t="s">
        <v>195</v>
      </c>
    </row>
    <row r="52" spans="1:14" ht="46" thickBot="1" x14ac:dyDescent="0.35">
      <c r="A52" s="77" t="s">
        <v>196</v>
      </c>
      <c r="B52" s="78">
        <f>floors!$C$2</f>
        <v>39006</v>
      </c>
      <c r="C52" s="79" t="str">
        <f ca="1">VLOOKUP($B52,OFFSET([2]quests!$A$1,0,0,COUNTA([2]quests!$A:$A),MATCH(stage_hints_complete!C$1,[2]quests!$1:$1,0)-MATCH(stage_hints_complete!$B$1,[2]quests!$1:$1,0)+1),MATCH(stage_hints_complete!C$1,[2]quests!$1:$1,0)-MATCH(stage_hints_complete!$B$1,[2]quests!$1:$1,0)+1,FALSE)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2" s="79" t="str">
        <f ca="1">VLOOKUP($B52,OFFSET([2]quests!$A$1,0,0,COUNTA([2]quests!$A:$A),MATCH(stage_hints_complete!D$1,[2]quests!$1:$1,0)-MATCH(stage_hints_complete!$B$1,[2]quests!$1:$1,0)+1),MATCH(stage_hints_complete!D$1,[2]quests!$1:$1,0)-MATCH(stage_hints_complete!$B$1,[2]quests!$1:$1,0)+1,FALSE)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2" s="83">
        <v>4</v>
      </c>
      <c r="F52" s="79" t="str">
        <f ca="1">VLOOKUP($B52&amp;"_"&amp;$E52,OFFSET([2]stages!$A$1,0,0,COUNTA([2]stages!$A:$A),MATCH(stage_hints_complete!F$1,[2]stages!$2:$2,0)-MATCH("temp_stage",[2]stages!$2:$2,0)+1),MATCH(stage_hints_complete!F$1,[2]stages!$2:$2,0)-MATCH("temp_stage",[2]stages!$2:$2,0)+1,FALSE)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2" s="79" t="str">
        <f ca="1">VLOOKUP($B52&amp;"_"&amp;$E52,OFFSET([2]stages!$A$1,0,0,COUNTA([2]stages!$A:$A),MATCH(stage_hints_complete!G$1,[2]stages!$2:$2,0)-MATCH("temp_stage",[2]stages!$2:$2,0)+1),MATCH(stage_hints_complete!G$1,[2]stages!$2:$2,0)-MATCH("temp_stage",[2]stages!$2:$2,0)+1,FALSE)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2" s="81">
        <v>0</v>
      </c>
      <c r="I52" s="158">
        <f t="shared" si="0"/>
        <v>51</v>
      </c>
      <c r="J52" s="159" t="str">
        <f t="shared" si="6"/>
        <v>3900651</v>
      </c>
      <c r="K52" s="80" t="s">
        <v>128</v>
      </c>
      <c r="L52" s="176" t="s">
        <v>382</v>
      </c>
      <c r="M52" s="174" t="s">
        <v>439</v>
      </c>
      <c r="N52" s="55" t="s">
        <v>195</v>
      </c>
    </row>
    <row r="53" spans="1:14" ht="46" thickBot="1" x14ac:dyDescent="0.35">
      <c r="A53" s="77" t="s">
        <v>196</v>
      </c>
      <c r="B53" s="78">
        <f>floors!$C$2</f>
        <v>39006</v>
      </c>
      <c r="C53" s="79" t="str">
        <f ca="1">VLOOKUP($B53,OFFSET([2]quests!$A$1,0,0,COUNTA([2]quests!$A:$A),MATCH(stage_hints_complete!C$1,[2]quests!$1:$1,0)-MATCH(stage_hints_complete!$B$1,[2]quests!$1:$1,0)+1),MATCH(stage_hints_complete!C$1,[2]quests!$1:$1,0)-MATCH(stage_hints_complete!$B$1,[2]quests!$1:$1,0)+1,FALSE)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3" s="79" t="str">
        <f ca="1">VLOOKUP($B53,OFFSET([2]quests!$A$1,0,0,COUNTA([2]quests!$A:$A),MATCH(stage_hints_complete!D$1,[2]quests!$1:$1,0)-MATCH(stage_hints_complete!$B$1,[2]quests!$1:$1,0)+1),MATCH(stage_hints_complete!D$1,[2]quests!$1:$1,0)-MATCH(stage_hints_complete!$B$1,[2]quests!$1:$1,0)+1,FALSE)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3" s="83">
        <v>4</v>
      </c>
      <c r="F53" s="79" t="str">
        <f ca="1">VLOOKUP($B53&amp;"_"&amp;$E53,OFFSET([2]stages!$A$1,0,0,COUNTA([2]stages!$A:$A),MATCH(stage_hints_complete!F$1,[2]stages!$2:$2,0)-MATCH("temp_stage",[2]stages!$2:$2,0)+1),MATCH(stage_hints_complete!F$1,[2]stages!$2:$2,0)-MATCH("temp_stage",[2]stages!$2:$2,0)+1,FALSE)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3" s="79" t="str">
        <f ca="1">VLOOKUP($B53&amp;"_"&amp;$E53,OFFSET([2]stages!$A$1,0,0,COUNTA([2]stages!$A:$A),MATCH(stage_hints_complete!G$1,[2]stages!$2:$2,0)-MATCH("temp_stage",[2]stages!$2:$2,0)+1),MATCH(stage_hints_complete!G$1,[2]stages!$2:$2,0)-MATCH("temp_stage",[2]stages!$2:$2,0)+1,FALSE)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3" s="81">
        <v>0</v>
      </c>
      <c r="I53" s="158">
        <f t="shared" si="0"/>
        <v>52</v>
      </c>
      <c r="J53" s="159" t="str">
        <f t="shared" si="6"/>
        <v>3900652</v>
      </c>
      <c r="K53" s="80" t="s">
        <v>128</v>
      </c>
      <c r="L53" s="176" t="s">
        <v>449</v>
      </c>
      <c r="M53" s="174" t="s">
        <v>444</v>
      </c>
      <c r="N53" s="55" t="s">
        <v>195</v>
      </c>
    </row>
    <row r="54" spans="1:14" ht="46" thickBot="1" x14ac:dyDescent="0.35">
      <c r="A54" s="77" t="s">
        <v>196</v>
      </c>
      <c r="B54" s="78">
        <f>floors!$C$2</f>
        <v>39006</v>
      </c>
      <c r="C54" s="79" t="str">
        <f ca="1">VLOOKUP($B54,OFFSET([2]quests!$A$1,0,0,COUNTA([2]quests!$A:$A),MATCH(stage_hints_complete!C$1,[2]quests!$1:$1,0)-MATCH(stage_hints_complete!$B$1,[2]quests!$1:$1,0)+1),MATCH(stage_hints_complete!C$1,[2]quests!$1:$1,0)-MATCH(stage_hints_complete!$B$1,[2]quests!$1:$1,0)+1,FALSE)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4" s="79" t="str">
        <f ca="1">VLOOKUP($B54,OFFSET([2]quests!$A$1,0,0,COUNTA([2]quests!$A:$A),MATCH(stage_hints_complete!D$1,[2]quests!$1:$1,0)-MATCH(stage_hints_complete!$B$1,[2]quests!$1:$1,0)+1),MATCH(stage_hints_complete!D$1,[2]quests!$1:$1,0)-MATCH(stage_hints_complete!$B$1,[2]quests!$1:$1,0)+1,FALSE)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4" s="83">
        <v>4</v>
      </c>
      <c r="F54" s="79" t="str">
        <f ca="1">VLOOKUP($B54&amp;"_"&amp;$E54,OFFSET([2]stages!$A$1,0,0,COUNTA([2]stages!$A:$A),MATCH(stage_hints_complete!F$1,[2]stages!$2:$2,0)-MATCH("temp_stage",[2]stages!$2:$2,0)+1),MATCH(stage_hints_complete!F$1,[2]stages!$2:$2,0)-MATCH("temp_stage",[2]stages!$2:$2,0)+1,FALSE)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4" s="79" t="str">
        <f ca="1">VLOOKUP($B54&amp;"_"&amp;$E54,OFFSET([2]stages!$A$1,0,0,COUNTA([2]stages!$A:$A),MATCH(stage_hints_complete!G$1,[2]stages!$2:$2,0)-MATCH("temp_stage",[2]stages!$2:$2,0)+1),MATCH(stage_hints_complete!G$1,[2]stages!$2:$2,0)-MATCH("temp_stage",[2]stages!$2:$2,0)+1,FALSE)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4" s="81">
        <v>0</v>
      </c>
      <c r="I54" s="158">
        <f t="shared" si="0"/>
        <v>53</v>
      </c>
      <c r="J54" s="159" t="str">
        <f t="shared" si="6"/>
        <v>3900653</v>
      </c>
      <c r="K54" s="80" t="s">
        <v>128</v>
      </c>
      <c r="L54" s="176" t="s">
        <v>450</v>
      </c>
      <c r="M54" s="174" t="s">
        <v>552</v>
      </c>
      <c r="N54" s="55" t="s">
        <v>195</v>
      </c>
    </row>
    <row r="55" spans="1:14" ht="46" thickBot="1" x14ac:dyDescent="0.35">
      <c r="A55" s="77" t="s">
        <v>196</v>
      </c>
      <c r="B55" s="78">
        <f>floors!$C$2</f>
        <v>39006</v>
      </c>
      <c r="C55" s="79" t="str">
        <f ca="1">VLOOKUP($B55,OFFSET([2]quests!$A$1,0,0,COUNTA([2]quests!$A:$A),MATCH(stage_hints_complete!C$1,[2]quests!$1:$1,0)-MATCH(stage_hints_complete!$B$1,[2]quests!$1:$1,0)+1),MATCH(stage_hints_complete!C$1,[2]quests!$1:$1,0)-MATCH(stage_hints_complete!$B$1,[2]quests!$1:$1,0)+1,FALSE)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5" s="79" t="str">
        <f ca="1">VLOOKUP($B55,OFFSET([2]quests!$A$1,0,0,COUNTA([2]quests!$A:$A),MATCH(stage_hints_complete!D$1,[2]quests!$1:$1,0)-MATCH(stage_hints_complete!$B$1,[2]quests!$1:$1,0)+1),MATCH(stage_hints_complete!D$1,[2]quests!$1:$1,0)-MATCH(stage_hints_complete!$B$1,[2]quests!$1:$1,0)+1,FALSE)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5" s="83">
        <v>4</v>
      </c>
      <c r="F55" s="79" t="str">
        <f ca="1">VLOOKUP($B55&amp;"_"&amp;$E55,OFFSET([2]stages!$A$1,0,0,COUNTA([2]stages!$A:$A),MATCH(stage_hints_complete!F$1,[2]stages!$2:$2,0)-MATCH("temp_stage",[2]stages!$2:$2,0)+1),MATCH(stage_hints_complete!F$1,[2]stages!$2:$2,0)-MATCH("temp_stage",[2]stages!$2:$2,0)+1,FALSE)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5" s="79" t="str">
        <f ca="1">VLOOKUP($B55&amp;"_"&amp;$E55,OFFSET([2]stages!$A$1,0,0,COUNTA([2]stages!$A:$A),MATCH(stage_hints_complete!G$1,[2]stages!$2:$2,0)-MATCH("temp_stage",[2]stages!$2:$2,0)+1),MATCH(stage_hints_complete!G$1,[2]stages!$2:$2,0)-MATCH("temp_stage",[2]stages!$2:$2,0)+1,FALSE)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5" s="81">
        <v>0</v>
      </c>
      <c r="I55" s="158">
        <f t="shared" si="0"/>
        <v>54</v>
      </c>
      <c r="J55" s="159" t="str">
        <f t="shared" si="6"/>
        <v>3900654</v>
      </c>
      <c r="K55" s="80" t="s">
        <v>128</v>
      </c>
      <c r="L55" s="176" t="s">
        <v>451</v>
      </c>
      <c r="M55" s="174" t="s">
        <v>445</v>
      </c>
      <c r="N55" s="55" t="s">
        <v>195</v>
      </c>
    </row>
    <row r="56" spans="1:14" ht="46" thickBot="1" x14ac:dyDescent="0.35">
      <c r="A56" s="77" t="s">
        <v>196</v>
      </c>
      <c r="B56" s="78">
        <f>floors!$C$2</f>
        <v>39006</v>
      </c>
      <c r="C56" s="79" t="str">
        <f ca="1">VLOOKUP($B56,OFFSET([2]quests!$A$1,0,0,COUNTA([2]quests!$A:$A),MATCH(stage_hints_complete!C$1,[2]quests!$1:$1,0)-MATCH(stage_hints_complete!$B$1,[2]quests!$1:$1,0)+1),MATCH(stage_hints_complete!C$1,[2]quests!$1:$1,0)-MATCH(stage_hints_complete!$B$1,[2]quests!$1:$1,0)+1,FALSE)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6" s="79" t="str">
        <f ca="1">VLOOKUP($B56,OFFSET([2]quests!$A$1,0,0,COUNTA([2]quests!$A:$A),MATCH(stage_hints_complete!D$1,[2]quests!$1:$1,0)-MATCH(stage_hints_complete!$B$1,[2]quests!$1:$1,0)+1),MATCH(stage_hints_complete!D$1,[2]quests!$1:$1,0)-MATCH(stage_hints_complete!$B$1,[2]quests!$1:$1,0)+1,FALSE)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6" s="83">
        <v>4</v>
      </c>
      <c r="F56" s="79" t="str">
        <f ca="1">VLOOKUP($B56&amp;"_"&amp;$E56,OFFSET([2]stages!$A$1,0,0,COUNTA([2]stages!$A:$A),MATCH(stage_hints_complete!F$1,[2]stages!$2:$2,0)-MATCH("temp_stage",[2]stages!$2:$2,0)+1),MATCH(stage_hints_complete!F$1,[2]stages!$2:$2,0)-MATCH("temp_stage",[2]stages!$2:$2,0)+1,FALSE)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6" s="79" t="str">
        <f ca="1">VLOOKUP($B56&amp;"_"&amp;$E56,OFFSET([2]stages!$A$1,0,0,COUNTA([2]stages!$A:$A),MATCH(stage_hints_complete!G$1,[2]stages!$2:$2,0)-MATCH("temp_stage",[2]stages!$2:$2,0)+1),MATCH(stage_hints_complete!G$1,[2]stages!$2:$2,0)-MATCH("temp_stage",[2]stages!$2:$2,0)+1,FALSE)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6" s="81">
        <v>0</v>
      </c>
      <c r="I56" s="158">
        <f t="shared" si="0"/>
        <v>55</v>
      </c>
      <c r="J56" s="159" t="str">
        <f t="shared" si="6"/>
        <v>3900655</v>
      </c>
      <c r="K56" s="80" t="s">
        <v>128</v>
      </c>
      <c r="L56" s="176" t="s">
        <v>384</v>
      </c>
      <c r="M56" s="173" t="s">
        <v>386</v>
      </c>
      <c r="N56" s="55" t="s">
        <v>195</v>
      </c>
    </row>
    <row r="57" spans="1:14" ht="46" thickBot="1" x14ac:dyDescent="0.35">
      <c r="A57" s="77" t="s">
        <v>196</v>
      </c>
      <c r="B57" s="78">
        <f>floors!$C$2</f>
        <v>39006</v>
      </c>
      <c r="C57" s="79" t="str">
        <f ca="1">VLOOKUP($B57,OFFSET([2]quests!$A$1,0,0,COUNTA([2]quests!$A:$A),MATCH(stage_hints_complete!C$1,[2]quests!$1:$1,0)-MATCH(stage_hints_complete!$B$1,[2]quests!$1:$1,0)+1),MATCH(stage_hints_complete!C$1,[2]quests!$1:$1,0)-MATCH(stage_hints_complete!$B$1,[2]quests!$1:$1,0)+1,FALSE)</f>
        <v>シガンシナ区攻防戦</v>
      </c>
      <c r="D57" s="79" t="str">
        <f ca="1">VLOOKUP($B57,OFFSET([2]quests!$A$1,0,0,COUNTA([2]quests!$A:$A),MATCH(stage_hints_complete!D$1,[2]quests!$1:$1,0)-MATCH(stage_hints_complete!$B$1,[2]quests!$1:$1,0)+1),MATCH(stage_hints_complete!D$1,[2]quests!$1:$1,0)-MATCH(stage_hints_complete!$B$1,[2]quests!$1:$1,0)+1,FALSE)</f>
        <v>コラボクエスト</v>
      </c>
      <c r="E57" s="83">
        <v>4</v>
      </c>
      <c r="F57" s="79" t="str">
        <f ca="1">VLOOKUP($B57&amp;"_"&amp;$E57,OFFSET([2]stages!$A$1,0,0,COUNTA([2]stages!$A:$A),MATCH(stage_hints_complete!F$1,[2]stages!$2:$2,0)-MATCH("temp_stage",[2]stages!$2:$2,0)+1),MATCH(stage_hints_complete!F$1,[2]stages!$2:$2,0)-MATCH("temp_stage",[2]stages!$2:$2,0)+1,FALSE)</f>
        <v>【超級】シガンシナ区攻防戦</v>
      </c>
      <c r="G57" s="79" t="str">
        <f ca="1">VLOOKUP($B57&amp;"_"&amp;$E57,OFFSET([2]stages!$A$1,0,0,COUNTA([2]stages!$A:$A),MATCH(stage_hints_complete!G$1,[2]stages!$2:$2,0)-MATCH("temp_stage",[2]stages!$2:$2,0)+1),MATCH(stage_hints_complete!G$1,[2]stages!$2:$2,0)-MATCH("temp_stage",[2]stages!$2:$2,0)+1,FALSE)</f>
        <v>コラボクエスト</v>
      </c>
      <c r="H57" s="81">
        <v>0</v>
      </c>
      <c r="I57" s="158">
        <f t="shared" si="0"/>
        <v>56</v>
      </c>
      <c r="J57" s="159" t="str">
        <f t="shared" si="6"/>
        <v>3900656</v>
      </c>
      <c r="K57" s="80" t="s">
        <v>128</v>
      </c>
      <c r="L57" s="176" t="s">
        <v>385</v>
      </c>
      <c r="M57" s="173" t="s">
        <v>387</v>
      </c>
      <c r="N57" s="55" t="s">
        <v>195</v>
      </c>
    </row>
  </sheetData>
  <phoneticPr fontId="6"/>
  <dataValidations count="1">
    <dataValidation type="list" allowBlank="1" showInputMessage="1" showErrorMessage="1" sqref="A2:A5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  <outlinePr summaryBelow="0" summaryRight="0"/>
  </sheetPr>
  <dimension ref="A1:X1"/>
  <sheetViews>
    <sheetView showGridLines="0" workbookViewId="0">
      <pane ySplit="1" topLeftCell="A5" activePane="bottomLeft" state="frozen"/>
      <selection pane="bottomLeft" activeCell="I46" sqref="I4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78" t="s">
        <v>419</v>
      </c>
      <c r="B1" s="179" t="s">
        <v>420</v>
      </c>
      <c r="C1" s="73" t="s">
        <v>421</v>
      </c>
      <c r="D1" s="73" t="s">
        <v>33</v>
      </c>
      <c r="E1" s="179" t="s">
        <v>422</v>
      </c>
      <c r="F1" s="73" t="s">
        <v>421</v>
      </c>
      <c r="G1" s="73" t="s">
        <v>33</v>
      </c>
      <c r="H1" s="179" t="s">
        <v>423</v>
      </c>
      <c r="I1" s="179" t="s">
        <v>424</v>
      </c>
      <c r="J1" s="179" t="s">
        <v>425</v>
      </c>
      <c r="K1" s="69" t="s">
        <v>426</v>
      </c>
      <c r="L1" s="69" t="s">
        <v>427</v>
      </c>
      <c r="M1" s="69" t="s">
        <v>428</v>
      </c>
      <c r="N1" s="73" t="s">
        <v>421</v>
      </c>
      <c r="O1" s="69" t="s">
        <v>429</v>
      </c>
      <c r="P1" s="69" t="s">
        <v>430</v>
      </c>
      <c r="Q1" s="69" t="s">
        <v>431</v>
      </c>
      <c r="R1" s="69" t="s">
        <v>432</v>
      </c>
      <c r="S1" s="69" t="s">
        <v>433</v>
      </c>
      <c r="T1" s="69" t="s">
        <v>434</v>
      </c>
      <c r="U1" s="69" t="s">
        <v>435</v>
      </c>
      <c r="V1" s="69" t="s">
        <v>436</v>
      </c>
      <c r="W1" s="69" t="s">
        <v>437</v>
      </c>
      <c r="X1" s="69" t="s">
        <v>438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2016-08-16T12:36:45Z</dcterms:modified>
</cp:coreProperties>
</file>