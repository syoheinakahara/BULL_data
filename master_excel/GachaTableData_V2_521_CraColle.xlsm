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BULL_data/master_excel/"/>
    </mc:Choice>
  </mc:AlternateContent>
  <bookViews>
    <workbookView xWindow="0" yWindow="460" windowWidth="25600" windowHeight="14180" tabRatio="943" activeTab="3"/>
  </bookViews>
  <sheets>
    <sheet name="確率の考え方" sheetId="110" r:id="rId1"/>
    <sheet name="Sheet1" sheetId="107" r:id="rId2"/>
    <sheet name="output" sheetId="103" r:id="rId3"/>
    <sheet name="input_521010" sheetId="157" r:id="rId4"/>
    <sheet name="tables_521010" sheetId="158" r:id="rId5"/>
    <sheet name="input_521100" sheetId="153" r:id="rId6"/>
    <sheet name="tables_521100" sheetId="15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tables_521010!$A$1:$V$294</definedName>
    <definedName name="_xlnm._FilterDatabase" localSheetId="6" hidden="1">tables_521100!$A$1:$V$294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7" i="157" l="1"/>
  <c r="N6" i="157"/>
  <c r="N5" i="157"/>
  <c r="N8" i="157"/>
  <c r="N5" i="153"/>
  <c r="N6" i="153"/>
  <c r="B46" i="153"/>
  <c r="N8" i="153"/>
  <c r="N7" i="153"/>
  <c r="I320" i="158"/>
  <c r="D320" i="158"/>
  <c r="J320" i="158"/>
  <c r="E320" i="158"/>
  <c r="F320" i="158"/>
  <c r="C320" i="158"/>
  <c r="H320" i="158"/>
  <c r="K320" i="158"/>
  <c r="L320" i="158"/>
  <c r="M320" i="158"/>
  <c r="N320" i="158"/>
  <c r="A2" i="157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2" i="158"/>
  <c r="D2" i="158"/>
  <c r="J2" i="158"/>
  <c r="E2" i="158"/>
  <c r="F2" i="158"/>
  <c r="C2" i="158"/>
  <c r="I3" i="158"/>
  <c r="D3" i="158"/>
  <c r="J3" i="158"/>
  <c r="E3" i="158"/>
  <c r="F3" i="158"/>
  <c r="C3" i="158"/>
  <c r="I4" i="158"/>
  <c r="D4" i="158"/>
  <c r="J4" i="158"/>
  <c r="E4" i="158"/>
  <c r="F4" i="158"/>
  <c r="C4" i="158"/>
  <c r="I5" i="158"/>
  <c r="D5" i="158"/>
  <c r="J5" i="158"/>
  <c r="E5" i="158"/>
  <c r="F5" i="158"/>
  <c r="C5" i="158"/>
  <c r="I6" i="158"/>
  <c r="D6" i="158"/>
  <c r="J6" i="158"/>
  <c r="E6" i="158"/>
  <c r="F6" i="158"/>
  <c r="C6" i="158"/>
  <c r="I7" i="158"/>
  <c r="D7" i="158"/>
  <c r="J7" i="158"/>
  <c r="E7" i="158"/>
  <c r="F7" i="158"/>
  <c r="C7" i="158"/>
  <c r="I8" i="158"/>
  <c r="D8" i="158"/>
  <c r="J8" i="158"/>
  <c r="E8" i="158"/>
  <c r="F8" i="158"/>
  <c r="C8" i="158"/>
  <c r="I9" i="158"/>
  <c r="D9" i="158"/>
  <c r="J9" i="158"/>
  <c r="E9" i="158"/>
  <c r="F9" i="158"/>
  <c r="C9" i="158"/>
  <c r="I10" i="158"/>
  <c r="D10" i="158"/>
  <c r="J10" i="158"/>
  <c r="E10" i="158"/>
  <c r="F10" i="158"/>
  <c r="C10" i="158"/>
  <c r="I11" i="158"/>
  <c r="D11" i="158"/>
  <c r="J11" i="158"/>
  <c r="E11" i="158"/>
  <c r="F11" i="158"/>
  <c r="C11" i="158"/>
  <c r="I12" i="158"/>
  <c r="D12" i="158"/>
  <c r="J12" i="158"/>
  <c r="E12" i="158"/>
  <c r="F12" i="158"/>
  <c r="C12" i="158"/>
  <c r="I13" i="158"/>
  <c r="D13" i="158"/>
  <c r="J13" i="158"/>
  <c r="E13" i="158"/>
  <c r="F13" i="158"/>
  <c r="C13" i="158"/>
  <c r="I14" i="158"/>
  <c r="D14" i="158"/>
  <c r="J14" i="158"/>
  <c r="E14" i="158"/>
  <c r="F14" i="158"/>
  <c r="C14" i="158"/>
  <c r="I15" i="158"/>
  <c r="D15" i="158"/>
  <c r="J15" i="158"/>
  <c r="E15" i="158"/>
  <c r="F15" i="158"/>
  <c r="C15" i="158"/>
  <c r="I16" i="158"/>
  <c r="D16" i="158"/>
  <c r="J16" i="158"/>
  <c r="E16" i="158"/>
  <c r="F16" i="158"/>
  <c r="C16" i="158"/>
  <c r="I17" i="158"/>
  <c r="D17" i="158"/>
  <c r="J17" i="158"/>
  <c r="E17" i="158"/>
  <c r="F17" i="158"/>
  <c r="C17" i="158"/>
  <c r="I18" i="158"/>
  <c r="D18" i="158"/>
  <c r="J18" i="158"/>
  <c r="E18" i="158"/>
  <c r="F18" i="158"/>
  <c r="C18" i="158"/>
  <c r="I19" i="158"/>
  <c r="D19" i="158"/>
  <c r="J19" i="158"/>
  <c r="E19" i="158"/>
  <c r="F19" i="158"/>
  <c r="C19" i="158"/>
  <c r="I20" i="158"/>
  <c r="D20" i="158"/>
  <c r="J20" i="158"/>
  <c r="E20" i="158"/>
  <c r="F20" i="158"/>
  <c r="C20" i="158"/>
  <c r="I21" i="158"/>
  <c r="D21" i="158"/>
  <c r="J21" i="158"/>
  <c r="E21" i="158"/>
  <c r="F21" i="158"/>
  <c r="C21" i="158"/>
  <c r="I22" i="158"/>
  <c r="D22" i="158"/>
  <c r="J22" i="158"/>
  <c r="E22" i="158"/>
  <c r="F22" i="158"/>
  <c r="C22" i="158"/>
  <c r="I23" i="158"/>
  <c r="D23" i="158"/>
  <c r="J23" i="158"/>
  <c r="E23" i="158"/>
  <c r="F23" i="158"/>
  <c r="C23" i="158"/>
  <c r="I24" i="158"/>
  <c r="D24" i="158"/>
  <c r="J24" i="158"/>
  <c r="E24" i="158"/>
  <c r="F24" i="158"/>
  <c r="C24" i="158"/>
  <c r="I25" i="158"/>
  <c r="D25" i="158"/>
  <c r="J25" i="158"/>
  <c r="E25" i="158"/>
  <c r="F25" i="158"/>
  <c r="C25" i="158"/>
  <c r="I26" i="158"/>
  <c r="D26" i="158"/>
  <c r="J26" i="158"/>
  <c r="E26" i="158"/>
  <c r="F26" i="158"/>
  <c r="C26" i="158"/>
  <c r="I27" i="158"/>
  <c r="D27" i="158"/>
  <c r="J27" i="158"/>
  <c r="E27" i="158"/>
  <c r="F27" i="158"/>
  <c r="C27" i="158"/>
  <c r="I28" i="158"/>
  <c r="D28" i="158"/>
  <c r="J28" i="158"/>
  <c r="E28" i="158"/>
  <c r="F28" i="158"/>
  <c r="C28" i="158"/>
  <c r="I29" i="158"/>
  <c r="D29" i="158"/>
  <c r="J29" i="158"/>
  <c r="E29" i="158"/>
  <c r="F29" i="158"/>
  <c r="C29" i="158"/>
  <c r="I30" i="158"/>
  <c r="D30" i="158"/>
  <c r="J30" i="158"/>
  <c r="E30" i="158"/>
  <c r="F30" i="158"/>
  <c r="C30" i="158"/>
  <c r="I31" i="158"/>
  <c r="D31" i="158"/>
  <c r="J31" i="158"/>
  <c r="E31" i="158"/>
  <c r="F31" i="158"/>
  <c r="C31" i="158"/>
  <c r="I32" i="158"/>
  <c r="D32" i="158"/>
  <c r="J32" i="158"/>
  <c r="E32" i="158"/>
  <c r="F32" i="158"/>
  <c r="C32" i="158"/>
  <c r="I33" i="158"/>
  <c r="D33" i="158"/>
  <c r="J33" i="158"/>
  <c r="E33" i="158"/>
  <c r="F33" i="158"/>
  <c r="C33" i="158"/>
  <c r="I34" i="158"/>
  <c r="D34" i="158"/>
  <c r="J34" i="158"/>
  <c r="E34" i="158"/>
  <c r="F34" i="158"/>
  <c r="C34" i="158"/>
  <c r="I35" i="158"/>
  <c r="D35" i="158"/>
  <c r="J35" i="158"/>
  <c r="E35" i="158"/>
  <c r="F35" i="158"/>
  <c r="C35" i="158"/>
  <c r="I36" i="158"/>
  <c r="D36" i="158"/>
  <c r="J36" i="158"/>
  <c r="E36" i="158"/>
  <c r="F36" i="158"/>
  <c r="C36" i="158"/>
  <c r="I37" i="158"/>
  <c r="D37" i="158"/>
  <c r="J37" i="158"/>
  <c r="E37" i="158"/>
  <c r="F37" i="158"/>
  <c r="C37" i="158"/>
  <c r="I38" i="158"/>
  <c r="D38" i="158"/>
  <c r="J38" i="158"/>
  <c r="E38" i="158"/>
  <c r="F38" i="158"/>
  <c r="C38" i="158"/>
  <c r="I39" i="158"/>
  <c r="D39" i="158"/>
  <c r="J39" i="158"/>
  <c r="E39" i="158"/>
  <c r="F39" i="158"/>
  <c r="C39" i="158"/>
  <c r="I40" i="158"/>
  <c r="D40" i="158"/>
  <c r="J40" i="158"/>
  <c r="E40" i="158"/>
  <c r="F40" i="158"/>
  <c r="C40" i="158"/>
  <c r="I41" i="158"/>
  <c r="D41" i="158"/>
  <c r="J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D215" i="158"/>
  <c r="J215" i="158"/>
  <c r="E215" i="158"/>
  <c r="F215" i="158"/>
  <c r="C215" i="158"/>
  <c r="I216" i="158"/>
  <c r="D216" i="158"/>
  <c r="J216" i="158"/>
  <c r="E216" i="158"/>
  <c r="F216" i="158"/>
  <c r="C216" i="158"/>
  <c r="I217" i="158"/>
  <c r="D217" i="158"/>
  <c r="J217" i="158"/>
  <c r="E217" i="158"/>
  <c r="F217" i="158"/>
  <c r="C217" i="158"/>
  <c r="I218" i="158"/>
  <c r="D218" i="158"/>
  <c r="J218" i="158"/>
  <c r="E218" i="158"/>
  <c r="F218" i="158"/>
  <c r="C218" i="158"/>
  <c r="I219" i="158"/>
  <c r="D219" i="158"/>
  <c r="J219" i="158"/>
  <c r="E219" i="158"/>
  <c r="F219" i="158"/>
  <c r="C219" i="158"/>
  <c r="I220" i="158"/>
  <c r="D220" i="158"/>
  <c r="J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F5" i="157"/>
  <c r="F6" i="157"/>
  <c r="A36" i="157"/>
  <c r="B10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2" i="157"/>
  <c r="E23" i="157"/>
  <c r="B23" i="157"/>
  <c r="B22" i="157"/>
  <c r="G22" i="157"/>
  <c r="H22" i="157"/>
  <c r="O320" i="158"/>
  <c r="E17" i="157"/>
  <c r="B5" i="157"/>
  <c r="B17" i="157"/>
  <c r="G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E24" i="157"/>
  <c r="B24" i="157"/>
  <c r="G24" i="157"/>
  <c r="H24" i="157"/>
  <c r="O42" i="158"/>
  <c r="E25" i="157"/>
  <c r="B6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E19" i="157"/>
  <c r="B19" i="157"/>
  <c r="G19" i="157"/>
  <c r="H19" i="157"/>
  <c r="O51" i="158"/>
  <c r="E20" i="157"/>
  <c r="B20" i="157"/>
  <c r="G20" i="157"/>
  <c r="H20" i="157"/>
  <c r="O52" i="158"/>
  <c r="E21" i="157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5" i="157"/>
  <c r="E27" i="157"/>
  <c r="E28" i="157"/>
  <c r="B28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R5" i="157"/>
  <c r="O189" i="158"/>
  <c r="R6" i="157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R7" i="157"/>
  <c r="O213" i="158"/>
  <c r="R8" i="157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G23" i="157"/>
  <c r="H23" i="157"/>
  <c r="O257" i="158"/>
  <c r="O258" i="158"/>
  <c r="O259" i="158"/>
  <c r="E29" i="157"/>
  <c r="B29" i="157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R3" i="157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R4" i="157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P320" i="158"/>
  <c r="H321" i="158"/>
  <c r="K321" i="158"/>
  <c r="L321" i="158"/>
  <c r="M321" i="158"/>
  <c r="N321" i="158"/>
  <c r="P321" i="158"/>
  <c r="H322" i="158"/>
  <c r="K322" i="158"/>
  <c r="L322" i="158"/>
  <c r="M322" i="158"/>
  <c r="N322" i="158"/>
  <c r="P322" i="158"/>
  <c r="H323" i="158"/>
  <c r="K323" i="158"/>
  <c r="L323" i="158"/>
  <c r="M323" i="158"/>
  <c r="N323" i="158"/>
  <c r="P323" i="158"/>
  <c r="H324" i="158"/>
  <c r="K324" i="158"/>
  <c r="L324" i="158"/>
  <c r="M324" i="158"/>
  <c r="N324" i="158"/>
  <c r="P324" i="158"/>
  <c r="H325" i="158"/>
  <c r="K325" i="158"/>
  <c r="L325" i="158"/>
  <c r="M325" i="158"/>
  <c r="N325" i="158"/>
  <c r="P325" i="158"/>
  <c r="H326" i="158"/>
  <c r="K326" i="158"/>
  <c r="L326" i="158"/>
  <c r="M326" i="158"/>
  <c r="N326" i="158"/>
  <c r="P326" i="158"/>
  <c r="H327" i="158"/>
  <c r="K327" i="158"/>
  <c r="L327" i="158"/>
  <c r="M327" i="158"/>
  <c r="N327" i="158"/>
  <c r="P327" i="158"/>
  <c r="H328" i="158"/>
  <c r="K328" i="158"/>
  <c r="L328" i="158"/>
  <c r="M328" i="158"/>
  <c r="N328" i="158"/>
  <c r="P328" i="158"/>
  <c r="H329" i="158"/>
  <c r="K329" i="158"/>
  <c r="L329" i="158"/>
  <c r="M329" i="158"/>
  <c r="N329" i="158"/>
  <c r="P329" i="158"/>
  <c r="H330" i="158"/>
  <c r="K330" i="158"/>
  <c r="L330" i="158"/>
  <c r="M330" i="158"/>
  <c r="N330" i="158"/>
  <c r="P330" i="158"/>
  <c r="H331" i="158"/>
  <c r="K331" i="158"/>
  <c r="L331" i="158"/>
  <c r="M331" i="158"/>
  <c r="N331" i="158"/>
  <c r="P331" i="158"/>
  <c r="H332" i="158"/>
  <c r="K332" i="158"/>
  <c r="L332" i="158"/>
  <c r="M332" i="158"/>
  <c r="N332" i="158"/>
  <c r="P332" i="158"/>
  <c r="H333" i="158"/>
  <c r="K333" i="158"/>
  <c r="L333" i="158"/>
  <c r="M333" i="158"/>
  <c r="N333" i="158"/>
  <c r="P333" i="158"/>
  <c r="H334" i="158"/>
  <c r="K334" i="158"/>
  <c r="L334" i="158"/>
  <c r="M334" i="158"/>
  <c r="N334" i="158"/>
  <c r="P334" i="158"/>
  <c r="H335" i="158"/>
  <c r="K335" i="158"/>
  <c r="L335" i="158"/>
  <c r="M335" i="158"/>
  <c r="N335" i="158"/>
  <c r="P335" i="158"/>
  <c r="H336" i="158"/>
  <c r="K336" i="158"/>
  <c r="L336" i="158"/>
  <c r="M336" i="158"/>
  <c r="N336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H341" i="158"/>
  <c r="K341" i="158"/>
  <c r="L341" i="158"/>
  <c r="M341" i="158"/>
  <c r="N341" i="158"/>
  <c r="P341" i="158"/>
  <c r="H342" i="158"/>
  <c r="K342" i="158"/>
  <c r="L342" i="158"/>
  <c r="M342" i="158"/>
  <c r="N342" i="158"/>
  <c r="P342" i="158"/>
  <c r="H343" i="158"/>
  <c r="K343" i="158"/>
  <c r="L343" i="158"/>
  <c r="M343" i="158"/>
  <c r="N343" i="158"/>
  <c r="P343" i="158"/>
  <c r="H344" i="158"/>
  <c r="K344" i="158"/>
  <c r="L344" i="158"/>
  <c r="M344" i="158"/>
  <c r="N344" i="158"/>
  <c r="P344" i="158"/>
  <c r="I320" i="154"/>
  <c r="D320" i="154"/>
  <c r="J320" i="154"/>
  <c r="E320" i="154"/>
  <c r="F320" i="154"/>
  <c r="C320" i="154"/>
  <c r="H320" i="154"/>
  <c r="K320" i="154"/>
  <c r="L320" i="154"/>
  <c r="M320" i="154"/>
  <c r="N320" i="154"/>
  <c r="A2" i="153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2" i="154"/>
  <c r="D2" i="154"/>
  <c r="J2" i="154"/>
  <c r="E2" i="154"/>
  <c r="F2" i="154"/>
  <c r="C2" i="154"/>
  <c r="I3" i="154"/>
  <c r="D3" i="154"/>
  <c r="J3" i="154"/>
  <c r="E3" i="154"/>
  <c r="F3" i="154"/>
  <c r="C3" i="154"/>
  <c r="I4" i="154"/>
  <c r="D4" i="154"/>
  <c r="J4" i="154"/>
  <c r="E4" i="154"/>
  <c r="F4" i="154"/>
  <c r="C4" i="154"/>
  <c r="I5" i="154"/>
  <c r="D5" i="154"/>
  <c r="J5" i="154"/>
  <c r="E5" i="154"/>
  <c r="F5" i="154"/>
  <c r="C5" i="154"/>
  <c r="I6" i="154"/>
  <c r="D6" i="154"/>
  <c r="J6" i="154"/>
  <c r="E6" i="154"/>
  <c r="F6" i="154"/>
  <c r="C6" i="154"/>
  <c r="I7" i="154"/>
  <c r="D7" i="154"/>
  <c r="J7" i="154"/>
  <c r="E7" i="154"/>
  <c r="F7" i="154"/>
  <c r="C7" i="154"/>
  <c r="I8" i="154"/>
  <c r="D8" i="154"/>
  <c r="J8" i="154"/>
  <c r="E8" i="154"/>
  <c r="F8" i="154"/>
  <c r="C8" i="154"/>
  <c r="I9" i="154"/>
  <c r="D9" i="154"/>
  <c r="J9" i="154"/>
  <c r="E9" i="154"/>
  <c r="F9" i="154"/>
  <c r="C9" i="154"/>
  <c r="I10" i="154"/>
  <c r="D10" i="154"/>
  <c r="J10" i="154"/>
  <c r="E10" i="154"/>
  <c r="F10" i="154"/>
  <c r="C10" i="154"/>
  <c r="I11" i="154"/>
  <c r="D11" i="154"/>
  <c r="J11" i="154"/>
  <c r="E11" i="154"/>
  <c r="F11" i="154"/>
  <c r="C11" i="154"/>
  <c r="I12" i="154"/>
  <c r="D12" i="154"/>
  <c r="J12" i="154"/>
  <c r="E12" i="154"/>
  <c r="F12" i="154"/>
  <c r="C12" i="154"/>
  <c r="I13" i="154"/>
  <c r="D13" i="154"/>
  <c r="J13" i="154"/>
  <c r="E13" i="154"/>
  <c r="F13" i="154"/>
  <c r="C13" i="154"/>
  <c r="I14" i="154"/>
  <c r="D14" i="154"/>
  <c r="J14" i="154"/>
  <c r="E14" i="154"/>
  <c r="F14" i="154"/>
  <c r="C14" i="154"/>
  <c r="I15" i="154"/>
  <c r="D15" i="154"/>
  <c r="J15" i="154"/>
  <c r="E15" i="154"/>
  <c r="F15" i="154"/>
  <c r="C15" i="154"/>
  <c r="I16" i="154"/>
  <c r="D16" i="154"/>
  <c r="J16" i="154"/>
  <c r="E16" i="154"/>
  <c r="F16" i="154"/>
  <c r="C16" i="154"/>
  <c r="I17" i="154"/>
  <c r="D17" i="154"/>
  <c r="J17" i="154"/>
  <c r="E17" i="154"/>
  <c r="F17" i="154"/>
  <c r="C17" i="154"/>
  <c r="I18" i="154"/>
  <c r="D18" i="154"/>
  <c r="J18" i="154"/>
  <c r="E18" i="154"/>
  <c r="F18" i="154"/>
  <c r="C18" i="154"/>
  <c r="I19" i="154"/>
  <c r="D19" i="154"/>
  <c r="J19" i="154"/>
  <c r="E19" i="154"/>
  <c r="F19" i="154"/>
  <c r="C19" i="154"/>
  <c r="I20" i="154"/>
  <c r="D20" i="154"/>
  <c r="J20" i="154"/>
  <c r="E20" i="154"/>
  <c r="F20" i="154"/>
  <c r="C20" i="154"/>
  <c r="I21" i="154"/>
  <c r="D21" i="154"/>
  <c r="J21" i="154"/>
  <c r="E21" i="154"/>
  <c r="F21" i="154"/>
  <c r="C21" i="154"/>
  <c r="I22" i="154"/>
  <c r="D22" i="154"/>
  <c r="J22" i="154"/>
  <c r="E22" i="154"/>
  <c r="F22" i="154"/>
  <c r="C22" i="154"/>
  <c r="I23" i="154"/>
  <c r="D23" i="154"/>
  <c r="J23" i="154"/>
  <c r="E23" i="154"/>
  <c r="F23" i="154"/>
  <c r="C23" i="154"/>
  <c r="I24" i="154"/>
  <c r="D24" i="154"/>
  <c r="J24" i="154"/>
  <c r="E24" i="154"/>
  <c r="F24" i="154"/>
  <c r="C24" i="154"/>
  <c r="I25" i="154"/>
  <c r="D25" i="154"/>
  <c r="J25" i="154"/>
  <c r="E25" i="154"/>
  <c r="F25" i="154"/>
  <c r="C25" i="154"/>
  <c r="I26" i="154"/>
  <c r="D26" i="154"/>
  <c r="J26" i="154"/>
  <c r="E26" i="154"/>
  <c r="F26" i="154"/>
  <c r="C26" i="154"/>
  <c r="I27" i="154"/>
  <c r="D27" i="154"/>
  <c r="J27" i="154"/>
  <c r="E27" i="154"/>
  <c r="F27" i="154"/>
  <c r="C27" i="154"/>
  <c r="I28" i="154"/>
  <c r="D28" i="154"/>
  <c r="J28" i="154"/>
  <c r="E28" i="154"/>
  <c r="F28" i="154"/>
  <c r="C28" i="154"/>
  <c r="I29" i="154"/>
  <c r="D29" i="154"/>
  <c r="J29" i="154"/>
  <c r="E29" i="154"/>
  <c r="F29" i="154"/>
  <c r="C29" i="154"/>
  <c r="I30" i="154"/>
  <c r="D30" i="154"/>
  <c r="J30" i="154"/>
  <c r="E30" i="154"/>
  <c r="F30" i="154"/>
  <c r="C30" i="154"/>
  <c r="I31" i="154"/>
  <c r="D31" i="154"/>
  <c r="J31" i="154"/>
  <c r="E31" i="154"/>
  <c r="F31" i="154"/>
  <c r="C31" i="154"/>
  <c r="I32" i="154"/>
  <c r="D32" i="154"/>
  <c r="J32" i="154"/>
  <c r="E32" i="154"/>
  <c r="F32" i="154"/>
  <c r="C32" i="154"/>
  <c r="I33" i="154"/>
  <c r="D33" i="154"/>
  <c r="J33" i="154"/>
  <c r="E33" i="154"/>
  <c r="F33" i="154"/>
  <c r="C33" i="154"/>
  <c r="I34" i="154"/>
  <c r="D34" i="154"/>
  <c r="J34" i="154"/>
  <c r="E34" i="154"/>
  <c r="F34" i="154"/>
  <c r="C34" i="154"/>
  <c r="I35" i="154"/>
  <c r="D35" i="154"/>
  <c r="J35" i="154"/>
  <c r="E35" i="154"/>
  <c r="F35" i="154"/>
  <c r="C35" i="154"/>
  <c r="I36" i="154"/>
  <c r="D36" i="154"/>
  <c r="J36" i="154"/>
  <c r="E36" i="154"/>
  <c r="F36" i="154"/>
  <c r="C36" i="154"/>
  <c r="I37" i="154"/>
  <c r="D37" i="154"/>
  <c r="J37" i="154"/>
  <c r="E37" i="154"/>
  <c r="F37" i="154"/>
  <c r="C37" i="154"/>
  <c r="I38" i="154"/>
  <c r="D38" i="154"/>
  <c r="J38" i="154"/>
  <c r="E38" i="154"/>
  <c r="F38" i="154"/>
  <c r="C38" i="154"/>
  <c r="I39" i="154"/>
  <c r="D39" i="154"/>
  <c r="J39" i="154"/>
  <c r="E39" i="154"/>
  <c r="F39" i="154"/>
  <c r="C39" i="154"/>
  <c r="I40" i="154"/>
  <c r="D40" i="154"/>
  <c r="J40" i="154"/>
  <c r="E40" i="154"/>
  <c r="F40" i="154"/>
  <c r="C40" i="154"/>
  <c r="I41" i="154"/>
  <c r="D41" i="154"/>
  <c r="J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D215" i="154"/>
  <c r="J215" i="154"/>
  <c r="E215" i="154"/>
  <c r="F215" i="154"/>
  <c r="C215" i="154"/>
  <c r="I216" i="154"/>
  <c r="D216" i="154"/>
  <c r="J216" i="154"/>
  <c r="E216" i="154"/>
  <c r="F216" i="154"/>
  <c r="C216" i="154"/>
  <c r="I217" i="154"/>
  <c r="D217" i="154"/>
  <c r="J217" i="154"/>
  <c r="E217" i="154"/>
  <c r="F217" i="154"/>
  <c r="C217" i="154"/>
  <c r="I218" i="154"/>
  <c r="D218" i="154"/>
  <c r="J218" i="154"/>
  <c r="E218" i="154"/>
  <c r="F218" i="154"/>
  <c r="C218" i="154"/>
  <c r="I219" i="154"/>
  <c r="D219" i="154"/>
  <c r="J219" i="154"/>
  <c r="E219" i="154"/>
  <c r="F219" i="154"/>
  <c r="C219" i="154"/>
  <c r="I220" i="154"/>
  <c r="D220" i="154"/>
  <c r="J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F5" i="153"/>
  <c r="F6" i="153"/>
  <c r="A36" i="153"/>
  <c r="B10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2" i="153"/>
  <c r="E23" i="153"/>
  <c r="B23" i="153"/>
  <c r="B22" i="153"/>
  <c r="G22" i="153"/>
  <c r="H22" i="153"/>
  <c r="O320" i="154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E24" i="153"/>
  <c r="B24" i="153"/>
  <c r="G24" i="153"/>
  <c r="H24" i="153"/>
  <c r="O42" i="154"/>
  <c r="E25" i="153"/>
  <c r="B6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E19" i="153"/>
  <c r="H19" i="153"/>
  <c r="O51" i="154"/>
  <c r="E20" i="153"/>
  <c r="B20" i="153"/>
  <c r="G20" i="153"/>
  <c r="H20" i="153"/>
  <c r="O52" i="154"/>
  <c r="E21" i="153"/>
  <c r="B21" i="153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5" i="153"/>
  <c r="E27" i="153"/>
  <c r="E28" i="153"/>
  <c r="B28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R6" i="153"/>
  <c r="O213" i="154"/>
  <c r="R7" i="153"/>
  <c r="R8" i="153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G23" i="153"/>
  <c r="H23" i="153"/>
  <c r="O257" i="154"/>
  <c r="O258" i="154"/>
  <c r="O259" i="154"/>
  <c r="E29" i="153"/>
  <c r="B29" i="153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R3" i="153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R5" i="153"/>
  <c r="O302" i="154"/>
  <c r="R4" i="153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P320" i="154"/>
  <c r="H321" i="154"/>
  <c r="K321" i="154"/>
  <c r="L321" i="154"/>
  <c r="M321" i="154"/>
  <c r="N321" i="154"/>
  <c r="P321" i="154"/>
  <c r="H322" i="154"/>
  <c r="K322" i="154"/>
  <c r="L322" i="154"/>
  <c r="M322" i="154"/>
  <c r="N322" i="154"/>
  <c r="P322" i="154"/>
  <c r="H323" i="154"/>
  <c r="K323" i="154"/>
  <c r="L323" i="154"/>
  <c r="M323" i="154"/>
  <c r="N323" i="154"/>
  <c r="P323" i="154"/>
  <c r="H324" i="154"/>
  <c r="K324" i="154"/>
  <c r="L324" i="154"/>
  <c r="M324" i="154"/>
  <c r="N324" i="154"/>
  <c r="P324" i="154"/>
  <c r="H325" i="154"/>
  <c r="K325" i="154"/>
  <c r="L325" i="154"/>
  <c r="M325" i="154"/>
  <c r="N325" i="154"/>
  <c r="P325" i="154"/>
  <c r="H326" i="154"/>
  <c r="K326" i="154"/>
  <c r="L326" i="154"/>
  <c r="M326" i="154"/>
  <c r="N326" i="154"/>
  <c r="P326" i="154"/>
  <c r="H327" i="154"/>
  <c r="K327" i="154"/>
  <c r="L327" i="154"/>
  <c r="M327" i="154"/>
  <c r="N327" i="154"/>
  <c r="P327" i="154"/>
  <c r="H328" i="154"/>
  <c r="K328" i="154"/>
  <c r="L328" i="154"/>
  <c r="M328" i="154"/>
  <c r="N328" i="154"/>
  <c r="P328" i="154"/>
  <c r="H329" i="154"/>
  <c r="K329" i="154"/>
  <c r="L329" i="154"/>
  <c r="M329" i="154"/>
  <c r="N329" i="154"/>
  <c r="P329" i="154"/>
  <c r="H330" i="154"/>
  <c r="K330" i="154"/>
  <c r="L330" i="154"/>
  <c r="M330" i="154"/>
  <c r="N330" i="154"/>
  <c r="P330" i="154"/>
  <c r="H331" i="154"/>
  <c r="K331" i="154"/>
  <c r="L331" i="154"/>
  <c r="M331" i="154"/>
  <c r="N331" i="154"/>
  <c r="P331" i="154"/>
  <c r="H332" i="154"/>
  <c r="K332" i="154"/>
  <c r="L332" i="154"/>
  <c r="M332" i="154"/>
  <c r="N332" i="154"/>
  <c r="P332" i="154"/>
  <c r="H333" i="154"/>
  <c r="K333" i="154"/>
  <c r="L333" i="154"/>
  <c r="M333" i="154"/>
  <c r="N333" i="154"/>
  <c r="P333" i="154"/>
  <c r="H334" i="154"/>
  <c r="K334" i="154"/>
  <c r="L334" i="154"/>
  <c r="M334" i="154"/>
  <c r="N334" i="154"/>
  <c r="P334" i="154"/>
  <c r="H335" i="154"/>
  <c r="K335" i="154"/>
  <c r="L335" i="154"/>
  <c r="M335" i="154"/>
  <c r="N335" i="154"/>
  <c r="P335" i="154"/>
  <c r="H336" i="154"/>
  <c r="K336" i="154"/>
  <c r="L336" i="154"/>
  <c r="M336" i="154"/>
  <c r="N336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A320" i="154"/>
  <c r="A321" i="154"/>
  <c r="A322" i="154"/>
  <c r="A323" i="154"/>
  <c r="A324" i="154"/>
  <c r="A325" i="154"/>
  <c r="A326" i="154"/>
  <c r="A327" i="154"/>
  <c r="A328" i="154"/>
  <c r="A329" i="154"/>
  <c r="A330" i="154"/>
  <c r="A331" i="154"/>
  <c r="A332" i="154"/>
  <c r="A333" i="154"/>
  <c r="A334" i="154"/>
  <c r="A335" i="154"/>
  <c r="A336" i="154"/>
  <c r="A337" i="154"/>
  <c r="A338" i="154"/>
  <c r="A339" i="154"/>
  <c r="A340" i="154"/>
  <c r="A341" i="154"/>
  <c r="A342" i="154"/>
  <c r="A343" i="154"/>
  <c r="A344" i="154"/>
  <c r="A319" i="158"/>
  <c r="A320" i="158"/>
  <c r="A321" i="158"/>
  <c r="A322" i="158"/>
  <c r="A323" i="158"/>
  <c r="A324" i="158"/>
  <c r="A325" i="158"/>
  <c r="A326" i="158"/>
  <c r="A327" i="158"/>
  <c r="A328" i="158"/>
  <c r="A329" i="158"/>
  <c r="A330" i="158"/>
  <c r="A331" i="158"/>
  <c r="A332" i="158"/>
  <c r="A333" i="158"/>
  <c r="A334" i="158"/>
  <c r="A335" i="158"/>
  <c r="A336" i="158"/>
  <c r="A337" i="158"/>
  <c r="A338" i="158"/>
  <c r="A339" i="158"/>
  <c r="A340" i="158"/>
  <c r="A341" i="158"/>
  <c r="A342" i="158"/>
  <c r="A343" i="158"/>
  <c r="A344" i="158"/>
  <c r="P319" i="158"/>
  <c r="B30" i="157"/>
  <c r="C27" i="153"/>
  <c r="C28" i="153"/>
  <c r="C29" i="153"/>
  <c r="B30" i="153"/>
  <c r="B32" i="153"/>
  <c r="M7" i="153"/>
  <c r="M6" i="153"/>
  <c r="P7" i="157"/>
  <c r="O7" i="157"/>
  <c r="M7" i="157"/>
  <c r="M5" i="153"/>
  <c r="M4" i="153"/>
  <c r="M3" i="153"/>
  <c r="F50" i="157"/>
  <c r="H315" i="154"/>
  <c r="K315" i="154"/>
  <c r="L315" i="154"/>
  <c r="M315" i="154"/>
  <c r="N315" i="154"/>
  <c r="P315" i="154"/>
  <c r="H316" i="154"/>
  <c r="K316" i="154"/>
  <c r="L316" i="154"/>
  <c r="M316" i="154"/>
  <c r="N316" i="154"/>
  <c r="P316" i="154"/>
  <c r="H317" i="154"/>
  <c r="K317" i="154"/>
  <c r="L317" i="154"/>
  <c r="M317" i="154"/>
  <c r="N317" i="154"/>
  <c r="P317" i="154"/>
  <c r="H318" i="154"/>
  <c r="K318" i="154"/>
  <c r="L318" i="154"/>
  <c r="M318" i="154"/>
  <c r="N318" i="154"/>
  <c r="P318" i="154"/>
  <c r="H319" i="154"/>
  <c r="K319" i="154"/>
  <c r="L319" i="154"/>
  <c r="M319" i="154"/>
  <c r="N319" i="154"/>
  <c r="P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H310" i="154"/>
  <c r="K310" i="154"/>
  <c r="L310" i="154"/>
  <c r="M310" i="154"/>
  <c r="N310" i="154"/>
  <c r="P310" i="154"/>
  <c r="H311" i="154"/>
  <c r="K311" i="154"/>
  <c r="L311" i="154"/>
  <c r="M311" i="154"/>
  <c r="N311" i="154"/>
  <c r="P311" i="154"/>
  <c r="H312" i="154"/>
  <c r="K312" i="154"/>
  <c r="L312" i="154"/>
  <c r="M312" i="154"/>
  <c r="N312" i="154"/>
  <c r="P312" i="154"/>
  <c r="H313" i="154"/>
  <c r="K313" i="154"/>
  <c r="L313" i="154"/>
  <c r="M313" i="154"/>
  <c r="N313" i="154"/>
  <c r="P313" i="154"/>
  <c r="H314" i="154"/>
  <c r="K314" i="154"/>
  <c r="L314" i="154"/>
  <c r="M314" i="154"/>
  <c r="N314" i="154"/>
  <c r="P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C4" i="103"/>
  <c r="E4" i="103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R9" i="153"/>
  <c r="R10" i="153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1" i="157"/>
  <c r="B43" i="157"/>
  <c r="B45" i="157"/>
  <c r="B46" i="157"/>
  <c r="F40" i="157"/>
  <c r="G40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D32" i="153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F41" i="153"/>
  <c r="G41" i="153"/>
  <c r="D21" i="157"/>
  <c r="F21" i="157"/>
  <c r="I21" i="157"/>
  <c r="J21" i="157"/>
  <c r="B44" i="157"/>
  <c r="F42" i="157"/>
  <c r="G42" i="157"/>
  <c r="I27" i="157"/>
  <c r="J27" i="157"/>
  <c r="F27" i="157"/>
  <c r="D27" i="157"/>
  <c r="B32" i="157"/>
  <c r="D32" i="157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F45" i="157"/>
  <c r="F46" i="157"/>
  <c r="B42" i="157"/>
  <c r="B47" i="157"/>
  <c r="C40" i="157"/>
  <c r="C41" i="157"/>
  <c r="C42" i="157"/>
  <c r="C43" i="157"/>
  <c r="C44" i="157"/>
  <c r="C45" i="157"/>
  <c r="C46" i="157"/>
  <c r="C47" i="157"/>
  <c r="F47" i="157"/>
  <c r="F41" i="157"/>
  <c r="G41" i="157"/>
  <c r="F49" i="157"/>
  <c r="F48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<sst xmlns="http://schemas.openxmlformats.org/spreadsheetml/2006/main" count="513" uniqueCount="254">
  <si>
    <t>character_id</t>
  </si>
  <si>
    <t>character_id</t>
    <phoneticPr fontId="23"/>
  </si>
  <si>
    <t>weight</t>
    <phoneticPr fontId="23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</si>
  <si>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</si>
  <si>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</si>
  <si>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</si>
  <si>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</si>
  <si>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</si>
  <si>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</si>
  <si>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</si>
  <si>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3"/>
  </si>
  <si>
    <t>bonus_table_no</t>
    <phoneticPr fontId="23"/>
  </si>
  <si>
    <t>weight</t>
    <phoneticPr fontId="23"/>
  </si>
  <si>
    <t>gift_id</t>
    <phoneticPr fontId="23"/>
  </si>
  <si>
    <t>gift_id</t>
    <phoneticPr fontId="23"/>
  </si>
  <si>
    <t>gift_type</t>
    <phoneticPr fontId="23"/>
  </si>
  <si>
    <t>gift_value</t>
    <phoneticPr fontId="23"/>
  </si>
  <si>
    <t>gift_count</t>
    <phoneticPr fontId="23"/>
  </si>
  <si>
    <t>language</t>
    <phoneticPr fontId="23"/>
  </si>
  <si>
    <t>title</t>
    <phoneticPr fontId="23"/>
  </si>
  <si>
    <t>detail</t>
    <phoneticPr fontId="23"/>
  </si>
  <si>
    <t>message</t>
    <phoneticPr fontId="23"/>
  </si>
  <si>
    <t>gift_id</t>
    <phoneticPr fontId="23"/>
  </si>
  <si>
    <t>gift_value</t>
    <phoneticPr fontId="23"/>
  </si>
  <si>
    <t>gift_value</t>
    <phoneticPr fontId="23"/>
  </si>
  <si>
    <t>gift_count</t>
    <phoneticPr fontId="23"/>
  </si>
  <si>
    <t>language</t>
    <phoneticPr fontId="23"/>
  </si>
  <si>
    <t>title</t>
    <phoneticPr fontId="23"/>
  </si>
  <si>
    <t>detail</t>
    <phoneticPr fontId="23"/>
  </si>
  <si>
    <t>message</t>
    <phoneticPr fontId="23"/>
  </si>
  <si>
    <t>gift_type</t>
    <phoneticPr fontId="23"/>
  </si>
  <si>
    <t>備考</t>
    <rPh sb="0" eb="2">
      <t>ビコウ</t>
    </rPh>
    <phoneticPr fontId="23"/>
  </si>
  <si>
    <t>character_id</t>
    <phoneticPr fontId="23"/>
  </si>
  <si>
    <t>name</t>
    <phoneticPr fontId="23"/>
  </si>
  <si>
    <t>drop_label</t>
    <phoneticPr fontId="23"/>
  </si>
  <si>
    <t>rare</t>
    <phoneticPr fontId="23"/>
  </si>
  <si>
    <t>character_type_id</t>
    <phoneticPr fontId="23"/>
  </si>
  <si>
    <t>character_tribe_id</t>
    <phoneticPr fontId="23"/>
  </si>
  <si>
    <t>unit_level</t>
    <phoneticPr fontId="23"/>
  </si>
  <si>
    <t>接頭語</t>
    <rPh sb="0" eb="3">
      <t>セットウゴ</t>
    </rPh>
    <phoneticPr fontId="56"/>
  </si>
  <si>
    <t>識別子</t>
    <rPh sb="0" eb="3">
      <t>シキベツシ</t>
    </rPh>
    <phoneticPr fontId="56"/>
  </si>
  <si>
    <t>形式</t>
    <rPh sb="0" eb="2">
      <t>ケイシキ</t>
    </rPh>
    <phoneticPr fontId="56"/>
  </si>
  <si>
    <t>出力ファイル名</t>
    <rPh sb="0" eb="2">
      <t>シュツリョク</t>
    </rPh>
    <rPh sb="6" eb="7">
      <t>メイ</t>
    </rPh>
    <phoneticPr fontId="56"/>
  </si>
  <si>
    <t>入力シート名</t>
    <rPh sb="0" eb="2">
      <t>ニュウリョク</t>
    </rPh>
    <rPh sb="5" eb="6">
      <t>メイ</t>
    </rPh>
    <phoneticPr fontId="56"/>
  </si>
  <si>
    <t>出力データ</t>
    <rPh sb="0" eb="2">
      <t>シュツリョク</t>
    </rPh>
    <phoneticPr fontId="56"/>
  </si>
  <si>
    <t>.tmp</t>
    <phoneticPr fontId="56"/>
  </si>
  <si>
    <t>.tmp</t>
    <phoneticPr fontId="56"/>
  </si>
  <si>
    <t>gacha_bonus_tables</t>
    <phoneticPr fontId="56"/>
  </si>
  <si>
    <t>gifts_tmp_</t>
    <phoneticPr fontId="23"/>
  </si>
  <si>
    <t>gifts_i18n_</t>
    <phoneticPr fontId="2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</si>
  <si>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3"/>
  </si>
  <si>
    <t>出力flg</t>
    <rPh sb="0" eb="2">
      <t>シュツリョク</t>
    </rPh>
    <phoneticPr fontId="56"/>
  </si>
  <si>
    <t>color</t>
    <phoneticPr fontId="23"/>
  </si>
  <si>
    <t>レアリティ別確率</t>
    <rPh sb="5" eb="6">
      <t>ベツ</t>
    </rPh>
    <rPh sb="6" eb="8">
      <t>カクリツ</t>
    </rPh>
    <phoneticPr fontId="23"/>
  </si>
  <si>
    <t>ラベル別確率</t>
    <rPh sb="3" eb="4">
      <t>ベツ</t>
    </rPh>
    <rPh sb="4" eb="6">
      <t>カクリツ</t>
    </rPh>
    <phoneticPr fontId="23"/>
  </si>
  <si>
    <t>SSS</t>
    <phoneticPr fontId="23"/>
  </si>
  <si>
    <t>SS</t>
    <phoneticPr fontId="23"/>
  </si>
  <si>
    <t>ラベル*レアリティ標準確率</t>
    <rPh sb="9" eb="11">
      <t>ヒョウジュン</t>
    </rPh>
    <rPh sb="11" eb="13">
      <t>カクリツ</t>
    </rPh>
    <phoneticPr fontId="23"/>
  </si>
  <si>
    <t>性別</t>
    <rPh sb="0" eb="2">
      <t>セイベツ</t>
    </rPh>
    <phoneticPr fontId="23"/>
  </si>
  <si>
    <t>合計</t>
    <rPh sb="0" eb="2">
      <t>ゴウケイ</t>
    </rPh>
    <phoneticPr fontId="23"/>
  </si>
  <si>
    <t>グループ</t>
    <phoneticPr fontId="23"/>
  </si>
  <si>
    <t>ピックアップ確率</t>
    <rPh sb="6" eb="8">
      <t>カクリツ</t>
    </rPh>
    <phoneticPr fontId="23"/>
  </si>
  <si>
    <t>残り確率</t>
    <rPh sb="0" eb="1">
      <t>ノコ</t>
    </rPh>
    <rPh sb="2" eb="4">
      <t>カクリツ</t>
    </rPh>
    <phoneticPr fontId="23"/>
  </si>
  <si>
    <t>確率</t>
    <rPh sb="0" eb="2">
      <t>カクリツ</t>
    </rPh>
    <phoneticPr fontId="23"/>
  </si>
  <si>
    <t>所属グループ</t>
    <rPh sb="0" eb="2">
      <t>ショゾク</t>
    </rPh>
    <phoneticPr fontId="23"/>
  </si>
  <si>
    <t>名前</t>
    <rPh sb="0" eb="2">
      <t>ナマエ</t>
    </rPh>
    <phoneticPr fontId="23"/>
  </si>
  <si>
    <t>レアリティ</t>
    <phoneticPr fontId="23"/>
  </si>
  <si>
    <t>ラベル</t>
    <phoneticPr fontId="23"/>
  </si>
  <si>
    <t>R3</t>
    <phoneticPr fontId="23"/>
  </si>
  <si>
    <t>R4</t>
    <phoneticPr fontId="23"/>
  </si>
  <si>
    <t>R5</t>
    <phoneticPr fontId="23"/>
  </si>
  <si>
    <t>個別確率</t>
    <rPh sb="0" eb="4">
      <t>コベツカクリツ</t>
    </rPh>
    <phoneticPr fontId="23"/>
  </si>
  <si>
    <t>該当数(ピックアップ除く)</t>
    <rPh sb="0" eb="2">
      <t>ガイトウ</t>
    </rPh>
    <rPh sb="2" eb="3">
      <t>スウ</t>
    </rPh>
    <rPh sb="10" eb="11">
      <t>ノゾ</t>
    </rPh>
    <phoneticPr fontId="23"/>
  </si>
  <si>
    <t>個別weight</t>
    <rPh sb="0" eb="2">
      <t>コベツ</t>
    </rPh>
    <phoneticPr fontId="23"/>
  </si>
  <si>
    <t>グループweight</t>
    <phoneticPr fontId="23"/>
  </si>
  <si>
    <t>端数</t>
    <rPh sb="0" eb="2">
      <t>ハスウ</t>
    </rPh>
    <phoneticPr fontId="23"/>
  </si>
  <si>
    <t>--検算用--</t>
    <rPh sb="3" eb="6">
      <t>ケンザンヨウ</t>
    </rPh>
    <phoneticPr fontId="23"/>
  </si>
  <si>
    <t>端数逆数</t>
    <rPh sb="0" eb="2">
      <t>ハスウ</t>
    </rPh>
    <rPh sb="2" eb="4">
      <t>ギャクスウ</t>
    </rPh>
    <phoneticPr fontId="23"/>
  </si>
  <si>
    <t>テーブルを増やしたい場合</t>
    <rPh sb="5" eb="6">
      <t>フ</t>
    </rPh>
    <rPh sb="10" eb="12">
      <t>バアイ</t>
    </rPh>
    <phoneticPr fontId="23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</si>
  <si>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3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</si>
  <si>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3"/>
  </si>
  <si>
    <t>３．outputシートで２で作ったtablesを指定する</t>
    <rPh sb="14" eb="15">
      <t>ツク</t>
    </rPh>
    <rPh sb="24" eb="26">
      <t>シテイ</t>
    </rPh>
    <phoneticPr fontId="23"/>
  </si>
  <si>
    <t>テーブルid</t>
    <phoneticPr fontId="23"/>
  </si>
  <si>
    <t>→ピックアップの確率は右のほうにいます</t>
    <rPh sb="8" eb="10">
      <t>カクリツ</t>
    </rPh>
    <rPh sb="11" eb="12">
      <t>ミギ</t>
    </rPh>
    <phoneticPr fontId="23"/>
  </si>
  <si>
    <t>table_no</t>
    <phoneticPr fontId="23"/>
  </si>
  <si>
    <t>table_no</t>
    <phoneticPr fontId="23"/>
  </si>
  <si>
    <t>skill_level</t>
  </si>
  <si>
    <t>level</t>
  </si>
  <si>
    <t>hp_plus</t>
    <phoneticPr fontId="56"/>
  </si>
  <si>
    <t>attack_plus</t>
    <phoneticPr fontId="56"/>
  </si>
  <si>
    <t>heal_plus</t>
    <phoneticPr fontId="56"/>
  </si>
  <si>
    <t>defense_plus</t>
    <phoneticPr fontId="56"/>
  </si>
  <si>
    <t>level</t>
    <phoneticPr fontId="56"/>
  </si>
  <si>
    <t>skill_level</t>
    <phoneticPr fontId="56"/>
  </si>
  <si>
    <t>bug</t>
    <phoneticPr fontId="56"/>
  </si>
  <si>
    <t>drop_label2</t>
    <phoneticPr fontId="23"/>
  </si>
  <si>
    <t>Premium</t>
    <phoneticPr fontId="23"/>
  </si>
  <si>
    <t>Premium3</t>
    <phoneticPr fontId="23"/>
  </si>
  <si>
    <t>Premium4</t>
    <phoneticPr fontId="23"/>
  </si>
  <si>
    <t>Premium5</t>
    <phoneticPr fontId="23"/>
  </si>
  <si>
    <t>グループ確率</t>
    <rPh sb="4" eb="6">
      <t>カクリツ</t>
    </rPh>
    <phoneticPr fontId="23"/>
  </si>
  <si>
    <t>レア度別確率</t>
    <rPh sb="2" eb="4">
      <t>ドベツ</t>
    </rPh>
    <rPh sb="4" eb="6">
      <t>カクリツ</t>
    </rPh>
    <phoneticPr fontId="23"/>
  </si>
  <si>
    <t>color2</t>
    <phoneticPr fontId="23"/>
  </si>
  <si>
    <t>Premium3</t>
  </si>
  <si>
    <t>Premium4</t>
  </si>
  <si>
    <t>Premium5</t>
  </si>
  <si>
    <t>PremiumSS4</t>
    <phoneticPr fontId="23"/>
  </si>
  <si>
    <t>PremiumSS5</t>
    <phoneticPr fontId="23"/>
  </si>
  <si>
    <t>PremiumSSS5</t>
    <phoneticPr fontId="23"/>
  </si>
  <si>
    <t>PremiumSSS4</t>
    <phoneticPr fontId="23"/>
  </si>
  <si>
    <t>gacha_select_tables_</t>
    <phoneticPr fontId="23"/>
  </si>
  <si>
    <t>ラベル確率で考えましょう</t>
    <rPh sb="6" eb="7">
      <t>カンガエマショウ</t>
    </rPh>
    <phoneticPr fontId="56"/>
  </si>
  <si>
    <t>ラベル</t>
    <phoneticPr fontId="56"/>
  </si>
  <si>
    <t>レアリティ</t>
    <phoneticPr fontId="56"/>
  </si>
  <si>
    <t>{W}</t>
    <phoneticPr fontId="56"/>
  </si>
  <si>
    <t>{N,S}</t>
    <phoneticPr fontId="56"/>
  </si>
  <si>
    <t>{N,S}R3less</t>
    <phoneticPr fontId="56"/>
  </si>
  <si>
    <t>{N,S}R6release</t>
    <phoneticPr fontId="56"/>
  </si>
  <si>
    <t>{SS}</t>
    <phoneticPr fontId="56"/>
  </si>
  <si>
    <t>{SS}R6only</t>
    <phoneticPr fontId="56"/>
  </si>
  <si>
    <t>小計</t>
    <rPh sb="0" eb="2">
      <t>ショウケイ</t>
    </rPh>
    <phoneticPr fontId="56"/>
  </si>
  <si>
    <t>A</t>
    <phoneticPr fontId="56"/>
  </si>
  <si>
    <t>C</t>
    <phoneticPr fontId="56"/>
  </si>
  <si>
    <t>H</t>
    <phoneticPr fontId="56"/>
  </si>
  <si>
    <t>B</t>
    <phoneticPr fontId="56"/>
  </si>
  <si>
    <t>D</t>
    <phoneticPr fontId="56"/>
  </si>
  <si>
    <t>F</t>
    <phoneticPr fontId="56"/>
  </si>
  <si>
    <t>I</t>
    <phoneticPr fontId="56"/>
  </si>
  <si>
    <t>K</t>
    <phoneticPr fontId="56"/>
  </si>
  <si>
    <t>E</t>
    <phoneticPr fontId="56"/>
  </si>
  <si>
    <t>G</t>
    <phoneticPr fontId="56"/>
  </si>
  <si>
    <t>J</t>
    <phoneticPr fontId="56"/>
  </si>
  <si>
    <t>L</t>
    <phoneticPr fontId="56"/>
  </si>
  <si>
    <t>M</t>
    <phoneticPr fontId="56"/>
  </si>
  <si>
    <t>→</t>
    <phoneticPr fontId="56"/>
  </si>
  <si>
    <t>1-SS率</t>
    <rPh sb="4" eb="5">
      <t>リツ</t>
    </rPh>
    <phoneticPr fontId="56"/>
  </si>
  <si>
    <t>SS率</t>
    <rPh sb="2" eb="3">
      <t>リツ</t>
    </rPh>
    <phoneticPr fontId="56"/>
  </si>
  <si>
    <t>考え方を変える</t>
    <rPh sb="0" eb="1">
      <t>カンガエカタ</t>
    </rPh>
    <rPh sb="4" eb="5">
      <t>カエル</t>
    </rPh>
    <phoneticPr fontId="56"/>
  </si>
  <si>
    <t>SS4%は確定事項</t>
    <rPh sb="5" eb="7">
      <t>カクテイ</t>
    </rPh>
    <rPh sb="7" eb="9">
      <t>ジコウ</t>
    </rPh>
    <phoneticPr fontId="56"/>
  </si>
  <si>
    <t>当たりは分配</t>
    <rPh sb="0" eb="1">
      <t>アタリ</t>
    </rPh>
    <rPh sb="4" eb="6">
      <t>ブンパイ</t>
    </rPh>
    <phoneticPr fontId="56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</si>
  <si>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6"/>
  </si>
  <si>
    <t>=</t>
    <phoneticPr fontId="56"/>
  </si>
  <si>
    <t>X*{SS R5only}</t>
    <phoneticPr fontId="56"/>
  </si>
  <si>
    <t>K</t>
    <phoneticPr fontId="56"/>
  </si>
  <si>
    <t>=</t>
    <phoneticPr fontId="56"/>
  </si>
  <si>
    <t>X*{SS}*(R3率+R4率)</t>
    <rPh sb="10" eb="11">
      <t>リツ</t>
    </rPh>
    <rPh sb="14" eb="15">
      <t>リツ</t>
    </rPh>
    <phoneticPr fontId="56"/>
  </si>
  <si>
    <t>L</t>
    <phoneticPr fontId="56"/>
  </si>
  <si>
    <t>X*{SS}*R5率</t>
    <rPh sb="9" eb="10">
      <t>リツ</t>
    </rPh>
    <phoneticPr fontId="56"/>
  </si>
  <si>
    <t>X*{R6release}*R3率</t>
    <rPh sb="16" eb="17">
      <t>リツ</t>
    </rPh>
    <phoneticPr fontId="56"/>
  </si>
  <si>
    <t>X*{R6release}*R4率</t>
    <rPh sb="16" eb="17">
      <t>リツ</t>
    </rPh>
    <phoneticPr fontId="56"/>
  </si>
  <si>
    <t>J</t>
    <phoneticPr fontId="56"/>
  </si>
  <si>
    <t>X*{R6release}*R5率</t>
    <rPh sb="16" eb="17">
      <t>リツ</t>
    </rPh>
    <phoneticPr fontId="56"/>
  </si>
  <si>
    <t>ハズレで確率を整える</t>
    <rPh sb="4" eb="6">
      <t>カクリツ</t>
    </rPh>
    <rPh sb="7" eb="8">
      <t>トトノエル</t>
    </rPh>
    <phoneticPr fontId="56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</si>
  <si>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6"/>
  </si>
  <si>
    <t>A + C</t>
    <phoneticPr fontId="56"/>
  </si>
  <si>
    <t>=</t>
    <phoneticPr fontId="56"/>
  </si>
  <si>
    <t>50%-H</t>
    <phoneticPr fontId="56"/>
  </si>
  <si>
    <t>①</t>
    <phoneticPr fontId="56"/>
  </si>
  <si>
    <t>B + D + F</t>
    <phoneticPr fontId="56"/>
  </si>
  <si>
    <t>45%-I-K</t>
    <phoneticPr fontId="56"/>
  </si>
  <si>
    <t>②</t>
    <phoneticPr fontId="56"/>
  </si>
  <si>
    <t>E+G</t>
    <phoneticPr fontId="56"/>
  </si>
  <si>
    <t>5%-J-L-M</t>
    <phoneticPr fontId="56"/>
  </si>
  <si>
    <t>③</t>
    <phoneticPr fontId="56"/>
  </si>
  <si>
    <t>A+B</t>
    <phoneticPr fontId="56"/>
  </si>
  <si>
    <t>Y*{W}</t>
    <phoneticPr fontId="56"/>
  </si>
  <si>
    <t>④</t>
    <phoneticPr fontId="56"/>
  </si>
  <si>
    <t>C+D+E</t>
    <phoneticPr fontId="56"/>
  </si>
  <si>
    <t>Y*{N,S}</t>
    <phoneticPr fontId="56"/>
  </si>
  <si>
    <t>⑤</t>
    <phoneticPr fontId="56"/>
  </si>
  <si>
    <t>F+G</t>
    <phoneticPr fontId="56"/>
  </si>
  <si>
    <t>Y*{N,S R3less}</t>
    <phoneticPr fontId="56"/>
  </si>
  <si>
    <t>⑥</t>
    <phoneticPr fontId="56"/>
  </si>
  <si>
    <t>A+B+C+D+E+F+G</t>
    <phoneticPr fontId="56"/>
  </si>
  <si>
    <t>⑦</t>
    <phoneticPr fontId="56"/>
  </si>
  <si>
    <t>←これは4,5,6で作れるのでダメだわ</t>
    <rPh sb="10" eb="11">
      <t>ツクレル</t>
    </rPh>
    <phoneticPr fontId="56"/>
  </si>
  <si>
    <t>E*R3率/R5率</t>
    <rPh sb="4" eb="5">
      <t>リツ</t>
    </rPh>
    <rPh sb="8" eb="9">
      <t>リツ</t>
    </rPh>
    <phoneticPr fontId="56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</si>
  <si>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6"/>
  </si>
  <si>
    <t>E*R4率/R5率</t>
    <rPh sb="4" eb="5">
      <t>リツ</t>
    </rPh>
    <rPh sb="8" eb="9">
      <t>リツ</t>
    </rPh>
    <phoneticPr fontId="56"/>
  </si>
  <si>
    <t>∴</t>
    <phoneticPr fontId="56"/>
  </si>
  <si>
    <t>E</t>
    <phoneticPr fontId="56"/>
  </si>
  <si>
    <t>Y*{N,S}*R5率</t>
    <rPh sb="10" eb="11">
      <t>リツ</t>
    </rPh>
    <phoneticPr fontId="56"/>
  </si>
  <si>
    <t>Y*{N,S}*R4率</t>
    <rPh sb="10" eb="11">
      <t>リツ</t>
    </rPh>
    <phoneticPr fontId="56"/>
  </si>
  <si>
    <t>Y*{N,S}*R3率</t>
    <rPh sb="10" eb="11">
      <t>リツ</t>
    </rPh>
    <phoneticPr fontId="56"/>
  </si>
  <si>
    <t>50%-H-C</t>
    <phoneticPr fontId="56"/>
  </si>
  <si>
    <t>Y*{W}-A</t>
    <phoneticPr fontId="56"/>
  </si>
  <si>
    <t>5%-J-L-M-E</t>
    <phoneticPr fontId="56"/>
  </si>
  <si>
    <t>Y*{N,S R3less} - G</t>
    <phoneticPr fontId="56"/>
  </si>
  <si>
    <t>R6境界前後</t>
    <rPh sb="2" eb="4">
      <t>キョウカイ</t>
    </rPh>
    <rPh sb="4" eb="6">
      <t>ゼンゴ</t>
    </rPh>
    <phoneticPr fontId="23"/>
  </si>
  <si>
    <t>R6事後開放N,S</t>
    <rPh sb="2" eb="6">
      <t>ジゴカイホウ</t>
    </rPh>
    <phoneticPr fontId="23"/>
  </si>
  <si>
    <t>PremiumW3</t>
    <phoneticPr fontId="23"/>
  </si>
  <si>
    <t>PremiumW4</t>
    <phoneticPr fontId="23"/>
  </si>
  <si>
    <t>ラベル確率</t>
    <rPh sb="3" eb="5">
      <t>カクリツ</t>
    </rPh>
    <phoneticPr fontId="23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</si>
  <si>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</si>
  <si>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</si>
  <si>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</si>
  <si>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</si>
  <si>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</si>
  <si>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3"/>
  </si>
  <si>
    <t>PremiumSS5R5only</t>
  </si>
  <si>
    <t>計算用中間データ</t>
    <rPh sb="0" eb="3">
      <t>ケイサンヨウ</t>
    </rPh>
    <rPh sb="3" eb="5">
      <t>チュウカン</t>
    </rPh>
    <phoneticPr fontId="23"/>
  </si>
  <si>
    <t>X</t>
    <phoneticPr fontId="23"/>
  </si>
  <si>
    <t>Y</t>
    <phoneticPr fontId="23"/>
  </si>
  <si>
    <t>対象数</t>
    <rPh sb="0" eb="3">
      <t>タイショウスウ</t>
    </rPh>
    <phoneticPr fontId="23"/>
  </si>
  <si>
    <t>PremiumW</t>
    <phoneticPr fontId="23"/>
  </si>
  <si>
    <t>PremiumN</t>
    <phoneticPr fontId="23"/>
  </si>
  <si>
    <t>PremiumS</t>
    <phoneticPr fontId="23"/>
  </si>
  <si>
    <t>PremiumSS</t>
    <phoneticPr fontId="23"/>
  </si>
  <si>
    <t>←R6分はここから差し引く</t>
    <rPh sb="3" eb="4">
      <t>ブン</t>
    </rPh>
    <rPh sb="9" eb="10">
      <t>サシヒク</t>
    </rPh>
    <phoneticPr fontId="23"/>
  </si>
  <si>
    <t>除外確率</t>
    <rPh sb="0" eb="2">
      <t>ジョガイ</t>
    </rPh>
    <rPh sb="2" eb="4">
      <t>カクリツ</t>
    </rPh>
    <phoneticPr fontId="23"/>
  </si>
  <si>
    <t>除外数</t>
    <rPh sb="0" eb="3">
      <t>ジョガイスウ</t>
    </rPh>
    <phoneticPr fontId="23"/>
  </si>
  <si>
    <t>もうここは手で入れよう…</t>
    <rPh sb="5" eb="6">
      <t>テ</t>
    </rPh>
    <rPh sb="7" eb="8">
      <t>イレヨウ</t>
    </rPh>
    <phoneticPr fontId="23"/>
  </si>
  <si>
    <t>通常weight</t>
    <rPh sb="0" eb="2">
      <t>ツウジョウ</t>
    </rPh>
    <phoneticPr fontId="23"/>
  </si>
  <si>
    <t>A</t>
    <phoneticPr fontId="23"/>
  </si>
  <si>
    <t>B</t>
    <phoneticPr fontId="23"/>
  </si>
  <si>
    <t>PremiumW4</t>
    <phoneticPr fontId="23"/>
  </si>
  <si>
    <t>C</t>
    <phoneticPr fontId="23"/>
  </si>
  <si>
    <t>Premium3</t>
    <phoneticPr fontId="23"/>
  </si>
  <si>
    <t>D</t>
    <phoneticPr fontId="23"/>
  </si>
  <si>
    <t>Premium4</t>
    <phoneticPr fontId="23"/>
  </si>
  <si>
    <t>E</t>
    <phoneticPr fontId="23"/>
  </si>
  <si>
    <t>Premium5</t>
    <phoneticPr fontId="23"/>
  </si>
  <si>
    <t>F</t>
    <phoneticPr fontId="23"/>
  </si>
  <si>
    <t>Premium4R3less</t>
    <phoneticPr fontId="23"/>
  </si>
  <si>
    <t>G</t>
    <phoneticPr fontId="23"/>
  </si>
  <si>
    <t>Premium5R3less</t>
    <phoneticPr fontId="23"/>
  </si>
  <si>
    <t>H</t>
    <phoneticPr fontId="23"/>
  </si>
  <si>
    <t>I</t>
    <phoneticPr fontId="23"/>
  </si>
  <si>
    <t>J</t>
    <phoneticPr fontId="23"/>
  </si>
  <si>
    <t>K</t>
    <phoneticPr fontId="23"/>
  </si>
  <si>
    <t>Premium3R6release</t>
    <phoneticPr fontId="23"/>
  </si>
  <si>
    <t>Premium4R6release</t>
    <phoneticPr fontId="23"/>
  </si>
  <si>
    <t>Premium5R6release</t>
    <phoneticPr fontId="23"/>
  </si>
  <si>
    <t>PremiumSS4</t>
    <phoneticPr fontId="23"/>
  </si>
  <si>
    <t>PremiumSS5</t>
    <phoneticPr fontId="23"/>
  </si>
  <si>
    <t>L</t>
    <phoneticPr fontId="23"/>
  </si>
  <si>
    <t>M</t>
    <phoneticPr fontId="23"/>
  </si>
  <si>
    <t>PremiumSS5R5only</t>
    <phoneticPr fontId="23"/>
  </si>
  <si>
    <t>50% - H - C</t>
    <phoneticPr fontId="23"/>
  </si>
  <si>
    <t>PremiumSSS4R3less</t>
    <phoneticPr fontId="23"/>
  </si>
  <si>
    <t>PremiumSSS5R3less</t>
    <phoneticPr fontId="23"/>
  </si>
  <si>
    <t>skip</t>
    <phoneticPr fontId="23"/>
  </si>
  <si>
    <t>通常確率</t>
    <phoneticPr fontId="23"/>
  </si>
  <si>
    <t>通常確率</t>
    <phoneticPr fontId="23"/>
  </si>
  <si>
    <t>tables_363104</t>
    <phoneticPr fontId="23"/>
  </si>
  <si>
    <t>tables_363105</t>
    <phoneticPr fontId="23"/>
  </si>
  <si>
    <t>tables_363100</t>
    <phoneticPr fontId="23"/>
  </si>
  <si>
    <t>old</t>
    <phoneticPr fontId="23"/>
  </si>
  <si>
    <t>gacha_select_tables_</t>
    <phoneticPr fontId="23"/>
  </si>
  <si>
    <t>tables_422011</t>
  </si>
  <si>
    <t>PremiumSSw</t>
    <phoneticPr fontId="23"/>
  </si>
  <si>
    <t>PremiumSSS</t>
    <phoneticPr fontId="23"/>
  </si>
  <si>
    <t>tables_521100</t>
    <phoneticPr fontId="23"/>
  </si>
  <si>
    <t>tables_521010</t>
    <phoneticPr fontId="2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</si>
</sst>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1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2" fillId="0" borderId="0"/>
    <xf numFmtId="0" fontId="26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21" fillId="0" borderId="0"/>
    <xf numFmtId="0" fontId="33" fillId="5" borderId="2" applyNumberFormat="0" applyAlignment="0" applyProtection="0"/>
    <xf numFmtId="0" fontId="34" fillId="6" borderId="0" applyNumberFormat="0" applyBorder="0" applyAlignment="0" applyProtection="0"/>
    <xf numFmtId="0" fontId="35" fillId="7" borderId="3" applyNumberFormat="0" applyAlignment="0" applyProtection="0"/>
    <xf numFmtId="0" fontId="36" fillId="0" borderId="0" applyNumberFormat="0" applyFill="0" applyBorder="0" applyAlignment="0" applyProtection="0"/>
    <xf numFmtId="0" fontId="37" fillId="8" borderId="0" applyNumberFormat="0" applyBorder="0" applyAlignment="0" applyProtection="0"/>
    <xf numFmtId="0" fontId="38" fillId="9" borderId="4" applyNumberFormat="0" applyAlignment="0" applyProtection="0"/>
    <xf numFmtId="0" fontId="39" fillId="0" borderId="0" applyNumberFormat="0" applyFill="0" applyBorder="0" applyAlignment="0" applyProtection="0"/>
    <xf numFmtId="0" fontId="40" fillId="0" borderId="5" applyNumberFormat="0" applyFill="0" applyAlignment="0" applyProtection="0"/>
    <xf numFmtId="0" fontId="41" fillId="0" borderId="6" applyNumberFormat="0" applyFill="0" applyAlignment="0" applyProtection="0"/>
    <xf numFmtId="0" fontId="42" fillId="0" borderId="7" applyNumberFormat="0" applyFill="0" applyAlignment="0" applyProtection="0"/>
    <xf numFmtId="0" fontId="42" fillId="0" borderId="0" applyNumberFormat="0" applyFill="0" applyBorder="0" applyAlignment="0" applyProtection="0"/>
    <xf numFmtId="0" fontId="43" fillId="7" borderId="0" applyNumberFormat="0" applyBorder="0" applyAlignment="0" applyProtection="0"/>
    <xf numFmtId="0" fontId="43" fillId="6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1" borderId="0" applyNumberFormat="0" applyBorder="0" applyAlignment="0" applyProtection="0"/>
    <xf numFmtId="0" fontId="43" fillId="5" borderId="0" applyNumberFormat="0" applyBorder="0" applyAlignment="0" applyProtection="0"/>
    <xf numFmtId="0" fontId="43" fillId="7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3" borderId="0" applyNumberFormat="0" applyBorder="0" applyAlignment="0" applyProtection="0"/>
    <xf numFmtId="0" fontId="43" fillId="6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4" fillId="10" borderId="0" applyNumberFormat="0" applyBorder="0" applyAlignment="0" applyProtection="0"/>
    <xf numFmtId="0" fontId="44" fillId="7" borderId="0" applyNumberFormat="0" applyBorder="0" applyAlignment="0" applyProtection="0"/>
    <xf numFmtId="0" fontId="44" fillId="14" borderId="0" applyNumberFormat="0" applyBorder="0" applyAlignment="0" applyProtection="0"/>
    <xf numFmtId="0" fontId="44" fillId="6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14" borderId="0" applyNumberFormat="0" applyBorder="0" applyAlignment="0" applyProtection="0"/>
    <xf numFmtId="0" fontId="44" fillId="15" borderId="0" applyNumberFormat="0" applyBorder="0" applyAlignment="0" applyProtection="0"/>
    <xf numFmtId="0" fontId="44" fillId="10" borderId="0" applyNumberFormat="0" applyBorder="0" applyAlignment="0" applyProtection="0"/>
    <xf numFmtId="0" fontId="44" fillId="16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5" fillId="17" borderId="0" applyNumberFormat="0" applyBorder="0" applyAlignment="0" applyProtection="0"/>
    <xf numFmtId="0" fontId="34" fillId="6" borderId="0" applyNumberFormat="0" applyBorder="0" applyAlignment="0" applyProtection="0"/>
    <xf numFmtId="0" fontId="46" fillId="0" borderId="8" applyNumberFormat="0" applyFill="0" applyAlignment="0" applyProtection="0"/>
    <xf numFmtId="0" fontId="47" fillId="7" borderId="9" applyNumberFormat="0" applyAlignment="0" applyProtection="0"/>
    <xf numFmtId="0" fontId="47" fillId="18" borderId="9" applyNumberFormat="0" applyAlignment="0" applyProtection="0"/>
    <xf numFmtId="0" fontId="35" fillId="6" borderId="3" applyNumberFormat="0" applyAlignment="0" applyProtection="0"/>
    <xf numFmtId="0" fontId="48" fillId="0" borderId="10" applyNumberFormat="0" applyFill="0" applyAlignment="0" applyProtection="0"/>
    <xf numFmtId="0" fontId="49" fillId="18" borderId="3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11" applyNumberFormat="0" applyFill="0" applyAlignment="0" applyProtection="0"/>
    <xf numFmtId="38" fontId="21" fillId="0" borderId="0" applyFont="0" applyFill="0" applyBorder="0" applyAlignment="0" applyProtection="0">
      <alignment vertical="center"/>
    </xf>
    <xf numFmtId="0" fontId="52" fillId="19" borderId="0" applyNumberFormat="0" applyBorder="0" applyAlignment="0" applyProtection="0"/>
    <xf numFmtId="0" fontId="53" fillId="20" borderId="0" applyNumberFormat="0" applyBorder="0" applyAlignment="0" applyProtection="0"/>
    <xf numFmtId="0" fontId="21" fillId="0" borderId="0"/>
    <xf numFmtId="0" fontId="54" fillId="20" borderId="0" applyNumberFormat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" fillId="0" borderId="0"/>
    <xf numFmtId="0" fontId="57" fillId="0" borderId="0">
      <alignment vertical="center"/>
    </xf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9" fontId="58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38" fontId="58" fillId="0" borderId="0" applyFont="0" applyFill="0" applyBorder="0" applyAlignment="0" applyProtection="0"/>
  </cellStyleXfs>
  <cellXfs count="101">
    <xf numFmtId="0" fontId="0" fillId="0" borderId="0" xfId="0"/>
    <xf numFmtId="0" fontId="28" fillId="0" borderId="0" xfId="2" applyFont="1" applyAlignment="1">
      <alignment vertical="center"/>
    </xf>
    <xf numFmtId="0" fontId="28" fillId="0" borderId="1" xfId="2" applyFont="1" applyBorder="1" applyAlignment="1">
      <alignment vertical="center"/>
    </xf>
    <xf numFmtId="0" fontId="28" fillId="3" borderId="1" xfId="2" applyFont="1" applyFill="1" applyBorder="1" applyAlignment="1">
      <alignment horizontal="center" vertical="center"/>
    </xf>
    <xf numFmtId="0" fontId="28" fillId="0" borderId="0" xfId="2" applyFont="1" applyAlignment="1">
      <alignment horizontal="center" vertical="center"/>
    </xf>
    <xf numFmtId="0" fontId="28" fillId="4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horizontal="right" vertical="center"/>
    </xf>
    <xf numFmtId="0" fontId="28" fillId="3" borderId="1" xfId="2" applyFont="1" applyFill="1" applyBorder="1" applyAlignment="1">
      <alignment vertical="center"/>
    </xf>
    <xf numFmtId="0" fontId="29" fillId="4" borderId="1" xfId="0" applyFont="1" applyFill="1" applyBorder="1" applyAlignment="1">
      <alignment vertical="center"/>
    </xf>
    <xf numFmtId="0" fontId="28" fillId="0" borderId="13" xfId="2" applyFont="1" applyBorder="1" applyAlignment="1">
      <alignment vertical="center"/>
    </xf>
    <xf numFmtId="0" fontId="27" fillId="4" borderId="12" xfId="0" applyFont="1" applyFill="1" applyBorder="1" applyAlignment="1">
      <alignment horizontal="right" vertical="center"/>
    </xf>
    <xf numFmtId="0" fontId="27" fillId="4" borderId="14" xfId="0" applyFont="1" applyFill="1" applyBorder="1" applyAlignment="1">
      <alignment horizontal="right" vertical="center"/>
    </xf>
    <xf numFmtId="0" fontId="28" fillId="0" borderId="15" xfId="2" applyFont="1" applyBorder="1" applyAlignment="1">
      <alignment vertical="center"/>
    </xf>
    <xf numFmtId="0" fontId="28" fillId="2" borderId="1" xfId="2" applyFont="1" applyFill="1" applyBorder="1" applyAlignment="1">
      <alignment horizontal="left" vertical="center"/>
    </xf>
    <xf numFmtId="0" fontId="55" fillId="21" borderId="1" xfId="0" applyFont="1" applyFill="1" applyBorder="1" applyAlignment="1">
      <alignment horizontal="left" vertical="center"/>
    </xf>
    <xf numFmtId="0" fontId="28" fillId="2" borderId="1" xfId="2" applyFont="1" applyFill="1" applyBorder="1" applyAlignment="1">
      <alignment horizontal="center" vertical="center"/>
    </xf>
    <xf numFmtId="0" fontId="30" fillId="22" borderId="1" xfId="2978" applyFont="1" applyFill="1" applyBorder="1"/>
    <xf numFmtId="0" fontId="16" fillId="22" borderId="1" xfId="2978" applyFill="1" applyBorder="1"/>
    <xf numFmtId="0" fontId="16" fillId="0" borderId="0" xfId="2978"/>
    <xf numFmtId="0" fontId="16" fillId="0" borderId="1" xfId="2978" applyBorder="1"/>
    <xf numFmtId="0" fontId="16" fillId="2" borderId="1" xfId="2978" applyFill="1" applyBorder="1"/>
    <xf numFmtId="0" fontId="20" fillId="2" borderId="1" xfId="19" applyFont="1" applyFill="1" applyBorder="1"/>
    <xf numFmtId="0" fontId="21" fillId="2" borderId="1" xfId="19" applyFill="1" applyBorder="1"/>
    <xf numFmtId="0" fontId="19" fillId="2" borderId="1" xfId="19" applyFont="1" applyFill="1" applyBorder="1"/>
    <xf numFmtId="0" fontId="17" fillId="2" borderId="1" xfId="19" applyFont="1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5" fillId="0" borderId="1" xfId="2978" applyFont="1" applyBorder="1"/>
    <xf numFmtId="0" fontId="30" fillId="22" borderId="1" xfId="0" applyFont="1" applyFill="1" applyBorder="1"/>
    <xf numFmtId="0" fontId="55" fillId="23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vertical="center"/>
    </xf>
    <xf numFmtId="0" fontId="0" fillId="4" borderId="0" xfId="0" applyFill="1"/>
    <xf numFmtId="0" fontId="13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2" fillId="2" borderId="1" xfId="19" applyFont="1" applyFill="1" applyBorder="1"/>
    <xf numFmtId="0" fontId="12" fillId="4" borderId="1" xfId="2978" applyFont="1" applyFill="1" applyBorder="1"/>
    <xf numFmtId="0" fontId="0" fillId="2" borderId="0" xfId="0" applyFill="1"/>
    <xf numFmtId="0" fontId="55" fillId="30" borderId="1" xfId="0" applyFont="1" applyFill="1" applyBorder="1" applyAlignment="1">
      <alignment horizontal="left" vertical="center"/>
    </xf>
    <xf numFmtId="0" fontId="28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7" fillId="25" borderId="1" xfId="0" applyFont="1" applyFill="1" applyBorder="1" applyAlignment="1">
      <alignment horizontal="right" vertical="center"/>
    </xf>
    <xf numFmtId="0" fontId="11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10" fillId="0" borderId="0" xfId="3662"/>
    <xf numFmtId="0" fontId="10" fillId="4" borderId="0" xfId="3662" applyFill="1"/>
    <xf numFmtId="9" fontId="10" fillId="0" borderId="0" xfId="3662" applyNumberFormat="1"/>
    <xf numFmtId="0" fontId="10" fillId="0" borderId="0" xfId="3662" applyFill="1"/>
    <xf numFmtId="9" fontId="10" fillId="0" borderId="0" xfId="3662" applyNumberFormat="1" applyAlignment="1"/>
    <xf numFmtId="0" fontId="10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9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60" fillId="32" borderId="1" xfId="0" applyNumberFormat="1" applyFont="1" applyFill="1" applyBorder="1"/>
    <xf numFmtId="38" fontId="28" fillId="4" borderId="1" xfId="3663" quotePrefix="1" applyFont="1" applyFill="1" applyBorder="1" applyAlignment="1">
      <alignment vertical="center"/>
    </xf>
    <xf numFmtId="0" fontId="55" fillId="0" borderId="1" xfId="0" applyFont="1" applyBorder="1" applyAlignment="1">
      <alignment vertical="center"/>
    </xf>
    <xf numFmtId="0" fontId="55" fillId="0" borderId="1" xfId="0" applyFont="1" applyBorder="1" applyAlignment="1">
      <alignment vertical="center" wrapText="1"/>
    </xf>
    <xf numFmtId="0" fontId="28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9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8" fillId="0" borderId="0" xfId="2" applyFont="1" applyFill="1" applyBorder="1" applyAlignment="1">
      <alignment vertical="center"/>
    </xf>
    <xf numFmtId="0" fontId="8" fillId="0" borderId="1" xfId="3036" applyFont="1" applyBorder="1"/>
    <xf numFmtId="0" fontId="27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7" fillId="4" borderId="1" xfId="2978" applyFont="1" applyFill="1" applyBorder="1"/>
    <xf numFmtId="0" fontId="28" fillId="33" borderId="1" xfId="2" applyFont="1" applyFill="1" applyBorder="1" applyAlignment="1">
      <alignment vertical="center"/>
    </xf>
    <xf numFmtId="0" fontId="7" fillId="0" borderId="1" xfId="3036" applyFont="1" applyBorder="1"/>
    <xf numFmtId="0" fontId="6" fillId="0" borderId="1" xfId="3036" applyFont="1" applyBorder="1"/>
    <xf numFmtId="0" fontId="29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5" fillId="0" borderId="1" xfId="2978" applyFont="1" applyBorder="1"/>
    <xf numFmtId="0" fontId="4" fillId="4" borderId="1" xfId="2978" applyFont="1" applyFill="1" applyBorder="1"/>
    <xf numFmtId="0" fontId="3" fillId="0" borderId="1" xfId="3036" applyFont="1" applyBorder="1"/>
    <xf numFmtId="0" fontId="2" fillId="4" borderId="1" xfId="2978" applyFont="1" applyFill="1" applyBorder="1"/>
    <xf numFmtId="176" fontId="0" fillId="0" borderId="1" xfId="3575" applyNumberFormat="1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1403</v>
          </cell>
          <cell r="B1372" t="str">
            <v>ja</v>
          </cell>
          <cell r="C1372" t="str">
            <v>炎帝の守護獣神 朱雀</v>
          </cell>
          <cell r="H1372" t="str">
            <v>red</v>
          </cell>
          <cell r="I1372">
            <v>6</v>
          </cell>
          <cell r="J1372" t="str">
            <v>Drop2N</v>
          </cell>
          <cell r="K1372" t="str">
            <v>heal</v>
          </cell>
          <cell r="L1372" t="str">
            <v>回復タイプ</v>
          </cell>
          <cell r="M1372" t="str">
            <v>animal</v>
          </cell>
        </row>
        <row r="1373">
          <cell r="A1373">
            <v>1404</v>
          </cell>
          <cell r="B1373" t="str">
            <v>ja</v>
          </cell>
          <cell r="C1373" t="str">
            <v>玄帝の守護獣神 玄武</v>
          </cell>
          <cell r="H1373" t="str">
            <v>green</v>
          </cell>
          <cell r="I1373">
            <v>6</v>
          </cell>
          <cell r="J1373" t="str">
            <v>Drop2N</v>
          </cell>
          <cell r="K1373" t="str">
            <v>hp</v>
          </cell>
          <cell r="L1373" t="str">
            <v>体力タイプ</v>
          </cell>
          <cell r="M1373" t="str">
            <v>dragon</v>
          </cell>
        </row>
        <row r="1374">
          <cell r="A1374">
            <v>1405</v>
          </cell>
          <cell r="B1374" t="str">
            <v>ja</v>
          </cell>
          <cell r="C1374" t="str">
            <v>蒼帝の守護獣神 青龍</v>
          </cell>
          <cell r="H1374" t="str">
            <v>blue</v>
          </cell>
          <cell r="I1374">
            <v>6</v>
          </cell>
          <cell r="J1374" t="str">
            <v>Drop2N</v>
          </cell>
          <cell r="K1374" t="str">
            <v>balance</v>
          </cell>
          <cell r="L1374" t="str">
            <v>バランスタイプ</v>
          </cell>
          <cell r="M1374" t="str">
            <v>dragon</v>
          </cell>
        </row>
        <row r="1375">
          <cell r="A1375">
            <v>1406</v>
          </cell>
          <cell r="B1375" t="str">
            <v>ja</v>
          </cell>
          <cell r="C1375" t="str">
            <v>白帝の守護獣神 白虎</v>
          </cell>
          <cell r="H1375" t="str">
            <v>yellow</v>
          </cell>
          <cell r="I1375">
            <v>6</v>
          </cell>
          <cell r="J1375" t="str">
            <v>Drop2N</v>
          </cell>
          <cell r="K1375" t="str">
            <v>attack</v>
          </cell>
          <cell r="L1375" t="str">
            <v>攻撃タイプ</v>
          </cell>
          <cell r="M1375" t="str">
            <v>animal</v>
          </cell>
        </row>
        <row r="1376">
          <cell r="A1376">
            <v>1414</v>
          </cell>
          <cell r="B1376" t="str">
            <v>ja</v>
          </cell>
          <cell r="C1376" t="str">
            <v>炎のミリオンダック 7</v>
          </cell>
          <cell r="D1376" t="str">
            <v>未定</v>
          </cell>
          <cell r="E1376" t="str">
            <v>執行者</v>
          </cell>
          <cell r="F1376" t="str">
            <v>格好いい</v>
          </cell>
          <cell r="G1376" t="str">
            <v>不明</v>
          </cell>
          <cell r="H1376" t="str">
            <v>red</v>
          </cell>
          <cell r="I1376">
            <v>6</v>
          </cell>
          <cell r="J1376" t="str">
            <v>Material</v>
          </cell>
          <cell r="K1376" t="str">
            <v>exp</v>
          </cell>
          <cell r="L1376" t="str">
            <v>強化素材タイプ</v>
          </cell>
          <cell r="M1376" t="str">
            <v>unknown</v>
          </cell>
        </row>
        <row r="1377">
          <cell r="A1377">
            <v>1415</v>
          </cell>
          <cell r="B1377" t="str">
            <v>ja</v>
          </cell>
          <cell r="C1377" t="str">
            <v>森のミリオンダック 7</v>
          </cell>
          <cell r="D1377" t="str">
            <v>未定</v>
          </cell>
          <cell r="E1377" t="str">
            <v>執行者</v>
          </cell>
          <cell r="F1377" t="str">
            <v>格好いい</v>
          </cell>
          <cell r="G1377" t="str">
            <v>不明</v>
          </cell>
          <cell r="H1377" t="str">
            <v>green</v>
          </cell>
          <cell r="I1377">
            <v>6</v>
          </cell>
          <cell r="J1377" t="str">
            <v>Material</v>
          </cell>
          <cell r="K1377" t="str">
            <v>exp</v>
          </cell>
          <cell r="L1377" t="str">
            <v>強化素材タイプ</v>
          </cell>
          <cell r="M1377" t="str">
            <v>unknown</v>
          </cell>
        </row>
        <row r="1378">
          <cell r="A1378">
            <v>1416</v>
          </cell>
          <cell r="B1378" t="str">
            <v>ja</v>
          </cell>
          <cell r="C1378" t="str">
            <v>水のミリオンダック 7</v>
          </cell>
          <cell r="D1378" t="str">
            <v>未定</v>
          </cell>
          <cell r="E1378" t="str">
            <v>執行者</v>
          </cell>
          <cell r="F1378" t="str">
            <v>格好いい</v>
          </cell>
          <cell r="G1378" t="str">
            <v>不明</v>
          </cell>
          <cell r="H1378" t="str">
            <v>blue</v>
          </cell>
          <cell r="I1378">
            <v>6</v>
          </cell>
          <cell r="J1378" t="str">
            <v>Material</v>
          </cell>
          <cell r="K1378" t="str">
            <v>exp</v>
          </cell>
          <cell r="L1378" t="str">
            <v>強化素材タイプ</v>
          </cell>
          <cell r="M1378" t="str">
            <v>unknown</v>
          </cell>
        </row>
        <row r="1379">
          <cell r="A1379">
            <v>1417</v>
          </cell>
          <cell r="B1379" t="str">
            <v>ja</v>
          </cell>
          <cell r="C1379" t="str">
            <v>雷のミリオンダック 7</v>
          </cell>
          <cell r="D1379" t="str">
            <v>未定</v>
          </cell>
          <cell r="E1379" t="str">
            <v>執行者</v>
          </cell>
          <cell r="F1379" t="str">
            <v>格好いい</v>
          </cell>
          <cell r="G1379" t="str">
            <v>不明</v>
          </cell>
          <cell r="H1379" t="str">
            <v>yellow</v>
          </cell>
          <cell r="I1379">
            <v>6</v>
          </cell>
          <cell r="J1379" t="str">
            <v>Material</v>
          </cell>
          <cell r="K1379" t="str">
            <v>exp</v>
          </cell>
          <cell r="L1379" t="str">
            <v>強化素材タイプ</v>
          </cell>
          <cell r="M1379" t="str">
            <v>unknown</v>
          </cell>
        </row>
        <row r="1380">
          <cell r="A1380">
            <v>1427</v>
          </cell>
          <cell r="B1380" t="str">
            <v>ja</v>
          </cell>
          <cell r="C1380" t="str">
            <v>超覚醒シュヴァルツシルト</v>
          </cell>
          <cell r="H1380" t="str">
            <v>blue</v>
          </cell>
          <cell r="I1380">
            <v>6</v>
          </cell>
          <cell r="J1380" t="str">
            <v>PremiumSSS</v>
          </cell>
          <cell r="K1380" t="str">
            <v>attack</v>
          </cell>
          <cell r="L1380" t="str">
            <v>攻撃タイプ</v>
          </cell>
          <cell r="M1380" t="str">
            <v>academia</v>
          </cell>
        </row>
        <row r="1381">
          <cell r="A1381">
            <v>5001</v>
          </cell>
          <cell r="B1381" t="str">
            <v>ja</v>
          </cell>
          <cell r="C1381" t="str">
            <v>ガルーダ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5</v>
          </cell>
          <cell r="J1381" t="str">
            <v>PremiumSSw</v>
          </cell>
          <cell r="K1381" t="str">
            <v>attack</v>
          </cell>
          <cell r="L1381" t="str">
            <v>攻撃タイプ</v>
          </cell>
          <cell r="M1381" t="str">
            <v>god</v>
          </cell>
        </row>
        <row r="1382">
          <cell r="A1382">
            <v>5002</v>
          </cell>
          <cell r="B1382" t="str">
            <v>ja</v>
          </cell>
          <cell r="C1382" t="str">
            <v>ガルーダ★６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6</v>
          </cell>
          <cell r="J1382" t="str">
            <v>PremiumSSw</v>
          </cell>
          <cell r="K1382" t="str">
            <v>attack</v>
          </cell>
          <cell r="L1382" t="str">
            <v>攻撃タイプ</v>
          </cell>
          <cell r="M1382" t="str">
            <v>god</v>
          </cell>
        </row>
        <row r="1383">
          <cell r="A1383">
            <v>5003</v>
          </cell>
          <cell r="B1383" t="str">
            <v>ja</v>
          </cell>
          <cell r="C1383" t="str">
            <v>ナーガ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5</v>
          </cell>
          <cell r="J1383" t="str">
            <v>DropWizS</v>
          </cell>
          <cell r="K1383" t="str">
            <v>technical</v>
          </cell>
          <cell r="L1383" t="str">
            <v>テクニカルタイプ</v>
          </cell>
          <cell r="M1383" t="str">
            <v>animal</v>
          </cell>
        </row>
        <row r="1384">
          <cell r="A1384">
            <v>5004</v>
          </cell>
          <cell r="B1384" t="str">
            <v>ja</v>
          </cell>
          <cell r="C1384" t="str">
            <v>ナーガ★６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green</v>
          </cell>
          <cell r="I1384">
            <v>6</v>
          </cell>
          <cell r="J1384" t="str">
            <v>DropWizS</v>
          </cell>
          <cell r="K1384" t="str">
            <v>technical</v>
          </cell>
          <cell r="L1384" t="str">
            <v>テクニカルタイプ</v>
          </cell>
          <cell r="M1384" t="str">
            <v>animal</v>
          </cell>
        </row>
        <row r="1385">
          <cell r="A1385">
            <v>5005</v>
          </cell>
          <cell r="B1385" t="str">
            <v>ja</v>
          </cell>
          <cell r="C1385" t="str">
            <v>カーミラ</v>
          </cell>
          <cell r="D1385" t="str">
            <v>ノーマルクエスト</v>
          </cell>
          <cell r="E1385" t="str">
            <v>QoH</v>
          </cell>
          <cell r="F1385" t="str">
            <v>世界観</v>
          </cell>
          <cell r="G1385" t="str">
            <v>不明</v>
          </cell>
          <cell r="H1385" t="str">
            <v>green</v>
          </cell>
          <cell r="I1385">
            <v>5</v>
          </cell>
          <cell r="J1385" t="str">
            <v>PremiumSSw</v>
          </cell>
          <cell r="K1385" t="str">
            <v>balance</v>
          </cell>
          <cell r="L1385" t="str">
            <v>バランスタイプ</v>
          </cell>
          <cell r="M1385" t="str">
            <v>demon</v>
          </cell>
        </row>
        <row r="1386">
          <cell r="A1386">
            <v>5006</v>
          </cell>
          <cell r="B1386" t="str">
            <v>ja</v>
          </cell>
          <cell r="C1386" t="str">
            <v>カーミラ★６</v>
          </cell>
          <cell r="D1386" t="str">
            <v>ノーマルクエスト</v>
          </cell>
          <cell r="E1386" t="str">
            <v>アバター</v>
          </cell>
          <cell r="F1386" t="str">
            <v>世界観</v>
          </cell>
          <cell r="G1386" t="str">
            <v>男性</v>
          </cell>
          <cell r="H1386" t="str">
            <v>green</v>
          </cell>
          <cell r="I1386">
            <v>6</v>
          </cell>
          <cell r="J1386" t="str">
            <v>PremiumSSw</v>
          </cell>
          <cell r="K1386" t="str">
            <v>balance</v>
          </cell>
          <cell r="L1386" t="str">
            <v>バランスタイプ</v>
          </cell>
          <cell r="M1386" t="str">
            <v>demon</v>
          </cell>
        </row>
        <row r="1387">
          <cell r="A1387">
            <v>5007</v>
          </cell>
          <cell r="B1387" t="str">
            <v>ja</v>
          </cell>
          <cell r="C1387" t="str">
            <v>ヘルシング</v>
          </cell>
          <cell r="D1387" t="str">
            <v>リンクガチャ:4神</v>
          </cell>
          <cell r="E1387" t="str">
            <v>守護神</v>
          </cell>
          <cell r="F1387" t="str">
            <v>格好いい</v>
          </cell>
          <cell r="G1387" t="str">
            <v>不明</v>
          </cell>
          <cell r="H1387" t="str">
            <v>yellow</v>
          </cell>
          <cell r="I1387">
            <v>5</v>
          </cell>
          <cell r="J1387" t="str">
            <v>DropWizS</v>
          </cell>
          <cell r="K1387" t="str">
            <v>attack</v>
          </cell>
          <cell r="L1387" t="str">
            <v>攻撃タイプ</v>
          </cell>
          <cell r="M1387" t="str">
            <v>human</v>
          </cell>
        </row>
        <row r="1388">
          <cell r="A1388">
            <v>5008</v>
          </cell>
          <cell r="B1388" t="str">
            <v>ja</v>
          </cell>
          <cell r="C1388" t="str">
            <v>ヘルシング★６</v>
          </cell>
          <cell r="D1388" t="str">
            <v>ノーマルクエスト</v>
          </cell>
          <cell r="E1388" t="str">
            <v>アバター</v>
          </cell>
          <cell r="F1388" t="str">
            <v>世界観</v>
          </cell>
          <cell r="G1388" t="str">
            <v>不明</v>
          </cell>
          <cell r="H1388" t="str">
            <v>yellow</v>
          </cell>
          <cell r="I1388">
            <v>6</v>
          </cell>
          <cell r="J1388" t="str">
            <v>DropWizS</v>
          </cell>
          <cell r="K1388" t="str">
            <v>attack</v>
          </cell>
          <cell r="L1388" t="str">
            <v>攻撃タイプ</v>
          </cell>
          <cell r="M1388" t="str">
            <v>human</v>
          </cell>
        </row>
        <row r="1389">
          <cell r="A1389">
            <v>6001</v>
          </cell>
          <cell r="B1389" t="str">
            <v>ja</v>
          </cell>
          <cell r="C1389" t="str">
            <v>ジェリー</v>
          </cell>
          <cell r="D1389" t="str">
            <v>ノーマルクエスト</v>
          </cell>
          <cell r="E1389" t="str">
            <v>QoH</v>
          </cell>
          <cell r="F1389" t="str">
            <v>世界観</v>
          </cell>
          <cell r="G1389" t="str">
            <v>不明</v>
          </cell>
          <cell r="H1389" t="str">
            <v>red</v>
          </cell>
          <cell r="I1389">
            <v>1</v>
          </cell>
          <cell r="J1389" t="str">
            <v>Drop1T</v>
          </cell>
          <cell r="K1389" t="str">
            <v>ra</v>
          </cell>
          <cell r="L1389" t="str">
            <v>ラグランジュチャレンジ</v>
          </cell>
          <cell r="M1389" t="str">
            <v>unknown</v>
          </cell>
        </row>
        <row r="1390">
          <cell r="A1390">
            <v>6002</v>
          </cell>
          <cell r="B1390" t="str">
            <v>ja</v>
          </cell>
          <cell r="C1390" t="str">
            <v>ヨシタカ</v>
          </cell>
          <cell r="D1390" t="str">
            <v>ノーマルクエスト</v>
          </cell>
          <cell r="E1390" t="str">
            <v>アバター</v>
          </cell>
          <cell r="F1390" t="str">
            <v>世界観</v>
          </cell>
          <cell r="G1390" t="str">
            <v>男性</v>
          </cell>
          <cell r="H1390" t="str">
            <v>red</v>
          </cell>
          <cell r="I1390">
            <v>2</v>
          </cell>
          <cell r="J1390" t="str">
            <v>Drop1N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6003</v>
          </cell>
          <cell r="B1391" t="str">
            <v>ja</v>
          </cell>
          <cell r="C1391" t="str">
            <v>朱雀</v>
          </cell>
          <cell r="D1391" t="str">
            <v>リンクガチャ:4神</v>
          </cell>
          <cell r="E1391" t="str">
            <v>守護神</v>
          </cell>
          <cell r="F1391" t="str">
            <v>格好いい</v>
          </cell>
          <cell r="G1391" t="str">
            <v>不明</v>
          </cell>
          <cell r="H1391" t="str">
            <v>red</v>
          </cell>
          <cell r="I1391">
            <v>3</v>
          </cell>
          <cell r="J1391" t="str">
            <v>Drop2N</v>
          </cell>
          <cell r="K1391" t="str">
            <v>ra</v>
          </cell>
          <cell r="L1391" t="str">
            <v>ラグランジュチャレンジ</v>
          </cell>
          <cell r="M1391" t="str">
            <v>animal</v>
          </cell>
        </row>
        <row r="1392">
          <cell r="A1392">
            <v>6004</v>
          </cell>
          <cell r="B1392" t="str">
            <v>ja</v>
          </cell>
          <cell r="C1392" t="str">
            <v>ブレット</v>
          </cell>
          <cell r="D1392" t="str">
            <v>ノーマルクエスト</v>
          </cell>
          <cell r="E1392" t="str">
            <v>アバター</v>
          </cell>
          <cell r="F1392" t="str">
            <v>世界観</v>
          </cell>
          <cell r="G1392" t="str">
            <v>不明</v>
          </cell>
          <cell r="H1392" t="str">
            <v>red</v>
          </cell>
          <cell r="I1392">
            <v>1</v>
          </cell>
          <cell r="J1392" t="str">
            <v>Drop1W</v>
          </cell>
          <cell r="K1392" t="str">
            <v>ra</v>
          </cell>
          <cell r="L1392" t="str">
            <v>ラグランジュチャレンジ</v>
          </cell>
          <cell r="M1392" t="str">
            <v>animal</v>
          </cell>
        </row>
        <row r="1393">
          <cell r="A1393">
            <v>6005</v>
          </cell>
          <cell r="B1393" t="str">
            <v>ja</v>
          </cell>
          <cell r="C1393" t="str">
            <v>孤神 テティス</v>
          </cell>
          <cell r="D1393" t="str">
            <v>初期ガチャ</v>
          </cell>
          <cell r="E1393" t="str">
            <v>管理者</v>
          </cell>
          <cell r="F1393" t="str">
            <v>美しい</v>
          </cell>
          <cell r="G1393" t="str">
            <v>女性</v>
          </cell>
          <cell r="H1393" t="str">
            <v>blue</v>
          </cell>
          <cell r="I1393">
            <v>4</v>
          </cell>
          <cell r="J1393" t="str">
            <v>PremiumN</v>
          </cell>
          <cell r="K1393" t="str">
            <v>ra</v>
          </cell>
          <cell r="L1393" t="str">
            <v>ラグランジュチャレンジ</v>
          </cell>
          <cell r="M1393" t="str">
            <v>god</v>
          </cell>
        </row>
        <row r="1394">
          <cell r="A1394">
            <v>6006</v>
          </cell>
          <cell r="B1394" t="str">
            <v>ja</v>
          </cell>
          <cell r="C1394" t="str">
            <v>海底の孤高神 テティス</v>
          </cell>
          <cell r="D1394" t="str">
            <v>初期ガチャ</v>
          </cell>
          <cell r="E1394" t="str">
            <v>管理者</v>
          </cell>
          <cell r="F1394" t="str">
            <v>美しい</v>
          </cell>
          <cell r="G1394" t="str">
            <v>女性</v>
          </cell>
          <cell r="H1394" t="str">
            <v>blue</v>
          </cell>
          <cell r="I1394">
            <v>5</v>
          </cell>
          <cell r="J1394" t="str">
            <v>PremiumN</v>
          </cell>
          <cell r="K1394" t="str">
            <v>ra</v>
          </cell>
          <cell r="L1394" t="str">
            <v>ラグランジュチャレンジ</v>
          </cell>
          <cell r="M1394" t="str">
            <v>god</v>
          </cell>
        </row>
        <row r="1395">
          <cell r="A1395">
            <v>6007</v>
          </cell>
          <cell r="B1395" t="str">
            <v>ja</v>
          </cell>
          <cell r="C1395" t="str">
            <v>番犬 ケルベロス</v>
          </cell>
          <cell r="D1395" t="str">
            <v>初期ガチャ</v>
          </cell>
          <cell r="E1395" t="str">
            <v>破界者</v>
          </cell>
          <cell r="F1395" t="str">
            <v>可愛い</v>
          </cell>
          <cell r="G1395" t="str">
            <v>女性</v>
          </cell>
          <cell r="H1395" t="str">
            <v>red</v>
          </cell>
          <cell r="I1395">
            <v>4</v>
          </cell>
          <cell r="J1395" t="str">
            <v>PremiumN</v>
          </cell>
          <cell r="K1395" t="str">
            <v>ra</v>
          </cell>
          <cell r="L1395" t="str">
            <v>ラグランジュチャレンジ</v>
          </cell>
          <cell r="M1395" t="str">
            <v>animal</v>
          </cell>
        </row>
        <row r="1396">
          <cell r="A1396">
            <v>6008</v>
          </cell>
          <cell r="B1396" t="str">
            <v>ja</v>
          </cell>
          <cell r="C1396" t="str">
            <v>焔神 プロメテウス</v>
          </cell>
          <cell r="D1396" t="str">
            <v>初期ガチャ</v>
          </cell>
          <cell r="E1396" t="str">
            <v>管理者</v>
          </cell>
          <cell r="F1396" t="str">
            <v>格好いい</v>
          </cell>
          <cell r="G1396" t="str">
            <v>男性</v>
          </cell>
          <cell r="H1396" t="str">
            <v>red</v>
          </cell>
          <cell r="I1396">
            <v>4</v>
          </cell>
          <cell r="J1396" t="str">
            <v>PremiumN</v>
          </cell>
          <cell r="K1396" t="str">
            <v>ra</v>
          </cell>
          <cell r="L1396" t="str">
            <v>ラグランジュチャレンジ</v>
          </cell>
          <cell r="M1396" t="str">
            <v>god</v>
          </cell>
        </row>
        <row r="1397">
          <cell r="A1397">
            <v>6009</v>
          </cell>
          <cell r="B1397" t="str">
            <v>ja</v>
          </cell>
          <cell r="C1397" t="str">
            <v>超越自我 ラグランジュ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red</v>
          </cell>
          <cell r="I1397">
            <v>5</v>
          </cell>
          <cell r="J1397" t="str">
            <v>PremiumSSS</v>
          </cell>
          <cell r="K1397" t="str">
            <v>ra</v>
          </cell>
          <cell r="L1397" t="str">
            <v>ラグランジュチャレンジ</v>
          </cell>
          <cell r="M1397" t="str">
            <v>human</v>
          </cell>
        </row>
        <row r="1398">
          <cell r="A1398">
            <v>6010</v>
          </cell>
          <cell r="B1398" t="str">
            <v>ja</v>
          </cell>
          <cell r="C1398" t="str">
            <v>超越凌駕 ラグランジュ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女性</v>
          </cell>
          <cell r="H1398" t="str">
            <v>red</v>
          </cell>
          <cell r="I1398">
            <v>6</v>
          </cell>
          <cell r="J1398" t="str">
            <v>PremiumSSS</v>
          </cell>
          <cell r="K1398" t="str">
            <v>ra</v>
          </cell>
          <cell r="L1398" t="str">
            <v>ラグランジュチャレンジ</v>
          </cell>
          <cell r="M1398" t="str">
            <v>human</v>
          </cell>
        </row>
        <row r="1399">
          <cell r="A1399">
            <v>6011</v>
          </cell>
          <cell r="B1399" t="str">
            <v>ja</v>
          </cell>
          <cell r="C1399" t="str">
            <v>パトドッグリーダー ポチ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blue</v>
          </cell>
          <cell r="I1399">
            <v>2</v>
          </cell>
          <cell r="J1399" t="str">
            <v>Drop1T</v>
          </cell>
          <cell r="K1399" t="str">
            <v>ra002</v>
          </cell>
          <cell r="L1399" t="str">
            <v>ユークリッドチャレンジ</v>
          </cell>
          <cell r="M1399" t="str">
            <v>unknown</v>
          </cell>
        </row>
        <row r="1400">
          <cell r="A1400">
            <v>6012</v>
          </cell>
          <cell r="B1400" t="str">
            <v>ja</v>
          </cell>
          <cell r="C1400" t="str">
            <v>ミミ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yellow</v>
          </cell>
          <cell r="I1400">
            <v>1</v>
          </cell>
          <cell r="J1400" t="str">
            <v>Drop1W</v>
          </cell>
          <cell r="K1400" t="str">
            <v>ra002</v>
          </cell>
          <cell r="L1400" t="str">
            <v>ユークリッドチャレンジ</v>
          </cell>
          <cell r="M1400" t="str">
            <v>animal</v>
          </cell>
        </row>
        <row r="1401">
          <cell r="A1401">
            <v>6013</v>
          </cell>
          <cell r="B1401" t="str">
            <v>ja</v>
          </cell>
          <cell r="C1401" t="str">
            <v>護衛機人 スケアクロウ</v>
          </cell>
          <cell r="D1401" t="str">
            <v>ガチャ:フィーバーフェス02</v>
          </cell>
          <cell r="E1401" t="str">
            <v>執行者</v>
          </cell>
          <cell r="F1401" t="str">
            <v>格好いい</v>
          </cell>
          <cell r="G1401" t="str">
            <v>男性</v>
          </cell>
          <cell r="H1401" t="str">
            <v>blue</v>
          </cell>
          <cell r="I1401">
            <v>2</v>
          </cell>
          <cell r="J1401" t="str">
            <v>Drop1N</v>
          </cell>
          <cell r="K1401" t="str">
            <v>ra002</v>
          </cell>
          <cell r="L1401" t="str">
            <v>ユークリッドチャレンジ</v>
          </cell>
          <cell r="M1401" t="str">
            <v>machine</v>
          </cell>
        </row>
        <row r="1402">
          <cell r="A1402">
            <v>6014</v>
          </cell>
          <cell r="B1402" t="str">
            <v>ja</v>
          </cell>
          <cell r="C1402" t="str">
            <v>月下の人狼 ローレンス</v>
          </cell>
          <cell r="D1402" t="str">
            <v>ガチャ:フィーバーフェス02</v>
          </cell>
          <cell r="E1402" t="str">
            <v>執行者</v>
          </cell>
          <cell r="F1402" t="str">
            <v>格好いい</v>
          </cell>
          <cell r="G1402" t="str">
            <v>男性</v>
          </cell>
          <cell r="H1402" t="str">
            <v>blue</v>
          </cell>
          <cell r="I1402">
            <v>4</v>
          </cell>
          <cell r="J1402" t="str">
            <v>PremiumW</v>
          </cell>
          <cell r="K1402" t="str">
            <v>ra002</v>
          </cell>
          <cell r="L1402" t="str">
            <v>ユークリッドチャレンジ</v>
          </cell>
          <cell r="M1402" t="str">
            <v>animal</v>
          </cell>
        </row>
        <row r="1403">
          <cell r="A1403">
            <v>6015</v>
          </cell>
          <cell r="B1403" t="str">
            <v>ja</v>
          </cell>
          <cell r="C1403" t="str">
            <v>フレイヤ</v>
          </cell>
          <cell r="D1403" t="str">
            <v>ガチャ:フィーバーフェス02</v>
          </cell>
          <cell r="E1403" t="str">
            <v>執行者</v>
          </cell>
          <cell r="F1403" t="str">
            <v>格好いい</v>
          </cell>
          <cell r="G1403" t="str">
            <v>男性</v>
          </cell>
          <cell r="H1403" t="str">
            <v>blue</v>
          </cell>
          <cell r="I1403">
            <v>4</v>
          </cell>
          <cell r="J1403" t="str">
            <v>PremiumSS</v>
          </cell>
          <cell r="K1403" t="str">
            <v>ra002</v>
          </cell>
          <cell r="L1403" t="str">
            <v>ユークリッドチャレンジ</v>
          </cell>
          <cell r="M1403" t="str">
            <v>animal</v>
          </cell>
        </row>
        <row r="1404">
          <cell r="A1404">
            <v>6016</v>
          </cell>
          <cell r="B1404" t="str">
            <v>ja</v>
          </cell>
          <cell r="C1404" t="str">
            <v>根原論理 ユークリッド</v>
          </cell>
          <cell r="D1404" t="str">
            <v>ガチャ:フィーバーフェス02</v>
          </cell>
          <cell r="E1404" t="str">
            <v>執行者</v>
          </cell>
          <cell r="F1404" t="str">
            <v>格好いい</v>
          </cell>
          <cell r="G1404" t="str">
            <v>男性</v>
          </cell>
          <cell r="H1404" t="str">
            <v>blue</v>
          </cell>
          <cell r="I1404">
            <v>5</v>
          </cell>
          <cell r="J1404" t="str">
            <v>PremiumSSS</v>
          </cell>
          <cell r="K1404" t="str">
            <v>ra002</v>
          </cell>
          <cell r="L1404" t="str">
            <v>ユークリッドチャレンジ</v>
          </cell>
          <cell r="M1404" t="str">
            <v>human</v>
          </cell>
        </row>
        <row r="1405">
          <cell r="A1405">
            <v>6017</v>
          </cell>
          <cell r="B1405" t="str">
            <v>ja</v>
          </cell>
          <cell r="C1405" t="str">
            <v>不朽の極論 ユークリッド</v>
          </cell>
          <cell r="D1405" t="str">
            <v>ガチャ:フィーバーフェス02</v>
          </cell>
          <cell r="E1405" t="str">
            <v>執行者</v>
          </cell>
          <cell r="F1405" t="str">
            <v>格好いい</v>
          </cell>
          <cell r="G1405" t="str">
            <v>男性</v>
          </cell>
          <cell r="H1405" t="str">
            <v>blue</v>
          </cell>
          <cell r="I1405">
            <v>6</v>
          </cell>
          <cell r="J1405" t="str">
            <v>PremiumSSS</v>
          </cell>
          <cell r="K1405" t="str">
            <v>ra002</v>
          </cell>
          <cell r="L1405" t="str">
            <v>ユークリッドチャレンジ</v>
          </cell>
          <cell r="M1405" t="str">
            <v>human</v>
          </cell>
        </row>
        <row r="1406">
          <cell r="A1406">
            <v>6018</v>
          </cell>
          <cell r="B1406" t="str">
            <v>ja</v>
          </cell>
          <cell r="C1406" t="str">
            <v>ハヅル</v>
          </cell>
          <cell r="D1406" t="str">
            <v>ガチャ:フィーバーフェス02</v>
          </cell>
          <cell r="E1406" t="str">
            <v>執行者</v>
          </cell>
          <cell r="F1406" t="str">
            <v>格好いい</v>
          </cell>
          <cell r="G1406" t="str">
            <v>男性</v>
          </cell>
          <cell r="H1406" t="str">
            <v>red</v>
          </cell>
          <cell r="I1406">
            <v>4</v>
          </cell>
          <cell r="J1406" t="str">
            <v>PremiumSS</v>
          </cell>
          <cell r="K1406" t="str">
            <v>ra002</v>
          </cell>
          <cell r="L1406" t="str">
            <v>ユークリッドチャレンジ</v>
          </cell>
          <cell r="M1406" t="str">
            <v>animal</v>
          </cell>
        </row>
        <row r="1407">
          <cell r="A1407">
            <v>6019</v>
          </cell>
          <cell r="B1407" t="str">
            <v>ja</v>
          </cell>
          <cell r="C1407" t="str">
            <v>天織羽鶴 ハヅル</v>
          </cell>
          <cell r="D1407" t="str">
            <v>ガチャ:フィーバーフェス02</v>
          </cell>
          <cell r="E1407" t="str">
            <v>執行者</v>
          </cell>
          <cell r="F1407" t="str">
            <v>格好いい</v>
          </cell>
          <cell r="G1407" t="str">
            <v>男性</v>
          </cell>
          <cell r="H1407" t="str">
            <v>red</v>
          </cell>
          <cell r="I1407">
            <v>5</v>
          </cell>
          <cell r="J1407" t="str">
            <v>PremiumSS</v>
          </cell>
          <cell r="K1407" t="str">
            <v>ra002</v>
          </cell>
          <cell r="L1407" t="str">
            <v>ユークリッドチャレンジ</v>
          </cell>
          <cell r="M1407" t="str">
            <v>animal</v>
          </cell>
        </row>
        <row r="1408">
          <cell r="A1408">
            <v>6020</v>
          </cell>
          <cell r="B1408" t="str">
            <v>ja</v>
          </cell>
          <cell r="C1408" t="str">
            <v>ミズチ</v>
          </cell>
          <cell r="D1408" t="str">
            <v>ガチャ:フィーバーフェス02</v>
          </cell>
          <cell r="E1408" t="str">
            <v>執行者</v>
          </cell>
          <cell r="F1408" t="str">
            <v>格好いい</v>
          </cell>
          <cell r="G1408" t="str">
            <v>男性</v>
          </cell>
          <cell r="H1408" t="str">
            <v>blue</v>
          </cell>
          <cell r="I1408">
            <v>4</v>
          </cell>
          <cell r="J1408" t="str">
            <v>PremiumS</v>
          </cell>
          <cell r="K1408" t="str">
            <v>ra002</v>
          </cell>
          <cell r="L1408" t="str">
            <v>ユークリッドチャレンジ</v>
          </cell>
          <cell r="M1408" t="str">
            <v>dragon</v>
          </cell>
        </row>
        <row r="1409">
          <cell r="A1409">
            <v>8001</v>
          </cell>
          <cell r="B1409" t="str">
            <v>ja</v>
          </cell>
          <cell r="C1409" t="str">
            <v>媽祖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8002</v>
          </cell>
          <cell r="B1410" t="str">
            <v>ja</v>
          </cell>
          <cell r="C1410" t="str">
            <v>宣導する天海妃 媽祖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yellow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8003</v>
          </cell>
          <cell r="B1411" t="str">
            <v>ja</v>
          </cell>
          <cell r="C1411" t="str">
            <v>蛟龍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hp</v>
          </cell>
          <cell r="L1411" t="str">
            <v>体力タイプ</v>
          </cell>
          <cell r="M1411" t="str">
            <v>dragon</v>
          </cell>
        </row>
        <row r="1412">
          <cell r="A1412">
            <v>8004</v>
          </cell>
          <cell r="B1412" t="str">
            <v>ja</v>
          </cell>
          <cell r="C1412" t="str">
            <v>呼嵐の蒼棲龍 蛟龍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不明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hp</v>
          </cell>
          <cell r="L1412" t="str">
            <v>体力タイプ</v>
          </cell>
          <cell r="M1412" t="str">
            <v>dragon</v>
          </cell>
        </row>
        <row r="1413">
          <cell r="A1413">
            <v>8005</v>
          </cell>
          <cell r="B1413" t="str">
            <v>ja</v>
          </cell>
          <cell r="C1413" t="str">
            <v>三蔵法師</v>
          </cell>
          <cell r="D1413" t="str">
            <v>イベント:ミクコラボ01</v>
          </cell>
          <cell r="E1413" t="str">
            <v>執行者</v>
          </cell>
          <cell r="F1413" t="str">
            <v>格好いい</v>
          </cell>
          <cell r="G1413" t="str">
            <v>不明</v>
          </cell>
          <cell r="H1413" t="str">
            <v>blue</v>
          </cell>
          <cell r="I1413">
            <v>5</v>
          </cell>
          <cell r="J1413" t="str">
            <v>PremiumSS</v>
          </cell>
          <cell r="K1413" t="str">
            <v>balance</v>
          </cell>
          <cell r="L1413" t="str">
            <v>バランスタイプ</v>
          </cell>
          <cell r="M1413" t="str">
            <v>human</v>
          </cell>
        </row>
        <row r="1414">
          <cell r="A1414">
            <v>8006</v>
          </cell>
          <cell r="B1414" t="str">
            <v>ja</v>
          </cell>
          <cell r="C1414" t="str">
            <v>慈戒の呪封使 三蔵法師</v>
          </cell>
          <cell r="D1414" t="str">
            <v>イベント:ミクコラボ01</v>
          </cell>
          <cell r="E1414" t="str">
            <v>執行者</v>
          </cell>
          <cell r="F1414" t="str">
            <v>格好いい</v>
          </cell>
          <cell r="G1414" t="str">
            <v>不明</v>
          </cell>
          <cell r="H1414" t="str">
            <v>blue</v>
          </cell>
          <cell r="I1414">
            <v>6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human</v>
          </cell>
        </row>
        <row r="1415">
          <cell r="A1415">
            <v>8007</v>
          </cell>
          <cell r="B1415" t="str">
            <v>ja</v>
          </cell>
          <cell r="C1415" t="str">
            <v>孫悟空</v>
          </cell>
          <cell r="D1415" t="str">
            <v>イベント:ミクコラボ01</v>
          </cell>
          <cell r="E1415" t="str">
            <v>執行者</v>
          </cell>
          <cell r="F1415" t="str">
            <v>格好いい</v>
          </cell>
          <cell r="G1415" t="str">
            <v>不明</v>
          </cell>
          <cell r="H1415" t="str">
            <v>red</v>
          </cell>
          <cell r="I1415">
            <v>5</v>
          </cell>
          <cell r="J1415" t="str">
            <v>DropWizS</v>
          </cell>
          <cell r="K1415" t="str">
            <v>attack</v>
          </cell>
          <cell r="L1415" t="str">
            <v>攻撃タイプ</v>
          </cell>
          <cell r="M1415" t="str">
            <v>animal</v>
          </cell>
        </row>
        <row r="1416">
          <cell r="A1416">
            <v>8008</v>
          </cell>
          <cell r="B1416" t="str">
            <v>ja</v>
          </cell>
          <cell r="C1416" t="str">
            <v>花果の天猿仙人 孫悟空</v>
          </cell>
          <cell r="D1416" t="str">
            <v>イベント:ミクコラボ01</v>
          </cell>
          <cell r="E1416" t="str">
            <v>執行者</v>
          </cell>
          <cell r="F1416" t="str">
            <v>格好いい</v>
          </cell>
          <cell r="G1416" t="str">
            <v>不明</v>
          </cell>
          <cell r="H1416" t="str">
            <v>red</v>
          </cell>
          <cell r="I1416">
            <v>6</v>
          </cell>
          <cell r="J1416" t="str">
            <v>DropWizS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8009</v>
          </cell>
          <cell r="B1417" t="str">
            <v>ja</v>
          </cell>
          <cell r="C1417" t="str">
            <v>西王娘娘</v>
          </cell>
          <cell r="D1417" t="str">
            <v>イベント:ミクコラボ01</v>
          </cell>
          <cell r="E1417" t="str">
            <v>執行者</v>
          </cell>
          <cell r="F1417" t="str">
            <v>格好いい</v>
          </cell>
          <cell r="G1417" t="str">
            <v>不明</v>
          </cell>
          <cell r="H1417" t="str">
            <v>green</v>
          </cell>
          <cell r="I1417">
            <v>5</v>
          </cell>
          <cell r="J1417" t="str">
            <v>PremiumSS</v>
          </cell>
          <cell r="K1417" t="str">
            <v>attack</v>
          </cell>
          <cell r="L1417" t="str">
            <v>攻撃タイプ</v>
          </cell>
          <cell r="M1417" t="str">
            <v>god</v>
          </cell>
        </row>
        <row r="1418">
          <cell r="A1418">
            <v>8010</v>
          </cell>
          <cell r="B1418" t="str">
            <v>ja</v>
          </cell>
          <cell r="C1418" t="str">
            <v>極楽瑶池の聖母 西王娘娘</v>
          </cell>
          <cell r="D1418" t="str">
            <v>イベント:ミクコラボ01</v>
          </cell>
          <cell r="E1418" t="str">
            <v>執行者</v>
          </cell>
          <cell r="F1418" t="str">
            <v>格好いい</v>
          </cell>
          <cell r="G1418" t="str">
            <v>不明</v>
          </cell>
          <cell r="H1418" t="str">
            <v>green</v>
          </cell>
          <cell r="I1418">
            <v>6</v>
          </cell>
          <cell r="J1418" t="str">
            <v>PremiumSS</v>
          </cell>
          <cell r="K1418" t="str">
            <v>attack</v>
          </cell>
          <cell r="L1418" t="str">
            <v>攻撃タイプ</v>
          </cell>
          <cell r="M1418" t="str">
            <v>god</v>
          </cell>
        </row>
        <row r="1419">
          <cell r="A1419">
            <v>8011</v>
          </cell>
          <cell r="B1419" t="str">
            <v>ja</v>
          </cell>
          <cell r="C1419" t="str">
            <v>月下老人</v>
          </cell>
          <cell r="D1419" t="str">
            <v>イベント:ミクコラボ01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yellow</v>
          </cell>
          <cell r="I1419">
            <v>5</v>
          </cell>
          <cell r="J1419" t="str">
            <v>DropWizS</v>
          </cell>
          <cell r="K1419" t="str">
            <v>balance</v>
          </cell>
          <cell r="L1419" t="str">
            <v>バランスタイプ</v>
          </cell>
          <cell r="M1419" t="str">
            <v>god</v>
          </cell>
        </row>
        <row r="1420">
          <cell r="A1420">
            <v>8012</v>
          </cell>
          <cell r="B1420" t="str">
            <v>ja</v>
          </cell>
          <cell r="C1420" t="str">
            <v>破戀斬る縁剣 月下老人</v>
          </cell>
          <cell r="D1420" t="str">
            <v>イベント:ミクコラボ01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yellow</v>
          </cell>
          <cell r="I1420">
            <v>6</v>
          </cell>
          <cell r="J1420" t="str">
            <v>DropWizS</v>
          </cell>
          <cell r="K1420" t="str">
            <v>balance</v>
          </cell>
          <cell r="L1420" t="str">
            <v>バランスタイプ</v>
          </cell>
          <cell r="M1420" t="str">
            <v>god</v>
          </cell>
        </row>
        <row r="1421">
          <cell r="A1421">
            <v>8013</v>
          </cell>
          <cell r="B1421" t="str">
            <v>ja</v>
          </cell>
          <cell r="C1421" t="str">
            <v>初音ミクV3</v>
          </cell>
          <cell r="D1421" t="str">
            <v>初音ミクV3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DropWizS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8014</v>
          </cell>
          <cell r="B1422" t="str">
            <v>ja</v>
          </cell>
          <cell r="C1422" t="str">
            <v>初音ミクV3</v>
          </cell>
          <cell r="D1422" t="str">
            <v>初音ミクV3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DropWizS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8015</v>
          </cell>
          <cell r="B1423" t="str">
            <v>ja</v>
          </cell>
          <cell r="C1423" t="str">
            <v>初音ミク・アペンド</v>
          </cell>
          <cell r="D1423" t="str">
            <v>初音ミク・アペンド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green</v>
          </cell>
          <cell r="I1423">
            <v>4</v>
          </cell>
          <cell r="J1423" t="str">
            <v>PremiumSSS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8016</v>
          </cell>
          <cell r="B1424" t="str">
            <v>ja</v>
          </cell>
          <cell r="C1424" t="str">
            <v>初音ミク・アペンド</v>
          </cell>
          <cell r="D1424" t="str">
            <v>初音ミク・アペンド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green</v>
          </cell>
          <cell r="I1424">
            <v>5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unknown</v>
          </cell>
        </row>
        <row r="1425">
          <cell r="A1425">
            <v>8017</v>
          </cell>
          <cell r="B1425" t="str">
            <v>ja</v>
          </cell>
          <cell r="C1425" t="str">
            <v>初音ミク</v>
          </cell>
          <cell r="D1425" t="str">
            <v>初音ミク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green</v>
          </cell>
          <cell r="I1425">
            <v>4</v>
          </cell>
          <cell r="J1425" t="str">
            <v>PremiumSSS</v>
          </cell>
          <cell r="K1425" t="str">
            <v>balance</v>
          </cell>
          <cell r="L1425" t="str">
            <v>バランスタイプ</v>
          </cell>
          <cell r="M1425" t="str">
            <v>unknown</v>
          </cell>
        </row>
        <row r="1426">
          <cell r="A1426">
            <v>8018</v>
          </cell>
          <cell r="B1426" t="str">
            <v>ja</v>
          </cell>
          <cell r="C1426" t="str">
            <v>初音ミク</v>
          </cell>
          <cell r="D1426" t="str">
            <v>初音ミク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green</v>
          </cell>
          <cell r="I1426">
            <v>5</v>
          </cell>
          <cell r="J1426" t="str">
            <v>PremiumSSS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8019</v>
          </cell>
          <cell r="B1427" t="str">
            <v>ja</v>
          </cell>
          <cell r="C1427" t="str">
            <v>鏡音リン</v>
          </cell>
          <cell r="D1427" t="str">
            <v>鏡音リン</v>
          </cell>
          <cell r="E1427" t="str">
            <v>執行者</v>
          </cell>
          <cell r="F1427" t="str">
            <v>格好いい</v>
          </cell>
          <cell r="G1427" t="str">
            <v>男性</v>
          </cell>
          <cell r="H1427" t="str">
            <v>yellow</v>
          </cell>
          <cell r="I1427">
            <v>4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unknown</v>
          </cell>
        </row>
        <row r="1428">
          <cell r="A1428">
            <v>8020</v>
          </cell>
          <cell r="B1428" t="str">
            <v>ja</v>
          </cell>
          <cell r="C1428" t="str">
            <v>鏡音リン</v>
          </cell>
          <cell r="D1428" t="str">
            <v>鏡音リン</v>
          </cell>
          <cell r="E1428" t="str">
            <v>執行者</v>
          </cell>
          <cell r="F1428" t="str">
            <v>格好いい</v>
          </cell>
          <cell r="G1428" t="str">
            <v>男性</v>
          </cell>
          <cell r="H1428" t="str">
            <v>yellow</v>
          </cell>
          <cell r="I1428">
            <v>5</v>
          </cell>
          <cell r="J1428" t="str">
            <v>PremiumSS</v>
          </cell>
          <cell r="K1428" t="str">
            <v>balance</v>
          </cell>
          <cell r="L1428" t="str">
            <v>バランスタイプ</v>
          </cell>
          <cell r="M1428" t="str">
            <v>unknown</v>
          </cell>
        </row>
        <row r="1429">
          <cell r="A1429">
            <v>8021</v>
          </cell>
          <cell r="B1429" t="str">
            <v>ja</v>
          </cell>
          <cell r="C1429" t="str">
            <v>鏡音レン</v>
          </cell>
          <cell r="D1429" t="str">
            <v>鏡音レン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yellow</v>
          </cell>
          <cell r="I1429">
            <v>4</v>
          </cell>
          <cell r="J1429" t="str">
            <v>PremiumSS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8022</v>
          </cell>
          <cell r="B1430" t="str">
            <v>ja</v>
          </cell>
          <cell r="C1430" t="str">
            <v>鏡音レン</v>
          </cell>
          <cell r="D1430" t="str">
            <v>鏡音レン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yellow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8023</v>
          </cell>
          <cell r="B1431" t="str">
            <v>ja</v>
          </cell>
          <cell r="C1431" t="str">
            <v>巡音ルカ</v>
          </cell>
          <cell r="D1431" t="str">
            <v>巡音ルカ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3</v>
          </cell>
          <cell r="J1431" t="str">
            <v>PremiumS</v>
          </cell>
          <cell r="K1431" t="str">
            <v>attack</v>
          </cell>
          <cell r="L1431" t="str">
            <v>攻撃タイプ</v>
          </cell>
          <cell r="M1431" t="str">
            <v>unknown</v>
          </cell>
        </row>
        <row r="1432">
          <cell r="A1432">
            <v>8024</v>
          </cell>
          <cell r="B1432" t="str">
            <v>ja</v>
          </cell>
          <cell r="C1432" t="str">
            <v>巡音ルカ</v>
          </cell>
          <cell r="D1432" t="str">
            <v>巡音ルカ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4</v>
          </cell>
          <cell r="J1432" t="str">
            <v>PremiumS</v>
          </cell>
          <cell r="K1432" t="str">
            <v>attack</v>
          </cell>
          <cell r="L1432" t="str">
            <v>攻撃タイプ</v>
          </cell>
          <cell r="M1432" t="str">
            <v>unknown</v>
          </cell>
        </row>
        <row r="1433">
          <cell r="A1433">
            <v>8025</v>
          </cell>
          <cell r="B1433" t="str">
            <v>ja</v>
          </cell>
          <cell r="C1433" t="str">
            <v>MEIKO</v>
          </cell>
          <cell r="D1433" t="str">
            <v>MEIKO</v>
          </cell>
          <cell r="E1433" t="str">
            <v>執行者</v>
          </cell>
          <cell r="F1433" t="str">
            <v>格好いい</v>
          </cell>
          <cell r="G1433" t="str">
            <v>男性</v>
          </cell>
          <cell r="H1433" t="str">
            <v>red</v>
          </cell>
          <cell r="I1433">
            <v>3</v>
          </cell>
          <cell r="J1433" t="str">
            <v>PremiumS</v>
          </cell>
          <cell r="K1433" t="str">
            <v>hp</v>
          </cell>
          <cell r="L1433" t="str">
            <v>体力タイプ</v>
          </cell>
          <cell r="M1433" t="str">
            <v>unknown</v>
          </cell>
        </row>
        <row r="1434">
          <cell r="A1434">
            <v>8026</v>
          </cell>
          <cell r="B1434" t="str">
            <v>ja</v>
          </cell>
          <cell r="C1434" t="str">
            <v>MEIKO</v>
          </cell>
          <cell r="D1434" t="str">
            <v>MEIKO</v>
          </cell>
          <cell r="E1434" t="str">
            <v>執行者</v>
          </cell>
          <cell r="F1434" t="str">
            <v>格好いい</v>
          </cell>
          <cell r="G1434" t="str">
            <v>男性</v>
          </cell>
          <cell r="H1434" t="str">
            <v>red</v>
          </cell>
          <cell r="I1434">
            <v>4</v>
          </cell>
          <cell r="J1434" t="str">
            <v>PremiumS</v>
          </cell>
          <cell r="K1434" t="str">
            <v>hp</v>
          </cell>
          <cell r="L1434" t="str">
            <v>体力タイプ</v>
          </cell>
          <cell r="M1434" t="str">
            <v>unknown</v>
          </cell>
        </row>
        <row r="1435">
          <cell r="A1435">
            <v>8027</v>
          </cell>
          <cell r="B1435" t="str">
            <v>ja</v>
          </cell>
          <cell r="C1435" t="str">
            <v>KAITO</v>
          </cell>
          <cell r="D1435" t="str">
            <v>KAITO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3</v>
          </cell>
          <cell r="J1435" t="str">
            <v>PremiumS</v>
          </cell>
          <cell r="K1435" t="str">
            <v>technical</v>
          </cell>
          <cell r="L1435" t="str">
            <v>テクニカルタイプ</v>
          </cell>
          <cell r="M1435" t="str">
            <v>unknown</v>
          </cell>
        </row>
        <row r="1436">
          <cell r="A1436">
            <v>8028</v>
          </cell>
          <cell r="B1436" t="str">
            <v>ja</v>
          </cell>
          <cell r="C1436" t="str">
            <v>KAITO</v>
          </cell>
          <cell r="D1436" t="str">
            <v>KAITO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4</v>
          </cell>
          <cell r="J1436" t="str">
            <v>PremiumS</v>
          </cell>
          <cell r="K1436" t="str">
            <v>technical</v>
          </cell>
          <cell r="L1436" t="str">
            <v>テクニカルタイプ</v>
          </cell>
          <cell r="M1436" t="str">
            <v>unknown</v>
          </cell>
        </row>
        <row r="1437">
          <cell r="A1437">
            <v>8029</v>
          </cell>
          <cell r="B1437" t="str">
            <v>ja</v>
          </cell>
          <cell r="C1437" t="str">
            <v>Expoミク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4</v>
          </cell>
          <cell r="J1437" t="str">
            <v>Drop2N</v>
          </cell>
          <cell r="K1437" t="str">
            <v>heal</v>
          </cell>
          <cell r="L1437" t="str">
            <v>回復タイプ</v>
          </cell>
          <cell r="M1437" t="str">
            <v>unknown</v>
          </cell>
        </row>
        <row r="1438">
          <cell r="A1438">
            <v>8030</v>
          </cell>
          <cell r="B1438" t="str">
            <v>ja</v>
          </cell>
          <cell r="C1438" t="str">
            <v>Expoミク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blue</v>
          </cell>
          <cell r="I1438">
            <v>5</v>
          </cell>
          <cell r="J1438" t="str">
            <v>Drop2N</v>
          </cell>
          <cell r="K1438" t="str">
            <v>heal</v>
          </cell>
          <cell r="L1438" t="str">
            <v>回復タイプ</v>
          </cell>
          <cell r="M1438" t="str">
            <v>unknown</v>
          </cell>
        </row>
        <row r="1439">
          <cell r="A1439">
            <v>8031</v>
          </cell>
          <cell r="B1439" t="str">
            <v>ja</v>
          </cell>
          <cell r="C1439" t="str">
            <v>閻羅王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red</v>
          </cell>
          <cell r="I1439">
            <v>5</v>
          </cell>
          <cell r="J1439" t="str">
            <v>PremiumSS</v>
          </cell>
          <cell r="K1439" t="str">
            <v>balance</v>
          </cell>
          <cell r="L1439" t="str">
            <v>バランスタイプ</v>
          </cell>
          <cell r="M1439" t="str">
            <v>god</v>
          </cell>
        </row>
        <row r="1440">
          <cell r="A1440">
            <v>8032</v>
          </cell>
          <cell r="B1440" t="str">
            <v>ja</v>
          </cell>
          <cell r="C1440" t="str">
            <v>六道輪廻の絶獄 閻羅王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red</v>
          </cell>
          <cell r="I1440">
            <v>6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god</v>
          </cell>
        </row>
        <row r="1441">
          <cell r="A1441">
            <v>8033</v>
          </cell>
          <cell r="B1441" t="str">
            <v>ja</v>
          </cell>
          <cell r="C1441" t="str">
            <v>牛頭馬面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green</v>
          </cell>
          <cell r="I1441">
            <v>5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god</v>
          </cell>
        </row>
        <row r="1442">
          <cell r="A1442">
            <v>8034</v>
          </cell>
          <cell r="B1442" t="str">
            <v>ja</v>
          </cell>
          <cell r="C1442" t="str">
            <v>冥府狩る魂使 牛頭馬面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green</v>
          </cell>
          <cell r="I1442">
            <v>6</v>
          </cell>
          <cell r="J1442" t="str">
            <v>DropWizS</v>
          </cell>
          <cell r="K1442" t="str">
            <v>attack</v>
          </cell>
          <cell r="L1442" t="str">
            <v>攻撃タイプ</v>
          </cell>
          <cell r="M1442" t="str">
            <v>god</v>
          </cell>
        </row>
        <row r="1443">
          <cell r="A1443">
            <v>8035</v>
          </cell>
          <cell r="B1443" t="str">
            <v>ja</v>
          </cell>
          <cell r="C1443" t="str">
            <v>飛衛</v>
          </cell>
          <cell r="D1443" t="str">
            <v>Expoミク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blue</v>
          </cell>
          <cell r="I1443">
            <v>5</v>
          </cell>
          <cell r="J1443" t="str">
            <v>PremiumSS</v>
          </cell>
          <cell r="K1443" t="str">
            <v>heal</v>
          </cell>
          <cell r="L1443" t="str">
            <v>回復タイプ</v>
          </cell>
          <cell r="M1443" t="str">
            <v>human</v>
          </cell>
        </row>
        <row r="1444">
          <cell r="A1444">
            <v>8036</v>
          </cell>
          <cell r="B1444" t="str">
            <v>ja</v>
          </cell>
          <cell r="C1444" t="str">
            <v>レア６飛衛</v>
          </cell>
          <cell r="D1444" t="str">
            <v>Expoミク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blue</v>
          </cell>
          <cell r="I1444">
            <v>6</v>
          </cell>
          <cell r="J1444" t="str">
            <v>PremiumSS</v>
          </cell>
          <cell r="K1444" t="str">
            <v>heal</v>
          </cell>
          <cell r="L1444" t="str">
            <v>回復タイプ</v>
          </cell>
          <cell r="M1444" t="str">
            <v>human</v>
          </cell>
        </row>
        <row r="1445">
          <cell r="A1445">
            <v>8037</v>
          </cell>
          <cell r="B1445" t="str">
            <v>ja</v>
          </cell>
          <cell r="C1445" t="str">
            <v>紀昌</v>
          </cell>
          <cell r="D1445" t="str">
            <v>Expoミク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DropWizS</v>
          </cell>
          <cell r="K1445" t="str">
            <v>attack</v>
          </cell>
          <cell r="L1445" t="str">
            <v>攻撃タイプ</v>
          </cell>
          <cell r="M1445" t="str">
            <v>human</v>
          </cell>
        </row>
        <row r="1446">
          <cell r="A1446">
            <v>8038</v>
          </cell>
          <cell r="B1446" t="str">
            <v>ja</v>
          </cell>
          <cell r="C1446" t="str">
            <v>レア６紀昌</v>
          </cell>
          <cell r="D1446" t="str">
            <v>Expoミク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6</v>
          </cell>
          <cell r="J1446" t="str">
            <v>DropWizS</v>
          </cell>
          <cell r="K1446" t="str">
            <v>attack</v>
          </cell>
          <cell r="L1446" t="str">
            <v>攻撃タイプ</v>
          </cell>
          <cell r="M1446" t="str">
            <v>human</v>
          </cell>
        </row>
        <row r="1447">
          <cell r="A1447">
            <v>8039</v>
          </cell>
          <cell r="B1447" t="str">
            <v>ja</v>
          </cell>
          <cell r="C1447" t="str">
            <v>何仙姑</v>
          </cell>
          <cell r="D1447" t="str">
            <v>Expoミク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yellow</v>
          </cell>
          <cell r="I1447">
            <v>5</v>
          </cell>
          <cell r="J1447" t="str">
            <v>PremiumSSw</v>
          </cell>
          <cell r="K1447" t="str">
            <v>hp</v>
          </cell>
          <cell r="L1447" t="str">
            <v>体力タイプ</v>
          </cell>
          <cell r="M1447" t="str">
            <v>god</v>
          </cell>
        </row>
        <row r="1448">
          <cell r="A1448">
            <v>8040</v>
          </cell>
          <cell r="B1448" t="str">
            <v>ja</v>
          </cell>
          <cell r="C1448" t="str">
            <v>レア６何仙姑</v>
          </cell>
          <cell r="D1448" t="str">
            <v>Expoミク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yellow</v>
          </cell>
          <cell r="I1448">
            <v>6</v>
          </cell>
          <cell r="J1448" t="str">
            <v>PremiumSSw</v>
          </cell>
          <cell r="K1448" t="str">
            <v>hp</v>
          </cell>
          <cell r="L1448" t="str">
            <v>体力タイプ</v>
          </cell>
          <cell r="M1448" t="str">
            <v>god</v>
          </cell>
        </row>
        <row r="1449">
          <cell r="A1449">
            <v>8041</v>
          </cell>
          <cell r="B1449" t="str">
            <v>ja</v>
          </cell>
          <cell r="C1449" t="str">
            <v>藍采和</v>
          </cell>
          <cell r="D1449" t="str">
            <v>Expoミク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blue</v>
          </cell>
          <cell r="I1449">
            <v>5</v>
          </cell>
          <cell r="J1449" t="str">
            <v>DropWizS</v>
          </cell>
          <cell r="K1449" t="str">
            <v>balance</v>
          </cell>
          <cell r="L1449" t="str">
            <v>バランスタイプ</v>
          </cell>
          <cell r="M1449" t="str">
            <v>god</v>
          </cell>
        </row>
        <row r="1450">
          <cell r="A1450">
            <v>8042</v>
          </cell>
          <cell r="B1450" t="str">
            <v>ja</v>
          </cell>
          <cell r="C1450" t="str">
            <v>レア６藍采和</v>
          </cell>
          <cell r="D1450" t="str">
            <v>Expoミク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blue</v>
          </cell>
          <cell r="I1450">
            <v>6</v>
          </cell>
          <cell r="J1450" t="str">
            <v>DropWizS</v>
          </cell>
          <cell r="K1450" t="str">
            <v>balance</v>
          </cell>
          <cell r="L1450" t="str">
            <v>バランスタイプ</v>
          </cell>
          <cell r="M1450" t="str">
            <v>god</v>
          </cell>
        </row>
        <row r="1451">
          <cell r="A1451">
            <v>8043</v>
          </cell>
          <cell r="B1451" t="str">
            <v>ja</v>
          </cell>
          <cell r="C1451" t="str">
            <v>サンリオキャラ大集合+アザゼル</v>
          </cell>
          <cell r="D1451" t="str">
            <v>サンリオキャラ大集合+アザゼル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green</v>
          </cell>
          <cell r="I1451">
            <v>5</v>
          </cell>
          <cell r="J1451" t="str">
            <v>DropWizS</v>
          </cell>
          <cell r="K1451" t="str">
            <v>technical</v>
          </cell>
          <cell r="L1451" t="str">
            <v>テクニカルタイプ</v>
          </cell>
          <cell r="M1451" t="str">
            <v>ss</v>
          </cell>
        </row>
        <row r="1452">
          <cell r="A1452">
            <v>8044</v>
          </cell>
          <cell r="B1452" t="str">
            <v>ja</v>
          </cell>
          <cell r="C1452" t="str">
            <v>サンリオキャラ大集合+アザゼル</v>
          </cell>
          <cell r="D1452" t="str">
            <v>サンリオキャラ大集合+アザゼル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6</v>
          </cell>
          <cell r="J1452" t="str">
            <v>DropWizS</v>
          </cell>
          <cell r="K1452" t="str">
            <v>technical</v>
          </cell>
          <cell r="L1452" t="str">
            <v>テクニカルタイプ</v>
          </cell>
          <cell r="M1452" t="str">
            <v>ss</v>
          </cell>
        </row>
        <row r="1453">
          <cell r="A1453">
            <v>8045</v>
          </cell>
          <cell r="B1453" t="str">
            <v>ja</v>
          </cell>
          <cell r="C1453" t="str">
            <v>ニムダ_サンリオキャラ混じり</v>
          </cell>
          <cell r="D1453" t="str">
            <v>ニムダ_サンリオキャラ混じり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yellow</v>
          </cell>
          <cell r="I1453">
            <v>4</v>
          </cell>
          <cell r="J1453" t="str">
            <v>Drop2N</v>
          </cell>
          <cell r="K1453" t="str">
            <v>technical</v>
          </cell>
          <cell r="L1453" t="str">
            <v>テクニカルタイプ</v>
          </cell>
          <cell r="M1453" t="str">
            <v>ss</v>
          </cell>
        </row>
        <row r="1454">
          <cell r="A1454">
            <v>8046</v>
          </cell>
          <cell r="B1454" t="str">
            <v>ja</v>
          </cell>
          <cell r="C1454" t="str">
            <v>ニムダ_サンリオキャラ混じり</v>
          </cell>
          <cell r="D1454" t="str">
            <v>ニムダ_サンリオキャラ混じり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yellow</v>
          </cell>
          <cell r="I1454">
            <v>5</v>
          </cell>
          <cell r="J1454" t="str">
            <v>Drop2N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8047</v>
          </cell>
          <cell r="B1455" t="str">
            <v>ja</v>
          </cell>
          <cell r="C1455" t="str">
            <v>ハローキティ</v>
          </cell>
          <cell r="D1455" t="str">
            <v>ハローキティ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Drop2N</v>
          </cell>
          <cell r="K1455" t="str">
            <v>balance</v>
          </cell>
          <cell r="L1455" t="str">
            <v>バランスタイプ</v>
          </cell>
          <cell r="M1455" t="str">
            <v>ss</v>
          </cell>
        </row>
        <row r="1456">
          <cell r="A1456">
            <v>8048</v>
          </cell>
          <cell r="B1456" t="str">
            <v>ja</v>
          </cell>
          <cell r="C1456" t="str">
            <v>ハローキティ</v>
          </cell>
          <cell r="D1456" t="str">
            <v>ハローキティ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Drop2N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8049</v>
          </cell>
          <cell r="B1457" t="str">
            <v>ja</v>
          </cell>
          <cell r="C1457" t="str">
            <v>KIRIMIちゃん</v>
          </cell>
          <cell r="D1457" t="str">
            <v>KIRIMIちゃん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red</v>
          </cell>
          <cell r="I1457">
            <v>4</v>
          </cell>
          <cell r="J1457" t="str">
            <v>Drop2N</v>
          </cell>
          <cell r="K1457" t="str">
            <v>hp</v>
          </cell>
          <cell r="L1457" t="str">
            <v>体力タイプ</v>
          </cell>
          <cell r="M1457" t="str">
            <v>ss</v>
          </cell>
        </row>
        <row r="1458">
          <cell r="A1458">
            <v>8050</v>
          </cell>
          <cell r="B1458" t="str">
            <v>ja</v>
          </cell>
          <cell r="C1458" t="str">
            <v>KIRIMIちゃん</v>
          </cell>
          <cell r="D1458" t="str">
            <v>KIRIMIちゃん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red</v>
          </cell>
          <cell r="I1458">
            <v>5</v>
          </cell>
          <cell r="J1458" t="str">
            <v>Drop2N</v>
          </cell>
          <cell r="K1458" t="str">
            <v>hp</v>
          </cell>
          <cell r="L1458" t="str">
            <v>体力タイプ</v>
          </cell>
          <cell r="M1458" t="str">
            <v>ss</v>
          </cell>
        </row>
        <row r="1459">
          <cell r="A1459">
            <v>8051</v>
          </cell>
          <cell r="B1459" t="str">
            <v>ja</v>
          </cell>
          <cell r="C1459" t="str">
            <v>ハローキティのリボン</v>
          </cell>
          <cell r="D1459" t="str">
            <v>ハローキティのリボン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red</v>
          </cell>
          <cell r="I1459">
            <v>5</v>
          </cell>
          <cell r="J1459" t="str">
            <v>Drop2N</v>
          </cell>
          <cell r="K1459" t="str">
            <v>evolution</v>
          </cell>
          <cell r="L1459" t="str">
            <v>覚醒素材タイプ</v>
          </cell>
          <cell r="M1459" t="str">
            <v>ss</v>
          </cell>
        </row>
        <row r="1460">
          <cell r="A1460">
            <v>8052</v>
          </cell>
          <cell r="B1460" t="str">
            <v>ja</v>
          </cell>
          <cell r="C1460" t="str">
            <v>ママの作ったアップルパイ</v>
          </cell>
          <cell r="D1460" t="str">
            <v>ママの作ったアップルパイ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red</v>
          </cell>
          <cell r="I1460">
            <v>4</v>
          </cell>
          <cell r="J1460" t="str">
            <v>Drop2N</v>
          </cell>
          <cell r="K1460" t="str">
            <v>evolution</v>
          </cell>
          <cell r="L1460" t="str">
            <v>覚醒素材タイプ</v>
          </cell>
          <cell r="M1460" t="str">
            <v>ss</v>
          </cell>
        </row>
        <row r="1461">
          <cell r="A1461">
            <v>8053</v>
          </cell>
          <cell r="B1461" t="str">
            <v>ja</v>
          </cell>
          <cell r="C1461" t="str">
            <v>D.R.T.H__キティコスプレ</v>
          </cell>
          <cell r="D1461" t="str">
            <v>D.R.T.H__キティコスプレ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red</v>
          </cell>
          <cell r="I1461">
            <v>5</v>
          </cell>
          <cell r="J1461" t="str">
            <v>PremiumSS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8054</v>
          </cell>
          <cell r="B1462" t="str">
            <v>ja</v>
          </cell>
          <cell r="C1462" t="str">
            <v>D.R.T.H__キティコスプレ</v>
          </cell>
          <cell r="D1462" t="str">
            <v>D.R.T.H__キティコスプレ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red</v>
          </cell>
          <cell r="I1462">
            <v>6</v>
          </cell>
          <cell r="J1462" t="str">
            <v>PremiumSS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8055</v>
          </cell>
          <cell r="B1463" t="str">
            <v>ja</v>
          </cell>
          <cell r="C1463" t="str">
            <v>マイメロディ</v>
          </cell>
          <cell r="D1463" t="str">
            <v>マイメロディ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red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8056</v>
          </cell>
          <cell r="B1464" t="str">
            <v>ja</v>
          </cell>
          <cell r="C1464" t="str">
            <v>マイメロディ</v>
          </cell>
          <cell r="D1464" t="str">
            <v>マイメロディ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red</v>
          </cell>
          <cell r="I1464">
            <v>5</v>
          </cell>
          <cell r="J1464" t="str">
            <v>PremiumS</v>
          </cell>
          <cell r="K1464" t="str">
            <v>attack</v>
          </cell>
          <cell r="L1464" t="str">
            <v>攻撃タイプ</v>
          </cell>
          <cell r="M1464" t="str">
            <v>ss</v>
          </cell>
        </row>
        <row r="1465">
          <cell r="A1465">
            <v>8057</v>
          </cell>
          <cell r="B1465" t="str">
            <v>ja</v>
          </cell>
          <cell r="C1465" t="str">
            <v>ニーベルゲン_シナモロールコスプレ</v>
          </cell>
          <cell r="D1465" t="str">
            <v>ニーベルゲン_シナモロールコスプレ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green</v>
          </cell>
          <cell r="I1465">
            <v>4</v>
          </cell>
          <cell r="J1465" t="str">
            <v>PremiumS</v>
          </cell>
          <cell r="K1465" t="str">
            <v>balance</v>
          </cell>
          <cell r="L1465" t="str">
            <v>バランスタイプ</v>
          </cell>
          <cell r="M1465" t="str">
            <v>ss</v>
          </cell>
        </row>
        <row r="1466">
          <cell r="A1466">
            <v>8058</v>
          </cell>
          <cell r="B1466" t="str">
            <v>ja</v>
          </cell>
          <cell r="C1466" t="str">
            <v>ニーベルゲン_シナモロールコスプレ</v>
          </cell>
          <cell r="D1466" t="str">
            <v>ニーベルゲン_シナモロールコスプレ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green</v>
          </cell>
          <cell r="I1466">
            <v>5</v>
          </cell>
          <cell r="J1466" t="str">
            <v>PremiumS</v>
          </cell>
          <cell r="K1466" t="str">
            <v>balance</v>
          </cell>
          <cell r="L1466" t="str">
            <v>バランスタイプ</v>
          </cell>
          <cell r="M1466" t="str">
            <v>ss</v>
          </cell>
        </row>
        <row r="1467">
          <cell r="A1467">
            <v>8059</v>
          </cell>
          <cell r="B1467" t="str">
            <v>ja</v>
          </cell>
          <cell r="C1467" t="str">
            <v>カカシ_マイメロディコスプレ</v>
          </cell>
          <cell r="D1467" t="str">
            <v>カカシ_マイメロディコスプレ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green</v>
          </cell>
          <cell r="I1467">
            <v>4</v>
          </cell>
          <cell r="J1467" t="str">
            <v>PremiumS</v>
          </cell>
          <cell r="K1467" t="str">
            <v>technical</v>
          </cell>
          <cell r="L1467" t="str">
            <v>テクニカルタイプ</v>
          </cell>
          <cell r="M1467" t="str">
            <v>ss</v>
          </cell>
        </row>
        <row r="1468">
          <cell r="A1468">
            <v>8060</v>
          </cell>
          <cell r="B1468" t="str">
            <v>ja</v>
          </cell>
          <cell r="C1468" t="str">
            <v>カカシ_マイメロディコスプレ</v>
          </cell>
          <cell r="D1468" t="str">
            <v>カカシ_マイメロディコスプレ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green</v>
          </cell>
          <cell r="I1468">
            <v>5</v>
          </cell>
          <cell r="J1468" t="str">
            <v>PremiumS</v>
          </cell>
          <cell r="K1468" t="str">
            <v>technical</v>
          </cell>
          <cell r="L1468" t="str">
            <v>テクニカルタイプ</v>
          </cell>
          <cell r="M1468" t="str">
            <v>ss</v>
          </cell>
        </row>
        <row r="1469">
          <cell r="A1469">
            <v>8061</v>
          </cell>
          <cell r="B1469" t="str">
            <v>ja</v>
          </cell>
          <cell r="C1469" t="str">
            <v>ケロケロけろっぴ</v>
          </cell>
          <cell r="D1469" t="str">
            <v>ケロケロけろっぴ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green</v>
          </cell>
          <cell r="I1469">
            <v>3</v>
          </cell>
          <cell r="J1469" t="str">
            <v>PremiumS</v>
          </cell>
          <cell r="K1469" t="str">
            <v>balance</v>
          </cell>
          <cell r="L1469" t="str">
            <v>バランスタイプ</v>
          </cell>
          <cell r="M1469" t="str">
            <v>ss</v>
          </cell>
        </row>
        <row r="1470">
          <cell r="A1470">
            <v>8062</v>
          </cell>
          <cell r="B1470" t="str">
            <v>ja</v>
          </cell>
          <cell r="C1470" t="str">
            <v>ケロケロけろっぴ</v>
          </cell>
          <cell r="D1470" t="str">
            <v>ケロケロけろっぴ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green</v>
          </cell>
          <cell r="I1470">
            <v>4</v>
          </cell>
          <cell r="J1470" t="str">
            <v>PremiumS</v>
          </cell>
          <cell r="K1470" t="str">
            <v>balance</v>
          </cell>
          <cell r="L1470" t="str">
            <v>バランスタイプ</v>
          </cell>
          <cell r="M1470" t="str">
            <v>ss</v>
          </cell>
        </row>
        <row r="1471">
          <cell r="A1471">
            <v>8063</v>
          </cell>
          <cell r="B1471" t="str">
            <v>ja</v>
          </cell>
          <cell r="C1471" t="str">
            <v>モルドレッド_ポムポムプリンコスプレ</v>
          </cell>
          <cell r="D1471" t="str">
            <v>モルドレッド_ポムポムプリンコスプレ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blue</v>
          </cell>
          <cell r="I1471">
            <v>5</v>
          </cell>
          <cell r="J1471" t="str">
            <v>PremiumSS</v>
          </cell>
          <cell r="K1471" t="str">
            <v>heal</v>
          </cell>
          <cell r="L1471" t="str">
            <v>回復タイプ</v>
          </cell>
          <cell r="M1471" t="str">
            <v>ss</v>
          </cell>
        </row>
        <row r="1472">
          <cell r="A1472">
            <v>8064</v>
          </cell>
          <cell r="B1472" t="str">
            <v>ja</v>
          </cell>
          <cell r="C1472" t="str">
            <v>モルドレッド_ポムポムプリンコスプレ</v>
          </cell>
          <cell r="D1472" t="str">
            <v>モルドレッド_ポムポムプリンコスプレ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blue</v>
          </cell>
          <cell r="I1472">
            <v>6</v>
          </cell>
          <cell r="J1472" t="str">
            <v>PremiumSS</v>
          </cell>
          <cell r="K1472" t="str">
            <v>heal</v>
          </cell>
          <cell r="L1472" t="str">
            <v>回復タイプ</v>
          </cell>
          <cell r="M1472" t="str">
            <v>ss</v>
          </cell>
        </row>
        <row r="1473">
          <cell r="A1473">
            <v>8065</v>
          </cell>
          <cell r="B1473" t="str">
            <v>ja</v>
          </cell>
          <cell r="C1473" t="str">
            <v>クロミ</v>
          </cell>
          <cell r="D1473" t="str">
            <v>クロミ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blue</v>
          </cell>
          <cell r="I1473">
            <v>3</v>
          </cell>
          <cell r="J1473" t="str">
            <v>PremiumS</v>
          </cell>
          <cell r="K1473" t="str">
            <v>technical</v>
          </cell>
          <cell r="L1473" t="str">
            <v>テクニカルタイプ</v>
          </cell>
          <cell r="M1473" t="str">
            <v>ss</v>
          </cell>
        </row>
        <row r="1474">
          <cell r="A1474">
            <v>8066</v>
          </cell>
          <cell r="B1474" t="str">
            <v>ja</v>
          </cell>
          <cell r="C1474" t="str">
            <v>クロミ</v>
          </cell>
          <cell r="D1474" t="str">
            <v>クロミ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4</v>
          </cell>
          <cell r="J1474" t="str">
            <v>PremiumS</v>
          </cell>
          <cell r="K1474" t="str">
            <v>technical</v>
          </cell>
          <cell r="L1474" t="str">
            <v>テクニカルタイプ</v>
          </cell>
          <cell r="M1474" t="str">
            <v>ss</v>
          </cell>
        </row>
        <row r="1475">
          <cell r="A1475">
            <v>8067</v>
          </cell>
          <cell r="B1475" t="str">
            <v>ja</v>
          </cell>
          <cell r="C1475" t="str">
            <v>バッドばつ丸</v>
          </cell>
          <cell r="D1475" t="str">
            <v>バッドばつ丸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3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ss</v>
          </cell>
        </row>
        <row r="1476">
          <cell r="A1476">
            <v>8068</v>
          </cell>
          <cell r="B1476" t="str">
            <v>ja</v>
          </cell>
          <cell r="C1476" t="str">
            <v>バッドばつ丸</v>
          </cell>
          <cell r="D1476" t="str">
            <v>バッドばつ丸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blue</v>
          </cell>
          <cell r="I1476">
            <v>4</v>
          </cell>
          <cell r="J1476" t="str">
            <v>PremiumS</v>
          </cell>
          <cell r="K1476" t="str">
            <v>attack</v>
          </cell>
          <cell r="L1476" t="str">
            <v>攻撃タイプ</v>
          </cell>
          <cell r="M1476" t="str">
            <v>ss</v>
          </cell>
        </row>
        <row r="1477">
          <cell r="A1477">
            <v>8069</v>
          </cell>
          <cell r="B1477" t="str">
            <v>ja</v>
          </cell>
          <cell r="C1477" t="str">
            <v>シナモロール</v>
          </cell>
          <cell r="D1477" t="str">
            <v>シナモロール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yellow</v>
          </cell>
          <cell r="I1477">
            <v>4</v>
          </cell>
          <cell r="J1477" t="str">
            <v>PremiumS</v>
          </cell>
          <cell r="K1477" t="str">
            <v>heal</v>
          </cell>
          <cell r="L1477" t="str">
            <v>回復タイプ</v>
          </cell>
          <cell r="M1477" t="str">
            <v>ss</v>
          </cell>
        </row>
        <row r="1478">
          <cell r="A1478">
            <v>8070</v>
          </cell>
          <cell r="B1478" t="str">
            <v>ja</v>
          </cell>
          <cell r="C1478" t="str">
            <v>シナモロール</v>
          </cell>
          <cell r="D1478" t="str">
            <v>シナモロール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yellow</v>
          </cell>
          <cell r="I1478">
            <v>5</v>
          </cell>
          <cell r="J1478" t="str">
            <v>PremiumS</v>
          </cell>
          <cell r="K1478" t="str">
            <v>heal</v>
          </cell>
          <cell r="L1478" t="str">
            <v>回復タイプ</v>
          </cell>
          <cell r="M1478" t="str">
            <v>ss</v>
          </cell>
        </row>
        <row r="1479">
          <cell r="A1479">
            <v>8071</v>
          </cell>
          <cell r="B1479" t="str">
            <v>ja</v>
          </cell>
          <cell r="C1479" t="str">
            <v>ポムポムプリン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yellow</v>
          </cell>
          <cell r="I1479">
            <v>3</v>
          </cell>
          <cell r="J1479" t="str">
            <v>PremiumS</v>
          </cell>
          <cell r="K1479" t="str">
            <v>hp</v>
          </cell>
          <cell r="L1479" t="str">
            <v>体力タイプ</v>
          </cell>
          <cell r="M1479" t="str">
            <v>ss</v>
          </cell>
        </row>
        <row r="1480">
          <cell r="A1480">
            <v>8072</v>
          </cell>
          <cell r="B1480" t="str">
            <v>ja</v>
          </cell>
          <cell r="C1480" t="str">
            <v>ポムポムプリン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yellow</v>
          </cell>
          <cell r="I1480">
            <v>4</v>
          </cell>
          <cell r="J1480" t="str">
            <v>PremiumS</v>
          </cell>
          <cell r="K1480" t="str">
            <v>hp</v>
          </cell>
          <cell r="L1480" t="str">
            <v>体力タイプ</v>
          </cell>
          <cell r="M1480" t="str">
            <v>ss</v>
          </cell>
        </row>
        <row r="1481">
          <cell r="A1481">
            <v>8073</v>
          </cell>
          <cell r="B1481" t="str">
            <v>ja</v>
          </cell>
          <cell r="C1481" t="str">
            <v>星海祈る天光妃 媽祖</v>
          </cell>
          <cell r="D1481" t="str">
            <v>Expoミク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yellow</v>
          </cell>
          <cell r="I1481">
            <v>6</v>
          </cell>
          <cell r="J1481" t="str">
            <v>PremiumSS</v>
          </cell>
          <cell r="K1481" t="str">
            <v>attack</v>
          </cell>
          <cell r="L1481" t="str">
            <v>攻撃タイプ</v>
          </cell>
          <cell r="M1481" t="str">
            <v>human</v>
          </cell>
        </row>
        <row r="1482">
          <cell r="A1482">
            <v>8074</v>
          </cell>
          <cell r="B1482" t="str">
            <v>ja</v>
          </cell>
          <cell r="C1482" t="str">
            <v>海戀の絶龍姫 蛟龍</v>
          </cell>
          <cell r="D1482" t="str">
            <v>Expoミク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blue</v>
          </cell>
          <cell r="I1482">
            <v>6</v>
          </cell>
          <cell r="J1482" t="str">
            <v>DropWizS</v>
          </cell>
          <cell r="K1482" t="str">
            <v>hp</v>
          </cell>
          <cell r="L1482" t="str">
            <v>体力タイプ</v>
          </cell>
          <cell r="M1482" t="str">
            <v>dragon</v>
          </cell>
        </row>
        <row r="1483">
          <cell r="A1483">
            <v>8075</v>
          </cell>
          <cell r="B1483" t="str">
            <v>ja</v>
          </cell>
          <cell r="C1483" t="str">
            <v>三蔵法師_超覚醒</v>
          </cell>
          <cell r="D1483" t="str">
            <v>Expoミク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blue</v>
          </cell>
          <cell r="I1483">
            <v>6</v>
          </cell>
          <cell r="J1483" t="str">
            <v>PremiumSS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8076</v>
          </cell>
          <cell r="B1484" t="str">
            <v>ja</v>
          </cell>
          <cell r="C1484" t="str">
            <v>孫悟空_超覚醒</v>
          </cell>
          <cell r="D1484" t="str">
            <v>Expoミク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6</v>
          </cell>
          <cell r="J1484" t="str">
            <v>DropWizS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8077</v>
          </cell>
          <cell r="B1485" t="str">
            <v>ja</v>
          </cell>
          <cell r="C1485" t="str">
            <v>鄭成功</v>
          </cell>
          <cell r="D1485" t="str">
            <v>ポムポムプリン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blue</v>
          </cell>
          <cell r="I1485">
            <v>5</v>
          </cell>
          <cell r="J1485" t="str">
            <v>PremiumSS</v>
          </cell>
          <cell r="K1485" t="str">
            <v>attack</v>
          </cell>
          <cell r="L1485" t="str">
            <v>攻撃タイプ</v>
          </cell>
          <cell r="M1485" t="str">
            <v>human</v>
          </cell>
        </row>
        <row r="1486">
          <cell r="A1486">
            <v>8078</v>
          </cell>
          <cell r="B1486" t="str">
            <v>ja</v>
          </cell>
          <cell r="C1486" t="str">
            <v>レア６鄭成功</v>
          </cell>
          <cell r="D1486" t="str">
            <v>ポムポムプリン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blue</v>
          </cell>
          <cell r="I1486">
            <v>6</v>
          </cell>
          <cell r="J1486" t="str">
            <v>PremiumSS</v>
          </cell>
          <cell r="K1486" t="str">
            <v>attack</v>
          </cell>
          <cell r="L1486" t="str">
            <v>攻撃タイプ</v>
          </cell>
          <cell r="M1486" t="str">
            <v>human</v>
          </cell>
        </row>
        <row r="1487">
          <cell r="A1487">
            <v>8079</v>
          </cell>
          <cell r="B1487" t="str">
            <v>ja</v>
          </cell>
          <cell r="C1487" t="str">
            <v>赤鬼</v>
          </cell>
          <cell r="D1487" t="str">
            <v>ポムポムプリン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red</v>
          </cell>
          <cell r="I1487">
            <v>5</v>
          </cell>
          <cell r="J1487" t="str">
            <v>DropWizS</v>
          </cell>
          <cell r="K1487" t="str">
            <v>hp</v>
          </cell>
          <cell r="L1487" t="str">
            <v>体力タイプ</v>
          </cell>
          <cell r="M1487" t="str">
            <v>dragon</v>
          </cell>
        </row>
        <row r="1488">
          <cell r="A1488">
            <v>8080</v>
          </cell>
          <cell r="B1488" t="str">
            <v>ja</v>
          </cell>
          <cell r="C1488" t="str">
            <v>レア６赤鬼</v>
          </cell>
          <cell r="D1488" t="str">
            <v>ポムポムプリン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red</v>
          </cell>
          <cell r="I1488">
            <v>6</v>
          </cell>
          <cell r="J1488" t="str">
            <v>DropWizS</v>
          </cell>
          <cell r="K1488" t="str">
            <v>hp</v>
          </cell>
          <cell r="L1488" t="str">
            <v>体力タイプ</v>
          </cell>
          <cell r="M1488" t="str">
            <v>dragon</v>
          </cell>
        </row>
        <row r="1489">
          <cell r="A1489">
            <v>8081</v>
          </cell>
          <cell r="B1489" t="str">
            <v>ja</v>
          </cell>
          <cell r="C1489" t="str">
            <v>関羽</v>
          </cell>
          <cell r="H1489" t="str">
            <v>green</v>
          </cell>
          <cell r="I1489">
            <v>5</v>
          </cell>
          <cell r="J1489" t="str">
            <v>PremiumSSS</v>
          </cell>
          <cell r="K1489" t="str">
            <v>balance</v>
          </cell>
          <cell r="L1489" t="str">
            <v>バランスタイプ</v>
          </cell>
          <cell r="M1489" t="str">
            <v>samurai</v>
          </cell>
        </row>
        <row r="1490">
          <cell r="A1490">
            <v>8082</v>
          </cell>
          <cell r="B1490" t="str">
            <v>ja</v>
          </cell>
          <cell r="C1490" t="str">
            <v>★６関羽</v>
          </cell>
          <cell r="H1490" t="str">
            <v>green</v>
          </cell>
          <cell r="I1490">
            <v>6</v>
          </cell>
          <cell r="J1490" t="str">
            <v>PremiumSSS</v>
          </cell>
          <cell r="K1490" t="str">
            <v>balance</v>
          </cell>
          <cell r="L1490" t="str">
            <v>バランスタイプ</v>
          </cell>
          <cell r="M1490" t="str">
            <v>samurai</v>
          </cell>
        </row>
        <row r="1491">
          <cell r="A1491">
            <v>8083</v>
          </cell>
          <cell r="B1491" t="str">
            <v>ja</v>
          </cell>
          <cell r="C1491" t="str">
            <v>曹操</v>
          </cell>
          <cell r="H1491" t="str">
            <v>yellow</v>
          </cell>
          <cell r="I1491">
            <v>5</v>
          </cell>
          <cell r="J1491" t="str">
            <v>DropWizSS</v>
          </cell>
          <cell r="K1491" t="str">
            <v>technical</v>
          </cell>
          <cell r="L1491" t="str">
            <v>テクニカルタイプ</v>
          </cell>
          <cell r="M1491" t="str">
            <v>samurai</v>
          </cell>
        </row>
        <row r="1492">
          <cell r="A1492">
            <v>8084</v>
          </cell>
          <cell r="B1492" t="str">
            <v>ja</v>
          </cell>
          <cell r="C1492" t="str">
            <v>★６曹操</v>
          </cell>
          <cell r="H1492" t="str">
            <v>yellow</v>
          </cell>
          <cell r="I1492">
            <v>6</v>
          </cell>
          <cell r="J1492" t="str">
            <v>DropWizSS</v>
          </cell>
          <cell r="K1492" t="str">
            <v>technical</v>
          </cell>
          <cell r="L1492" t="str">
            <v>テクニカルタイプ</v>
          </cell>
          <cell r="M1492" t="str">
            <v>samurai</v>
          </cell>
        </row>
        <row r="1493">
          <cell r="A1493">
            <v>8087</v>
          </cell>
          <cell r="B1493" t="str">
            <v>ja</v>
          </cell>
          <cell r="C1493" t="str">
            <v>財神</v>
          </cell>
          <cell r="H1493" t="str">
            <v>red</v>
          </cell>
          <cell r="I1493">
            <v>5</v>
          </cell>
          <cell r="J1493" t="str">
            <v>PremiumSSS</v>
          </cell>
          <cell r="K1493" t="str">
            <v>technical</v>
          </cell>
          <cell r="L1493" t="str">
            <v>テクニカルタイプ</v>
          </cell>
          <cell r="M1493" t="str">
            <v>god</v>
          </cell>
        </row>
        <row r="1494">
          <cell r="A1494">
            <v>8088</v>
          </cell>
          <cell r="B1494" t="str">
            <v>ja</v>
          </cell>
          <cell r="C1494" t="str">
            <v>★６財神</v>
          </cell>
          <cell r="H1494" t="str">
            <v>red</v>
          </cell>
          <cell r="I1494">
            <v>6</v>
          </cell>
          <cell r="J1494" t="str">
            <v>PremiumSSS</v>
          </cell>
          <cell r="K1494" t="str">
            <v>technical</v>
          </cell>
          <cell r="L1494" t="str">
            <v>テクニカルタイプ</v>
          </cell>
          <cell r="M1494" t="str">
            <v>god</v>
          </cell>
        </row>
        <row r="1495">
          <cell r="A1495">
            <v>8089</v>
          </cell>
          <cell r="B1495" t="str">
            <v>ja</v>
          </cell>
          <cell r="C1495" t="str">
            <v>年獣</v>
          </cell>
          <cell r="H1495" t="str">
            <v>green</v>
          </cell>
          <cell r="I1495">
            <v>5</v>
          </cell>
          <cell r="J1495" t="str">
            <v>DropWizS</v>
          </cell>
          <cell r="K1495" t="str">
            <v>attack</v>
          </cell>
          <cell r="L1495" t="str">
            <v>攻撃タイプ</v>
          </cell>
          <cell r="M1495" t="str">
            <v>animal</v>
          </cell>
        </row>
        <row r="1496">
          <cell r="A1496">
            <v>8090</v>
          </cell>
          <cell r="B1496" t="str">
            <v>ja</v>
          </cell>
          <cell r="C1496" t="str">
            <v>★６年獣</v>
          </cell>
          <cell r="H1496" t="str">
            <v>green</v>
          </cell>
          <cell r="I1496">
            <v>6</v>
          </cell>
          <cell r="J1496" t="str">
            <v>DropWizS</v>
          </cell>
          <cell r="K1496" t="str">
            <v>attack</v>
          </cell>
          <cell r="L1496" t="str">
            <v>攻撃タイプ</v>
          </cell>
          <cell r="M1496" t="str">
            <v>animal</v>
          </cell>
        </row>
        <row r="1497">
          <cell r="A1497">
            <v>8095</v>
          </cell>
          <cell r="B1497" t="str">
            <v>ja</v>
          </cell>
          <cell r="C1497" t="str">
            <v>バハムートダック赤</v>
          </cell>
          <cell r="D1497" t="str">
            <v>ポムポムプリン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red</v>
          </cell>
          <cell r="I1497">
            <v>6</v>
          </cell>
          <cell r="J1497" t="str">
            <v>Material</v>
          </cell>
          <cell r="K1497" t="str">
            <v>exp</v>
          </cell>
          <cell r="L1497" t="str">
            <v>強化素材タイプ</v>
          </cell>
          <cell r="M1497" t="str">
            <v>unknown</v>
          </cell>
        </row>
        <row r="1498">
          <cell r="A1498">
            <v>8096</v>
          </cell>
          <cell r="B1498" t="str">
            <v>ja</v>
          </cell>
          <cell r="C1498" t="str">
            <v>バハムートダック緑</v>
          </cell>
          <cell r="D1498" t="str">
            <v>ポムポムプリン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green</v>
          </cell>
          <cell r="I1498">
            <v>6</v>
          </cell>
          <cell r="J1498" t="str">
            <v>Material</v>
          </cell>
          <cell r="K1498" t="str">
            <v>exp</v>
          </cell>
          <cell r="L1498" t="str">
            <v>強化素材タイプ</v>
          </cell>
          <cell r="M1498" t="str">
            <v>unknown</v>
          </cell>
        </row>
        <row r="1499">
          <cell r="A1499">
            <v>8097</v>
          </cell>
          <cell r="B1499" t="str">
            <v>ja</v>
          </cell>
          <cell r="C1499" t="str">
            <v>バハムートダック青</v>
          </cell>
          <cell r="D1499" t="str">
            <v>ポムポムプリン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blue</v>
          </cell>
          <cell r="I1499">
            <v>6</v>
          </cell>
          <cell r="J1499" t="str">
            <v>Material</v>
          </cell>
          <cell r="K1499" t="str">
            <v>exp</v>
          </cell>
          <cell r="L1499" t="str">
            <v>強化素材タイプ</v>
          </cell>
          <cell r="M1499" t="str">
            <v>unknown</v>
          </cell>
        </row>
        <row r="1500">
          <cell r="A1500">
            <v>8098</v>
          </cell>
          <cell r="B1500" t="str">
            <v>ja</v>
          </cell>
          <cell r="C1500" t="str">
            <v>バハムートダック黄</v>
          </cell>
          <cell r="D1500" t="str">
            <v>ポムポムプリン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6</v>
          </cell>
          <cell r="J1500" t="str">
            <v>Material</v>
          </cell>
          <cell r="K1500" t="str">
            <v>exp</v>
          </cell>
          <cell r="L1500" t="str">
            <v>強化素材タイプ</v>
          </cell>
          <cell r="M1500" t="str">
            <v>unknown</v>
          </cell>
        </row>
        <row r="1501">
          <cell r="A1501">
            <v>8099</v>
          </cell>
          <cell r="B1501" t="str">
            <v>ja</v>
          </cell>
          <cell r="C1501" t="str">
            <v>リトルハンプティ</v>
          </cell>
          <cell r="D1501" t="str">
            <v>各属性相性良3・黄・R455</v>
          </cell>
          <cell r="E1501" t="str">
            <v>執行者</v>
          </cell>
          <cell r="F1501" t="str">
            <v>格好いい</v>
          </cell>
          <cell r="G1501" t="str">
            <v>男性</v>
          </cell>
          <cell r="H1501" t="str">
            <v>green</v>
          </cell>
          <cell r="I1501">
            <v>6</v>
          </cell>
          <cell r="J1501" t="str">
            <v>Material</v>
          </cell>
          <cell r="K1501" t="str">
            <v>evolution</v>
          </cell>
          <cell r="L1501" t="str">
            <v>覚醒素材タイプ</v>
          </cell>
          <cell r="M1501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3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I21" sqref="I21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247</v>
      </c>
      <c r="B2" s="61" t="s">
        <v>110</v>
      </c>
      <c r="C2" s="50" t="str">
        <f t="shared" ref="C2" si="0">RIGHT(F2,6)</f>
        <v>521100</v>
      </c>
      <c r="D2" s="19" t="s">
        <v>45</v>
      </c>
      <c r="E2" s="17" t="str">
        <f t="shared" ref="E2" si="1">B2&amp;C2&amp;D2</f>
        <v>gacha_select_tables_521100.tmp</v>
      </c>
      <c r="F2" s="99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3" t="s">
        <v>247</v>
      </c>
      <c r="B3" s="61" t="s">
        <v>110</v>
      </c>
      <c r="C3" s="50" t="str">
        <f t="shared" ref="C3:C7" si="2">RIGHT(F3,6)</f>
        <v>521010</v>
      </c>
      <c r="D3" s="19" t="s">
        <v>45</v>
      </c>
      <c r="E3" s="17" t="str">
        <f t="shared" ref="E3:E10" si="3">B3&amp;C3&amp;D3</f>
        <v>gacha_select_tables_521010.tmp</v>
      </c>
      <c r="F3" s="99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8" t="s">
        <v>241</v>
      </c>
      <c r="B4" s="96" t="s">
        <v>248</v>
      </c>
      <c r="C4" s="50" t="str">
        <f>RIGHT(F4,6)</f>
        <v>422011</v>
      </c>
      <c r="D4" s="19" t="s">
        <v>45</v>
      </c>
      <c r="E4" s="17" t="str">
        <f>B4&amp;C4&amp;D4</f>
        <v>gacha_select_tables_422011.tmp</v>
      </c>
      <c r="F4" s="97" t="s">
        <v>249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tabSelected="1" workbookViewId="0">
      <selection activeCell="N9" sqref="N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521010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848</v>
      </c>
      <c r="M3" s="37" t="str">
        <f>VLOOKUP(L3,[1]characters!$A:$C,3,FALSE)</f>
        <v>メタトロン</v>
      </c>
      <c r="N3" s="63">
        <v>1.2500000000000001E-2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VLOOKUP(L3,tables_521010!B:C,2,FALSE)</f>
        <v>PremiumSS5R5only</v>
      </c>
      <c r="R3" s="62">
        <f t="shared" ref="R3:R20" si="1">N3*A$36</f>
        <v>308750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1031</v>
      </c>
      <c r="M4" s="37" t="str">
        <f>VLOOKUP(L4,[1]characters!$A:$C,3,FALSE)</f>
        <v>紫式部</v>
      </c>
      <c r="N4" s="63">
        <v>1.2500000000000001E-2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VLOOKUP(L4,tables_521010!B:C,2,FALSE)</f>
        <v>PremiumSS5R5only</v>
      </c>
      <c r="R4" s="62">
        <f t="shared" si="1"/>
        <v>308750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1.5384615384615377E-4</v>
      </c>
      <c r="F5">
        <f>(COUNTIF(tables_521010!C:C,input_521010!A28)+COUNTIF(tables_521010!C:C,input_521010!A29))</f>
        <v>69</v>
      </c>
      <c r="H5" s="84">
        <v>0.05</v>
      </c>
      <c r="I5" s="31">
        <v>4</v>
      </c>
      <c r="L5" s="60">
        <v>465</v>
      </c>
      <c r="M5" s="37" t="str">
        <f>VLOOKUP(L5,[1]characters!$A:$C,3,FALSE)</f>
        <v>真撃 ランスロット</v>
      </c>
      <c r="N5" s="63">
        <f>0.0125*(B5+B6)</f>
        <v>1.1562500000000002E-2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VLOOKUP(L5,tables_521010!B:C,2,FALSE)</f>
        <v>PremiumSS4</v>
      </c>
      <c r="R5" s="62">
        <f t="shared" si="1"/>
        <v>285593.75000000006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0.42499999999999999</v>
      </c>
      <c r="D6" t="s">
        <v>202</v>
      </c>
      <c r="E6" s="76">
        <f>(B10-H6)/(F6-I6)</f>
        <v>9.8947368421052635E-3</v>
      </c>
      <c r="F6">
        <f>(COUNTIF(tables_521010!C:C,input_521010!A25)+COUNTIF(tables_521010!C:C,input_521010!A18)+COUNTIF(tables_521010!C:C,input_521010!A20)+COUNTIF(tables_521010!C:C,input_521010!A22))</f>
        <v>95</v>
      </c>
      <c r="H6" s="89">
        <v>0</v>
      </c>
      <c r="I6" s="31">
        <v>0</v>
      </c>
      <c r="L6" s="94">
        <v>466</v>
      </c>
      <c r="M6" s="37" t="str">
        <f>VLOOKUP(L6,[1]characters!$A:$C,3,FALSE)</f>
        <v>真断の勇覇 ランスロット</v>
      </c>
      <c r="N6" s="63">
        <f>0.0125*B7</f>
        <v>9.3749999999999997E-4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VLOOKUP(L6,tables_521010!B:C,2,FALSE)</f>
        <v>PremiumSS5</v>
      </c>
      <c r="R6" s="62">
        <f t="shared" si="1"/>
        <v>23156.25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94">
        <v>499</v>
      </c>
      <c r="M7" s="37" t="str">
        <f>VLOOKUP(L7,[1]characters!$A:$C,3,FALSE)</f>
        <v>ラプンツェル</v>
      </c>
      <c r="N7" s="63">
        <f>0.0125*(B5+B6)</f>
        <v>1.1562500000000002E-2</v>
      </c>
      <c r="O7" s="37">
        <f>VLOOKUP(L7,[1]characters!$A:$I,9,FALSE)</f>
        <v>4</v>
      </c>
      <c r="P7" s="37" t="str">
        <f>VLOOKUP(L7,[1]characters!$A:$J,10,FALSE)</f>
        <v>PremiumSS</v>
      </c>
      <c r="Q7" s="37" t="str">
        <f>VLOOKUP(L7,tables_521010!B:C,2,FALSE)</f>
        <v>PremiumSS4</v>
      </c>
      <c r="R7" s="62">
        <f t="shared" ref="R7" si="2">N7*A$36</f>
        <v>285593.75000000006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94">
        <v>500</v>
      </c>
      <c r="M8" s="37" t="str">
        <f>VLOOKUP(L8,[1]characters!$A:$C,3,FALSE)</f>
        <v>脈動の禁髪 ラプンツェル</v>
      </c>
      <c r="N8" s="63">
        <f>0.0125*B7</f>
        <v>9.3749999999999997E-4</v>
      </c>
      <c r="O8" s="37">
        <f>VLOOKUP(L8,[1]characters!$A:$I,9,FALSE)</f>
        <v>5</v>
      </c>
      <c r="P8" s="37" t="str">
        <f>VLOOKUP(L8,[1]characters!$A:$J,10,FALSE)</f>
        <v>PremiumSS</v>
      </c>
      <c r="Q8" s="37" t="str">
        <f>VLOOKUP(L8,tables_521010!B:C,2,FALSE)</f>
        <v>PremiumSS5</v>
      </c>
      <c r="R8" s="62">
        <f t="shared" si="1"/>
        <v>23156.25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VLOOKUP(L9,tables_521010!B:C,2,FALSE)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VLOOKUP(L10,tables_521010!B:C,2,FALSE)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0.06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VLOOKUP(L11,tables_521010!B:C,2,FALSE)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VLOOKUP(L12,tables_521010!B:C,2,FALSE)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2.3125000000000003E-2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VLOOKUP(L13,tables_521010!B:C,2,FALSE)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1.8749999999999999E-3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VLOOKUP(L14,tables_521010!B:C,2,FALSE)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2.5000000000000001E-2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VLOOKUP(L15,tables_521010!B:C,2,FALSE)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VLOOKUP(L16,tables_521010!B:C,2,FALSE)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E17*E6*B5</f>
        <v>9.8947368421052631E-2</v>
      </c>
      <c r="C17" s="85">
        <f t="shared" ref="C17:C31" si="3">SUMIF(Q:Q,A17,N:N)</f>
        <v>0</v>
      </c>
      <c r="D17" s="74">
        <f t="shared" ref="D17:D32" si="4">B17-C17</f>
        <v>9.8947368421052631E-2</v>
      </c>
      <c r="E17">
        <f>COUNTIF(tables_521010!C:C,input_521010!A17)-COUNTIF(Q:Q,A17)</f>
        <v>20</v>
      </c>
      <c r="F17" s="43">
        <f>IFERROR(B17/E17,0)</f>
        <v>4.9473684210526317E-3</v>
      </c>
      <c r="G17">
        <f t="shared" ref="G17:G31" si="5">A$36*B17</f>
        <v>2444000</v>
      </c>
      <c r="H17">
        <f t="shared" ref="H17:H31" si="6">IFERROR(ROUND(G17/E17,5),0)</f>
        <v>122200</v>
      </c>
      <c r="I17">
        <f t="shared" ref="I17:I31" si="7">MOD(H17,1)</f>
        <v>0</v>
      </c>
      <c r="J17">
        <f t="shared" ref="J17:J31" si="8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VLOOKUP(L17,tables_521010!B:C,2,FALSE)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E18*E6-B17</f>
        <v>9.8947368421052631E-2</v>
      </c>
      <c r="C18" s="85">
        <f t="shared" si="3"/>
        <v>0</v>
      </c>
      <c r="D18" s="74">
        <f t="shared" si="4"/>
        <v>9.8947368421052631E-2</v>
      </c>
      <c r="E18">
        <f>COUNTIF(tables_521010!C:C,input_521010!A18)-COUNTIF(Q:Q,A18)</f>
        <v>20</v>
      </c>
      <c r="F18" s="43">
        <f>IFERROR(B18/E18,0)</f>
        <v>4.9473684210526317E-3</v>
      </c>
      <c r="G18">
        <f t="shared" si="5"/>
        <v>2444000</v>
      </c>
      <c r="H18">
        <f t="shared" si="6"/>
        <v>122200</v>
      </c>
      <c r="I18">
        <f t="shared" si="7"/>
        <v>0</v>
      </c>
      <c r="J18">
        <f t="shared" si="8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VLOOKUP(L18,tables_521010!B:C,2,FALSE)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E19*E6*B5</f>
        <v>0.25726315789473686</v>
      </c>
      <c r="C19" s="85">
        <f t="shared" si="3"/>
        <v>0</v>
      </c>
      <c r="D19" s="74">
        <f t="shared" si="4"/>
        <v>0.25726315789473686</v>
      </c>
      <c r="E19">
        <f>COUNTIF(tables_521010!C:C,input_521010!A19)-COUNTIF(Q:Q,A19)</f>
        <v>52</v>
      </c>
      <c r="F19" s="43">
        <f t="shared" ref="F19:F31" si="9">IFERROR(B19/E19,0)</f>
        <v>4.9473684210526317E-3</v>
      </c>
      <c r="G19">
        <f t="shared" si="5"/>
        <v>6354400</v>
      </c>
      <c r="H19">
        <f t="shared" si="6"/>
        <v>122200</v>
      </c>
      <c r="I19">
        <f t="shared" si="7"/>
        <v>0</v>
      </c>
      <c r="J19">
        <f t="shared" si="8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VLOOKUP(L19,tables_521010!B:C,2,FALSE)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</f>
        <v>0.21867368421052633</v>
      </c>
      <c r="C20" s="85">
        <f t="shared" si="3"/>
        <v>0</v>
      </c>
      <c r="D20" s="74">
        <f t="shared" si="4"/>
        <v>0.21867368421052633</v>
      </c>
      <c r="E20">
        <f>COUNTIF(tables_521010!C:C,input_521010!A20)-COUNTIF(Q:Q,A20)</f>
        <v>52</v>
      </c>
      <c r="F20" s="43">
        <f t="shared" si="9"/>
        <v>4.2052631578947371E-3</v>
      </c>
      <c r="G20">
        <f t="shared" si="5"/>
        <v>5401240</v>
      </c>
      <c r="H20">
        <f t="shared" si="6"/>
        <v>103870</v>
      </c>
      <c r="I20">
        <f t="shared" si="7"/>
        <v>0</v>
      </c>
      <c r="J20">
        <f t="shared" si="8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VLOOKUP(L20,tables_521010!B:C,2,FALSE)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E21*E6*B7</f>
        <v>3.8589473684210528E-2</v>
      </c>
      <c r="C21" s="85">
        <f t="shared" si="3"/>
        <v>0</v>
      </c>
      <c r="D21" s="74">
        <f t="shared" si="4"/>
        <v>3.8589473684210528E-2</v>
      </c>
      <c r="E21">
        <f>COUNTIF(tables_521010!C:C,input_521010!A21)-COUNTIF(Q:Q,A21)</f>
        <v>52</v>
      </c>
      <c r="F21" s="43">
        <f t="shared" si="9"/>
        <v>7.4210526315789474E-4</v>
      </c>
      <c r="G21">
        <f t="shared" si="5"/>
        <v>953160</v>
      </c>
      <c r="H21">
        <f t="shared" si="6"/>
        <v>18330</v>
      </c>
      <c r="I21">
        <f t="shared" si="7"/>
        <v>0</v>
      </c>
      <c r="J21">
        <f t="shared" si="8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0.1739</v>
      </c>
      <c r="C22" s="85">
        <f t="shared" si="3"/>
        <v>0</v>
      </c>
      <c r="D22" s="74">
        <f t="shared" si="4"/>
        <v>0.1739</v>
      </c>
      <c r="E22">
        <f>COUNTIF(tables_521010!C:C,input_521010!A22)-COUNTIF(Q:Q,A22)</f>
        <v>19</v>
      </c>
      <c r="F22" s="43">
        <f t="shared" si="9"/>
        <v>9.1526315789473688E-3</v>
      </c>
      <c r="G22">
        <f t="shared" si="5"/>
        <v>4295330</v>
      </c>
      <c r="H22">
        <f t="shared" si="6"/>
        <v>226070</v>
      </c>
      <c r="I22">
        <f t="shared" si="7"/>
        <v>0</v>
      </c>
      <c r="J22">
        <f t="shared" si="8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1.41E-2</v>
      </c>
      <c r="C23" s="85">
        <f t="shared" si="3"/>
        <v>0</v>
      </c>
      <c r="D23" s="74">
        <f t="shared" si="4"/>
        <v>1.41E-2</v>
      </c>
      <c r="E23">
        <f>COUNTIF(tables_521010!C:C,input_521010!A23)-COUNTIF(Q:Q,A23)</f>
        <v>19</v>
      </c>
      <c r="F23" s="43">
        <f t="shared" si="9"/>
        <v>7.4210526315789474E-4</v>
      </c>
      <c r="G23">
        <f t="shared" si="5"/>
        <v>348270</v>
      </c>
      <c r="H23">
        <f t="shared" si="6"/>
        <v>18330</v>
      </c>
      <c r="I23">
        <f t="shared" si="7"/>
        <v>0</v>
      </c>
      <c r="J23">
        <f t="shared" si="8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1.9789473684210527E-2</v>
      </c>
      <c r="C24" s="85">
        <f t="shared" si="3"/>
        <v>0</v>
      </c>
      <c r="D24" s="74">
        <f t="shared" si="4"/>
        <v>1.9789473684210527E-2</v>
      </c>
      <c r="E24">
        <f>COUNTIF(tables_521010!C:C,input_521010!A24)-COUNTIF(Q:Q,A24)</f>
        <v>4</v>
      </c>
      <c r="F24" s="43">
        <f t="shared" si="9"/>
        <v>4.9473684210526317E-3</v>
      </c>
      <c r="G24">
        <f t="shared" si="5"/>
        <v>488800</v>
      </c>
      <c r="H24">
        <f t="shared" si="6"/>
        <v>122200</v>
      </c>
      <c r="I24">
        <f t="shared" si="7"/>
        <v>0</v>
      </c>
      <c r="J24">
        <f t="shared" si="8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1.6821052631578948E-2</v>
      </c>
      <c r="C25" s="85">
        <f t="shared" si="3"/>
        <v>0</v>
      </c>
      <c r="D25" s="74">
        <f t="shared" si="4"/>
        <v>1.6821052631578948E-2</v>
      </c>
      <c r="E25">
        <f>COUNTIF(tables_521010!C:C,input_521010!A25)-COUNTIF(Q:Q,A25)</f>
        <v>4</v>
      </c>
      <c r="F25" s="43">
        <f t="shared" si="9"/>
        <v>4.2052631578947371E-3</v>
      </c>
      <c r="G25">
        <f t="shared" si="5"/>
        <v>415480</v>
      </c>
      <c r="H25">
        <f t="shared" si="6"/>
        <v>103870</v>
      </c>
      <c r="I25">
        <f t="shared" si="7"/>
        <v>0</v>
      </c>
      <c r="J25">
        <f t="shared" si="8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2.9684210526315789E-3</v>
      </c>
      <c r="C26" s="85">
        <f t="shared" si="3"/>
        <v>0</v>
      </c>
      <c r="D26" s="74">
        <f t="shared" si="4"/>
        <v>2.9684210526315789E-3</v>
      </c>
      <c r="E26">
        <f>COUNTIF(tables_521010!C:C,input_521010!A26)-COUNTIF(Q:Q,A26)</f>
        <v>4</v>
      </c>
      <c r="F26" s="43">
        <f t="shared" si="9"/>
        <v>7.4210526315789474E-4</v>
      </c>
      <c r="G26">
        <f t="shared" si="5"/>
        <v>73320</v>
      </c>
      <c r="H26">
        <f t="shared" si="6"/>
        <v>18330</v>
      </c>
      <c r="I26">
        <f t="shared" si="7"/>
        <v>0</v>
      </c>
      <c r="J26">
        <f t="shared" si="8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E$5*E27-B28</f>
        <v>3.6999999999999984E-3</v>
      </c>
      <c r="C27" s="85">
        <f t="shared" si="3"/>
        <v>2.3125000000000003E-2</v>
      </c>
      <c r="D27" s="74">
        <f t="shared" si="4"/>
        <v>-1.9425000000000005E-2</v>
      </c>
      <c r="E27">
        <f>COUNTIF(tables_521010!C:C,input_521010!A27)-COUNTIF(Q:Q,A27)</f>
        <v>26</v>
      </c>
      <c r="F27" s="43">
        <f>IFERROR(B27/E27,0)</f>
        <v>1.4230769230769226E-4</v>
      </c>
      <c r="G27">
        <f t="shared" si="5"/>
        <v>91389.999999999956</v>
      </c>
      <c r="H27">
        <f t="shared" si="6"/>
        <v>3515</v>
      </c>
      <c r="I27">
        <f t="shared" si="7"/>
        <v>0</v>
      </c>
      <c r="J27">
        <f t="shared" si="8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2.9999999999999987E-4</v>
      </c>
      <c r="C28" s="85">
        <f t="shared" si="3"/>
        <v>1.8749999999999999E-3</v>
      </c>
      <c r="D28" s="74">
        <f t="shared" si="4"/>
        <v>-1.575E-3</v>
      </c>
      <c r="E28">
        <f>COUNTIF(tables_521010!C:C,input_521010!A28)-COUNTIF(Q:Q,A28)</f>
        <v>26</v>
      </c>
      <c r="F28" s="43">
        <f t="shared" si="9"/>
        <v>1.1538461538461533E-5</v>
      </c>
      <c r="G28">
        <f t="shared" si="5"/>
        <v>7409.9999999999964</v>
      </c>
      <c r="H28">
        <f t="shared" si="6"/>
        <v>285</v>
      </c>
      <c r="I28">
        <f t="shared" si="7"/>
        <v>0</v>
      </c>
      <c r="J28">
        <f t="shared" si="8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5.9999999999999967E-3</v>
      </c>
      <c r="C29" s="85">
        <f t="shared" si="3"/>
        <v>2.5000000000000001E-2</v>
      </c>
      <c r="D29" s="74">
        <f t="shared" si="4"/>
        <v>-1.9000000000000003E-2</v>
      </c>
      <c r="E29">
        <f>COUNTIF(tables_521010!C:C,input_521010!A29)-COUNTIF(Q:Q,A29)</f>
        <v>39</v>
      </c>
      <c r="F29" s="43">
        <f t="shared" si="9"/>
        <v>1.5384615384615377E-4</v>
      </c>
      <c r="G29">
        <f t="shared" si="5"/>
        <v>148199.99999999991</v>
      </c>
      <c r="H29">
        <f t="shared" si="6"/>
        <v>3800</v>
      </c>
      <c r="I29">
        <f t="shared" si="7"/>
        <v>0</v>
      </c>
      <c r="J29">
        <f t="shared" si="8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3"/>
        <v>0</v>
      </c>
      <c r="D30" s="74">
        <f t="shared" si="4"/>
        <v>0</v>
      </c>
      <c r="E30">
        <f>COUNTIF(tables_521010!C:C,input_521010!A30)-COUNTIF(Q:Q,A30)</f>
        <v>0</v>
      </c>
      <c r="F30" s="43">
        <f t="shared" si="9"/>
        <v>0</v>
      </c>
      <c r="G30">
        <f t="shared" si="5"/>
        <v>0</v>
      </c>
      <c r="H30">
        <f t="shared" si="6"/>
        <v>0</v>
      </c>
      <c r="I30">
        <f t="shared" si="7"/>
        <v>0</v>
      </c>
      <c r="J30">
        <f t="shared" si="8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3"/>
        <v>0</v>
      </c>
      <c r="D31" s="74">
        <f t="shared" si="4"/>
        <v>0</v>
      </c>
      <c r="E31">
        <f>COUNTIF(tables_521010!C:C,input_521010!A31)-COUNTIF(Q:Q,A31)</f>
        <v>0</v>
      </c>
      <c r="F31" s="43">
        <f t="shared" si="9"/>
        <v>0</v>
      </c>
      <c r="G31">
        <f t="shared" si="5"/>
        <v>0</v>
      </c>
      <c r="H31">
        <f t="shared" si="6"/>
        <v>0</v>
      </c>
      <c r="I31">
        <f t="shared" si="7"/>
        <v>0</v>
      </c>
      <c r="J31">
        <f t="shared" si="8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0.95000000000000018</v>
      </c>
      <c r="C32" s="41">
        <f>SUM(C19:C31)</f>
        <v>0.05</v>
      </c>
      <c r="D32" s="42">
        <f t="shared" si="4"/>
        <v>0.90000000000000013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1.7694444492592443E-2</v>
      </c>
    </row>
    <row r="35" spans="1:7" x14ac:dyDescent="0.15">
      <c r="A35" t="s">
        <v>73</v>
      </c>
      <c r="E35">
        <v>3.15E-2</v>
      </c>
    </row>
    <row r="36" spans="1:7" x14ac:dyDescent="0.15">
      <c r="A36" s="31">
        <f>LCM(F5-I5,F6-I6)*1000*2*2*5</f>
        <v>24700000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SUMIF(tables_521010!C:C,input_521010!A40,tables_521010!O:O)</f>
        <v>6354400</v>
      </c>
      <c r="C40" s="54">
        <f t="shared" ref="C40:C46" ca="1" si="10">B40/B$47</f>
        <v>0.47332235886511087</v>
      </c>
      <c r="E40">
        <v>3</v>
      </c>
      <c r="F40">
        <f ca="1">SUMIF(tables_521010!J:J,input_521010!E40,tables_521010!O:O)</f>
        <v>9287200</v>
      </c>
      <c r="G40">
        <f ca="1">F40/A36</f>
        <v>0.376</v>
      </c>
    </row>
    <row r="41" spans="1:7" x14ac:dyDescent="0.15">
      <c r="A41" s="33" t="s">
        <v>104</v>
      </c>
      <c r="B41">
        <f ca="1">SUMIF(tables_521010!C:C,input_521010!A41,tables_521010!O:O)</f>
        <v>5401240</v>
      </c>
      <c r="C41" s="54">
        <f t="shared" ca="1" si="10"/>
        <v>0.40232400503534427</v>
      </c>
      <c r="E41">
        <v>4</v>
      </c>
      <c r="F41">
        <f ca="1">SUMIF(tables_521010!J:J,input_521010!E41,tables_521010!O:O)</f>
        <v>13218627.5</v>
      </c>
      <c r="G41">
        <f ca="1">F41/A36</f>
        <v>0.53516710526315792</v>
      </c>
    </row>
    <row r="42" spans="1:7" x14ac:dyDescent="0.15">
      <c r="A42" s="33" t="s">
        <v>106</v>
      </c>
      <c r="B42">
        <f ca="1">SUMIF(tables_521010!C:C,input_521010!A42,tables_521010!O:O)</f>
        <v>662577.50000000012</v>
      </c>
      <c r="C42" s="54">
        <f t="shared" ca="1" si="10"/>
        <v>4.9353636099544893E-2</v>
      </c>
      <c r="E42">
        <v>5</v>
      </c>
      <c r="F42">
        <f ca="1">SUMIF(tables_521010!J:J,input_521010!E42,tables_521010!O:O)</f>
        <v>2194172.5</v>
      </c>
      <c r="G42">
        <f ca="1">F42/A36</f>
        <v>8.8832894736842111E-2</v>
      </c>
    </row>
    <row r="43" spans="1:7" x14ac:dyDescent="0.15">
      <c r="A43" s="33" t="s">
        <v>109</v>
      </c>
      <c r="B43">
        <f>SUMIF(tables_521010!C:C,input_521010!A43,tables_521010!O:O)</f>
        <v>0</v>
      </c>
      <c r="C43" s="54">
        <f t="shared" ca="1" si="10"/>
        <v>0</v>
      </c>
      <c r="F43" s="55"/>
    </row>
    <row r="44" spans="1:7" x14ac:dyDescent="0.15">
      <c r="A44" s="33" t="s">
        <v>105</v>
      </c>
      <c r="B44">
        <f ca="1">SUMIF(tables_521010!C:C,input_521010!A44,tables_521010!O:O)</f>
        <v>953160</v>
      </c>
      <c r="C44" s="54">
        <f t="shared" ca="1" si="10"/>
        <v>7.0998353829766631E-2</v>
      </c>
      <c r="E44" t="s">
        <v>54</v>
      </c>
      <c r="F44" s="55"/>
    </row>
    <row r="45" spans="1:7" x14ac:dyDescent="0.15">
      <c r="A45" s="33" t="s">
        <v>107</v>
      </c>
      <c r="B45">
        <f ca="1">SUMIF(tables_521010!C:C,input_521010!A45,tables_521010!O:O)</f>
        <v>53722.5</v>
      </c>
      <c r="C45" s="54">
        <f t="shared" ca="1" si="10"/>
        <v>4.0016461702333693E-3</v>
      </c>
      <c r="E45" t="s">
        <v>204</v>
      </c>
      <c r="F45" s="55">
        <f ca="1">SUMIF(tables_521010!I:I,input_521010!E45,tables_521010!P:P)</f>
        <v>0.19789473684210546</v>
      </c>
    </row>
    <row r="46" spans="1:7" x14ac:dyDescent="0.15">
      <c r="A46" s="33" t="s">
        <v>108</v>
      </c>
      <c r="B46">
        <f>SUMIF(tables_521010!C:C,input_521010!A46,tables_521010!O:O)</f>
        <v>0</v>
      </c>
      <c r="C46" s="54">
        <f t="shared" ca="1" si="10"/>
        <v>0</v>
      </c>
      <c r="E46" t="s">
        <v>205</v>
      </c>
      <c r="F46" s="55">
        <f ca="1">SUMIF(tables_521010!I:I,input_521010!E46,tables_521010!P:P)</f>
        <v>0.19789473684210546</v>
      </c>
    </row>
    <row r="47" spans="1:7" x14ac:dyDescent="0.15">
      <c r="A47" s="39" t="s">
        <v>59</v>
      </c>
      <c r="B47">
        <f ca="1">SUM(B40:B46)</f>
        <v>13425100</v>
      </c>
      <c r="C47" s="55">
        <f ca="1">SUM(C40:C46)</f>
        <v>1</v>
      </c>
      <c r="E47" t="s">
        <v>206</v>
      </c>
      <c r="F47" s="55">
        <f ca="1">SUMIF(tables_521010!I:I,input_521010!E47,tables_521010!P:P)</f>
        <v>0.54421052631578914</v>
      </c>
    </row>
    <row r="48" spans="1:7" x14ac:dyDescent="0.15">
      <c r="E48" t="s">
        <v>207</v>
      </c>
      <c r="F48" s="55">
        <f ca="1">SUMIF(tables_521010!I:I,input_521010!E48,tables_521010!P:P)</f>
        <v>5.8769230769230865E-2</v>
      </c>
      <c r="G48" s="55">
        <v>1.7592594443157793E-4</v>
      </c>
    </row>
    <row r="49" spans="5:7" x14ac:dyDescent="0.15">
      <c r="E49" t="s">
        <v>250</v>
      </c>
      <c r="F49" s="55">
        <f ca="1">SUMIF(tables_521010!I:I,input_521010!E49,tables_521010!P:P)</f>
        <v>1.2307692307692308E-3</v>
      </c>
      <c r="G49" s="55">
        <v>5.6481481664584488E-4</v>
      </c>
    </row>
    <row r="50" spans="5:7" x14ac:dyDescent="0.15">
      <c r="E50" t="s">
        <v>251</v>
      </c>
      <c r="F50" s="55">
        <f>SUMIF(tables_521010!I:I,input_521010!E50,tables_521010!P:P)</f>
        <v>0</v>
      </c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4"/>
  <sheetViews>
    <sheetView showGridLines="0" zoomScale="75" zoomScaleNormal="75" zoomScalePageLayoutView="75" workbookViewId="0">
      <pane ySplit="1" topLeftCell="A318" activePane="bottomLeft" state="frozen"/>
      <selection activeCell="H276" sqref="H276"/>
      <selection pane="bottomLeft" activeCell="A344" sqref="A34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input_521010!A$2</f>
        <v>521010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IFERROR(VLOOKUP(B2,input_521010!L:R,7,FALSE),VLOOKUP(tables_521010!C2,input_521010!A:H,8,FALSE))</f>
        <v>122200</v>
      </c>
      <c r="P2" s="46">
        <f t="shared" ref="P2:P65" ca="1" si="1">O2/SUM(O:O)</f>
        <v>4.9473684210526317E-3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input_521010!A$2</f>
        <v>521010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IFERROR(VLOOKUP(B3,input_521010!L:R,7,FALSE),VLOOKUP(tables_521010!C3,input_521010!A:H,8,FALSE))</f>
        <v>122200</v>
      </c>
      <c r="P3" s="46">
        <f t="shared" ca="1" si="1"/>
        <v>4.9473684210526317E-3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input_521010!A$2</f>
        <v>521010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IFERROR(VLOOKUP(B4,input_521010!L:R,7,FALSE),VLOOKUP(tables_521010!C4,input_521010!A:H,8,FALSE))</f>
        <v>122200</v>
      </c>
      <c r="P4" s="46">
        <f t="shared" ca="1" si="1"/>
        <v>4.9473684210526317E-3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input_521010!A$2</f>
        <v>521010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IFERROR(VLOOKUP(B5,input_521010!L:R,7,FALSE),VLOOKUP(tables_521010!C5,input_521010!A:H,8,FALSE))</f>
        <v>122200</v>
      </c>
      <c r="P5" s="46">
        <f t="shared" ca="1" si="1"/>
        <v>4.9473684210526317E-3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input_521010!A$2</f>
        <v>521010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IFERROR(VLOOKUP(B6,input_521010!L:R,7,FALSE),VLOOKUP(tables_521010!C6,input_521010!A:H,8,FALSE))</f>
        <v>122200</v>
      </c>
      <c r="P6" s="46">
        <f t="shared" ca="1" si="1"/>
        <v>4.9473684210526317E-3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input_521010!A$2</f>
        <v>521010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IFERROR(VLOOKUP(B7,input_521010!L:R,7,FALSE),VLOOKUP(tables_521010!C7,input_521010!A:H,8,FALSE))</f>
        <v>122200</v>
      </c>
      <c r="P7" s="46">
        <f t="shared" ca="1" si="1"/>
        <v>4.9473684210526317E-3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input_521010!A$2</f>
        <v>521010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IFERROR(VLOOKUP(B8,input_521010!L:R,7,FALSE),VLOOKUP(tables_521010!C8,input_521010!A:H,8,FALSE))</f>
        <v>122200</v>
      </c>
      <c r="P8" s="46">
        <f t="shared" ca="1" si="1"/>
        <v>4.9473684210526317E-3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input_521010!A$2</f>
        <v>521010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IFERROR(VLOOKUP(B9,input_521010!L:R,7,FALSE),VLOOKUP(tables_521010!C9,input_521010!A:H,8,FALSE))</f>
        <v>122200</v>
      </c>
      <c r="P9" s="46">
        <f t="shared" ca="1" si="1"/>
        <v>4.9473684210526317E-3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input_521010!A$2</f>
        <v>521010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IFERROR(VLOOKUP(B10,input_521010!L:R,7,FALSE),VLOOKUP(tables_521010!C10,input_521010!A:H,8,FALSE))</f>
        <v>122200</v>
      </c>
      <c r="P10" s="46">
        <f t="shared" ca="1" si="1"/>
        <v>4.9473684210526317E-3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input_521010!A$2</f>
        <v>521010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IFERROR(VLOOKUP(B11,input_521010!L:R,7,FALSE),VLOOKUP(tables_521010!C11,input_521010!A:H,8,FALSE))</f>
        <v>122200</v>
      </c>
      <c r="P11" s="46">
        <f t="shared" ca="1" si="1"/>
        <v>4.9473684210526317E-3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input_521010!A$2</f>
        <v>521010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IFERROR(VLOOKUP(B12,input_521010!L:R,7,FALSE),VLOOKUP(tables_521010!C12,input_521010!A:H,8,FALSE))</f>
        <v>122200</v>
      </c>
      <c r="P12" s="46">
        <f t="shared" ca="1" si="1"/>
        <v>4.9473684210526317E-3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input_521010!A$2</f>
        <v>521010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IFERROR(VLOOKUP(B13,input_521010!L:R,7,FALSE),VLOOKUP(tables_521010!C13,input_521010!A:H,8,FALSE))</f>
        <v>122200</v>
      </c>
      <c r="P13" s="46">
        <f t="shared" ca="1" si="1"/>
        <v>4.9473684210526317E-3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input_521010!A$2</f>
        <v>521010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IFERROR(VLOOKUP(B14,input_521010!L:R,7,FALSE),VLOOKUP(tables_521010!C14,input_521010!A:H,8,FALSE))</f>
        <v>122200</v>
      </c>
      <c r="P14" s="46">
        <f t="shared" ca="1" si="1"/>
        <v>4.9473684210526317E-3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input_521010!A$2</f>
        <v>521010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IFERROR(VLOOKUP(B15,input_521010!L:R,7,FALSE),VLOOKUP(tables_521010!C15,input_521010!A:H,8,FALSE))</f>
        <v>122200</v>
      </c>
      <c r="P15" s="46">
        <f t="shared" ca="1" si="1"/>
        <v>4.9473684210526317E-3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input_521010!A$2</f>
        <v>521010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IFERROR(VLOOKUP(B16,input_521010!L:R,7,FALSE),VLOOKUP(tables_521010!C16,input_521010!A:H,8,FALSE))</f>
        <v>122200</v>
      </c>
      <c r="P16" s="46">
        <f t="shared" ca="1" si="1"/>
        <v>4.9473684210526317E-3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input_521010!A$2</f>
        <v>521010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IFERROR(VLOOKUP(B17,input_521010!L:R,7,FALSE),VLOOKUP(tables_521010!C17,input_521010!A:H,8,FALSE))</f>
        <v>122200</v>
      </c>
      <c r="P17" s="46">
        <f t="shared" ca="1" si="1"/>
        <v>4.9473684210526317E-3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input_521010!A$2</f>
        <v>521010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IFERROR(VLOOKUP(B18,input_521010!L:R,7,FALSE),VLOOKUP(tables_521010!C18,input_521010!A:H,8,FALSE))</f>
        <v>122200</v>
      </c>
      <c r="P18" s="46">
        <f t="shared" ca="1" si="1"/>
        <v>4.9473684210526317E-3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input_521010!A$2</f>
        <v>521010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IFERROR(VLOOKUP(B19,input_521010!L:R,7,FALSE),VLOOKUP(tables_521010!C19,input_521010!A:H,8,FALSE))</f>
        <v>122200</v>
      </c>
      <c r="P19" s="46">
        <f t="shared" ca="1" si="1"/>
        <v>4.9473684210526317E-3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input_521010!A$2</f>
        <v>521010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IFERROR(VLOOKUP(B20,input_521010!L:R,7,FALSE),VLOOKUP(tables_521010!C20,input_521010!A:H,8,FALSE))</f>
        <v>122200</v>
      </c>
      <c r="P20" s="46">
        <f t="shared" ca="1" si="1"/>
        <v>4.9473684210526317E-3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input_521010!A$2</f>
        <v>521010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IFERROR(VLOOKUP(B21,input_521010!L:R,7,FALSE),VLOOKUP(tables_521010!C21,input_521010!A:H,8,FALSE))</f>
        <v>122200</v>
      </c>
      <c r="P21" s="46">
        <f t="shared" ca="1" si="1"/>
        <v>4.9473684210526317E-3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input_521010!A$2</f>
        <v>521010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IFERROR(VLOOKUP(B22,input_521010!L:R,7,FALSE),VLOOKUP(tables_521010!C22,input_521010!A:H,8,FALSE))</f>
        <v>122200</v>
      </c>
      <c r="P22" s="46">
        <f t="shared" ca="1" si="1"/>
        <v>4.9473684210526317E-3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input_521010!A$2</f>
        <v>521010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IFERROR(VLOOKUP(B23,input_521010!L:R,7,FALSE),VLOOKUP(tables_521010!C23,input_521010!A:H,8,FALSE))</f>
        <v>122200</v>
      </c>
      <c r="P23" s="46">
        <f t="shared" ca="1" si="1"/>
        <v>4.9473684210526317E-3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input_521010!A$2</f>
        <v>521010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IFERROR(VLOOKUP(B24,input_521010!L:R,7,FALSE),VLOOKUP(tables_521010!C24,input_521010!A:H,8,FALSE))</f>
        <v>122200</v>
      </c>
      <c r="P24" s="46">
        <f t="shared" ca="1" si="1"/>
        <v>4.9473684210526317E-3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input_521010!A$2</f>
        <v>521010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IFERROR(VLOOKUP(B25,input_521010!L:R,7,FALSE),VLOOKUP(tables_521010!C25,input_521010!A:H,8,FALSE))</f>
        <v>122200</v>
      </c>
      <c r="P25" s="46">
        <f t="shared" ca="1" si="1"/>
        <v>4.9473684210526317E-3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input_521010!A$2</f>
        <v>521010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IFERROR(VLOOKUP(B26,input_521010!L:R,7,FALSE),VLOOKUP(tables_521010!C26,input_521010!A:H,8,FALSE))</f>
        <v>122200</v>
      </c>
      <c r="P26" s="46">
        <f t="shared" ca="1" si="1"/>
        <v>4.9473684210526317E-3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input_521010!A$2</f>
        <v>521010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IFERROR(VLOOKUP(B27,input_521010!L:R,7,FALSE),VLOOKUP(tables_521010!C27,input_521010!A:H,8,FALSE))</f>
        <v>122200</v>
      </c>
      <c r="P27" s="46">
        <f t="shared" ca="1" si="1"/>
        <v>4.9473684210526317E-3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input_521010!A$2</f>
        <v>521010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IFERROR(VLOOKUP(B28,input_521010!L:R,7,FALSE),VLOOKUP(tables_521010!C28,input_521010!A:H,8,FALSE))</f>
        <v>122200</v>
      </c>
      <c r="P28" s="46">
        <f t="shared" ca="1" si="1"/>
        <v>4.9473684210526317E-3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input_521010!A$2</f>
        <v>521010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IFERROR(VLOOKUP(B29,input_521010!L:R,7,FALSE),VLOOKUP(tables_521010!C29,input_521010!A:H,8,FALSE))</f>
        <v>122200</v>
      </c>
      <c r="P29" s="46">
        <f t="shared" ca="1" si="1"/>
        <v>4.9473684210526317E-3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input_521010!A$2</f>
        <v>521010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IFERROR(VLOOKUP(B30,input_521010!L:R,7,FALSE),VLOOKUP(tables_521010!C30,input_521010!A:H,8,FALSE))</f>
        <v>122200</v>
      </c>
      <c r="P30" s="46">
        <f t="shared" ca="1" si="1"/>
        <v>4.9473684210526317E-3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input_521010!A$2</f>
        <v>521010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IFERROR(VLOOKUP(B31,input_521010!L:R,7,FALSE),VLOOKUP(tables_521010!C31,input_521010!A:H,8,FALSE))</f>
        <v>122200</v>
      </c>
      <c r="P31" s="46">
        <f t="shared" ca="1" si="1"/>
        <v>4.9473684210526317E-3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input_521010!A$2</f>
        <v>521010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IFERROR(VLOOKUP(B32,input_521010!L:R,7,FALSE),VLOOKUP(tables_521010!C32,input_521010!A:H,8,FALSE))</f>
        <v>122200</v>
      </c>
      <c r="P32" s="46">
        <f t="shared" ca="1" si="1"/>
        <v>4.9473684210526317E-3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input_521010!A$2</f>
        <v>521010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IFERROR(VLOOKUP(B33,input_521010!L:R,7,FALSE),VLOOKUP(tables_521010!C33,input_521010!A:H,8,FALSE))</f>
        <v>122200</v>
      </c>
      <c r="P33" s="46">
        <f t="shared" ca="1" si="1"/>
        <v>4.9473684210526317E-3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input_521010!A$2</f>
        <v>521010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IFERROR(VLOOKUP(B34,input_521010!L:R,7,FALSE),VLOOKUP(tables_521010!C34,input_521010!A:H,8,FALSE))</f>
        <v>122200</v>
      </c>
      <c r="P34" s="46">
        <f t="shared" ca="1" si="1"/>
        <v>4.9473684210526317E-3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input_521010!A$2</f>
        <v>521010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IFERROR(VLOOKUP(B35,input_521010!L:R,7,FALSE),VLOOKUP(tables_521010!C35,input_521010!A:H,8,FALSE))</f>
        <v>122200</v>
      </c>
      <c r="P35" s="46">
        <f t="shared" ca="1" si="1"/>
        <v>4.9473684210526317E-3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input_521010!A$2</f>
        <v>521010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IFERROR(VLOOKUP(B36,input_521010!L:R,7,FALSE),VLOOKUP(tables_521010!C36,input_521010!A:H,8,FALSE))</f>
        <v>122200</v>
      </c>
      <c r="P36" s="46">
        <f t="shared" ca="1" si="1"/>
        <v>4.9473684210526317E-3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input_521010!A$2</f>
        <v>521010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IFERROR(VLOOKUP(B37,input_521010!L:R,7,FALSE),VLOOKUP(tables_521010!C37,input_521010!A:H,8,FALSE))</f>
        <v>122200</v>
      </c>
      <c r="P37" s="46">
        <f t="shared" ca="1" si="1"/>
        <v>4.9473684210526317E-3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input_521010!A$2</f>
        <v>521010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IFERROR(VLOOKUP(B38,input_521010!L:R,7,FALSE),VLOOKUP(tables_521010!C38,input_521010!A:H,8,FALSE))</f>
        <v>122200</v>
      </c>
      <c r="P38" s="46">
        <f t="shared" ca="1" si="1"/>
        <v>4.9473684210526317E-3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input_521010!A$2</f>
        <v>521010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IFERROR(VLOOKUP(B39,input_521010!L:R,7,FALSE),VLOOKUP(tables_521010!C39,input_521010!A:H,8,FALSE))</f>
        <v>122200</v>
      </c>
      <c r="P39" s="46">
        <f t="shared" ca="1" si="1"/>
        <v>4.9473684210526317E-3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input_521010!A$2</f>
        <v>521010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IFERROR(VLOOKUP(B40,input_521010!L:R,7,FALSE),VLOOKUP(tables_521010!C40,input_521010!A:H,8,FALSE))</f>
        <v>122200</v>
      </c>
      <c r="P40" s="46">
        <f t="shared" ca="1" si="1"/>
        <v>4.9473684210526317E-3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input_521010!A$2</f>
        <v>521010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IFERROR(VLOOKUP(B41,input_521010!L:R,7,FALSE),VLOOKUP(tables_521010!C41,input_521010!A:H,8,FALSE))</f>
        <v>122200</v>
      </c>
      <c r="P41" s="46">
        <f t="shared" ca="1" si="1"/>
        <v>4.9473684210526317E-3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input_521010!A$2</f>
        <v>521010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IFERROR(VLOOKUP(B42,input_521010!L:R,7,FALSE),VLOOKUP(tables_521010!C42,input_521010!A:H,8,FALSE))</f>
        <v>122200</v>
      </c>
      <c r="P42" s="46">
        <f t="shared" ca="1" si="1"/>
        <v>4.9473684210526317E-3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input_521010!A$2</f>
        <v>521010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IFERROR(VLOOKUP(B43,input_521010!L:R,7,FALSE),VLOOKUP(tables_521010!C43,input_521010!A:H,8,FALSE))</f>
        <v>103870</v>
      </c>
      <c r="P43" s="46">
        <f t="shared" ca="1" si="1"/>
        <v>4.2052631578947371E-3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input_521010!A$2</f>
        <v>521010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IFERROR(VLOOKUP(B44,input_521010!L:R,7,FALSE),VLOOKUP(tables_521010!C44,input_521010!A:H,8,FALSE))</f>
        <v>18330</v>
      </c>
      <c r="P44" s="46">
        <f t="shared" ca="1" si="1"/>
        <v>7.4210526315789474E-4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input_521010!A$2</f>
        <v>521010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IFERROR(VLOOKUP(B45,input_521010!L:R,7,FALSE),VLOOKUP(tables_521010!C45,input_521010!A:H,8,FALSE))</f>
        <v>122200</v>
      </c>
      <c r="P45" s="46">
        <f t="shared" ca="1" si="1"/>
        <v>4.9473684210526317E-3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input_521010!A$2</f>
        <v>521010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IFERROR(VLOOKUP(B46,input_521010!L:R,7,FALSE),VLOOKUP(tables_521010!C46,input_521010!A:H,8,FALSE))</f>
        <v>103870</v>
      </c>
      <c r="P46" s="46">
        <f t="shared" ca="1" si="1"/>
        <v>4.2052631578947371E-3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input_521010!A$2</f>
        <v>521010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IFERROR(VLOOKUP(B47,input_521010!L:R,7,FALSE),VLOOKUP(tables_521010!C47,input_521010!A:H,8,FALSE))</f>
        <v>18330</v>
      </c>
      <c r="P47" s="46">
        <f t="shared" ca="1" si="1"/>
        <v>7.4210526315789474E-4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input_521010!A$2</f>
        <v>521010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IFERROR(VLOOKUP(B48,input_521010!L:R,7,FALSE),VLOOKUP(tables_521010!C48,input_521010!A:H,8,FALSE))</f>
        <v>122200</v>
      </c>
      <c r="P48" s="46">
        <f t="shared" ca="1" si="1"/>
        <v>4.9473684210526317E-3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input_521010!A$2</f>
        <v>521010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IFERROR(VLOOKUP(B49,input_521010!L:R,7,FALSE),VLOOKUP(tables_521010!C49,input_521010!A:H,8,FALSE))</f>
        <v>103870</v>
      </c>
      <c r="P49" s="46">
        <f t="shared" ca="1" si="1"/>
        <v>4.2052631578947371E-3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input_521010!A$2</f>
        <v>521010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IFERROR(VLOOKUP(B50,input_521010!L:R,7,FALSE),VLOOKUP(tables_521010!C50,input_521010!A:H,8,FALSE))</f>
        <v>18330</v>
      </c>
      <c r="P50" s="46">
        <f t="shared" ca="1" si="1"/>
        <v>7.4210526315789474E-4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input_521010!A$2</f>
        <v>521010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IFERROR(VLOOKUP(B51,input_521010!L:R,7,FALSE),VLOOKUP(tables_521010!C51,input_521010!A:H,8,FALSE))</f>
        <v>122200</v>
      </c>
      <c r="P51" s="46">
        <f t="shared" ca="1" si="1"/>
        <v>4.9473684210526317E-3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input_521010!A$2</f>
        <v>521010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IFERROR(VLOOKUP(B52,input_521010!L:R,7,FALSE),VLOOKUP(tables_521010!C52,input_521010!A:H,8,FALSE))</f>
        <v>103870</v>
      </c>
      <c r="P52" s="46">
        <f t="shared" ca="1" si="1"/>
        <v>4.2052631578947371E-3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input_521010!A$2</f>
        <v>521010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IFERROR(VLOOKUP(B53,input_521010!L:R,7,FALSE),VLOOKUP(tables_521010!C53,input_521010!A:H,8,FALSE))</f>
        <v>18330</v>
      </c>
      <c r="P53" s="46">
        <f t="shared" ca="1" si="1"/>
        <v>7.4210526315789474E-4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input_521010!A$2</f>
        <v>521010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IFERROR(VLOOKUP(B54,input_521010!L:R,7,FALSE),VLOOKUP(tables_521010!C54,input_521010!A:H,8,FALSE))</f>
        <v>122200</v>
      </c>
      <c r="P54" s="46">
        <f t="shared" ca="1" si="1"/>
        <v>4.9473684210526317E-3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input_521010!A$2</f>
        <v>521010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IFERROR(VLOOKUP(B55,input_521010!L:R,7,FALSE),VLOOKUP(tables_521010!C55,input_521010!A:H,8,FALSE))</f>
        <v>103870</v>
      </c>
      <c r="P55" s="46">
        <f t="shared" ca="1" si="1"/>
        <v>4.2052631578947371E-3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input_521010!A$2</f>
        <v>521010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IFERROR(VLOOKUP(B56,input_521010!L:R,7,FALSE),VLOOKUP(tables_521010!C56,input_521010!A:H,8,FALSE))</f>
        <v>18330</v>
      </c>
      <c r="P56" s="46">
        <f t="shared" ca="1" si="1"/>
        <v>7.4210526315789474E-4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input_521010!A$2</f>
        <v>521010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IFERROR(VLOOKUP(B57,input_521010!L:R,7,FALSE),VLOOKUP(tables_521010!C57,input_521010!A:H,8,FALSE))</f>
        <v>122200</v>
      </c>
      <c r="P57" s="46">
        <f t="shared" ca="1" si="1"/>
        <v>4.9473684210526317E-3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input_521010!A$2</f>
        <v>521010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IFERROR(VLOOKUP(B58,input_521010!L:R,7,FALSE),VLOOKUP(tables_521010!C58,input_521010!A:H,8,FALSE))</f>
        <v>103870</v>
      </c>
      <c r="P58" s="46">
        <f t="shared" ca="1" si="1"/>
        <v>4.2052631578947371E-3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input_521010!A$2</f>
        <v>521010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IFERROR(VLOOKUP(B59,input_521010!L:R,7,FALSE),VLOOKUP(tables_521010!C59,input_521010!A:H,8,FALSE))</f>
        <v>18330</v>
      </c>
      <c r="P59" s="46">
        <f t="shared" ca="1" si="1"/>
        <v>7.4210526315789474E-4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input_521010!A$2</f>
        <v>521010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IFERROR(VLOOKUP(B60,input_521010!L:R,7,FALSE),VLOOKUP(tables_521010!C60,input_521010!A:H,8,FALSE))</f>
        <v>122200</v>
      </c>
      <c r="P60" s="46">
        <f t="shared" ca="1" si="1"/>
        <v>4.9473684210526317E-3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input_521010!A$2</f>
        <v>521010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IFERROR(VLOOKUP(B61,input_521010!L:R,7,FALSE),VLOOKUP(tables_521010!C61,input_521010!A:H,8,FALSE))</f>
        <v>103870</v>
      </c>
      <c r="P61" s="46">
        <f t="shared" ca="1" si="1"/>
        <v>4.2052631578947371E-3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input_521010!A$2</f>
        <v>521010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IFERROR(VLOOKUP(B62,input_521010!L:R,7,FALSE),VLOOKUP(tables_521010!C62,input_521010!A:H,8,FALSE))</f>
        <v>18330</v>
      </c>
      <c r="P62" s="46">
        <f t="shared" ca="1" si="1"/>
        <v>7.4210526315789474E-4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input_521010!A$2</f>
        <v>521010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IFERROR(VLOOKUP(B63,input_521010!L:R,7,FALSE),VLOOKUP(tables_521010!C63,input_521010!A:H,8,FALSE))</f>
        <v>122200</v>
      </c>
      <c r="P63" s="46">
        <f t="shared" ca="1" si="1"/>
        <v>4.9473684210526317E-3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input_521010!A$2</f>
        <v>521010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IFERROR(VLOOKUP(B64,input_521010!L:R,7,FALSE),VLOOKUP(tables_521010!C64,input_521010!A:H,8,FALSE))</f>
        <v>103870</v>
      </c>
      <c r="P64" s="46">
        <f t="shared" ca="1" si="1"/>
        <v>4.2052631578947371E-3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input_521010!A$2</f>
        <v>521010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IFERROR(VLOOKUP(B65,input_521010!L:R,7,FALSE),VLOOKUP(tables_521010!C65,input_521010!A:H,8,FALSE))</f>
        <v>18330</v>
      </c>
      <c r="P65" s="46">
        <f t="shared" ca="1" si="1"/>
        <v>7.4210526315789474E-4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input_521010!A$2</f>
        <v>521010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IFERROR(VLOOKUP(B66,input_521010!L:R,7,FALSE),VLOOKUP(tables_521010!C66,input_521010!A:H,8,FALSE))</f>
        <v>122200</v>
      </c>
      <c r="P66" s="46">
        <f t="shared" ref="P66:P129" ca="1" si="4">O66/SUM(O:O)</f>
        <v>4.9473684210526317E-3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input_521010!A$2</f>
        <v>521010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IFERROR(VLOOKUP(B67,input_521010!L:R,7,FALSE),VLOOKUP(tables_521010!C67,input_521010!A:H,8,FALSE))</f>
        <v>103870</v>
      </c>
      <c r="P67" s="46">
        <f t="shared" ca="1" si="4"/>
        <v>4.2052631578947371E-3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input_521010!A$2</f>
        <v>521010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IFERROR(VLOOKUP(B68,input_521010!L:R,7,FALSE),VLOOKUP(tables_521010!C68,input_521010!A:H,8,FALSE))</f>
        <v>18330</v>
      </c>
      <c r="P68" s="46">
        <f t="shared" ca="1" si="4"/>
        <v>7.4210526315789474E-4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input_521010!A$2</f>
        <v>521010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IFERROR(VLOOKUP(B69,input_521010!L:R,7,FALSE),VLOOKUP(tables_521010!C69,input_521010!A:H,8,FALSE))</f>
        <v>122200</v>
      </c>
      <c r="P69" s="46">
        <f t="shared" ca="1" si="4"/>
        <v>4.9473684210526317E-3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input_521010!A$2</f>
        <v>521010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IFERROR(VLOOKUP(B70,input_521010!L:R,7,FALSE),VLOOKUP(tables_521010!C70,input_521010!A:H,8,FALSE))</f>
        <v>103870</v>
      </c>
      <c r="P70" s="46">
        <f t="shared" ca="1" si="4"/>
        <v>4.2052631578947371E-3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input_521010!A$2</f>
        <v>521010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IFERROR(VLOOKUP(B71,input_521010!L:R,7,FALSE),VLOOKUP(tables_521010!C71,input_521010!A:H,8,FALSE))</f>
        <v>18330</v>
      </c>
      <c r="P71" s="46">
        <f t="shared" ca="1" si="4"/>
        <v>7.4210526315789474E-4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input_521010!A$2</f>
        <v>521010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IFERROR(VLOOKUP(B72,input_521010!L:R,7,FALSE),VLOOKUP(tables_521010!C72,input_521010!A:H,8,FALSE))</f>
        <v>122200</v>
      </c>
      <c r="P72" s="46">
        <f t="shared" ca="1" si="4"/>
        <v>4.9473684210526317E-3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input_521010!A$2</f>
        <v>521010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IFERROR(VLOOKUP(B73,input_521010!L:R,7,FALSE),VLOOKUP(tables_521010!C73,input_521010!A:H,8,FALSE))</f>
        <v>103870</v>
      </c>
      <c r="P73" s="46">
        <f t="shared" ca="1" si="4"/>
        <v>4.2052631578947371E-3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input_521010!A$2</f>
        <v>521010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IFERROR(VLOOKUP(B74,input_521010!L:R,7,FALSE),VLOOKUP(tables_521010!C74,input_521010!A:H,8,FALSE))</f>
        <v>18330</v>
      </c>
      <c r="P74" s="46">
        <f t="shared" ca="1" si="4"/>
        <v>7.4210526315789474E-4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input_521010!A$2</f>
        <v>521010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IFERROR(VLOOKUP(B75,input_521010!L:R,7,FALSE),VLOOKUP(tables_521010!C75,input_521010!A:H,8,FALSE))</f>
        <v>122200</v>
      </c>
      <c r="P75" s="46">
        <f t="shared" ca="1" si="4"/>
        <v>4.9473684210526317E-3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input_521010!A$2</f>
        <v>521010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IFERROR(VLOOKUP(B76,input_521010!L:R,7,FALSE),VLOOKUP(tables_521010!C76,input_521010!A:H,8,FALSE))</f>
        <v>103870</v>
      </c>
      <c r="P76" s="46">
        <f t="shared" ca="1" si="4"/>
        <v>4.2052631578947371E-3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input_521010!A$2</f>
        <v>521010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IFERROR(VLOOKUP(B77,input_521010!L:R,7,FALSE),VLOOKUP(tables_521010!C77,input_521010!A:H,8,FALSE))</f>
        <v>18330</v>
      </c>
      <c r="P77" s="46">
        <f t="shared" ca="1" si="4"/>
        <v>7.4210526315789474E-4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input_521010!A$2</f>
        <v>521010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IFERROR(VLOOKUP(B78,input_521010!L:R,7,FALSE),VLOOKUP(tables_521010!C78,input_521010!A:H,8,FALSE))</f>
        <v>122200</v>
      </c>
      <c r="P78" s="46">
        <f t="shared" ca="1" si="4"/>
        <v>4.9473684210526317E-3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input_521010!A$2</f>
        <v>521010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IFERROR(VLOOKUP(B79,input_521010!L:R,7,FALSE),VLOOKUP(tables_521010!C79,input_521010!A:H,8,FALSE))</f>
        <v>103870</v>
      </c>
      <c r="P79" s="46">
        <f t="shared" ca="1" si="4"/>
        <v>4.2052631578947371E-3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input_521010!A$2</f>
        <v>521010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IFERROR(VLOOKUP(B80,input_521010!L:R,7,FALSE),VLOOKUP(tables_521010!C80,input_521010!A:H,8,FALSE))</f>
        <v>18330</v>
      </c>
      <c r="P80" s="46">
        <f t="shared" ca="1" si="4"/>
        <v>7.4210526315789474E-4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input_521010!A$2</f>
        <v>521010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IFERROR(VLOOKUP(B81,input_521010!L:R,7,FALSE),VLOOKUP(tables_521010!C81,input_521010!A:H,8,FALSE))</f>
        <v>122200</v>
      </c>
      <c r="P81" s="46">
        <f t="shared" ca="1" si="4"/>
        <v>4.9473684210526317E-3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input_521010!A$2</f>
        <v>521010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IFERROR(VLOOKUP(B82,input_521010!L:R,7,FALSE),VLOOKUP(tables_521010!C82,input_521010!A:H,8,FALSE))</f>
        <v>103870</v>
      </c>
      <c r="P82" s="46">
        <f t="shared" ca="1" si="4"/>
        <v>4.2052631578947371E-3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input_521010!A$2</f>
        <v>521010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IFERROR(VLOOKUP(B83,input_521010!L:R,7,FALSE),VLOOKUP(tables_521010!C83,input_521010!A:H,8,FALSE))</f>
        <v>18330</v>
      </c>
      <c r="P83" s="46">
        <f t="shared" ca="1" si="4"/>
        <v>7.4210526315789474E-4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input_521010!A$2</f>
        <v>521010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IFERROR(VLOOKUP(B84,input_521010!L:R,7,FALSE),VLOOKUP(tables_521010!C84,input_521010!A:H,8,FALSE))</f>
        <v>122200</v>
      </c>
      <c r="P84" s="46">
        <f t="shared" ca="1" si="4"/>
        <v>4.9473684210526317E-3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input_521010!A$2</f>
        <v>521010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IFERROR(VLOOKUP(B85,input_521010!L:R,7,FALSE),VLOOKUP(tables_521010!C85,input_521010!A:H,8,FALSE))</f>
        <v>103870</v>
      </c>
      <c r="P85" s="46">
        <f t="shared" ca="1" si="4"/>
        <v>4.2052631578947371E-3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input_521010!A$2</f>
        <v>521010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IFERROR(VLOOKUP(B86,input_521010!L:R,7,FALSE),VLOOKUP(tables_521010!C86,input_521010!A:H,8,FALSE))</f>
        <v>18330</v>
      </c>
      <c r="P86" s="46">
        <f t="shared" ca="1" si="4"/>
        <v>7.4210526315789474E-4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input_521010!A$2</f>
        <v>521010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IFERROR(VLOOKUP(B87,input_521010!L:R,7,FALSE),VLOOKUP(tables_521010!C87,input_521010!A:H,8,FALSE))</f>
        <v>122200</v>
      </c>
      <c r="P87" s="46">
        <f t="shared" ca="1" si="4"/>
        <v>4.9473684210526317E-3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input_521010!A$2</f>
        <v>521010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IFERROR(VLOOKUP(B88,input_521010!L:R,7,FALSE),VLOOKUP(tables_521010!C88,input_521010!A:H,8,FALSE))</f>
        <v>103870</v>
      </c>
      <c r="P88" s="46">
        <f t="shared" ca="1" si="4"/>
        <v>4.2052631578947371E-3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input_521010!A$2</f>
        <v>521010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IFERROR(VLOOKUP(B89,input_521010!L:R,7,FALSE),VLOOKUP(tables_521010!C89,input_521010!A:H,8,FALSE))</f>
        <v>18330</v>
      </c>
      <c r="P89" s="46">
        <f t="shared" ca="1" si="4"/>
        <v>7.4210526315789474E-4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input_521010!A$2</f>
        <v>521010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IFERROR(VLOOKUP(B90,input_521010!L:R,7,FALSE),VLOOKUP(tables_521010!C90,input_521010!A:H,8,FALSE))</f>
        <v>122200</v>
      </c>
      <c r="P90" s="46">
        <f t="shared" ca="1" si="4"/>
        <v>4.9473684210526317E-3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input_521010!A$2</f>
        <v>521010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IFERROR(VLOOKUP(B91,input_521010!L:R,7,FALSE),VLOOKUP(tables_521010!C91,input_521010!A:H,8,FALSE))</f>
        <v>103870</v>
      </c>
      <c r="P91" s="46">
        <f t="shared" ca="1" si="4"/>
        <v>4.2052631578947371E-3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input_521010!A$2</f>
        <v>521010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IFERROR(VLOOKUP(B92,input_521010!L:R,7,FALSE),VLOOKUP(tables_521010!C92,input_521010!A:H,8,FALSE))</f>
        <v>18330</v>
      </c>
      <c r="P92" s="46">
        <f t="shared" ca="1" si="4"/>
        <v>7.4210526315789474E-4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input_521010!A$2</f>
        <v>521010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IFERROR(VLOOKUP(B93,input_521010!L:R,7,FALSE),VLOOKUP(tables_521010!C93,input_521010!A:H,8,FALSE))</f>
        <v>122200</v>
      </c>
      <c r="P93" s="46">
        <f t="shared" ca="1" si="4"/>
        <v>4.9473684210526317E-3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input_521010!A$2</f>
        <v>521010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IFERROR(VLOOKUP(B94,input_521010!L:R,7,FALSE),VLOOKUP(tables_521010!C94,input_521010!A:H,8,FALSE))</f>
        <v>103870</v>
      </c>
      <c r="P94" s="46">
        <f t="shared" ca="1" si="4"/>
        <v>4.2052631578947371E-3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input_521010!A$2</f>
        <v>521010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IFERROR(VLOOKUP(B95,input_521010!L:R,7,FALSE),VLOOKUP(tables_521010!C95,input_521010!A:H,8,FALSE))</f>
        <v>18330</v>
      </c>
      <c r="P95" s="46">
        <f t="shared" ca="1" si="4"/>
        <v>7.4210526315789474E-4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input_521010!A$2</f>
        <v>521010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IFERROR(VLOOKUP(B96,input_521010!L:R,7,FALSE),VLOOKUP(tables_521010!C96,input_521010!A:H,8,FALSE))</f>
        <v>122200</v>
      </c>
      <c r="P96" s="46">
        <f t="shared" ca="1" si="4"/>
        <v>4.9473684210526317E-3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input_521010!A$2</f>
        <v>521010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IFERROR(VLOOKUP(B97,input_521010!L:R,7,FALSE),VLOOKUP(tables_521010!C97,input_521010!A:H,8,FALSE))</f>
        <v>103870</v>
      </c>
      <c r="P97" s="46">
        <f t="shared" ca="1" si="4"/>
        <v>4.2052631578947371E-3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input_521010!A$2</f>
        <v>521010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IFERROR(VLOOKUP(B98,input_521010!L:R,7,FALSE),VLOOKUP(tables_521010!C98,input_521010!A:H,8,FALSE))</f>
        <v>18330</v>
      </c>
      <c r="P98" s="46">
        <f t="shared" ca="1" si="4"/>
        <v>7.4210526315789474E-4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input_521010!A$2</f>
        <v>521010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IFERROR(VLOOKUP(B99,input_521010!L:R,7,FALSE),VLOOKUP(tables_521010!C99,input_521010!A:H,8,FALSE))</f>
        <v>122200</v>
      </c>
      <c r="P99" s="46">
        <f t="shared" ca="1" si="4"/>
        <v>4.9473684210526317E-3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input_521010!A$2</f>
        <v>521010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IFERROR(VLOOKUP(B100,input_521010!L:R,7,FALSE),VLOOKUP(tables_521010!C100,input_521010!A:H,8,FALSE))</f>
        <v>103870</v>
      </c>
      <c r="P100" s="46">
        <f t="shared" ca="1" si="4"/>
        <v>4.2052631578947371E-3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input_521010!A$2</f>
        <v>521010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IFERROR(VLOOKUP(B101,input_521010!L:R,7,FALSE),VLOOKUP(tables_521010!C101,input_521010!A:H,8,FALSE))</f>
        <v>18330</v>
      </c>
      <c r="P101" s="46">
        <f t="shared" ca="1" si="4"/>
        <v>7.4210526315789474E-4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input_521010!A$2</f>
        <v>521010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IFERROR(VLOOKUP(B102,input_521010!L:R,7,FALSE),VLOOKUP(tables_521010!C102,input_521010!A:H,8,FALSE))</f>
        <v>122200</v>
      </c>
      <c r="P102" s="46">
        <f t="shared" ca="1" si="4"/>
        <v>4.9473684210526317E-3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input_521010!A$2</f>
        <v>521010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IFERROR(VLOOKUP(B103,input_521010!L:R,7,FALSE),VLOOKUP(tables_521010!C103,input_521010!A:H,8,FALSE))</f>
        <v>103870</v>
      </c>
      <c r="P103" s="46">
        <f t="shared" ca="1" si="4"/>
        <v>4.2052631578947371E-3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input_521010!A$2</f>
        <v>521010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IFERROR(VLOOKUP(B104,input_521010!L:R,7,FALSE),VLOOKUP(tables_521010!C104,input_521010!A:H,8,FALSE))</f>
        <v>18330</v>
      </c>
      <c r="P104" s="46">
        <f t="shared" ca="1" si="4"/>
        <v>7.4210526315789474E-4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input_521010!A$2</f>
        <v>521010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IFERROR(VLOOKUP(B105,input_521010!L:R,7,FALSE),VLOOKUP(tables_521010!C105,input_521010!A:H,8,FALSE))</f>
        <v>122200</v>
      </c>
      <c r="P105" s="46">
        <f t="shared" ca="1" si="4"/>
        <v>4.9473684210526317E-3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input_521010!A$2</f>
        <v>521010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IFERROR(VLOOKUP(B106,input_521010!L:R,7,FALSE),VLOOKUP(tables_521010!C106,input_521010!A:H,8,FALSE))</f>
        <v>103870</v>
      </c>
      <c r="P106" s="46">
        <f t="shared" ca="1" si="4"/>
        <v>4.2052631578947371E-3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input_521010!A$2</f>
        <v>521010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IFERROR(VLOOKUP(B107,input_521010!L:R,7,FALSE),VLOOKUP(tables_521010!C107,input_521010!A:H,8,FALSE))</f>
        <v>18330</v>
      </c>
      <c r="P107" s="46">
        <f t="shared" ca="1" si="4"/>
        <v>7.4210526315789474E-4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input_521010!A$2</f>
        <v>521010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IFERROR(VLOOKUP(B108,input_521010!L:R,7,FALSE),VLOOKUP(tables_521010!C108,input_521010!A:H,8,FALSE))</f>
        <v>122200</v>
      </c>
      <c r="P108" s="46">
        <f t="shared" ca="1" si="4"/>
        <v>4.9473684210526317E-3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input_521010!A$2</f>
        <v>521010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IFERROR(VLOOKUP(B109,input_521010!L:R,7,FALSE),VLOOKUP(tables_521010!C109,input_521010!A:H,8,FALSE))</f>
        <v>103870</v>
      </c>
      <c r="P109" s="46">
        <f t="shared" ca="1" si="4"/>
        <v>4.2052631578947371E-3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input_521010!A$2</f>
        <v>521010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IFERROR(VLOOKUP(B110,input_521010!L:R,7,FALSE),VLOOKUP(tables_521010!C110,input_521010!A:H,8,FALSE))</f>
        <v>18330</v>
      </c>
      <c r="P110" s="46">
        <f t="shared" ca="1" si="4"/>
        <v>7.4210526315789474E-4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input_521010!A$2</f>
        <v>521010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IFERROR(VLOOKUP(B111,input_521010!L:R,7,FALSE),VLOOKUP(tables_521010!C111,input_521010!A:H,8,FALSE))</f>
        <v>122200</v>
      </c>
      <c r="P111" s="46">
        <f t="shared" ca="1" si="4"/>
        <v>4.9473684210526317E-3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input_521010!A$2</f>
        <v>521010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IFERROR(VLOOKUP(B112,input_521010!L:R,7,FALSE),VLOOKUP(tables_521010!C112,input_521010!A:H,8,FALSE))</f>
        <v>103870</v>
      </c>
      <c r="P112" s="46">
        <f t="shared" ca="1" si="4"/>
        <v>4.2052631578947371E-3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input_521010!A$2</f>
        <v>521010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IFERROR(VLOOKUP(B113,input_521010!L:R,7,FALSE),VLOOKUP(tables_521010!C113,input_521010!A:H,8,FALSE))</f>
        <v>18330</v>
      </c>
      <c r="P113" s="46">
        <f t="shared" ca="1" si="4"/>
        <v>7.4210526315789474E-4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input_521010!A$2</f>
        <v>521010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IFERROR(VLOOKUP(B114,input_521010!L:R,7,FALSE),VLOOKUP(tables_521010!C114,input_521010!A:H,8,FALSE))</f>
        <v>122200</v>
      </c>
      <c r="P114" s="46">
        <f t="shared" ca="1" si="4"/>
        <v>4.9473684210526317E-3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input_521010!A$2</f>
        <v>521010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IFERROR(VLOOKUP(B115,input_521010!L:R,7,FALSE),VLOOKUP(tables_521010!C115,input_521010!A:H,8,FALSE))</f>
        <v>103870</v>
      </c>
      <c r="P115" s="46">
        <f t="shared" ca="1" si="4"/>
        <v>4.2052631578947371E-3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input_521010!A$2</f>
        <v>521010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IFERROR(VLOOKUP(B116,input_521010!L:R,7,FALSE),VLOOKUP(tables_521010!C116,input_521010!A:H,8,FALSE))</f>
        <v>18330</v>
      </c>
      <c r="P116" s="46">
        <f t="shared" ca="1" si="4"/>
        <v>7.4210526315789474E-4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input_521010!A$2</f>
        <v>521010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IFERROR(VLOOKUP(B117,input_521010!L:R,7,FALSE),VLOOKUP(tables_521010!C117,input_521010!A:H,8,FALSE))</f>
        <v>122200</v>
      </c>
      <c r="P117" s="46">
        <f t="shared" ca="1" si="4"/>
        <v>4.9473684210526317E-3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input_521010!A$2</f>
        <v>521010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IFERROR(VLOOKUP(B118,input_521010!L:R,7,FALSE),VLOOKUP(tables_521010!C118,input_521010!A:H,8,FALSE))</f>
        <v>103870</v>
      </c>
      <c r="P118" s="46">
        <f t="shared" ca="1" si="4"/>
        <v>4.2052631578947371E-3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input_521010!A$2</f>
        <v>521010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IFERROR(VLOOKUP(B119,input_521010!L:R,7,FALSE),VLOOKUP(tables_521010!C119,input_521010!A:H,8,FALSE))</f>
        <v>18330</v>
      </c>
      <c r="P119" s="46">
        <f t="shared" ca="1" si="4"/>
        <v>7.4210526315789474E-4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input_521010!A$2</f>
        <v>521010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IFERROR(VLOOKUP(B120,input_521010!L:R,7,FALSE),VLOOKUP(tables_521010!C120,input_521010!A:H,8,FALSE))</f>
        <v>122200</v>
      </c>
      <c r="P120" s="46">
        <f t="shared" ca="1" si="4"/>
        <v>4.9473684210526317E-3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input_521010!A$2</f>
        <v>521010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IFERROR(VLOOKUP(B121,input_521010!L:R,7,FALSE),VLOOKUP(tables_521010!C121,input_521010!A:H,8,FALSE))</f>
        <v>103870</v>
      </c>
      <c r="P121" s="46">
        <f t="shared" ca="1" si="4"/>
        <v>4.2052631578947371E-3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input_521010!A$2</f>
        <v>521010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IFERROR(VLOOKUP(B122,input_521010!L:R,7,FALSE),VLOOKUP(tables_521010!C122,input_521010!A:H,8,FALSE))</f>
        <v>18330</v>
      </c>
      <c r="P122" s="46">
        <f t="shared" ca="1" si="4"/>
        <v>7.4210526315789474E-4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input_521010!A$2</f>
        <v>521010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IFERROR(VLOOKUP(B123,input_521010!L:R,7,FALSE),VLOOKUP(tables_521010!C123,input_521010!A:H,8,FALSE))</f>
        <v>122200</v>
      </c>
      <c r="P123" s="46">
        <f t="shared" ca="1" si="4"/>
        <v>4.9473684210526317E-3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input_521010!A$2</f>
        <v>521010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IFERROR(VLOOKUP(B124,input_521010!L:R,7,FALSE),VLOOKUP(tables_521010!C124,input_521010!A:H,8,FALSE))</f>
        <v>103870</v>
      </c>
      <c r="P124" s="46">
        <f t="shared" ca="1" si="4"/>
        <v>4.2052631578947371E-3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input_521010!A$2</f>
        <v>521010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IFERROR(VLOOKUP(B125,input_521010!L:R,7,FALSE),VLOOKUP(tables_521010!C125,input_521010!A:H,8,FALSE))</f>
        <v>18330</v>
      </c>
      <c r="P125" s="46">
        <f t="shared" ca="1" si="4"/>
        <v>7.4210526315789474E-4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input_521010!A$2</f>
        <v>521010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IFERROR(VLOOKUP(B126,input_521010!L:R,7,FALSE),VLOOKUP(tables_521010!C126,input_521010!A:H,8,FALSE))</f>
        <v>122200</v>
      </c>
      <c r="P126" s="46">
        <f t="shared" ca="1" si="4"/>
        <v>4.9473684210526317E-3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input_521010!A$2</f>
        <v>521010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IFERROR(VLOOKUP(B127,input_521010!L:R,7,FALSE),VLOOKUP(tables_521010!C127,input_521010!A:H,8,FALSE))</f>
        <v>103870</v>
      </c>
      <c r="P127" s="46">
        <f t="shared" ca="1" si="4"/>
        <v>4.2052631578947371E-3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input_521010!A$2</f>
        <v>521010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IFERROR(VLOOKUP(B128,input_521010!L:R,7,FALSE),VLOOKUP(tables_521010!C128,input_521010!A:H,8,FALSE))</f>
        <v>18330</v>
      </c>
      <c r="P128" s="46">
        <f t="shared" ca="1" si="4"/>
        <v>7.4210526315789474E-4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input_521010!A$2</f>
        <v>521010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IFERROR(VLOOKUP(B129,input_521010!L:R,7,FALSE),VLOOKUP(tables_521010!C129,input_521010!A:H,8,FALSE))</f>
        <v>122200</v>
      </c>
      <c r="P129" s="46">
        <f t="shared" ca="1" si="4"/>
        <v>4.9473684210526317E-3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input_521010!A$2</f>
        <v>521010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IFERROR(VLOOKUP(B130,input_521010!L:R,7,FALSE),VLOOKUP(tables_521010!C130,input_521010!A:H,8,FALSE))</f>
        <v>103870</v>
      </c>
      <c r="P130" s="46">
        <f t="shared" ref="P130:P193" ca="1" si="7">O130/SUM(O:O)</f>
        <v>4.2052631578947371E-3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input_521010!A$2</f>
        <v>521010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IFERROR(VLOOKUP(B131,input_521010!L:R,7,FALSE),VLOOKUP(tables_521010!C131,input_521010!A:H,8,FALSE))</f>
        <v>18330</v>
      </c>
      <c r="P131" s="46">
        <f t="shared" ca="1" si="7"/>
        <v>7.4210526315789474E-4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input_521010!A$2</f>
        <v>521010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IFERROR(VLOOKUP(B132,input_521010!L:R,7,FALSE),VLOOKUP(tables_521010!C132,input_521010!A:H,8,FALSE))</f>
        <v>122200</v>
      </c>
      <c r="P132" s="46">
        <f t="shared" ca="1" si="7"/>
        <v>4.9473684210526317E-3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input_521010!A$2</f>
        <v>521010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IFERROR(VLOOKUP(B133,input_521010!L:R,7,FALSE),VLOOKUP(tables_521010!C133,input_521010!A:H,8,FALSE))</f>
        <v>103870</v>
      </c>
      <c r="P133" s="46">
        <f t="shared" ca="1" si="7"/>
        <v>4.2052631578947371E-3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input_521010!A$2</f>
        <v>521010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IFERROR(VLOOKUP(B134,input_521010!L:R,7,FALSE),VLOOKUP(tables_521010!C134,input_521010!A:H,8,FALSE))</f>
        <v>18330</v>
      </c>
      <c r="P134" s="46">
        <f t="shared" ca="1" si="7"/>
        <v>7.4210526315789474E-4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input_521010!A$2</f>
        <v>521010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IFERROR(VLOOKUP(B135,input_521010!L:R,7,FALSE),VLOOKUP(tables_521010!C135,input_521010!A:H,8,FALSE))</f>
        <v>122200</v>
      </c>
      <c r="P135" s="46">
        <f t="shared" ca="1" si="7"/>
        <v>4.9473684210526317E-3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input_521010!A$2</f>
        <v>521010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IFERROR(VLOOKUP(B136,input_521010!L:R,7,FALSE),VLOOKUP(tables_521010!C136,input_521010!A:H,8,FALSE))</f>
        <v>103870</v>
      </c>
      <c r="P136" s="46">
        <f t="shared" ca="1" si="7"/>
        <v>4.2052631578947371E-3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input_521010!A$2</f>
        <v>521010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IFERROR(VLOOKUP(B137,input_521010!L:R,7,FALSE),VLOOKUP(tables_521010!C137,input_521010!A:H,8,FALSE))</f>
        <v>18330</v>
      </c>
      <c r="P137" s="46">
        <f t="shared" ca="1" si="7"/>
        <v>7.4210526315789474E-4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input_521010!A$2</f>
        <v>521010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IFERROR(VLOOKUP(B138,input_521010!L:R,7,FALSE),VLOOKUP(tables_521010!C138,input_521010!A:H,8,FALSE))</f>
        <v>3515</v>
      </c>
      <c r="P138" s="46">
        <f t="shared" ca="1" si="7"/>
        <v>1.4230769230769231E-4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input_521010!A$2</f>
        <v>521010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IFERROR(VLOOKUP(B139,input_521010!L:R,7,FALSE),VLOOKUP(tables_521010!C139,input_521010!A:H,8,FALSE))</f>
        <v>285</v>
      </c>
      <c r="P139" s="46">
        <f t="shared" ca="1" si="7"/>
        <v>1.1538461538461538E-5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input_521010!A$2</f>
        <v>521010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IFERROR(VLOOKUP(B140,input_521010!L:R,7,FALSE),VLOOKUP(tables_521010!C140,input_521010!A:H,8,FALSE))</f>
        <v>3515</v>
      </c>
      <c r="P140" s="46">
        <f t="shared" ca="1" si="7"/>
        <v>1.4230769230769231E-4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input_521010!A$2</f>
        <v>521010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IFERROR(VLOOKUP(B141,input_521010!L:R,7,FALSE),VLOOKUP(tables_521010!C141,input_521010!A:H,8,FALSE))</f>
        <v>285</v>
      </c>
      <c r="P141" s="46">
        <f t="shared" ca="1" si="7"/>
        <v>1.1538461538461538E-5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input_521010!A$2</f>
        <v>521010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IFERROR(VLOOKUP(B142,input_521010!L:R,7,FALSE),VLOOKUP(tables_521010!C142,input_521010!A:H,8,FALSE))</f>
        <v>3515</v>
      </c>
      <c r="P142" s="46">
        <f t="shared" ca="1" si="7"/>
        <v>1.4230769230769231E-4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input_521010!A$2</f>
        <v>521010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IFERROR(VLOOKUP(B143,input_521010!L:R,7,FALSE),VLOOKUP(tables_521010!C143,input_521010!A:H,8,FALSE))</f>
        <v>285</v>
      </c>
      <c r="P143" s="46">
        <f t="shared" ca="1" si="7"/>
        <v>1.1538461538461538E-5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input_521010!A$2</f>
        <v>521010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IFERROR(VLOOKUP(B144,input_521010!L:R,7,FALSE),VLOOKUP(tables_521010!C144,input_521010!A:H,8,FALSE))</f>
        <v>3515</v>
      </c>
      <c r="P144" s="46">
        <f t="shared" ca="1" si="7"/>
        <v>1.4230769230769231E-4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input_521010!A$2</f>
        <v>521010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IFERROR(VLOOKUP(B145,input_521010!L:R,7,FALSE),VLOOKUP(tables_521010!C145,input_521010!A:H,8,FALSE))</f>
        <v>285</v>
      </c>
      <c r="P145" s="46">
        <f t="shared" ca="1" si="7"/>
        <v>1.1538461538461538E-5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input_521010!A$2</f>
        <v>521010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IFERROR(VLOOKUP(B146,input_521010!L:R,7,FALSE),VLOOKUP(tables_521010!C146,input_521010!A:H,8,FALSE))</f>
        <v>122200</v>
      </c>
      <c r="P146" s="46">
        <f t="shared" ca="1" si="7"/>
        <v>4.9473684210526317E-3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input_521010!A$2</f>
        <v>521010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IFERROR(VLOOKUP(B147,input_521010!L:R,7,FALSE),VLOOKUP(tables_521010!C147,input_521010!A:H,8,FALSE))</f>
        <v>103870</v>
      </c>
      <c r="P147" s="46">
        <f t="shared" ca="1" si="7"/>
        <v>4.2052631578947371E-3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input_521010!A$2</f>
        <v>521010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IFERROR(VLOOKUP(B148,input_521010!L:R,7,FALSE),VLOOKUP(tables_521010!C148,input_521010!A:H,8,FALSE))</f>
        <v>18330</v>
      </c>
      <c r="P148" s="46">
        <f t="shared" ca="1" si="7"/>
        <v>7.4210526315789474E-4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input_521010!A$2</f>
        <v>521010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IFERROR(VLOOKUP(B149,input_521010!L:R,7,FALSE),VLOOKUP(tables_521010!C149,input_521010!A:H,8,FALSE))</f>
        <v>3515</v>
      </c>
      <c r="P149" s="46">
        <f t="shared" ca="1" si="7"/>
        <v>1.4230769230769231E-4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input_521010!A$2</f>
        <v>521010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IFERROR(VLOOKUP(B150,input_521010!L:R,7,FALSE),VLOOKUP(tables_521010!C150,input_521010!A:H,8,FALSE))</f>
        <v>285</v>
      </c>
      <c r="P150" s="46">
        <f t="shared" ca="1" si="7"/>
        <v>1.1538461538461538E-5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input_521010!A$2</f>
        <v>521010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IFERROR(VLOOKUP(B151,input_521010!L:R,7,FALSE),VLOOKUP(tables_521010!C151,input_521010!A:H,8,FALSE))</f>
        <v>3515</v>
      </c>
      <c r="P151" s="46">
        <f t="shared" ca="1" si="7"/>
        <v>1.4230769230769231E-4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input_521010!A$2</f>
        <v>521010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IFERROR(VLOOKUP(B152,input_521010!L:R,7,FALSE),VLOOKUP(tables_521010!C152,input_521010!A:H,8,FALSE))</f>
        <v>285</v>
      </c>
      <c r="P152" s="46">
        <f t="shared" ca="1" si="7"/>
        <v>1.1538461538461538E-5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input_521010!A$2</f>
        <v>521010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IFERROR(VLOOKUP(B153,input_521010!L:R,7,FALSE),VLOOKUP(tables_521010!C153,input_521010!A:H,8,FALSE))</f>
        <v>122200</v>
      </c>
      <c r="P153" s="46">
        <f t="shared" ca="1" si="7"/>
        <v>4.9473684210526317E-3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input_521010!A$2</f>
        <v>521010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IFERROR(VLOOKUP(B154,input_521010!L:R,7,FALSE),VLOOKUP(tables_521010!C154,input_521010!A:H,8,FALSE))</f>
        <v>103870</v>
      </c>
      <c r="P154" s="46">
        <f t="shared" ca="1" si="7"/>
        <v>4.2052631578947371E-3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input_521010!A$2</f>
        <v>521010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IFERROR(VLOOKUP(B155,input_521010!L:R,7,FALSE),VLOOKUP(tables_521010!C155,input_521010!A:H,8,FALSE))</f>
        <v>18330</v>
      </c>
      <c r="P155" s="46">
        <f t="shared" ca="1" si="7"/>
        <v>7.4210526315789474E-4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input_521010!A$2</f>
        <v>521010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IFERROR(VLOOKUP(B156,input_521010!L:R,7,FALSE),VLOOKUP(tables_521010!C156,input_521010!A:H,8,FALSE))</f>
        <v>3515</v>
      </c>
      <c r="P156" s="46">
        <f t="shared" ca="1" si="7"/>
        <v>1.4230769230769231E-4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input_521010!A$2</f>
        <v>521010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IFERROR(VLOOKUP(B157,input_521010!L:R,7,FALSE),VLOOKUP(tables_521010!C157,input_521010!A:H,8,FALSE))</f>
        <v>285</v>
      </c>
      <c r="P157" s="46">
        <f t="shared" ca="1" si="7"/>
        <v>1.1538461538461538E-5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input_521010!A$2</f>
        <v>521010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IFERROR(VLOOKUP(B158,input_521010!L:R,7,FALSE),VLOOKUP(tables_521010!C158,input_521010!A:H,8,FALSE))</f>
        <v>122200</v>
      </c>
      <c r="P158" s="46">
        <f t="shared" ca="1" si="7"/>
        <v>4.9473684210526317E-3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input_521010!A$2</f>
        <v>521010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IFERROR(VLOOKUP(B159,input_521010!L:R,7,FALSE),VLOOKUP(tables_521010!C159,input_521010!A:H,8,FALSE))</f>
        <v>103870</v>
      </c>
      <c r="P159" s="46">
        <f t="shared" ca="1" si="7"/>
        <v>4.2052631578947371E-3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input_521010!A$2</f>
        <v>521010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IFERROR(VLOOKUP(B160,input_521010!L:R,7,FALSE),VLOOKUP(tables_521010!C160,input_521010!A:H,8,FALSE))</f>
        <v>18330</v>
      </c>
      <c r="P160" s="46">
        <f t="shared" ca="1" si="7"/>
        <v>7.4210526315789474E-4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input_521010!A$2</f>
        <v>521010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IFERROR(VLOOKUP(B161,input_521010!L:R,7,FALSE),VLOOKUP(tables_521010!C161,input_521010!A:H,8,FALSE))</f>
        <v>122200</v>
      </c>
      <c r="P161" s="46">
        <f t="shared" ca="1" si="7"/>
        <v>4.9473684210526317E-3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input_521010!A$2</f>
        <v>521010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IFERROR(VLOOKUP(B162,input_521010!L:R,7,FALSE),VLOOKUP(tables_521010!C162,input_521010!A:H,8,FALSE))</f>
        <v>103870</v>
      </c>
      <c r="P162" s="46">
        <f t="shared" ca="1" si="7"/>
        <v>4.2052631578947371E-3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input_521010!A$2</f>
        <v>521010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IFERROR(VLOOKUP(B163,input_521010!L:R,7,FALSE),VLOOKUP(tables_521010!C163,input_521010!A:H,8,FALSE))</f>
        <v>18330</v>
      </c>
      <c r="P163" s="46">
        <f t="shared" ca="1" si="7"/>
        <v>7.4210526315789474E-4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input_521010!A$2</f>
        <v>521010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IFERROR(VLOOKUP(B164,input_521010!L:R,7,FALSE),VLOOKUP(tables_521010!C164,input_521010!A:H,8,FALSE))</f>
        <v>3515</v>
      </c>
      <c r="P164" s="46">
        <f t="shared" ca="1" si="7"/>
        <v>1.4230769230769231E-4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input_521010!A$2</f>
        <v>521010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IFERROR(VLOOKUP(B165,input_521010!L:R,7,FALSE),VLOOKUP(tables_521010!C165,input_521010!A:H,8,FALSE))</f>
        <v>285</v>
      </c>
      <c r="P165" s="46">
        <f t="shared" ca="1" si="7"/>
        <v>1.1538461538461538E-5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input_521010!A$2</f>
        <v>521010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IFERROR(VLOOKUP(B166,input_521010!L:R,7,FALSE),VLOOKUP(tables_521010!C166,input_521010!A:H,8,FALSE))</f>
        <v>122200</v>
      </c>
      <c r="P166" s="46">
        <f t="shared" ca="1" si="7"/>
        <v>4.9473684210526317E-3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input_521010!A$2</f>
        <v>521010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IFERROR(VLOOKUP(B167,input_521010!L:R,7,FALSE),VLOOKUP(tables_521010!C167,input_521010!A:H,8,FALSE))</f>
        <v>103870</v>
      </c>
      <c r="P167" s="46">
        <f t="shared" ca="1" si="7"/>
        <v>4.2052631578947371E-3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input_521010!A$2</f>
        <v>521010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IFERROR(VLOOKUP(B168,input_521010!L:R,7,FALSE),VLOOKUP(tables_521010!C168,input_521010!A:H,8,FALSE))</f>
        <v>18330</v>
      </c>
      <c r="P168" s="46">
        <f t="shared" ca="1" si="7"/>
        <v>7.4210526315789474E-4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input_521010!A$2</f>
        <v>521010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IFERROR(VLOOKUP(B169,input_521010!L:R,7,FALSE),VLOOKUP(tables_521010!C169,input_521010!A:H,8,FALSE))</f>
        <v>3515</v>
      </c>
      <c r="P169" s="46">
        <f t="shared" ca="1" si="7"/>
        <v>1.4230769230769231E-4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input_521010!A$2</f>
        <v>521010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IFERROR(VLOOKUP(B170,input_521010!L:R,7,FALSE),VLOOKUP(tables_521010!C170,input_521010!A:H,8,FALSE))</f>
        <v>285</v>
      </c>
      <c r="P170" s="46">
        <f t="shared" ca="1" si="7"/>
        <v>1.1538461538461538E-5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input_521010!A$2</f>
        <v>521010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IFERROR(VLOOKUP(B171,input_521010!L:R,7,FALSE),VLOOKUP(tables_521010!C171,input_521010!A:H,8,FALSE))</f>
        <v>122200</v>
      </c>
      <c r="P171" s="46">
        <f t="shared" ca="1" si="7"/>
        <v>4.9473684210526317E-3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input_521010!A$2</f>
        <v>521010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IFERROR(VLOOKUP(B172,input_521010!L:R,7,FALSE),VLOOKUP(tables_521010!C172,input_521010!A:H,8,FALSE))</f>
        <v>103870</v>
      </c>
      <c r="P172" s="46">
        <f t="shared" ca="1" si="7"/>
        <v>4.2052631578947371E-3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input_521010!A$2</f>
        <v>521010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IFERROR(VLOOKUP(B173,input_521010!L:R,7,FALSE),VLOOKUP(tables_521010!C173,input_521010!A:H,8,FALSE))</f>
        <v>18330</v>
      </c>
      <c r="P173" s="46">
        <f t="shared" ca="1" si="7"/>
        <v>7.4210526315789474E-4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input_521010!A$2</f>
        <v>521010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IFERROR(VLOOKUP(B174,input_521010!L:R,7,FALSE),VLOOKUP(tables_521010!C174,input_521010!A:H,8,FALSE))</f>
        <v>3515</v>
      </c>
      <c r="P174" s="46">
        <f t="shared" ca="1" si="7"/>
        <v>1.4230769230769231E-4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input_521010!A$2</f>
        <v>521010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IFERROR(VLOOKUP(B175,input_521010!L:R,7,FALSE),VLOOKUP(tables_521010!C175,input_521010!A:H,8,FALSE))</f>
        <v>285</v>
      </c>
      <c r="P175" s="46">
        <f t="shared" ca="1" si="7"/>
        <v>1.1538461538461538E-5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input_521010!A$2</f>
        <v>521010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IFERROR(VLOOKUP(B176,input_521010!L:R,7,FALSE),VLOOKUP(tables_521010!C176,input_521010!A:H,8,FALSE))</f>
        <v>3515</v>
      </c>
      <c r="P176" s="46">
        <f t="shared" ca="1" si="7"/>
        <v>1.4230769230769231E-4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input_521010!A$2</f>
        <v>521010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IFERROR(VLOOKUP(B177,input_521010!L:R,7,FALSE),VLOOKUP(tables_521010!C177,input_521010!A:H,8,FALSE))</f>
        <v>285</v>
      </c>
      <c r="P177" s="46">
        <f t="shared" ca="1" si="7"/>
        <v>1.1538461538461538E-5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input_521010!A$2</f>
        <v>521010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IFERROR(VLOOKUP(B178,input_521010!L:R,7,FALSE),VLOOKUP(tables_521010!C178,input_521010!A:H,8,FALSE))</f>
        <v>122200</v>
      </c>
      <c r="P178" s="46">
        <f t="shared" ca="1" si="7"/>
        <v>4.9473684210526317E-3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input_521010!A$2</f>
        <v>521010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IFERROR(VLOOKUP(B179,input_521010!L:R,7,FALSE),VLOOKUP(tables_521010!C179,input_521010!A:H,8,FALSE))</f>
        <v>103870</v>
      </c>
      <c r="P179" s="46">
        <f t="shared" ca="1" si="7"/>
        <v>4.2052631578947371E-3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input_521010!A$2</f>
        <v>521010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IFERROR(VLOOKUP(B180,input_521010!L:R,7,FALSE),VLOOKUP(tables_521010!C180,input_521010!A:H,8,FALSE))</f>
        <v>18330</v>
      </c>
      <c r="P180" s="46">
        <f t="shared" ca="1" si="7"/>
        <v>7.4210526315789474E-4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input_521010!A$2</f>
        <v>521010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IFERROR(VLOOKUP(B181,input_521010!L:R,7,FALSE),VLOOKUP(tables_521010!C181,input_521010!A:H,8,FALSE))</f>
        <v>122200</v>
      </c>
      <c r="P181" s="46">
        <f t="shared" ca="1" si="7"/>
        <v>4.9473684210526317E-3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input_521010!A$2</f>
        <v>521010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IFERROR(VLOOKUP(B182,input_521010!L:R,7,FALSE),VLOOKUP(tables_521010!C182,input_521010!A:H,8,FALSE))</f>
        <v>103870</v>
      </c>
      <c r="P182" s="46">
        <f t="shared" ca="1" si="7"/>
        <v>4.2052631578947371E-3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input_521010!A$2</f>
        <v>521010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IFERROR(VLOOKUP(B183,input_521010!L:R,7,FALSE),VLOOKUP(tables_521010!C183,input_521010!A:H,8,FALSE))</f>
        <v>18330</v>
      </c>
      <c r="P183" s="46">
        <f t="shared" ca="1" si="7"/>
        <v>7.4210526315789474E-4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input_521010!A$2</f>
        <v>521010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IFERROR(VLOOKUP(B184,input_521010!L:R,7,FALSE),VLOOKUP(tables_521010!C184,input_521010!A:H,8,FALSE))</f>
        <v>3515</v>
      </c>
      <c r="P184" s="46">
        <f t="shared" ca="1" si="7"/>
        <v>1.4230769230769231E-4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input_521010!A$2</f>
        <v>521010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IFERROR(VLOOKUP(B185,input_521010!L:R,7,FALSE),VLOOKUP(tables_521010!C185,input_521010!A:H,8,FALSE))</f>
        <v>285</v>
      </c>
      <c r="P185" s="46">
        <f t="shared" ca="1" si="7"/>
        <v>1.1538461538461538E-5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input_521010!A$2</f>
        <v>521010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IFERROR(VLOOKUP(B186,input_521010!L:R,7,FALSE),VLOOKUP(tables_521010!C186,input_521010!A:H,8,FALSE))</f>
        <v>122200</v>
      </c>
      <c r="P186" s="46">
        <f t="shared" ca="1" si="7"/>
        <v>4.9473684210526317E-3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input_521010!A$2</f>
        <v>521010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IFERROR(VLOOKUP(B187,input_521010!L:R,7,FALSE),VLOOKUP(tables_521010!C187,input_521010!A:H,8,FALSE))</f>
        <v>103870</v>
      </c>
      <c r="P187" s="46">
        <f t="shared" ca="1" si="7"/>
        <v>4.2052631578947371E-3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input_521010!A$2</f>
        <v>521010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IFERROR(VLOOKUP(B188,input_521010!L:R,7,FALSE),VLOOKUP(tables_521010!C188,input_521010!A:H,8,FALSE))</f>
        <v>18330</v>
      </c>
      <c r="P188" s="46">
        <f t="shared" ca="1" si="7"/>
        <v>7.4210526315789474E-4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input_521010!A$2</f>
        <v>521010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>IFERROR(VLOOKUP(B189,input_521010!L:R,7,FALSE),VLOOKUP(tables_521010!C189,input_521010!A:H,8,FALSE))</f>
        <v>285593.75000000006</v>
      </c>
      <c r="P189" s="46">
        <f t="shared" ca="1" si="7"/>
        <v>1.1562500000000002E-2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input_521010!A$2</f>
        <v>521010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>IFERROR(VLOOKUP(B190,input_521010!L:R,7,FALSE),VLOOKUP(tables_521010!C190,input_521010!A:H,8,FALSE))</f>
        <v>23156.25</v>
      </c>
      <c r="P190" s="46">
        <f t="shared" ca="1" si="7"/>
        <v>9.3749999999999997E-4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input_521010!A$2</f>
        <v>521010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IFERROR(VLOOKUP(B191,input_521010!L:R,7,FALSE),VLOOKUP(tables_521010!C191,input_521010!A:H,8,FALSE))</f>
        <v>3515</v>
      </c>
      <c r="P191" s="46">
        <f t="shared" ca="1" si="7"/>
        <v>1.4230769230769231E-4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input_521010!A$2</f>
        <v>521010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IFERROR(VLOOKUP(B192,input_521010!L:R,7,FALSE),VLOOKUP(tables_521010!C192,input_521010!A:H,8,FALSE))</f>
        <v>285</v>
      </c>
      <c r="P192" s="46">
        <f t="shared" ca="1" si="7"/>
        <v>1.1538461538461538E-5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input_521010!A$2</f>
        <v>521010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IFERROR(VLOOKUP(B193,input_521010!L:R,7,FALSE),VLOOKUP(tables_521010!C193,input_521010!A:H,8,FALSE))</f>
        <v>122200</v>
      </c>
      <c r="P193" s="46">
        <f t="shared" ca="1" si="7"/>
        <v>4.9473684210526317E-3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input_521010!A$2</f>
        <v>521010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IFERROR(VLOOKUP(B194,input_521010!L:R,7,FALSE),VLOOKUP(tables_521010!C194,input_521010!A:H,8,FALSE))</f>
        <v>103870</v>
      </c>
      <c r="P194" s="46">
        <f t="shared" ref="P194:P257" ca="1" si="10">O194/SUM(O:O)</f>
        <v>4.2052631578947371E-3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input_521010!A$2</f>
        <v>521010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IFERROR(VLOOKUP(B195,input_521010!L:R,7,FALSE),VLOOKUP(tables_521010!C195,input_521010!A:H,8,FALSE))</f>
        <v>18330</v>
      </c>
      <c r="P195" s="46">
        <f t="shared" ca="1" si="10"/>
        <v>7.4210526315789474E-4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input_521010!A$2</f>
        <v>521010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IFERROR(VLOOKUP(B196,input_521010!L:R,7,FALSE),VLOOKUP(tables_521010!C196,input_521010!A:H,8,FALSE))</f>
        <v>3515</v>
      </c>
      <c r="P196" s="46">
        <f t="shared" ca="1" si="10"/>
        <v>1.4230769230769231E-4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input_521010!A$2</f>
        <v>521010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IFERROR(VLOOKUP(B197,input_521010!L:R,7,FALSE),VLOOKUP(tables_521010!C197,input_521010!A:H,8,FALSE))</f>
        <v>285</v>
      </c>
      <c r="P197" s="46">
        <f t="shared" ca="1" si="10"/>
        <v>1.1538461538461538E-5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input_521010!A$2</f>
        <v>521010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IFERROR(VLOOKUP(B198,input_521010!L:R,7,FALSE),VLOOKUP(tables_521010!C198,input_521010!A:H,8,FALSE))</f>
        <v>122200</v>
      </c>
      <c r="P198" s="46">
        <f t="shared" ca="1" si="10"/>
        <v>4.9473684210526317E-3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input_521010!A$2</f>
        <v>521010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IFERROR(VLOOKUP(B199,input_521010!L:R,7,FALSE),VLOOKUP(tables_521010!C199,input_521010!A:H,8,FALSE))</f>
        <v>103870</v>
      </c>
      <c r="P199" s="46">
        <f t="shared" ca="1" si="10"/>
        <v>4.2052631578947371E-3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input_521010!A$2</f>
        <v>521010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IFERROR(VLOOKUP(B200,input_521010!L:R,7,FALSE),VLOOKUP(tables_521010!C200,input_521010!A:H,8,FALSE))</f>
        <v>18330</v>
      </c>
      <c r="P200" s="46">
        <f t="shared" ca="1" si="10"/>
        <v>7.4210526315789474E-4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input_521010!A$2</f>
        <v>521010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IFERROR(VLOOKUP(B201,input_521010!L:R,7,FALSE),VLOOKUP(tables_521010!C201,input_521010!A:H,8,FALSE))</f>
        <v>3515</v>
      </c>
      <c r="P201" s="46">
        <f t="shared" ca="1" si="10"/>
        <v>1.4230769230769231E-4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input_521010!A$2</f>
        <v>521010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IFERROR(VLOOKUP(B202,input_521010!L:R,7,FALSE),VLOOKUP(tables_521010!C202,input_521010!A:H,8,FALSE))</f>
        <v>285</v>
      </c>
      <c r="P202" s="46">
        <f t="shared" ca="1" si="10"/>
        <v>1.1538461538461538E-5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input_521010!A$2</f>
        <v>521010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IFERROR(VLOOKUP(B203,input_521010!L:R,7,FALSE),VLOOKUP(tables_521010!C203,input_521010!A:H,8,FALSE))</f>
        <v>122200</v>
      </c>
      <c r="P203" s="46">
        <f t="shared" ca="1" si="10"/>
        <v>4.9473684210526317E-3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input_521010!A$2</f>
        <v>521010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IFERROR(VLOOKUP(B204,input_521010!L:R,7,FALSE),VLOOKUP(tables_521010!C204,input_521010!A:H,8,FALSE))</f>
        <v>103870</v>
      </c>
      <c r="P204" s="46">
        <f t="shared" ca="1" si="10"/>
        <v>4.2052631578947371E-3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input_521010!A$2</f>
        <v>521010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IFERROR(VLOOKUP(B205,input_521010!L:R,7,FALSE),VLOOKUP(tables_521010!C205,input_521010!A:H,8,FALSE))</f>
        <v>18330</v>
      </c>
      <c r="P205" s="46">
        <f t="shared" ca="1" si="10"/>
        <v>7.4210526315789474E-4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input_521010!A$2</f>
        <v>521010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IFERROR(VLOOKUP(B206,input_521010!L:R,7,FALSE),VLOOKUP(tables_521010!C206,input_521010!A:H,8,FALSE))</f>
        <v>3515</v>
      </c>
      <c r="P206" s="46">
        <f t="shared" ca="1" si="10"/>
        <v>1.4230769230769231E-4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input_521010!A$2</f>
        <v>521010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IFERROR(VLOOKUP(B207,input_521010!L:R,7,FALSE),VLOOKUP(tables_521010!C207,input_521010!A:H,8,FALSE))</f>
        <v>285</v>
      </c>
      <c r="P207" s="46">
        <f t="shared" ca="1" si="10"/>
        <v>1.1538461538461538E-5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input_521010!A$2</f>
        <v>521010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IFERROR(VLOOKUP(B208,input_521010!L:R,7,FALSE),VLOOKUP(tables_521010!C208,input_521010!A:H,8,FALSE))</f>
        <v>3515</v>
      </c>
      <c r="P208" s="46">
        <f t="shared" ca="1" si="10"/>
        <v>1.4230769230769231E-4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input_521010!A$2</f>
        <v>521010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IFERROR(VLOOKUP(B209,input_521010!L:R,7,FALSE),VLOOKUP(tables_521010!C209,input_521010!A:H,8,FALSE))</f>
        <v>285</v>
      </c>
      <c r="P209" s="46">
        <f t="shared" ca="1" si="10"/>
        <v>1.1538461538461538E-5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input_521010!A$2</f>
        <v>521010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IFERROR(VLOOKUP(B210,input_521010!L:R,7,FALSE),VLOOKUP(tables_521010!C210,input_521010!A:H,8,FALSE))</f>
        <v>122200</v>
      </c>
      <c r="P210" s="46">
        <f t="shared" ca="1" si="10"/>
        <v>4.9473684210526317E-3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input_521010!A$2</f>
        <v>521010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IFERROR(VLOOKUP(B211,input_521010!L:R,7,FALSE),VLOOKUP(tables_521010!C211,input_521010!A:H,8,FALSE))</f>
        <v>103870</v>
      </c>
      <c r="P211" s="46">
        <f t="shared" ca="1" si="10"/>
        <v>4.2052631578947371E-3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input_521010!A$2</f>
        <v>521010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IFERROR(VLOOKUP(B212,input_521010!L:R,7,FALSE),VLOOKUP(tables_521010!C212,input_521010!A:H,8,FALSE))</f>
        <v>18330</v>
      </c>
      <c r="P212" s="46">
        <f t="shared" ca="1" si="10"/>
        <v>7.4210526315789474E-4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input_521010!A$2</f>
        <v>521010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>IFERROR(VLOOKUP(B213,input_521010!L:R,7,FALSE),VLOOKUP(tables_521010!C213,input_521010!A:H,8,FALSE))</f>
        <v>285593.75000000006</v>
      </c>
      <c r="P213" s="46">
        <f t="shared" ca="1" si="10"/>
        <v>1.1562500000000002E-2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input_521010!A$2</f>
        <v>521010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>IFERROR(VLOOKUP(B214,input_521010!L:R,7,FALSE),VLOOKUP(tables_521010!C214,input_521010!A:H,8,FALSE))</f>
        <v>23156.25</v>
      </c>
      <c r="P214" s="46">
        <f t="shared" ca="1" si="10"/>
        <v>9.3749999999999997E-4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input_521010!A$2</f>
        <v>521010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IFERROR(VLOOKUP(B215,input_521010!L:R,7,FALSE),VLOOKUP(tables_521010!C215,input_521010!A:H,8,FALSE))</f>
        <v>3515</v>
      </c>
      <c r="P215" s="46">
        <f t="shared" ca="1" si="10"/>
        <v>1.4230769230769231E-4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input_521010!A$2</f>
        <v>521010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IFERROR(VLOOKUP(B216,input_521010!L:R,7,FALSE),VLOOKUP(tables_521010!C216,input_521010!A:H,8,FALSE))</f>
        <v>285</v>
      </c>
      <c r="P216" s="46">
        <f t="shared" ca="1" si="10"/>
        <v>1.1538461538461538E-5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input_521010!A$2</f>
        <v>521010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IFERROR(VLOOKUP(B217,input_521010!L:R,7,FALSE),VLOOKUP(tables_521010!C217,input_521010!A:H,8,FALSE))</f>
        <v>122200</v>
      </c>
      <c r="P217" s="46">
        <f t="shared" ca="1" si="10"/>
        <v>4.9473684210526317E-3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input_521010!A$2</f>
        <v>521010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IFERROR(VLOOKUP(B218,input_521010!L:R,7,FALSE),VLOOKUP(tables_521010!C218,input_521010!A:H,8,FALSE))</f>
        <v>103870</v>
      </c>
      <c r="P218" s="46">
        <f t="shared" ca="1" si="10"/>
        <v>4.2052631578947371E-3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input_521010!A$2</f>
        <v>521010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IFERROR(VLOOKUP(B219,input_521010!L:R,7,FALSE),VLOOKUP(tables_521010!C219,input_521010!A:H,8,FALSE))</f>
        <v>18330</v>
      </c>
      <c r="P219" s="46">
        <f t="shared" ca="1" si="10"/>
        <v>7.4210526315789474E-4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input_521010!A$2</f>
        <v>521010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IFERROR(VLOOKUP(B220,input_521010!L:R,7,FALSE),VLOOKUP(tables_521010!C220,input_521010!A:H,8,FALSE))</f>
        <v>122200</v>
      </c>
      <c r="P220" s="46">
        <f t="shared" ca="1" si="10"/>
        <v>4.9473684210526317E-3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input_521010!A$2</f>
        <v>521010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IFERROR(VLOOKUP(B221,input_521010!L:R,7,FALSE),VLOOKUP(tables_521010!C221,input_521010!A:H,8,FALSE))</f>
        <v>103870</v>
      </c>
      <c r="P221" s="46">
        <f t="shared" ca="1" si="10"/>
        <v>4.2052631578947371E-3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input_521010!A$2</f>
        <v>521010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IFERROR(VLOOKUP(B222,input_521010!L:R,7,FALSE),VLOOKUP(tables_521010!C222,input_521010!A:H,8,FALSE))</f>
        <v>18330</v>
      </c>
      <c r="P222" s="46">
        <f t="shared" ca="1" si="10"/>
        <v>7.4210526315789474E-4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input_521010!A$2</f>
        <v>521010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IFERROR(VLOOKUP(B223,input_521010!L:R,7,FALSE),VLOOKUP(tables_521010!C223,input_521010!A:H,8,FALSE))</f>
        <v>3515</v>
      </c>
      <c r="P223" s="46">
        <f t="shared" ca="1" si="10"/>
        <v>1.4230769230769231E-4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input_521010!A$2</f>
        <v>521010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IFERROR(VLOOKUP(B224,input_521010!L:R,7,FALSE),VLOOKUP(tables_521010!C224,input_521010!A:H,8,FALSE))</f>
        <v>285</v>
      </c>
      <c r="P224" s="46">
        <f t="shared" ca="1" si="10"/>
        <v>1.1538461538461538E-5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input_521010!A$2</f>
        <v>521010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IFERROR(VLOOKUP(B225,input_521010!L:R,7,FALSE),VLOOKUP(tables_521010!C225,input_521010!A:H,8,FALSE))</f>
        <v>122200</v>
      </c>
      <c r="P225" s="46">
        <f t="shared" ca="1" si="10"/>
        <v>4.9473684210526317E-3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input_521010!A$2</f>
        <v>521010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IFERROR(VLOOKUP(B226,input_521010!L:R,7,FALSE),VLOOKUP(tables_521010!C226,input_521010!A:H,8,FALSE))</f>
        <v>103870</v>
      </c>
      <c r="P226" s="46">
        <f t="shared" ca="1" si="10"/>
        <v>4.2052631578947371E-3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input_521010!A$2</f>
        <v>521010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IFERROR(VLOOKUP(B227,input_521010!L:R,7,FALSE),VLOOKUP(tables_521010!C227,input_521010!A:H,8,FALSE))</f>
        <v>18330</v>
      </c>
      <c r="P227" s="46">
        <f t="shared" ca="1" si="10"/>
        <v>7.4210526315789474E-4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input_521010!A$2</f>
        <v>521010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IFERROR(VLOOKUP(B228,input_521010!L:R,7,FALSE),VLOOKUP(tables_521010!C228,input_521010!A:H,8,FALSE))</f>
        <v>122200</v>
      </c>
      <c r="P228" s="46">
        <f t="shared" ca="1" si="10"/>
        <v>4.9473684210526317E-3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input_521010!A$2</f>
        <v>521010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IFERROR(VLOOKUP(B229,input_521010!L:R,7,FALSE),VLOOKUP(tables_521010!C229,input_521010!A:H,8,FALSE))</f>
        <v>103870</v>
      </c>
      <c r="P229" s="46">
        <f t="shared" ca="1" si="10"/>
        <v>4.2052631578947371E-3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input_521010!A$2</f>
        <v>521010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IFERROR(VLOOKUP(B230,input_521010!L:R,7,FALSE),VLOOKUP(tables_521010!C230,input_521010!A:H,8,FALSE))</f>
        <v>18330</v>
      </c>
      <c r="P230" s="46">
        <f t="shared" ca="1" si="10"/>
        <v>7.4210526315789474E-4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input_521010!A$2</f>
        <v>521010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IFERROR(VLOOKUP(B231,input_521010!L:R,7,FALSE),VLOOKUP(tables_521010!C231,input_521010!A:H,8,FALSE))</f>
        <v>3515</v>
      </c>
      <c r="P231" s="46">
        <f t="shared" ca="1" si="10"/>
        <v>1.4230769230769231E-4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input_521010!A$2</f>
        <v>521010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IFERROR(VLOOKUP(B232,input_521010!L:R,7,FALSE),VLOOKUP(tables_521010!C232,input_521010!A:H,8,FALSE))</f>
        <v>285</v>
      </c>
      <c r="P232" s="46">
        <f t="shared" ca="1" si="10"/>
        <v>1.1538461538461538E-5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input_521010!A$2</f>
        <v>521010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IFERROR(VLOOKUP(B233,input_521010!L:R,7,FALSE),VLOOKUP(tables_521010!C233,input_521010!A:H,8,FALSE))</f>
        <v>122200</v>
      </c>
      <c r="P233" s="46">
        <f t="shared" ca="1" si="10"/>
        <v>4.9473684210526317E-3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input_521010!A$2</f>
        <v>521010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IFERROR(VLOOKUP(B234,input_521010!L:R,7,FALSE),VLOOKUP(tables_521010!C234,input_521010!A:H,8,FALSE))</f>
        <v>103870</v>
      </c>
      <c r="P234" s="46">
        <f t="shared" ca="1" si="10"/>
        <v>4.2052631578947371E-3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input_521010!A$2</f>
        <v>521010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IFERROR(VLOOKUP(B235,input_521010!L:R,7,FALSE),VLOOKUP(tables_521010!C235,input_521010!A:H,8,FALSE))</f>
        <v>18330</v>
      </c>
      <c r="P235" s="46">
        <f t="shared" ca="1" si="10"/>
        <v>7.4210526315789474E-4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input_521010!A$2</f>
        <v>521010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IFERROR(VLOOKUP(B236,input_521010!L:R,7,FALSE),VLOOKUP(tables_521010!C236,input_521010!A:H,8,FALSE))</f>
        <v>3515</v>
      </c>
      <c r="P236" s="46">
        <f t="shared" ca="1" si="10"/>
        <v>1.4230769230769231E-4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input_521010!A$2</f>
        <v>521010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IFERROR(VLOOKUP(B237,input_521010!L:R,7,FALSE),VLOOKUP(tables_521010!C237,input_521010!A:H,8,FALSE))</f>
        <v>285</v>
      </c>
      <c r="P237" s="46">
        <f t="shared" ca="1" si="10"/>
        <v>1.1538461538461538E-5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input_521010!A$2</f>
        <v>521010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IFERROR(VLOOKUP(B238,input_521010!L:R,7,FALSE),VLOOKUP(tables_521010!C238,input_521010!A:H,8,FALSE))</f>
        <v>3515</v>
      </c>
      <c r="P238" s="46">
        <f t="shared" ca="1" si="10"/>
        <v>1.4230769230769231E-4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input_521010!A$2</f>
        <v>521010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IFERROR(VLOOKUP(B239,input_521010!L:R,7,FALSE),VLOOKUP(tables_521010!C239,input_521010!A:H,8,FALSE))</f>
        <v>285</v>
      </c>
      <c r="P239" s="46">
        <f t="shared" ca="1" si="10"/>
        <v>1.1538461538461538E-5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input_521010!A$2</f>
        <v>521010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IFERROR(VLOOKUP(B240,input_521010!L:R,7,FALSE),VLOOKUP(tables_521010!C240,input_521010!A:H,8,FALSE))</f>
        <v>122200</v>
      </c>
      <c r="P240" s="46">
        <f t="shared" ca="1" si="10"/>
        <v>4.9473684210526317E-3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input_521010!A$2</f>
        <v>521010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IFERROR(VLOOKUP(B241,input_521010!L:R,7,FALSE),VLOOKUP(tables_521010!C241,input_521010!A:H,8,FALSE))</f>
        <v>103870</v>
      </c>
      <c r="P241" s="46">
        <f t="shared" ca="1" si="10"/>
        <v>4.2052631578947371E-3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input_521010!A$2</f>
        <v>521010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IFERROR(VLOOKUP(B242,input_521010!L:R,7,FALSE),VLOOKUP(tables_521010!C242,input_521010!A:H,8,FALSE))</f>
        <v>18330</v>
      </c>
      <c r="P242" s="46">
        <f t="shared" ca="1" si="10"/>
        <v>7.4210526315789474E-4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input_521010!A$2</f>
        <v>521010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IFERROR(VLOOKUP(B243,input_521010!L:R,7,FALSE),VLOOKUP(tables_521010!C243,input_521010!A:H,8,FALSE))</f>
        <v>122200</v>
      </c>
      <c r="P243" s="46">
        <f t="shared" ca="1" si="10"/>
        <v>4.9473684210526317E-3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input_521010!A$2</f>
        <v>521010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IFERROR(VLOOKUP(B244,input_521010!L:R,7,FALSE),VLOOKUP(tables_521010!C244,input_521010!A:H,8,FALSE))</f>
        <v>103870</v>
      </c>
      <c r="P244" s="46">
        <f t="shared" ca="1" si="10"/>
        <v>4.2052631578947371E-3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input_521010!A$2</f>
        <v>521010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IFERROR(VLOOKUP(B245,input_521010!L:R,7,FALSE),VLOOKUP(tables_521010!C245,input_521010!A:H,8,FALSE))</f>
        <v>18330</v>
      </c>
      <c r="P245" s="46">
        <f t="shared" ca="1" si="10"/>
        <v>7.4210526315789474E-4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input_521010!A$2</f>
        <v>521010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IFERROR(VLOOKUP(B246,input_521010!L:R,7,FALSE),VLOOKUP(tables_521010!C246,input_521010!A:H,8,FALSE))</f>
        <v>122200</v>
      </c>
      <c r="P246" s="46">
        <f t="shared" ca="1" si="10"/>
        <v>4.9473684210526317E-3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input_521010!A$2</f>
        <v>521010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IFERROR(VLOOKUP(B247,input_521010!L:R,7,FALSE),VLOOKUP(tables_521010!C247,input_521010!A:H,8,FALSE))</f>
        <v>103870</v>
      </c>
      <c r="P247" s="46">
        <f t="shared" ca="1" si="10"/>
        <v>4.2052631578947371E-3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input_521010!A$2</f>
        <v>521010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IFERROR(VLOOKUP(B248,input_521010!L:R,7,FALSE),VLOOKUP(tables_521010!C248,input_521010!A:H,8,FALSE))</f>
        <v>18330</v>
      </c>
      <c r="P248" s="46">
        <f t="shared" ca="1" si="10"/>
        <v>7.4210526315789474E-4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input_521010!A$2</f>
        <v>521010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IFERROR(VLOOKUP(B249,input_521010!L:R,7,FALSE),VLOOKUP(tables_521010!C249,input_521010!A:H,8,FALSE))</f>
        <v>122200</v>
      </c>
      <c r="P249" s="46">
        <f t="shared" ca="1" si="10"/>
        <v>4.9473684210526317E-3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input_521010!A$2</f>
        <v>521010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IFERROR(VLOOKUP(B250,input_521010!L:R,7,FALSE),VLOOKUP(tables_521010!C250,input_521010!A:H,8,FALSE))</f>
        <v>103870</v>
      </c>
      <c r="P250" s="46">
        <f t="shared" ca="1" si="10"/>
        <v>4.2052631578947371E-3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input_521010!A$2</f>
        <v>521010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IFERROR(VLOOKUP(B251,input_521010!L:R,7,FALSE),VLOOKUP(tables_521010!C251,input_521010!A:H,8,FALSE))</f>
        <v>18330</v>
      </c>
      <c r="P251" s="46">
        <f t="shared" ca="1" si="10"/>
        <v>7.4210526315789474E-4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input_521010!A$2</f>
        <v>521010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IFERROR(VLOOKUP(B252,input_521010!L:R,7,FALSE),VLOOKUP(tables_521010!C252,input_521010!A:H,8,FALSE))</f>
        <v>3515</v>
      </c>
      <c r="P252" s="46">
        <f t="shared" ca="1" si="10"/>
        <v>1.4230769230769231E-4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input_521010!A$2</f>
        <v>521010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IFERROR(VLOOKUP(B253,input_521010!L:R,7,FALSE),VLOOKUP(tables_521010!C253,input_521010!A:H,8,FALSE))</f>
        <v>285</v>
      </c>
      <c r="P253" s="46">
        <f t="shared" ca="1" si="10"/>
        <v>1.1538461538461538E-5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input_521010!A$2</f>
        <v>521010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IFERROR(VLOOKUP(B254,input_521010!L:R,7,FALSE),VLOOKUP(tables_521010!C254,input_521010!A:H,8,FALSE))</f>
        <v>3515</v>
      </c>
      <c r="P254" s="46">
        <f t="shared" ca="1" si="10"/>
        <v>1.4230769230769231E-4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input_521010!A$2</f>
        <v>521010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IFERROR(VLOOKUP(B255,input_521010!L:R,7,FALSE),VLOOKUP(tables_521010!C255,input_521010!A:H,8,FALSE))</f>
        <v>285</v>
      </c>
      <c r="P255" s="46">
        <f t="shared" ca="1" si="10"/>
        <v>1.1538461538461538E-5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input_521010!A$2</f>
        <v>521010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IFERROR(VLOOKUP(B256,input_521010!L:R,7,FALSE),VLOOKUP(tables_521010!C256,input_521010!A:H,8,FALSE))</f>
        <v>226070</v>
      </c>
      <c r="P256" s="46">
        <f t="shared" ca="1" si="10"/>
        <v>9.1526315789473688E-3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input_521010!A$2</f>
        <v>521010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IFERROR(VLOOKUP(B257,input_521010!L:R,7,FALSE),VLOOKUP(tables_521010!C257,input_521010!A:H,8,FALSE))</f>
        <v>18330</v>
      </c>
      <c r="P257" s="46">
        <f t="shared" ca="1" si="10"/>
        <v>7.4210526315789474E-4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input_521010!A$2</f>
        <v>521010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IFERROR(VLOOKUP(B258,input_521010!L:R,7,FALSE),VLOOKUP(tables_521010!C258,input_521010!A:H,8,FALSE))</f>
        <v>226070</v>
      </c>
      <c r="P258" s="46">
        <f t="shared" ref="P258:P294" ca="1" si="13">O258/SUM(O:O)</f>
        <v>9.1526315789473688E-3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input_521010!A$2</f>
        <v>521010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IFERROR(VLOOKUP(B259,input_521010!L:R,7,FALSE),VLOOKUP(tables_521010!C259,input_521010!A:H,8,FALSE))</f>
        <v>18330</v>
      </c>
      <c r="P259" s="46">
        <f t="shared" ca="1" si="13"/>
        <v>7.4210526315789474E-4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input_521010!A$2</f>
        <v>521010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IFERROR(VLOOKUP(B260,input_521010!L:R,7,FALSE),VLOOKUP(tables_521010!C260,input_521010!A:H,8,FALSE))</f>
        <v>3800</v>
      </c>
      <c r="P260" s="46">
        <f t="shared" ca="1" si="13"/>
        <v>1.5384615384615385E-4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input_521010!A$2</f>
        <v>521010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IFERROR(VLOOKUP(B261,input_521010!L:R,7,FALSE),VLOOKUP(tables_521010!C261,input_521010!A:H,8,FALSE))</f>
        <v>3800</v>
      </c>
      <c r="P261" s="46">
        <f t="shared" ca="1" si="13"/>
        <v>1.5384615384615385E-4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input_521010!A$2</f>
        <v>521010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IFERROR(VLOOKUP(B262,input_521010!L:R,7,FALSE),VLOOKUP(tables_521010!C262,input_521010!A:H,8,FALSE))</f>
        <v>3515</v>
      </c>
      <c r="P262" s="46">
        <f t="shared" ca="1" si="13"/>
        <v>1.4230769230769231E-4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input_521010!A$2</f>
        <v>521010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IFERROR(VLOOKUP(B263,input_521010!L:R,7,FALSE),VLOOKUP(tables_521010!C263,input_521010!A:H,8,FALSE))</f>
        <v>285</v>
      </c>
      <c r="P263" s="46">
        <f t="shared" ca="1" si="13"/>
        <v>1.1538461538461538E-5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input_521010!A$2</f>
        <v>521010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IFERROR(VLOOKUP(B264,input_521010!L:R,7,FALSE),VLOOKUP(tables_521010!C264,input_521010!A:H,8,FALSE))</f>
        <v>3515</v>
      </c>
      <c r="P264" s="46">
        <f t="shared" ca="1" si="13"/>
        <v>1.4230769230769231E-4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input_521010!A$2</f>
        <v>521010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IFERROR(VLOOKUP(B265,input_521010!L:R,7,FALSE),VLOOKUP(tables_521010!C265,input_521010!A:H,8,FALSE))</f>
        <v>285</v>
      </c>
      <c r="P265" s="46">
        <f t="shared" ca="1" si="13"/>
        <v>1.1538461538461538E-5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input_521010!A$2</f>
        <v>521010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IFERROR(VLOOKUP(B266,input_521010!L:R,7,FALSE),VLOOKUP(tables_521010!C266,input_521010!A:H,8,FALSE))</f>
        <v>122200</v>
      </c>
      <c r="P266" s="46">
        <f t="shared" ca="1" si="13"/>
        <v>4.9473684210526317E-3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input_521010!A$2</f>
        <v>521010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IFERROR(VLOOKUP(B267,input_521010!L:R,7,FALSE),VLOOKUP(tables_521010!C267,input_521010!A:H,8,FALSE))</f>
        <v>103870</v>
      </c>
      <c r="P267" s="46">
        <f t="shared" ca="1" si="13"/>
        <v>4.2052631578947371E-3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input_521010!A$2</f>
        <v>521010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IFERROR(VLOOKUP(B268,input_521010!L:R,7,FALSE),VLOOKUP(tables_521010!C268,input_521010!A:H,8,FALSE))</f>
        <v>18330</v>
      </c>
      <c r="P268" s="46">
        <f t="shared" ca="1" si="13"/>
        <v>7.4210526315789474E-4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input_521010!A$2</f>
        <v>521010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IFERROR(VLOOKUP(B269,input_521010!L:R,7,FALSE),VLOOKUP(tables_521010!C269,input_521010!A:H,8,FALSE))</f>
        <v>122200</v>
      </c>
      <c r="P269" s="46">
        <f t="shared" ca="1" si="13"/>
        <v>4.9473684210526317E-3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input_521010!A$2</f>
        <v>521010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IFERROR(VLOOKUP(B270,input_521010!L:R,7,FALSE),VLOOKUP(tables_521010!C270,input_521010!A:H,8,FALSE))</f>
        <v>103870</v>
      </c>
      <c r="P270" s="46">
        <f t="shared" ca="1" si="13"/>
        <v>4.2052631578947371E-3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input_521010!A$2</f>
        <v>521010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IFERROR(VLOOKUP(B271,input_521010!L:R,7,FALSE),VLOOKUP(tables_521010!C271,input_521010!A:H,8,FALSE))</f>
        <v>18330</v>
      </c>
      <c r="P271" s="46">
        <f t="shared" ca="1" si="13"/>
        <v>7.4210526315789474E-4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input_521010!A$2</f>
        <v>521010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>IFERROR(VLOOKUP(B272,input_521010!L:R,7,FALSE),VLOOKUP(tables_521010!C272,input_521010!A:H,8,FALSE))</f>
        <v>308750</v>
      </c>
      <c r="P272" s="46">
        <f t="shared" ca="1" si="13"/>
        <v>1.2500000000000001E-2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input_521010!A$2</f>
        <v>521010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IFERROR(VLOOKUP(B273,input_521010!L:R,7,FALSE),VLOOKUP(tables_521010!C273,input_521010!A:H,8,FALSE))</f>
        <v>3800</v>
      </c>
      <c r="P273" s="46">
        <f t="shared" ca="1" si="13"/>
        <v>1.5384615384615385E-4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input_521010!A$2</f>
        <v>521010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IFERROR(VLOOKUP(B274,input_521010!L:R,7,FALSE),VLOOKUP(tables_521010!C274,input_521010!A:H,8,FALSE))</f>
        <v>226070</v>
      </c>
      <c r="P274" s="46">
        <f t="shared" ca="1" si="13"/>
        <v>9.1526315789473688E-3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input_521010!A$2</f>
        <v>521010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IFERROR(VLOOKUP(B275,input_521010!L:R,7,FALSE),VLOOKUP(tables_521010!C275,input_521010!A:H,8,FALSE))</f>
        <v>18330</v>
      </c>
      <c r="P275" s="46">
        <f t="shared" ca="1" si="13"/>
        <v>7.4210526315789474E-4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input_521010!A$2</f>
        <v>521010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IFERROR(VLOOKUP(B276,input_521010!L:R,7,FALSE),VLOOKUP(tables_521010!C276,input_521010!A:H,8,FALSE))</f>
        <v>226070</v>
      </c>
      <c r="P276" s="46">
        <f t="shared" ca="1" si="13"/>
        <v>9.1526315789473688E-3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input_521010!A$2</f>
        <v>521010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IFERROR(VLOOKUP(B277,input_521010!L:R,7,FALSE),VLOOKUP(tables_521010!C277,input_521010!A:H,8,FALSE))</f>
        <v>18330</v>
      </c>
      <c r="P277" s="46">
        <f t="shared" ca="1" si="13"/>
        <v>7.4210526315789474E-4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input_521010!A$2</f>
        <v>521010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IFERROR(VLOOKUP(B278,input_521010!L:R,7,FALSE),VLOOKUP(tables_521010!C278,input_521010!A:H,8,FALSE))</f>
        <v>226070</v>
      </c>
      <c r="P278" s="46">
        <f t="shared" ca="1" si="13"/>
        <v>9.1526315789473688E-3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input_521010!A$2</f>
        <v>521010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IFERROR(VLOOKUP(B279,input_521010!L:R,7,FALSE),VLOOKUP(tables_521010!C279,input_521010!A:H,8,FALSE))</f>
        <v>18330</v>
      </c>
      <c r="P279" s="46">
        <f t="shared" ca="1" si="13"/>
        <v>7.4210526315789474E-4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input_521010!A$2</f>
        <v>521010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IFERROR(VLOOKUP(B280,input_521010!L:R,7,FALSE),VLOOKUP(tables_521010!C280,input_521010!A:H,8,FALSE))</f>
        <v>226070</v>
      </c>
      <c r="P280" s="46">
        <f t="shared" ca="1" si="13"/>
        <v>9.1526315789473688E-3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input_521010!A$2</f>
        <v>521010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IFERROR(VLOOKUP(B281,input_521010!L:R,7,FALSE),VLOOKUP(tables_521010!C281,input_521010!A:H,8,FALSE))</f>
        <v>18330</v>
      </c>
      <c r="P281" s="46">
        <f t="shared" ca="1" si="13"/>
        <v>7.4210526315789474E-4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input_521010!A$2</f>
        <v>521010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IFERROR(VLOOKUP(B282,input_521010!L:R,7,FALSE),VLOOKUP(tables_521010!C282,input_521010!A:H,8,FALSE))</f>
        <v>3800</v>
      </c>
      <c r="P282" s="46">
        <f t="shared" ca="1" si="13"/>
        <v>1.5384615384615385E-4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input_521010!A$2</f>
        <v>521010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IFERROR(VLOOKUP(B283,input_521010!L:R,7,FALSE),VLOOKUP(tables_521010!C283,input_521010!A:H,8,FALSE))</f>
        <v>3800</v>
      </c>
      <c r="P283" s="46">
        <f t="shared" ca="1" si="13"/>
        <v>1.5384615384615385E-4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input_521010!A$2</f>
        <v>521010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IFERROR(VLOOKUP(B284,input_521010!L:R,7,FALSE),VLOOKUP(tables_521010!C284,input_521010!A:H,8,FALSE))</f>
        <v>3800</v>
      </c>
      <c r="P284" s="46">
        <f t="shared" ca="1" si="13"/>
        <v>1.5384615384615385E-4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input_521010!A$2</f>
        <v>521010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IFERROR(VLOOKUP(B285,input_521010!L:R,7,FALSE),VLOOKUP(tables_521010!C285,input_521010!A:H,8,FALSE))</f>
        <v>3800</v>
      </c>
      <c r="P285" s="46">
        <f t="shared" ca="1" si="13"/>
        <v>1.5384615384615385E-4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input_521010!A$2</f>
        <v>521010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IFERROR(VLOOKUP(B286,input_521010!L:R,7,FALSE),VLOOKUP(tables_521010!C286,input_521010!A:H,8,FALSE))</f>
        <v>226070</v>
      </c>
      <c r="P286" s="46">
        <f t="shared" ca="1" si="13"/>
        <v>9.1526315789473688E-3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input_521010!A$2</f>
        <v>521010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IFERROR(VLOOKUP(B287,input_521010!L:R,7,FALSE),VLOOKUP(tables_521010!C287,input_521010!A:H,8,FALSE))</f>
        <v>18330</v>
      </c>
      <c r="P287" s="46">
        <f t="shared" ca="1" si="13"/>
        <v>7.4210526315789474E-4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input_521010!A$2</f>
        <v>521010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IFERROR(VLOOKUP(B288,input_521010!L:R,7,FALSE),VLOOKUP(tables_521010!C288,input_521010!A:H,8,FALSE))</f>
        <v>226070</v>
      </c>
      <c r="P288" s="46">
        <f t="shared" ca="1" si="13"/>
        <v>9.1526315789473688E-3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input_521010!A$2</f>
        <v>521010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IFERROR(VLOOKUP(B289,input_521010!L:R,7,FALSE),VLOOKUP(tables_521010!C289,input_521010!A:H,8,FALSE))</f>
        <v>18330</v>
      </c>
      <c r="P289" s="46">
        <f t="shared" ca="1" si="13"/>
        <v>7.4210526315789474E-4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input_521010!A$2</f>
        <v>521010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IFERROR(VLOOKUP(B290,input_521010!L:R,7,FALSE),VLOOKUP(tables_521010!C290,input_521010!A:H,8,FALSE))</f>
        <v>3800</v>
      </c>
      <c r="P290" s="46">
        <f t="shared" ca="1" si="13"/>
        <v>1.5384615384615385E-4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input_521010!A$2</f>
        <v>521010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IFERROR(VLOOKUP(B291,input_521010!L:R,7,FALSE),VLOOKUP(tables_521010!C291,input_521010!A:H,8,FALSE))</f>
        <v>226070</v>
      </c>
      <c r="P291" s="46">
        <f t="shared" ca="1" si="13"/>
        <v>9.1526315789473688E-3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input_521010!A$2</f>
        <v>521010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IFERROR(VLOOKUP(B292,input_521010!L:R,7,FALSE),VLOOKUP(tables_521010!C292,input_521010!A:H,8,FALSE))</f>
        <v>18330</v>
      </c>
      <c r="P292" s="46">
        <f t="shared" ca="1" si="13"/>
        <v>7.4210526315789474E-4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input_521010!A$2</f>
        <v>521010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IFERROR(VLOOKUP(B293,input_521010!L:R,7,FALSE),VLOOKUP(tables_521010!C293,input_521010!A:H,8,FALSE))</f>
        <v>3800</v>
      </c>
      <c r="P293" s="46">
        <f t="shared" ca="1" si="13"/>
        <v>1.5384615384615385E-4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input_521010!A$2</f>
        <v>521010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IFERROR(VLOOKUP(B294,input_521010!L:R,7,FALSE),VLOOKUP(tables_521010!C294,input_521010!A:H,8,FALSE))</f>
        <v>3800</v>
      </c>
      <c r="P294" s="46">
        <f t="shared" ca="1" si="13"/>
        <v>1.5384615384615385E-4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input_521010!A$2</f>
        <v>521010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IFERROR(VLOOKUP(B295,input_521010!L:R,7,FALSE),VLOOKUP(tables_521010!C295,input_521010!A:H,8,FALSE))</f>
        <v>3800</v>
      </c>
      <c r="P295" s="46">
        <f t="shared" ref="P295:P299" ca="1" si="18">O295/SUM(O:O)</f>
        <v>1.5384615384615385E-4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input_521010!A$2</f>
        <v>521010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IFERROR(VLOOKUP(B296,input_521010!L:R,7,FALSE),VLOOKUP(tables_521010!C296,input_521010!A:H,8,FALSE))</f>
        <v>3800</v>
      </c>
      <c r="P296" s="46">
        <f t="shared" ca="1" si="18"/>
        <v>1.5384615384615385E-4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input_521010!A$2</f>
        <v>521010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IFERROR(VLOOKUP(B297,input_521010!L:R,7,FALSE),VLOOKUP(tables_521010!C297,input_521010!A:H,8,FALSE))</f>
        <v>226070</v>
      </c>
      <c r="P297" s="46">
        <f t="shared" ca="1" si="18"/>
        <v>9.1526315789473688E-3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input_521010!A$2</f>
        <v>521010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IFERROR(VLOOKUP(B298,input_521010!L:R,7,FALSE),VLOOKUP(tables_521010!C298,input_521010!A:H,8,FALSE))</f>
        <v>18330</v>
      </c>
      <c r="P298" s="46">
        <f t="shared" ca="1" si="18"/>
        <v>7.4210526315789474E-4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input_521010!A$2</f>
        <v>521010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IFERROR(VLOOKUP(B299,input_521010!L:R,7,FALSE),VLOOKUP(tables_521010!C299,input_521010!A:H,8,FALSE))</f>
        <v>3800</v>
      </c>
      <c r="P299" s="46">
        <f t="shared" ca="1" si="18"/>
        <v>1.5384615384615385E-4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input_521010!A$2</f>
        <v>521010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IFERROR(VLOOKUP(B300,input_521010!L:R,7,FALSE),VLOOKUP(tables_521010!C300,input_521010!A:H,8,FALSE))</f>
        <v>226070</v>
      </c>
      <c r="P300" s="46">
        <f t="shared" ref="P300:P304" ca="1" si="20">O300/SUM(O:O)</f>
        <v>9.1526315789473688E-3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input_521010!A$2</f>
        <v>521010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IFERROR(VLOOKUP(B301,input_521010!L:R,7,FALSE),VLOOKUP(tables_521010!C301,input_521010!A:H,8,FALSE))</f>
        <v>18330</v>
      </c>
      <c r="P301" s="46">
        <f t="shared" ca="1" si="20"/>
        <v>7.4210526315789474E-4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input_521010!A$2</f>
        <v>521010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IFERROR(VLOOKUP(B302,input_521010!L:R,7,FALSE),VLOOKUP(tables_521010!C302,input_521010!A:H,8,FALSE))</f>
        <v>3800</v>
      </c>
      <c r="P302" s="46">
        <f t="shared" ca="1" si="20"/>
        <v>1.5384615384615385E-4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input_521010!A$2</f>
        <v>521010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>IFERROR(VLOOKUP(B303,input_521010!L:R,7,FALSE),VLOOKUP(tables_521010!C303,input_521010!A:H,8,FALSE))</f>
        <v>308750</v>
      </c>
      <c r="P303" s="46">
        <f t="shared" ca="1" si="20"/>
        <v>1.2500000000000001E-2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input_521010!A$2</f>
        <v>521010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IFERROR(VLOOKUP(B304,input_521010!L:R,7,FALSE),VLOOKUP(tables_521010!C304,input_521010!A:H,8,FALSE))</f>
        <v>3800</v>
      </c>
      <c r="P304" s="46">
        <f t="shared" ca="1" si="20"/>
        <v>1.5384615384615385E-4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input_521010!A$2</f>
        <v>521010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IFERROR(VLOOKUP(B305,input_521010!L:R,7,FALSE),VLOOKUP(tables_521010!C305,input_521010!A:H,8,FALSE))</f>
        <v>226070</v>
      </c>
      <c r="P305" s="46">
        <f t="shared" ref="P305:P309" ca="1" si="22">O305/SUM(O:O)</f>
        <v>9.1526315789473688E-3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input_521010!A$2</f>
        <v>521010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IFERROR(VLOOKUP(B306,input_521010!L:R,7,FALSE),VLOOKUP(tables_521010!C306,input_521010!A:H,8,FALSE))</f>
        <v>18330</v>
      </c>
      <c r="P306" s="46">
        <f t="shared" ca="1" si="22"/>
        <v>7.4210526315789474E-4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input_521010!A$2</f>
        <v>521010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IFERROR(VLOOKUP(B307,input_521010!L:R,7,FALSE),VLOOKUP(tables_521010!C307,input_521010!A:H,8,FALSE))</f>
        <v>3800</v>
      </c>
      <c r="P307" s="46">
        <f t="shared" ca="1" si="22"/>
        <v>1.5384615384615385E-4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input_521010!A$2</f>
        <v>521010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IFERROR(VLOOKUP(B308,input_521010!L:R,7,FALSE),VLOOKUP(tables_521010!C308,input_521010!A:H,8,FALSE))</f>
        <v>3800</v>
      </c>
      <c r="P308" s="46">
        <f t="shared" ca="1" si="22"/>
        <v>1.5384615384615385E-4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input_521010!A$2</f>
        <v>521010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IFERROR(VLOOKUP(B309,input_521010!L:R,7,FALSE),VLOOKUP(tables_521010!C309,input_521010!A:H,8,FALSE))</f>
        <v>3800</v>
      </c>
      <c r="P309" s="46">
        <f t="shared" ca="1" si="22"/>
        <v>1.5384615384615385E-4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input_521010!A$2</f>
        <v>521010</v>
      </c>
      <c r="B310" s="5">
        <v>1104</v>
      </c>
      <c r="C310" s="7" t="str">
        <f t="shared" ref="C310:C314" si="23">D310&amp;J310&amp;E310&amp;F310&amp;G310</f>
        <v>Premium4R3less</v>
      </c>
      <c r="D310" s="7" t="str">
        <f t="shared" ref="D310:D314" si="24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IFERROR(VLOOKUP(B310,input_521010!L:R,7,FALSE),VLOOKUP(tables_521010!C310,input_521010!A:H,8,FALSE))</f>
        <v>226070</v>
      </c>
      <c r="P310" s="46">
        <f t="shared" ref="P310:P314" ca="1" si="25">O310/SUM(O:O)</f>
        <v>9.1526315789473688E-3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input_521010!A$2</f>
        <v>521010</v>
      </c>
      <c r="B311" s="5">
        <v>1105</v>
      </c>
      <c r="C311" s="7" t="str">
        <f t="shared" si="23"/>
        <v>Premium5R3less</v>
      </c>
      <c r="D311" s="7" t="str">
        <f t="shared" si="2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IFERROR(VLOOKUP(B311,input_521010!L:R,7,FALSE),VLOOKUP(tables_521010!C311,input_521010!A:H,8,FALSE))</f>
        <v>18330</v>
      </c>
      <c r="P311" s="46">
        <f t="shared" ca="1" si="25"/>
        <v>7.4210526315789474E-4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input_521010!A$2</f>
        <v>521010</v>
      </c>
      <c r="B312" s="5">
        <v>1106</v>
      </c>
      <c r="C312" s="7" t="str">
        <f t="shared" si="23"/>
        <v>PremiumSS5R5only</v>
      </c>
      <c r="D312" s="7" t="str">
        <f t="shared" si="2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IFERROR(VLOOKUP(B312,input_521010!L:R,7,FALSE),VLOOKUP(tables_521010!C312,input_521010!A:H,8,FALSE))</f>
        <v>3800</v>
      </c>
      <c r="P312" s="46">
        <f t="shared" ca="1" si="25"/>
        <v>1.5384615384615385E-4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input_521010!A$2</f>
        <v>521010</v>
      </c>
      <c r="B313" s="5">
        <v>1102</v>
      </c>
      <c r="C313" s="7" t="str">
        <f t="shared" si="23"/>
        <v>PremiumSS5R5only</v>
      </c>
      <c r="D313" s="7" t="str">
        <f t="shared" si="2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IFERROR(VLOOKUP(B313,input_521010!L:R,7,FALSE),VLOOKUP(tables_521010!C313,input_521010!A:H,8,FALSE))</f>
        <v>3800</v>
      </c>
      <c r="P313" s="46">
        <f t="shared" ca="1" si="25"/>
        <v>1.5384615384615385E-4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input_521010!A$2</f>
        <v>521010</v>
      </c>
      <c r="B314" s="5">
        <v>1100</v>
      </c>
      <c r="C314" s="7" t="str">
        <f t="shared" si="23"/>
        <v>PremiumSS5R5only</v>
      </c>
      <c r="D314" s="7" t="str">
        <f t="shared" si="2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IFERROR(VLOOKUP(B314,input_521010!L:R,7,FALSE),VLOOKUP(tables_521010!C314,input_521010!A:H,8,FALSE))</f>
        <v>3800</v>
      </c>
      <c r="P314" s="46">
        <f t="shared" ca="1" si="25"/>
        <v>1.5384615384615385E-4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input_521010!A$2</f>
        <v>521010</v>
      </c>
      <c r="B315" s="5">
        <v>1137</v>
      </c>
      <c r="C315" s="7" t="str">
        <f t="shared" ref="C315:C319" si="26">D315&amp;J315&amp;E315&amp;F315&amp;G315</f>
        <v>PremiumSS5R5only</v>
      </c>
      <c r="D315" s="7" t="str">
        <f t="shared" ref="D315:D319" si="27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IFERROR(VLOOKUP(B315,input_521010!L:R,7,FALSE),VLOOKUP(tables_521010!C315,input_521010!A:H,8,FALSE))</f>
        <v>3800</v>
      </c>
      <c r="P315" s="46">
        <f t="shared" ref="P315:P318" ca="1" si="28">O315/SUM(O:O)</f>
        <v>1.5384615384615385E-4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input_521010!A$2</f>
        <v>521010</v>
      </c>
      <c r="B316" s="5">
        <v>1139</v>
      </c>
      <c r="C316" s="7" t="str">
        <f t="shared" si="26"/>
        <v>PremiumSS5R5only</v>
      </c>
      <c r="D316" s="7" t="str">
        <f t="shared" si="27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IFERROR(VLOOKUP(B316,input_521010!L:R,7,FALSE),VLOOKUP(tables_521010!C316,input_521010!A:H,8,FALSE))</f>
        <v>3800</v>
      </c>
      <c r="P316" s="46">
        <f t="shared" ca="1" si="28"/>
        <v>1.5384615384615385E-4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input_521010!A$2</f>
        <v>521010</v>
      </c>
      <c r="B317" s="5">
        <v>1141</v>
      </c>
      <c r="C317" s="7" t="str">
        <f t="shared" si="26"/>
        <v>PremiumSS5R5only</v>
      </c>
      <c r="D317" s="7" t="str">
        <f t="shared" si="27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IFERROR(VLOOKUP(B317,input_521010!L:R,7,FALSE),VLOOKUP(tables_521010!C317,input_521010!A:H,8,FALSE))</f>
        <v>3800</v>
      </c>
      <c r="P317" s="46">
        <f t="shared" ca="1" si="28"/>
        <v>1.5384615384615385E-4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input_521010!A$2</f>
        <v>521010</v>
      </c>
      <c r="B318" s="5">
        <v>1143</v>
      </c>
      <c r="C318" s="7" t="str">
        <f t="shared" si="26"/>
        <v>Premium4R3less</v>
      </c>
      <c r="D318" s="7" t="str">
        <f t="shared" si="27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IFERROR(VLOOKUP(B318,input_521010!L:R,7,FALSE),VLOOKUP(tables_521010!C318,input_521010!A:H,8,FALSE))</f>
        <v>226070</v>
      </c>
      <c r="P318" s="46">
        <f t="shared" ca="1" si="28"/>
        <v>9.1526315789473688E-3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input_521010!A$2</f>
        <v>521010</v>
      </c>
      <c r="B319" s="5">
        <v>1144</v>
      </c>
      <c r="C319" s="7" t="str">
        <f t="shared" si="26"/>
        <v>Premium5R3less</v>
      </c>
      <c r="D319" s="7" t="str">
        <f t="shared" si="27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IFERROR(VLOOKUP(B319,input_521010!L:R,7,FALSE),VLOOKUP(tables_521010!C319,input_521010!A:H,8,FALSE))</f>
        <v>18330</v>
      </c>
      <c r="P319" s="46">
        <f t="shared" ref="P319" ca="1" si="29">O319/SUM(O:O)</f>
        <v>7.4210526315789474E-4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input_521010!A$2</f>
        <v>521010</v>
      </c>
      <c r="B320" s="2">
        <v>1151</v>
      </c>
      <c r="C320" s="7" t="str">
        <f t="shared" ref="C320:C344" si="30">D320&amp;J320&amp;E320&amp;F320&amp;G320</f>
        <v>Premium4R3less</v>
      </c>
      <c r="D320" s="7" t="str">
        <f t="shared" ref="D320:D344" si="31">IF(OR(I320="PremiumSS",I320="PremiumSSw"),"PremiumSS",IF(I320="PremiumSSS",I320,IF(I320="PremiumW",I320,"Premium")))</f>
        <v>Premium</v>
      </c>
      <c r="E320" s="7" t="str">
        <f>IF(COUNTIF('R6追加前'!A:A,B320)=0,IF(OR(I320="PremiumSS",I320="PremiumSSw"),"R5only","R3less"),"")</f>
        <v>R3less</v>
      </c>
      <c r="F320" s="7" t="str">
        <f>IF(COUNTIF('R6開放'!A:A,B320)&gt;0,"R6release","")</f>
        <v/>
      </c>
      <c r="G320" s="7"/>
      <c r="H320" s="7" t="str">
        <f>VLOOKUP(B320,[1]characters!$A:$C,3,FALSE)</f>
        <v>ガネーシャ</v>
      </c>
      <c r="I320" s="7" t="str">
        <f>VLOOKUP(B320,[1]characters!$A:$J,10,FALSE)</f>
        <v>PremiumS</v>
      </c>
      <c r="J320" s="7">
        <f>VLOOKUP(B320,[1]characters!$A:$I,9,FALSE)</f>
        <v>4</v>
      </c>
      <c r="K320" s="7" t="str">
        <f>VLOOKUP(B320,[1]characters!$A:$H,8,FALSE)</f>
        <v>red</v>
      </c>
      <c r="L320" s="7" t="str">
        <f>VLOOKUP(B320,[1]characters!$A:$K,11,FALSE)</f>
        <v>heal</v>
      </c>
      <c r="M320" s="7" t="str">
        <f>VLOOKUP(B320,[1]characters!$A:$M,13,FALSE)</f>
        <v>god</v>
      </c>
      <c r="N320" s="7" t="str">
        <f>VLOOKUP(B320,[1]characters!$A:$G,7,FALSE)</f>
        <v>不明</v>
      </c>
      <c r="O320" s="45">
        <f ca="1">IFERROR(VLOOKUP(B320,input_521010!L:R,7,FALSE),VLOOKUP(tables_521010!C320,input_521010!A:H,8,FALSE))</f>
        <v>226070</v>
      </c>
      <c r="P320" s="46">
        <f t="shared" ref="P320:P344" ca="1" si="32">O320/SUM(O:O)</f>
        <v>9.1526315789473688E-3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input_521010!A$2</f>
        <v>521010</v>
      </c>
      <c r="B321" s="2">
        <v>1152</v>
      </c>
      <c r="C321" s="7" t="str">
        <f t="shared" si="30"/>
        <v>Premium5R3less</v>
      </c>
      <c r="D321" s="7" t="str">
        <f t="shared" si="31"/>
        <v>Premium</v>
      </c>
      <c r="E321" s="7" t="str">
        <f>IF(COUNTIF('R6追加前'!A:A,B321)=0,IF(OR(I321="PremiumSS",I321="PremiumSSw"),"R5only","R3less"),"")</f>
        <v>R3less</v>
      </c>
      <c r="F321" s="7" t="str">
        <f>IF(COUNTIF('R6開放'!A:A,B321)&gt;0,"R6release","")</f>
        <v/>
      </c>
      <c r="G321" s="7"/>
      <c r="H321" s="7" t="str">
        <f>VLOOKUP(B321,[1]characters!$A:$C,3,FALSE)</f>
        <v>衆知の富益神 ガネーシャ</v>
      </c>
      <c r="I321" s="7" t="str">
        <f>VLOOKUP(B321,[1]characters!$A:$J,10,FALSE)</f>
        <v>PremiumS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heal</v>
      </c>
      <c r="M321" s="7" t="str">
        <f>VLOOKUP(B321,[1]characters!$A:$M,13,FALSE)</f>
        <v>god</v>
      </c>
      <c r="N321" s="7" t="str">
        <f>VLOOKUP(B321,[1]characters!$A:$G,7,FALSE)</f>
        <v>不明</v>
      </c>
      <c r="O321" s="45">
        <f ca="1">IFERROR(VLOOKUP(B321,input_521010!L:R,7,FALSE),VLOOKUP(tables_521010!C321,input_521010!A:H,8,FALSE))</f>
        <v>18330</v>
      </c>
      <c r="P321" s="46">
        <f t="shared" ca="1" si="32"/>
        <v>7.4210526315789474E-4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input_521010!A$2</f>
        <v>521010</v>
      </c>
      <c r="B322" s="2">
        <v>1153</v>
      </c>
      <c r="C322" s="7" t="str">
        <f t="shared" si="30"/>
        <v>PremiumSS5R5only</v>
      </c>
      <c r="D322" s="7" t="str">
        <f t="shared" si="31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ラクシュミー</v>
      </c>
      <c r="I322" s="7" t="str">
        <f>VLOOKUP(B322,[1]characters!$A:$J,10,FALSE)</f>
        <v>PremiumSSw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hp</v>
      </c>
      <c r="M322" s="7" t="str">
        <f>VLOOKUP(B322,[1]characters!$A:$M,13,FALSE)</f>
        <v>god</v>
      </c>
      <c r="N322" s="7" t="str">
        <f>VLOOKUP(B322,[1]characters!$A:$G,7,FALSE)</f>
        <v>不明</v>
      </c>
      <c r="O322" s="45">
        <f ca="1">IFERROR(VLOOKUP(B322,input_521010!L:R,7,FALSE),VLOOKUP(tables_521010!C322,input_521010!A:H,8,FALSE))</f>
        <v>3800</v>
      </c>
      <c r="P322" s="46">
        <f t="shared" ca="1" si="32"/>
        <v>1.5384615384615385E-4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input_521010!A$2</f>
        <v>521010</v>
      </c>
      <c r="B323" s="2">
        <v>1155</v>
      </c>
      <c r="C323" s="7" t="str">
        <f t="shared" si="30"/>
        <v>PremiumSS5R5only</v>
      </c>
      <c r="D323" s="7" t="str">
        <f t="shared" si="31"/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ドゥルガー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god</v>
      </c>
      <c r="N323" s="7" t="str">
        <f>VLOOKUP(B323,[1]characters!$A:$G,7,FALSE)</f>
        <v>不明</v>
      </c>
      <c r="O323" s="45">
        <f ca="1">IFERROR(VLOOKUP(B323,input_521010!L:R,7,FALSE),VLOOKUP(tables_521010!C323,input_521010!A:H,8,FALSE))</f>
        <v>3800</v>
      </c>
      <c r="P323" s="46">
        <f t="shared" ca="1" si="32"/>
        <v>1.5384615384615385E-4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input_521010!A$2</f>
        <v>521010</v>
      </c>
      <c r="B324" s="2">
        <v>1157</v>
      </c>
      <c r="C324" s="7" t="str">
        <f t="shared" si="30"/>
        <v>PremiumSS5R5only</v>
      </c>
      <c r="D324" s="7" t="str">
        <f t="shared" si="31"/>
        <v>PremiumSS</v>
      </c>
      <c r="E324" s="7" t="str">
        <f>IF(COUNTIF('R6追加前'!A:A,B324)=0,IF(OR(I324="PremiumSS",I324="PremiumSSw"),"R5only","R3less"),"")</f>
        <v>R5only</v>
      </c>
      <c r="F324" s="7" t="str">
        <f>IF(COUNTIF('R6開放'!A:A,B324)&gt;0,"R6release","")</f>
        <v/>
      </c>
      <c r="G324" s="7"/>
      <c r="H324" s="7" t="str">
        <f>VLOOKUP(B324,[1]characters!$A:$C,3,FALSE)</f>
        <v>インドラ</v>
      </c>
      <c r="I324" s="7" t="str">
        <f>VLOOKUP(B324,[1]characters!$A:$J,10,FALSE)</f>
        <v>PremiumSS</v>
      </c>
      <c r="J324" s="7">
        <f>VLOOKUP(B324,[1]characters!$A:$I,9,FALSE)</f>
        <v>5</v>
      </c>
      <c r="K324" s="7" t="str">
        <f>VLOOKUP(B324,[1]characters!$A:$H,8,FALSE)</f>
        <v>yellow</v>
      </c>
      <c r="L324" s="7" t="str">
        <f>VLOOKUP(B324,[1]characters!$A:$K,11,FALSE)</f>
        <v>attack</v>
      </c>
      <c r="M324" s="7" t="str">
        <f>VLOOKUP(B324,[1]characters!$A:$M,13,FALSE)</f>
        <v>god</v>
      </c>
      <c r="N324" s="7" t="str">
        <f>VLOOKUP(B324,[1]characters!$A:$G,7,FALSE)</f>
        <v>不明</v>
      </c>
      <c r="O324" s="45">
        <f ca="1">IFERROR(VLOOKUP(B324,input_521010!L:R,7,FALSE),VLOOKUP(tables_521010!C324,input_521010!A:H,8,FALSE))</f>
        <v>3800</v>
      </c>
      <c r="P324" s="46">
        <f t="shared" ca="1" si="32"/>
        <v>1.5384615384615385E-4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input_521010!A$2</f>
        <v>521010</v>
      </c>
      <c r="B325" s="60">
        <v>1214</v>
      </c>
      <c r="C325" s="7" t="str">
        <f t="shared" si="30"/>
        <v>PremiumSS5R5only</v>
      </c>
      <c r="D325" s="7" t="str">
        <f t="shared" si="31"/>
        <v>PremiumSS</v>
      </c>
      <c r="E325" s="7" t="str">
        <f>IF(COUNTIF('R6追加前'!A:A,B325)=0,IF(OR(I325="PremiumSS",I325="PremiumSSw"),"R5only","R3less"),"")</f>
        <v>R5only</v>
      </c>
      <c r="F325" s="7" t="str">
        <f>IF(COUNTIF('R6開放'!A:A,B325)&gt;0,"R6release","")</f>
        <v/>
      </c>
      <c r="G325" s="7"/>
      <c r="H325" s="7" t="str">
        <f>VLOOKUP(B325,[1]characters!$A:$C,3,FALSE)</f>
        <v>アルテミス</v>
      </c>
      <c r="I325" s="7" t="str">
        <f>VLOOKUP(B325,[1]characters!$A:$J,10,FALSE)</f>
        <v>PremiumSSw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balance</v>
      </c>
      <c r="M325" s="7" t="str">
        <f>VLOOKUP(B325,[1]characters!$A:$M,13,FALSE)</f>
        <v>god</v>
      </c>
      <c r="N325" s="7">
        <f>VLOOKUP(B325,[1]characters!$A:$G,7,FALSE)</f>
        <v>0</v>
      </c>
      <c r="O325" s="45">
        <f ca="1">IFERROR(VLOOKUP(B325,input_521010!L:R,7,FALSE),VLOOKUP(tables_521010!C325,input_521010!A:H,8,FALSE))</f>
        <v>3800</v>
      </c>
      <c r="P325" s="46">
        <f t="shared" ca="1" si="32"/>
        <v>1.5384615384615385E-4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input_521010!A$2</f>
        <v>521010</v>
      </c>
      <c r="B326" s="60">
        <v>1212</v>
      </c>
      <c r="C326" s="7" t="str">
        <f t="shared" si="30"/>
        <v>PremiumSS5R5only</v>
      </c>
      <c r="D326" s="7" t="str">
        <f t="shared" si="31"/>
        <v>PremiumSS</v>
      </c>
      <c r="E326" s="7" t="str">
        <f>IF(COUNTIF('R6追加前'!A:A,B326)=0,IF(OR(I326="PremiumSS",I326="PremiumSSw"),"R5only","R3less"),"")</f>
        <v>R5only</v>
      </c>
      <c r="F326" s="7" t="str">
        <f>IF(COUNTIF('R6開放'!A:A,B326)&gt;0,"R6release","")</f>
        <v/>
      </c>
      <c r="G326" s="7"/>
      <c r="H326" s="7" t="str">
        <f>VLOOKUP(B326,[1]characters!$A:$C,3,FALSE)</f>
        <v>クロノス</v>
      </c>
      <c r="I326" s="7" t="str">
        <f>VLOOKUP(B326,[1]characters!$A:$J,10,FALSE)</f>
        <v>PremiumSS</v>
      </c>
      <c r="J326" s="7">
        <f>VLOOKUP(B326,[1]characters!$A:$I,9,FALSE)</f>
        <v>5</v>
      </c>
      <c r="K326" s="7" t="str">
        <f>VLOOKUP(B326,[1]characters!$A:$H,8,FALSE)</f>
        <v>blue</v>
      </c>
      <c r="L326" s="7" t="str">
        <f>VLOOKUP(B326,[1]characters!$A:$K,11,FALSE)</f>
        <v>technical</v>
      </c>
      <c r="M326" s="7" t="str">
        <f>VLOOKUP(B326,[1]characters!$A:$M,13,FALSE)</f>
        <v>god</v>
      </c>
      <c r="N326" s="7">
        <f>VLOOKUP(B326,[1]characters!$A:$G,7,FALSE)</f>
        <v>0</v>
      </c>
      <c r="O326" s="45">
        <f ca="1">IFERROR(VLOOKUP(B326,input_521010!L:R,7,FALSE),VLOOKUP(tables_521010!C326,input_521010!A:H,8,FALSE))</f>
        <v>3800</v>
      </c>
      <c r="P326" s="46">
        <f t="shared" ca="1" si="32"/>
        <v>1.5384615384615385E-4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input_521010!A$2</f>
        <v>521010</v>
      </c>
      <c r="B327" s="60">
        <v>1208</v>
      </c>
      <c r="C327" s="7" t="str">
        <f t="shared" si="30"/>
        <v>PremiumSS5R5only</v>
      </c>
      <c r="D327" s="7" t="str">
        <f t="shared" si="31"/>
        <v>PremiumSS</v>
      </c>
      <c r="E327" s="7" t="str">
        <f>IF(COUNTIF('R6追加前'!A:A,B327)=0,IF(OR(I327="PremiumSS",I327="PremiumSSw"),"R5only","R3less"),"")</f>
        <v>R5only</v>
      </c>
      <c r="F327" s="7" t="str">
        <f>IF(COUNTIF('R6開放'!A:A,B327)&gt;0,"R6release","")</f>
        <v/>
      </c>
      <c r="G327" s="7"/>
      <c r="H327" s="7" t="str">
        <f>VLOOKUP(B327,[1]characters!$A:$C,3,FALSE)</f>
        <v>ネメシス</v>
      </c>
      <c r="I327" s="7" t="str">
        <f>VLOOKUP(B327,[1]characters!$A:$J,10,FALSE)</f>
        <v>PremiumSS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hp</v>
      </c>
      <c r="M327" s="7" t="str">
        <f>VLOOKUP(B327,[1]characters!$A:$M,13,FALSE)</f>
        <v>god</v>
      </c>
      <c r="N327" s="7">
        <f>VLOOKUP(B327,[1]characters!$A:$G,7,FALSE)</f>
        <v>0</v>
      </c>
      <c r="O327" s="45">
        <f ca="1">IFERROR(VLOOKUP(B327,input_521010!L:R,7,FALSE),VLOOKUP(tables_521010!C327,input_521010!A:H,8,FALSE))</f>
        <v>3800</v>
      </c>
      <c r="P327" s="46">
        <f t="shared" ca="1" si="32"/>
        <v>1.5384615384615385E-4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input_521010!A$2</f>
        <v>521010</v>
      </c>
      <c r="B328" s="94">
        <v>1210</v>
      </c>
      <c r="C328" s="7" t="str">
        <f t="shared" si="30"/>
        <v>Premium4R3less</v>
      </c>
      <c r="D328" s="7" t="str">
        <f t="shared" si="31"/>
        <v>Premium</v>
      </c>
      <c r="E328" s="7" t="str">
        <f>IF(COUNTIF('R6追加前'!A:A,B328)=0,IF(OR(I328="PremiumSS",I328="PremiumSSw"),"R5only","R3less"),"")</f>
        <v>R3less</v>
      </c>
      <c r="F328" s="7" t="str">
        <f>IF(COUNTIF('R6開放'!A:A,B328)&gt;0,"R6release","")</f>
        <v/>
      </c>
      <c r="G328" s="7"/>
      <c r="H328" s="7" t="str">
        <f>VLOOKUP(B328,[1]characters!$A:$C,3,FALSE)</f>
        <v>ケンタウロス</v>
      </c>
      <c r="I328" s="7" t="str">
        <f>VLOOKUP(B328,[1]characters!$A:$J,10,FALSE)</f>
        <v>PremiumS</v>
      </c>
      <c r="J328" s="7">
        <f>VLOOKUP(B328,[1]characters!$A:$I,9,FALSE)</f>
        <v>4</v>
      </c>
      <c r="K328" s="7" t="str">
        <f>VLOOKUP(B328,[1]characters!$A:$H,8,FALSE)</f>
        <v>green</v>
      </c>
      <c r="L328" s="7" t="str">
        <f>VLOOKUP(B328,[1]characters!$A:$K,11,FALSE)</f>
        <v>attack</v>
      </c>
      <c r="M328" s="7" t="str">
        <f>VLOOKUP(B328,[1]characters!$A:$M,13,FALSE)</f>
        <v>god</v>
      </c>
      <c r="N328" s="7">
        <f>VLOOKUP(B328,[1]characters!$A:$G,7,FALSE)</f>
        <v>0</v>
      </c>
      <c r="O328" s="45">
        <f ca="1">IFERROR(VLOOKUP(B328,input_521010!L:R,7,FALSE),VLOOKUP(tables_521010!C328,input_521010!A:H,8,FALSE))</f>
        <v>226070</v>
      </c>
      <c r="P328" s="46">
        <f t="shared" ca="1" si="32"/>
        <v>9.1526315789473688E-3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input_521010!A$2</f>
        <v>521010</v>
      </c>
      <c r="B329" s="60">
        <v>1211</v>
      </c>
      <c r="C329" s="7" t="str">
        <f t="shared" si="30"/>
        <v>Premium5R3less</v>
      </c>
      <c r="D329" s="7" t="str">
        <f t="shared" si="31"/>
        <v>Premium</v>
      </c>
      <c r="E329" s="7" t="str">
        <f>IF(COUNTIF('R6追加前'!A:A,B329)=0,IF(OR(I329="PremiumSS",I329="PremiumSSw"),"R5only","R3less"),"")</f>
        <v>R3less</v>
      </c>
      <c r="F329" s="7" t="str">
        <f>IF(COUNTIF('R6開放'!A:A,B329)&gt;0,"R6release","")</f>
        <v/>
      </c>
      <c r="G329" s="7"/>
      <c r="H329" s="7" t="str">
        <f>VLOOKUP(B329,[1]characters!$A:$C,3,FALSE)</f>
        <v>奏駆の翻騎 ケンタウロス</v>
      </c>
      <c r="I329" s="7" t="str">
        <f>VLOOKUP(B329,[1]characters!$A:$J,10,FALSE)</f>
        <v>PremiumS</v>
      </c>
      <c r="J329" s="7">
        <f>VLOOKUP(B329,[1]characters!$A:$I,9,FALSE)</f>
        <v>5</v>
      </c>
      <c r="K329" s="7" t="str">
        <f>VLOOKUP(B329,[1]characters!$A:$H,8,FALSE)</f>
        <v>green</v>
      </c>
      <c r="L329" s="7" t="str">
        <f>VLOOKUP(B329,[1]characters!$A:$K,11,FALSE)</f>
        <v>attack</v>
      </c>
      <c r="M329" s="7" t="str">
        <f>VLOOKUP(B329,[1]characters!$A:$M,13,FALSE)</f>
        <v>god</v>
      </c>
      <c r="N329" s="7">
        <f>VLOOKUP(B329,[1]characters!$A:$G,7,FALSE)</f>
        <v>0</v>
      </c>
      <c r="O329" s="45">
        <f ca="1">IFERROR(VLOOKUP(B329,input_521010!L:R,7,FALSE),VLOOKUP(tables_521010!C329,input_521010!A:H,8,FALSE))</f>
        <v>18330</v>
      </c>
      <c r="P329" s="46">
        <f t="shared" ca="1" si="32"/>
        <v>7.4210526315789474E-4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input_521010!A$2</f>
        <v>521010</v>
      </c>
      <c r="B330" s="2">
        <v>1224</v>
      </c>
      <c r="C330" s="7" t="str">
        <f t="shared" si="30"/>
        <v>Premium4R3less</v>
      </c>
      <c r="D330" s="7" t="str">
        <f t="shared" si="31"/>
        <v>Premium</v>
      </c>
      <c r="E330" s="7" t="str">
        <f>IF(COUNTIF('R6追加前'!A:A,B330)=0,IF(OR(I330="PremiumSS",I330="PremiumSSw"),"R5only","R3less"),"")</f>
        <v>R3less</v>
      </c>
      <c r="F330" s="7" t="str">
        <f>IF(COUNTIF('R6開放'!A:A,B330)&gt;0,"R6release","")</f>
        <v/>
      </c>
      <c r="G330" s="7"/>
      <c r="H330" s="7" t="str">
        <f>VLOOKUP(B330,[1]characters!$A:$C,3,FALSE)</f>
        <v>セルバンテス</v>
      </c>
      <c r="I330" s="7" t="str">
        <f>VLOOKUP(B330,[1]characters!$A:$J,10,FALSE)</f>
        <v>PremiumS</v>
      </c>
      <c r="J330" s="7">
        <f>VLOOKUP(B330,[1]characters!$A:$I,9,FALSE)</f>
        <v>4</v>
      </c>
      <c r="K330" s="7" t="str">
        <f>VLOOKUP(B330,[1]characters!$A:$H,8,FALSE)</f>
        <v>red</v>
      </c>
      <c r="L330" s="7" t="str">
        <f>VLOOKUP(B330,[1]characters!$A:$K,11,FALSE)</f>
        <v>attack</v>
      </c>
      <c r="M330" s="7" t="str">
        <f>VLOOKUP(B330,[1]characters!$A:$M,13,FALSE)</f>
        <v>human</v>
      </c>
      <c r="N330" s="7">
        <f>VLOOKUP(B330,[1]characters!$A:$G,7,FALSE)</f>
        <v>0</v>
      </c>
      <c r="O330" s="45">
        <f ca="1">IFERROR(VLOOKUP(B330,input_521010!L:R,7,FALSE),VLOOKUP(tables_521010!C330,input_521010!A:H,8,FALSE))</f>
        <v>226070</v>
      </c>
      <c r="P330" s="46">
        <f t="shared" ca="1" si="32"/>
        <v>9.1526315789473688E-3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input_521010!A$2</f>
        <v>521010</v>
      </c>
      <c r="B331" s="2">
        <v>1225</v>
      </c>
      <c r="C331" s="7" t="str">
        <f t="shared" si="30"/>
        <v>Premium5R3less</v>
      </c>
      <c r="D331" s="7" t="str">
        <f t="shared" si="31"/>
        <v>Premium</v>
      </c>
      <c r="E331" s="7" t="str">
        <f>IF(COUNTIF('R6追加前'!A:A,B331)=0,IF(OR(I331="PremiumSS",I331="PremiumSSw"),"R5only","R3less"),"")</f>
        <v>R3less</v>
      </c>
      <c r="F331" s="7" t="str">
        <f>IF(COUNTIF('R6開放'!A:A,B331)&gt;0,"R6release","")</f>
        <v/>
      </c>
      <c r="G331" s="7"/>
      <c r="H331" s="7" t="str">
        <f>VLOOKUP(B331,[1]characters!$A:$C,3,FALSE)</f>
        <v>優柔なる風断者 セルバンテス</v>
      </c>
      <c r="I331" s="7" t="str">
        <f>VLOOKUP(B331,[1]characters!$A:$J,10,FALSE)</f>
        <v>PremiumS</v>
      </c>
      <c r="J331" s="7">
        <f>VLOOKUP(B331,[1]characters!$A:$I,9,FALSE)</f>
        <v>5</v>
      </c>
      <c r="K331" s="7" t="str">
        <f>VLOOKUP(B331,[1]characters!$A:$H,8,FALSE)</f>
        <v>red</v>
      </c>
      <c r="L331" s="7" t="str">
        <f>VLOOKUP(B331,[1]characters!$A:$K,11,FALSE)</f>
        <v>attack</v>
      </c>
      <c r="M331" s="7" t="str">
        <f>VLOOKUP(B331,[1]characters!$A:$M,13,FALSE)</f>
        <v>human</v>
      </c>
      <c r="N331" s="7">
        <f>VLOOKUP(B331,[1]characters!$A:$G,7,FALSE)</f>
        <v>0</v>
      </c>
      <c r="O331" s="45">
        <f ca="1">IFERROR(VLOOKUP(B331,input_521010!L:R,7,FALSE),VLOOKUP(tables_521010!C331,input_521010!A:H,8,FALSE))</f>
        <v>18330</v>
      </c>
      <c r="P331" s="46">
        <f t="shared" ca="1" si="32"/>
        <v>7.4210526315789474E-4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input_521010!A$2</f>
        <v>521010</v>
      </c>
      <c r="B332" s="2">
        <v>1226</v>
      </c>
      <c r="C332" s="7" t="str">
        <f t="shared" si="30"/>
        <v>PremiumSS5R5only</v>
      </c>
      <c r="D332" s="7" t="str">
        <f t="shared" si="31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トルストイ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green</v>
      </c>
      <c r="L332" s="7" t="str">
        <f>VLOOKUP(B332,[1]characters!$A:$K,11,FALSE)</f>
        <v>attack</v>
      </c>
      <c r="M332" s="7" t="str">
        <f>VLOOKUP(B332,[1]characters!$A:$M,13,FALSE)</f>
        <v>human</v>
      </c>
      <c r="N332" s="7">
        <f>VLOOKUP(B332,[1]characters!$A:$G,7,FALSE)</f>
        <v>0</v>
      </c>
      <c r="O332" s="45">
        <f ca="1">IFERROR(VLOOKUP(B332,input_521010!L:R,7,FALSE),VLOOKUP(tables_521010!C332,input_521010!A:H,8,FALSE))</f>
        <v>3800</v>
      </c>
      <c r="P332" s="46">
        <f t="shared" ca="1" si="32"/>
        <v>1.5384615384615385E-4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input_521010!A$2</f>
        <v>521010</v>
      </c>
      <c r="B333" s="2">
        <v>1228</v>
      </c>
      <c r="C333" s="7" t="str">
        <f t="shared" si="30"/>
        <v>PremiumSS5R5only</v>
      </c>
      <c r="D333" s="7" t="str">
        <f t="shared" si="3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芥川龍之介</v>
      </c>
      <c r="I333" s="7" t="str">
        <f>VLOOKUP(B333,[1]characters!$A:$J,10,FALSE)</f>
        <v>PremiumSSw</v>
      </c>
      <c r="J333" s="7">
        <f>VLOOKUP(B333,[1]characters!$A:$I,9,FALSE)</f>
        <v>5</v>
      </c>
      <c r="K333" s="7" t="str">
        <f>VLOOKUP(B333,[1]characters!$A:$H,8,FALSE)</f>
        <v>blue</v>
      </c>
      <c r="L333" s="7" t="str">
        <f>VLOOKUP(B333,[1]characters!$A:$K,11,FALSE)</f>
        <v>attack</v>
      </c>
      <c r="M333" s="7" t="str">
        <f>VLOOKUP(B333,[1]characters!$A:$M,13,FALSE)</f>
        <v>human</v>
      </c>
      <c r="N333" s="7">
        <f>VLOOKUP(B333,[1]characters!$A:$G,7,FALSE)</f>
        <v>0</v>
      </c>
      <c r="O333" s="45">
        <f ca="1">IFERROR(VLOOKUP(B333,input_521010!L:R,7,FALSE),VLOOKUP(tables_521010!C333,input_521010!A:H,8,FALSE))</f>
        <v>3800</v>
      </c>
      <c r="P333" s="46">
        <f t="shared" ca="1" si="32"/>
        <v>1.5384615384615385E-4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input_521010!A$2</f>
        <v>521010</v>
      </c>
      <c r="B334" s="2">
        <v>1230</v>
      </c>
      <c r="C334" s="7" t="str">
        <f t="shared" si="30"/>
        <v>PremiumSS5R5only</v>
      </c>
      <c r="D334" s="7" t="str">
        <f t="shared" si="31"/>
        <v>PremiumSS</v>
      </c>
      <c r="E334" s="7" t="str">
        <f>IF(COUNTIF('R6追加前'!A:A,B334)=0,IF(OR(I334="PremiumSS",I334="PremiumSSw"),"R5only","R3less"),"")</f>
        <v>R5only</v>
      </c>
      <c r="F334" s="7" t="str">
        <f>IF(COUNTIF('R6開放'!A:A,B334)&gt;0,"R6release","")</f>
        <v/>
      </c>
      <c r="G334" s="7"/>
      <c r="H334" s="7" t="str">
        <f>VLOOKUP(B334,[1]characters!$A:$C,3,FALSE)</f>
        <v>夏目漱石</v>
      </c>
      <c r="I334" s="7" t="str">
        <f>VLOOKUP(B334,[1]characters!$A:$J,10,FALSE)</f>
        <v>PremiumSS</v>
      </c>
      <c r="J334" s="7">
        <f>VLOOKUP(B334,[1]characters!$A:$I,9,FALSE)</f>
        <v>5</v>
      </c>
      <c r="K334" s="7" t="str">
        <f>VLOOKUP(B334,[1]characters!$A:$H,8,FALSE)</f>
        <v>yellow</v>
      </c>
      <c r="L334" s="7" t="str">
        <f>VLOOKUP(B334,[1]characters!$A:$K,11,FALSE)</f>
        <v>heal</v>
      </c>
      <c r="M334" s="7" t="str">
        <f>VLOOKUP(B334,[1]characters!$A:$M,13,FALSE)</f>
        <v>animal</v>
      </c>
      <c r="N334" s="7">
        <f>VLOOKUP(B334,[1]characters!$A:$G,7,FALSE)</f>
        <v>0</v>
      </c>
      <c r="O334" s="45">
        <f ca="1">IFERROR(VLOOKUP(B334,input_521010!L:R,7,FALSE),VLOOKUP(tables_521010!C334,input_521010!A:H,8,FALSE))</f>
        <v>3800</v>
      </c>
      <c r="P334" s="46">
        <f t="shared" ca="1" si="32"/>
        <v>1.5384615384615385E-4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input_521010!A$2</f>
        <v>521010</v>
      </c>
      <c r="B335" s="1">
        <v>1250</v>
      </c>
      <c r="C335" s="7" t="str">
        <f t="shared" si="30"/>
        <v>PremiumSS5R5only</v>
      </c>
      <c r="D335" s="7" t="str">
        <f t="shared" si="31"/>
        <v>PremiumSS</v>
      </c>
      <c r="E335" s="7" t="str">
        <f>IF(COUNTIF('R6追加前'!A:A,B335)=0,IF(OR(I335="PremiumSS",I335="PremiumSSw"),"R5only","R3less"),"")</f>
        <v>R5only</v>
      </c>
      <c r="F335" s="7" t="str">
        <f>IF(COUNTIF('R6開放'!A:A,B335)&gt;0,"R6release","")</f>
        <v/>
      </c>
      <c r="G335" s="7"/>
      <c r="H335" s="7" t="str">
        <f>VLOOKUP(B335,[1]characters!$A:$C,3,FALSE)</f>
        <v>真田幸村</v>
      </c>
      <c r="I335" s="7" t="str">
        <f>VLOOKUP(B335,[1]characters!$A:$J,10,FALSE)</f>
        <v>PremiumSSw</v>
      </c>
      <c r="J335" s="7">
        <f>VLOOKUP(B335,[1]characters!$A:$I,9,FALSE)</f>
        <v>5</v>
      </c>
      <c r="K335" s="7" t="str">
        <f>VLOOKUP(B335,[1]characters!$A:$H,8,FALSE)</f>
        <v>yellow</v>
      </c>
      <c r="L335" s="7" t="str">
        <f>VLOOKUP(B335,[1]characters!$A:$K,11,FALSE)</f>
        <v>attack</v>
      </c>
      <c r="M335" s="7" t="str">
        <f>VLOOKUP(B335,[1]characters!$A:$M,13,FALSE)</f>
        <v>human</v>
      </c>
      <c r="N335" s="7">
        <f>VLOOKUP(B335,[1]characters!$A:$G,7,FALSE)</f>
        <v>0</v>
      </c>
      <c r="O335" s="45">
        <f ca="1">IFERROR(VLOOKUP(B335,input_521010!L:R,7,FALSE),VLOOKUP(tables_521010!C335,input_521010!A:H,8,FALSE))</f>
        <v>3800</v>
      </c>
      <c r="P335" s="46">
        <f t="shared" ca="1" si="32"/>
        <v>1.5384615384615385E-4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input_521010!A$2</f>
        <v>521010</v>
      </c>
      <c r="B336" s="1">
        <v>1248</v>
      </c>
      <c r="C336" s="7" t="str">
        <f t="shared" si="30"/>
        <v>Premium4R3less</v>
      </c>
      <c r="D336" s="7" t="str">
        <f t="shared" si="3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寧々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blue</v>
      </c>
      <c r="L336" s="7" t="str">
        <f>VLOOKUP(B336,[1]characters!$A:$K,11,FALSE)</f>
        <v>heal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IFERROR(VLOOKUP(B336,input_521010!L:R,7,FALSE),VLOOKUP(tables_521010!C336,input_521010!A:H,8,FALSE))</f>
        <v>226070</v>
      </c>
      <c r="P336" s="46">
        <f t="shared" ca="1" si="32"/>
        <v>9.1526315789473688E-3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input_521010!A$2</f>
        <v>521010</v>
      </c>
      <c r="B337" s="1">
        <v>1249</v>
      </c>
      <c r="C337" s="7" t="str">
        <f t="shared" si="30"/>
        <v>Premium5R3less</v>
      </c>
      <c r="D337" s="7" t="str">
        <f t="shared" si="3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君臨する姐御様 寧々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blue</v>
      </c>
      <c r="L337" s="7" t="str">
        <f>VLOOKUP(B337,[1]characters!$A:$K,11,FALSE)</f>
        <v>heal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IFERROR(VLOOKUP(B337,input_521010!L:R,7,FALSE),VLOOKUP(tables_521010!C337,input_521010!A:H,8,FALSE))</f>
        <v>18330</v>
      </c>
      <c r="P337" s="46">
        <f t="shared" ca="1" si="32"/>
        <v>7.4210526315789474E-4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input_521010!A$2</f>
        <v>521010</v>
      </c>
      <c r="B338" s="1">
        <v>1246</v>
      </c>
      <c r="C338" s="7" t="str">
        <f t="shared" si="30"/>
        <v>PremiumSS5R5only</v>
      </c>
      <c r="D338" s="7" t="str">
        <f t="shared" si="3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望月千代女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heal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IFERROR(VLOOKUP(B338,input_521010!L:R,7,FALSE),VLOOKUP(tables_521010!C338,input_521010!A:H,8,FALSE))</f>
        <v>3800</v>
      </c>
      <c r="P338" s="46">
        <f t="shared" ca="1" si="32"/>
        <v>1.5384615384615385E-4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input_521010!A$2</f>
        <v>521010</v>
      </c>
      <c r="B339" s="1">
        <v>1244</v>
      </c>
      <c r="C339" s="7" t="str">
        <f t="shared" si="30"/>
        <v>PremiumSS5R5only</v>
      </c>
      <c r="D339" s="7" t="str">
        <f t="shared" si="3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猿飛佐助</v>
      </c>
      <c r="I339" s="7" t="str">
        <f>VLOOKUP(B339,[1]characters!$A:$J,10,FALSE)</f>
        <v>PremiumSS</v>
      </c>
      <c r="J339" s="7">
        <f>VLOOKUP(B339,[1]characters!$A:$I,9,FALSE)</f>
        <v>5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IFERROR(VLOOKUP(B339,input_521010!L:R,7,FALSE),VLOOKUP(tables_521010!C339,input_521010!A:H,8,FALSE))</f>
        <v>3800</v>
      </c>
      <c r="P339" s="46">
        <f t="shared" ca="1" si="32"/>
        <v>1.5384615384615385E-4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input_521010!A$2</f>
        <v>521010</v>
      </c>
      <c r="B340" s="1">
        <v>1260</v>
      </c>
      <c r="C340" s="7" t="str">
        <f t="shared" si="30"/>
        <v>PremiumSS5R5only</v>
      </c>
      <c r="D340" s="7" t="str">
        <f t="shared" si="3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トール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balance</v>
      </c>
      <c r="M340" s="7" t="str">
        <f>VLOOKUP(B340,[1]characters!$A:$M,13,FALSE)</f>
        <v>god</v>
      </c>
      <c r="N340" s="7">
        <f>VLOOKUP(B340,[1]characters!$A:$G,7,FALSE)</f>
        <v>0</v>
      </c>
      <c r="O340" s="45">
        <f ca="1">IFERROR(VLOOKUP(B340,input_521010!L:R,7,FALSE),VLOOKUP(tables_521010!C340,input_521010!A:H,8,FALSE))</f>
        <v>3800</v>
      </c>
      <c r="P340" s="46">
        <f t="shared" ca="1" si="32"/>
        <v>1.5384615384615385E-4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input_521010!A$2</f>
        <v>521010</v>
      </c>
      <c r="B341" s="1">
        <v>1262</v>
      </c>
      <c r="C341" s="7" t="str">
        <f t="shared" si="30"/>
        <v>PremiumSS5R5only</v>
      </c>
      <c r="D341" s="7" t="str">
        <f t="shared" si="31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イズン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green</v>
      </c>
      <c r="L341" s="7" t="str">
        <f>VLOOKUP(B341,[1]characters!$A:$K,11,FALSE)</f>
        <v>heal</v>
      </c>
      <c r="M341" s="7" t="str">
        <f>VLOOKUP(B341,[1]characters!$A:$M,13,FALSE)</f>
        <v>god</v>
      </c>
      <c r="N341" s="7">
        <f>VLOOKUP(B341,[1]characters!$A:$G,7,FALSE)</f>
        <v>0</v>
      </c>
      <c r="O341" s="45">
        <f ca="1">IFERROR(VLOOKUP(B341,input_521010!L:R,7,FALSE),VLOOKUP(tables_521010!C341,input_521010!A:H,8,FALSE))</f>
        <v>3800</v>
      </c>
      <c r="P341" s="46">
        <f t="shared" ca="1" si="32"/>
        <v>1.5384615384615385E-4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input_521010!A$2</f>
        <v>521010</v>
      </c>
      <c r="B342" s="1">
        <v>1264</v>
      </c>
      <c r="C342" s="7" t="str">
        <f t="shared" si="30"/>
        <v>PremiumSS5R5only</v>
      </c>
      <c r="D342" s="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ウルズ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god</v>
      </c>
      <c r="N342" s="7">
        <f>VLOOKUP(B342,[1]characters!$A:$G,7,FALSE)</f>
        <v>0</v>
      </c>
      <c r="O342" s="45">
        <f ca="1">IFERROR(VLOOKUP(B342,input_521010!L:R,7,FALSE),VLOOKUP(tables_521010!C342,input_521010!A:H,8,FALSE))</f>
        <v>3800</v>
      </c>
      <c r="P342" s="46">
        <f t="shared" ca="1" si="32"/>
        <v>1.5384615384615385E-4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input_521010!A$2</f>
        <v>521010</v>
      </c>
      <c r="B343" s="1">
        <v>1266</v>
      </c>
      <c r="C343" s="7" t="str">
        <f t="shared" si="30"/>
        <v>Premium4R3less</v>
      </c>
      <c r="D343" s="7" t="str">
        <f t="shared" si="31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ガルム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yellow</v>
      </c>
      <c r="L343" s="7" t="str">
        <f>VLOOKUP(B343,[1]characters!$A:$K,11,FALSE)</f>
        <v>hp</v>
      </c>
      <c r="M343" s="7" t="str">
        <f>VLOOKUP(B343,[1]characters!$A:$M,13,FALSE)</f>
        <v>god</v>
      </c>
      <c r="N343" s="7">
        <f>VLOOKUP(B343,[1]characters!$A:$G,7,FALSE)</f>
        <v>0</v>
      </c>
      <c r="O343" s="45">
        <f ca="1">IFERROR(VLOOKUP(B343,input_521010!L:R,7,FALSE),VLOOKUP(tables_521010!C343,input_521010!A:H,8,FALSE))</f>
        <v>226070</v>
      </c>
      <c r="P343" s="46">
        <f t="shared" ca="1" si="32"/>
        <v>9.1526315789473688E-3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input_521010!A$2</f>
        <v>521010</v>
      </c>
      <c r="B344" s="1">
        <v>1267</v>
      </c>
      <c r="C344" s="7" t="str">
        <f t="shared" si="30"/>
        <v>Premium5R3less</v>
      </c>
      <c r="D344" s="7" t="str">
        <f t="shared" si="31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不遜の冥番犬 ガルム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yellow</v>
      </c>
      <c r="L344" s="7" t="str">
        <f>VLOOKUP(B344,[1]characters!$A:$K,11,FALSE)</f>
        <v>hp</v>
      </c>
      <c r="M344" s="7" t="str">
        <f>VLOOKUP(B344,[1]characters!$A:$M,13,FALSE)</f>
        <v>god</v>
      </c>
      <c r="N344" s="7">
        <f>VLOOKUP(B344,[1]characters!$A:$G,7,FALSE)</f>
        <v>0</v>
      </c>
      <c r="O344" s="45">
        <f ca="1">IFERROR(VLOOKUP(B344,input_521010!L:R,7,FALSE),VLOOKUP(tables_521010!C344,input_521010!A:H,8,FALSE))</f>
        <v>18330</v>
      </c>
      <c r="P344" s="46">
        <f t="shared" ca="1" si="32"/>
        <v>7.4210526315789474E-4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</sheetData>
  <autoFilter ref="A1:V294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N3" sqref="N3:N8"/>
    </sheetView>
  </sheetViews>
  <sheetFormatPr baseColWidth="12" defaultRowHeight="14" x14ac:dyDescent="0.15"/>
  <cols>
    <col min="1" max="2" width="24.19921875" bestFit="1" customWidth="1"/>
    <col min="17" max="17" width="18" bestFit="1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521100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848</v>
      </c>
      <c r="M3" s="37" t="str">
        <f>VLOOKUP(L3,[1]characters!$A:$C,3,FALSE)</f>
        <v>メタトロン</v>
      </c>
      <c r="N3" s="63">
        <v>1.2500000000000001E-2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VLOOKUP(L3,tables_521100!B:C,2,FALSE)</f>
        <v>PremiumSS5R5only</v>
      </c>
      <c r="R3" s="62">
        <f t="shared" ref="R3:R20" si="1">N3*A$36</f>
        <v>308750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1031</v>
      </c>
      <c r="M4" s="37" t="str">
        <f>VLOOKUP(L4,[1]characters!$A:$C,3,FALSE)</f>
        <v>紫式部</v>
      </c>
      <c r="N4" s="63">
        <v>1.2500000000000001E-2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VLOOKUP(L4,tables_521100!B:C,2,FALSE)</f>
        <v>PremiumSS5R5only</v>
      </c>
      <c r="R4" s="62">
        <f t="shared" si="1"/>
        <v>308750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1.5384615384615377E-4</v>
      </c>
      <c r="F5">
        <f>(COUNTIF(tables_521100!C:C,input_521100!A28)+COUNTIF(tables_521100!C:C,input_521100!A29))</f>
        <v>69</v>
      </c>
      <c r="H5" s="84">
        <v>0.05</v>
      </c>
      <c r="I5" s="31">
        <v>4</v>
      </c>
      <c r="L5" s="60">
        <v>465</v>
      </c>
      <c r="M5" s="37" t="str">
        <f>VLOOKUP(L5,[1]characters!$A:$C,3,FALSE)</f>
        <v>真撃 ランスロット</v>
      </c>
      <c r="N5" s="63">
        <f>0.0125*B6</f>
        <v>1.1562500000000002E-2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VLOOKUP(L5,tables_521100!B:C,2,FALSE)</f>
        <v>PremiumSS4</v>
      </c>
      <c r="R5" s="62">
        <f t="shared" si="1"/>
        <v>285593.75000000006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0.92500000000000004</v>
      </c>
      <c r="D6" t="s">
        <v>202</v>
      </c>
      <c r="E6" s="76">
        <f>(B10-H6)/(F6-I6)</f>
        <v>9.8947368421052635E-3</v>
      </c>
      <c r="F6">
        <f>(COUNTIF(tables_521100!C:C,input_521100!A25)+COUNTIF(tables_521100!C:C,input_521100!A18)+COUNTIF(tables_521100!C:C,input_521100!A20)+COUNTIF(tables_521100!C:C,input_521100!A22))</f>
        <v>95</v>
      </c>
      <c r="H6" s="89">
        <v>0</v>
      </c>
      <c r="I6" s="31">
        <v>0</v>
      </c>
      <c r="L6" s="94">
        <v>466</v>
      </c>
      <c r="M6" s="37" t="str">
        <f>VLOOKUP(L6,[1]characters!$A:$C,3,FALSE)</f>
        <v>真断の勇覇 ランスロット</v>
      </c>
      <c r="N6" s="63">
        <f>0.0125*B7</f>
        <v>9.3749999999999997E-4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VLOOKUP(L6,tables_521100!B:C,2,FALSE)</f>
        <v>PremiumSS5</v>
      </c>
      <c r="R6" s="62">
        <f t="shared" si="1"/>
        <v>23156.25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94">
        <v>499</v>
      </c>
      <c r="M7" s="37" t="str">
        <f>VLOOKUP(L7,[1]characters!$A:$C,3,FALSE)</f>
        <v>ラプンツェル</v>
      </c>
      <c r="N7" s="63">
        <f>0.0125*B6</f>
        <v>1.1562500000000002E-2</v>
      </c>
      <c r="O7" s="37">
        <f>VLOOKUP(L7,[1]characters!$A:$I,9,FALSE)</f>
        <v>4</v>
      </c>
      <c r="P7" s="37" t="str">
        <f>VLOOKUP(L7,[1]characters!$A:$J,10,FALSE)</f>
        <v>PremiumSS</v>
      </c>
      <c r="Q7" s="37" t="str">
        <f>VLOOKUP(L7,tables_521100!B:C,2,FALSE)</f>
        <v>PremiumSS4</v>
      </c>
      <c r="R7" s="62">
        <f t="shared" si="1"/>
        <v>285593.75000000006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94">
        <v>500</v>
      </c>
      <c r="M8" s="37" t="str">
        <f>VLOOKUP(L8,[1]characters!$A:$C,3,FALSE)</f>
        <v>脈動の禁髪 ラプンツェル</v>
      </c>
      <c r="N8" s="63">
        <f>0.0125*B7</f>
        <v>9.3749999999999997E-4</v>
      </c>
      <c r="O8" s="37">
        <f>VLOOKUP(L8,[1]characters!$A:$I,9,FALSE)</f>
        <v>5</v>
      </c>
      <c r="P8" s="37" t="str">
        <f>VLOOKUP(L8,[1]characters!$A:$J,10,FALSE)</f>
        <v>PremiumSS</v>
      </c>
      <c r="Q8" s="37" t="str">
        <f>VLOOKUP(L8,tables_521100!B:C,2,FALSE)</f>
        <v>PremiumSS5</v>
      </c>
      <c r="R8" s="62">
        <f t="shared" si="1"/>
        <v>23156.25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VLOOKUP(L9,tables_521100!B:C,2,FALSE)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VLOOKUP(L10,tables_521100!B:C,2,FALSE)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0.06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VLOOKUP(L11,tables_521100!B:C,2,FALSE)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VLOOKUP(L12,tables_521100!B:C,2,FALSE)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2.3125000000000003E-2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VLOOKUP(L13,tables_521100!B:C,2,FALSE)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1.8749999999999999E-3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VLOOKUP(L14,tables_521100!B:C,2,FALSE)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2.5000000000000001E-2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VLOOKUP(L15,tables_521100!B:C,2,FALSE)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VLOOKUP(L16,tables_521100!B:C,2,FALSE)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COUNTIF(tables_521100!C:C,input_521100!A17)-COUNTIF(Q:Q,A17)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VLOOKUP(L17,tables_521100!B:C,2,FALSE)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E18*E6</f>
        <v>0.19789473684210526</v>
      </c>
      <c r="C18" s="85">
        <f t="shared" si="2"/>
        <v>0</v>
      </c>
      <c r="D18" s="74">
        <f t="shared" si="3"/>
        <v>0.19789473684210526</v>
      </c>
      <c r="E18">
        <f>COUNTIF(tables_521100!C:C,input_521100!A18)-COUNTIF(Q:Q,A18)</f>
        <v>20</v>
      </c>
      <c r="F18" s="43">
        <f>IFERROR(B18/E18,0)</f>
        <v>9.8947368421052635E-3</v>
      </c>
      <c r="G18">
        <f t="shared" si="4"/>
        <v>4888000</v>
      </c>
      <c r="H18">
        <f t="shared" si="5"/>
        <v>244400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VLOOKUP(L18,tables_521100!B:C,2,FALSE)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v>0</v>
      </c>
      <c r="C19" s="85">
        <f t="shared" si="2"/>
        <v>0</v>
      </c>
      <c r="D19" s="74">
        <f t="shared" si="3"/>
        <v>0</v>
      </c>
      <c r="E19">
        <f>COUNTIF(tables_521100!C:C,input_521100!A19)-COUNTIF(Q:Q,A19)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VLOOKUP(L19,tables_521100!B:C,2,FALSE)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</f>
        <v>0.47593684210526321</v>
      </c>
      <c r="C20" s="85">
        <f t="shared" si="2"/>
        <v>0</v>
      </c>
      <c r="D20" s="74">
        <f t="shared" si="3"/>
        <v>0.47593684210526321</v>
      </c>
      <c r="E20">
        <f>COUNTIF(tables_521100!C:C,input_521100!A20)-COUNTIF(Q:Q,A20)</f>
        <v>52</v>
      </c>
      <c r="F20" s="43">
        <f t="shared" si="8"/>
        <v>9.1526315789473688E-3</v>
      </c>
      <c r="G20">
        <f t="shared" si="4"/>
        <v>11755640.000000002</v>
      </c>
      <c r="H20">
        <f t="shared" si="5"/>
        <v>226070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VLOOKUP(L20,tables_521100!B:C,2,FALSE)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E21*E6*B7</f>
        <v>3.8589473684210528E-2</v>
      </c>
      <c r="C21" s="85">
        <f t="shared" si="2"/>
        <v>0</v>
      </c>
      <c r="D21" s="74">
        <f t="shared" si="3"/>
        <v>3.8589473684210528E-2</v>
      </c>
      <c r="E21">
        <f>COUNTIF(tables_521100!C:C,input_521100!A21)-COUNTIF(Q:Q,A21)</f>
        <v>52</v>
      </c>
      <c r="F21" s="43">
        <f t="shared" si="8"/>
        <v>7.4210526315789474E-4</v>
      </c>
      <c r="G21">
        <f t="shared" si="4"/>
        <v>953160</v>
      </c>
      <c r="H21">
        <f t="shared" si="5"/>
        <v>18330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0.1739</v>
      </c>
      <c r="C22" s="85">
        <f t="shared" si="2"/>
        <v>0</v>
      </c>
      <c r="D22" s="74">
        <f t="shared" si="3"/>
        <v>0.1739</v>
      </c>
      <c r="E22">
        <f>COUNTIF(tables_521100!C:C,input_521100!A22)-COUNTIF(Q:Q,A22)</f>
        <v>19</v>
      </c>
      <c r="F22" s="43">
        <f t="shared" si="8"/>
        <v>9.1526315789473688E-3</v>
      </c>
      <c r="G22">
        <f t="shared" si="4"/>
        <v>4295330</v>
      </c>
      <c r="H22">
        <f t="shared" si="5"/>
        <v>226070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1.41E-2</v>
      </c>
      <c r="C23" s="85">
        <f t="shared" si="2"/>
        <v>0</v>
      </c>
      <c r="D23" s="74">
        <f t="shared" si="3"/>
        <v>1.41E-2</v>
      </c>
      <c r="E23">
        <f>COUNTIF(tables_521100!C:C,input_521100!A23)-COUNTIF(Q:Q,A23)</f>
        <v>19</v>
      </c>
      <c r="F23" s="43">
        <f t="shared" si="8"/>
        <v>7.4210526315789474E-4</v>
      </c>
      <c r="G23">
        <f t="shared" si="4"/>
        <v>348270</v>
      </c>
      <c r="H23">
        <f t="shared" si="5"/>
        <v>18330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COUNTIF(tables_521100!C:C,input_521100!A24)-COUNTIF(Q:Q,A24)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3.6610526315789475E-2</v>
      </c>
      <c r="C25" s="85">
        <f t="shared" si="2"/>
        <v>0</v>
      </c>
      <c r="D25" s="74">
        <f t="shared" si="3"/>
        <v>3.6610526315789475E-2</v>
      </c>
      <c r="E25">
        <f>COUNTIF(tables_521100!C:C,input_521100!A25)-COUNTIF(Q:Q,A25)</f>
        <v>4</v>
      </c>
      <c r="F25" s="43">
        <f t="shared" si="8"/>
        <v>9.1526315789473688E-3</v>
      </c>
      <c r="G25">
        <f t="shared" si="4"/>
        <v>904280</v>
      </c>
      <c r="H25">
        <f t="shared" si="5"/>
        <v>226070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2.9684210526315789E-3</v>
      </c>
      <c r="C26" s="85">
        <f t="shared" si="2"/>
        <v>0</v>
      </c>
      <c r="D26" s="74">
        <f t="shared" si="3"/>
        <v>2.9684210526315789E-3</v>
      </c>
      <c r="E26">
        <f>COUNTIF(tables_521100!C:C,input_521100!A26)-COUNTIF(Q:Q,A26)</f>
        <v>4</v>
      </c>
      <c r="F26" s="43">
        <f t="shared" si="8"/>
        <v>7.4210526315789474E-4</v>
      </c>
      <c r="G26">
        <f t="shared" si="4"/>
        <v>73320</v>
      </c>
      <c r="H26">
        <f t="shared" si="5"/>
        <v>18330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E$5*E27-B28</f>
        <v>3.6999999999999984E-3</v>
      </c>
      <c r="C27" s="100">
        <f>SUMIF(Q:Q,A27,N:N)</f>
        <v>2.3125000000000003E-2</v>
      </c>
      <c r="D27" s="74">
        <f t="shared" si="3"/>
        <v>-1.9425000000000005E-2</v>
      </c>
      <c r="E27">
        <f>COUNTIF(tables_521100!C:C,input_521100!A27)-COUNTIF(Q:Q,A27)</f>
        <v>26</v>
      </c>
      <c r="F27" s="43">
        <f>IFERROR(B27/E27,0)</f>
        <v>1.4230769230769226E-4</v>
      </c>
      <c r="G27">
        <f t="shared" si="4"/>
        <v>91389.999999999956</v>
      </c>
      <c r="H27">
        <f t="shared" si="5"/>
        <v>3515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2.9999999999999987E-4</v>
      </c>
      <c r="C28" s="100">
        <f t="shared" si="2"/>
        <v>1.8749999999999999E-3</v>
      </c>
      <c r="D28" s="74">
        <f t="shared" si="3"/>
        <v>-1.575E-3</v>
      </c>
      <c r="E28">
        <f>COUNTIF(tables_521100!C:C,input_521100!A28)-COUNTIF(Q:Q,A28)</f>
        <v>26</v>
      </c>
      <c r="F28" s="43">
        <f t="shared" si="8"/>
        <v>1.1538461538461533E-5</v>
      </c>
      <c r="G28">
        <f t="shared" si="4"/>
        <v>7409.9999999999964</v>
      </c>
      <c r="H28">
        <f t="shared" si="5"/>
        <v>285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5.9999999999999967E-3</v>
      </c>
      <c r="C29" s="100">
        <f t="shared" si="2"/>
        <v>2.5000000000000001E-2</v>
      </c>
      <c r="D29" s="74">
        <f t="shared" si="3"/>
        <v>-1.9000000000000003E-2</v>
      </c>
      <c r="E29">
        <f>COUNTIF(tables_521100!C:C,input_521100!A29)-COUNTIF(Q:Q,A29)</f>
        <v>39</v>
      </c>
      <c r="F29" s="43">
        <f t="shared" si="8"/>
        <v>1.5384615384615377E-4</v>
      </c>
      <c r="G29">
        <f t="shared" si="4"/>
        <v>148199.99999999991</v>
      </c>
      <c r="H29">
        <f t="shared" si="5"/>
        <v>3800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COUNTIF(tables_521100!C:C,input_521100!A30)-COUNTIF(Q:Q,A30)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COUNTIF(tables_521100!C:C,input_521100!A31)-COUNTIF(Q:Q,A31)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0.95000000000000007</v>
      </c>
      <c r="C32" s="41">
        <f>SUM(C19:C31)</f>
        <v>0.05</v>
      </c>
      <c r="D32" s="42">
        <f t="shared" si="3"/>
        <v>0.9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</row>
    <row r="35" spans="1:7" x14ac:dyDescent="0.15">
      <c r="A35" t="s">
        <v>73</v>
      </c>
    </row>
    <row r="36" spans="1:7" x14ac:dyDescent="0.15">
      <c r="A36" s="31">
        <f>LCM(F5-I5,F6-I6)*1000*2*2*5</f>
        <v>24700000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SUMIF(tables_521100!C:C,input_521100!A40,tables_521100!O:O)</f>
        <v>0</v>
      </c>
      <c r="C40" s="54">
        <f t="shared" ref="C40:C46" ca="1" si="9">B40/B$47</f>
        <v>0</v>
      </c>
      <c r="E40">
        <v>3</v>
      </c>
      <c r="F40">
        <f ca="1">SUMIF(tables_521100!J:J,input_521100!E40,tables_521100!O:O)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SUMIF(tables_521100!C:C,input_521100!A41,tables_521100!O:O)</f>
        <v>11755640</v>
      </c>
      <c r="C41" s="54">
        <f t="shared" ca="1" si="9"/>
        <v>0.87564636390045514</v>
      </c>
      <c r="E41">
        <v>4</v>
      </c>
      <c r="F41">
        <f ca="1">SUMIF(tables_521100!J:J,input_521100!E41,tables_521100!O:O)</f>
        <v>22505827.5</v>
      </c>
      <c r="G41">
        <f ca="1">F41/A36</f>
        <v>0.91116710526315792</v>
      </c>
    </row>
    <row r="42" spans="1:7" x14ac:dyDescent="0.15">
      <c r="A42" s="33" t="s">
        <v>106</v>
      </c>
      <c r="B42">
        <f ca="1">SUMIF(tables_521100!C:C,input_521100!A42,tables_521100!O:O)</f>
        <v>662577.50000000012</v>
      </c>
      <c r="C42" s="54">
        <f t="shared" ca="1" si="9"/>
        <v>4.9353636099544893E-2</v>
      </c>
      <c r="E42">
        <v>5</v>
      </c>
      <c r="F42">
        <f ca="1">SUMIF(tables_521100!J:J,input_521100!E42,tables_521100!O:O)</f>
        <v>2194172.5</v>
      </c>
      <c r="G42">
        <f ca="1">F42/A36</f>
        <v>8.8832894736842111E-2</v>
      </c>
    </row>
    <row r="43" spans="1:7" x14ac:dyDescent="0.15">
      <c r="A43" s="33" t="s">
        <v>109</v>
      </c>
      <c r="B43">
        <f>SUMIF(tables_521100!C:C,input_521100!A43,tables_521100!O:O)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SUMIF(tables_521100!C:C,input_521100!A44,tables_521100!O:O)</f>
        <v>953160</v>
      </c>
      <c r="C44" s="54">
        <f t="shared" ca="1" si="9"/>
        <v>7.0998353829766631E-2</v>
      </c>
      <c r="E44" t="s">
        <v>54</v>
      </c>
      <c r="F44" s="55"/>
    </row>
    <row r="45" spans="1:7" x14ac:dyDescent="0.15">
      <c r="A45" s="33" t="s">
        <v>107</v>
      </c>
      <c r="B45">
        <f ca="1">SUMIF(tables_521100!C:C,input_521100!A45,tables_521100!O:O)</f>
        <v>53722.5</v>
      </c>
      <c r="C45" s="54">
        <f t="shared" ca="1" si="9"/>
        <v>4.0016461702333693E-3</v>
      </c>
      <c r="E45" t="s">
        <v>204</v>
      </c>
      <c r="F45" s="55">
        <f ca="1">SUMIF(tables_521100!I:I,input_521100!E45,tables_521100!P:P)</f>
        <v>0.19789473684210526</v>
      </c>
    </row>
    <row r="46" spans="1:7" x14ac:dyDescent="0.15">
      <c r="A46" s="33" t="s">
        <v>108</v>
      </c>
      <c r="B46">
        <f>SUMIF(tables_521100!C:C,input_521100!A46,tables_521100!O:O)</f>
        <v>0</v>
      </c>
      <c r="C46" s="54">
        <f t="shared" ca="1" si="9"/>
        <v>0</v>
      </c>
      <c r="E46" t="s">
        <v>205</v>
      </c>
      <c r="F46" s="55">
        <f ca="1">SUMIF(tables_521100!I:I,input_521100!E46,tables_521100!P:P)</f>
        <v>0.19789473684210526</v>
      </c>
    </row>
    <row r="47" spans="1:7" x14ac:dyDescent="0.15">
      <c r="A47" s="39" t="s">
        <v>59</v>
      </c>
      <c r="B47">
        <f ca="1">SUM(B40:B46)</f>
        <v>13425100</v>
      </c>
      <c r="C47" s="55">
        <f ca="1">SUM(C40:C46)</f>
        <v>1</v>
      </c>
      <c r="E47" t="s">
        <v>206</v>
      </c>
      <c r="F47" s="55">
        <f ca="1">SUMIF(tables_521100!I:I,input_521100!E47,tables_521100!P:P)</f>
        <v>0.54421052631578881</v>
      </c>
    </row>
    <row r="48" spans="1:7" x14ac:dyDescent="0.15">
      <c r="E48" t="s">
        <v>207</v>
      </c>
      <c r="F48" s="55">
        <f ca="1">SUMIF(tables_521100!I:I,input_521100!E48,tables_521100!P:P)</f>
        <v>5.8769230769230865E-2</v>
      </c>
      <c r="G48" s="55">
        <v>1.7592594443157793E-4</v>
      </c>
    </row>
    <row r="49" spans="7:7" x14ac:dyDescent="0.15">
      <c r="G49" s="55">
        <v>5.6481481664584488E-4</v>
      </c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4"/>
  <sheetViews>
    <sheetView showGridLines="0" zoomScale="75" zoomScaleNormal="75" zoomScalePageLayoutView="75" workbookViewId="0">
      <pane ySplit="1" topLeftCell="A167" activePane="bottomLeft" state="frozen"/>
      <selection activeCell="D34" sqref="D34"/>
      <selection pane="bottomLeft" activeCell="B189" sqref="B18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input_521100!A$2</f>
        <v>521100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IFERROR(VLOOKUP(B2,input_521100!L:R,7,FALSE),VLOOKUP(tables_521100!C2,input_521100!A:H,8,FALSE))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input_521100!A$2</f>
        <v>521100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IFERROR(VLOOKUP(B3,input_521100!L:R,7,FALSE),VLOOKUP(tables_521100!C3,input_521100!A:H,8,FALSE))</f>
        <v>244400</v>
      </c>
      <c r="P3" s="46">
        <f t="shared" ca="1" si="1"/>
        <v>9.8947368421052635E-3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input_521100!A$2</f>
        <v>521100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IFERROR(VLOOKUP(B4,input_521100!L:R,7,FALSE),VLOOKUP(tables_521100!C4,input_521100!A:H,8,FALSE))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input_521100!A$2</f>
        <v>521100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IFERROR(VLOOKUP(B5,input_521100!L:R,7,FALSE),VLOOKUP(tables_521100!C5,input_521100!A:H,8,FALSE))</f>
        <v>244400</v>
      </c>
      <c r="P5" s="46">
        <f t="shared" ca="1" si="1"/>
        <v>9.8947368421052635E-3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input_521100!A$2</f>
        <v>521100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IFERROR(VLOOKUP(B6,input_521100!L:R,7,FALSE),VLOOKUP(tables_521100!C6,input_521100!A:H,8,FALSE))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input_521100!A$2</f>
        <v>521100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IFERROR(VLOOKUP(B7,input_521100!L:R,7,FALSE),VLOOKUP(tables_521100!C7,input_521100!A:H,8,FALSE))</f>
        <v>244400</v>
      </c>
      <c r="P7" s="46">
        <f t="shared" ca="1" si="1"/>
        <v>9.8947368421052635E-3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input_521100!A$2</f>
        <v>521100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IFERROR(VLOOKUP(B8,input_521100!L:R,7,FALSE),VLOOKUP(tables_521100!C8,input_521100!A:H,8,FALSE))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input_521100!A$2</f>
        <v>521100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IFERROR(VLOOKUP(B9,input_521100!L:R,7,FALSE),VLOOKUP(tables_521100!C9,input_521100!A:H,8,FALSE))</f>
        <v>244400</v>
      </c>
      <c r="P9" s="46">
        <f t="shared" ca="1" si="1"/>
        <v>9.8947368421052635E-3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input_521100!A$2</f>
        <v>521100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IFERROR(VLOOKUP(B10,input_521100!L:R,7,FALSE),VLOOKUP(tables_521100!C10,input_521100!A:H,8,FALSE))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input_521100!A$2</f>
        <v>521100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IFERROR(VLOOKUP(B11,input_521100!L:R,7,FALSE),VLOOKUP(tables_521100!C11,input_521100!A:H,8,FALSE))</f>
        <v>244400</v>
      </c>
      <c r="P11" s="46">
        <f t="shared" ca="1" si="1"/>
        <v>9.8947368421052635E-3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input_521100!A$2</f>
        <v>521100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IFERROR(VLOOKUP(B12,input_521100!L:R,7,FALSE),VLOOKUP(tables_521100!C12,input_521100!A:H,8,FALSE))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input_521100!A$2</f>
        <v>521100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IFERROR(VLOOKUP(B13,input_521100!L:R,7,FALSE),VLOOKUP(tables_521100!C13,input_521100!A:H,8,FALSE))</f>
        <v>244400</v>
      </c>
      <c r="P13" s="46">
        <f t="shared" ca="1" si="1"/>
        <v>9.8947368421052635E-3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input_521100!A$2</f>
        <v>521100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IFERROR(VLOOKUP(B14,input_521100!L:R,7,FALSE),VLOOKUP(tables_521100!C14,input_521100!A:H,8,FALSE))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input_521100!A$2</f>
        <v>521100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IFERROR(VLOOKUP(B15,input_521100!L:R,7,FALSE),VLOOKUP(tables_521100!C15,input_521100!A:H,8,FALSE))</f>
        <v>244400</v>
      </c>
      <c r="P15" s="46">
        <f t="shared" ca="1" si="1"/>
        <v>9.8947368421052635E-3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input_521100!A$2</f>
        <v>521100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IFERROR(VLOOKUP(B16,input_521100!L:R,7,FALSE),VLOOKUP(tables_521100!C16,input_521100!A:H,8,FALSE))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input_521100!A$2</f>
        <v>521100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IFERROR(VLOOKUP(B17,input_521100!L:R,7,FALSE),VLOOKUP(tables_521100!C17,input_521100!A:H,8,FALSE))</f>
        <v>244400</v>
      </c>
      <c r="P17" s="46">
        <f t="shared" ca="1" si="1"/>
        <v>9.8947368421052635E-3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input_521100!A$2</f>
        <v>521100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IFERROR(VLOOKUP(B18,input_521100!L:R,7,FALSE),VLOOKUP(tables_521100!C18,input_521100!A:H,8,FALSE))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input_521100!A$2</f>
        <v>521100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IFERROR(VLOOKUP(B19,input_521100!L:R,7,FALSE),VLOOKUP(tables_521100!C19,input_521100!A:H,8,FALSE))</f>
        <v>244400</v>
      </c>
      <c r="P19" s="46">
        <f t="shared" ca="1" si="1"/>
        <v>9.8947368421052635E-3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input_521100!A$2</f>
        <v>521100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IFERROR(VLOOKUP(B20,input_521100!L:R,7,FALSE),VLOOKUP(tables_521100!C20,input_521100!A:H,8,FALSE))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input_521100!A$2</f>
        <v>521100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IFERROR(VLOOKUP(B21,input_521100!L:R,7,FALSE),VLOOKUP(tables_521100!C21,input_521100!A:H,8,FALSE))</f>
        <v>244400</v>
      </c>
      <c r="P21" s="46">
        <f t="shared" ca="1" si="1"/>
        <v>9.8947368421052635E-3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input_521100!A$2</f>
        <v>521100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IFERROR(VLOOKUP(B22,input_521100!L:R,7,FALSE),VLOOKUP(tables_521100!C22,input_521100!A:H,8,FALSE))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input_521100!A$2</f>
        <v>521100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IFERROR(VLOOKUP(B23,input_521100!L:R,7,FALSE),VLOOKUP(tables_521100!C23,input_521100!A:H,8,FALSE))</f>
        <v>244400</v>
      </c>
      <c r="P23" s="46">
        <f t="shared" ca="1" si="1"/>
        <v>9.8947368421052635E-3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input_521100!A$2</f>
        <v>521100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IFERROR(VLOOKUP(B24,input_521100!L:R,7,FALSE),VLOOKUP(tables_521100!C24,input_521100!A:H,8,FALSE))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input_521100!A$2</f>
        <v>521100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IFERROR(VLOOKUP(B25,input_521100!L:R,7,FALSE),VLOOKUP(tables_521100!C25,input_521100!A:H,8,FALSE))</f>
        <v>244400</v>
      </c>
      <c r="P25" s="46">
        <f t="shared" ca="1" si="1"/>
        <v>9.8947368421052635E-3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input_521100!A$2</f>
        <v>521100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IFERROR(VLOOKUP(B26,input_521100!L:R,7,FALSE),VLOOKUP(tables_521100!C26,input_521100!A:H,8,FALSE))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input_521100!A$2</f>
        <v>521100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IFERROR(VLOOKUP(B27,input_521100!L:R,7,FALSE),VLOOKUP(tables_521100!C27,input_521100!A:H,8,FALSE))</f>
        <v>244400</v>
      </c>
      <c r="P27" s="46">
        <f t="shared" ca="1" si="1"/>
        <v>9.8947368421052635E-3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input_521100!A$2</f>
        <v>521100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IFERROR(VLOOKUP(B28,input_521100!L:R,7,FALSE),VLOOKUP(tables_521100!C28,input_521100!A:H,8,FALSE))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input_521100!A$2</f>
        <v>521100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IFERROR(VLOOKUP(B29,input_521100!L:R,7,FALSE),VLOOKUP(tables_521100!C29,input_521100!A:H,8,FALSE))</f>
        <v>244400</v>
      </c>
      <c r="P29" s="46">
        <f t="shared" ca="1" si="1"/>
        <v>9.8947368421052635E-3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input_521100!A$2</f>
        <v>521100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IFERROR(VLOOKUP(B30,input_521100!L:R,7,FALSE),VLOOKUP(tables_521100!C30,input_521100!A:H,8,FALSE))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input_521100!A$2</f>
        <v>521100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IFERROR(VLOOKUP(B31,input_521100!L:R,7,FALSE),VLOOKUP(tables_521100!C31,input_521100!A:H,8,FALSE))</f>
        <v>244400</v>
      </c>
      <c r="P31" s="46">
        <f t="shared" ca="1" si="1"/>
        <v>9.8947368421052635E-3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input_521100!A$2</f>
        <v>521100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IFERROR(VLOOKUP(B32,input_521100!L:R,7,FALSE),VLOOKUP(tables_521100!C32,input_521100!A:H,8,FALSE))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input_521100!A$2</f>
        <v>521100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IFERROR(VLOOKUP(B33,input_521100!L:R,7,FALSE),VLOOKUP(tables_521100!C33,input_521100!A:H,8,FALSE))</f>
        <v>244400</v>
      </c>
      <c r="P33" s="46">
        <f t="shared" ca="1" si="1"/>
        <v>9.8947368421052635E-3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input_521100!A$2</f>
        <v>521100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IFERROR(VLOOKUP(B34,input_521100!L:R,7,FALSE),VLOOKUP(tables_521100!C34,input_521100!A:H,8,FALSE))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input_521100!A$2</f>
        <v>521100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IFERROR(VLOOKUP(B35,input_521100!L:R,7,FALSE),VLOOKUP(tables_521100!C35,input_521100!A:H,8,FALSE))</f>
        <v>244400</v>
      </c>
      <c r="P35" s="46">
        <f t="shared" ca="1" si="1"/>
        <v>9.8947368421052635E-3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input_521100!A$2</f>
        <v>521100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IFERROR(VLOOKUP(B36,input_521100!L:R,7,FALSE),VLOOKUP(tables_521100!C36,input_521100!A:H,8,FALSE))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input_521100!A$2</f>
        <v>521100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IFERROR(VLOOKUP(B37,input_521100!L:R,7,FALSE),VLOOKUP(tables_521100!C37,input_521100!A:H,8,FALSE))</f>
        <v>244400</v>
      </c>
      <c r="P37" s="46">
        <f t="shared" ca="1" si="1"/>
        <v>9.8947368421052635E-3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input_521100!A$2</f>
        <v>521100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IFERROR(VLOOKUP(B38,input_521100!L:R,7,FALSE),VLOOKUP(tables_521100!C38,input_521100!A:H,8,FALSE))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input_521100!A$2</f>
        <v>521100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IFERROR(VLOOKUP(B39,input_521100!L:R,7,FALSE),VLOOKUP(tables_521100!C39,input_521100!A:H,8,FALSE))</f>
        <v>244400</v>
      </c>
      <c r="P39" s="46">
        <f t="shared" ca="1" si="1"/>
        <v>9.8947368421052635E-3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input_521100!A$2</f>
        <v>521100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IFERROR(VLOOKUP(B40,input_521100!L:R,7,FALSE),VLOOKUP(tables_521100!C40,input_521100!A:H,8,FALSE))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input_521100!A$2</f>
        <v>521100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IFERROR(VLOOKUP(B41,input_521100!L:R,7,FALSE),VLOOKUP(tables_521100!C41,input_521100!A:H,8,FALSE))</f>
        <v>244400</v>
      </c>
      <c r="P41" s="46">
        <f t="shared" ca="1" si="1"/>
        <v>9.8947368421052635E-3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input_521100!A$2</f>
        <v>521100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IFERROR(VLOOKUP(B42,input_521100!L:R,7,FALSE),VLOOKUP(tables_521100!C42,input_521100!A:H,8,FALSE))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input_521100!A$2</f>
        <v>521100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IFERROR(VLOOKUP(B43,input_521100!L:R,7,FALSE),VLOOKUP(tables_521100!C43,input_521100!A:H,8,FALSE))</f>
        <v>226070</v>
      </c>
      <c r="P43" s="46">
        <f t="shared" ca="1" si="1"/>
        <v>9.1526315789473688E-3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input_521100!A$2</f>
        <v>521100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IFERROR(VLOOKUP(B44,input_521100!L:R,7,FALSE),VLOOKUP(tables_521100!C44,input_521100!A:H,8,FALSE))</f>
        <v>18330</v>
      </c>
      <c r="P44" s="46">
        <f t="shared" ca="1" si="1"/>
        <v>7.4210526315789474E-4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input_521100!A$2</f>
        <v>521100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IFERROR(VLOOKUP(B45,input_521100!L:R,7,FALSE),VLOOKUP(tables_521100!C45,input_521100!A:H,8,FALSE))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input_521100!A$2</f>
        <v>521100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IFERROR(VLOOKUP(B46,input_521100!L:R,7,FALSE),VLOOKUP(tables_521100!C46,input_521100!A:H,8,FALSE))</f>
        <v>226070</v>
      </c>
      <c r="P46" s="46">
        <f t="shared" ca="1" si="1"/>
        <v>9.1526315789473688E-3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input_521100!A$2</f>
        <v>521100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IFERROR(VLOOKUP(B47,input_521100!L:R,7,FALSE),VLOOKUP(tables_521100!C47,input_521100!A:H,8,FALSE))</f>
        <v>18330</v>
      </c>
      <c r="P47" s="46">
        <f t="shared" ca="1" si="1"/>
        <v>7.4210526315789474E-4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input_521100!A$2</f>
        <v>521100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IFERROR(VLOOKUP(B48,input_521100!L:R,7,FALSE),VLOOKUP(tables_521100!C48,input_521100!A:H,8,FALSE))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input_521100!A$2</f>
        <v>521100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IFERROR(VLOOKUP(B49,input_521100!L:R,7,FALSE),VLOOKUP(tables_521100!C49,input_521100!A:H,8,FALSE))</f>
        <v>226070</v>
      </c>
      <c r="P49" s="46">
        <f t="shared" ca="1" si="1"/>
        <v>9.1526315789473688E-3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input_521100!A$2</f>
        <v>521100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IFERROR(VLOOKUP(B50,input_521100!L:R,7,FALSE),VLOOKUP(tables_521100!C50,input_521100!A:H,8,FALSE))</f>
        <v>18330</v>
      </c>
      <c r="P50" s="46">
        <f t="shared" ca="1" si="1"/>
        <v>7.4210526315789474E-4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input_521100!A$2</f>
        <v>521100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IFERROR(VLOOKUP(B51,input_521100!L:R,7,FALSE),VLOOKUP(tables_521100!C51,input_521100!A:H,8,FALSE))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input_521100!A$2</f>
        <v>521100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IFERROR(VLOOKUP(B52,input_521100!L:R,7,FALSE),VLOOKUP(tables_521100!C52,input_521100!A:H,8,FALSE))</f>
        <v>226070</v>
      </c>
      <c r="P52" s="46">
        <f t="shared" ca="1" si="1"/>
        <v>9.1526315789473688E-3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input_521100!A$2</f>
        <v>521100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IFERROR(VLOOKUP(B53,input_521100!L:R,7,FALSE),VLOOKUP(tables_521100!C53,input_521100!A:H,8,FALSE))</f>
        <v>18330</v>
      </c>
      <c r="P53" s="46">
        <f t="shared" ca="1" si="1"/>
        <v>7.4210526315789474E-4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input_521100!A$2</f>
        <v>521100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IFERROR(VLOOKUP(B54,input_521100!L:R,7,FALSE),VLOOKUP(tables_521100!C54,input_521100!A:H,8,FALSE))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input_521100!A$2</f>
        <v>521100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IFERROR(VLOOKUP(B55,input_521100!L:R,7,FALSE),VLOOKUP(tables_521100!C55,input_521100!A:H,8,FALSE))</f>
        <v>226070</v>
      </c>
      <c r="P55" s="46">
        <f t="shared" ca="1" si="1"/>
        <v>9.1526315789473688E-3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input_521100!A$2</f>
        <v>521100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IFERROR(VLOOKUP(B56,input_521100!L:R,7,FALSE),VLOOKUP(tables_521100!C56,input_521100!A:H,8,FALSE))</f>
        <v>18330</v>
      </c>
      <c r="P56" s="46">
        <f t="shared" ca="1" si="1"/>
        <v>7.4210526315789474E-4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input_521100!A$2</f>
        <v>521100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IFERROR(VLOOKUP(B57,input_521100!L:R,7,FALSE),VLOOKUP(tables_521100!C57,input_521100!A:H,8,FALSE))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input_521100!A$2</f>
        <v>521100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IFERROR(VLOOKUP(B58,input_521100!L:R,7,FALSE),VLOOKUP(tables_521100!C58,input_521100!A:H,8,FALSE))</f>
        <v>226070</v>
      </c>
      <c r="P58" s="46">
        <f t="shared" ca="1" si="1"/>
        <v>9.1526315789473688E-3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input_521100!A$2</f>
        <v>521100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IFERROR(VLOOKUP(B59,input_521100!L:R,7,FALSE),VLOOKUP(tables_521100!C59,input_521100!A:H,8,FALSE))</f>
        <v>18330</v>
      </c>
      <c r="P59" s="46">
        <f t="shared" ca="1" si="1"/>
        <v>7.4210526315789474E-4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input_521100!A$2</f>
        <v>521100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IFERROR(VLOOKUP(B60,input_521100!L:R,7,FALSE),VLOOKUP(tables_521100!C60,input_521100!A:H,8,FALSE))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input_521100!A$2</f>
        <v>521100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IFERROR(VLOOKUP(B61,input_521100!L:R,7,FALSE),VLOOKUP(tables_521100!C61,input_521100!A:H,8,FALSE))</f>
        <v>226070</v>
      </c>
      <c r="P61" s="46">
        <f t="shared" ca="1" si="1"/>
        <v>9.1526315789473688E-3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input_521100!A$2</f>
        <v>521100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IFERROR(VLOOKUP(B62,input_521100!L:R,7,FALSE),VLOOKUP(tables_521100!C62,input_521100!A:H,8,FALSE))</f>
        <v>18330</v>
      </c>
      <c r="P62" s="46">
        <f t="shared" ca="1" si="1"/>
        <v>7.4210526315789474E-4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input_521100!A$2</f>
        <v>521100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IFERROR(VLOOKUP(B63,input_521100!L:R,7,FALSE),VLOOKUP(tables_521100!C63,input_521100!A:H,8,FALSE))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input_521100!A$2</f>
        <v>521100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IFERROR(VLOOKUP(B64,input_521100!L:R,7,FALSE),VLOOKUP(tables_521100!C64,input_521100!A:H,8,FALSE))</f>
        <v>226070</v>
      </c>
      <c r="P64" s="46">
        <f t="shared" ca="1" si="1"/>
        <v>9.1526315789473688E-3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input_521100!A$2</f>
        <v>521100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IFERROR(VLOOKUP(B65,input_521100!L:R,7,FALSE),VLOOKUP(tables_521100!C65,input_521100!A:H,8,FALSE))</f>
        <v>18330</v>
      </c>
      <c r="P65" s="46">
        <f t="shared" ca="1" si="1"/>
        <v>7.4210526315789474E-4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input_521100!A$2</f>
        <v>521100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IFERROR(VLOOKUP(B66,input_521100!L:R,7,FALSE),VLOOKUP(tables_521100!C66,input_521100!A:H,8,FALSE))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input_521100!A$2</f>
        <v>521100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IFERROR(VLOOKUP(B67,input_521100!L:R,7,FALSE),VLOOKUP(tables_521100!C67,input_521100!A:H,8,FALSE))</f>
        <v>226070</v>
      </c>
      <c r="P67" s="46">
        <f t="shared" ca="1" si="4"/>
        <v>9.1526315789473688E-3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input_521100!A$2</f>
        <v>521100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IFERROR(VLOOKUP(B68,input_521100!L:R,7,FALSE),VLOOKUP(tables_521100!C68,input_521100!A:H,8,FALSE))</f>
        <v>18330</v>
      </c>
      <c r="P68" s="46">
        <f t="shared" ca="1" si="4"/>
        <v>7.4210526315789474E-4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input_521100!A$2</f>
        <v>521100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IFERROR(VLOOKUP(B69,input_521100!L:R,7,FALSE),VLOOKUP(tables_521100!C69,input_521100!A:H,8,FALSE))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input_521100!A$2</f>
        <v>521100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IFERROR(VLOOKUP(B70,input_521100!L:R,7,FALSE),VLOOKUP(tables_521100!C70,input_521100!A:H,8,FALSE))</f>
        <v>226070</v>
      </c>
      <c r="P70" s="46">
        <f t="shared" ca="1" si="4"/>
        <v>9.1526315789473688E-3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input_521100!A$2</f>
        <v>521100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IFERROR(VLOOKUP(B71,input_521100!L:R,7,FALSE),VLOOKUP(tables_521100!C71,input_521100!A:H,8,FALSE))</f>
        <v>18330</v>
      </c>
      <c r="P71" s="46">
        <f t="shared" ca="1" si="4"/>
        <v>7.4210526315789474E-4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input_521100!A$2</f>
        <v>521100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IFERROR(VLOOKUP(B72,input_521100!L:R,7,FALSE),VLOOKUP(tables_521100!C72,input_521100!A:H,8,FALSE))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input_521100!A$2</f>
        <v>521100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IFERROR(VLOOKUP(B73,input_521100!L:R,7,FALSE),VLOOKUP(tables_521100!C73,input_521100!A:H,8,FALSE))</f>
        <v>226070</v>
      </c>
      <c r="P73" s="46">
        <f t="shared" ca="1" si="4"/>
        <v>9.1526315789473688E-3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input_521100!A$2</f>
        <v>521100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IFERROR(VLOOKUP(B74,input_521100!L:R,7,FALSE),VLOOKUP(tables_521100!C74,input_521100!A:H,8,FALSE))</f>
        <v>18330</v>
      </c>
      <c r="P74" s="46">
        <f t="shared" ca="1" si="4"/>
        <v>7.4210526315789474E-4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input_521100!A$2</f>
        <v>521100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IFERROR(VLOOKUP(B75,input_521100!L:R,7,FALSE),VLOOKUP(tables_521100!C75,input_521100!A:H,8,FALSE))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input_521100!A$2</f>
        <v>521100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IFERROR(VLOOKUP(B76,input_521100!L:R,7,FALSE),VLOOKUP(tables_521100!C76,input_521100!A:H,8,FALSE))</f>
        <v>226070</v>
      </c>
      <c r="P76" s="46">
        <f t="shared" ca="1" si="4"/>
        <v>9.1526315789473688E-3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input_521100!A$2</f>
        <v>521100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IFERROR(VLOOKUP(B77,input_521100!L:R,7,FALSE),VLOOKUP(tables_521100!C77,input_521100!A:H,8,FALSE))</f>
        <v>18330</v>
      </c>
      <c r="P77" s="46">
        <f t="shared" ca="1" si="4"/>
        <v>7.4210526315789474E-4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input_521100!A$2</f>
        <v>521100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IFERROR(VLOOKUP(B78,input_521100!L:R,7,FALSE),VLOOKUP(tables_521100!C78,input_521100!A:H,8,FALSE))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input_521100!A$2</f>
        <v>521100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IFERROR(VLOOKUP(B79,input_521100!L:R,7,FALSE),VLOOKUP(tables_521100!C79,input_521100!A:H,8,FALSE))</f>
        <v>226070</v>
      </c>
      <c r="P79" s="46">
        <f t="shared" ca="1" si="4"/>
        <v>9.1526315789473688E-3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input_521100!A$2</f>
        <v>521100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IFERROR(VLOOKUP(B80,input_521100!L:R,7,FALSE),VLOOKUP(tables_521100!C80,input_521100!A:H,8,FALSE))</f>
        <v>18330</v>
      </c>
      <c r="P80" s="46">
        <f t="shared" ca="1" si="4"/>
        <v>7.4210526315789474E-4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input_521100!A$2</f>
        <v>521100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IFERROR(VLOOKUP(B81,input_521100!L:R,7,FALSE),VLOOKUP(tables_521100!C81,input_521100!A:H,8,FALSE))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input_521100!A$2</f>
        <v>521100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IFERROR(VLOOKUP(B82,input_521100!L:R,7,FALSE),VLOOKUP(tables_521100!C82,input_521100!A:H,8,FALSE))</f>
        <v>226070</v>
      </c>
      <c r="P82" s="46">
        <f t="shared" ca="1" si="4"/>
        <v>9.1526315789473688E-3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input_521100!A$2</f>
        <v>521100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IFERROR(VLOOKUP(B83,input_521100!L:R,7,FALSE),VLOOKUP(tables_521100!C83,input_521100!A:H,8,FALSE))</f>
        <v>18330</v>
      </c>
      <c r="P83" s="46">
        <f t="shared" ca="1" si="4"/>
        <v>7.4210526315789474E-4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input_521100!A$2</f>
        <v>521100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IFERROR(VLOOKUP(B84,input_521100!L:R,7,FALSE),VLOOKUP(tables_521100!C84,input_521100!A:H,8,FALSE))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input_521100!A$2</f>
        <v>521100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IFERROR(VLOOKUP(B85,input_521100!L:R,7,FALSE),VLOOKUP(tables_521100!C85,input_521100!A:H,8,FALSE))</f>
        <v>226070</v>
      </c>
      <c r="P85" s="46">
        <f t="shared" ca="1" si="4"/>
        <v>9.1526315789473688E-3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input_521100!A$2</f>
        <v>521100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IFERROR(VLOOKUP(B86,input_521100!L:R,7,FALSE),VLOOKUP(tables_521100!C86,input_521100!A:H,8,FALSE))</f>
        <v>18330</v>
      </c>
      <c r="P86" s="46">
        <f t="shared" ca="1" si="4"/>
        <v>7.4210526315789474E-4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input_521100!A$2</f>
        <v>521100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IFERROR(VLOOKUP(B87,input_521100!L:R,7,FALSE),VLOOKUP(tables_521100!C87,input_521100!A:H,8,FALSE))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input_521100!A$2</f>
        <v>521100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IFERROR(VLOOKUP(B88,input_521100!L:R,7,FALSE),VLOOKUP(tables_521100!C88,input_521100!A:H,8,FALSE))</f>
        <v>226070</v>
      </c>
      <c r="P88" s="46">
        <f t="shared" ca="1" si="4"/>
        <v>9.1526315789473688E-3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input_521100!A$2</f>
        <v>521100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IFERROR(VLOOKUP(B89,input_521100!L:R,7,FALSE),VLOOKUP(tables_521100!C89,input_521100!A:H,8,FALSE))</f>
        <v>18330</v>
      </c>
      <c r="P89" s="46">
        <f t="shared" ca="1" si="4"/>
        <v>7.4210526315789474E-4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input_521100!A$2</f>
        <v>521100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IFERROR(VLOOKUP(B90,input_521100!L:R,7,FALSE),VLOOKUP(tables_521100!C90,input_521100!A:H,8,FALSE))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input_521100!A$2</f>
        <v>521100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IFERROR(VLOOKUP(B91,input_521100!L:R,7,FALSE),VLOOKUP(tables_521100!C91,input_521100!A:H,8,FALSE))</f>
        <v>226070</v>
      </c>
      <c r="P91" s="46">
        <f t="shared" ca="1" si="4"/>
        <v>9.1526315789473688E-3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input_521100!A$2</f>
        <v>521100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IFERROR(VLOOKUP(B92,input_521100!L:R,7,FALSE),VLOOKUP(tables_521100!C92,input_521100!A:H,8,FALSE))</f>
        <v>18330</v>
      </c>
      <c r="P92" s="46">
        <f t="shared" ca="1" si="4"/>
        <v>7.4210526315789474E-4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input_521100!A$2</f>
        <v>521100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IFERROR(VLOOKUP(B93,input_521100!L:R,7,FALSE),VLOOKUP(tables_521100!C93,input_521100!A:H,8,FALSE))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input_521100!A$2</f>
        <v>521100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IFERROR(VLOOKUP(B94,input_521100!L:R,7,FALSE),VLOOKUP(tables_521100!C94,input_521100!A:H,8,FALSE))</f>
        <v>226070</v>
      </c>
      <c r="P94" s="46">
        <f t="shared" ca="1" si="4"/>
        <v>9.1526315789473688E-3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input_521100!A$2</f>
        <v>521100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IFERROR(VLOOKUP(B95,input_521100!L:R,7,FALSE),VLOOKUP(tables_521100!C95,input_521100!A:H,8,FALSE))</f>
        <v>18330</v>
      </c>
      <c r="P95" s="46">
        <f t="shared" ca="1" si="4"/>
        <v>7.4210526315789474E-4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input_521100!A$2</f>
        <v>521100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IFERROR(VLOOKUP(B96,input_521100!L:R,7,FALSE),VLOOKUP(tables_521100!C96,input_521100!A:H,8,FALSE))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input_521100!A$2</f>
        <v>521100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IFERROR(VLOOKUP(B97,input_521100!L:R,7,FALSE),VLOOKUP(tables_521100!C97,input_521100!A:H,8,FALSE))</f>
        <v>226070</v>
      </c>
      <c r="P97" s="46">
        <f t="shared" ca="1" si="4"/>
        <v>9.1526315789473688E-3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input_521100!A$2</f>
        <v>521100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IFERROR(VLOOKUP(B98,input_521100!L:R,7,FALSE),VLOOKUP(tables_521100!C98,input_521100!A:H,8,FALSE))</f>
        <v>18330</v>
      </c>
      <c r="P98" s="46">
        <f t="shared" ca="1" si="4"/>
        <v>7.4210526315789474E-4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input_521100!A$2</f>
        <v>521100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IFERROR(VLOOKUP(B99,input_521100!L:R,7,FALSE),VLOOKUP(tables_521100!C99,input_521100!A:H,8,FALSE))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input_521100!A$2</f>
        <v>521100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IFERROR(VLOOKUP(B100,input_521100!L:R,7,FALSE),VLOOKUP(tables_521100!C100,input_521100!A:H,8,FALSE))</f>
        <v>226070</v>
      </c>
      <c r="P100" s="46">
        <f t="shared" ca="1" si="4"/>
        <v>9.1526315789473688E-3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input_521100!A$2</f>
        <v>521100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IFERROR(VLOOKUP(B101,input_521100!L:R,7,FALSE),VLOOKUP(tables_521100!C101,input_521100!A:H,8,FALSE))</f>
        <v>18330</v>
      </c>
      <c r="P101" s="46">
        <f t="shared" ca="1" si="4"/>
        <v>7.4210526315789474E-4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input_521100!A$2</f>
        <v>521100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IFERROR(VLOOKUP(B102,input_521100!L:R,7,FALSE),VLOOKUP(tables_521100!C102,input_521100!A:H,8,FALSE))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input_521100!A$2</f>
        <v>521100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IFERROR(VLOOKUP(B103,input_521100!L:R,7,FALSE),VLOOKUP(tables_521100!C103,input_521100!A:H,8,FALSE))</f>
        <v>226070</v>
      </c>
      <c r="P103" s="46">
        <f t="shared" ca="1" si="4"/>
        <v>9.1526315789473688E-3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input_521100!A$2</f>
        <v>521100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IFERROR(VLOOKUP(B104,input_521100!L:R,7,FALSE),VLOOKUP(tables_521100!C104,input_521100!A:H,8,FALSE))</f>
        <v>18330</v>
      </c>
      <c r="P104" s="46">
        <f t="shared" ca="1" si="4"/>
        <v>7.4210526315789474E-4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input_521100!A$2</f>
        <v>521100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IFERROR(VLOOKUP(B105,input_521100!L:R,7,FALSE),VLOOKUP(tables_521100!C105,input_521100!A:H,8,FALSE))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input_521100!A$2</f>
        <v>521100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IFERROR(VLOOKUP(B106,input_521100!L:R,7,FALSE),VLOOKUP(tables_521100!C106,input_521100!A:H,8,FALSE))</f>
        <v>226070</v>
      </c>
      <c r="P106" s="46">
        <f t="shared" ca="1" si="4"/>
        <v>9.1526315789473688E-3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input_521100!A$2</f>
        <v>521100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IFERROR(VLOOKUP(B107,input_521100!L:R,7,FALSE),VLOOKUP(tables_521100!C107,input_521100!A:H,8,FALSE))</f>
        <v>18330</v>
      </c>
      <c r="P107" s="46">
        <f t="shared" ca="1" si="4"/>
        <v>7.4210526315789474E-4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input_521100!A$2</f>
        <v>521100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IFERROR(VLOOKUP(B108,input_521100!L:R,7,FALSE),VLOOKUP(tables_521100!C108,input_521100!A:H,8,FALSE))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input_521100!A$2</f>
        <v>521100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IFERROR(VLOOKUP(B109,input_521100!L:R,7,FALSE),VLOOKUP(tables_521100!C109,input_521100!A:H,8,FALSE))</f>
        <v>226070</v>
      </c>
      <c r="P109" s="46">
        <f t="shared" ca="1" si="4"/>
        <v>9.1526315789473688E-3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input_521100!A$2</f>
        <v>521100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IFERROR(VLOOKUP(B110,input_521100!L:R,7,FALSE),VLOOKUP(tables_521100!C110,input_521100!A:H,8,FALSE))</f>
        <v>18330</v>
      </c>
      <c r="P110" s="46">
        <f t="shared" ca="1" si="4"/>
        <v>7.4210526315789474E-4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input_521100!A$2</f>
        <v>521100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IFERROR(VLOOKUP(B111,input_521100!L:R,7,FALSE),VLOOKUP(tables_521100!C111,input_521100!A:H,8,FALSE))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input_521100!A$2</f>
        <v>521100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IFERROR(VLOOKUP(B112,input_521100!L:R,7,FALSE),VLOOKUP(tables_521100!C112,input_521100!A:H,8,FALSE))</f>
        <v>226070</v>
      </c>
      <c r="P112" s="46">
        <f t="shared" ca="1" si="4"/>
        <v>9.1526315789473688E-3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input_521100!A$2</f>
        <v>521100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IFERROR(VLOOKUP(B113,input_521100!L:R,7,FALSE),VLOOKUP(tables_521100!C113,input_521100!A:H,8,FALSE))</f>
        <v>18330</v>
      </c>
      <c r="P113" s="46">
        <f t="shared" ca="1" si="4"/>
        <v>7.4210526315789474E-4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input_521100!A$2</f>
        <v>521100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IFERROR(VLOOKUP(B114,input_521100!L:R,7,FALSE),VLOOKUP(tables_521100!C114,input_521100!A:H,8,FALSE))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input_521100!A$2</f>
        <v>521100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IFERROR(VLOOKUP(B115,input_521100!L:R,7,FALSE),VLOOKUP(tables_521100!C115,input_521100!A:H,8,FALSE))</f>
        <v>226070</v>
      </c>
      <c r="P115" s="46">
        <f t="shared" ca="1" si="4"/>
        <v>9.1526315789473688E-3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input_521100!A$2</f>
        <v>521100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IFERROR(VLOOKUP(B116,input_521100!L:R,7,FALSE),VLOOKUP(tables_521100!C116,input_521100!A:H,8,FALSE))</f>
        <v>18330</v>
      </c>
      <c r="P116" s="46">
        <f t="shared" ca="1" si="4"/>
        <v>7.4210526315789474E-4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input_521100!A$2</f>
        <v>521100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IFERROR(VLOOKUP(B117,input_521100!L:R,7,FALSE),VLOOKUP(tables_521100!C117,input_521100!A:H,8,FALSE))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input_521100!A$2</f>
        <v>521100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IFERROR(VLOOKUP(B118,input_521100!L:R,7,FALSE),VLOOKUP(tables_521100!C118,input_521100!A:H,8,FALSE))</f>
        <v>226070</v>
      </c>
      <c r="P118" s="46">
        <f t="shared" ca="1" si="4"/>
        <v>9.1526315789473688E-3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input_521100!A$2</f>
        <v>521100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IFERROR(VLOOKUP(B119,input_521100!L:R,7,FALSE),VLOOKUP(tables_521100!C119,input_521100!A:H,8,FALSE))</f>
        <v>18330</v>
      </c>
      <c r="P119" s="46">
        <f t="shared" ca="1" si="4"/>
        <v>7.4210526315789474E-4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input_521100!A$2</f>
        <v>521100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IFERROR(VLOOKUP(B120,input_521100!L:R,7,FALSE),VLOOKUP(tables_521100!C120,input_521100!A:H,8,FALSE))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input_521100!A$2</f>
        <v>521100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IFERROR(VLOOKUP(B121,input_521100!L:R,7,FALSE),VLOOKUP(tables_521100!C121,input_521100!A:H,8,FALSE))</f>
        <v>226070</v>
      </c>
      <c r="P121" s="46">
        <f t="shared" ca="1" si="4"/>
        <v>9.1526315789473688E-3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input_521100!A$2</f>
        <v>521100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IFERROR(VLOOKUP(B122,input_521100!L:R,7,FALSE),VLOOKUP(tables_521100!C122,input_521100!A:H,8,FALSE))</f>
        <v>18330</v>
      </c>
      <c r="P122" s="46">
        <f t="shared" ca="1" si="4"/>
        <v>7.4210526315789474E-4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input_521100!A$2</f>
        <v>521100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IFERROR(VLOOKUP(B123,input_521100!L:R,7,FALSE),VLOOKUP(tables_521100!C123,input_521100!A:H,8,FALSE))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input_521100!A$2</f>
        <v>521100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IFERROR(VLOOKUP(B124,input_521100!L:R,7,FALSE),VLOOKUP(tables_521100!C124,input_521100!A:H,8,FALSE))</f>
        <v>226070</v>
      </c>
      <c r="P124" s="46">
        <f t="shared" ca="1" si="4"/>
        <v>9.1526315789473688E-3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input_521100!A$2</f>
        <v>521100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IFERROR(VLOOKUP(B125,input_521100!L:R,7,FALSE),VLOOKUP(tables_521100!C125,input_521100!A:H,8,FALSE))</f>
        <v>18330</v>
      </c>
      <c r="P125" s="46">
        <f t="shared" ca="1" si="4"/>
        <v>7.4210526315789474E-4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input_521100!A$2</f>
        <v>521100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IFERROR(VLOOKUP(B126,input_521100!L:R,7,FALSE),VLOOKUP(tables_521100!C126,input_521100!A:H,8,FALSE))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input_521100!A$2</f>
        <v>521100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IFERROR(VLOOKUP(B127,input_521100!L:R,7,FALSE),VLOOKUP(tables_521100!C127,input_521100!A:H,8,FALSE))</f>
        <v>226070</v>
      </c>
      <c r="P127" s="46">
        <f t="shared" ca="1" si="4"/>
        <v>9.1526315789473688E-3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input_521100!A$2</f>
        <v>521100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IFERROR(VLOOKUP(B128,input_521100!L:R,7,FALSE),VLOOKUP(tables_521100!C128,input_521100!A:H,8,FALSE))</f>
        <v>18330</v>
      </c>
      <c r="P128" s="46">
        <f t="shared" ca="1" si="4"/>
        <v>7.4210526315789474E-4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input_521100!A$2</f>
        <v>521100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IFERROR(VLOOKUP(B129,input_521100!L:R,7,FALSE),VLOOKUP(tables_521100!C129,input_521100!A:H,8,FALSE))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input_521100!A$2</f>
        <v>521100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IFERROR(VLOOKUP(B130,input_521100!L:R,7,FALSE),VLOOKUP(tables_521100!C130,input_521100!A:H,8,FALSE))</f>
        <v>226070</v>
      </c>
      <c r="P130" s="46">
        <f t="shared" ref="P130:P193" ca="1" si="7">O130/SUM(O:O)</f>
        <v>9.1526315789473688E-3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input_521100!A$2</f>
        <v>521100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IFERROR(VLOOKUP(B131,input_521100!L:R,7,FALSE),VLOOKUP(tables_521100!C131,input_521100!A:H,8,FALSE))</f>
        <v>18330</v>
      </c>
      <c r="P131" s="46">
        <f t="shared" ca="1" si="7"/>
        <v>7.4210526315789474E-4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input_521100!A$2</f>
        <v>521100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IFERROR(VLOOKUP(B132,input_521100!L:R,7,FALSE),VLOOKUP(tables_521100!C132,input_521100!A:H,8,FALSE))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input_521100!A$2</f>
        <v>521100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IFERROR(VLOOKUP(B133,input_521100!L:R,7,FALSE),VLOOKUP(tables_521100!C133,input_521100!A:H,8,FALSE))</f>
        <v>226070</v>
      </c>
      <c r="P133" s="46">
        <f t="shared" ca="1" si="7"/>
        <v>9.1526315789473688E-3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input_521100!A$2</f>
        <v>521100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IFERROR(VLOOKUP(B134,input_521100!L:R,7,FALSE),VLOOKUP(tables_521100!C134,input_521100!A:H,8,FALSE))</f>
        <v>18330</v>
      </c>
      <c r="P134" s="46">
        <f t="shared" ca="1" si="7"/>
        <v>7.4210526315789474E-4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input_521100!A$2</f>
        <v>521100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IFERROR(VLOOKUP(B135,input_521100!L:R,7,FALSE),VLOOKUP(tables_521100!C135,input_521100!A:H,8,FALSE))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input_521100!A$2</f>
        <v>521100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IFERROR(VLOOKUP(B136,input_521100!L:R,7,FALSE),VLOOKUP(tables_521100!C136,input_521100!A:H,8,FALSE))</f>
        <v>226070</v>
      </c>
      <c r="P136" s="46">
        <f t="shared" ca="1" si="7"/>
        <v>9.1526315789473688E-3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input_521100!A$2</f>
        <v>521100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IFERROR(VLOOKUP(B137,input_521100!L:R,7,FALSE),VLOOKUP(tables_521100!C137,input_521100!A:H,8,FALSE))</f>
        <v>18330</v>
      </c>
      <c r="P137" s="46">
        <f t="shared" ca="1" si="7"/>
        <v>7.4210526315789474E-4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input_521100!A$2</f>
        <v>521100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IFERROR(VLOOKUP(B138,input_521100!L:R,7,FALSE),VLOOKUP(tables_521100!C138,input_521100!A:H,8,FALSE))</f>
        <v>3515</v>
      </c>
      <c r="P138" s="46">
        <f t="shared" ca="1" si="7"/>
        <v>1.4230769230769231E-4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input_521100!A$2</f>
        <v>521100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IFERROR(VLOOKUP(B139,input_521100!L:R,7,FALSE),VLOOKUP(tables_521100!C139,input_521100!A:H,8,FALSE))</f>
        <v>285</v>
      </c>
      <c r="P139" s="46">
        <f t="shared" ca="1" si="7"/>
        <v>1.1538461538461538E-5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input_521100!A$2</f>
        <v>521100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IFERROR(VLOOKUP(B140,input_521100!L:R,7,FALSE),VLOOKUP(tables_521100!C140,input_521100!A:H,8,FALSE))</f>
        <v>3515</v>
      </c>
      <c r="P140" s="46">
        <f t="shared" ca="1" si="7"/>
        <v>1.4230769230769231E-4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input_521100!A$2</f>
        <v>521100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IFERROR(VLOOKUP(B141,input_521100!L:R,7,FALSE),VLOOKUP(tables_521100!C141,input_521100!A:H,8,FALSE))</f>
        <v>285</v>
      </c>
      <c r="P141" s="46">
        <f t="shared" ca="1" si="7"/>
        <v>1.1538461538461538E-5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input_521100!A$2</f>
        <v>521100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IFERROR(VLOOKUP(B142,input_521100!L:R,7,FALSE),VLOOKUP(tables_521100!C142,input_521100!A:H,8,FALSE))</f>
        <v>3515</v>
      </c>
      <c r="P142" s="46">
        <f t="shared" ca="1" si="7"/>
        <v>1.4230769230769231E-4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input_521100!A$2</f>
        <v>521100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IFERROR(VLOOKUP(B143,input_521100!L:R,7,FALSE),VLOOKUP(tables_521100!C143,input_521100!A:H,8,FALSE))</f>
        <v>285</v>
      </c>
      <c r="P143" s="46">
        <f t="shared" ca="1" si="7"/>
        <v>1.1538461538461538E-5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input_521100!A$2</f>
        <v>521100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IFERROR(VLOOKUP(B144,input_521100!L:R,7,FALSE),VLOOKUP(tables_521100!C144,input_521100!A:H,8,FALSE))</f>
        <v>3515</v>
      </c>
      <c r="P144" s="46">
        <f t="shared" ca="1" si="7"/>
        <v>1.4230769230769231E-4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input_521100!A$2</f>
        <v>521100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IFERROR(VLOOKUP(B145,input_521100!L:R,7,FALSE),VLOOKUP(tables_521100!C145,input_521100!A:H,8,FALSE))</f>
        <v>285</v>
      </c>
      <c r="P145" s="46">
        <f t="shared" ca="1" si="7"/>
        <v>1.1538461538461538E-5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input_521100!A$2</f>
        <v>521100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IFERROR(VLOOKUP(B146,input_521100!L:R,7,FALSE),VLOOKUP(tables_521100!C146,input_521100!A:H,8,FALSE))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input_521100!A$2</f>
        <v>521100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IFERROR(VLOOKUP(B147,input_521100!L:R,7,FALSE),VLOOKUP(tables_521100!C147,input_521100!A:H,8,FALSE))</f>
        <v>226070</v>
      </c>
      <c r="P147" s="46">
        <f t="shared" ca="1" si="7"/>
        <v>9.1526315789473688E-3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input_521100!A$2</f>
        <v>521100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IFERROR(VLOOKUP(B148,input_521100!L:R,7,FALSE),VLOOKUP(tables_521100!C148,input_521100!A:H,8,FALSE))</f>
        <v>18330</v>
      </c>
      <c r="P148" s="46">
        <f t="shared" ca="1" si="7"/>
        <v>7.4210526315789474E-4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input_521100!A$2</f>
        <v>521100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IFERROR(VLOOKUP(B149,input_521100!L:R,7,FALSE),VLOOKUP(tables_521100!C149,input_521100!A:H,8,FALSE))</f>
        <v>3515</v>
      </c>
      <c r="P149" s="46">
        <f t="shared" ca="1" si="7"/>
        <v>1.4230769230769231E-4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input_521100!A$2</f>
        <v>521100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IFERROR(VLOOKUP(B150,input_521100!L:R,7,FALSE),VLOOKUP(tables_521100!C150,input_521100!A:H,8,FALSE))</f>
        <v>285</v>
      </c>
      <c r="P150" s="46">
        <f t="shared" ca="1" si="7"/>
        <v>1.1538461538461538E-5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input_521100!A$2</f>
        <v>521100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IFERROR(VLOOKUP(B151,input_521100!L:R,7,FALSE),VLOOKUP(tables_521100!C151,input_521100!A:H,8,FALSE))</f>
        <v>3515</v>
      </c>
      <c r="P151" s="46">
        <f t="shared" ca="1" si="7"/>
        <v>1.4230769230769231E-4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input_521100!A$2</f>
        <v>521100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IFERROR(VLOOKUP(B152,input_521100!L:R,7,FALSE),VLOOKUP(tables_521100!C152,input_521100!A:H,8,FALSE))</f>
        <v>285</v>
      </c>
      <c r="P152" s="46">
        <f t="shared" ca="1" si="7"/>
        <v>1.1538461538461538E-5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input_521100!A$2</f>
        <v>521100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IFERROR(VLOOKUP(B153,input_521100!L:R,7,FALSE),VLOOKUP(tables_521100!C153,input_521100!A:H,8,FALSE))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input_521100!A$2</f>
        <v>521100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IFERROR(VLOOKUP(B154,input_521100!L:R,7,FALSE),VLOOKUP(tables_521100!C154,input_521100!A:H,8,FALSE))</f>
        <v>226070</v>
      </c>
      <c r="P154" s="46">
        <f t="shared" ca="1" si="7"/>
        <v>9.1526315789473688E-3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input_521100!A$2</f>
        <v>521100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IFERROR(VLOOKUP(B155,input_521100!L:R,7,FALSE),VLOOKUP(tables_521100!C155,input_521100!A:H,8,FALSE))</f>
        <v>18330</v>
      </c>
      <c r="P155" s="46">
        <f t="shared" ca="1" si="7"/>
        <v>7.4210526315789474E-4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input_521100!A$2</f>
        <v>521100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IFERROR(VLOOKUP(B156,input_521100!L:R,7,FALSE),VLOOKUP(tables_521100!C156,input_521100!A:H,8,FALSE))</f>
        <v>3515</v>
      </c>
      <c r="P156" s="46">
        <f t="shared" ca="1" si="7"/>
        <v>1.4230769230769231E-4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input_521100!A$2</f>
        <v>521100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IFERROR(VLOOKUP(B157,input_521100!L:R,7,FALSE),VLOOKUP(tables_521100!C157,input_521100!A:H,8,FALSE))</f>
        <v>285</v>
      </c>
      <c r="P157" s="46">
        <f t="shared" ca="1" si="7"/>
        <v>1.1538461538461538E-5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input_521100!A$2</f>
        <v>521100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IFERROR(VLOOKUP(B158,input_521100!L:R,7,FALSE),VLOOKUP(tables_521100!C158,input_521100!A:H,8,FALSE))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input_521100!A$2</f>
        <v>521100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IFERROR(VLOOKUP(B159,input_521100!L:R,7,FALSE),VLOOKUP(tables_521100!C159,input_521100!A:H,8,FALSE))</f>
        <v>226070</v>
      </c>
      <c r="P159" s="46">
        <f t="shared" ca="1" si="7"/>
        <v>9.1526315789473688E-3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input_521100!A$2</f>
        <v>521100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IFERROR(VLOOKUP(B160,input_521100!L:R,7,FALSE),VLOOKUP(tables_521100!C160,input_521100!A:H,8,FALSE))</f>
        <v>18330</v>
      </c>
      <c r="P160" s="46">
        <f t="shared" ca="1" si="7"/>
        <v>7.4210526315789474E-4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input_521100!A$2</f>
        <v>521100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IFERROR(VLOOKUP(B161,input_521100!L:R,7,FALSE),VLOOKUP(tables_521100!C161,input_521100!A:H,8,FALSE))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input_521100!A$2</f>
        <v>521100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IFERROR(VLOOKUP(B162,input_521100!L:R,7,FALSE),VLOOKUP(tables_521100!C162,input_521100!A:H,8,FALSE))</f>
        <v>226070</v>
      </c>
      <c r="P162" s="46">
        <f t="shared" ca="1" si="7"/>
        <v>9.1526315789473688E-3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input_521100!A$2</f>
        <v>521100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IFERROR(VLOOKUP(B163,input_521100!L:R,7,FALSE),VLOOKUP(tables_521100!C163,input_521100!A:H,8,FALSE))</f>
        <v>18330</v>
      </c>
      <c r="P163" s="46">
        <f t="shared" ca="1" si="7"/>
        <v>7.4210526315789474E-4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input_521100!A$2</f>
        <v>521100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IFERROR(VLOOKUP(B164,input_521100!L:R,7,FALSE),VLOOKUP(tables_521100!C164,input_521100!A:H,8,FALSE))</f>
        <v>3515</v>
      </c>
      <c r="P164" s="46">
        <f t="shared" ca="1" si="7"/>
        <v>1.4230769230769231E-4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input_521100!A$2</f>
        <v>521100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IFERROR(VLOOKUP(B165,input_521100!L:R,7,FALSE),VLOOKUP(tables_521100!C165,input_521100!A:H,8,FALSE))</f>
        <v>285</v>
      </c>
      <c r="P165" s="46">
        <f t="shared" ca="1" si="7"/>
        <v>1.1538461538461538E-5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input_521100!A$2</f>
        <v>521100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IFERROR(VLOOKUP(B166,input_521100!L:R,7,FALSE),VLOOKUP(tables_521100!C166,input_521100!A:H,8,FALSE))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input_521100!A$2</f>
        <v>521100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IFERROR(VLOOKUP(B167,input_521100!L:R,7,FALSE),VLOOKUP(tables_521100!C167,input_521100!A:H,8,FALSE))</f>
        <v>226070</v>
      </c>
      <c r="P167" s="46">
        <f t="shared" ca="1" si="7"/>
        <v>9.1526315789473688E-3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input_521100!A$2</f>
        <v>521100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IFERROR(VLOOKUP(B168,input_521100!L:R,7,FALSE),VLOOKUP(tables_521100!C168,input_521100!A:H,8,FALSE))</f>
        <v>18330</v>
      </c>
      <c r="P168" s="46">
        <f t="shared" ca="1" si="7"/>
        <v>7.4210526315789474E-4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input_521100!A$2</f>
        <v>521100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IFERROR(VLOOKUP(B169,input_521100!L:R,7,FALSE),VLOOKUP(tables_521100!C169,input_521100!A:H,8,FALSE))</f>
        <v>3515</v>
      </c>
      <c r="P169" s="46">
        <f t="shared" ca="1" si="7"/>
        <v>1.4230769230769231E-4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input_521100!A$2</f>
        <v>521100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IFERROR(VLOOKUP(B170,input_521100!L:R,7,FALSE),VLOOKUP(tables_521100!C170,input_521100!A:H,8,FALSE))</f>
        <v>285</v>
      </c>
      <c r="P170" s="46">
        <f t="shared" ca="1" si="7"/>
        <v>1.1538461538461538E-5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input_521100!A$2</f>
        <v>521100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IFERROR(VLOOKUP(B171,input_521100!L:R,7,FALSE),VLOOKUP(tables_521100!C171,input_521100!A:H,8,FALSE))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input_521100!A$2</f>
        <v>521100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IFERROR(VLOOKUP(B172,input_521100!L:R,7,FALSE),VLOOKUP(tables_521100!C172,input_521100!A:H,8,FALSE))</f>
        <v>226070</v>
      </c>
      <c r="P172" s="46">
        <f t="shared" ca="1" si="7"/>
        <v>9.1526315789473688E-3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input_521100!A$2</f>
        <v>521100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IFERROR(VLOOKUP(B173,input_521100!L:R,7,FALSE),VLOOKUP(tables_521100!C173,input_521100!A:H,8,FALSE))</f>
        <v>18330</v>
      </c>
      <c r="P173" s="46">
        <f t="shared" ca="1" si="7"/>
        <v>7.4210526315789474E-4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input_521100!A$2</f>
        <v>521100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IFERROR(VLOOKUP(B174,input_521100!L:R,7,FALSE),VLOOKUP(tables_521100!C174,input_521100!A:H,8,FALSE))</f>
        <v>3515</v>
      </c>
      <c r="P174" s="46">
        <f t="shared" ca="1" si="7"/>
        <v>1.4230769230769231E-4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input_521100!A$2</f>
        <v>521100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IFERROR(VLOOKUP(B175,input_521100!L:R,7,FALSE),VLOOKUP(tables_521100!C175,input_521100!A:H,8,FALSE))</f>
        <v>285</v>
      </c>
      <c r="P175" s="46">
        <f t="shared" ca="1" si="7"/>
        <v>1.1538461538461538E-5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input_521100!A$2</f>
        <v>521100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IFERROR(VLOOKUP(B176,input_521100!L:R,7,FALSE),VLOOKUP(tables_521100!C176,input_521100!A:H,8,FALSE))</f>
        <v>3515</v>
      </c>
      <c r="P176" s="46">
        <f t="shared" ca="1" si="7"/>
        <v>1.4230769230769231E-4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input_521100!A$2</f>
        <v>521100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IFERROR(VLOOKUP(B177,input_521100!L:R,7,FALSE),VLOOKUP(tables_521100!C177,input_521100!A:H,8,FALSE))</f>
        <v>285</v>
      </c>
      <c r="P177" s="46">
        <f t="shared" ca="1" si="7"/>
        <v>1.1538461538461538E-5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input_521100!A$2</f>
        <v>521100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IFERROR(VLOOKUP(B178,input_521100!L:R,7,FALSE),VLOOKUP(tables_521100!C178,input_521100!A:H,8,FALSE))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input_521100!A$2</f>
        <v>521100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IFERROR(VLOOKUP(B179,input_521100!L:R,7,FALSE),VLOOKUP(tables_521100!C179,input_521100!A:H,8,FALSE))</f>
        <v>226070</v>
      </c>
      <c r="P179" s="46">
        <f t="shared" ca="1" si="7"/>
        <v>9.1526315789473688E-3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input_521100!A$2</f>
        <v>521100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IFERROR(VLOOKUP(B180,input_521100!L:R,7,FALSE),VLOOKUP(tables_521100!C180,input_521100!A:H,8,FALSE))</f>
        <v>18330</v>
      </c>
      <c r="P180" s="46">
        <f t="shared" ca="1" si="7"/>
        <v>7.4210526315789474E-4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input_521100!A$2</f>
        <v>521100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IFERROR(VLOOKUP(B181,input_521100!L:R,7,FALSE),VLOOKUP(tables_521100!C181,input_521100!A:H,8,FALSE))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input_521100!A$2</f>
        <v>521100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IFERROR(VLOOKUP(B182,input_521100!L:R,7,FALSE),VLOOKUP(tables_521100!C182,input_521100!A:H,8,FALSE))</f>
        <v>226070</v>
      </c>
      <c r="P182" s="46">
        <f t="shared" ca="1" si="7"/>
        <v>9.1526315789473688E-3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input_521100!A$2</f>
        <v>521100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IFERROR(VLOOKUP(B183,input_521100!L:R,7,FALSE),VLOOKUP(tables_521100!C183,input_521100!A:H,8,FALSE))</f>
        <v>18330</v>
      </c>
      <c r="P183" s="46">
        <f t="shared" ca="1" si="7"/>
        <v>7.4210526315789474E-4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input_521100!A$2</f>
        <v>521100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IFERROR(VLOOKUP(B184,input_521100!L:R,7,FALSE),VLOOKUP(tables_521100!C184,input_521100!A:H,8,FALSE))</f>
        <v>3515</v>
      </c>
      <c r="P184" s="46">
        <f t="shared" ca="1" si="7"/>
        <v>1.4230769230769231E-4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input_521100!A$2</f>
        <v>521100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IFERROR(VLOOKUP(B185,input_521100!L:R,7,FALSE),VLOOKUP(tables_521100!C185,input_521100!A:H,8,FALSE))</f>
        <v>285</v>
      </c>
      <c r="P185" s="46">
        <f t="shared" ca="1" si="7"/>
        <v>1.1538461538461538E-5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input_521100!A$2</f>
        <v>521100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IFERROR(VLOOKUP(B186,input_521100!L:R,7,FALSE),VLOOKUP(tables_521100!C186,input_521100!A:H,8,FALSE))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input_521100!A$2</f>
        <v>521100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IFERROR(VLOOKUP(B187,input_521100!L:R,7,FALSE),VLOOKUP(tables_521100!C187,input_521100!A:H,8,FALSE))</f>
        <v>226070</v>
      </c>
      <c r="P187" s="46">
        <f t="shared" ca="1" si="7"/>
        <v>9.1526315789473688E-3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input_521100!A$2</f>
        <v>521100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IFERROR(VLOOKUP(B188,input_521100!L:R,7,FALSE),VLOOKUP(tables_521100!C188,input_521100!A:H,8,FALSE))</f>
        <v>18330</v>
      </c>
      <c r="P188" s="46">
        <f t="shared" ca="1" si="7"/>
        <v>7.4210526315789474E-4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input_521100!A$2</f>
        <v>521100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>IFERROR(VLOOKUP(B189,input_521100!L:R,7,FALSE),VLOOKUP(tables_521100!C189,input_521100!A:H,8,FALSE))</f>
        <v>285593.75000000006</v>
      </c>
      <c r="P189" s="46">
        <f t="shared" ca="1" si="7"/>
        <v>1.1562500000000002E-2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input_521100!A$2</f>
        <v>521100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>IFERROR(VLOOKUP(B190,input_521100!L:R,7,FALSE),VLOOKUP(tables_521100!C190,input_521100!A:H,8,FALSE))</f>
        <v>23156.25</v>
      </c>
      <c r="P190" s="46">
        <f t="shared" ca="1" si="7"/>
        <v>9.3749999999999997E-4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input_521100!A$2</f>
        <v>521100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IFERROR(VLOOKUP(B191,input_521100!L:R,7,FALSE),VLOOKUP(tables_521100!C191,input_521100!A:H,8,FALSE))</f>
        <v>3515</v>
      </c>
      <c r="P191" s="46">
        <f t="shared" ca="1" si="7"/>
        <v>1.4230769230769231E-4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input_521100!A$2</f>
        <v>521100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IFERROR(VLOOKUP(B192,input_521100!L:R,7,FALSE),VLOOKUP(tables_521100!C192,input_521100!A:H,8,FALSE))</f>
        <v>285</v>
      </c>
      <c r="P192" s="46">
        <f t="shared" ca="1" si="7"/>
        <v>1.1538461538461538E-5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input_521100!A$2</f>
        <v>521100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IFERROR(VLOOKUP(B193,input_521100!L:R,7,FALSE),VLOOKUP(tables_521100!C193,input_521100!A:H,8,FALSE))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input_521100!A$2</f>
        <v>521100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IFERROR(VLOOKUP(B194,input_521100!L:R,7,FALSE),VLOOKUP(tables_521100!C194,input_521100!A:H,8,FALSE))</f>
        <v>226070</v>
      </c>
      <c r="P194" s="46">
        <f t="shared" ref="P194:P257" ca="1" si="10">O194/SUM(O:O)</f>
        <v>9.1526315789473688E-3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input_521100!A$2</f>
        <v>521100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IFERROR(VLOOKUP(B195,input_521100!L:R,7,FALSE),VLOOKUP(tables_521100!C195,input_521100!A:H,8,FALSE))</f>
        <v>18330</v>
      </c>
      <c r="P195" s="46">
        <f t="shared" ca="1" si="10"/>
        <v>7.4210526315789474E-4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input_521100!A$2</f>
        <v>521100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IFERROR(VLOOKUP(B196,input_521100!L:R,7,FALSE),VLOOKUP(tables_521100!C196,input_521100!A:H,8,FALSE))</f>
        <v>3515</v>
      </c>
      <c r="P196" s="46">
        <f t="shared" ca="1" si="10"/>
        <v>1.4230769230769231E-4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input_521100!A$2</f>
        <v>521100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IFERROR(VLOOKUP(B197,input_521100!L:R,7,FALSE),VLOOKUP(tables_521100!C197,input_521100!A:H,8,FALSE))</f>
        <v>285</v>
      </c>
      <c r="P197" s="46">
        <f t="shared" ca="1" si="10"/>
        <v>1.1538461538461538E-5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input_521100!A$2</f>
        <v>521100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IFERROR(VLOOKUP(B198,input_521100!L:R,7,FALSE),VLOOKUP(tables_521100!C198,input_521100!A:H,8,FALSE))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input_521100!A$2</f>
        <v>521100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IFERROR(VLOOKUP(B199,input_521100!L:R,7,FALSE),VLOOKUP(tables_521100!C199,input_521100!A:H,8,FALSE))</f>
        <v>226070</v>
      </c>
      <c r="P199" s="46">
        <f t="shared" ca="1" si="10"/>
        <v>9.1526315789473688E-3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input_521100!A$2</f>
        <v>521100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IFERROR(VLOOKUP(B200,input_521100!L:R,7,FALSE),VLOOKUP(tables_521100!C200,input_521100!A:H,8,FALSE))</f>
        <v>18330</v>
      </c>
      <c r="P200" s="46">
        <f t="shared" ca="1" si="10"/>
        <v>7.4210526315789474E-4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input_521100!A$2</f>
        <v>521100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IFERROR(VLOOKUP(B201,input_521100!L:R,7,FALSE),VLOOKUP(tables_521100!C201,input_521100!A:H,8,FALSE))</f>
        <v>3515</v>
      </c>
      <c r="P201" s="46">
        <f t="shared" ca="1" si="10"/>
        <v>1.4230769230769231E-4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input_521100!A$2</f>
        <v>521100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IFERROR(VLOOKUP(B202,input_521100!L:R,7,FALSE),VLOOKUP(tables_521100!C202,input_521100!A:H,8,FALSE))</f>
        <v>285</v>
      </c>
      <c r="P202" s="46">
        <f t="shared" ca="1" si="10"/>
        <v>1.1538461538461538E-5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input_521100!A$2</f>
        <v>521100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IFERROR(VLOOKUP(B203,input_521100!L:R,7,FALSE),VLOOKUP(tables_521100!C203,input_521100!A:H,8,FALSE))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input_521100!A$2</f>
        <v>521100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IFERROR(VLOOKUP(B204,input_521100!L:R,7,FALSE),VLOOKUP(tables_521100!C204,input_521100!A:H,8,FALSE))</f>
        <v>226070</v>
      </c>
      <c r="P204" s="46">
        <f t="shared" ca="1" si="10"/>
        <v>9.1526315789473688E-3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input_521100!A$2</f>
        <v>521100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IFERROR(VLOOKUP(B205,input_521100!L:R,7,FALSE),VLOOKUP(tables_521100!C205,input_521100!A:H,8,FALSE))</f>
        <v>18330</v>
      </c>
      <c r="P205" s="46">
        <f t="shared" ca="1" si="10"/>
        <v>7.4210526315789474E-4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input_521100!A$2</f>
        <v>521100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IFERROR(VLOOKUP(B206,input_521100!L:R,7,FALSE),VLOOKUP(tables_521100!C206,input_521100!A:H,8,FALSE))</f>
        <v>3515</v>
      </c>
      <c r="P206" s="46">
        <f t="shared" ca="1" si="10"/>
        <v>1.4230769230769231E-4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input_521100!A$2</f>
        <v>521100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IFERROR(VLOOKUP(B207,input_521100!L:R,7,FALSE),VLOOKUP(tables_521100!C207,input_521100!A:H,8,FALSE))</f>
        <v>285</v>
      </c>
      <c r="P207" s="46">
        <f t="shared" ca="1" si="10"/>
        <v>1.1538461538461538E-5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input_521100!A$2</f>
        <v>521100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IFERROR(VLOOKUP(B208,input_521100!L:R,7,FALSE),VLOOKUP(tables_521100!C208,input_521100!A:H,8,FALSE))</f>
        <v>3515</v>
      </c>
      <c r="P208" s="46">
        <f t="shared" ca="1" si="10"/>
        <v>1.4230769230769231E-4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input_521100!A$2</f>
        <v>521100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IFERROR(VLOOKUP(B209,input_521100!L:R,7,FALSE),VLOOKUP(tables_521100!C209,input_521100!A:H,8,FALSE))</f>
        <v>285</v>
      </c>
      <c r="P209" s="46">
        <f t="shared" ca="1" si="10"/>
        <v>1.1538461538461538E-5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input_521100!A$2</f>
        <v>521100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IFERROR(VLOOKUP(B210,input_521100!L:R,7,FALSE),VLOOKUP(tables_521100!C210,input_521100!A:H,8,FALSE))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input_521100!A$2</f>
        <v>521100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IFERROR(VLOOKUP(B211,input_521100!L:R,7,FALSE),VLOOKUP(tables_521100!C211,input_521100!A:H,8,FALSE))</f>
        <v>226070</v>
      </c>
      <c r="P211" s="46">
        <f t="shared" ca="1" si="10"/>
        <v>9.1526315789473688E-3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input_521100!A$2</f>
        <v>521100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IFERROR(VLOOKUP(B212,input_521100!L:R,7,FALSE),VLOOKUP(tables_521100!C212,input_521100!A:H,8,FALSE))</f>
        <v>18330</v>
      </c>
      <c r="P212" s="46">
        <f t="shared" ca="1" si="10"/>
        <v>7.4210526315789474E-4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input_521100!A$2</f>
        <v>521100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>IFERROR(VLOOKUP(B213,input_521100!L:R,7,FALSE),VLOOKUP(tables_521100!C213,input_521100!A:H,8,FALSE))</f>
        <v>285593.75000000006</v>
      </c>
      <c r="P213" s="46">
        <f t="shared" ca="1" si="10"/>
        <v>1.1562500000000002E-2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input_521100!A$2</f>
        <v>521100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>IFERROR(VLOOKUP(B214,input_521100!L:R,7,FALSE),VLOOKUP(tables_521100!C214,input_521100!A:H,8,FALSE))</f>
        <v>23156.25</v>
      </c>
      <c r="P214" s="46">
        <f t="shared" ca="1" si="10"/>
        <v>9.3749999999999997E-4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input_521100!A$2</f>
        <v>521100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IFERROR(VLOOKUP(B215,input_521100!L:R,7,FALSE),VLOOKUP(tables_521100!C215,input_521100!A:H,8,FALSE))</f>
        <v>3515</v>
      </c>
      <c r="P215" s="46">
        <f t="shared" ca="1" si="10"/>
        <v>1.4230769230769231E-4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input_521100!A$2</f>
        <v>521100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IFERROR(VLOOKUP(B216,input_521100!L:R,7,FALSE),VLOOKUP(tables_521100!C216,input_521100!A:H,8,FALSE))</f>
        <v>285</v>
      </c>
      <c r="P216" s="46">
        <f t="shared" ca="1" si="10"/>
        <v>1.1538461538461538E-5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input_521100!A$2</f>
        <v>521100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IFERROR(VLOOKUP(B217,input_521100!L:R,7,FALSE),VLOOKUP(tables_521100!C217,input_521100!A:H,8,FALSE))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input_521100!A$2</f>
        <v>521100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IFERROR(VLOOKUP(B218,input_521100!L:R,7,FALSE),VLOOKUP(tables_521100!C218,input_521100!A:H,8,FALSE))</f>
        <v>226070</v>
      </c>
      <c r="P218" s="46">
        <f t="shared" ca="1" si="10"/>
        <v>9.1526315789473688E-3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input_521100!A$2</f>
        <v>521100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IFERROR(VLOOKUP(B219,input_521100!L:R,7,FALSE),VLOOKUP(tables_521100!C219,input_521100!A:H,8,FALSE))</f>
        <v>18330</v>
      </c>
      <c r="P219" s="46">
        <f t="shared" ca="1" si="10"/>
        <v>7.4210526315789474E-4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input_521100!A$2</f>
        <v>521100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IFERROR(VLOOKUP(B220,input_521100!L:R,7,FALSE),VLOOKUP(tables_521100!C220,input_521100!A:H,8,FALSE))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input_521100!A$2</f>
        <v>521100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IFERROR(VLOOKUP(B221,input_521100!L:R,7,FALSE),VLOOKUP(tables_521100!C221,input_521100!A:H,8,FALSE))</f>
        <v>226070</v>
      </c>
      <c r="P221" s="46">
        <f t="shared" ca="1" si="10"/>
        <v>9.1526315789473688E-3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input_521100!A$2</f>
        <v>521100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IFERROR(VLOOKUP(B222,input_521100!L:R,7,FALSE),VLOOKUP(tables_521100!C222,input_521100!A:H,8,FALSE))</f>
        <v>18330</v>
      </c>
      <c r="P222" s="46">
        <f t="shared" ca="1" si="10"/>
        <v>7.4210526315789474E-4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input_521100!A$2</f>
        <v>521100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IFERROR(VLOOKUP(B223,input_521100!L:R,7,FALSE),VLOOKUP(tables_521100!C223,input_521100!A:H,8,FALSE))</f>
        <v>3515</v>
      </c>
      <c r="P223" s="46">
        <f t="shared" ca="1" si="10"/>
        <v>1.4230769230769231E-4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input_521100!A$2</f>
        <v>521100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IFERROR(VLOOKUP(B224,input_521100!L:R,7,FALSE),VLOOKUP(tables_521100!C224,input_521100!A:H,8,FALSE))</f>
        <v>285</v>
      </c>
      <c r="P224" s="46">
        <f t="shared" ca="1" si="10"/>
        <v>1.1538461538461538E-5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input_521100!A$2</f>
        <v>521100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IFERROR(VLOOKUP(B225,input_521100!L:R,7,FALSE),VLOOKUP(tables_521100!C225,input_521100!A:H,8,FALSE))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input_521100!A$2</f>
        <v>521100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IFERROR(VLOOKUP(B226,input_521100!L:R,7,FALSE),VLOOKUP(tables_521100!C226,input_521100!A:H,8,FALSE))</f>
        <v>226070</v>
      </c>
      <c r="P226" s="46">
        <f t="shared" ca="1" si="10"/>
        <v>9.1526315789473688E-3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input_521100!A$2</f>
        <v>521100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IFERROR(VLOOKUP(B227,input_521100!L:R,7,FALSE),VLOOKUP(tables_521100!C227,input_521100!A:H,8,FALSE))</f>
        <v>18330</v>
      </c>
      <c r="P227" s="46">
        <f t="shared" ca="1" si="10"/>
        <v>7.4210526315789474E-4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input_521100!A$2</f>
        <v>521100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IFERROR(VLOOKUP(B228,input_521100!L:R,7,FALSE),VLOOKUP(tables_521100!C228,input_521100!A:H,8,FALSE))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input_521100!A$2</f>
        <v>521100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IFERROR(VLOOKUP(B229,input_521100!L:R,7,FALSE),VLOOKUP(tables_521100!C229,input_521100!A:H,8,FALSE))</f>
        <v>226070</v>
      </c>
      <c r="P229" s="46">
        <f t="shared" ca="1" si="10"/>
        <v>9.1526315789473688E-3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input_521100!A$2</f>
        <v>521100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IFERROR(VLOOKUP(B230,input_521100!L:R,7,FALSE),VLOOKUP(tables_521100!C230,input_521100!A:H,8,FALSE))</f>
        <v>18330</v>
      </c>
      <c r="P230" s="46">
        <f t="shared" ca="1" si="10"/>
        <v>7.4210526315789474E-4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input_521100!A$2</f>
        <v>521100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IFERROR(VLOOKUP(B231,input_521100!L:R,7,FALSE),VLOOKUP(tables_521100!C231,input_521100!A:H,8,FALSE))</f>
        <v>3515</v>
      </c>
      <c r="P231" s="46">
        <f t="shared" ca="1" si="10"/>
        <v>1.4230769230769231E-4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input_521100!A$2</f>
        <v>521100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IFERROR(VLOOKUP(B232,input_521100!L:R,7,FALSE),VLOOKUP(tables_521100!C232,input_521100!A:H,8,FALSE))</f>
        <v>285</v>
      </c>
      <c r="P232" s="46">
        <f t="shared" ca="1" si="10"/>
        <v>1.1538461538461538E-5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input_521100!A$2</f>
        <v>521100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IFERROR(VLOOKUP(B233,input_521100!L:R,7,FALSE),VLOOKUP(tables_521100!C233,input_521100!A:H,8,FALSE))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input_521100!A$2</f>
        <v>521100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IFERROR(VLOOKUP(B234,input_521100!L:R,7,FALSE),VLOOKUP(tables_521100!C234,input_521100!A:H,8,FALSE))</f>
        <v>226070</v>
      </c>
      <c r="P234" s="46">
        <f t="shared" ca="1" si="10"/>
        <v>9.1526315789473688E-3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input_521100!A$2</f>
        <v>521100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IFERROR(VLOOKUP(B235,input_521100!L:R,7,FALSE),VLOOKUP(tables_521100!C235,input_521100!A:H,8,FALSE))</f>
        <v>18330</v>
      </c>
      <c r="P235" s="46">
        <f t="shared" ca="1" si="10"/>
        <v>7.4210526315789474E-4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input_521100!A$2</f>
        <v>521100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IFERROR(VLOOKUP(B236,input_521100!L:R,7,FALSE),VLOOKUP(tables_521100!C236,input_521100!A:H,8,FALSE))</f>
        <v>3515</v>
      </c>
      <c r="P236" s="46">
        <f t="shared" ca="1" si="10"/>
        <v>1.4230769230769231E-4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input_521100!A$2</f>
        <v>521100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IFERROR(VLOOKUP(B237,input_521100!L:R,7,FALSE),VLOOKUP(tables_521100!C237,input_521100!A:H,8,FALSE))</f>
        <v>285</v>
      </c>
      <c r="P237" s="46">
        <f t="shared" ca="1" si="10"/>
        <v>1.1538461538461538E-5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input_521100!A$2</f>
        <v>521100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IFERROR(VLOOKUP(B238,input_521100!L:R,7,FALSE),VLOOKUP(tables_521100!C238,input_521100!A:H,8,FALSE))</f>
        <v>3515</v>
      </c>
      <c r="P238" s="46">
        <f t="shared" ca="1" si="10"/>
        <v>1.4230769230769231E-4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input_521100!A$2</f>
        <v>521100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IFERROR(VLOOKUP(B239,input_521100!L:R,7,FALSE),VLOOKUP(tables_521100!C239,input_521100!A:H,8,FALSE))</f>
        <v>285</v>
      </c>
      <c r="P239" s="46">
        <f t="shared" ca="1" si="10"/>
        <v>1.1538461538461538E-5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input_521100!A$2</f>
        <v>521100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IFERROR(VLOOKUP(B240,input_521100!L:R,7,FALSE),VLOOKUP(tables_521100!C240,input_521100!A:H,8,FALSE))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input_521100!A$2</f>
        <v>521100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IFERROR(VLOOKUP(B241,input_521100!L:R,7,FALSE),VLOOKUP(tables_521100!C241,input_521100!A:H,8,FALSE))</f>
        <v>226070</v>
      </c>
      <c r="P241" s="46">
        <f t="shared" ca="1" si="10"/>
        <v>9.1526315789473688E-3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input_521100!A$2</f>
        <v>521100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IFERROR(VLOOKUP(B242,input_521100!L:R,7,FALSE),VLOOKUP(tables_521100!C242,input_521100!A:H,8,FALSE))</f>
        <v>18330</v>
      </c>
      <c r="P242" s="46">
        <f t="shared" ca="1" si="10"/>
        <v>7.4210526315789474E-4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input_521100!A$2</f>
        <v>521100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IFERROR(VLOOKUP(B243,input_521100!L:R,7,FALSE),VLOOKUP(tables_521100!C243,input_521100!A:H,8,FALSE))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input_521100!A$2</f>
        <v>521100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IFERROR(VLOOKUP(B244,input_521100!L:R,7,FALSE),VLOOKUP(tables_521100!C244,input_521100!A:H,8,FALSE))</f>
        <v>226070</v>
      </c>
      <c r="P244" s="46">
        <f t="shared" ca="1" si="10"/>
        <v>9.1526315789473688E-3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input_521100!A$2</f>
        <v>521100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IFERROR(VLOOKUP(B245,input_521100!L:R,7,FALSE),VLOOKUP(tables_521100!C245,input_521100!A:H,8,FALSE))</f>
        <v>18330</v>
      </c>
      <c r="P245" s="46">
        <f t="shared" ca="1" si="10"/>
        <v>7.4210526315789474E-4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input_521100!A$2</f>
        <v>521100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IFERROR(VLOOKUP(B246,input_521100!L:R,7,FALSE),VLOOKUP(tables_521100!C246,input_521100!A:H,8,FALSE))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input_521100!A$2</f>
        <v>521100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IFERROR(VLOOKUP(B247,input_521100!L:R,7,FALSE),VLOOKUP(tables_521100!C247,input_521100!A:H,8,FALSE))</f>
        <v>226070</v>
      </c>
      <c r="P247" s="46">
        <f t="shared" ca="1" si="10"/>
        <v>9.1526315789473688E-3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input_521100!A$2</f>
        <v>521100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IFERROR(VLOOKUP(B248,input_521100!L:R,7,FALSE),VLOOKUP(tables_521100!C248,input_521100!A:H,8,FALSE))</f>
        <v>18330</v>
      </c>
      <c r="P248" s="46">
        <f t="shared" ca="1" si="10"/>
        <v>7.4210526315789474E-4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input_521100!A$2</f>
        <v>521100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IFERROR(VLOOKUP(B249,input_521100!L:R,7,FALSE),VLOOKUP(tables_521100!C249,input_521100!A:H,8,FALSE))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input_521100!A$2</f>
        <v>521100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IFERROR(VLOOKUP(B250,input_521100!L:R,7,FALSE),VLOOKUP(tables_521100!C250,input_521100!A:H,8,FALSE))</f>
        <v>226070</v>
      </c>
      <c r="P250" s="46">
        <f t="shared" ca="1" si="10"/>
        <v>9.1526315789473688E-3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input_521100!A$2</f>
        <v>521100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IFERROR(VLOOKUP(B251,input_521100!L:R,7,FALSE),VLOOKUP(tables_521100!C251,input_521100!A:H,8,FALSE))</f>
        <v>18330</v>
      </c>
      <c r="P251" s="46">
        <f t="shared" ca="1" si="10"/>
        <v>7.4210526315789474E-4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input_521100!A$2</f>
        <v>521100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IFERROR(VLOOKUP(B252,input_521100!L:R,7,FALSE),VLOOKUP(tables_521100!C252,input_521100!A:H,8,FALSE))</f>
        <v>3515</v>
      </c>
      <c r="P252" s="46">
        <f t="shared" ca="1" si="10"/>
        <v>1.4230769230769231E-4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input_521100!A$2</f>
        <v>521100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IFERROR(VLOOKUP(B253,input_521100!L:R,7,FALSE),VLOOKUP(tables_521100!C253,input_521100!A:H,8,FALSE))</f>
        <v>285</v>
      </c>
      <c r="P253" s="46">
        <f t="shared" ca="1" si="10"/>
        <v>1.1538461538461538E-5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input_521100!A$2</f>
        <v>521100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IFERROR(VLOOKUP(B254,input_521100!L:R,7,FALSE),VLOOKUP(tables_521100!C254,input_521100!A:H,8,FALSE))</f>
        <v>3515</v>
      </c>
      <c r="P254" s="46">
        <f t="shared" ca="1" si="10"/>
        <v>1.4230769230769231E-4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input_521100!A$2</f>
        <v>521100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IFERROR(VLOOKUP(B255,input_521100!L:R,7,FALSE),VLOOKUP(tables_521100!C255,input_521100!A:H,8,FALSE))</f>
        <v>285</v>
      </c>
      <c r="P255" s="46">
        <f t="shared" ca="1" si="10"/>
        <v>1.1538461538461538E-5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input_521100!A$2</f>
        <v>521100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IFERROR(VLOOKUP(B256,input_521100!L:R,7,FALSE),VLOOKUP(tables_521100!C256,input_521100!A:H,8,FALSE))</f>
        <v>226070</v>
      </c>
      <c r="P256" s="46">
        <f t="shared" ca="1" si="10"/>
        <v>9.1526315789473688E-3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input_521100!A$2</f>
        <v>521100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IFERROR(VLOOKUP(B257,input_521100!L:R,7,FALSE),VLOOKUP(tables_521100!C257,input_521100!A:H,8,FALSE))</f>
        <v>18330</v>
      </c>
      <c r="P257" s="46">
        <f t="shared" ca="1" si="10"/>
        <v>7.4210526315789474E-4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input_521100!A$2</f>
        <v>521100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IFERROR(VLOOKUP(B258,input_521100!L:R,7,FALSE),VLOOKUP(tables_521100!C258,input_521100!A:H,8,FALSE))</f>
        <v>226070</v>
      </c>
      <c r="P258" s="46">
        <f t="shared" ref="P258:P294" ca="1" si="13">O258/SUM(O:O)</f>
        <v>9.1526315789473688E-3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input_521100!A$2</f>
        <v>521100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IFERROR(VLOOKUP(B259,input_521100!L:R,7,FALSE),VLOOKUP(tables_521100!C259,input_521100!A:H,8,FALSE))</f>
        <v>18330</v>
      </c>
      <c r="P259" s="46">
        <f t="shared" ca="1" si="13"/>
        <v>7.4210526315789474E-4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input_521100!A$2</f>
        <v>521100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IFERROR(VLOOKUP(B260,input_521100!L:R,7,FALSE),VLOOKUP(tables_521100!C260,input_521100!A:H,8,FALSE))</f>
        <v>3800</v>
      </c>
      <c r="P260" s="46">
        <f t="shared" ca="1" si="13"/>
        <v>1.5384615384615385E-4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input_521100!A$2</f>
        <v>521100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IFERROR(VLOOKUP(B261,input_521100!L:R,7,FALSE),VLOOKUP(tables_521100!C261,input_521100!A:H,8,FALSE))</f>
        <v>3800</v>
      </c>
      <c r="P261" s="46">
        <f t="shared" ca="1" si="13"/>
        <v>1.5384615384615385E-4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input_521100!A$2</f>
        <v>521100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IFERROR(VLOOKUP(B262,input_521100!L:R,7,FALSE),VLOOKUP(tables_521100!C262,input_521100!A:H,8,FALSE))</f>
        <v>3515</v>
      </c>
      <c r="P262" s="46">
        <f t="shared" ca="1" si="13"/>
        <v>1.4230769230769231E-4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input_521100!A$2</f>
        <v>521100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IFERROR(VLOOKUP(B263,input_521100!L:R,7,FALSE),VLOOKUP(tables_521100!C263,input_521100!A:H,8,FALSE))</f>
        <v>285</v>
      </c>
      <c r="P263" s="46">
        <f t="shared" ca="1" si="13"/>
        <v>1.1538461538461538E-5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input_521100!A$2</f>
        <v>521100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IFERROR(VLOOKUP(B264,input_521100!L:R,7,FALSE),VLOOKUP(tables_521100!C264,input_521100!A:H,8,FALSE))</f>
        <v>3515</v>
      </c>
      <c r="P264" s="46">
        <f t="shared" ca="1" si="13"/>
        <v>1.4230769230769231E-4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input_521100!A$2</f>
        <v>521100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IFERROR(VLOOKUP(B265,input_521100!L:R,7,FALSE),VLOOKUP(tables_521100!C265,input_521100!A:H,8,FALSE))</f>
        <v>285</v>
      </c>
      <c r="P265" s="46">
        <f t="shared" ca="1" si="13"/>
        <v>1.1538461538461538E-5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input_521100!A$2</f>
        <v>521100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IFERROR(VLOOKUP(B266,input_521100!L:R,7,FALSE),VLOOKUP(tables_521100!C266,input_521100!A:H,8,FALSE))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input_521100!A$2</f>
        <v>521100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IFERROR(VLOOKUP(B267,input_521100!L:R,7,FALSE),VLOOKUP(tables_521100!C267,input_521100!A:H,8,FALSE))</f>
        <v>226070</v>
      </c>
      <c r="P267" s="46">
        <f t="shared" ca="1" si="13"/>
        <v>9.1526315789473688E-3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input_521100!A$2</f>
        <v>521100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IFERROR(VLOOKUP(B268,input_521100!L:R,7,FALSE),VLOOKUP(tables_521100!C268,input_521100!A:H,8,FALSE))</f>
        <v>18330</v>
      </c>
      <c r="P268" s="46">
        <f t="shared" ca="1" si="13"/>
        <v>7.4210526315789474E-4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input_521100!A$2</f>
        <v>521100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IFERROR(VLOOKUP(B269,input_521100!L:R,7,FALSE),VLOOKUP(tables_521100!C269,input_521100!A:H,8,FALSE))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input_521100!A$2</f>
        <v>521100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IFERROR(VLOOKUP(B270,input_521100!L:R,7,FALSE),VLOOKUP(tables_521100!C270,input_521100!A:H,8,FALSE))</f>
        <v>226070</v>
      </c>
      <c r="P270" s="46">
        <f t="shared" ca="1" si="13"/>
        <v>9.1526315789473688E-3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input_521100!A$2</f>
        <v>521100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IFERROR(VLOOKUP(B271,input_521100!L:R,7,FALSE),VLOOKUP(tables_521100!C271,input_521100!A:H,8,FALSE))</f>
        <v>18330</v>
      </c>
      <c r="P271" s="46">
        <f t="shared" ca="1" si="13"/>
        <v>7.4210526315789474E-4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input_521100!A$2</f>
        <v>521100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>IFERROR(VLOOKUP(B272,input_521100!L:R,7,FALSE),VLOOKUP(tables_521100!C272,input_521100!A:H,8,FALSE))</f>
        <v>308750</v>
      </c>
      <c r="P272" s="46">
        <f t="shared" ca="1" si="13"/>
        <v>1.2500000000000001E-2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input_521100!A$2</f>
        <v>521100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IFERROR(VLOOKUP(B273,input_521100!L:R,7,FALSE),VLOOKUP(tables_521100!C273,input_521100!A:H,8,FALSE))</f>
        <v>3800</v>
      </c>
      <c r="P273" s="46">
        <f t="shared" ca="1" si="13"/>
        <v>1.5384615384615385E-4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input_521100!A$2</f>
        <v>521100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IFERROR(VLOOKUP(B274,input_521100!L:R,7,FALSE),VLOOKUP(tables_521100!C274,input_521100!A:H,8,FALSE))</f>
        <v>226070</v>
      </c>
      <c r="P274" s="46">
        <f t="shared" ca="1" si="13"/>
        <v>9.1526315789473688E-3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input_521100!A$2</f>
        <v>521100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IFERROR(VLOOKUP(B275,input_521100!L:R,7,FALSE),VLOOKUP(tables_521100!C275,input_521100!A:H,8,FALSE))</f>
        <v>18330</v>
      </c>
      <c r="P275" s="46">
        <f t="shared" ca="1" si="13"/>
        <v>7.4210526315789474E-4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input_521100!A$2</f>
        <v>521100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IFERROR(VLOOKUP(B276,input_521100!L:R,7,FALSE),VLOOKUP(tables_521100!C276,input_521100!A:H,8,FALSE))</f>
        <v>226070</v>
      </c>
      <c r="P276" s="46">
        <f t="shared" ca="1" si="13"/>
        <v>9.1526315789473688E-3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input_521100!A$2</f>
        <v>521100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IFERROR(VLOOKUP(B277,input_521100!L:R,7,FALSE),VLOOKUP(tables_521100!C277,input_521100!A:H,8,FALSE))</f>
        <v>18330</v>
      </c>
      <c r="P277" s="46">
        <f t="shared" ca="1" si="13"/>
        <v>7.4210526315789474E-4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input_521100!A$2</f>
        <v>521100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IFERROR(VLOOKUP(B278,input_521100!L:R,7,FALSE),VLOOKUP(tables_521100!C278,input_521100!A:H,8,FALSE))</f>
        <v>226070</v>
      </c>
      <c r="P278" s="46">
        <f t="shared" ca="1" si="13"/>
        <v>9.1526315789473688E-3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input_521100!A$2</f>
        <v>521100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IFERROR(VLOOKUP(B279,input_521100!L:R,7,FALSE),VLOOKUP(tables_521100!C279,input_521100!A:H,8,FALSE))</f>
        <v>18330</v>
      </c>
      <c r="P279" s="46">
        <f t="shared" ca="1" si="13"/>
        <v>7.4210526315789474E-4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input_521100!A$2</f>
        <v>521100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IFERROR(VLOOKUP(B280,input_521100!L:R,7,FALSE),VLOOKUP(tables_521100!C280,input_521100!A:H,8,FALSE))</f>
        <v>226070</v>
      </c>
      <c r="P280" s="46">
        <f t="shared" ca="1" si="13"/>
        <v>9.1526315789473688E-3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input_521100!A$2</f>
        <v>521100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IFERROR(VLOOKUP(B281,input_521100!L:R,7,FALSE),VLOOKUP(tables_521100!C281,input_521100!A:H,8,FALSE))</f>
        <v>18330</v>
      </c>
      <c r="P281" s="46">
        <f t="shared" ca="1" si="13"/>
        <v>7.4210526315789474E-4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input_521100!A$2</f>
        <v>521100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IFERROR(VLOOKUP(B282,input_521100!L:R,7,FALSE),VLOOKUP(tables_521100!C282,input_521100!A:H,8,FALSE))</f>
        <v>3800</v>
      </c>
      <c r="P282" s="46">
        <f t="shared" ca="1" si="13"/>
        <v>1.5384615384615385E-4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input_521100!A$2</f>
        <v>521100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IFERROR(VLOOKUP(B283,input_521100!L:R,7,FALSE),VLOOKUP(tables_521100!C283,input_521100!A:H,8,FALSE))</f>
        <v>3800</v>
      </c>
      <c r="P283" s="46">
        <f t="shared" ca="1" si="13"/>
        <v>1.5384615384615385E-4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input_521100!A$2</f>
        <v>521100</v>
      </c>
      <c r="B284" s="91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IFERROR(VLOOKUP(B284,input_521100!L:R,7,FALSE),VLOOKUP(tables_521100!C284,input_521100!A:H,8,FALSE))</f>
        <v>3800</v>
      </c>
      <c r="P284" s="46">
        <f t="shared" ca="1" si="13"/>
        <v>1.5384615384615385E-4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input_521100!A$2</f>
        <v>521100</v>
      </c>
      <c r="B285" s="91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IFERROR(VLOOKUP(B285,input_521100!L:R,7,FALSE),VLOOKUP(tables_521100!C285,input_521100!A:H,8,FALSE))</f>
        <v>3800</v>
      </c>
      <c r="P285" s="46">
        <f t="shared" ca="1" si="13"/>
        <v>1.5384615384615385E-4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input_521100!A$2</f>
        <v>521100</v>
      </c>
      <c r="B286" s="91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IFERROR(VLOOKUP(B286,input_521100!L:R,7,FALSE),VLOOKUP(tables_521100!C286,input_521100!A:H,8,FALSE))</f>
        <v>226070</v>
      </c>
      <c r="P286" s="46">
        <f t="shared" ca="1" si="13"/>
        <v>9.1526315789473688E-3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input_521100!A$2</f>
        <v>521100</v>
      </c>
      <c r="B287" s="91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IFERROR(VLOOKUP(B287,input_521100!L:R,7,FALSE),VLOOKUP(tables_521100!C287,input_521100!A:H,8,FALSE))</f>
        <v>18330</v>
      </c>
      <c r="P287" s="46">
        <f t="shared" ca="1" si="13"/>
        <v>7.4210526315789474E-4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input_521100!A$2</f>
        <v>521100</v>
      </c>
      <c r="B288" s="91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IFERROR(VLOOKUP(B288,input_521100!L:R,7,FALSE),VLOOKUP(tables_521100!C288,input_521100!A:H,8,FALSE))</f>
        <v>226070</v>
      </c>
      <c r="P288" s="46">
        <f t="shared" ca="1" si="13"/>
        <v>9.1526315789473688E-3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input_521100!A$2</f>
        <v>521100</v>
      </c>
      <c r="B289" s="91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IFERROR(VLOOKUP(B289,input_521100!L:R,7,FALSE),VLOOKUP(tables_521100!C289,input_521100!A:H,8,FALSE))</f>
        <v>18330</v>
      </c>
      <c r="P289" s="46">
        <f t="shared" ca="1" si="13"/>
        <v>7.4210526315789474E-4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input_521100!A$2</f>
        <v>521100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IFERROR(VLOOKUP(B290,input_521100!L:R,7,FALSE),VLOOKUP(tables_521100!C290,input_521100!A:H,8,FALSE))</f>
        <v>3800</v>
      </c>
      <c r="P290" s="46">
        <f t="shared" ca="1" si="13"/>
        <v>1.5384615384615385E-4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input_521100!A$2</f>
        <v>521100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IFERROR(VLOOKUP(B291,input_521100!L:R,7,FALSE),VLOOKUP(tables_521100!C291,input_521100!A:H,8,FALSE))</f>
        <v>226070</v>
      </c>
      <c r="P291" s="46">
        <f t="shared" ca="1" si="13"/>
        <v>9.1526315789473688E-3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input_521100!A$2</f>
        <v>521100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IFERROR(VLOOKUP(B292,input_521100!L:R,7,FALSE),VLOOKUP(tables_521100!C292,input_521100!A:H,8,FALSE))</f>
        <v>18330</v>
      </c>
      <c r="P292" s="46">
        <f t="shared" ca="1" si="13"/>
        <v>7.4210526315789474E-4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input_521100!A$2</f>
        <v>521100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IFERROR(VLOOKUP(B293,input_521100!L:R,7,FALSE),VLOOKUP(tables_521100!C293,input_521100!A:H,8,FALSE))</f>
        <v>3800</v>
      </c>
      <c r="P293" s="46">
        <f t="shared" ca="1" si="13"/>
        <v>1.5384615384615385E-4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input_521100!A$2</f>
        <v>521100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IFERROR(VLOOKUP(B294,input_521100!L:R,7,FALSE),VLOOKUP(tables_521100!C294,input_521100!A:H,8,FALSE))</f>
        <v>3800</v>
      </c>
      <c r="P294" s="46">
        <f t="shared" ca="1" si="13"/>
        <v>1.5384615384615385E-4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input_521100!A$2</f>
        <v>521100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IFERROR(VLOOKUP(B295,input_521100!L:R,7,FALSE),VLOOKUP(tables_521100!C295,input_521100!A:H,8,FALSE))</f>
        <v>3800</v>
      </c>
      <c r="P295" s="46">
        <f t="shared" ref="P295:P299" ca="1" si="20">O295/SUM(O:O)</f>
        <v>1.5384615384615385E-4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input_521100!A$2</f>
        <v>521100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IFERROR(VLOOKUP(B296,input_521100!L:R,7,FALSE),VLOOKUP(tables_521100!C296,input_521100!A:H,8,FALSE))</f>
        <v>3800</v>
      </c>
      <c r="P296" s="46">
        <f t="shared" ca="1" si="20"/>
        <v>1.5384615384615385E-4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input_521100!A$2</f>
        <v>521100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IFERROR(VLOOKUP(B297,input_521100!L:R,7,FALSE),VLOOKUP(tables_521100!C297,input_521100!A:H,8,FALSE))</f>
        <v>226070</v>
      </c>
      <c r="P297" s="46">
        <f t="shared" ca="1" si="20"/>
        <v>9.1526315789473688E-3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input_521100!A$2</f>
        <v>521100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IFERROR(VLOOKUP(B298,input_521100!L:R,7,FALSE),VLOOKUP(tables_521100!C298,input_521100!A:H,8,FALSE))</f>
        <v>18330</v>
      </c>
      <c r="P298" s="46">
        <f t="shared" ca="1" si="20"/>
        <v>7.4210526315789474E-4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input_521100!A$2</f>
        <v>521100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IFERROR(VLOOKUP(B299,input_521100!L:R,7,FALSE),VLOOKUP(tables_521100!C299,input_521100!A:H,8,FALSE))</f>
        <v>3800</v>
      </c>
      <c r="P299" s="46">
        <f t="shared" ca="1" si="20"/>
        <v>1.5384615384615385E-4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input_521100!A$2</f>
        <v>521100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IFERROR(VLOOKUP(B300,input_521100!L:R,7,FALSE),VLOOKUP(tables_521100!C300,input_521100!A:H,8,FALSE))</f>
        <v>226070</v>
      </c>
      <c r="P300" s="46">
        <f t="shared" ref="P300:P304" ca="1" si="22">O300/SUM(O:O)</f>
        <v>9.1526315789473688E-3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input_521100!A$2</f>
        <v>521100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IFERROR(VLOOKUP(B301,input_521100!L:R,7,FALSE),VLOOKUP(tables_521100!C301,input_521100!A:H,8,FALSE))</f>
        <v>18330</v>
      </c>
      <c r="P301" s="46">
        <f t="shared" ca="1" si="22"/>
        <v>7.4210526315789474E-4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input_521100!A$2</f>
        <v>521100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IFERROR(VLOOKUP(B302,input_521100!L:R,7,FALSE),VLOOKUP(tables_521100!C302,input_521100!A:H,8,FALSE))</f>
        <v>3800</v>
      </c>
      <c r="P302" s="46">
        <f t="shared" ca="1" si="22"/>
        <v>1.5384615384615385E-4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input_521100!A$2</f>
        <v>521100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>IFERROR(VLOOKUP(B303,input_521100!L:R,7,FALSE),VLOOKUP(tables_521100!C303,input_521100!A:H,8,FALSE))</f>
        <v>308750</v>
      </c>
      <c r="P303" s="46">
        <f t="shared" ca="1" si="22"/>
        <v>1.2500000000000001E-2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input_521100!A$2</f>
        <v>521100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IFERROR(VLOOKUP(B304,input_521100!L:R,7,FALSE),VLOOKUP(tables_521100!C304,input_521100!A:H,8,FALSE))</f>
        <v>3800</v>
      </c>
      <c r="P304" s="46">
        <f t="shared" ca="1" si="22"/>
        <v>1.5384615384615385E-4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input_521100!A$2</f>
        <v>521100</v>
      </c>
      <c r="B305" s="5">
        <v>1067</v>
      </c>
      <c r="C305" s="7" t="str">
        <f t="shared" ref="C305:C308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IFERROR(VLOOKUP(B305,input_521100!L:R,7,FALSE),VLOOKUP(tables_521100!C305,input_521100!A:H,8,FALSE))</f>
        <v>226070</v>
      </c>
      <c r="P305" s="46">
        <f t="shared" ref="P305:P308" ca="1" si="24">O305/SUM(O:O)</f>
        <v>9.1526315789473688E-3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input_521100!A$2</f>
        <v>521100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IFERROR(VLOOKUP(B306,input_521100!L:R,7,FALSE),VLOOKUP(tables_521100!C306,input_521100!A:H,8,FALSE))</f>
        <v>18330</v>
      </c>
      <c r="P306" s="46">
        <f t="shared" ca="1" si="24"/>
        <v>7.4210526315789474E-4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input_521100!A$2</f>
        <v>521100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IFERROR(VLOOKUP(B307,input_521100!L:R,7,FALSE),VLOOKUP(tables_521100!C307,input_521100!A:H,8,FALSE))</f>
        <v>3800</v>
      </c>
      <c r="P307" s="46">
        <f t="shared" ca="1" si="24"/>
        <v>1.5384615384615385E-4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input_521100!A$2</f>
        <v>521100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IFERROR(VLOOKUP(B308,input_521100!L:R,7,FALSE),VLOOKUP(tables_521100!C308,input_521100!A:H,8,FALSE))</f>
        <v>3800</v>
      </c>
      <c r="P308" s="46">
        <f t="shared" ca="1" si="24"/>
        <v>1.5384615384615385E-4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input_521100!A$2</f>
        <v>521100</v>
      </c>
      <c r="B309" s="5">
        <v>1074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IFERROR(VLOOKUP(B309,input_521100!L:R,7,FALSE),VLOOKUP(tables_521100!C309,input_521100!A:H,8,FALSE))</f>
        <v>3800</v>
      </c>
      <c r="P309" s="46">
        <f t="shared" ref="P309" ca="1" si="26">O309/SUM(O:O)</f>
        <v>1.5384615384615385E-4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input_521100!A$2</f>
        <v>521100</v>
      </c>
      <c r="B310" s="5">
        <v>1104</v>
      </c>
      <c r="C310" s="7" t="str">
        <f t="shared" ref="C310:C314" si="27">D310&amp;J310&amp;E310&amp;F310&amp;G310</f>
        <v>Premium4R3less</v>
      </c>
      <c r="D310" s="7" t="str">
        <f t="shared" ref="D310:D314" si="28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IFERROR(VLOOKUP(B310,input_521100!L:R,7,FALSE),VLOOKUP(tables_521100!C310,input_521100!A:H,8,FALSE))</f>
        <v>226070</v>
      </c>
      <c r="P310" s="46">
        <f t="shared" ref="P310:P314" ca="1" si="29">O310/SUM(O:O)</f>
        <v>9.1526315789473688E-3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input_521100!A$2</f>
        <v>521100</v>
      </c>
      <c r="B311" s="5">
        <v>1105</v>
      </c>
      <c r="C311" s="7" t="str">
        <f t="shared" si="27"/>
        <v>Premium5R3less</v>
      </c>
      <c r="D311" s="7" t="str">
        <f t="shared" si="2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IFERROR(VLOOKUP(B311,input_521100!L:R,7,FALSE),VLOOKUP(tables_521100!C311,input_521100!A:H,8,FALSE))</f>
        <v>18330</v>
      </c>
      <c r="P311" s="46">
        <f t="shared" ca="1" si="29"/>
        <v>7.4210526315789474E-4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input_521100!A$2</f>
        <v>521100</v>
      </c>
      <c r="B312" s="5">
        <v>1106</v>
      </c>
      <c r="C312" s="7" t="str">
        <f t="shared" si="27"/>
        <v>PremiumSS5R5only</v>
      </c>
      <c r="D312" s="7" t="str">
        <f t="shared" si="28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IFERROR(VLOOKUP(B312,input_521100!L:R,7,FALSE),VLOOKUP(tables_521100!C312,input_521100!A:H,8,FALSE))</f>
        <v>3800</v>
      </c>
      <c r="P312" s="46">
        <f t="shared" ca="1" si="29"/>
        <v>1.5384615384615385E-4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input_521100!A$2</f>
        <v>521100</v>
      </c>
      <c r="B313" s="5">
        <v>1102</v>
      </c>
      <c r="C313" s="7" t="str">
        <f t="shared" si="27"/>
        <v>PremiumSS5R5only</v>
      </c>
      <c r="D313" s="7" t="str">
        <f t="shared" si="2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IFERROR(VLOOKUP(B313,input_521100!L:R,7,FALSE),VLOOKUP(tables_521100!C313,input_521100!A:H,8,FALSE))</f>
        <v>3800</v>
      </c>
      <c r="P313" s="46">
        <f t="shared" ca="1" si="29"/>
        <v>1.5384615384615385E-4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input_521100!A$2</f>
        <v>521100</v>
      </c>
      <c r="B314" s="5">
        <v>1100</v>
      </c>
      <c r="C314" s="7" t="str">
        <f t="shared" si="27"/>
        <v>PremiumSS5R5only</v>
      </c>
      <c r="D314" s="7" t="str">
        <f t="shared" si="2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IFERROR(VLOOKUP(B314,input_521100!L:R,7,FALSE),VLOOKUP(tables_521100!C314,input_521100!A:H,8,FALSE))</f>
        <v>3800</v>
      </c>
      <c r="P314" s="46">
        <f t="shared" ca="1" si="29"/>
        <v>1.5384615384615385E-4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input_521100!A$2</f>
        <v>521100</v>
      </c>
      <c r="B315" s="5">
        <v>1137</v>
      </c>
      <c r="C315" s="7" t="str">
        <f t="shared" ref="C315:C319" si="30">D315&amp;J315&amp;E315&amp;F315&amp;G315</f>
        <v>PremiumSS5R5only</v>
      </c>
      <c r="D315" s="7" t="str">
        <f t="shared" ref="D315:D319" si="31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IFERROR(VLOOKUP(B315,input_521100!L:R,7,FALSE),VLOOKUP(tables_521100!C315,input_521100!A:H,8,FALSE))</f>
        <v>3800</v>
      </c>
      <c r="P315" s="46">
        <f t="shared" ref="P315:P319" ca="1" si="32">O315/SUM(O:O)</f>
        <v>1.5384615384615385E-4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input_521100!A$2</f>
        <v>521100</v>
      </c>
      <c r="B316" s="5">
        <v>1139</v>
      </c>
      <c r="C316" s="7" t="str">
        <f t="shared" si="30"/>
        <v>PremiumSS5R5only</v>
      </c>
      <c r="D316" s="7" t="str">
        <f t="shared" si="31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IFERROR(VLOOKUP(B316,input_521100!L:R,7,FALSE),VLOOKUP(tables_521100!C316,input_521100!A:H,8,FALSE))</f>
        <v>3800</v>
      </c>
      <c r="P316" s="46">
        <f t="shared" ca="1" si="32"/>
        <v>1.5384615384615385E-4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input_521100!A$2</f>
        <v>521100</v>
      </c>
      <c r="B317" s="5">
        <v>1141</v>
      </c>
      <c r="C317" s="7" t="str">
        <f t="shared" si="30"/>
        <v>PremiumSS5R5only</v>
      </c>
      <c r="D317" s="7" t="str">
        <f t="shared" si="31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IFERROR(VLOOKUP(B317,input_521100!L:R,7,FALSE),VLOOKUP(tables_521100!C317,input_521100!A:H,8,FALSE))</f>
        <v>3800</v>
      </c>
      <c r="P317" s="46">
        <f t="shared" ca="1" si="32"/>
        <v>1.5384615384615385E-4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input_521100!A$2</f>
        <v>521100</v>
      </c>
      <c r="B318" s="5">
        <v>1143</v>
      </c>
      <c r="C318" s="7" t="str">
        <f t="shared" si="30"/>
        <v>Premium4R3less</v>
      </c>
      <c r="D318" s="7" t="str">
        <f t="shared" si="31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IFERROR(VLOOKUP(B318,input_521100!L:R,7,FALSE),VLOOKUP(tables_521100!C318,input_521100!A:H,8,FALSE))</f>
        <v>226070</v>
      </c>
      <c r="P318" s="46">
        <f t="shared" ca="1" si="32"/>
        <v>9.1526315789473688E-3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input_521100!A$2</f>
        <v>521100</v>
      </c>
      <c r="B319" s="5">
        <v>1144</v>
      </c>
      <c r="C319" s="7" t="str">
        <f t="shared" si="30"/>
        <v>Premium5R3less</v>
      </c>
      <c r="D319" s="7" t="str">
        <f t="shared" si="31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IFERROR(VLOOKUP(B319,input_521100!L:R,7,FALSE),VLOOKUP(tables_521100!C319,input_521100!A:H,8,FALSE))</f>
        <v>18330</v>
      </c>
      <c r="P319" s="46">
        <f t="shared" ca="1" si="32"/>
        <v>7.4210526315789474E-4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input_521100!A$2</f>
        <v>521100</v>
      </c>
      <c r="B320" s="2">
        <v>1151</v>
      </c>
      <c r="C320" s="7" t="str">
        <f t="shared" ref="C320:C344" si="33">D320&amp;J320&amp;E320&amp;F320&amp;G320</f>
        <v>Premium4R3less</v>
      </c>
      <c r="D320" s="7" t="str">
        <f t="shared" ref="D320:D344" si="34">IF(OR(I320="PremiumSS",I320="PremiumSSw"),"PremiumSS",IF(I320="PremiumSSS",I320,IF(I320="PremiumW",I320,"Premium")))</f>
        <v>Premium</v>
      </c>
      <c r="E320" s="7" t="str">
        <f>IF(COUNTIF('R6追加前'!A:A,B320)=0,IF(OR(I320="PremiumSS",I320="PremiumSSw"),"R5only","R3less"),"")</f>
        <v>R3less</v>
      </c>
      <c r="F320" s="7" t="str">
        <f>IF(COUNTIF('R6開放'!A:A,B320)&gt;0,"R6release","")</f>
        <v/>
      </c>
      <c r="G320" s="7"/>
      <c r="H320" s="7" t="str">
        <f>VLOOKUP(B320,[1]characters!$A:$C,3,FALSE)</f>
        <v>ガネーシャ</v>
      </c>
      <c r="I320" s="7" t="str">
        <f>VLOOKUP(B320,[1]characters!$A:$J,10,FALSE)</f>
        <v>PremiumS</v>
      </c>
      <c r="J320" s="7">
        <f>VLOOKUP(B320,[1]characters!$A:$I,9,FALSE)</f>
        <v>4</v>
      </c>
      <c r="K320" s="7" t="str">
        <f>VLOOKUP(B320,[1]characters!$A:$H,8,FALSE)</f>
        <v>red</v>
      </c>
      <c r="L320" s="7" t="str">
        <f>VLOOKUP(B320,[1]characters!$A:$K,11,FALSE)</f>
        <v>heal</v>
      </c>
      <c r="M320" s="7" t="str">
        <f>VLOOKUP(B320,[1]characters!$A:$M,13,FALSE)</f>
        <v>god</v>
      </c>
      <c r="N320" s="7" t="str">
        <f>VLOOKUP(B320,[1]characters!$A:$G,7,FALSE)</f>
        <v>不明</v>
      </c>
      <c r="O320" s="45">
        <f ca="1">IFERROR(VLOOKUP(B320,input_521100!L:R,7,FALSE),VLOOKUP(tables_521100!C320,input_521100!A:H,8,FALSE))</f>
        <v>226070</v>
      </c>
      <c r="P320" s="46">
        <f t="shared" ref="P320:P344" ca="1" si="35">O320/SUM(O:O)</f>
        <v>9.1526315789473688E-3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input_521100!A$2</f>
        <v>521100</v>
      </c>
      <c r="B321" s="2">
        <v>1152</v>
      </c>
      <c r="C321" s="7" t="str">
        <f t="shared" si="33"/>
        <v>Premium5R3less</v>
      </c>
      <c r="D321" s="7" t="str">
        <f t="shared" si="34"/>
        <v>Premium</v>
      </c>
      <c r="E321" s="7" t="str">
        <f>IF(COUNTIF('R6追加前'!A:A,B321)=0,IF(OR(I321="PremiumSS",I321="PremiumSSw"),"R5only","R3less"),"")</f>
        <v>R3less</v>
      </c>
      <c r="F321" s="7" t="str">
        <f>IF(COUNTIF('R6開放'!A:A,B321)&gt;0,"R6release","")</f>
        <v/>
      </c>
      <c r="G321" s="7"/>
      <c r="H321" s="7" t="str">
        <f>VLOOKUP(B321,[1]characters!$A:$C,3,FALSE)</f>
        <v>衆知の富益神 ガネーシャ</v>
      </c>
      <c r="I321" s="7" t="str">
        <f>VLOOKUP(B321,[1]characters!$A:$J,10,FALSE)</f>
        <v>PremiumS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heal</v>
      </c>
      <c r="M321" s="7" t="str">
        <f>VLOOKUP(B321,[1]characters!$A:$M,13,FALSE)</f>
        <v>god</v>
      </c>
      <c r="N321" s="7" t="str">
        <f>VLOOKUP(B321,[1]characters!$A:$G,7,FALSE)</f>
        <v>不明</v>
      </c>
      <c r="O321" s="45">
        <f ca="1">IFERROR(VLOOKUP(B321,input_521100!L:R,7,FALSE),VLOOKUP(tables_521100!C321,input_521100!A:H,8,FALSE))</f>
        <v>18330</v>
      </c>
      <c r="P321" s="46">
        <f t="shared" ca="1" si="35"/>
        <v>7.4210526315789474E-4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input_521100!A$2</f>
        <v>521100</v>
      </c>
      <c r="B322" s="2">
        <v>1153</v>
      </c>
      <c r="C322" s="7" t="str">
        <f t="shared" si="33"/>
        <v>PremiumSS5R5only</v>
      </c>
      <c r="D322" s="7" t="str">
        <f t="shared" si="3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ラクシュミー</v>
      </c>
      <c r="I322" s="7" t="str">
        <f>VLOOKUP(B322,[1]characters!$A:$J,10,FALSE)</f>
        <v>PremiumSSw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hp</v>
      </c>
      <c r="M322" s="7" t="str">
        <f>VLOOKUP(B322,[1]characters!$A:$M,13,FALSE)</f>
        <v>god</v>
      </c>
      <c r="N322" s="7" t="str">
        <f>VLOOKUP(B322,[1]characters!$A:$G,7,FALSE)</f>
        <v>不明</v>
      </c>
      <c r="O322" s="45">
        <f ca="1">IFERROR(VLOOKUP(B322,input_521100!L:R,7,FALSE),VLOOKUP(tables_521100!C322,input_521100!A:H,8,FALSE))</f>
        <v>3800</v>
      </c>
      <c r="P322" s="46">
        <f t="shared" ca="1" si="35"/>
        <v>1.5384615384615385E-4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input_521100!A$2</f>
        <v>521100</v>
      </c>
      <c r="B323" s="2">
        <v>1155</v>
      </c>
      <c r="C323" s="7" t="str">
        <f t="shared" si="33"/>
        <v>PremiumSS5R5only</v>
      </c>
      <c r="D323" s="7" t="str">
        <f t="shared" si="34"/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ドゥルガー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god</v>
      </c>
      <c r="N323" s="7" t="str">
        <f>VLOOKUP(B323,[1]characters!$A:$G,7,FALSE)</f>
        <v>不明</v>
      </c>
      <c r="O323" s="45">
        <f ca="1">IFERROR(VLOOKUP(B323,input_521100!L:R,7,FALSE),VLOOKUP(tables_521100!C323,input_521100!A:H,8,FALSE))</f>
        <v>3800</v>
      </c>
      <c r="P323" s="46">
        <f t="shared" ca="1" si="35"/>
        <v>1.5384615384615385E-4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input_521100!A$2</f>
        <v>521100</v>
      </c>
      <c r="B324" s="2">
        <v>1157</v>
      </c>
      <c r="C324" s="7" t="str">
        <f t="shared" si="33"/>
        <v>PremiumSS5R5only</v>
      </c>
      <c r="D324" s="7" t="str">
        <f t="shared" si="34"/>
        <v>PremiumSS</v>
      </c>
      <c r="E324" s="7" t="str">
        <f>IF(COUNTIF('R6追加前'!A:A,B324)=0,IF(OR(I324="PremiumSS",I324="PremiumSSw"),"R5only","R3less"),"")</f>
        <v>R5only</v>
      </c>
      <c r="F324" s="7" t="str">
        <f>IF(COUNTIF('R6開放'!A:A,B324)&gt;0,"R6release","")</f>
        <v/>
      </c>
      <c r="G324" s="7"/>
      <c r="H324" s="7" t="str">
        <f>VLOOKUP(B324,[1]characters!$A:$C,3,FALSE)</f>
        <v>インドラ</v>
      </c>
      <c r="I324" s="7" t="str">
        <f>VLOOKUP(B324,[1]characters!$A:$J,10,FALSE)</f>
        <v>PremiumSS</v>
      </c>
      <c r="J324" s="7">
        <f>VLOOKUP(B324,[1]characters!$A:$I,9,FALSE)</f>
        <v>5</v>
      </c>
      <c r="K324" s="7" t="str">
        <f>VLOOKUP(B324,[1]characters!$A:$H,8,FALSE)</f>
        <v>yellow</v>
      </c>
      <c r="L324" s="7" t="str">
        <f>VLOOKUP(B324,[1]characters!$A:$K,11,FALSE)</f>
        <v>attack</v>
      </c>
      <c r="M324" s="7" t="str">
        <f>VLOOKUP(B324,[1]characters!$A:$M,13,FALSE)</f>
        <v>god</v>
      </c>
      <c r="N324" s="7" t="str">
        <f>VLOOKUP(B324,[1]characters!$A:$G,7,FALSE)</f>
        <v>不明</v>
      </c>
      <c r="O324" s="45">
        <f ca="1">IFERROR(VLOOKUP(B324,input_521100!L:R,7,FALSE),VLOOKUP(tables_521100!C324,input_521100!A:H,8,FALSE))</f>
        <v>3800</v>
      </c>
      <c r="P324" s="46">
        <f t="shared" ca="1" si="35"/>
        <v>1.5384615384615385E-4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input_521100!A$2</f>
        <v>521100</v>
      </c>
      <c r="B325" s="60">
        <v>1214</v>
      </c>
      <c r="C325" s="7" t="str">
        <f t="shared" si="33"/>
        <v>PremiumSS5R5only</v>
      </c>
      <c r="D325" s="7" t="str">
        <f t="shared" si="34"/>
        <v>PremiumSS</v>
      </c>
      <c r="E325" s="7" t="str">
        <f>IF(COUNTIF('R6追加前'!A:A,B325)=0,IF(OR(I325="PremiumSS",I325="PremiumSSw"),"R5only","R3less"),"")</f>
        <v>R5only</v>
      </c>
      <c r="F325" s="7" t="str">
        <f>IF(COUNTIF('R6開放'!A:A,B325)&gt;0,"R6release","")</f>
        <v/>
      </c>
      <c r="G325" s="7"/>
      <c r="H325" s="7" t="str">
        <f>VLOOKUP(B325,[1]characters!$A:$C,3,FALSE)</f>
        <v>アルテミス</v>
      </c>
      <c r="I325" s="7" t="str">
        <f>VLOOKUP(B325,[1]characters!$A:$J,10,FALSE)</f>
        <v>PremiumSSw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balance</v>
      </c>
      <c r="M325" s="7" t="str">
        <f>VLOOKUP(B325,[1]characters!$A:$M,13,FALSE)</f>
        <v>god</v>
      </c>
      <c r="N325" s="7">
        <f>VLOOKUP(B325,[1]characters!$A:$G,7,FALSE)</f>
        <v>0</v>
      </c>
      <c r="O325" s="45">
        <f ca="1">IFERROR(VLOOKUP(B325,input_521100!L:R,7,FALSE),VLOOKUP(tables_521100!C325,input_521100!A:H,8,FALSE))</f>
        <v>3800</v>
      </c>
      <c r="P325" s="46">
        <f t="shared" ca="1" si="35"/>
        <v>1.5384615384615385E-4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input_521100!A$2</f>
        <v>521100</v>
      </c>
      <c r="B326" s="60">
        <v>1212</v>
      </c>
      <c r="C326" s="7" t="str">
        <f t="shared" si="33"/>
        <v>PremiumSS5R5only</v>
      </c>
      <c r="D326" s="7" t="str">
        <f t="shared" si="34"/>
        <v>PremiumSS</v>
      </c>
      <c r="E326" s="7" t="str">
        <f>IF(COUNTIF('R6追加前'!A:A,B326)=0,IF(OR(I326="PremiumSS",I326="PremiumSSw"),"R5only","R3less"),"")</f>
        <v>R5only</v>
      </c>
      <c r="F326" s="7" t="str">
        <f>IF(COUNTIF('R6開放'!A:A,B326)&gt;0,"R6release","")</f>
        <v/>
      </c>
      <c r="G326" s="7"/>
      <c r="H326" s="7" t="str">
        <f>VLOOKUP(B326,[1]characters!$A:$C,3,FALSE)</f>
        <v>クロノス</v>
      </c>
      <c r="I326" s="7" t="str">
        <f>VLOOKUP(B326,[1]characters!$A:$J,10,FALSE)</f>
        <v>PremiumSS</v>
      </c>
      <c r="J326" s="7">
        <f>VLOOKUP(B326,[1]characters!$A:$I,9,FALSE)</f>
        <v>5</v>
      </c>
      <c r="K326" s="7" t="str">
        <f>VLOOKUP(B326,[1]characters!$A:$H,8,FALSE)</f>
        <v>blue</v>
      </c>
      <c r="L326" s="7" t="str">
        <f>VLOOKUP(B326,[1]characters!$A:$K,11,FALSE)</f>
        <v>technical</v>
      </c>
      <c r="M326" s="7" t="str">
        <f>VLOOKUP(B326,[1]characters!$A:$M,13,FALSE)</f>
        <v>god</v>
      </c>
      <c r="N326" s="7">
        <f>VLOOKUP(B326,[1]characters!$A:$G,7,FALSE)</f>
        <v>0</v>
      </c>
      <c r="O326" s="45">
        <f ca="1">IFERROR(VLOOKUP(B326,input_521100!L:R,7,FALSE),VLOOKUP(tables_521100!C326,input_521100!A:H,8,FALSE))</f>
        <v>3800</v>
      </c>
      <c r="P326" s="46">
        <f t="shared" ca="1" si="35"/>
        <v>1.5384615384615385E-4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input_521100!A$2</f>
        <v>521100</v>
      </c>
      <c r="B327" s="60">
        <v>1208</v>
      </c>
      <c r="C327" s="7" t="str">
        <f t="shared" si="33"/>
        <v>PremiumSS5R5only</v>
      </c>
      <c r="D327" s="7" t="str">
        <f t="shared" si="34"/>
        <v>PremiumSS</v>
      </c>
      <c r="E327" s="7" t="str">
        <f>IF(COUNTIF('R6追加前'!A:A,B327)=0,IF(OR(I327="PremiumSS",I327="PremiumSSw"),"R5only","R3less"),"")</f>
        <v>R5only</v>
      </c>
      <c r="F327" s="7" t="str">
        <f>IF(COUNTIF('R6開放'!A:A,B327)&gt;0,"R6release","")</f>
        <v/>
      </c>
      <c r="G327" s="7"/>
      <c r="H327" s="7" t="str">
        <f>VLOOKUP(B327,[1]characters!$A:$C,3,FALSE)</f>
        <v>ネメシス</v>
      </c>
      <c r="I327" s="7" t="str">
        <f>VLOOKUP(B327,[1]characters!$A:$J,10,FALSE)</f>
        <v>PremiumSS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hp</v>
      </c>
      <c r="M327" s="7" t="str">
        <f>VLOOKUP(B327,[1]characters!$A:$M,13,FALSE)</f>
        <v>god</v>
      </c>
      <c r="N327" s="7">
        <f>VLOOKUP(B327,[1]characters!$A:$G,7,FALSE)</f>
        <v>0</v>
      </c>
      <c r="O327" s="45">
        <f ca="1">IFERROR(VLOOKUP(B327,input_521100!L:R,7,FALSE),VLOOKUP(tables_521100!C327,input_521100!A:H,8,FALSE))</f>
        <v>3800</v>
      </c>
      <c r="P327" s="46">
        <f t="shared" ca="1" si="35"/>
        <v>1.5384615384615385E-4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input_521100!A$2</f>
        <v>521100</v>
      </c>
      <c r="B328" s="94">
        <v>1210</v>
      </c>
      <c r="C328" s="7" t="str">
        <f t="shared" si="33"/>
        <v>Premium4R3less</v>
      </c>
      <c r="D328" s="7" t="str">
        <f t="shared" si="34"/>
        <v>Premium</v>
      </c>
      <c r="E328" s="7" t="str">
        <f>IF(COUNTIF('R6追加前'!A:A,B328)=0,IF(OR(I328="PremiumSS",I328="PremiumSSw"),"R5only","R3less"),"")</f>
        <v>R3less</v>
      </c>
      <c r="F328" s="7" t="str">
        <f>IF(COUNTIF('R6開放'!A:A,B328)&gt;0,"R6release","")</f>
        <v/>
      </c>
      <c r="G328" s="7"/>
      <c r="H328" s="7" t="str">
        <f>VLOOKUP(B328,[1]characters!$A:$C,3,FALSE)</f>
        <v>ケンタウロス</v>
      </c>
      <c r="I328" s="7" t="str">
        <f>VLOOKUP(B328,[1]characters!$A:$J,10,FALSE)</f>
        <v>PremiumS</v>
      </c>
      <c r="J328" s="7">
        <f>VLOOKUP(B328,[1]characters!$A:$I,9,FALSE)</f>
        <v>4</v>
      </c>
      <c r="K328" s="7" t="str">
        <f>VLOOKUP(B328,[1]characters!$A:$H,8,FALSE)</f>
        <v>green</v>
      </c>
      <c r="L328" s="7" t="str">
        <f>VLOOKUP(B328,[1]characters!$A:$K,11,FALSE)</f>
        <v>attack</v>
      </c>
      <c r="M328" s="7" t="str">
        <f>VLOOKUP(B328,[1]characters!$A:$M,13,FALSE)</f>
        <v>god</v>
      </c>
      <c r="N328" s="7">
        <f>VLOOKUP(B328,[1]characters!$A:$G,7,FALSE)</f>
        <v>0</v>
      </c>
      <c r="O328" s="45">
        <f ca="1">IFERROR(VLOOKUP(B328,input_521100!L:R,7,FALSE),VLOOKUP(tables_521100!C328,input_521100!A:H,8,FALSE))</f>
        <v>226070</v>
      </c>
      <c r="P328" s="46">
        <f t="shared" ca="1" si="35"/>
        <v>9.1526315789473688E-3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input_521100!A$2</f>
        <v>521100</v>
      </c>
      <c r="B329" s="60">
        <v>1211</v>
      </c>
      <c r="C329" s="7" t="str">
        <f t="shared" si="33"/>
        <v>Premium5R3less</v>
      </c>
      <c r="D329" s="7" t="str">
        <f t="shared" si="34"/>
        <v>Premium</v>
      </c>
      <c r="E329" s="7" t="str">
        <f>IF(COUNTIF('R6追加前'!A:A,B329)=0,IF(OR(I329="PremiumSS",I329="PremiumSSw"),"R5only","R3less"),"")</f>
        <v>R3less</v>
      </c>
      <c r="F329" s="7" t="str">
        <f>IF(COUNTIF('R6開放'!A:A,B329)&gt;0,"R6release","")</f>
        <v/>
      </c>
      <c r="G329" s="7"/>
      <c r="H329" s="7" t="str">
        <f>VLOOKUP(B329,[1]characters!$A:$C,3,FALSE)</f>
        <v>奏駆の翻騎 ケンタウロス</v>
      </c>
      <c r="I329" s="7" t="str">
        <f>VLOOKUP(B329,[1]characters!$A:$J,10,FALSE)</f>
        <v>PremiumS</v>
      </c>
      <c r="J329" s="7">
        <f>VLOOKUP(B329,[1]characters!$A:$I,9,FALSE)</f>
        <v>5</v>
      </c>
      <c r="K329" s="7" t="str">
        <f>VLOOKUP(B329,[1]characters!$A:$H,8,FALSE)</f>
        <v>green</v>
      </c>
      <c r="L329" s="7" t="str">
        <f>VLOOKUP(B329,[1]characters!$A:$K,11,FALSE)</f>
        <v>attack</v>
      </c>
      <c r="M329" s="7" t="str">
        <f>VLOOKUP(B329,[1]characters!$A:$M,13,FALSE)</f>
        <v>god</v>
      </c>
      <c r="N329" s="7">
        <f>VLOOKUP(B329,[1]characters!$A:$G,7,FALSE)</f>
        <v>0</v>
      </c>
      <c r="O329" s="45">
        <f ca="1">IFERROR(VLOOKUP(B329,input_521100!L:R,7,FALSE),VLOOKUP(tables_521100!C329,input_521100!A:H,8,FALSE))</f>
        <v>18330</v>
      </c>
      <c r="P329" s="46">
        <f t="shared" ca="1" si="35"/>
        <v>7.4210526315789474E-4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input_521100!A$2</f>
        <v>521100</v>
      </c>
      <c r="B330" s="2">
        <v>1224</v>
      </c>
      <c r="C330" s="7" t="str">
        <f t="shared" si="33"/>
        <v>Premium4R3less</v>
      </c>
      <c r="D330" s="7" t="str">
        <f t="shared" si="34"/>
        <v>Premium</v>
      </c>
      <c r="E330" s="7" t="str">
        <f>IF(COUNTIF('R6追加前'!A:A,B330)=0,IF(OR(I330="PremiumSS",I330="PremiumSSw"),"R5only","R3less"),"")</f>
        <v>R3less</v>
      </c>
      <c r="F330" s="7" t="str">
        <f>IF(COUNTIF('R6開放'!A:A,B330)&gt;0,"R6release","")</f>
        <v/>
      </c>
      <c r="G330" s="7"/>
      <c r="H330" s="7" t="str">
        <f>VLOOKUP(B330,[1]characters!$A:$C,3,FALSE)</f>
        <v>セルバンテス</v>
      </c>
      <c r="I330" s="7" t="str">
        <f>VLOOKUP(B330,[1]characters!$A:$J,10,FALSE)</f>
        <v>PremiumS</v>
      </c>
      <c r="J330" s="7">
        <f>VLOOKUP(B330,[1]characters!$A:$I,9,FALSE)</f>
        <v>4</v>
      </c>
      <c r="K330" s="7" t="str">
        <f>VLOOKUP(B330,[1]characters!$A:$H,8,FALSE)</f>
        <v>red</v>
      </c>
      <c r="L330" s="7" t="str">
        <f>VLOOKUP(B330,[1]characters!$A:$K,11,FALSE)</f>
        <v>attack</v>
      </c>
      <c r="M330" s="7" t="str">
        <f>VLOOKUP(B330,[1]characters!$A:$M,13,FALSE)</f>
        <v>human</v>
      </c>
      <c r="N330" s="7">
        <f>VLOOKUP(B330,[1]characters!$A:$G,7,FALSE)</f>
        <v>0</v>
      </c>
      <c r="O330" s="45">
        <f ca="1">IFERROR(VLOOKUP(B330,input_521100!L:R,7,FALSE),VLOOKUP(tables_521100!C330,input_521100!A:H,8,FALSE))</f>
        <v>226070</v>
      </c>
      <c r="P330" s="46">
        <f t="shared" ca="1" si="35"/>
        <v>9.1526315789473688E-3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input_521100!A$2</f>
        <v>521100</v>
      </c>
      <c r="B331" s="2">
        <v>1225</v>
      </c>
      <c r="C331" s="7" t="str">
        <f t="shared" si="33"/>
        <v>Premium5R3less</v>
      </c>
      <c r="D331" s="7" t="str">
        <f t="shared" si="34"/>
        <v>Premium</v>
      </c>
      <c r="E331" s="7" t="str">
        <f>IF(COUNTIF('R6追加前'!A:A,B331)=0,IF(OR(I331="PremiumSS",I331="PremiumSSw"),"R5only","R3less"),"")</f>
        <v>R3less</v>
      </c>
      <c r="F331" s="7" t="str">
        <f>IF(COUNTIF('R6開放'!A:A,B331)&gt;0,"R6release","")</f>
        <v/>
      </c>
      <c r="G331" s="7"/>
      <c r="H331" s="7" t="str">
        <f>VLOOKUP(B331,[1]characters!$A:$C,3,FALSE)</f>
        <v>優柔なる風断者 セルバンテス</v>
      </c>
      <c r="I331" s="7" t="str">
        <f>VLOOKUP(B331,[1]characters!$A:$J,10,FALSE)</f>
        <v>PremiumS</v>
      </c>
      <c r="J331" s="7">
        <f>VLOOKUP(B331,[1]characters!$A:$I,9,FALSE)</f>
        <v>5</v>
      </c>
      <c r="K331" s="7" t="str">
        <f>VLOOKUP(B331,[1]characters!$A:$H,8,FALSE)</f>
        <v>red</v>
      </c>
      <c r="L331" s="7" t="str">
        <f>VLOOKUP(B331,[1]characters!$A:$K,11,FALSE)</f>
        <v>attack</v>
      </c>
      <c r="M331" s="7" t="str">
        <f>VLOOKUP(B331,[1]characters!$A:$M,13,FALSE)</f>
        <v>human</v>
      </c>
      <c r="N331" s="7">
        <f>VLOOKUP(B331,[1]characters!$A:$G,7,FALSE)</f>
        <v>0</v>
      </c>
      <c r="O331" s="45">
        <f ca="1">IFERROR(VLOOKUP(B331,input_521100!L:R,7,FALSE),VLOOKUP(tables_521100!C331,input_521100!A:H,8,FALSE))</f>
        <v>18330</v>
      </c>
      <c r="P331" s="46">
        <f t="shared" ca="1" si="35"/>
        <v>7.4210526315789474E-4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input_521100!A$2</f>
        <v>521100</v>
      </c>
      <c r="B332" s="2">
        <v>1226</v>
      </c>
      <c r="C332" s="7" t="str">
        <f t="shared" si="33"/>
        <v>PremiumSS5R5only</v>
      </c>
      <c r="D332" s="7" t="str">
        <f t="shared" si="34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トルストイ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green</v>
      </c>
      <c r="L332" s="7" t="str">
        <f>VLOOKUP(B332,[1]characters!$A:$K,11,FALSE)</f>
        <v>attack</v>
      </c>
      <c r="M332" s="7" t="str">
        <f>VLOOKUP(B332,[1]characters!$A:$M,13,FALSE)</f>
        <v>human</v>
      </c>
      <c r="N332" s="7">
        <f>VLOOKUP(B332,[1]characters!$A:$G,7,FALSE)</f>
        <v>0</v>
      </c>
      <c r="O332" s="45">
        <f ca="1">IFERROR(VLOOKUP(B332,input_521100!L:R,7,FALSE),VLOOKUP(tables_521100!C332,input_521100!A:H,8,FALSE))</f>
        <v>3800</v>
      </c>
      <c r="P332" s="46">
        <f t="shared" ca="1" si="35"/>
        <v>1.5384615384615385E-4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input_521100!A$2</f>
        <v>521100</v>
      </c>
      <c r="B333" s="2">
        <v>1228</v>
      </c>
      <c r="C333" s="7" t="str">
        <f t="shared" si="33"/>
        <v>PremiumSS5R5only</v>
      </c>
      <c r="D333" s="7" t="str">
        <f t="shared" si="34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芥川龍之介</v>
      </c>
      <c r="I333" s="7" t="str">
        <f>VLOOKUP(B333,[1]characters!$A:$J,10,FALSE)</f>
        <v>PremiumSSw</v>
      </c>
      <c r="J333" s="7">
        <f>VLOOKUP(B333,[1]characters!$A:$I,9,FALSE)</f>
        <v>5</v>
      </c>
      <c r="K333" s="7" t="str">
        <f>VLOOKUP(B333,[1]characters!$A:$H,8,FALSE)</f>
        <v>blue</v>
      </c>
      <c r="L333" s="7" t="str">
        <f>VLOOKUP(B333,[1]characters!$A:$K,11,FALSE)</f>
        <v>attack</v>
      </c>
      <c r="M333" s="7" t="str">
        <f>VLOOKUP(B333,[1]characters!$A:$M,13,FALSE)</f>
        <v>human</v>
      </c>
      <c r="N333" s="7">
        <f>VLOOKUP(B333,[1]characters!$A:$G,7,FALSE)</f>
        <v>0</v>
      </c>
      <c r="O333" s="45">
        <f ca="1">IFERROR(VLOOKUP(B333,input_521100!L:R,7,FALSE),VLOOKUP(tables_521100!C333,input_521100!A:H,8,FALSE))</f>
        <v>3800</v>
      </c>
      <c r="P333" s="46">
        <f t="shared" ca="1" si="35"/>
        <v>1.5384615384615385E-4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input_521100!A$2</f>
        <v>521100</v>
      </c>
      <c r="B334" s="2">
        <v>1230</v>
      </c>
      <c r="C334" s="7" t="str">
        <f t="shared" si="33"/>
        <v>PremiumSS5R5only</v>
      </c>
      <c r="D334" s="7" t="str">
        <f t="shared" si="34"/>
        <v>PremiumSS</v>
      </c>
      <c r="E334" s="7" t="str">
        <f>IF(COUNTIF('R6追加前'!A:A,B334)=0,IF(OR(I334="PremiumSS",I334="PremiumSSw"),"R5only","R3less"),"")</f>
        <v>R5only</v>
      </c>
      <c r="F334" s="7" t="str">
        <f>IF(COUNTIF('R6開放'!A:A,B334)&gt;0,"R6release","")</f>
        <v/>
      </c>
      <c r="G334" s="7"/>
      <c r="H334" s="7" t="str">
        <f>VLOOKUP(B334,[1]characters!$A:$C,3,FALSE)</f>
        <v>夏目漱石</v>
      </c>
      <c r="I334" s="7" t="str">
        <f>VLOOKUP(B334,[1]characters!$A:$J,10,FALSE)</f>
        <v>PremiumSS</v>
      </c>
      <c r="J334" s="7">
        <f>VLOOKUP(B334,[1]characters!$A:$I,9,FALSE)</f>
        <v>5</v>
      </c>
      <c r="K334" s="7" t="str">
        <f>VLOOKUP(B334,[1]characters!$A:$H,8,FALSE)</f>
        <v>yellow</v>
      </c>
      <c r="L334" s="7" t="str">
        <f>VLOOKUP(B334,[1]characters!$A:$K,11,FALSE)</f>
        <v>heal</v>
      </c>
      <c r="M334" s="7" t="str">
        <f>VLOOKUP(B334,[1]characters!$A:$M,13,FALSE)</f>
        <v>animal</v>
      </c>
      <c r="N334" s="7">
        <f>VLOOKUP(B334,[1]characters!$A:$G,7,FALSE)</f>
        <v>0</v>
      </c>
      <c r="O334" s="45">
        <f ca="1">IFERROR(VLOOKUP(B334,input_521100!L:R,7,FALSE),VLOOKUP(tables_521100!C334,input_521100!A:H,8,FALSE))</f>
        <v>3800</v>
      </c>
      <c r="P334" s="46">
        <f t="shared" ca="1" si="35"/>
        <v>1.5384615384615385E-4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input_521100!A$2</f>
        <v>521100</v>
      </c>
      <c r="B335" s="1">
        <v>1250</v>
      </c>
      <c r="C335" s="7" t="str">
        <f t="shared" si="33"/>
        <v>PremiumSS5R5only</v>
      </c>
      <c r="D335" s="7" t="str">
        <f t="shared" si="34"/>
        <v>PremiumSS</v>
      </c>
      <c r="E335" s="7" t="str">
        <f>IF(COUNTIF('R6追加前'!A:A,B335)=0,IF(OR(I335="PremiumSS",I335="PremiumSSw"),"R5only","R3less"),"")</f>
        <v>R5only</v>
      </c>
      <c r="F335" s="7" t="str">
        <f>IF(COUNTIF('R6開放'!A:A,B335)&gt;0,"R6release","")</f>
        <v/>
      </c>
      <c r="G335" s="7"/>
      <c r="H335" s="7" t="str">
        <f>VLOOKUP(B335,[1]characters!$A:$C,3,FALSE)</f>
        <v>真田幸村</v>
      </c>
      <c r="I335" s="7" t="str">
        <f>VLOOKUP(B335,[1]characters!$A:$J,10,FALSE)</f>
        <v>PremiumSSw</v>
      </c>
      <c r="J335" s="7">
        <f>VLOOKUP(B335,[1]characters!$A:$I,9,FALSE)</f>
        <v>5</v>
      </c>
      <c r="K335" s="7" t="str">
        <f>VLOOKUP(B335,[1]characters!$A:$H,8,FALSE)</f>
        <v>yellow</v>
      </c>
      <c r="L335" s="7" t="str">
        <f>VLOOKUP(B335,[1]characters!$A:$K,11,FALSE)</f>
        <v>attack</v>
      </c>
      <c r="M335" s="7" t="str">
        <f>VLOOKUP(B335,[1]characters!$A:$M,13,FALSE)</f>
        <v>human</v>
      </c>
      <c r="N335" s="7">
        <f>VLOOKUP(B335,[1]characters!$A:$G,7,FALSE)</f>
        <v>0</v>
      </c>
      <c r="O335" s="45">
        <f ca="1">IFERROR(VLOOKUP(B335,input_521100!L:R,7,FALSE),VLOOKUP(tables_521100!C335,input_521100!A:H,8,FALSE))</f>
        <v>3800</v>
      </c>
      <c r="P335" s="46">
        <f t="shared" ca="1" si="35"/>
        <v>1.5384615384615385E-4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input_521100!A$2</f>
        <v>521100</v>
      </c>
      <c r="B336" s="1">
        <v>1248</v>
      </c>
      <c r="C336" s="7" t="str">
        <f t="shared" si="33"/>
        <v>Premium4R3less</v>
      </c>
      <c r="D336" s="7" t="str">
        <f t="shared" si="34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寧々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blue</v>
      </c>
      <c r="L336" s="7" t="str">
        <f>VLOOKUP(B336,[1]characters!$A:$K,11,FALSE)</f>
        <v>heal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IFERROR(VLOOKUP(B336,input_521100!L:R,7,FALSE),VLOOKUP(tables_521100!C336,input_521100!A:H,8,FALSE))</f>
        <v>226070</v>
      </c>
      <c r="P336" s="46">
        <f t="shared" ca="1" si="35"/>
        <v>9.1526315789473688E-3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input_521100!A$2</f>
        <v>521100</v>
      </c>
      <c r="B337" s="1">
        <v>1249</v>
      </c>
      <c r="C337" s="7" t="str">
        <f t="shared" si="33"/>
        <v>Premium5R3less</v>
      </c>
      <c r="D337" s="7" t="str">
        <f t="shared" si="34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君臨する姐御様 寧々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blue</v>
      </c>
      <c r="L337" s="7" t="str">
        <f>VLOOKUP(B337,[1]characters!$A:$K,11,FALSE)</f>
        <v>heal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IFERROR(VLOOKUP(B337,input_521100!L:R,7,FALSE),VLOOKUP(tables_521100!C337,input_521100!A:H,8,FALSE))</f>
        <v>18330</v>
      </c>
      <c r="P337" s="46">
        <f t="shared" ca="1" si="35"/>
        <v>7.4210526315789474E-4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input_521100!A$2</f>
        <v>521100</v>
      </c>
      <c r="B338" s="1">
        <v>1246</v>
      </c>
      <c r="C338" s="7" t="str">
        <f t="shared" si="33"/>
        <v>PremiumSS5R5only</v>
      </c>
      <c r="D338" s="7" t="str">
        <f t="shared" si="34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望月千代女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heal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IFERROR(VLOOKUP(B338,input_521100!L:R,7,FALSE),VLOOKUP(tables_521100!C338,input_521100!A:H,8,FALSE))</f>
        <v>3800</v>
      </c>
      <c r="P338" s="46">
        <f t="shared" ca="1" si="35"/>
        <v>1.5384615384615385E-4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input_521100!A$2</f>
        <v>521100</v>
      </c>
      <c r="B339" s="1">
        <v>1244</v>
      </c>
      <c r="C339" s="7" t="str">
        <f t="shared" si="33"/>
        <v>PremiumSS5R5only</v>
      </c>
      <c r="D339" s="7" t="str">
        <f t="shared" si="34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猿飛佐助</v>
      </c>
      <c r="I339" s="7" t="str">
        <f>VLOOKUP(B339,[1]characters!$A:$J,10,FALSE)</f>
        <v>PremiumSS</v>
      </c>
      <c r="J339" s="7">
        <f>VLOOKUP(B339,[1]characters!$A:$I,9,FALSE)</f>
        <v>5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IFERROR(VLOOKUP(B339,input_521100!L:R,7,FALSE),VLOOKUP(tables_521100!C339,input_521100!A:H,8,FALSE))</f>
        <v>3800</v>
      </c>
      <c r="P339" s="46">
        <f t="shared" ca="1" si="35"/>
        <v>1.5384615384615385E-4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input_521100!A$2</f>
        <v>521100</v>
      </c>
      <c r="B340" s="1">
        <v>1260</v>
      </c>
      <c r="C340" s="7" t="str">
        <f t="shared" si="33"/>
        <v>PremiumSS5R5only</v>
      </c>
      <c r="D340" s="7" t="str">
        <f t="shared" si="34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トール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balance</v>
      </c>
      <c r="M340" s="7" t="str">
        <f>VLOOKUP(B340,[1]characters!$A:$M,13,FALSE)</f>
        <v>god</v>
      </c>
      <c r="N340" s="7">
        <f>VLOOKUP(B340,[1]characters!$A:$G,7,FALSE)</f>
        <v>0</v>
      </c>
      <c r="O340" s="45">
        <f ca="1">IFERROR(VLOOKUP(B340,input_521100!L:R,7,FALSE),VLOOKUP(tables_521100!C340,input_521100!A:H,8,FALSE))</f>
        <v>3800</v>
      </c>
      <c r="P340" s="46">
        <f t="shared" ca="1" si="35"/>
        <v>1.5384615384615385E-4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input_521100!A$2</f>
        <v>521100</v>
      </c>
      <c r="B341" s="1">
        <v>1262</v>
      </c>
      <c r="C341" s="7" t="str">
        <f t="shared" si="33"/>
        <v>PremiumSS5R5only</v>
      </c>
      <c r="D341" s="7" t="str">
        <f t="shared" si="34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イズン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green</v>
      </c>
      <c r="L341" s="7" t="str">
        <f>VLOOKUP(B341,[1]characters!$A:$K,11,FALSE)</f>
        <v>heal</v>
      </c>
      <c r="M341" s="7" t="str">
        <f>VLOOKUP(B341,[1]characters!$A:$M,13,FALSE)</f>
        <v>god</v>
      </c>
      <c r="N341" s="7">
        <f>VLOOKUP(B341,[1]characters!$A:$G,7,FALSE)</f>
        <v>0</v>
      </c>
      <c r="O341" s="45">
        <f ca="1">IFERROR(VLOOKUP(B341,input_521100!L:R,7,FALSE),VLOOKUP(tables_521100!C341,input_521100!A:H,8,FALSE))</f>
        <v>3800</v>
      </c>
      <c r="P341" s="46">
        <f t="shared" ca="1" si="35"/>
        <v>1.5384615384615385E-4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input_521100!A$2</f>
        <v>521100</v>
      </c>
      <c r="B342" s="1">
        <v>1264</v>
      </c>
      <c r="C342" s="7" t="str">
        <f t="shared" si="33"/>
        <v>PremiumSS5R5only</v>
      </c>
      <c r="D342" s="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ウルズ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god</v>
      </c>
      <c r="N342" s="7">
        <f>VLOOKUP(B342,[1]characters!$A:$G,7,FALSE)</f>
        <v>0</v>
      </c>
      <c r="O342" s="45">
        <f ca="1">IFERROR(VLOOKUP(B342,input_521100!L:R,7,FALSE),VLOOKUP(tables_521100!C342,input_521100!A:H,8,FALSE))</f>
        <v>3800</v>
      </c>
      <c r="P342" s="46">
        <f t="shared" ca="1" si="35"/>
        <v>1.5384615384615385E-4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input_521100!A$2</f>
        <v>521100</v>
      </c>
      <c r="B343" s="1">
        <v>1266</v>
      </c>
      <c r="C343" s="7" t="str">
        <f t="shared" si="33"/>
        <v>Premium4R3less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ガルム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yellow</v>
      </c>
      <c r="L343" s="7" t="str">
        <f>VLOOKUP(B343,[1]characters!$A:$K,11,FALSE)</f>
        <v>hp</v>
      </c>
      <c r="M343" s="7" t="str">
        <f>VLOOKUP(B343,[1]characters!$A:$M,13,FALSE)</f>
        <v>god</v>
      </c>
      <c r="N343" s="7">
        <f>VLOOKUP(B343,[1]characters!$A:$G,7,FALSE)</f>
        <v>0</v>
      </c>
      <c r="O343" s="45">
        <f ca="1">IFERROR(VLOOKUP(B343,input_521100!L:R,7,FALSE),VLOOKUP(tables_521100!C343,input_521100!A:H,8,FALSE))</f>
        <v>226070</v>
      </c>
      <c r="P343" s="46">
        <f t="shared" ca="1" si="35"/>
        <v>9.1526315789473688E-3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input_521100!A$2</f>
        <v>521100</v>
      </c>
      <c r="B344" s="1">
        <v>1267</v>
      </c>
      <c r="C344" s="7" t="str">
        <f t="shared" si="33"/>
        <v>Premium5R3less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不遜の冥番犬 ガルム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yellow</v>
      </c>
      <c r="L344" s="7" t="str">
        <f>VLOOKUP(B344,[1]characters!$A:$K,11,FALSE)</f>
        <v>hp</v>
      </c>
      <c r="M344" s="7" t="str">
        <f>VLOOKUP(B344,[1]characters!$A:$M,13,FALSE)</f>
        <v>god</v>
      </c>
      <c r="N344" s="7">
        <f>VLOOKUP(B344,[1]characters!$A:$G,7,FALSE)</f>
        <v>0</v>
      </c>
      <c r="O344" s="45">
        <f ca="1">IFERROR(VLOOKUP(B344,input_521100!L:R,7,FALSE),VLOOKUP(tables_521100!C344,input_521100!A:H,8,FALSE))</f>
        <v>18330</v>
      </c>
      <c r="P344" s="46">
        <f t="shared" ca="1" si="35"/>
        <v>7.4210526315789474E-4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</sheetData>
  <autoFilter ref="A1:V294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input_521010</vt:lpstr>
      <vt:lpstr>tables_521010</vt:lpstr>
      <vt:lpstr>input_521100</vt:lpstr>
      <vt:lpstr>tables_521100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2017-02-03T06:22:58Z</dcterms:modified>
</cp:coreProperties>
</file>