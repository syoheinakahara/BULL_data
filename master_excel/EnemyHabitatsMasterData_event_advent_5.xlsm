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codeName="ThisWorkbook" autoCompressPictures="0"/>
  <bookViews>
    <workbookView xWindow="560" yWindow="560" windowWidth="25040" windowHeight="15500" tabRatio="740" firstSheet="2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failu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9" hidden="1">stage_hints_complete!$C$1:$N$1</definedName>
    <definedName name="_xlnm._FilterDatabase" localSheetId="8" hidden="1">stage_hints_failue!$C$1:$N$2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6" l="1"/>
  <c r="C12" i="16"/>
  <c r="E12" i="16"/>
  <c r="E11" i="16"/>
  <c r="C10" i="16"/>
  <c r="E10" i="16"/>
  <c r="M3" i="20"/>
  <c r="N3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M12" i="20"/>
  <c r="N12" i="20"/>
  <c r="M13" i="20"/>
  <c r="N13" i="20"/>
  <c r="N2" i="20"/>
  <c r="M2" i="20"/>
  <c r="J13" i="20"/>
  <c r="H13" i="20"/>
  <c r="G13" i="20"/>
  <c r="E13" i="20"/>
  <c r="D13" i="20"/>
  <c r="A13" i="20"/>
  <c r="J12" i="20"/>
  <c r="H12" i="20"/>
  <c r="G12" i="20"/>
  <c r="E12" i="20"/>
  <c r="D12" i="20"/>
  <c r="A12" i="20"/>
  <c r="J11" i="20"/>
  <c r="H11" i="20"/>
  <c r="G11" i="20"/>
  <c r="E11" i="20"/>
  <c r="D11" i="20"/>
  <c r="A11" i="20"/>
  <c r="J10" i="20"/>
  <c r="H10" i="20"/>
  <c r="G10" i="20"/>
  <c r="E10" i="20"/>
  <c r="D10" i="20"/>
  <c r="A10" i="20"/>
  <c r="J9" i="20"/>
  <c r="H9" i="20"/>
  <c r="G9" i="20"/>
  <c r="E9" i="20"/>
  <c r="D9" i="20"/>
  <c r="A9" i="20"/>
  <c r="J8" i="20"/>
  <c r="H8" i="20"/>
  <c r="G8" i="20"/>
  <c r="E8" i="20"/>
  <c r="D8" i="20"/>
  <c r="A8" i="20"/>
  <c r="J7" i="20"/>
  <c r="H7" i="20"/>
  <c r="G7" i="20"/>
  <c r="E7" i="20"/>
  <c r="D7" i="20"/>
  <c r="A7" i="20"/>
  <c r="J6" i="20"/>
  <c r="H6" i="20"/>
  <c r="G6" i="20"/>
  <c r="E6" i="20"/>
  <c r="D6" i="20"/>
  <c r="A6" i="20"/>
  <c r="J5" i="20"/>
  <c r="H5" i="20"/>
  <c r="G5" i="20"/>
  <c r="E5" i="20"/>
  <c r="D5" i="20"/>
  <c r="A5" i="20"/>
  <c r="J4" i="20"/>
  <c r="H4" i="20"/>
  <c r="G4" i="20"/>
  <c r="E4" i="20"/>
  <c r="D4" i="20"/>
  <c r="A4" i="20"/>
  <c r="J3" i="20"/>
  <c r="H3" i="20"/>
  <c r="G3" i="20"/>
  <c r="E3" i="20"/>
  <c r="D3" i="20"/>
  <c r="A3" i="20"/>
  <c r="J2" i="20"/>
  <c r="H2" i="20"/>
  <c r="G2" i="20"/>
  <c r="E2" i="20"/>
  <c r="D2" i="20"/>
  <c r="A2" i="20"/>
  <c r="J3" i="19"/>
  <c r="K3" i="19"/>
  <c r="J4" i="19"/>
  <c r="K4" i="19"/>
  <c r="J5" i="19"/>
  <c r="K5" i="19"/>
  <c r="J6" i="19"/>
  <c r="K6" i="19"/>
  <c r="J7" i="19"/>
  <c r="K7" i="19"/>
  <c r="H7" i="19"/>
  <c r="G7" i="19"/>
  <c r="E7" i="19"/>
  <c r="D7" i="19"/>
  <c r="A7" i="19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H37" i="9"/>
  <c r="H38" i="9"/>
  <c r="H39" i="9"/>
  <c r="H40" i="9"/>
  <c r="H41" i="9"/>
  <c r="H42" i="9"/>
  <c r="H43" i="9"/>
  <c r="H44" i="9"/>
  <c r="H45" i="9"/>
  <c r="H46" i="9"/>
  <c r="H47" i="9"/>
  <c r="H48" i="9"/>
  <c r="J39" i="11"/>
  <c r="J38" i="11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G36" i="9"/>
  <c r="H36" i="9"/>
  <c r="I36" i="9"/>
  <c r="J36" i="9"/>
  <c r="K36" i="9"/>
  <c r="L36" i="9"/>
  <c r="N36" i="9"/>
  <c r="O36" i="9"/>
  <c r="E36" i="9"/>
  <c r="D36" i="9"/>
  <c r="A36" i="9"/>
  <c r="O48" i="9"/>
  <c r="N48" i="9"/>
  <c r="L48" i="9"/>
  <c r="K48" i="9"/>
  <c r="J48" i="9"/>
  <c r="I48" i="9"/>
  <c r="G48" i="9"/>
  <c r="E48" i="9"/>
  <c r="D48" i="9"/>
  <c r="A48" i="9"/>
  <c r="O47" i="9"/>
  <c r="N47" i="9"/>
  <c r="L47" i="9"/>
  <c r="K47" i="9"/>
  <c r="J47" i="9"/>
  <c r="I47" i="9"/>
  <c r="G47" i="9"/>
  <c r="E47" i="9"/>
  <c r="D47" i="9"/>
  <c r="A47" i="9"/>
  <c r="O46" i="9"/>
  <c r="N46" i="9"/>
  <c r="L46" i="9"/>
  <c r="K46" i="9"/>
  <c r="J46" i="9"/>
  <c r="I46" i="9"/>
  <c r="G46" i="9"/>
  <c r="E46" i="9"/>
  <c r="D46" i="9"/>
  <c r="A46" i="9"/>
  <c r="O45" i="9"/>
  <c r="N45" i="9"/>
  <c r="L45" i="9"/>
  <c r="K45" i="9"/>
  <c r="J45" i="9"/>
  <c r="I45" i="9"/>
  <c r="G45" i="9"/>
  <c r="E45" i="9"/>
  <c r="D45" i="9"/>
  <c r="A45" i="9"/>
  <c r="O44" i="9"/>
  <c r="N44" i="9"/>
  <c r="L44" i="9"/>
  <c r="K44" i="9"/>
  <c r="J44" i="9"/>
  <c r="I44" i="9"/>
  <c r="G44" i="9"/>
  <c r="E44" i="9"/>
  <c r="D44" i="9"/>
  <c r="A44" i="9"/>
  <c r="O43" i="9"/>
  <c r="N43" i="9"/>
  <c r="L43" i="9"/>
  <c r="K43" i="9"/>
  <c r="J43" i="9"/>
  <c r="I43" i="9"/>
  <c r="G43" i="9"/>
  <c r="E43" i="9"/>
  <c r="D43" i="9"/>
  <c r="A43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M36" i="10"/>
  <c r="S38" i="10"/>
  <c r="N36" i="10"/>
  <c r="Q36" i="10"/>
  <c r="P36" i="10"/>
  <c r="R36" i="10"/>
  <c r="O36" i="10"/>
  <c r="S36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O19" i="9"/>
  <c r="N19" i="9"/>
  <c r="M19" i="9"/>
  <c r="L19" i="9"/>
  <c r="K19" i="9"/>
  <c r="J19" i="9"/>
  <c r="I19" i="9"/>
  <c r="H19" i="9"/>
  <c r="G19" i="9"/>
  <c r="E19" i="9"/>
  <c r="D19" i="9"/>
  <c r="A19" i="9"/>
  <c r="H6" i="19"/>
  <c r="G6" i="19"/>
  <c r="E6" i="19"/>
  <c r="D6" i="19"/>
  <c r="A6" i="19"/>
  <c r="H5" i="19"/>
  <c r="G5" i="19"/>
  <c r="E5" i="19"/>
  <c r="D5" i="19"/>
  <c r="A5" i="19"/>
  <c r="H4" i="19"/>
  <c r="G4" i="19"/>
  <c r="E4" i="19"/>
  <c r="D4" i="19"/>
  <c r="A4" i="19"/>
  <c r="H3" i="19"/>
  <c r="G3" i="19"/>
  <c r="E3" i="19"/>
  <c r="D3" i="19"/>
  <c r="A3" i="19"/>
  <c r="J2" i="19"/>
  <c r="K2" i="19"/>
  <c r="H2" i="19"/>
  <c r="G2" i="19"/>
  <c r="E2" i="19"/>
  <c r="D2" i="19"/>
  <c r="A2" i="19"/>
  <c r="G32" i="9"/>
  <c r="H32" i="9"/>
  <c r="I32" i="9"/>
  <c r="G33" i="9"/>
  <c r="H33" i="9"/>
  <c r="I33" i="9"/>
  <c r="G34" i="9"/>
  <c r="H34" i="9"/>
  <c r="I34" i="9"/>
  <c r="G35" i="9"/>
  <c r="H35" i="9"/>
  <c r="I35" i="9"/>
  <c r="G37" i="9"/>
  <c r="I37" i="9"/>
  <c r="G38" i="9"/>
  <c r="I38" i="9"/>
  <c r="G39" i="9"/>
  <c r="I39" i="9"/>
  <c r="G40" i="9"/>
  <c r="I40" i="9"/>
  <c r="G41" i="9"/>
  <c r="I41" i="9"/>
  <c r="G42" i="9"/>
  <c r="I42" i="9"/>
  <c r="E33" i="9"/>
  <c r="E34" i="9"/>
  <c r="E35" i="9"/>
  <c r="E37" i="9"/>
  <c r="E38" i="9"/>
  <c r="E39" i="9"/>
  <c r="E40" i="9"/>
  <c r="E41" i="9"/>
  <c r="E42" i="9"/>
  <c r="J37" i="11"/>
  <c r="J36" i="11"/>
  <c r="J35" i="11"/>
  <c r="J34" i="11"/>
  <c r="O32" i="9"/>
  <c r="N32" i="9"/>
  <c r="M32" i="9"/>
  <c r="L32" i="9"/>
  <c r="K32" i="9"/>
  <c r="J32" i="9"/>
  <c r="E32" i="9"/>
  <c r="D32" i="9"/>
  <c r="A32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G38" i="10"/>
  <c r="J38" i="10"/>
  <c r="I38" i="10"/>
  <c r="K38" i="10"/>
  <c r="H38" i="10"/>
  <c r="L38" i="10"/>
  <c r="J33" i="11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O23" i="9"/>
  <c r="N23" i="9"/>
  <c r="M23" i="9"/>
  <c r="L23" i="9"/>
  <c r="K23" i="9"/>
  <c r="J23" i="9"/>
  <c r="I23" i="9"/>
  <c r="H23" i="9"/>
  <c r="G23" i="9"/>
  <c r="E23" i="9"/>
  <c r="D23" i="9"/>
  <c r="A23" i="9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W3" i="7"/>
  <c r="W4" i="7"/>
  <c r="W5" i="7"/>
  <c r="W2" i="7"/>
  <c r="A3" i="9"/>
  <c r="A4" i="9"/>
  <c r="A5" i="9"/>
  <c r="A6" i="9"/>
  <c r="A7" i="9"/>
  <c r="A8" i="9"/>
  <c r="A9" i="9"/>
  <c r="A10" i="9"/>
  <c r="A11" i="9"/>
  <c r="A12" i="9"/>
  <c r="A13" i="9"/>
  <c r="A14" i="9"/>
  <c r="A31" i="9"/>
  <c r="A24" i="9"/>
  <c r="A25" i="9"/>
  <c r="A26" i="9"/>
  <c r="A27" i="9"/>
  <c r="A28" i="9"/>
  <c r="A29" i="9"/>
  <c r="A30" i="9"/>
  <c r="A33" i="9"/>
  <c r="A34" i="9"/>
  <c r="A15" i="9"/>
  <c r="A16" i="9"/>
  <c r="A17" i="9"/>
  <c r="A18" i="9"/>
  <c r="A20" i="9"/>
  <c r="A21" i="9"/>
  <c r="A22" i="9"/>
  <c r="A35" i="9"/>
  <c r="A37" i="9"/>
  <c r="A38" i="9"/>
  <c r="A39" i="9"/>
  <c r="A40" i="9"/>
  <c r="A41" i="9"/>
  <c r="A42" i="9"/>
  <c r="D39" i="9"/>
  <c r="D40" i="9"/>
  <c r="D41" i="9"/>
  <c r="D42" i="9"/>
  <c r="J39" i="9"/>
  <c r="K39" i="9"/>
  <c r="L39" i="9"/>
  <c r="N39" i="9"/>
  <c r="O39" i="9"/>
  <c r="J40" i="9"/>
  <c r="K40" i="9"/>
  <c r="L40" i="9"/>
  <c r="N40" i="9"/>
  <c r="O40" i="9"/>
  <c r="J41" i="9"/>
  <c r="K41" i="9"/>
  <c r="L41" i="9"/>
  <c r="N41" i="9"/>
  <c r="O41" i="9"/>
  <c r="J42" i="9"/>
  <c r="K42" i="9"/>
  <c r="L42" i="9"/>
  <c r="N42" i="9"/>
  <c r="O42" i="9"/>
  <c r="O38" i="9"/>
  <c r="N38" i="9"/>
  <c r="L38" i="9"/>
  <c r="K38" i="9"/>
  <c r="J38" i="9"/>
  <c r="D38" i="9"/>
  <c r="O37" i="9"/>
  <c r="N37" i="9"/>
  <c r="L37" i="9"/>
  <c r="K37" i="9"/>
  <c r="J37" i="9"/>
  <c r="D37" i="9"/>
  <c r="O35" i="9"/>
  <c r="N35" i="9"/>
  <c r="M35" i="9"/>
  <c r="L35" i="9"/>
  <c r="K35" i="9"/>
  <c r="J35" i="9"/>
  <c r="D35" i="9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13" i="9"/>
  <c r="N13" i="9"/>
  <c r="M13" i="9"/>
  <c r="L13" i="9"/>
  <c r="K13" i="9"/>
  <c r="J13" i="9"/>
  <c r="I13" i="9"/>
  <c r="H13" i="9"/>
  <c r="G13" i="9"/>
  <c r="E13" i="9"/>
  <c r="D13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O22" i="9"/>
  <c r="N22" i="9"/>
  <c r="M22" i="9"/>
  <c r="L22" i="9"/>
  <c r="K22" i="9"/>
  <c r="J22" i="9"/>
  <c r="I22" i="9"/>
  <c r="H22" i="9"/>
  <c r="G22" i="9"/>
  <c r="E22" i="9"/>
  <c r="D22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O6" i="9"/>
  <c r="N6" i="9"/>
  <c r="M6" i="9"/>
  <c r="L6" i="9"/>
  <c r="K6" i="9"/>
  <c r="J6" i="9"/>
  <c r="I6" i="9"/>
  <c r="H6" i="9"/>
  <c r="G6" i="9"/>
  <c r="E6" i="9"/>
  <c r="D6" i="9"/>
  <c r="O11" i="9"/>
  <c r="N11" i="9"/>
  <c r="M11" i="9"/>
  <c r="L11" i="9"/>
  <c r="K11" i="9"/>
  <c r="J11" i="9"/>
  <c r="I11" i="9"/>
  <c r="H11" i="9"/>
  <c r="G11" i="9"/>
  <c r="E11" i="9"/>
  <c r="D11" i="9"/>
  <c r="J17" i="11"/>
  <c r="J16" i="11"/>
  <c r="O17" i="9"/>
  <c r="N17" i="9"/>
  <c r="M17" i="9"/>
  <c r="L17" i="9"/>
  <c r="K17" i="9"/>
  <c r="J17" i="9"/>
  <c r="I17" i="9"/>
  <c r="H17" i="9"/>
  <c r="G17" i="9"/>
  <c r="E17" i="9"/>
  <c r="D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2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21" i="9"/>
  <c r="N21" i="9"/>
  <c r="M21" i="9"/>
  <c r="L21" i="9"/>
  <c r="K21" i="9"/>
  <c r="J21" i="9"/>
  <c r="I21" i="9"/>
  <c r="H21" i="9"/>
  <c r="G21" i="9"/>
  <c r="E21" i="9"/>
  <c r="D21" i="9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O20" i="9"/>
  <c r="N20" i="9"/>
  <c r="M20" i="9"/>
  <c r="L20" i="9"/>
  <c r="K20" i="9"/>
  <c r="J20" i="9"/>
  <c r="I20" i="9"/>
  <c r="H20" i="9"/>
  <c r="G20" i="9"/>
  <c r="E20" i="9"/>
  <c r="D20" i="9"/>
  <c r="O16" i="9"/>
  <c r="N16" i="9"/>
  <c r="M16" i="9"/>
  <c r="L16" i="9"/>
  <c r="K16" i="9"/>
  <c r="J16" i="9"/>
  <c r="I16" i="9"/>
  <c r="H16" i="9"/>
  <c r="G16" i="9"/>
  <c r="E16" i="9"/>
  <c r="D16" i="9"/>
  <c r="O18" i="9"/>
  <c r="N18" i="9"/>
  <c r="M18" i="9"/>
  <c r="L18" i="9"/>
  <c r="K18" i="9"/>
  <c r="J18" i="9"/>
  <c r="I18" i="9"/>
  <c r="H18" i="9"/>
  <c r="G18" i="9"/>
  <c r="E18" i="9"/>
  <c r="D18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E15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O15" i="9"/>
  <c r="N15" i="9"/>
  <c r="M15" i="9"/>
  <c r="L15" i="9"/>
  <c r="K15" i="9"/>
  <c r="J15" i="9"/>
  <c r="I15" i="9"/>
  <c r="H15" i="9"/>
  <c r="G15" i="9"/>
  <c r="D15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G21" i="10"/>
  <c r="J21" i="10"/>
  <c r="I21" i="10"/>
  <c r="K21" i="10"/>
  <c r="H21" i="10"/>
  <c r="L21" i="10"/>
  <c r="AB5" i="1"/>
  <c r="AD5" i="1"/>
  <c r="AG5" i="1"/>
  <c r="AE5" i="1"/>
  <c r="AC5" i="1"/>
  <c r="E30" i="9"/>
  <c r="V5" i="1"/>
  <c r="Q5" i="1"/>
  <c r="P5" i="1"/>
  <c r="O5" i="1"/>
  <c r="N5" i="1"/>
  <c r="M5" i="1"/>
  <c r="H5" i="1"/>
  <c r="G2" i="2"/>
  <c r="A2" i="2"/>
  <c r="G3" i="2"/>
  <c r="A3" i="2"/>
  <c r="G4" i="2"/>
  <c r="A4" i="2"/>
  <c r="G5" i="2"/>
  <c r="A5" i="2"/>
  <c r="J5" i="1"/>
  <c r="I5" i="1"/>
  <c r="D5" i="1"/>
  <c r="F5" i="1"/>
  <c r="E5" i="1"/>
  <c r="A5" i="1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O8" i="9"/>
  <c r="N8" i="9"/>
  <c r="M8" i="9"/>
  <c r="L8" i="9"/>
  <c r="K8" i="9"/>
  <c r="J8" i="9"/>
  <c r="I8" i="9"/>
  <c r="H8" i="9"/>
  <c r="G8" i="9"/>
  <c r="E8" i="9"/>
  <c r="D8" i="9"/>
  <c r="E2" i="9"/>
  <c r="V2" i="1"/>
  <c r="E4" i="9"/>
  <c r="V3" i="1"/>
  <c r="E7" i="9"/>
  <c r="V4" i="1"/>
  <c r="E12" i="9"/>
  <c r="V6" i="1"/>
  <c r="E31" i="9"/>
  <c r="E24" i="9"/>
  <c r="V8" i="1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A4" i="7"/>
  <c r="D4" i="7"/>
  <c r="E4" i="7"/>
  <c r="F4" i="7"/>
  <c r="H4" i="7"/>
  <c r="I4" i="7"/>
  <c r="J4" i="7"/>
  <c r="N4" i="7"/>
  <c r="O4" i="7"/>
  <c r="P4" i="7"/>
  <c r="Q4" i="7"/>
  <c r="R4" i="7"/>
  <c r="A5" i="7"/>
  <c r="D5" i="7"/>
  <c r="E5" i="7"/>
  <c r="F5" i="7"/>
  <c r="H5" i="7"/>
  <c r="I5" i="7"/>
  <c r="J5" i="7"/>
  <c r="N5" i="7"/>
  <c r="O5" i="7"/>
  <c r="P5" i="7"/>
  <c r="Q5" i="7"/>
  <c r="R5" i="7"/>
  <c r="D5" i="9"/>
  <c r="E5" i="9"/>
  <c r="G5" i="9"/>
  <c r="H5" i="9"/>
  <c r="I5" i="9"/>
  <c r="J5" i="9"/>
  <c r="K5" i="9"/>
  <c r="L5" i="9"/>
  <c r="M5" i="9"/>
  <c r="N5" i="9"/>
  <c r="O5" i="9"/>
  <c r="D7" i="9"/>
  <c r="G7" i="9"/>
  <c r="H7" i="9"/>
  <c r="I7" i="9"/>
  <c r="J7" i="9"/>
  <c r="K7" i="9"/>
  <c r="L7" i="9"/>
  <c r="M7" i="9"/>
  <c r="N7" i="9"/>
  <c r="O7" i="9"/>
  <c r="D9" i="9"/>
  <c r="E9" i="9"/>
  <c r="G9" i="9"/>
  <c r="H9" i="9"/>
  <c r="I9" i="9"/>
  <c r="J9" i="9"/>
  <c r="K9" i="9"/>
  <c r="L9" i="9"/>
  <c r="M9" i="9"/>
  <c r="N9" i="9"/>
  <c r="O9" i="9"/>
  <c r="D10" i="9"/>
  <c r="E10" i="9"/>
  <c r="G10" i="9"/>
  <c r="H10" i="9"/>
  <c r="I10" i="9"/>
  <c r="J10" i="9"/>
  <c r="K10" i="9"/>
  <c r="L10" i="9"/>
  <c r="M10" i="9"/>
  <c r="N10" i="9"/>
  <c r="O10" i="9"/>
  <c r="D12" i="9"/>
  <c r="G12" i="9"/>
  <c r="H12" i="9"/>
  <c r="I12" i="9"/>
  <c r="J12" i="9"/>
  <c r="K12" i="9"/>
  <c r="L12" i="9"/>
  <c r="M12" i="9"/>
  <c r="N12" i="9"/>
  <c r="O12" i="9"/>
  <c r="D14" i="9"/>
  <c r="E14" i="9"/>
  <c r="G14" i="9"/>
  <c r="H14" i="9"/>
  <c r="I14" i="9"/>
  <c r="J14" i="9"/>
  <c r="K14" i="9"/>
  <c r="L14" i="9"/>
  <c r="M14" i="9"/>
  <c r="N14" i="9"/>
  <c r="O14" i="9"/>
  <c r="D31" i="9"/>
  <c r="G31" i="9"/>
  <c r="H31" i="9"/>
  <c r="I31" i="9"/>
  <c r="J31" i="9"/>
  <c r="K31" i="9"/>
  <c r="L31" i="9"/>
  <c r="M31" i="9"/>
  <c r="N31" i="9"/>
  <c r="O31" i="9"/>
  <c r="D24" i="9"/>
  <c r="G24" i="9"/>
  <c r="H24" i="9"/>
  <c r="I24" i="9"/>
  <c r="J24" i="9"/>
  <c r="K24" i="9"/>
  <c r="L24" i="9"/>
  <c r="M24" i="9"/>
  <c r="N24" i="9"/>
  <c r="O24" i="9"/>
  <c r="D25" i="9"/>
  <c r="E25" i="9"/>
  <c r="G25" i="9"/>
  <c r="H25" i="9"/>
  <c r="I25" i="9"/>
  <c r="J25" i="9"/>
  <c r="K25" i="9"/>
  <c r="L25" i="9"/>
  <c r="M25" i="9"/>
  <c r="N25" i="9"/>
  <c r="O25" i="9"/>
  <c r="D26" i="9"/>
  <c r="E26" i="9"/>
  <c r="G26" i="9"/>
  <c r="H26" i="9"/>
  <c r="I26" i="9"/>
  <c r="J26" i="9"/>
  <c r="K26" i="9"/>
  <c r="L26" i="9"/>
  <c r="M26" i="9"/>
  <c r="N26" i="9"/>
  <c r="O26" i="9"/>
  <c r="D30" i="9"/>
  <c r="G30" i="9"/>
  <c r="H30" i="9"/>
  <c r="I30" i="9"/>
  <c r="J30" i="9"/>
  <c r="K30" i="9"/>
  <c r="L30" i="9"/>
  <c r="M30" i="9"/>
  <c r="N30" i="9"/>
  <c r="O30" i="9"/>
  <c r="D33" i="9"/>
  <c r="J33" i="9"/>
  <c r="K33" i="9"/>
  <c r="L33" i="9"/>
  <c r="M33" i="9"/>
  <c r="N33" i="9"/>
  <c r="O33" i="9"/>
  <c r="D34" i="9"/>
  <c r="J34" i="9"/>
  <c r="K34" i="9"/>
  <c r="L34" i="9"/>
  <c r="M34" i="9"/>
  <c r="N34" i="9"/>
  <c r="O34" i="9"/>
  <c r="O4" i="9"/>
  <c r="N4" i="9"/>
  <c r="M4" i="9"/>
  <c r="L4" i="9"/>
  <c r="K4" i="9"/>
  <c r="J4" i="9"/>
  <c r="I4" i="9"/>
  <c r="H4" i="9"/>
  <c r="G4" i="9"/>
  <c r="D4" i="9"/>
  <c r="O3" i="9"/>
  <c r="N3" i="9"/>
  <c r="M3" i="9"/>
  <c r="L3" i="9"/>
  <c r="K3" i="9"/>
  <c r="J3" i="9"/>
  <c r="I3" i="9"/>
  <c r="H3" i="9"/>
  <c r="G3" i="9"/>
  <c r="E3" i="9"/>
  <c r="D3" i="9"/>
  <c r="R3" i="7"/>
  <c r="Q3" i="7"/>
  <c r="P3" i="7"/>
  <c r="O3" i="7"/>
  <c r="N3" i="7"/>
  <c r="H3" i="7"/>
  <c r="J3" i="7"/>
  <c r="I3" i="7"/>
  <c r="D3" i="7"/>
  <c r="F3" i="7"/>
  <c r="E3" i="7"/>
  <c r="A3" i="7"/>
  <c r="G2" i="10"/>
  <c r="H2" i="10"/>
  <c r="I2" i="10"/>
  <c r="J2" i="10"/>
  <c r="K2" i="10"/>
  <c r="L2" i="10"/>
  <c r="M2" i="10"/>
  <c r="M12" i="10"/>
  <c r="N12" i="10"/>
  <c r="Q12" i="10"/>
  <c r="P12" i="10"/>
  <c r="R12" i="10"/>
  <c r="O12" i="10"/>
  <c r="S12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33" i="10"/>
  <c r="N33" i="10"/>
  <c r="Q33" i="10"/>
  <c r="P33" i="10"/>
  <c r="R33" i="10"/>
  <c r="O33" i="10"/>
  <c r="S33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A4" i="1"/>
  <c r="D4" i="1"/>
  <c r="E4" i="1"/>
  <c r="F4" i="1"/>
  <c r="H4" i="1"/>
  <c r="I4" i="1"/>
  <c r="J4" i="1"/>
  <c r="M4" i="1"/>
  <c r="N4" i="1"/>
  <c r="O4" i="1"/>
  <c r="P4" i="1"/>
  <c r="Q4" i="1"/>
  <c r="AB4" i="1"/>
  <c r="AC4" i="1"/>
  <c r="AD4" i="1"/>
  <c r="AE4" i="1"/>
  <c r="AG4" i="1"/>
  <c r="A6" i="1"/>
  <c r="D6" i="1"/>
  <c r="E6" i="1"/>
  <c r="F6" i="1"/>
  <c r="H6" i="1"/>
  <c r="I6" i="1"/>
  <c r="J6" i="1"/>
  <c r="M6" i="1"/>
  <c r="N6" i="1"/>
  <c r="O6" i="1"/>
  <c r="P6" i="1"/>
  <c r="Q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AC8" i="1"/>
  <c r="AD8" i="1"/>
  <c r="AE8" i="1"/>
  <c r="AG8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H2" i="2"/>
  <c r="E2" i="2"/>
  <c r="D2" i="2"/>
  <c r="B2" i="2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<sst xmlns="http://schemas.openxmlformats.org/spreadsheetml/2006/main" count="864" uniqueCount="395">
  <si>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</si>
  <si>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</si>
  <si>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</si>
  <si>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</si>
  <si>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</si>
  <si>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</si>
  <si>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</si>
  <si>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</si>
  <si>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</si>
  <si>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</si>
  <si>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</si>
  <si>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</si>
  <si>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</si>
  <si>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</si>
  <si>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</si>
  <si>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</si>
  <si>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</si>
  <si>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</si>
  <si>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</si>
  <si>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</si>
  <si>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</si>
  <si>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</si>
  <si>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</si>
  <si>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</si>
  <si>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</si>
  <si>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</si>
  <si>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</si>
  <si>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</si>
  <si>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</si>
  <si>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</si>
  <si>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</si>
  <si>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</si>
  <si>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</si>
  <si>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</si>
  <si>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</si>
  <si>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</si>
  <si>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</si>
  <si>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</si>
  <si>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</si>
  <si>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</si>
  <si>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</si>
  <si>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</si>
  <si>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</si>
  <si>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</si>
  <si>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</si>
  <si>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</si>
  <si>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</si>
  <si>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</si>
  <si>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</si>
  <si>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</si>
  <si>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</si>
  <si>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</si>
  <si>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</si>
  <si>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</si>
  <si>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</si>
  <si>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</si>
  <si>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</si>
  <si>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</si>
  <si>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</si>
  <si>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</si>
  <si>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</si>
  <si>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</si>
  <si>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</si>
  <si>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</si>
  <si>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</si>
  <si>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</si>
  <si>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</si>
  <si>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</si>
  <si>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</si>
  <si>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</si>
  <si>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</si>
  <si>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</si>
  <si>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</si>
  <si>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</si>
  <si>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</si>
  <si>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</si>
  <si>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</si>
  <si>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</si>
  <si>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</si>
  <si>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</si>
  <si>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</si>
  <si>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</si>
  <si>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</si>
  <si>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</si>
  <si>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</si>
  <si>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</si>
  <si>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</si>
  <si>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</si>
  <si>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</si>
  <si>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</si>
  <si>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</si>
  <si>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</si>
  <si>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</si>
  <si>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</si>
  <si>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</si>
  <si>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</si>
  <si>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</si>
  <si>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</si>
  <si>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</si>
  <si>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</si>
  <si>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</si>
  <si>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</si>
  <si>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</si>
  <si>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</si>
  <si>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</si>
  <si>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</si>
  <si>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</si>
  <si>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</si>
  <si>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</si>
  <si>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</si>
  <si>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</si>
  <si>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</si>
  <si>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</si>
  <si>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</si>
  <si>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</si>
  <si>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</si>
  <si>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</si>
  <si>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</si>
  <si>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</si>
  <si>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</si>
  <si>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</si>
  <si>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</si>
  <si>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</si>
  <si>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</si>
  <si>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</si>
  <si>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</si>
  <si>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</si>
  <si>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</si>
  <si>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</si>
  <si>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</si>
  <si>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</si>
  <si>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</si>
  <si>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</si>
  <si>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</si>
  <si>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</si>
  <si>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</si>
  <si>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</si>
  <si>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</si>
  <si>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</si>
  <si>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</si>
  <si>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</si>
  <si>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</si>
  <si>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</si>
  <si>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</si>
  <si>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</si>
  <si>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</si>
  <si>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</si>
  <si>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old</t>
    <phoneticPr fontId="5"/>
  </si>
  <si>
    <t>old</t>
    <phoneticPr fontId="5"/>
  </si>
  <si>
    <t>old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</si>
  <si>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</si>
  <si>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</si>
  <si>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</si>
  <si>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</si>
  <si>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</si>
  <si>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</si>
  <si>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</si>
  <si>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</si>
  <si>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</si>
  <si>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</si>
  <si>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</si>
  <si>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</si>
  <si>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</si>
  <si>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</si>
  <si>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</si>
  <si>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</si>
  <si>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</si>
  <si>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</si>
  <si>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</si>
  <si>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</si>
  <si>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</si>
  <si>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</si>
  <si>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</si>
  <si>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</si>
  <si>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</si>
  <si>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</si>
  <si>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</si>
  <si>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</si>
  <si>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</si>
  <si>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</si>
  <si>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</si>
  <si>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null</t>
  </si>
  <si>
    <t>ja</t>
    <phoneticPr fontId="5"/>
  </si>
  <si>
    <t>東の魔女が消えた♪</t>
    <rPh sb="0" eb="5">
      <t>ヒg</t>
    </rPh>
    <rPh sb="5" eb="8">
      <t>キ</t>
    </rPh>
    <phoneticPr fontId="5"/>
  </si>
  <si>
    <t>ja</t>
    <phoneticPr fontId="5"/>
  </si>
  <si>
    <t>西の魔女が消えた♪</t>
    <rPh sb="0" eb="8">
      <t>ニs</t>
    </rPh>
    <phoneticPr fontId="5"/>
  </si>
  <si>
    <t>3ターン後に一斉に襲いかかる！</t>
    <rPh sb="4" eb="6">
      <t>g</t>
    </rPh>
    <rPh sb="6" eb="9">
      <t>イッセ</t>
    </rPh>
    <rPh sb="9" eb="15">
      <t>オs</t>
    </rPh>
    <phoneticPr fontId="5"/>
  </si>
  <si>
    <t>ja</t>
    <phoneticPr fontId="5"/>
  </si>
  <si>
    <t>3ターン防御力アップ</t>
    <rPh sb="4" eb="7">
      <t>ボ</t>
    </rPh>
    <phoneticPr fontId="5"/>
  </si>
  <si>
    <t>全体攻撃</t>
    <rPh sb="0" eb="4">
      <t>ゼンタ</t>
    </rPh>
    <phoneticPr fontId="5"/>
  </si>
  <si>
    <t>解除するまでハート無効</t>
    <rPh sb="0" eb="4">
      <t>カ</t>
    </rPh>
    <rPh sb="4" eb="6">
      <t>シュウリョ</t>
    </rPh>
    <rPh sb="9" eb="11">
      <t>ムコ</t>
    </rPh>
    <phoneticPr fontId="5"/>
  </si>
  <si>
    <t>久保</t>
    <rPh sb="0" eb="2">
      <t>クb</t>
    </rPh>
    <phoneticPr fontId="5"/>
  </si>
  <si>
    <t>オズ</t>
    <phoneticPr fontId="5"/>
  </si>
  <si>
    <t>オズのガブリエル</t>
    <phoneticPr fontId="5"/>
  </si>
  <si>
    <t>オズのアストライアー</t>
    <phoneticPr fontId="5"/>
  </si>
  <si>
    <t>オズのミール</t>
    <phoneticPr fontId="5"/>
  </si>
  <si>
    <t>オズのラファエル</t>
    <phoneticPr fontId="5"/>
  </si>
  <si>
    <t>オズのバフォメット</t>
    <phoneticPr fontId="5"/>
  </si>
  <si>
    <t>オズのアストライアー</t>
    <phoneticPr fontId="5"/>
  </si>
  <si>
    <t>オズ</t>
    <phoneticPr fontId="5"/>
  </si>
  <si>
    <t>オズ</t>
    <phoneticPr fontId="5"/>
  </si>
  <si>
    <t>3回連続攻撃</t>
    <rPh sb="1" eb="2">
      <t>カ</t>
    </rPh>
    <rPh sb="2" eb="6">
      <t>レンゾk</t>
    </rPh>
    <phoneticPr fontId="5"/>
  </si>
  <si>
    <t>4ターンハート無効</t>
    <rPh sb="7" eb="9">
      <t>ムコ</t>
    </rPh>
    <phoneticPr fontId="5"/>
  </si>
  <si>
    <t>オズのバフォメット</t>
    <phoneticPr fontId="5"/>
  </si>
  <si>
    <t>ガブリエル</t>
    <phoneticPr fontId="5"/>
  </si>
  <si>
    <t>ガブリエル</t>
    <phoneticPr fontId="5"/>
  </si>
  <si>
    <t>ラファエル</t>
    <phoneticPr fontId="5"/>
  </si>
  <si>
    <t>ファラエル</t>
    <phoneticPr fontId="5"/>
  </si>
  <si>
    <t>ミール</t>
    <phoneticPr fontId="5"/>
  </si>
  <si>
    <t>バフォメット</t>
    <phoneticPr fontId="5"/>
  </si>
  <si>
    <t>バフォメット</t>
    <phoneticPr fontId="5"/>
  </si>
  <si>
    <t>アストライアー</t>
    <phoneticPr fontId="5"/>
  </si>
  <si>
    <t>オズ</t>
    <phoneticPr fontId="5"/>
  </si>
  <si>
    <t>ハートパネル7個出現</t>
    <rPh sb="7" eb="8">
      <t>コ</t>
    </rPh>
    <rPh sb="8" eb="10">
      <t>シュt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</si>
  <si>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</si>
  <si>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</si>
  <si>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</si>
  <si>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</si>
  <si>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</si>
  <si>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マジカルヴェール</t>
    <phoneticPr fontId="5"/>
  </si>
  <si>
    <t>プラチナメテオ</t>
    <phoneticPr fontId="5"/>
  </si>
  <si>
    <t>一気に行くぜ！</t>
    <rPh sb="0" eb="3">
      <t>イッk</t>
    </rPh>
    <rPh sb="3" eb="4">
      <t>イ</t>
    </rPh>
    <phoneticPr fontId="5"/>
  </si>
  <si>
    <t>急降下！</t>
    <rPh sb="0" eb="3">
      <t>キュ</t>
    </rPh>
    <phoneticPr fontId="5"/>
  </si>
  <si>
    <t>サバトの護石</t>
    <rPh sb="4" eb="6">
      <t>ゴセk</t>
    </rPh>
    <phoneticPr fontId="5"/>
  </si>
  <si>
    <t>null</t>
    <phoneticPr fontId="5"/>
  </si>
  <si>
    <t>null</t>
    <phoneticPr fontId="5"/>
  </si>
  <si>
    <t>[effect:change_block, new_block:block_heart, target:block_all, count:7, val:0.1, animation:change_block]</t>
  </si>
  <si>
    <t>クリティカル！</t>
    <phoneticPr fontId="5"/>
  </si>
  <si>
    <t xml:space="preserve">[effect:change_block, new_block:jammer, target:block_all, count:8, val:0, animation:change_block]    </t>
  </si>
  <si>
    <t xml:space="preserve">[effect:spread, val:0.3]    </t>
  </si>
  <si>
    <t xml:space="preserve">[effect:dis_heart, turn:-1, animation:enemy_dis_heart]    </t>
  </si>
  <si>
    <t xml:space="preserve">[effect:dis_heart, turn:4, animation:enemy_dis_heart]    </t>
  </si>
  <si>
    <t xml:space="preserve">[effect:freq_turn, target:myself, turn:3, val:1, animation:enemy_freq_turn]    </t>
  </si>
  <si>
    <t>さらに攻撃力アップ</t>
    <rPh sb="3" eb="5">
      <t>コウゲk</t>
    </rPh>
    <rPh sb="5" eb="6">
      <t>リョk</t>
    </rPh>
    <phoneticPr fontId="5"/>
  </si>
  <si>
    <t>【！】かなり攻撃力アップ【！】</t>
    <rPh sb="6" eb="8">
      <t>コウゲk</t>
    </rPh>
    <rPh sb="8" eb="12">
      <t>リョk</t>
    </rPh>
    <phoneticPr fontId="5"/>
  </si>
  <si>
    <t>攻撃力アップ</t>
    <rPh sb="0" eb="6">
      <t>コウゲk</t>
    </rPh>
    <phoneticPr fontId="5"/>
  </si>
  <si>
    <t>黒山羊の儀式</t>
    <rPh sb="0" eb="3">
      <t>クr</t>
    </rPh>
    <rPh sb="4" eb="6">
      <t>ギs</t>
    </rPh>
    <phoneticPr fontId="5"/>
  </si>
  <si>
    <t>封印術式完全解放</t>
    <rPh sb="0" eb="8">
      <t>フウイン</t>
    </rPh>
    <phoneticPr fontId="5"/>
  </si>
  <si>
    <t>封印解放【左手】</t>
    <rPh sb="0" eb="2">
      <t>フウイン</t>
    </rPh>
    <rPh sb="2" eb="4">
      <t>カイホ</t>
    </rPh>
    <rPh sb="5" eb="7">
      <t>ヒダr</t>
    </rPh>
    <phoneticPr fontId="5"/>
  </si>
  <si>
    <t>封印解放【右手】</t>
    <rPh sb="0" eb="2">
      <t>フウイン</t>
    </rPh>
    <rPh sb="2" eb="4">
      <t>カイホ</t>
    </rPh>
    <rPh sb="5" eb="7">
      <t>ミg</t>
    </rPh>
    <phoneticPr fontId="5"/>
  </si>
  <si>
    <t>石の脳を与えよう</t>
    <rPh sb="0" eb="2">
      <t>イs</t>
    </rPh>
    <rPh sb="2" eb="3">
      <t>ノ</t>
    </rPh>
    <rPh sb="4" eb="8">
      <t>アタ</t>
    </rPh>
    <phoneticPr fontId="5"/>
  </si>
  <si>
    <t>勇気の石を与えよう</t>
    <rPh sb="0" eb="2">
      <t>ユウk</t>
    </rPh>
    <rPh sb="3" eb="4">
      <t>イs</t>
    </rPh>
    <rPh sb="5" eb="9">
      <t>アタ</t>
    </rPh>
    <phoneticPr fontId="5"/>
  </si>
  <si>
    <t>null</t>
    <phoneticPr fontId="5"/>
  </si>
  <si>
    <t>null</t>
    <phoneticPr fontId="5"/>
  </si>
  <si>
    <t>null</t>
    <phoneticPr fontId="5"/>
  </si>
  <si>
    <t>どうだ素晴らしいだろう！</t>
    <rPh sb="3" eb="12">
      <t>スバラシ</t>
    </rPh>
    <phoneticPr fontId="5"/>
  </si>
  <si>
    <t>オズの魔力を見よ！</t>
    <rPh sb="3" eb="5">
      <t>マry</t>
    </rPh>
    <rPh sb="5" eb="6">
      <t>チカr</t>
    </rPh>
    <rPh sb="6" eb="9">
      <t>ミヨ</t>
    </rPh>
    <phoneticPr fontId="5"/>
  </si>
  <si>
    <t>戦輪三連撃</t>
    <rPh sb="0" eb="1">
      <t>センリ</t>
    </rPh>
    <rPh sb="1" eb="2">
      <t>ワッk</t>
    </rPh>
    <rPh sb="2" eb="5">
      <t>サンレン</t>
    </rPh>
    <phoneticPr fontId="5"/>
  </si>
  <si>
    <t>石の心臓を与えよう</t>
    <rPh sb="0" eb="5">
      <t>イs</t>
    </rPh>
    <rPh sb="5" eb="9">
      <t>アタ</t>
    </rPh>
    <phoneticPr fontId="5"/>
  </si>
  <si>
    <t>翠玉の結界</t>
    <rPh sb="0" eb="3">
      <t>ス</t>
    </rPh>
    <rPh sb="3" eb="5">
      <t>ケッk</t>
    </rPh>
    <phoneticPr fontId="5"/>
  </si>
  <si>
    <t>アンチヒール</t>
    <phoneticPr fontId="5"/>
  </si>
  <si>
    <t>ジャミング</t>
    <phoneticPr fontId="5"/>
  </si>
  <si>
    <t>アストライアー</t>
    <phoneticPr fontId="5"/>
  </si>
  <si>
    <t>3ターン攻撃力ダウン</t>
    <rPh sb="4" eb="10">
      <t>コウゲk</t>
    </rPh>
    <phoneticPr fontId="5"/>
  </si>
  <si>
    <t>ロスト・ブレイブリー</t>
    <phoneticPr fontId="5"/>
  </si>
  <si>
    <t>ロスト・ブレイン</t>
    <phoneticPr fontId="5"/>
  </si>
  <si>
    <t>ロスト・ハート</t>
    <phoneticPr fontId="5"/>
  </si>
  <si>
    <t>アストライアー</t>
    <phoneticPr fontId="5"/>
  </si>
  <si>
    <t>魔力吸収</t>
    <rPh sb="0" eb="4">
      <t>マリョk</t>
    </rPh>
    <phoneticPr fontId="5"/>
  </si>
  <si>
    <t>ラファエル・バフォメット</t>
    <phoneticPr fontId="5"/>
  </si>
  <si>
    <t>アストライアー</t>
    <phoneticPr fontId="5"/>
  </si>
  <si>
    <t>アストライアー</t>
    <phoneticPr fontId="5"/>
  </si>
  <si>
    <t>[effect:change_block, new_block:jammer, target:block_all, count:8, val:0, animation:change_block]</t>
    <phoneticPr fontId="5"/>
  </si>
  <si>
    <t>5ターン回復力ダウン</t>
    <rPh sb="4" eb="10">
      <t>カ</t>
    </rPh>
    <phoneticPr fontId="5"/>
  </si>
  <si>
    <t>[effect:degrade_unit, target:unit_all, turn:5, status:heal, val:0.5, calc:mul, animation:degrade_unit_all_heal]</t>
    <phoneticPr fontId="5"/>
  </si>
  <si>
    <t>[effect:hungup, target:unit_all, turn:3, rate:1, animation:hungup01]</t>
    <phoneticPr fontId="5"/>
  </si>
  <si>
    <t>乙女座流星群</t>
    <rPh sb="0" eb="3">
      <t>オt</t>
    </rPh>
    <rPh sb="3" eb="6">
      <t>リュ</t>
    </rPh>
    <phoneticPr fontId="5"/>
  </si>
  <si>
    <t>クロックメテオEX</t>
    <phoneticPr fontId="5"/>
  </si>
  <si>
    <t>ダブルマジック</t>
    <phoneticPr fontId="5"/>
  </si>
  <si>
    <t>2連続攻撃</t>
    <rPh sb="1" eb="5">
      <t>ニr</t>
    </rPh>
    <phoneticPr fontId="5"/>
  </si>
  <si>
    <t>マジカルバランサー</t>
    <phoneticPr fontId="5"/>
  </si>
  <si>
    <t>[effect:fix_speed, target:enemy_all, turn:3]</t>
    <phoneticPr fontId="5"/>
  </si>
  <si>
    <t>バフォメット</t>
    <phoneticPr fontId="5"/>
  </si>
  <si>
    <t>アストライアー</t>
    <phoneticPr fontId="5"/>
  </si>
  <si>
    <t>アストライアー</t>
    <phoneticPr fontId="5"/>
  </si>
  <si>
    <t>戦輪二連撃</t>
    <rPh sb="0" eb="1">
      <t>センリ</t>
    </rPh>
    <rPh sb="1" eb="2">
      <t>ワッk</t>
    </rPh>
    <rPh sb="2" eb="3">
      <t>2</t>
    </rPh>
    <rPh sb="3" eb="5">
      <t>サンレン</t>
    </rPh>
    <phoneticPr fontId="5"/>
  </si>
  <si>
    <t>戦輪四連撃</t>
    <rPh sb="0" eb="1">
      <t>センリ</t>
    </rPh>
    <rPh sb="1" eb="2">
      <t>ワッk</t>
    </rPh>
    <rPh sb="2" eb="3">
      <t>ヨン</t>
    </rPh>
    <rPh sb="3" eb="5">
      <t>サンレン</t>
    </rPh>
    <phoneticPr fontId="5"/>
  </si>
  <si>
    <t>戦輪五連撃</t>
    <rPh sb="0" eb="1">
      <t>センリ</t>
    </rPh>
    <rPh sb="1" eb="2">
      <t>ワッk</t>
    </rPh>
    <rPh sb="2" eb="3">
      <t>ゴ</t>
    </rPh>
    <rPh sb="3" eb="5">
      <t>サンレン</t>
    </rPh>
    <phoneticPr fontId="5"/>
  </si>
  <si>
    <t>戦輪六連撃</t>
    <rPh sb="0" eb="1">
      <t>センリ</t>
    </rPh>
    <rPh sb="1" eb="2">
      <t>ワッk</t>
    </rPh>
    <rPh sb="2" eb="3">
      <t>ロk</t>
    </rPh>
    <rPh sb="3" eb="5">
      <t>サンレン</t>
    </rPh>
    <phoneticPr fontId="5"/>
  </si>
  <si>
    <t>null</t>
    <phoneticPr fontId="5"/>
  </si>
  <si>
    <t>ファラエル</t>
    <phoneticPr fontId="5"/>
  </si>
  <si>
    <t>アストライアー</t>
    <phoneticPr fontId="5"/>
  </si>
  <si>
    <t>オズ</t>
    <phoneticPr fontId="5"/>
  </si>
  <si>
    <t>オズ</t>
    <phoneticPr fontId="5"/>
  </si>
  <si>
    <t>null</t>
    <phoneticPr fontId="5"/>
  </si>
  <si>
    <t>恐れよ！私がオズだ！</t>
    <rPh sb="0" eb="2">
      <t>オソr</t>
    </rPh>
    <rPh sb="4" eb="6">
      <t>ワタs</t>
    </rPh>
    <phoneticPr fontId="5"/>
  </si>
  <si>
    <t xml:space="preserve">[effect:change_block, new_block:jammer, target:block_all, count:8, val:0, animation:change_block]    </t>
    <phoneticPr fontId="5"/>
  </si>
  <si>
    <t xml:space="preserve">[effect:enhance_enemy, target:myself, turn:-1, status:attack, val:0.5, animation:enemy_enhance_attack]    </t>
    <phoneticPr fontId="5"/>
  </si>
  <si>
    <t>null</t>
    <phoneticPr fontId="5"/>
  </si>
  <si>
    <t>3ターン防御力アップ＆状態異常無効</t>
    <rPh sb="4" eb="7">
      <t>ボ</t>
    </rPh>
    <rPh sb="11" eb="17">
      <t>ジョ</t>
    </rPh>
    <phoneticPr fontId="5"/>
  </si>
  <si>
    <t>6回連続攻撃＆3ターン防御力ダウン</t>
    <rPh sb="1" eb="2">
      <t>カ</t>
    </rPh>
    <rPh sb="2" eb="6">
      <t>レンゾk</t>
    </rPh>
    <phoneticPr fontId="5"/>
  </si>
  <si>
    <t>ヒール封印術</t>
    <rPh sb="3" eb="5">
      <t>フウイン</t>
    </rPh>
    <rPh sb="5" eb="6">
      <t>ジュt</t>
    </rPh>
    <phoneticPr fontId="5"/>
  </si>
  <si>
    <t>[effect:change_block, new_block:jammer, target:block_all, count:4, val:0, animation:change_block],[effect:critical, val:1.8]</t>
    <phoneticPr fontId="5"/>
  </si>
  <si>
    <t>[effect:change_block, new_block:jammer, target:block_all, count:4, val:0, animation:change_block],[effect:rush, count:1, val:1]</t>
    <phoneticPr fontId="5"/>
  </si>
  <si>
    <t>null</t>
    <phoneticPr fontId="5"/>
  </si>
  <si>
    <t>[effect:change_block, new_block:jammer, target:block_all, count:4, val:0, animation:change_block],[effect:rush, count:1, val:1]</t>
    <phoneticPr fontId="5"/>
  </si>
  <si>
    <t>[effect:change_block, new_block:jammer, target:block_all, count:4, val:0, animation:change_block],[effect:rush, count:1, val:1]</t>
    <phoneticPr fontId="5"/>
  </si>
  <si>
    <t>5回連続攻撃</t>
    <rPh sb="1" eb="2">
      <t>カ</t>
    </rPh>
    <rPh sb="2" eb="6">
      <t>レンゾk</t>
    </rPh>
    <phoneticPr fontId="5"/>
  </si>
  <si>
    <t>hint_type</t>
    <phoneticPr fontId="5"/>
  </si>
  <si>
    <t>hint_id</t>
    <phoneticPr fontId="5"/>
  </si>
  <si>
    <t>hint</t>
    <phoneticPr fontId="5"/>
  </si>
  <si>
    <t>filename</t>
  </si>
  <si>
    <t>temp_id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</si>
  <si>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</si>
  <si>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</si>
  <si>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</si>
  <si>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</si>
  <si>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</si>
  <si>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</si>
  <si>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</si>
  <si>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</si>
  <si>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title</t>
    <phoneticPr fontId="5"/>
  </si>
  <si>
    <t>hint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</si>
  <si>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</si>
  <si>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</si>
  <si>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</si>
  <si>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</si>
  <si>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</si>
  <si>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3ターンスキルが使えない！</t>
    <rPh sb="8" eb="13">
      <t>ツカ</t>
    </rPh>
    <phoneticPr fontId="5"/>
  </si>
  <si>
    <t>お邪魔パネル×4</t>
    <rPh sb="1" eb="6">
      <t>ジャm</t>
    </rPh>
    <phoneticPr fontId="5"/>
  </si>
  <si>
    <t>お邪魔パネル×8</t>
    <rPh sb="1" eb="6">
      <t>ジャm</t>
    </rPh>
    <phoneticPr fontId="5"/>
  </si>
  <si>
    <t>クリティカル＆お邪魔パネル×4</t>
    <rPh sb="8" eb="13">
      <t>ジャm</t>
    </rPh>
    <phoneticPr fontId="5"/>
  </si>
  <si>
    <t>次のターンお邪魔パネル大量発生</t>
    <rPh sb="0" eb="5">
      <t>ツg</t>
    </rPh>
    <rPh sb="6" eb="11">
      <t>ジャm</t>
    </rPh>
    <rPh sb="11" eb="15">
      <t>タイリョ</t>
    </rPh>
    <phoneticPr fontId="5"/>
  </si>
  <si>
    <t>3ターンスピードアップ</t>
    <phoneticPr fontId="5"/>
  </si>
  <si>
    <t>時限式ダメージパネル×5</t>
    <rPh sb="0" eb="3">
      <t>ジg</t>
    </rPh>
    <phoneticPr fontId="5"/>
  </si>
  <si>
    <t>complete</t>
  </si>
  <si>
    <t>[effect:rush, count:2, val:0.8]</t>
    <phoneticPr fontId="5"/>
  </si>
  <si>
    <t>[effect:critical, val:2]</t>
    <phoneticPr fontId="5"/>
  </si>
  <si>
    <t>[effect:change_block, new_block:time_bomb, target:block_all, count:5, val:0.3, animation:change_block],[effect:rush, count:1, val:1.7]</t>
    <phoneticPr fontId="5"/>
  </si>
  <si>
    <t xml:space="preserve">[effect:enhance_enemy, target:myself, turn:-1, status:attack, val:0.5, animation:enemy_enhance_attack],[effect:rush, count:1, val:0.6] </t>
    <phoneticPr fontId="5"/>
  </si>
  <si>
    <t>[effect:enhance_enemy, target:myself, turn:-1, status:attack, val:1.1, animation:enemy_enhance_attack],[effect:rush, count:1, val:0.5]</t>
    <phoneticPr fontId="5"/>
  </si>
  <si>
    <t xml:space="preserve">[effect:enhance_enemy, target:myself, turn:-1, status:attack, val:1.8, animation:enemy_enhance_attack]    </t>
    <phoneticPr fontId="5"/>
  </si>
  <si>
    <t>[effect:tolerance,target:myself,turn:-1,tolerance_effect:all,count:-1,animation:enemy_tolerance],[effect:enhance_enemy, target:myself, turn:3, status:defense, val:3700, calc:add, animation:enemy_enhance_enemy]</t>
    <phoneticPr fontId="5"/>
  </si>
  <si>
    <t>[effect:enhance_enemy, target:myself, turn:3, status:defense, val:3500, calc:add, animation:enemy_enhance_enemy],[effect:fix_speed, target:enemy_all, turn:2]</t>
    <phoneticPr fontId="5"/>
  </si>
  <si>
    <t>次のターンからどんどん強くなる！</t>
    <rPh sb="0" eb="1">
      <t>ツギ</t>
    </rPh>
    <rPh sb="11" eb="15">
      <t>ツy</t>
    </rPh>
    <phoneticPr fontId="5"/>
  </si>
  <si>
    <t>[effect:critical, val:4]</t>
    <phoneticPr fontId="5"/>
  </si>
  <si>
    <t>4回連続攻撃</t>
    <rPh sb="1" eb="2">
      <t>カ</t>
    </rPh>
    <rPh sb="2" eb="6">
      <t>レンゾk</t>
    </rPh>
    <phoneticPr fontId="5"/>
  </si>
  <si>
    <t>2回連続攻撃</t>
    <rPh sb="1" eb="2">
      <t>カ</t>
    </rPh>
    <rPh sb="2" eb="6">
      <t>レンゾk</t>
    </rPh>
    <phoneticPr fontId="5"/>
  </si>
  <si>
    <t>6回連続攻撃</t>
    <rPh sb="1" eb="2">
      <t>カ</t>
    </rPh>
    <rPh sb="2" eb="6">
      <t>レンゾk</t>
    </rPh>
    <phoneticPr fontId="5"/>
  </si>
  <si>
    <t>[effect:rush, count:3, val:0.4]</t>
    <phoneticPr fontId="5"/>
  </si>
  <si>
    <t>[effect:rush, count:4, val:0.4]</t>
    <phoneticPr fontId="5"/>
  </si>
  <si>
    <t>[effect:rush, count:5, val:0.4]</t>
    <phoneticPr fontId="5"/>
  </si>
  <si>
    <t>null</t>
    <phoneticPr fontId="5"/>
  </si>
  <si>
    <t>[effect:change_block, new_block:jammer, target:block_all, count:15, val:0, animation:change_block]</t>
    <phoneticPr fontId="5"/>
  </si>
  <si>
    <t>お邪魔パネル×15</t>
    <rPh sb="1" eb="6">
      <t>ジャm</t>
    </rPh>
    <phoneticPr fontId="5"/>
  </si>
  <si>
    <t>3回連続攻撃＆お邪魔パネル×10</t>
    <rPh sb="1" eb="2">
      <t>カ</t>
    </rPh>
    <rPh sb="2" eb="6">
      <t>レンゾk</t>
    </rPh>
    <rPh sb="8" eb="10">
      <t>ジャマ</t>
    </rPh>
    <phoneticPr fontId="5"/>
  </si>
  <si>
    <t>[effect:rush, count:2, val:0.4]</t>
    <phoneticPr fontId="5"/>
  </si>
  <si>
    <t>[effect:degrade_fever, val:500, animation:fevergage_down],[effect:enhance_enemy, target:myself, turn:3, status:defense, val:3700, calc:add, animation:enemy_enhance_enemy],[effect:tolerance,target:myself,turn:-1,tolerance_effect:all,count:-1,animation:enemy_tolerance]</t>
    <phoneticPr fontId="5"/>
  </si>
  <si>
    <t>5ターン攻撃力ダウン＆敵状態異常無効</t>
    <rPh sb="4" eb="10">
      <t>コウゲk</t>
    </rPh>
    <rPh sb="11" eb="12">
      <t>テk</t>
    </rPh>
    <rPh sb="12" eb="18">
      <t>ジョ</t>
    </rPh>
    <phoneticPr fontId="5"/>
  </si>
  <si>
    <t>[effect:rush, count:3, val:0.4],[effect:change_block, new_block:jammer, target:block_all, count:10, val:0, animation:change_block]</t>
    <phoneticPr fontId="5"/>
  </si>
  <si>
    <t>[effect:rush, count:5, val:0.4],[effect:degrade_fever, val:300, animation:fevergage_down]</t>
    <phoneticPr fontId="5"/>
  </si>
  <si>
    <t>[effect:degrade_unit, target:unit_all, turn:3, status:defense, val:1, calc:mul],[effect:rush, count:6, val:0.4]</t>
    <phoneticPr fontId="5"/>
  </si>
  <si>
    <t>[effect:rush, count:1, val:0.4]</t>
    <phoneticPr fontId="5"/>
  </si>
  <si>
    <t>[effect:degrade_unit, target:unit_all, turn:3, status:defense, val:1, calc:mul],[effect:rush, count:6, val:0.4]</t>
    <phoneticPr fontId="5"/>
  </si>
  <si>
    <t>3ターン防御力アップ</t>
    <rPh sb="4" eb="10">
      <t>ボ</t>
    </rPh>
    <phoneticPr fontId="5"/>
  </si>
  <si>
    <t>2回連続攻撃＆2ターンスキルバインド</t>
    <rPh sb="1" eb="2">
      <t>カ</t>
    </rPh>
    <rPh sb="2" eb="6">
      <t>レンゾk</t>
    </rPh>
    <phoneticPr fontId="5"/>
  </si>
  <si>
    <t>[effect:rush, count:2, val:0.4],[effect:hungup, target:unit_all, turn:2, rate:1, animation:hungup01]</t>
    <phoneticPr fontId="5"/>
  </si>
  <si>
    <t>足掻くが良い！</t>
    <rPh sb="0" eb="4">
      <t>アガk</t>
    </rPh>
    <rPh sb="4" eb="7">
      <t>イイ</t>
    </rPh>
    <phoneticPr fontId="5"/>
  </si>
  <si>
    <t>私の前に跪け！</t>
    <rPh sb="0" eb="2">
      <t>ワタs</t>
    </rPh>
    <rPh sb="2" eb="4">
      <t>マ</t>
    </rPh>
    <rPh sb="4" eb="7">
      <t>ヒザマz</t>
    </rPh>
    <phoneticPr fontId="5"/>
  </si>
  <si>
    <t>[effect:degrade_unit, target:unit_all, turn:3, status:attack, val:0.8, calc:mul]</t>
    <phoneticPr fontId="5"/>
  </si>
  <si>
    <t>4回連続攻撃＆永続攻撃力ダウン</t>
    <rPh sb="1" eb="2">
      <t>カ</t>
    </rPh>
    <rPh sb="2" eb="6">
      <t>レンゾk</t>
    </rPh>
    <rPh sb="7" eb="9">
      <t>エイゾk</t>
    </rPh>
    <rPh sb="9" eb="15">
      <t>コウゲキリョk</t>
    </rPh>
    <phoneticPr fontId="5"/>
  </si>
  <si>
    <t>[effect:rush, count:4, val:0.4],[effect:degrade_unit, target:unit_all, turn:-1, status:attack, val:0.9, calc:mul]</t>
    <phoneticPr fontId="5"/>
  </si>
  <si>
    <t>魔の戦輪！</t>
    <rPh sb="0" eb="2">
      <t>マン</t>
    </rPh>
    <rPh sb="2" eb="3">
      <t>センリ</t>
    </rPh>
    <rPh sb="3" eb="4">
      <t>ワッk</t>
    </rPh>
    <phoneticPr fontId="5"/>
  </si>
  <si>
    <t>ははは！私は無敵だ！</t>
    <rPh sb="4" eb="6">
      <t>ワタs</t>
    </rPh>
    <rPh sb="6" eb="10">
      <t>ムテk</t>
    </rPh>
    <phoneticPr fontId="5"/>
  </si>
  <si>
    <t>[effect:rush, count:1, val:0.4],[effect:enhance_enemy, target:myself, turn:3, status:defense, val:7500, calc:add, animation:enemy_enhance_enemy]</t>
    <phoneticPr fontId="5"/>
  </si>
  <si>
    <t>手も足も出まい！</t>
    <rPh sb="0" eb="1">
      <t>テ</t>
    </rPh>
    <rPh sb="2" eb="4">
      <t>アs</t>
    </rPh>
    <rPh sb="4" eb="8">
      <t>デm</t>
    </rPh>
    <phoneticPr fontId="5"/>
  </si>
  <si>
    <t>無様だな！</t>
    <rPh sb="0" eb="5">
      <t>ブザm</t>
    </rPh>
    <phoneticPr fontId="5"/>
  </si>
  <si>
    <t>ダメ押しだ！</t>
    <rPh sb="2" eb="3">
      <t>オ</t>
    </rPh>
    <phoneticPr fontId="5"/>
  </si>
  <si>
    <t>そろそろ諦めるんだな！</t>
    <rPh sb="4" eb="6">
      <t>アk</t>
    </rPh>
    <phoneticPr fontId="5"/>
  </si>
  <si>
    <t>君は随分しぶといな！</t>
    <rPh sb="0" eb="1">
      <t>キm</t>
    </rPh>
    <rPh sb="1" eb="2">
      <t>キs</t>
    </rPh>
    <rPh sb="2" eb="4">
      <t>ズイブン</t>
    </rPh>
    <phoneticPr fontId="5"/>
  </si>
  <si>
    <t>どうだ、降伏するか？</t>
    <rPh sb="4" eb="10">
      <t>コウh</t>
    </rPh>
    <phoneticPr fontId="5"/>
  </si>
  <si>
    <t>[effect:nothing],[effect:rush, count:1, val:1]</t>
    <phoneticPr fontId="5"/>
  </si>
  <si>
    <t>[effect:degrade_unit, target:unit_all, turn:5, status:attack, val:0.7, calc:mul],[effect:rush, count:1, val:0.8],[effect:tolerance,target:myself,turn:-1,tolerance_effect:all,count:-1,animation:enemy_tolerance],[effect:fix_speed, target:enemy_all, turn:1]</t>
    <phoneticPr fontId="5"/>
  </si>
  <si>
    <t>ja</t>
    <phoneticPr fontId="5"/>
  </si>
  <si>
    <t>[effect:rush, count:2, val:0.8]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</si>
  <si>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</si>
  <si>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</si>
  <si>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</si>
  <si>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</si>
  <si>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</si>
  <si>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old</t>
    <phoneticPr fontId="5"/>
  </si>
  <si>
    <t>3ターン防御力アップ＆状態異常無効</t>
    <rPh sb="11" eb="17">
      <t>ジョ</t>
    </rPh>
    <phoneticPr fontId="5"/>
  </si>
  <si>
    <t>お邪魔パネル×8</t>
    <rPh sb="1" eb="3">
      <t>ジャm</t>
    </rPh>
    <rPh sb="3" eb="6">
      <t>ジg</t>
    </rPh>
    <phoneticPr fontId="5"/>
  </si>
  <si>
    <t>NULL</t>
    <phoneticPr fontId="5"/>
  </si>
  <si>
    <t>stage_hints_data_c_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</si>
  <si>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</si>
  <si>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stage_hints_data_f_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</si>
  <si>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_failue</t>
    </r>
    <phoneticPr fontId="5"/>
  </si>
  <si>
    <t>stage_hints_i18n_f_</t>
    <phoneticPr fontId="5"/>
  </si>
  <si>
    <t>language</t>
    <phoneticPr fontId="5"/>
  </si>
  <si>
    <t>倒す順番を工夫すると有利に進められます
残りHPが少なくなるとスキル発動する
敵もいますので要注意です</t>
    <rPh sb="5" eb="10">
      <t>クフウs</t>
    </rPh>
    <rPh sb="13" eb="17">
      <t>ススm</t>
    </rPh>
    <rPh sb="40" eb="41">
      <t>テキ</t>
    </rPh>
    <phoneticPr fontId="5"/>
  </si>
  <si>
    <t>お邪魔パネルは
溜めてから一気に処理しましょう</t>
    <rPh sb="1" eb="7">
      <t>ジャマパネル</t>
    </rPh>
    <rPh sb="8" eb="13">
      <t>タm</t>
    </rPh>
    <rPh sb="13" eb="16">
      <t>イッk</t>
    </rPh>
    <rPh sb="16" eb="19">
      <t>ショr</t>
    </rPh>
    <phoneticPr fontId="5"/>
  </si>
  <si>
    <t>長引くほど不利になります
スキルやフィーバーを
溜めてから挑みましょう</t>
    <phoneticPr fontId="5"/>
  </si>
  <si>
    <t>できるだけ3ターン以内に
敵の数を減らしましょう</t>
    <phoneticPr fontId="5"/>
  </si>
  <si>
    <t>回復できるCパネルが有効です
ピンチの時に発動できるように
準備しておきましょう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</si>
</sst>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FFFF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000000"/>
      <name val="Arial"/>
      <family val="2"/>
    </font>
    <font>
      <sz val="12"/>
      <color indexed="8"/>
      <name val="ＭＳ Ｐゴシック"/>
      <family val="3"/>
      <charset val="128"/>
      <scheme val="minor"/>
    </font>
    <font>
      <sz val="12"/>
      <color rgb="FF000000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</fonts>
  <fills count="4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63AAFE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5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0" fillId="32" borderId="54" applyNumberFormat="0" applyAlignment="0" applyProtection="0"/>
    <xf numFmtId="0" fontId="31" fillId="33" borderId="0" applyNumberFormat="0" applyBorder="0" applyAlignment="0" applyProtection="0"/>
    <xf numFmtId="0" fontId="32" fillId="34" borderId="55" applyNumberFormat="0" applyAlignment="0" applyProtection="0"/>
    <xf numFmtId="0" fontId="33" fillId="0" borderId="0" applyNumberFormat="0" applyFill="0" applyBorder="0" applyAlignment="0" applyProtection="0"/>
    <xf numFmtId="0" fontId="34" fillId="35" borderId="0" applyNumberFormat="0" applyBorder="0" applyAlignment="0" applyProtection="0"/>
    <xf numFmtId="0" fontId="35" fillId="36" borderId="56" applyNumberFormat="0" applyAlignment="0" applyProtection="0"/>
    <xf numFmtId="0" fontId="36" fillId="0" borderId="0" applyNumberFormat="0" applyFill="0" applyBorder="0" applyAlignment="0" applyProtection="0"/>
    <xf numFmtId="0" fontId="37" fillId="0" borderId="57" applyNumberFormat="0" applyFill="0" applyAlignment="0" applyProtection="0"/>
    <xf numFmtId="0" fontId="38" fillId="0" borderId="58" applyNumberFormat="0" applyFill="0" applyAlignment="0" applyProtection="0"/>
    <xf numFmtId="0" fontId="39" fillId="0" borderId="59" applyNumberFormat="0" applyFill="0" applyAlignment="0" applyProtection="0"/>
    <xf numFmtId="0" fontId="39" fillId="0" borderId="0" applyNumberFormat="0" applyFill="0" applyBorder="0" applyAlignment="0" applyProtection="0"/>
    <xf numFmtId="0" fontId="40" fillId="34" borderId="0" applyNumberFormat="0" applyBorder="0" applyAlignment="0" applyProtection="0"/>
    <xf numFmtId="0" fontId="40" fillId="33" borderId="0" applyNumberFormat="0" applyBorder="0" applyAlignment="0" applyProtection="0"/>
    <xf numFmtId="0" fontId="40" fillId="37" borderId="0" applyNumberFormat="0" applyBorder="0" applyAlignment="0" applyProtection="0"/>
    <xf numFmtId="0" fontId="40" fillId="34" borderId="0" applyNumberFormat="0" applyBorder="0" applyAlignment="0" applyProtection="0"/>
    <xf numFmtId="0" fontId="40" fillId="38" borderId="0" applyNumberFormat="0" applyBorder="0" applyAlignment="0" applyProtection="0"/>
    <xf numFmtId="0" fontId="40" fillId="32" borderId="0" applyNumberFormat="0" applyBorder="0" applyAlignment="0" applyProtection="0"/>
    <xf numFmtId="0" fontId="40" fillId="34" borderId="0" applyNumberFormat="0" applyBorder="0" applyAlignment="0" applyProtection="0"/>
    <xf numFmtId="0" fontId="40" fillId="39" borderId="0" applyNumberFormat="0" applyBorder="0" applyAlignment="0" applyProtection="0"/>
    <xf numFmtId="0" fontId="40" fillId="37" borderId="0" applyNumberFormat="0" applyBorder="0" applyAlignment="0" applyProtection="0"/>
    <xf numFmtId="0" fontId="40" fillId="34" borderId="0" applyNumberFormat="0" applyBorder="0" applyAlignment="0" applyProtection="0"/>
    <xf numFmtId="0" fontId="40" fillId="40" borderId="0" applyNumberFormat="0" applyBorder="0" applyAlignment="0" applyProtection="0"/>
    <xf numFmtId="0" fontId="40" fillId="33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1" fillId="37" borderId="0" applyNumberFormat="0" applyBorder="0" applyAlignment="0" applyProtection="0"/>
    <xf numFmtId="0" fontId="41" fillId="34" borderId="0" applyNumberFormat="0" applyBorder="0" applyAlignment="0" applyProtection="0"/>
    <xf numFmtId="0" fontId="41" fillId="41" borderId="0" applyNumberFormat="0" applyBorder="0" applyAlignment="0" applyProtection="0"/>
    <xf numFmtId="0" fontId="41" fillId="33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37" borderId="0" applyNumberFormat="0" applyBorder="0" applyAlignment="0" applyProtection="0"/>
    <xf numFmtId="0" fontId="41" fillId="43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2" fillId="44" borderId="0" applyNumberFormat="0" applyBorder="0" applyAlignment="0" applyProtection="0"/>
    <xf numFmtId="0" fontId="31" fillId="33" borderId="0" applyNumberFormat="0" applyBorder="0" applyAlignment="0" applyProtection="0"/>
    <xf numFmtId="0" fontId="43" fillId="0" borderId="60" applyNumberFormat="0" applyFill="0" applyAlignment="0" applyProtection="0"/>
    <xf numFmtId="0" fontId="44" fillId="34" borderId="61" applyNumberFormat="0" applyAlignment="0" applyProtection="0"/>
    <xf numFmtId="0" fontId="44" fillId="45" borderId="61" applyNumberFormat="0" applyAlignment="0" applyProtection="0"/>
    <xf numFmtId="0" fontId="32" fillId="33" borderId="55" applyNumberFormat="0" applyAlignment="0" applyProtection="0"/>
    <xf numFmtId="0" fontId="45" fillId="0" borderId="62" applyNumberFormat="0" applyFill="0" applyAlignment="0" applyProtection="0"/>
    <xf numFmtId="0" fontId="46" fillId="45" borderId="55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63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8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4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4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 wrapText="1"/>
    </xf>
    <xf numFmtId="14" fontId="16" fillId="0" borderId="4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4" xfId="0" applyFont="1" applyFill="1" applyBorder="1"/>
    <xf numFmtId="0" fontId="0" fillId="11" borderId="4" xfId="0" applyFill="1" applyBorder="1"/>
    <xf numFmtId="0" fontId="0" fillId="0" borderId="4" xfId="0" applyBorder="1"/>
    <xf numFmtId="0" fontId="0" fillId="6" borderId="4" xfId="0" applyFill="1" applyBorder="1"/>
    <xf numFmtId="0" fontId="26" fillId="12" borderId="4" xfId="0" applyFont="1" applyFill="1" applyBorder="1"/>
    <xf numFmtId="0" fontId="13" fillId="11" borderId="4" xfId="434" applyFont="1" applyFill="1" applyBorder="1" applyAlignment="1"/>
    <xf numFmtId="0" fontId="24" fillId="0" borderId="4" xfId="434" applyBorder="1" applyAlignment="1"/>
    <xf numFmtId="0" fontId="0" fillId="13" borderId="4" xfId="0" applyFill="1" applyBorder="1"/>
    <xf numFmtId="0" fontId="16" fillId="3" borderId="4" xfId="0" applyFont="1" applyFill="1" applyBorder="1" applyAlignment="1">
      <alignment horizontal="left" vertical="center" wrapText="1"/>
    </xf>
    <xf numFmtId="0" fontId="16" fillId="6" borderId="4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4" xfId="615" applyFont="1" applyFill="1" applyBorder="1"/>
    <xf numFmtId="0" fontId="0" fillId="0" borderId="4" xfId="615" applyFont="1" applyBorder="1"/>
    <xf numFmtId="0" fontId="2" fillId="11" borderId="4" xfId="615" applyFill="1" applyBorder="1"/>
    <xf numFmtId="0" fontId="4" fillId="0" borderId="4" xfId="0" applyFont="1" applyBorder="1" applyAlignment="1">
      <alignment vertical="center"/>
    </xf>
    <xf numFmtId="0" fontId="16" fillId="3" borderId="4" xfId="614" applyFont="1" applyFill="1" applyBorder="1" applyAlignment="1">
      <alignment horizontal="left"/>
    </xf>
    <xf numFmtId="0" fontId="4" fillId="0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horizontal="center" vertical="center"/>
    </xf>
    <xf numFmtId="176" fontId="4" fillId="6" borderId="8" xfId="0" applyNumberFormat="1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76" fontId="4" fillId="6" borderId="10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176" fontId="4" fillId="14" borderId="9" xfId="0" applyNumberFormat="1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176" fontId="4" fillId="14" borderId="11" xfId="0" applyNumberFormat="1" applyFont="1" applyFill="1" applyBorder="1" applyAlignment="1">
      <alignment horizontal="center" vertical="center"/>
    </xf>
    <xf numFmtId="0" fontId="4" fillId="14" borderId="12" xfId="0" applyFont="1" applyFill="1" applyBorder="1" applyAlignment="1">
      <alignment horizontal="center" vertical="center"/>
    </xf>
    <xf numFmtId="176" fontId="4" fillId="15" borderId="8" xfId="0" applyNumberFormat="1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center" vertical="center"/>
    </xf>
    <xf numFmtId="176" fontId="4" fillId="15" borderId="11" xfId="0" applyNumberFormat="1" applyFont="1" applyFill="1" applyBorder="1" applyAlignment="1">
      <alignment horizontal="center" vertical="center"/>
    </xf>
    <xf numFmtId="0" fontId="4" fillId="15" borderId="13" xfId="0" applyFont="1" applyFill="1" applyBorder="1" applyAlignment="1">
      <alignment horizontal="center" vertical="center"/>
    </xf>
    <xf numFmtId="176" fontId="4" fillId="16" borderId="11" xfId="0" applyNumberFormat="1" applyFont="1" applyFill="1" applyBorder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vertical="center"/>
    </xf>
    <xf numFmtId="0" fontId="11" fillId="12" borderId="14" xfId="0" applyFont="1" applyFill="1" applyBorder="1" applyAlignment="1">
      <alignment horizontal="center" vertical="center"/>
    </xf>
    <xf numFmtId="0" fontId="27" fillId="12" borderId="15" xfId="0" applyFont="1" applyFill="1" applyBorder="1" applyAlignment="1">
      <alignment vertical="center"/>
    </xf>
    <xf numFmtId="0" fontId="11" fillId="12" borderId="16" xfId="0" applyFont="1" applyFill="1" applyBorder="1" applyAlignment="1">
      <alignment horizontal="center" vertical="center"/>
    </xf>
    <xf numFmtId="0" fontId="27" fillId="17" borderId="9" xfId="0" applyFont="1" applyFill="1" applyBorder="1" applyAlignment="1">
      <alignment vertical="center"/>
    </xf>
    <xf numFmtId="0" fontId="11" fillId="17" borderId="14" xfId="0" applyFont="1" applyFill="1" applyBorder="1" applyAlignment="1">
      <alignment horizontal="center" vertical="center"/>
    </xf>
    <xf numFmtId="0" fontId="27" fillId="17" borderId="12" xfId="0" applyFont="1" applyFill="1" applyBorder="1" applyAlignment="1">
      <alignment vertical="center"/>
    </xf>
    <xf numFmtId="0" fontId="11" fillId="17" borderId="17" xfId="0" applyFont="1" applyFill="1" applyBorder="1" applyAlignment="1">
      <alignment horizontal="center" vertical="center"/>
    </xf>
    <xf numFmtId="0" fontId="27" fillId="18" borderId="18" xfId="0" applyFont="1" applyFill="1" applyBorder="1" applyAlignment="1">
      <alignment vertical="center"/>
    </xf>
    <xf numFmtId="0" fontId="11" fillId="18" borderId="19" xfId="0" applyFont="1" applyFill="1" applyBorder="1" applyAlignment="1">
      <alignment horizontal="center" vertical="center"/>
    </xf>
    <xf numFmtId="0" fontId="27" fillId="18" borderId="12" xfId="0" applyFont="1" applyFill="1" applyBorder="1" applyAlignment="1">
      <alignment vertical="center"/>
    </xf>
    <xf numFmtId="0" fontId="11" fillId="18" borderId="17" xfId="0" applyFont="1" applyFill="1" applyBorder="1" applyAlignment="1">
      <alignment horizontal="center" vertical="center"/>
    </xf>
    <xf numFmtId="0" fontId="27" fillId="19" borderId="12" xfId="0" applyFont="1" applyFill="1" applyBorder="1" applyAlignment="1">
      <alignment vertical="center"/>
    </xf>
    <xf numFmtId="0" fontId="11" fillId="19" borderId="17" xfId="0" applyFont="1" applyFill="1" applyBorder="1" applyAlignment="1">
      <alignment horizontal="center" vertical="center"/>
    </xf>
    <xf numFmtId="0" fontId="8" fillId="20" borderId="20" xfId="0" applyFont="1" applyFill="1" applyBorder="1" applyAlignment="1">
      <alignment vertical="center"/>
    </xf>
    <xf numFmtId="177" fontId="8" fillId="20" borderId="20" xfId="0" applyNumberFormat="1" applyFont="1" applyFill="1" applyBorder="1" applyAlignment="1">
      <alignment vertical="center"/>
    </xf>
    <xf numFmtId="0" fontId="16" fillId="20" borderId="9" xfId="0" applyFont="1" applyFill="1" applyBorder="1" applyAlignment="1">
      <alignment vertical="center"/>
    </xf>
    <xf numFmtId="0" fontId="8" fillId="20" borderId="21" xfId="0" applyFont="1" applyFill="1" applyBorder="1" applyAlignment="1">
      <alignment vertical="center"/>
    </xf>
    <xf numFmtId="177" fontId="8" fillId="20" borderId="21" xfId="0" applyNumberFormat="1" applyFont="1" applyFill="1" applyBorder="1" applyAlignment="1">
      <alignment vertical="center"/>
    </xf>
    <xf numFmtId="0" fontId="8" fillId="14" borderId="9" xfId="0" applyFont="1" applyFill="1" applyBorder="1" applyAlignment="1">
      <alignment vertical="center"/>
    </xf>
    <xf numFmtId="177" fontId="8" fillId="14" borderId="9" xfId="0" applyNumberFormat="1" applyFont="1" applyFill="1" applyBorder="1" applyAlignment="1">
      <alignment vertical="center"/>
    </xf>
    <xf numFmtId="0" fontId="16" fillId="14" borderId="9" xfId="0" applyFont="1" applyFill="1" applyBorder="1" applyAlignment="1">
      <alignment vertical="center"/>
    </xf>
    <xf numFmtId="0" fontId="8" fillId="14" borderId="11" xfId="0" applyFont="1" applyFill="1" applyBorder="1" applyAlignment="1">
      <alignment vertical="center"/>
    </xf>
    <xf numFmtId="177" fontId="8" fillId="14" borderId="11" xfId="0" applyNumberFormat="1" applyFont="1" applyFill="1" applyBorder="1" applyAlignment="1">
      <alignment vertical="center"/>
    </xf>
    <xf numFmtId="0" fontId="16" fillId="14" borderId="12" xfId="0" applyFont="1" applyFill="1" applyBorder="1" applyAlignment="1">
      <alignment vertical="center"/>
    </xf>
    <xf numFmtId="0" fontId="8" fillId="15" borderId="20" xfId="0" applyFont="1" applyFill="1" applyBorder="1" applyAlignment="1">
      <alignment vertical="center"/>
    </xf>
    <xf numFmtId="177" fontId="8" fillId="15" borderId="20" xfId="0" applyNumberFormat="1" applyFont="1" applyFill="1" applyBorder="1" applyAlignment="1">
      <alignment vertical="center"/>
    </xf>
    <xf numFmtId="0" fontId="16" fillId="15" borderId="9" xfId="0" applyFont="1" applyFill="1" applyBorder="1" applyAlignment="1">
      <alignment vertical="center"/>
    </xf>
    <xf numFmtId="0" fontId="8" fillId="15" borderId="22" xfId="0" applyFont="1" applyFill="1" applyBorder="1" applyAlignment="1">
      <alignment vertical="center"/>
    </xf>
    <xf numFmtId="177" fontId="8" fillId="15" borderId="22" xfId="0" applyNumberFormat="1" applyFont="1" applyFill="1" applyBorder="1" applyAlignment="1">
      <alignment vertical="center"/>
    </xf>
    <xf numFmtId="0" fontId="16" fillId="15" borderId="13" xfId="0" applyFont="1" applyFill="1" applyBorder="1" applyAlignment="1">
      <alignment vertical="center"/>
    </xf>
    <xf numFmtId="0" fontId="8" fillId="16" borderId="11" xfId="0" applyFont="1" applyFill="1" applyBorder="1" applyAlignment="1">
      <alignment vertical="center"/>
    </xf>
    <xf numFmtId="177" fontId="8" fillId="16" borderId="11" xfId="0" applyNumberFormat="1" applyFont="1" applyFill="1" applyBorder="1" applyAlignment="1">
      <alignment vertical="center"/>
    </xf>
    <xf numFmtId="0" fontId="16" fillId="16" borderId="12" xfId="0" applyFont="1" applyFill="1" applyBorder="1" applyAlignment="1">
      <alignment vertical="center"/>
    </xf>
    <xf numFmtId="0" fontId="11" fillId="21" borderId="23" xfId="0" applyFont="1" applyFill="1" applyBorder="1" applyAlignment="1">
      <alignment vertical="center"/>
    </xf>
    <xf numFmtId="0" fontId="11" fillId="21" borderId="24" xfId="0" applyFont="1" applyFill="1" applyBorder="1" applyAlignment="1">
      <alignment vertical="center"/>
    </xf>
    <xf numFmtId="0" fontId="27" fillId="22" borderId="24" xfId="0" applyFont="1" applyFill="1" applyBorder="1" applyAlignment="1">
      <alignment vertical="center"/>
    </xf>
    <xf numFmtId="0" fontId="11" fillId="21" borderId="25" xfId="0" applyFont="1" applyFill="1" applyBorder="1" applyAlignment="1">
      <alignment vertical="center"/>
    </xf>
    <xf numFmtId="0" fontId="11" fillId="21" borderId="26" xfId="0" applyFont="1" applyFill="1" applyBorder="1" applyAlignment="1">
      <alignment vertical="center"/>
    </xf>
    <xf numFmtId="0" fontId="27" fillId="22" borderId="26" xfId="0" applyFont="1" applyFill="1" applyBorder="1" applyAlignment="1">
      <alignment vertical="center"/>
    </xf>
    <xf numFmtId="0" fontId="11" fillId="17" borderId="9" xfId="0" applyFont="1" applyFill="1" applyBorder="1" applyAlignment="1">
      <alignment vertical="center"/>
    </xf>
    <xf numFmtId="0" fontId="11" fillId="17" borderId="14" xfId="0" applyFont="1" applyFill="1" applyBorder="1" applyAlignment="1">
      <alignment vertical="center"/>
    </xf>
    <xf numFmtId="0" fontId="27" fillId="22" borderId="14" xfId="0" applyFont="1" applyFill="1" applyBorder="1" applyAlignment="1">
      <alignment vertical="center"/>
    </xf>
    <xf numFmtId="0" fontId="11" fillId="17" borderId="27" xfId="0" applyFont="1" applyFill="1" applyBorder="1" applyAlignment="1">
      <alignment vertical="center"/>
    </xf>
    <xf numFmtId="0" fontId="11" fillId="17" borderId="28" xfId="0" applyFont="1" applyFill="1" applyBorder="1" applyAlignment="1">
      <alignment vertical="center"/>
    </xf>
    <xf numFmtId="0" fontId="27" fillId="22" borderId="28" xfId="0" applyFont="1" applyFill="1" applyBorder="1" applyAlignment="1">
      <alignment vertical="center"/>
    </xf>
    <xf numFmtId="0" fontId="11" fillId="18" borderId="29" xfId="0" applyFont="1" applyFill="1" applyBorder="1" applyAlignment="1">
      <alignment vertical="center"/>
    </xf>
    <xf numFmtId="0" fontId="11" fillId="18" borderId="30" xfId="0" applyFont="1" applyFill="1" applyBorder="1" applyAlignment="1">
      <alignment vertical="center"/>
    </xf>
    <xf numFmtId="0" fontId="27" fillId="22" borderId="30" xfId="0" applyFont="1" applyFill="1" applyBorder="1" applyAlignment="1">
      <alignment vertical="center"/>
    </xf>
    <xf numFmtId="0" fontId="11" fillId="18" borderId="27" xfId="0" applyFont="1" applyFill="1" applyBorder="1" applyAlignment="1">
      <alignment vertical="center"/>
    </xf>
    <xf numFmtId="0" fontId="11" fillId="18" borderId="28" xfId="0" applyFont="1" applyFill="1" applyBorder="1" applyAlignment="1">
      <alignment vertical="center"/>
    </xf>
    <xf numFmtId="0" fontId="11" fillId="19" borderId="27" xfId="0" applyFont="1" applyFill="1" applyBorder="1" applyAlignment="1">
      <alignment vertical="center"/>
    </xf>
    <xf numFmtId="0" fontId="11" fillId="19" borderId="28" xfId="0" applyFont="1" applyFill="1" applyBorder="1" applyAlignment="1">
      <alignment vertical="center"/>
    </xf>
    <xf numFmtId="0" fontId="4" fillId="20" borderId="31" xfId="0" applyFont="1" applyFill="1" applyBorder="1" applyAlignment="1">
      <alignment vertical="center"/>
    </xf>
    <xf numFmtId="0" fontId="4" fillId="20" borderId="9" xfId="0" applyFont="1" applyFill="1" applyBorder="1" applyAlignment="1">
      <alignment vertical="center"/>
    </xf>
    <xf numFmtId="0" fontId="4" fillId="20" borderId="3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4" borderId="9" xfId="0" applyFont="1" applyFill="1" applyBorder="1" applyAlignment="1">
      <alignment vertical="center"/>
    </xf>
    <xf numFmtId="0" fontId="4" fillId="14" borderId="33" xfId="0" applyFont="1" applyFill="1" applyBorder="1" applyAlignment="1">
      <alignment vertical="center"/>
    </xf>
    <xf numFmtId="0" fontId="4" fillId="14" borderId="12" xfId="0" applyFont="1" applyFill="1" applyBorder="1" applyAlignment="1">
      <alignment vertical="center"/>
    </xf>
    <xf numFmtId="0" fontId="4" fillId="15" borderId="31" xfId="0" applyFont="1" applyFill="1" applyBorder="1" applyAlignment="1">
      <alignment vertical="center"/>
    </xf>
    <xf numFmtId="0" fontId="4" fillId="15" borderId="9" xfId="0" applyFont="1" applyFill="1" applyBorder="1" applyAlignment="1">
      <alignment vertical="center"/>
    </xf>
    <xf numFmtId="0" fontId="4" fillId="15" borderId="34" xfId="0" applyFont="1" applyFill="1" applyBorder="1" applyAlignment="1">
      <alignment vertical="center"/>
    </xf>
    <xf numFmtId="0" fontId="4" fillId="15" borderId="13" xfId="0" applyFont="1" applyFill="1" applyBorder="1" applyAlignment="1">
      <alignment vertical="center"/>
    </xf>
    <xf numFmtId="0" fontId="4" fillId="16" borderId="33" xfId="0" applyFont="1" applyFill="1" applyBorder="1" applyAlignment="1">
      <alignment vertical="center"/>
    </xf>
    <xf numFmtId="0" fontId="4" fillId="16" borderId="12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28" fillId="23" borderId="0" xfId="0" applyFont="1" applyFill="1" applyAlignment="1">
      <alignment vertical="center"/>
    </xf>
    <xf numFmtId="0" fontId="11" fillId="0" borderId="18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176" fontId="4" fillId="0" borderId="10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0" fontId="8" fillId="0" borderId="21" xfId="0" applyFont="1" applyBorder="1" applyAlignment="1">
      <alignment vertical="center"/>
    </xf>
    <xf numFmtId="177" fontId="8" fillId="0" borderId="21" xfId="0" applyNumberFormat="1" applyFont="1" applyBorder="1" applyAlignment="1">
      <alignment vertical="center"/>
    </xf>
    <xf numFmtId="0" fontId="12" fillId="7" borderId="37" xfId="0" applyFont="1" applyFill="1" applyBorder="1" applyAlignment="1">
      <alignment vertical="center"/>
    </xf>
    <xf numFmtId="176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38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6" fillId="5" borderId="40" xfId="0" applyFont="1" applyFill="1" applyBorder="1" applyAlignment="1">
      <alignment vertical="center"/>
    </xf>
    <xf numFmtId="0" fontId="8" fillId="0" borderId="20" xfId="0" applyFont="1" applyBorder="1" applyAlignment="1">
      <alignment vertical="center"/>
    </xf>
    <xf numFmtId="177" fontId="8" fillId="0" borderId="20" xfId="0" applyNumberFormat="1" applyFont="1" applyBorder="1" applyAlignment="1">
      <alignment vertical="center"/>
    </xf>
    <xf numFmtId="0" fontId="12" fillId="7" borderId="42" xfId="0" applyFont="1" applyFill="1" applyBorder="1" applyAlignment="1">
      <alignment vertical="center"/>
    </xf>
    <xf numFmtId="176" fontId="4" fillId="0" borderId="11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vertical="center"/>
    </xf>
    <xf numFmtId="0" fontId="6" fillId="0" borderId="13" xfId="0" applyFont="1" applyFill="1" applyBorder="1" applyAlignment="1">
      <alignment vertical="center"/>
    </xf>
    <xf numFmtId="0" fontId="6" fillId="0" borderId="43" xfId="0" applyFont="1" applyFill="1" applyBorder="1" applyAlignment="1">
      <alignment vertical="center"/>
    </xf>
    <xf numFmtId="0" fontId="11" fillId="0" borderId="13" xfId="0" applyFont="1" applyFill="1" applyBorder="1" applyAlignment="1">
      <alignment horizontal="center" vertical="center"/>
    </xf>
    <xf numFmtId="0" fontId="6" fillId="5" borderId="44" xfId="0" applyFont="1" applyFill="1" applyBorder="1" applyAlignment="1">
      <alignment vertical="center"/>
    </xf>
    <xf numFmtId="0" fontId="6" fillId="5" borderId="45" xfId="0" applyFont="1" applyFill="1" applyBorder="1" applyAlignment="1">
      <alignment vertical="center"/>
    </xf>
    <xf numFmtId="0" fontId="8" fillId="0" borderId="22" xfId="0" applyFont="1" applyBorder="1" applyAlignment="1">
      <alignment vertical="center"/>
    </xf>
    <xf numFmtId="177" fontId="8" fillId="0" borderId="22" xfId="0" applyNumberFormat="1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47" xfId="0" applyFont="1" applyFill="1" applyBorder="1" applyAlignment="1">
      <alignment horizontal="left" vertical="center"/>
    </xf>
    <xf numFmtId="0" fontId="4" fillId="3" borderId="35" xfId="0" applyFont="1" applyFill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12" fillId="7" borderId="48" xfId="0" applyFont="1" applyFill="1" applyBorder="1" applyAlignment="1">
      <alignment vertical="center"/>
    </xf>
    <xf numFmtId="0" fontId="27" fillId="0" borderId="18" xfId="0" applyFont="1" applyBorder="1" applyAlignment="1">
      <alignment vertical="center" wrapText="1"/>
    </xf>
    <xf numFmtId="0" fontId="6" fillId="24" borderId="41" xfId="0" applyFont="1" applyFill="1" applyBorder="1" applyAlignment="1">
      <alignment vertical="center"/>
    </xf>
    <xf numFmtId="0" fontId="6" fillId="24" borderId="49" xfId="0" applyFont="1" applyFill="1" applyBorder="1" applyAlignment="1">
      <alignment vertical="center"/>
    </xf>
    <xf numFmtId="0" fontId="6" fillId="24" borderId="46" xfId="0" applyFont="1" applyFill="1" applyBorder="1" applyAlignment="1">
      <alignment vertical="center"/>
    </xf>
    <xf numFmtId="0" fontId="11" fillId="25" borderId="7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1" fillId="14" borderId="4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0" fontId="11" fillId="6" borderId="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1" fillId="26" borderId="4" xfId="0" applyFont="1" applyFill="1" applyBorder="1" applyAlignment="1">
      <alignment vertical="center"/>
    </xf>
    <xf numFmtId="0" fontId="11" fillId="27" borderId="4" xfId="0" applyFont="1" applyFill="1" applyBorder="1" applyAlignment="1">
      <alignment vertical="center"/>
    </xf>
    <xf numFmtId="0" fontId="11" fillId="27" borderId="18" xfId="0" applyFont="1" applyFill="1" applyBorder="1" applyAlignment="1">
      <alignment vertical="center"/>
    </xf>
    <xf numFmtId="0" fontId="16" fillId="27" borderId="4" xfId="0" applyFont="1" applyFill="1" applyBorder="1" applyAlignment="1">
      <alignment vertical="center"/>
    </xf>
    <xf numFmtId="0" fontId="16" fillId="28" borderId="4" xfId="0" applyFont="1" applyFill="1" applyBorder="1" applyAlignment="1">
      <alignment vertical="center"/>
    </xf>
    <xf numFmtId="0" fontId="11" fillId="28" borderId="4" xfId="0" applyFont="1" applyFill="1" applyBorder="1" applyAlignment="1">
      <alignment vertical="center"/>
    </xf>
    <xf numFmtId="0" fontId="11" fillId="28" borderId="18" xfId="0" applyFont="1" applyFill="1" applyBorder="1" applyAlignment="1">
      <alignment vertical="center"/>
    </xf>
    <xf numFmtId="0" fontId="16" fillId="28" borderId="0" xfId="0" applyFont="1" applyFill="1" applyAlignment="1">
      <alignment vertical="center"/>
    </xf>
    <xf numFmtId="0" fontId="11" fillId="29" borderId="4" xfId="0" applyFont="1" applyFill="1" applyBorder="1" applyAlignment="1">
      <alignment vertical="center"/>
    </xf>
    <xf numFmtId="0" fontId="11" fillId="27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27" borderId="2" xfId="0" applyFont="1" applyFill="1" applyBorder="1" applyAlignment="1">
      <alignment vertical="center"/>
    </xf>
    <xf numFmtId="0" fontId="16" fillId="3" borderId="18" xfId="0" applyFont="1" applyFill="1" applyBorder="1" applyAlignment="1">
      <alignment horizontal="left" vertical="center"/>
    </xf>
    <xf numFmtId="0" fontId="16" fillId="3" borderId="18" xfId="0" applyFont="1" applyFill="1" applyBorder="1" applyAlignment="1">
      <alignment vertical="center"/>
    </xf>
    <xf numFmtId="0" fontId="16" fillId="28" borderId="18" xfId="0" applyFont="1" applyFill="1" applyBorder="1" applyAlignment="1">
      <alignment vertical="center"/>
    </xf>
    <xf numFmtId="0" fontId="14" fillId="7" borderId="37" xfId="0" applyFont="1" applyFill="1" applyBorder="1" applyAlignment="1">
      <alignment vertical="center"/>
    </xf>
    <xf numFmtId="0" fontId="11" fillId="28" borderId="9" xfId="0" applyFont="1" applyFill="1" applyBorder="1" applyAlignment="1">
      <alignment vertical="center"/>
    </xf>
    <xf numFmtId="0" fontId="16" fillId="3" borderId="9" xfId="0" applyFont="1" applyFill="1" applyBorder="1" applyAlignment="1">
      <alignment horizontal="left" vertical="center"/>
    </xf>
    <xf numFmtId="0" fontId="16" fillId="3" borderId="9" xfId="0" applyFont="1" applyFill="1" applyBorder="1" applyAlignment="1">
      <alignment vertical="center"/>
    </xf>
    <xf numFmtId="0" fontId="16" fillId="28" borderId="9" xfId="0" applyFont="1" applyFill="1" applyBorder="1" applyAlignment="1">
      <alignment vertical="center"/>
    </xf>
    <xf numFmtId="0" fontId="16" fillId="0" borderId="50" xfId="0" applyFont="1" applyBorder="1" applyAlignment="1">
      <alignment vertical="center"/>
    </xf>
    <xf numFmtId="0" fontId="14" fillId="7" borderId="48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42" xfId="0" applyFont="1" applyFill="1" applyBorder="1" applyAlignment="1">
      <alignment vertical="center"/>
    </xf>
    <xf numFmtId="0" fontId="11" fillId="28" borderId="13" xfId="0" applyFont="1" applyFill="1" applyBorder="1" applyAlignment="1">
      <alignment vertical="center"/>
    </xf>
    <xf numFmtId="0" fontId="11" fillId="28" borderId="12" xfId="0" applyFont="1" applyFill="1" applyBorder="1" applyAlignment="1">
      <alignment vertical="center"/>
    </xf>
    <xf numFmtId="0" fontId="16" fillId="3" borderId="13" xfId="0" applyFont="1" applyFill="1" applyBorder="1" applyAlignment="1">
      <alignment horizontal="left" vertical="center"/>
    </xf>
    <xf numFmtId="0" fontId="16" fillId="3" borderId="13" xfId="0" applyFont="1" applyFill="1" applyBorder="1" applyAlignment="1">
      <alignment vertical="center"/>
    </xf>
    <xf numFmtId="0" fontId="16" fillId="28" borderId="13" xfId="0" applyFont="1" applyFill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1" fillId="28" borderId="2" xfId="0" applyFont="1" applyFill="1" applyBorder="1" applyAlignment="1">
      <alignment vertical="center"/>
    </xf>
    <xf numFmtId="0" fontId="11" fillId="28" borderId="15" xfId="0" applyFont="1" applyFill="1" applyBorder="1" applyAlignment="1">
      <alignment vertical="center"/>
    </xf>
    <xf numFmtId="0" fontId="16" fillId="28" borderId="2" xfId="0" applyFont="1" applyFill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7" borderId="51" xfId="0" applyFont="1" applyFill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1" fillId="14" borderId="9" xfId="0" applyFont="1" applyFill="1" applyBorder="1" applyAlignment="1">
      <alignment vertical="center"/>
    </xf>
    <xf numFmtId="0" fontId="11" fillId="6" borderId="13" xfId="0" applyFont="1" applyFill="1" applyBorder="1" applyAlignment="1">
      <alignment vertical="center"/>
    </xf>
    <xf numFmtId="0" fontId="16" fillId="6" borderId="13" xfId="0" applyFont="1" applyFill="1" applyBorder="1" applyAlignment="1">
      <alignment vertical="center"/>
    </xf>
    <xf numFmtId="0" fontId="11" fillId="16" borderId="15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left" vertical="center"/>
    </xf>
    <xf numFmtId="0" fontId="16" fillId="3" borderId="15" xfId="0" applyFont="1" applyFill="1" applyBorder="1" applyAlignment="1">
      <alignment vertical="center"/>
    </xf>
    <xf numFmtId="0" fontId="16" fillId="16" borderId="15" xfId="0" applyFont="1" applyFill="1" applyBorder="1" applyAlignment="1">
      <alignment vertical="center"/>
    </xf>
    <xf numFmtId="0" fontId="14" fillId="7" borderId="18" xfId="0" applyFont="1" applyFill="1" applyBorder="1" applyAlignment="1">
      <alignment vertical="center"/>
    </xf>
    <xf numFmtId="0" fontId="16" fillId="0" borderId="18" xfId="0" applyFont="1" applyBorder="1" applyAlignment="1">
      <alignment vertical="center"/>
    </xf>
    <xf numFmtId="0" fontId="11" fillId="26" borderId="9" xfId="0" applyFont="1" applyFill="1" applyBorder="1" applyAlignment="1">
      <alignment vertical="center"/>
    </xf>
    <xf numFmtId="0" fontId="16" fillId="26" borderId="9" xfId="0" applyFont="1" applyFill="1" applyBorder="1" applyAlignment="1">
      <alignment vertical="center"/>
    </xf>
    <xf numFmtId="0" fontId="14" fillId="7" borderId="52" xfId="0" applyFont="1" applyFill="1" applyBorder="1" applyAlignment="1">
      <alignment vertical="center"/>
    </xf>
    <xf numFmtId="0" fontId="14" fillId="7" borderId="53" xfId="0" applyFont="1" applyFill="1" applyBorder="1" applyAlignment="1">
      <alignment vertical="center"/>
    </xf>
    <xf numFmtId="0" fontId="11" fillId="27" borderId="13" xfId="0" applyFont="1" applyFill="1" applyBorder="1" applyAlignment="1">
      <alignment vertical="center"/>
    </xf>
    <xf numFmtId="0" fontId="16" fillId="27" borderId="13" xfId="0" applyFont="1" applyFill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6" borderId="4" xfId="0" applyFont="1" applyFill="1" applyBorder="1" applyAlignment="1">
      <alignment horizontal="center"/>
    </xf>
    <xf numFmtId="56" fontId="16" fillId="6" borderId="4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4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9" fillId="6" borderId="4" xfId="0" applyFont="1" applyFill="1" applyBorder="1" applyAlignment="1">
      <alignment horizontal="center"/>
    </xf>
    <xf numFmtId="0" fontId="13" fillId="7" borderId="0" xfId="0" applyFont="1" applyFill="1"/>
    <xf numFmtId="0" fontId="29" fillId="0" borderId="4" xfId="0" applyFont="1" applyFill="1" applyBorder="1"/>
    <xf numFmtId="0" fontId="29" fillId="0" borderId="0" xfId="0" applyFont="1" applyFill="1"/>
    <xf numFmtId="0" fontId="13" fillId="7" borderId="0" xfId="0" applyFont="1" applyFill="1" applyAlignment="1">
      <alignment horizontal="left" indent="1"/>
    </xf>
    <xf numFmtId="0" fontId="11" fillId="13" borderId="4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29" fillId="13" borderId="4" xfId="0" applyFont="1" applyFill="1" applyBorder="1"/>
    <xf numFmtId="0" fontId="0" fillId="0" borderId="4" xfId="0" applyFont="1" applyBorder="1"/>
    <xf numFmtId="0" fontId="0" fillId="6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25" borderId="4" xfId="0" applyFont="1" applyFill="1" applyBorder="1" applyAlignment="1">
      <alignment horizontal="center"/>
    </xf>
    <xf numFmtId="0" fontId="0" fillId="30" borderId="4" xfId="0" applyFont="1" applyFill="1" applyBorder="1" applyAlignment="1">
      <alignment horizontal="center"/>
    </xf>
    <xf numFmtId="0" fontId="0" fillId="31" borderId="4" xfId="0" applyFont="1" applyFill="1" applyBorder="1" applyAlignment="1">
      <alignment horizontal="center"/>
    </xf>
    <xf numFmtId="56" fontId="0" fillId="31" borderId="4" xfId="0" applyNumberFormat="1" applyFont="1" applyFill="1" applyBorder="1" applyAlignment="1">
      <alignment horizontal="center"/>
    </xf>
    <xf numFmtId="0" fontId="0" fillId="31" borderId="4" xfId="0" applyFont="1" applyFill="1" applyBorder="1"/>
    <xf numFmtId="0" fontId="0" fillId="0" borderId="0" xfId="0" applyFont="1"/>
    <xf numFmtId="0" fontId="49" fillId="0" borderId="4" xfId="0" applyFont="1" applyFill="1" applyBorder="1"/>
    <xf numFmtId="0" fontId="50" fillId="3" borderId="18" xfId="0" applyFont="1" applyFill="1" applyBorder="1" applyAlignment="1">
      <alignment vertical="center"/>
    </xf>
    <xf numFmtId="0" fontId="50" fillId="0" borderId="18" xfId="0" applyFont="1" applyFill="1" applyBorder="1" applyAlignment="1">
      <alignment vertical="center"/>
    </xf>
    <xf numFmtId="0" fontId="49" fillId="25" borderId="4" xfId="0" applyFont="1" applyFill="1" applyBorder="1"/>
    <xf numFmtId="0" fontId="49" fillId="30" borderId="4" xfId="0" applyFont="1" applyFill="1" applyBorder="1"/>
    <xf numFmtId="38" fontId="0" fillId="0" borderId="7" xfId="838" applyFont="1" applyFill="1" applyBorder="1" applyAlignment="1">
      <alignment wrapText="1"/>
    </xf>
    <xf numFmtId="0" fontId="0" fillId="31" borderId="4" xfId="0" applyFont="1" applyFill="1" applyBorder="1" applyAlignment="1">
      <alignment horizontal="center" wrapText="1"/>
    </xf>
    <xf numFmtId="0" fontId="51" fillId="0" borderId="4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52" fillId="30" borderId="4" xfId="0" applyFont="1" applyFill="1" applyBorder="1"/>
    <xf numFmtId="38" fontId="16" fillId="30" borderId="4" xfId="838" applyFont="1" applyFill="1" applyBorder="1" applyAlignment="1"/>
    <xf numFmtId="0" fontId="0" fillId="0" borderId="4" xfId="0" applyBorder="1" applyAlignment="1">
      <alignment wrapText="1"/>
    </xf>
  </cellXfs>
  <cellStyles count="952">
    <cellStyle name="" xfId="839"/>
    <cellStyle name="_" xfId="840"/>
    <cellStyle name="__" xfId="841"/>
    <cellStyle name="__÷" xfId="842"/>
    <cellStyle name="«¢" xfId="843"/>
    <cellStyle name="`FbN Z" xfId="844"/>
    <cellStyle name="^Cg" xfId="845"/>
    <cellStyle name="©oµ 1" xfId="846"/>
    <cellStyle name="©oµ 2" xfId="847"/>
    <cellStyle name="©oµ 3" xfId="848"/>
    <cellStyle name="©oµ 4" xfId="849"/>
    <cellStyle name="20% - ANZg1" xfId="850"/>
    <cellStyle name="20% - ANZg2" xfId="851"/>
    <cellStyle name="20% - ANZg3" xfId="852"/>
    <cellStyle name="20% - ANZg4" xfId="853"/>
    <cellStyle name="20% - ANZg5" xfId="854"/>
    <cellStyle name="20% - ANZg6" xfId="855"/>
    <cellStyle name="40% - ANZg1" xfId="856"/>
    <cellStyle name="40% - ANZg2" xfId="857"/>
    <cellStyle name="40% - ANZg3" xfId="858"/>
    <cellStyle name="40% - ANZg4" xfId="859"/>
    <cellStyle name="40% - ANZg5" xfId="860"/>
    <cellStyle name="40% - ANZg6" xfId="861"/>
    <cellStyle name="60% - ANZg1" xfId="862"/>
    <cellStyle name="60% - ANZg2" xfId="863"/>
    <cellStyle name="60% - ANZg3" xfId="864"/>
    <cellStyle name="60% - ANZg4" xfId="865"/>
    <cellStyle name="60% - ANZg5" xfId="866"/>
    <cellStyle name="60% - ANZg6" xfId="867"/>
    <cellStyle name="à¾¶" xfId="868"/>
    <cellStyle name="ANZg 1" xfId="869"/>
    <cellStyle name="ANZg 2" xfId="870"/>
    <cellStyle name="ANZg 3" xfId="871"/>
    <cellStyle name="ANZg 4" xfId="872"/>
    <cellStyle name="ANZg 5" xfId="873"/>
    <cellStyle name="ANZg 6" xfId="874"/>
    <cellStyle name="Ç¢" xfId="875"/>
    <cellStyle name="Ê" xfId="876"/>
    <cellStyle name="Excel Built-in Normal" xfId="428"/>
    <cellStyle name="N Z" xfId="877"/>
    <cellStyle name="o_" xfId="878"/>
    <cellStyle name="oÍ" xfId="879"/>
    <cellStyle name="üÍ" xfId="880"/>
    <cellStyle name="v" xfId="881"/>
    <cellStyle name="vZ" xfId="882"/>
    <cellStyle name="x¶" xfId="883"/>
    <cellStyle name="x÷" xfId="884"/>
    <cellStyle name="ýo_ 1" xfId="88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桁区切り 2" xfId="429"/>
    <cellStyle name="桁区切り 2 2" xfId="83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886"/>
    <cellStyle name="標準 5 2" xfId="88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11216</v>
          </cell>
        </row>
        <row r="72">
          <cell r="A72">
            <v>11217</v>
          </cell>
        </row>
        <row r="73">
          <cell r="A73">
            <v>12001</v>
          </cell>
        </row>
        <row r="74">
          <cell r="A74">
            <v>12002</v>
          </cell>
        </row>
        <row r="75">
          <cell r="A75">
            <v>12003</v>
          </cell>
        </row>
        <row r="76">
          <cell r="A76">
            <v>11210</v>
          </cell>
        </row>
        <row r="77">
          <cell r="A77">
            <v>13001</v>
          </cell>
        </row>
        <row r="78">
          <cell r="A78">
            <v>14001</v>
          </cell>
        </row>
        <row r="79">
          <cell r="A79">
            <v>14002</v>
          </cell>
        </row>
        <row r="80">
          <cell r="A80">
            <v>14003</v>
          </cell>
        </row>
        <row r="81">
          <cell r="A81">
            <v>20001</v>
          </cell>
        </row>
        <row r="82">
          <cell r="A82">
            <v>20002</v>
          </cell>
        </row>
        <row r="83">
          <cell r="A83">
            <v>20003</v>
          </cell>
        </row>
        <row r="84">
          <cell r="A84">
            <v>20004</v>
          </cell>
        </row>
        <row r="85">
          <cell r="A85">
            <v>20005</v>
          </cell>
        </row>
        <row r="86">
          <cell r="A86">
            <v>20006</v>
          </cell>
        </row>
        <row r="87">
          <cell r="A87">
            <v>20007</v>
          </cell>
        </row>
        <row r="88">
          <cell r="A88">
            <v>20008</v>
          </cell>
        </row>
        <row r="89">
          <cell r="A89">
            <v>20009</v>
          </cell>
        </row>
        <row r="90">
          <cell r="A90">
            <v>20010</v>
          </cell>
        </row>
        <row r="91">
          <cell r="A91">
            <v>20011</v>
          </cell>
        </row>
        <row r="92">
          <cell r="A92">
            <v>20012</v>
          </cell>
        </row>
        <row r="93">
          <cell r="A93">
            <v>30001</v>
          </cell>
        </row>
        <row r="94">
          <cell r="A94">
            <v>30002</v>
          </cell>
        </row>
        <row r="95">
          <cell r="A95">
            <v>30003</v>
          </cell>
        </row>
        <row r="96">
          <cell r="A96">
            <v>30004</v>
          </cell>
        </row>
        <row r="97">
          <cell r="A97">
            <v>30005</v>
          </cell>
        </row>
        <row r="98">
          <cell r="A98">
            <v>30006</v>
          </cell>
        </row>
        <row r="99">
          <cell r="A99">
            <v>30007</v>
          </cell>
        </row>
        <row r="100">
          <cell r="A100">
            <v>30008</v>
          </cell>
        </row>
        <row r="101">
          <cell r="A101">
            <v>30009</v>
          </cell>
        </row>
        <row r="102">
          <cell r="A102">
            <v>30010</v>
          </cell>
        </row>
        <row r="103">
          <cell r="A103">
            <v>30011</v>
          </cell>
        </row>
        <row r="104">
          <cell r="A104">
            <v>30012</v>
          </cell>
        </row>
        <row r="105">
          <cell r="A105">
            <v>30013</v>
          </cell>
        </row>
        <row r="106">
          <cell r="A106">
            <v>30014</v>
          </cell>
        </row>
        <row r="107">
          <cell r="A107">
            <v>30015</v>
          </cell>
        </row>
        <row r="108">
          <cell r="A108">
            <v>30016</v>
          </cell>
        </row>
        <row r="109">
          <cell r="A109">
            <v>30017</v>
          </cell>
        </row>
        <row r="110">
          <cell r="A110">
            <v>30018</v>
          </cell>
        </row>
        <row r="111">
          <cell r="A111">
            <v>30019</v>
          </cell>
        </row>
        <row r="112">
          <cell r="A112">
            <v>30020</v>
          </cell>
        </row>
        <row r="113">
          <cell r="A113">
            <v>30021</v>
          </cell>
        </row>
        <row r="114">
          <cell r="A114">
            <v>30022</v>
          </cell>
        </row>
        <row r="115">
          <cell r="A115">
            <v>30023</v>
          </cell>
        </row>
        <row r="116">
          <cell r="A116">
            <v>39001</v>
          </cell>
        </row>
        <row r="117">
          <cell r="A117">
            <v>40001</v>
          </cell>
        </row>
        <row r="118">
          <cell r="A118">
            <v>40002</v>
          </cell>
        </row>
        <row r="119">
          <cell r="A119">
            <v>40003</v>
          </cell>
        </row>
        <row r="120">
          <cell r="A120">
            <v>40004</v>
          </cell>
        </row>
        <row r="121">
          <cell r="A121">
            <v>40005</v>
          </cell>
        </row>
        <row r="122">
          <cell r="A122">
            <v>40006</v>
          </cell>
        </row>
        <row r="123">
          <cell r="A123">
            <v>40007</v>
          </cell>
        </row>
        <row r="124">
          <cell r="A124">
            <v>40008</v>
          </cell>
        </row>
        <row r="125">
          <cell r="A125">
            <v>50001</v>
          </cell>
        </row>
        <row r="126">
          <cell r="A126">
            <v>49001</v>
          </cell>
        </row>
        <row r="127">
          <cell r="A127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3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3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3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3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3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12001_1</v>
          </cell>
          <cell r="B260">
            <v>3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1</v>
          </cell>
          <cell r="G260" t="str">
            <v>ja</v>
          </cell>
          <cell r="H260" t="str">
            <v xml:space="preserve">【初級】メタルダックを捕獲せよ！ </v>
          </cell>
          <cell r="I260" t="str">
            <v>経験値ゲリラ</v>
          </cell>
          <cell r="J260">
            <v>334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everyone</v>
          </cell>
        </row>
        <row r="261">
          <cell r="A261" t="str">
            <v>12001_2</v>
          </cell>
          <cell r="B261">
            <v>3</v>
          </cell>
          <cell r="C261">
            <v>12001</v>
          </cell>
          <cell r="D261" t="str">
            <v>【緊急！！】 アヒル捕獲作戦</v>
          </cell>
          <cell r="E261" t="str">
            <v>ゲリラクエスト</v>
          </cell>
          <cell r="F261">
            <v>2</v>
          </cell>
          <cell r="G261" t="str">
            <v>ja</v>
          </cell>
          <cell r="H261" t="str">
            <v xml:space="preserve">【上級】メタルダックを捕獲せよ！ </v>
          </cell>
          <cell r="I261" t="str">
            <v>経験値ゲリラ</v>
          </cell>
          <cell r="J261">
            <v>334</v>
          </cell>
          <cell r="K261">
            <v>20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12001_3</v>
          </cell>
          <cell r="B262">
            <v>0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3</v>
          </cell>
          <cell r="G262" t="str">
            <v>ja</v>
          </cell>
          <cell r="H262" t="str">
            <v>★100DL記念 マルチ専用★_x000D_【上級】メタルダックを捕獲せよ！</v>
          </cell>
          <cell r="I262" t="str">
            <v>経験値ゲリラ</v>
          </cell>
          <cell r="J262">
            <v>334</v>
          </cell>
          <cell r="K262">
            <v>10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multionly</v>
          </cell>
        </row>
        <row r="263">
          <cell r="A263" t="str">
            <v>12002_3</v>
          </cell>
          <cell r="B263">
            <v>0</v>
          </cell>
          <cell r="C263">
            <v>12002</v>
          </cell>
          <cell r="D263" t="str">
            <v>【マルチ専用1/2】 アヒル捕獲作戦</v>
          </cell>
          <cell r="E263" t="str">
            <v>ゲリラクエスト</v>
          </cell>
          <cell r="F263">
            <v>3</v>
          </cell>
          <cell r="G263" t="str">
            <v>ja</v>
          </cell>
          <cell r="H263" t="str">
            <v xml:space="preserve">【初級】メタルダックを捕獲せよ！ </v>
          </cell>
          <cell r="I263" t="str">
            <v>経験値ゲリラ</v>
          </cell>
          <cell r="J263">
            <v>334</v>
          </cell>
          <cell r="K263">
            <v>8</v>
          </cell>
          <cell r="L263">
            <v>140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12002_2</v>
          </cell>
          <cell r="B264">
            <v>0</v>
          </cell>
          <cell r="C264">
            <v>12002</v>
          </cell>
          <cell r="D264" t="str">
            <v>【マルチ専用1/2】 アヒル捕獲作戦</v>
          </cell>
          <cell r="E264" t="str">
            <v>ゲリラクエスト</v>
          </cell>
          <cell r="F264">
            <v>2</v>
          </cell>
          <cell r="G264" t="str">
            <v>ja</v>
          </cell>
          <cell r="H264" t="str">
            <v xml:space="preserve">【上級】メタルダックを捕獲せよ！ </v>
          </cell>
          <cell r="I264" t="str">
            <v>経験値ゲリラ</v>
          </cell>
          <cell r="J264">
            <v>334</v>
          </cell>
          <cell r="K264">
            <v>20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12002_1</v>
          </cell>
          <cell r="B265">
            <v>3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1</v>
          </cell>
          <cell r="G265" t="str">
            <v>ja</v>
          </cell>
          <cell r="H265" t="str">
            <v>【上級】メタルダックを捕獲せよ！</v>
          </cell>
          <cell r="I265" t="str">
            <v>経験値ゲリラ</v>
          </cell>
          <cell r="J265">
            <v>334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multionly</v>
          </cell>
        </row>
        <row r="266">
          <cell r="A266" t="str">
            <v>12003_1</v>
          </cell>
          <cell r="B266">
            <v>3</v>
          </cell>
          <cell r="C266">
            <v>12003</v>
          </cell>
          <cell r="D266" t="str">
            <v>【超緊急！！】メタルジェントルを追え</v>
          </cell>
          <cell r="E266" t="str">
            <v>ゲリラ【超級】</v>
          </cell>
          <cell r="F266">
            <v>1</v>
          </cell>
          <cell r="G266" t="str">
            <v>ja</v>
          </cell>
          <cell r="H266" t="str">
            <v>【超級】雷のジェントルを追え！</v>
          </cell>
          <cell r="I266" t="str">
            <v>超級ゲリラ</v>
          </cell>
          <cell r="J266">
            <v>347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12</v>
          </cell>
          <cell r="AD266">
            <v>6</v>
          </cell>
          <cell r="AE266" t="str">
            <v>singleonly</v>
          </cell>
        </row>
        <row r="267">
          <cell r="A267" t="str">
            <v>12003_2</v>
          </cell>
          <cell r="B267">
            <v>3</v>
          </cell>
          <cell r="C267">
            <v>12003</v>
          </cell>
          <cell r="D267" t="str">
            <v>【超緊急！！】メタルジェントルを追え</v>
          </cell>
          <cell r="E267" t="str">
            <v>ゲリラ【超級】</v>
          </cell>
          <cell r="F267">
            <v>2</v>
          </cell>
          <cell r="G267" t="str">
            <v>ja</v>
          </cell>
          <cell r="H267" t="str">
            <v>【超級】水のジェントルを追え！</v>
          </cell>
          <cell r="I267" t="str">
            <v>超級ゲリラ</v>
          </cell>
          <cell r="J267">
            <v>343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5</v>
          </cell>
          <cell r="AD267">
            <v>6</v>
          </cell>
          <cell r="AE267" t="str">
            <v>singleonly</v>
          </cell>
        </row>
        <row r="268">
          <cell r="A268" t="str">
            <v>12003_3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3</v>
          </cell>
          <cell r="G268" t="str">
            <v>ja</v>
          </cell>
          <cell r="H268" t="str">
            <v>【超級】森のジェントルを追え！</v>
          </cell>
          <cell r="I268" t="str">
            <v>超級ゲリラ</v>
          </cell>
          <cell r="J268">
            <v>339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7</v>
          </cell>
          <cell r="AD268">
            <v>6</v>
          </cell>
          <cell r="AE268" t="str">
            <v>singleonly</v>
          </cell>
        </row>
        <row r="269">
          <cell r="A269" t="str">
            <v>12003_4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4</v>
          </cell>
          <cell r="G269" t="str">
            <v>ja</v>
          </cell>
          <cell r="H269" t="str">
            <v>【超級】炎のジェントルを追え！</v>
          </cell>
          <cell r="I269" t="str">
            <v>超級ゲリラ</v>
          </cell>
          <cell r="J269">
            <v>335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</v>
          </cell>
          <cell r="AD269">
            <v>6</v>
          </cell>
          <cell r="AE269" t="str">
            <v>singleonly</v>
          </cell>
        </row>
        <row r="270">
          <cell r="A270" t="str">
            <v>13001_1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試練の塔</v>
          </cell>
          <cell r="F270">
            <v>1</v>
          </cell>
          <cell r="G270" t="str">
            <v>ja</v>
          </cell>
          <cell r="H270" t="str">
            <v>チャレンジタワー 1F</v>
          </cell>
          <cell r="I270" t="str">
            <v>試練の塔</v>
          </cell>
          <cell r="J270">
            <v>345</v>
          </cell>
          <cell r="K270">
            <v>3</v>
          </cell>
          <cell r="L270">
            <v>120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345,345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13001_2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2</v>
          </cell>
          <cell r="G271" t="str">
            <v>ja</v>
          </cell>
          <cell r="H271" t="str">
            <v>チャレンジタワー 2F</v>
          </cell>
          <cell r="I271" t="str">
            <v>試練の塔</v>
          </cell>
          <cell r="J271">
            <v>333</v>
          </cell>
          <cell r="K271">
            <v>4</v>
          </cell>
          <cell r="L271">
            <v>176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333,333</v>
          </cell>
          <cell r="U271">
            <v>13001</v>
          </cell>
          <cell r="V271">
            <v>1</v>
          </cell>
          <cell r="W271" t="str">
            <v>チャレンジタワー 1F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13001_3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3</v>
          </cell>
          <cell r="G272" t="str">
            <v>ja</v>
          </cell>
          <cell r="H272" t="str">
            <v>チャレンジタワー 3F</v>
          </cell>
          <cell r="I272" t="str">
            <v>試練の塔</v>
          </cell>
          <cell r="J272">
            <v>337</v>
          </cell>
          <cell r="K272">
            <v>5</v>
          </cell>
          <cell r="L272">
            <v>242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337,337</v>
          </cell>
          <cell r="U272">
            <v>13001</v>
          </cell>
          <cell r="V272">
            <v>2</v>
          </cell>
          <cell r="W272" t="str">
            <v>チャレンジタワー 2F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13001_4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4</v>
          </cell>
          <cell r="G273" t="str">
            <v>ja</v>
          </cell>
          <cell r="H273" t="str">
            <v>チャレンジタワー 4F</v>
          </cell>
          <cell r="I273" t="str">
            <v>試練の塔</v>
          </cell>
          <cell r="J273">
            <v>341</v>
          </cell>
          <cell r="K273">
            <v>7</v>
          </cell>
          <cell r="L273">
            <v>508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341,341</v>
          </cell>
          <cell r="U273">
            <v>13001</v>
          </cell>
          <cell r="V273">
            <v>3</v>
          </cell>
          <cell r="W273" t="str">
            <v>チャレンジタワー 3F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13001_5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5</v>
          </cell>
          <cell r="G274" t="str">
            <v>ja</v>
          </cell>
          <cell r="H274" t="str">
            <v>チャレンジタワー 5F</v>
          </cell>
          <cell r="I274" t="str">
            <v>試練の塔</v>
          </cell>
          <cell r="J274">
            <v>333</v>
          </cell>
          <cell r="K274">
            <v>7</v>
          </cell>
          <cell r="L274">
            <v>280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333,337,341,345</v>
          </cell>
          <cell r="U274">
            <v>13001</v>
          </cell>
          <cell r="V274">
            <v>4</v>
          </cell>
          <cell r="W274" t="str">
            <v>チャレンジタワー 4F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13001_6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6</v>
          </cell>
          <cell r="G275" t="str">
            <v>ja</v>
          </cell>
          <cell r="H275" t="str">
            <v>チャレンジタワー 6F</v>
          </cell>
          <cell r="I275" t="str">
            <v>試練の塔</v>
          </cell>
          <cell r="J275">
            <v>346</v>
          </cell>
          <cell r="K275">
            <v>8</v>
          </cell>
          <cell r="L275">
            <v>474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346,345</v>
          </cell>
          <cell r="U275">
            <v>13001</v>
          </cell>
          <cell r="V275">
            <v>5</v>
          </cell>
          <cell r="W275" t="str">
            <v>チャレンジタワー 5F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13001_7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7</v>
          </cell>
          <cell r="G276" t="str">
            <v>ja</v>
          </cell>
          <cell r="H276" t="str">
            <v>チャレンジタワー 7F</v>
          </cell>
          <cell r="I276" t="str">
            <v>試練の塔</v>
          </cell>
          <cell r="J276">
            <v>342</v>
          </cell>
          <cell r="K276">
            <v>8</v>
          </cell>
          <cell r="L276">
            <v>486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342,341</v>
          </cell>
          <cell r="U276">
            <v>13001</v>
          </cell>
          <cell r="V276">
            <v>6</v>
          </cell>
          <cell r="W276" t="str">
            <v>チャレンジタワー 6F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13001_8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8</v>
          </cell>
          <cell r="G277" t="str">
            <v>ja</v>
          </cell>
          <cell r="H277" t="str">
            <v>チャレンジタワー 8F</v>
          </cell>
          <cell r="I277" t="str">
            <v>試練の塔</v>
          </cell>
          <cell r="J277">
            <v>334</v>
          </cell>
          <cell r="K277">
            <v>10</v>
          </cell>
          <cell r="L277">
            <v>1006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334,333</v>
          </cell>
          <cell r="U277">
            <v>13001</v>
          </cell>
          <cell r="V277">
            <v>7</v>
          </cell>
          <cell r="W277" t="str">
            <v>チャレンジタワー 7F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13001_9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9</v>
          </cell>
          <cell r="G278" t="str">
            <v>ja</v>
          </cell>
          <cell r="H278" t="str">
            <v>チャレンジタワー 9F</v>
          </cell>
          <cell r="I278" t="str">
            <v>試練の塔</v>
          </cell>
          <cell r="J278">
            <v>338</v>
          </cell>
          <cell r="K278">
            <v>10</v>
          </cell>
          <cell r="L278">
            <v>702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337,337,338</v>
          </cell>
          <cell r="U278">
            <v>13001</v>
          </cell>
          <cell r="V278">
            <v>8</v>
          </cell>
          <cell r="W278" t="str">
            <v>チャレンジタワー 8F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13001_10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10</v>
          </cell>
          <cell r="G279" t="str">
            <v>ja</v>
          </cell>
          <cell r="H279" t="str">
            <v>チャレンジタワー 10F</v>
          </cell>
          <cell r="I279" t="str">
            <v>試練の塔</v>
          </cell>
          <cell r="J279">
            <v>346</v>
          </cell>
          <cell r="K279">
            <v>11</v>
          </cell>
          <cell r="L279">
            <v>788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346,333,337,341</v>
          </cell>
          <cell r="U279">
            <v>13001</v>
          </cell>
          <cell r="V279">
            <v>9</v>
          </cell>
          <cell r="W279" t="str">
            <v>チャレンジタワー 9F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13001_11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11</v>
          </cell>
          <cell r="G280" t="str">
            <v>ja</v>
          </cell>
          <cell r="H280" t="str">
            <v>チャレンジタワー 11F</v>
          </cell>
          <cell r="I280" t="str">
            <v>試練の塔</v>
          </cell>
          <cell r="J280">
            <v>346</v>
          </cell>
          <cell r="K280">
            <v>12</v>
          </cell>
          <cell r="L280">
            <v>936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346,346</v>
          </cell>
          <cell r="U280">
            <v>13001</v>
          </cell>
          <cell r="V280">
            <v>10</v>
          </cell>
          <cell r="W280" t="str">
            <v>チャレンジタワー 10F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13001_12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12</v>
          </cell>
          <cell r="G281" t="str">
            <v>ja</v>
          </cell>
          <cell r="H281" t="str">
            <v>チャレンジタワー 12F</v>
          </cell>
          <cell r="I281" t="str">
            <v>試練の塔</v>
          </cell>
          <cell r="J281">
            <v>342</v>
          </cell>
          <cell r="K281">
            <v>13</v>
          </cell>
          <cell r="L281">
            <v>1601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342,342</v>
          </cell>
          <cell r="U281">
            <v>13001</v>
          </cell>
          <cell r="V281">
            <v>11</v>
          </cell>
          <cell r="W281" t="str">
            <v>チャレンジタワー 11F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13001_13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13</v>
          </cell>
          <cell r="G282" t="str">
            <v>ja</v>
          </cell>
          <cell r="H282" t="str">
            <v>チャレンジタワー 13F</v>
          </cell>
          <cell r="I282" t="str">
            <v>試練の塔</v>
          </cell>
          <cell r="J282">
            <v>338</v>
          </cell>
          <cell r="K282">
            <v>14</v>
          </cell>
          <cell r="L282">
            <v>945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338,338</v>
          </cell>
          <cell r="U282">
            <v>13001</v>
          </cell>
          <cell r="V282">
            <v>12</v>
          </cell>
          <cell r="W282" t="str">
            <v>チャレンジタワー 12F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13001_14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14</v>
          </cell>
          <cell r="G283" t="str">
            <v>ja</v>
          </cell>
          <cell r="H283" t="str">
            <v>チャレンジタワー 14F</v>
          </cell>
          <cell r="I283" t="str">
            <v>試練の塔</v>
          </cell>
          <cell r="J283">
            <v>334</v>
          </cell>
          <cell r="K283">
            <v>14</v>
          </cell>
          <cell r="L283">
            <v>1188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334,334</v>
          </cell>
          <cell r="U283">
            <v>13001</v>
          </cell>
          <cell r="V283">
            <v>13</v>
          </cell>
          <cell r="W283" t="str">
            <v>チャレンジタワー 13F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13001_15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15</v>
          </cell>
          <cell r="G284" t="str">
            <v>ja</v>
          </cell>
          <cell r="H284" t="str">
            <v>チャレンジタワー 15F</v>
          </cell>
          <cell r="I284" t="str">
            <v>試練の塔</v>
          </cell>
          <cell r="J284">
            <v>316</v>
          </cell>
          <cell r="K284">
            <v>14</v>
          </cell>
          <cell r="L284">
            <v>1008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316</v>
          </cell>
          <cell r="U284">
            <v>13001</v>
          </cell>
          <cell r="V284">
            <v>14</v>
          </cell>
          <cell r="W284" t="str">
            <v>チャレンジタワー 14F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13001_16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16</v>
          </cell>
          <cell r="G285" t="str">
            <v>ja</v>
          </cell>
          <cell r="H285" t="str">
            <v>チャレンジタワー 16F</v>
          </cell>
          <cell r="I285" t="str">
            <v>試練の塔</v>
          </cell>
          <cell r="J285">
            <v>338</v>
          </cell>
          <cell r="K285">
            <v>16</v>
          </cell>
          <cell r="L285">
            <v>2573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338,338,337</v>
          </cell>
          <cell r="U285">
            <v>13001</v>
          </cell>
          <cell r="V285">
            <v>15</v>
          </cell>
          <cell r="W285" t="str">
            <v>チャレンジタワー 15F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13001_17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17</v>
          </cell>
          <cell r="G286" t="str">
            <v>ja</v>
          </cell>
          <cell r="H286" t="str">
            <v>チャレンジタワー 17F</v>
          </cell>
          <cell r="I286" t="str">
            <v>試練の塔</v>
          </cell>
          <cell r="J286">
            <v>346</v>
          </cell>
          <cell r="K286">
            <v>16</v>
          </cell>
          <cell r="L286">
            <v>1568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346,346,345</v>
          </cell>
          <cell r="U286">
            <v>13001</v>
          </cell>
          <cell r="V286">
            <v>16</v>
          </cell>
          <cell r="W286" t="str">
            <v>チャレンジタワー 16F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13001_18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18</v>
          </cell>
          <cell r="G287" t="str">
            <v>ja</v>
          </cell>
          <cell r="H287" t="str">
            <v>チャレンジタワー 18F</v>
          </cell>
          <cell r="I287" t="str">
            <v>試練の塔</v>
          </cell>
          <cell r="J287">
            <v>334</v>
          </cell>
          <cell r="K287">
            <v>17</v>
          </cell>
          <cell r="L287">
            <v>1821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334,334,333</v>
          </cell>
          <cell r="U287">
            <v>13001</v>
          </cell>
          <cell r="V287">
            <v>17</v>
          </cell>
          <cell r="W287" t="str">
            <v>チャレンジタワー 17F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13001_19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19</v>
          </cell>
          <cell r="G288" t="str">
            <v>ja</v>
          </cell>
          <cell r="H288" t="str">
            <v>チャレンジタワー 19F</v>
          </cell>
          <cell r="I288" t="str">
            <v>試練の塔</v>
          </cell>
          <cell r="J288">
            <v>342</v>
          </cell>
          <cell r="K288">
            <v>18</v>
          </cell>
          <cell r="L288">
            <v>2108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342,342,341</v>
          </cell>
          <cell r="U288">
            <v>13001</v>
          </cell>
          <cell r="V288">
            <v>18</v>
          </cell>
          <cell r="W288" t="str">
            <v>チャレンジタワー 18F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13001_20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20</v>
          </cell>
          <cell r="G289" t="str">
            <v>ja</v>
          </cell>
          <cell r="H289" t="str">
            <v>チャレンジタワー 20F</v>
          </cell>
          <cell r="I289" t="str">
            <v>試練の塔</v>
          </cell>
          <cell r="J289">
            <v>318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318</v>
          </cell>
          <cell r="U289">
            <v>13001</v>
          </cell>
          <cell r="V289">
            <v>19</v>
          </cell>
          <cell r="W289" t="str">
            <v>チャレンジタワー 19F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13001_21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21</v>
          </cell>
          <cell r="G290" t="str">
            <v>ja</v>
          </cell>
          <cell r="H290" t="str">
            <v>チャレンジタワー 21F</v>
          </cell>
          <cell r="I290" t="str">
            <v>試練の塔</v>
          </cell>
          <cell r="J290" t="str">
            <v>335</v>
          </cell>
          <cell r="K290">
            <v>18</v>
          </cell>
          <cell r="L290">
            <v>1620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334,335,335</v>
          </cell>
          <cell r="U290">
            <v>13001</v>
          </cell>
          <cell r="V290">
            <v>20</v>
          </cell>
          <cell r="W290" t="str">
            <v>チャレンジタワー 20F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13001_22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22</v>
          </cell>
          <cell r="G291" t="str">
            <v>ja</v>
          </cell>
          <cell r="H291" t="str">
            <v>チャレンジタワー 22F</v>
          </cell>
          <cell r="I291" t="str">
            <v>試練の塔</v>
          </cell>
          <cell r="J291" t="str">
            <v>339</v>
          </cell>
          <cell r="K291">
            <v>18</v>
          </cell>
          <cell r="L291">
            <v>1620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338,339,339</v>
          </cell>
          <cell r="U291">
            <v>13001</v>
          </cell>
          <cell r="V291">
            <v>21</v>
          </cell>
          <cell r="W291" t="str">
            <v>チャレンジタワー 21F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13001_23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23</v>
          </cell>
          <cell r="G292" t="str">
            <v>ja</v>
          </cell>
          <cell r="H292" t="str">
            <v>チャレンジタワー 23F</v>
          </cell>
          <cell r="I292" t="str">
            <v>試練の塔</v>
          </cell>
          <cell r="J292" t="str">
            <v>347</v>
          </cell>
          <cell r="K292">
            <v>20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346,347,347</v>
          </cell>
          <cell r="U292">
            <v>13001</v>
          </cell>
          <cell r="V292">
            <v>22</v>
          </cell>
          <cell r="W292" t="str">
            <v>チャレンジタワー 22F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13001_24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24</v>
          </cell>
          <cell r="G293" t="str">
            <v>ja</v>
          </cell>
          <cell r="H293" t="str">
            <v>チャレンジタワー 24F</v>
          </cell>
          <cell r="I293" t="str">
            <v>試練の塔</v>
          </cell>
          <cell r="J293" t="str">
            <v>343</v>
          </cell>
          <cell r="K293">
            <v>20</v>
          </cell>
          <cell r="L293">
            <v>2871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342,343,343</v>
          </cell>
          <cell r="U293">
            <v>13001</v>
          </cell>
          <cell r="V293">
            <v>23</v>
          </cell>
          <cell r="W293" t="str">
            <v>チャレンジタワー 23F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13001_25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25</v>
          </cell>
          <cell r="G294" t="str">
            <v>ja</v>
          </cell>
          <cell r="H294" t="str">
            <v>チャレンジタワー 25F</v>
          </cell>
          <cell r="I294" t="str">
            <v>試練の塔</v>
          </cell>
          <cell r="J294" t="str">
            <v>368</v>
          </cell>
          <cell r="K294">
            <v>22</v>
          </cell>
          <cell r="L294">
            <v>3740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368</v>
          </cell>
          <cell r="U294">
            <v>13001</v>
          </cell>
          <cell r="V294">
            <v>24</v>
          </cell>
          <cell r="W294" t="str">
            <v>チャレンジタワー 24F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14001_1</v>
          </cell>
          <cell r="B295">
            <v>1</v>
          </cell>
          <cell r="C295">
            <v>14001</v>
          </cell>
          <cell r="D295" t="str">
            <v>【ロッククエスト】経験値</v>
          </cell>
          <cell r="E295" t="str">
            <v>【ロッククエスト】経験値</v>
          </cell>
          <cell r="F295">
            <v>1</v>
          </cell>
          <cell r="G295" t="str">
            <v>ja</v>
          </cell>
          <cell r="H295" t="str">
            <v>【超級】雷ファミリー（ハートなし）</v>
          </cell>
          <cell r="I295" t="str">
            <v>【ロッククエスト】経験値</v>
          </cell>
          <cell r="J295">
            <v>347</v>
          </cell>
          <cell r="K295">
            <v>1</v>
          </cell>
          <cell r="L295">
            <v>500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0</v>
          </cell>
          <cell r="R295">
            <v>3</v>
          </cell>
          <cell r="S295" t="str">
            <v>none</v>
          </cell>
          <cell r="T295">
            <v>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12</v>
          </cell>
          <cell r="AD295">
            <v>6</v>
          </cell>
          <cell r="AE295" t="str">
            <v>everyone</v>
          </cell>
        </row>
        <row r="296">
          <cell r="A296" t="str">
            <v>14001_2</v>
          </cell>
          <cell r="B296">
            <v>1</v>
          </cell>
          <cell r="C296">
            <v>14001</v>
          </cell>
          <cell r="D296" t="str">
            <v>【ロッククエスト】経験値</v>
          </cell>
          <cell r="E296" t="str">
            <v>【ロッククエスト】経験値</v>
          </cell>
          <cell r="F296">
            <v>2</v>
          </cell>
          <cell r="G296" t="str">
            <v>ja</v>
          </cell>
          <cell r="H296" t="str">
            <v>【超級】水ファミリー（ハートなし）</v>
          </cell>
          <cell r="I296" t="str">
            <v>【ロッククエスト】経験値</v>
          </cell>
          <cell r="J296">
            <v>343</v>
          </cell>
          <cell r="K296">
            <v>1</v>
          </cell>
          <cell r="L296">
            <v>500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12</v>
          </cell>
          <cell r="AD296">
            <v>6</v>
          </cell>
          <cell r="AE296" t="str">
            <v>everyone</v>
          </cell>
        </row>
        <row r="297">
          <cell r="A297" t="str">
            <v>14001_3</v>
          </cell>
          <cell r="B297">
            <v>1</v>
          </cell>
          <cell r="C297">
            <v>14001</v>
          </cell>
          <cell r="D297" t="str">
            <v>【ロッククエスト】経験値</v>
          </cell>
          <cell r="E297" t="str">
            <v>【ロッククエスト】経験値</v>
          </cell>
          <cell r="F297">
            <v>3</v>
          </cell>
          <cell r="G297" t="str">
            <v>ja</v>
          </cell>
          <cell r="H297" t="str">
            <v>【超級】森ファミリー（ハートなし）</v>
          </cell>
          <cell r="I297" t="str">
            <v>【ロッククエスト】経験値</v>
          </cell>
          <cell r="J297">
            <v>339</v>
          </cell>
          <cell r="K297">
            <v>1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12</v>
          </cell>
          <cell r="AD297">
            <v>6</v>
          </cell>
          <cell r="AE297" t="str">
            <v>everyone</v>
          </cell>
        </row>
        <row r="298">
          <cell r="A298" t="str">
            <v>14001_4</v>
          </cell>
          <cell r="B298">
            <v>1</v>
          </cell>
          <cell r="C298">
            <v>14001</v>
          </cell>
          <cell r="D298" t="str">
            <v>【ロッククエスト】経験値</v>
          </cell>
          <cell r="E298" t="str">
            <v>【ロッククエスト】経験値</v>
          </cell>
          <cell r="F298">
            <v>4</v>
          </cell>
          <cell r="G298" t="str">
            <v>ja</v>
          </cell>
          <cell r="H298" t="str">
            <v>【超級】炎ファミリー（ハートなし）</v>
          </cell>
          <cell r="I298" t="str">
            <v>【ロッククエスト】経験値</v>
          </cell>
          <cell r="J298">
            <v>335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everyone</v>
          </cell>
        </row>
        <row r="299">
          <cell r="A299" t="str">
            <v>14002_1</v>
          </cell>
          <cell r="B299">
            <v>1</v>
          </cell>
          <cell r="C299">
            <v>14002</v>
          </cell>
          <cell r="D299" t="str">
            <v>【ロッククエスト】ビット</v>
          </cell>
          <cell r="E299" t="str">
            <v>【ロッククエスト】ビット</v>
          </cell>
          <cell r="F299">
            <v>1</v>
          </cell>
          <cell r="G299" t="str">
            <v>ja</v>
          </cell>
          <cell r="H299" t="str">
            <v>【超級】ハイローラー（ハートなし）</v>
          </cell>
          <cell r="I299" t="str">
            <v>【ロッククエスト】ビット</v>
          </cell>
          <cell r="J299">
            <v>119</v>
          </cell>
          <cell r="K299">
            <v>1</v>
          </cell>
          <cell r="L299">
            <v>777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105</v>
          </cell>
          <cell r="AD299">
            <v>6</v>
          </cell>
          <cell r="AE299" t="str">
            <v>everyone</v>
          </cell>
        </row>
        <row r="300">
          <cell r="A300" t="str">
            <v>14003_1</v>
          </cell>
          <cell r="B300">
            <v>3</v>
          </cell>
          <cell r="C300">
            <v>14003</v>
          </cell>
          <cell r="D300" t="str">
            <v>【ロッククエスト】限界突破</v>
          </cell>
          <cell r="E300" t="str">
            <v>【ロッククエスト】限界突破</v>
          </cell>
          <cell r="F300">
            <v>1</v>
          </cell>
          <cell r="G300" t="str">
            <v>ja</v>
          </cell>
          <cell r="H300" t="str">
            <v>【超級】果実のキモチ（ハートなし）</v>
          </cell>
          <cell r="I300" t="str">
            <v>【ロッククエスト】限界突破</v>
          </cell>
          <cell r="J300">
            <v>125</v>
          </cell>
          <cell r="K300">
            <v>1</v>
          </cell>
          <cell r="L300">
            <v>860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21</v>
          </cell>
          <cell r="AD300">
            <v>6</v>
          </cell>
          <cell r="AE300" t="str">
            <v>everyone</v>
          </cell>
        </row>
        <row r="301">
          <cell r="A301" t="str">
            <v>20001_1</v>
          </cell>
          <cell r="B301">
            <v>3</v>
          </cell>
          <cell r="C301">
            <v>20001</v>
          </cell>
          <cell r="D301" t="str">
            <v>紅き執行者</v>
          </cell>
          <cell r="E301" t="str">
            <v>ドロップイベント1-1</v>
          </cell>
          <cell r="F301">
            <v>1</v>
          </cell>
          <cell r="G301" t="str">
            <v>ja</v>
          </cell>
          <cell r="H301" t="str">
            <v xml:space="preserve">【初級】紅き執行者 </v>
          </cell>
          <cell r="I301" t="str">
            <v>初級</v>
          </cell>
          <cell r="J301">
            <v>262</v>
          </cell>
          <cell r="K301">
            <v>8</v>
          </cell>
          <cell r="L301">
            <v>384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14</v>
          </cell>
          <cell r="AD301">
            <v>6</v>
          </cell>
          <cell r="AE301" t="str">
            <v>everyone</v>
          </cell>
        </row>
        <row r="302">
          <cell r="A302" t="str">
            <v>20001_2</v>
          </cell>
          <cell r="B302">
            <v>3</v>
          </cell>
          <cell r="C302">
            <v>20001</v>
          </cell>
          <cell r="D302" t="str">
            <v>紅き執行者</v>
          </cell>
          <cell r="E302" t="str">
            <v>ドロップイベント1-1</v>
          </cell>
          <cell r="F302">
            <v>2</v>
          </cell>
          <cell r="G302" t="str">
            <v>ja</v>
          </cell>
          <cell r="H302" t="str">
            <v>【中級】紅き執行者</v>
          </cell>
          <cell r="I302" t="str">
            <v>中級</v>
          </cell>
          <cell r="J302">
            <v>262</v>
          </cell>
          <cell r="K302">
            <v>15</v>
          </cell>
          <cell r="L302">
            <v>1200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14</v>
          </cell>
          <cell r="AD302">
            <v>6</v>
          </cell>
          <cell r="AE302" t="str">
            <v>everyone</v>
          </cell>
        </row>
        <row r="303">
          <cell r="A303" t="str">
            <v>20001_3</v>
          </cell>
          <cell r="B303">
            <v>3</v>
          </cell>
          <cell r="C303">
            <v>20001</v>
          </cell>
          <cell r="D303" t="str">
            <v>紅き執行者</v>
          </cell>
          <cell r="E303" t="str">
            <v>ドロップイベント1-1</v>
          </cell>
          <cell r="F303">
            <v>3</v>
          </cell>
          <cell r="G303" t="str">
            <v>ja</v>
          </cell>
          <cell r="H303" t="str">
            <v xml:space="preserve">【上級】紅き執行者 </v>
          </cell>
          <cell r="I303" t="str">
            <v>上級</v>
          </cell>
          <cell r="J303">
            <v>263</v>
          </cell>
          <cell r="K303">
            <v>20</v>
          </cell>
          <cell r="L303">
            <v>2000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polygon</v>
          </cell>
          <cell r="T303">
            <v>1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14</v>
          </cell>
          <cell r="AD303">
            <v>6</v>
          </cell>
          <cell r="AE303" t="str">
            <v>everyone</v>
          </cell>
        </row>
        <row r="304">
          <cell r="A304" t="str">
            <v>20002_1</v>
          </cell>
          <cell r="B304">
            <v>3</v>
          </cell>
          <cell r="C304">
            <v>20002</v>
          </cell>
          <cell r="D304" t="str">
            <v>孤高の一角獣</v>
          </cell>
          <cell r="E304" t="str">
            <v>ドロップイベント1-2</v>
          </cell>
          <cell r="F304">
            <v>1</v>
          </cell>
          <cell r="G304" t="str">
            <v>ja</v>
          </cell>
          <cell r="H304" t="str">
            <v>【初級】孤高の一角獣(ハートなし)</v>
          </cell>
          <cell r="I304" t="str">
            <v>初級</v>
          </cell>
          <cell r="J304">
            <v>264</v>
          </cell>
          <cell r="K304">
            <v>8</v>
          </cell>
          <cell r="L304">
            <v>384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19</v>
          </cell>
          <cell r="AD304">
            <v>6</v>
          </cell>
          <cell r="AE304" t="str">
            <v>everyone</v>
          </cell>
        </row>
        <row r="305">
          <cell r="A305" t="str">
            <v>20002_2</v>
          </cell>
          <cell r="B305">
            <v>3</v>
          </cell>
          <cell r="C305">
            <v>20002</v>
          </cell>
          <cell r="D305" t="str">
            <v>孤高の一角獣</v>
          </cell>
          <cell r="E305" t="str">
            <v>ドロップイベント1-2</v>
          </cell>
          <cell r="F305">
            <v>2</v>
          </cell>
          <cell r="G305" t="str">
            <v>ja</v>
          </cell>
          <cell r="H305" t="str">
            <v>【中級】孤高の一角獣(ハートなし)</v>
          </cell>
          <cell r="I305" t="str">
            <v>中級</v>
          </cell>
          <cell r="J305">
            <v>264</v>
          </cell>
          <cell r="K305">
            <v>15</v>
          </cell>
          <cell r="L305">
            <v>1200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19</v>
          </cell>
          <cell r="AD305">
            <v>6</v>
          </cell>
          <cell r="AE305" t="str">
            <v>everyone</v>
          </cell>
        </row>
        <row r="306">
          <cell r="A306" t="str">
            <v>20002_3</v>
          </cell>
          <cell r="B306">
            <v>3</v>
          </cell>
          <cell r="C306">
            <v>20002</v>
          </cell>
          <cell r="D306" t="str">
            <v>孤高の一角獣</v>
          </cell>
          <cell r="E306" t="str">
            <v>ドロップイベント1-2</v>
          </cell>
          <cell r="F306">
            <v>3</v>
          </cell>
          <cell r="G306" t="str">
            <v>ja</v>
          </cell>
          <cell r="H306" t="str">
            <v>【上級】孤高の一角獣(ハートなし)</v>
          </cell>
          <cell r="I306" t="str">
            <v>上級</v>
          </cell>
          <cell r="J306">
            <v>265</v>
          </cell>
          <cell r="K306">
            <v>20</v>
          </cell>
          <cell r="L306">
            <v>2000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polygon</v>
          </cell>
          <cell r="T306">
            <v>1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19</v>
          </cell>
          <cell r="AD306">
            <v>6</v>
          </cell>
          <cell r="AE306" t="str">
            <v>everyone</v>
          </cell>
        </row>
        <row r="307">
          <cell r="A307" t="str">
            <v>20003_1</v>
          </cell>
          <cell r="B307">
            <v>3</v>
          </cell>
          <cell r="C307">
            <v>20003</v>
          </cell>
          <cell r="D307" t="str">
            <v>忍び寄る短剣</v>
          </cell>
          <cell r="E307" t="str">
            <v>ドロップイベント1-3</v>
          </cell>
          <cell r="F307">
            <v>1</v>
          </cell>
          <cell r="G307" t="str">
            <v>ja</v>
          </cell>
          <cell r="H307" t="str">
            <v xml:space="preserve">【初級】忍び寄る短剣 </v>
          </cell>
          <cell r="I307" t="str">
            <v>初級</v>
          </cell>
          <cell r="J307">
            <v>266</v>
          </cell>
          <cell r="K307">
            <v>8</v>
          </cell>
          <cell r="L307">
            <v>384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11</v>
          </cell>
          <cell r="AD307">
            <v>6</v>
          </cell>
          <cell r="AE307" t="str">
            <v>everyone</v>
          </cell>
        </row>
        <row r="308">
          <cell r="A308" t="str">
            <v>20003_2</v>
          </cell>
          <cell r="B308">
            <v>3</v>
          </cell>
          <cell r="C308">
            <v>20003</v>
          </cell>
          <cell r="D308" t="str">
            <v>忍び寄る短剣</v>
          </cell>
          <cell r="E308" t="str">
            <v>ドロップイベント1-3</v>
          </cell>
          <cell r="F308">
            <v>2</v>
          </cell>
          <cell r="G308" t="str">
            <v>ja</v>
          </cell>
          <cell r="H308" t="str">
            <v xml:space="preserve">【中級】忍び寄る短剣 </v>
          </cell>
          <cell r="I308" t="str">
            <v>中級</v>
          </cell>
          <cell r="J308">
            <v>266</v>
          </cell>
          <cell r="K308">
            <v>15</v>
          </cell>
          <cell r="L308">
            <v>1200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11</v>
          </cell>
          <cell r="AD308">
            <v>6</v>
          </cell>
          <cell r="AE308" t="str">
            <v>everyone</v>
          </cell>
        </row>
        <row r="309">
          <cell r="A309" t="str">
            <v>20003_3</v>
          </cell>
          <cell r="B309">
            <v>3</v>
          </cell>
          <cell r="C309">
            <v>20003</v>
          </cell>
          <cell r="D309" t="str">
            <v>忍び寄る短剣</v>
          </cell>
          <cell r="E309" t="str">
            <v>ドロップイベント1-3</v>
          </cell>
          <cell r="F309">
            <v>3</v>
          </cell>
          <cell r="G309" t="str">
            <v>ja</v>
          </cell>
          <cell r="H309" t="str">
            <v xml:space="preserve">【上級】忍び寄る短剣 </v>
          </cell>
          <cell r="I309" t="str">
            <v>上級</v>
          </cell>
          <cell r="J309">
            <v>267</v>
          </cell>
          <cell r="K309">
            <v>20</v>
          </cell>
          <cell r="L309">
            <v>2000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polygon</v>
          </cell>
          <cell r="T309">
            <v>1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11</v>
          </cell>
          <cell r="AD309">
            <v>6</v>
          </cell>
          <cell r="AE309" t="str">
            <v>everyone</v>
          </cell>
        </row>
        <row r="310">
          <cell r="A310" t="str">
            <v>20004_1</v>
          </cell>
          <cell r="B310">
            <v>3</v>
          </cell>
          <cell r="C310">
            <v>20004</v>
          </cell>
          <cell r="D310" t="str">
            <v>雷雲からの刺客</v>
          </cell>
          <cell r="E310" t="str">
            <v>ドロップイベント1-4</v>
          </cell>
          <cell r="F310">
            <v>1</v>
          </cell>
          <cell r="G310" t="str">
            <v>ja</v>
          </cell>
          <cell r="H310" t="str">
            <v>【初級】雷雲からの刺客(ハートなし)</v>
          </cell>
          <cell r="I310" t="str">
            <v>初級</v>
          </cell>
          <cell r="J310">
            <v>268</v>
          </cell>
          <cell r="K310">
            <v>8</v>
          </cell>
          <cell r="L310">
            <v>384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4</v>
          </cell>
          <cell r="AD310">
            <v>6</v>
          </cell>
          <cell r="AE310" t="str">
            <v>everyone</v>
          </cell>
        </row>
        <row r="311">
          <cell r="A311" t="str">
            <v>20004_2</v>
          </cell>
          <cell r="B311">
            <v>3</v>
          </cell>
          <cell r="C311">
            <v>20004</v>
          </cell>
          <cell r="D311" t="str">
            <v>雷雲からの刺客</v>
          </cell>
          <cell r="E311" t="str">
            <v>ドロップイベント1-4</v>
          </cell>
          <cell r="F311">
            <v>2</v>
          </cell>
          <cell r="G311" t="str">
            <v>ja</v>
          </cell>
          <cell r="H311" t="str">
            <v>【中級】雷雲からの刺客(ハートなし)</v>
          </cell>
          <cell r="I311" t="str">
            <v>中級</v>
          </cell>
          <cell r="J311">
            <v>268</v>
          </cell>
          <cell r="K311">
            <v>15</v>
          </cell>
          <cell r="L311">
            <v>1200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4</v>
          </cell>
          <cell r="AD311">
            <v>6</v>
          </cell>
          <cell r="AE311" t="str">
            <v>everyone</v>
          </cell>
        </row>
        <row r="312">
          <cell r="A312" t="str">
            <v>20004_3</v>
          </cell>
          <cell r="B312">
            <v>3</v>
          </cell>
          <cell r="C312">
            <v>20004</v>
          </cell>
          <cell r="D312" t="str">
            <v>雷雲からの刺客</v>
          </cell>
          <cell r="E312" t="str">
            <v>ドロップイベント1-4</v>
          </cell>
          <cell r="F312">
            <v>3</v>
          </cell>
          <cell r="G312" t="str">
            <v>ja</v>
          </cell>
          <cell r="H312" t="str">
            <v>【上級】雷雲からの刺客(ハートなし)</v>
          </cell>
          <cell r="I312" t="str">
            <v>上級</v>
          </cell>
          <cell r="J312">
            <v>269</v>
          </cell>
          <cell r="K312">
            <v>20</v>
          </cell>
          <cell r="L312">
            <v>2000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polygon</v>
          </cell>
          <cell r="T312">
            <v>1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4</v>
          </cell>
          <cell r="AD312">
            <v>6</v>
          </cell>
          <cell r="AE312" t="str">
            <v>everyone</v>
          </cell>
        </row>
        <row r="313">
          <cell r="A313" t="str">
            <v>20005_1</v>
          </cell>
          <cell r="B313">
            <v>3</v>
          </cell>
          <cell r="C313">
            <v>20005</v>
          </cell>
          <cell r="D313" t="str">
            <v>ザ・キャノン</v>
          </cell>
          <cell r="E313" t="str">
            <v>ドロップイベント2-2</v>
          </cell>
          <cell r="F313">
            <v>1</v>
          </cell>
          <cell r="G313" t="str">
            <v>ja</v>
          </cell>
          <cell r="H313" t="str">
            <v>【初級】ザ・キャノン(4タップ）</v>
          </cell>
          <cell r="I313" t="str">
            <v>初級</v>
          </cell>
          <cell r="J313">
            <v>286</v>
          </cell>
          <cell r="K313">
            <v>8</v>
          </cell>
          <cell r="L313">
            <v>384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14</v>
          </cell>
          <cell r="AD313">
            <v>6</v>
          </cell>
          <cell r="AE313" t="str">
            <v>everyone</v>
          </cell>
        </row>
        <row r="314">
          <cell r="A314" t="str">
            <v>20005_2</v>
          </cell>
          <cell r="B314">
            <v>3</v>
          </cell>
          <cell r="C314">
            <v>20005</v>
          </cell>
          <cell r="D314" t="str">
            <v>ザ・キャノン</v>
          </cell>
          <cell r="E314" t="str">
            <v>ドロップイベント2-2</v>
          </cell>
          <cell r="F314">
            <v>2</v>
          </cell>
          <cell r="G314" t="str">
            <v>ja</v>
          </cell>
          <cell r="H314" t="str">
            <v>【中級】ザ・キャノン(4タップ)</v>
          </cell>
          <cell r="I314" t="str">
            <v>中級</v>
          </cell>
          <cell r="J314">
            <v>286</v>
          </cell>
          <cell r="K314">
            <v>15</v>
          </cell>
          <cell r="L314">
            <v>1200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14</v>
          </cell>
          <cell r="AD314">
            <v>6</v>
          </cell>
          <cell r="AE314" t="str">
            <v>everyone</v>
          </cell>
        </row>
        <row r="315">
          <cell r="A315" t="str">
            <v>20005_3</v>
          </cell>
          <cell r="B315">
            <v>3</v>
          </cell>
          <cell r="C315">
            <v>20005</v>
          </cell>
          <cell r="D315" t="str">
            <v>ザ・キャノン</v>
          </cell>
          <cell r="E315" t="str">
            <v>ドロップイベント2-2</v>
          </cell>
          <cell r="F315">
            <v>3</v>
          </cell>
          <cell r="G315" t="str">
            <v>ja</v>
          </cell>
          <cell r="H315" t="str">
            <v>【上級】ザ・キャノン(4タップ)</v>
          </cell>
          <cell r="I315" t="str">
            <v>上級</v>
          </cell>
          <cell r="J315">
            <v>287</v>
          </cell>
          <cell r="K315">
            <v>20</v>
          </cell>
          <cell r="L315">
            <v>2000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4</v>
          </cell>
          <cell r="S315" t="str">
            <v>polygon</v>
          </cell>
          <cell r="T315">
            <v>1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14</v>
          </cell>
          <cell r="AD315">
            <v>6</v>
          </cell>
          <cell r="AE315" t="str">
            <v>everyone</v>
          </cell>
        </row>
        <row r="316">
          <cell r="A316" t="str">
            <v>20006_1</v>
          </cell>
          <cell r="B316">
            <v>3</v>
          </cell>
          <cell r="C316">
            <v>20006</v>
          </cell>
          <cell r="D316" t="str">
            <v>スチール・プレデター</v>
          </cell>
          <cell r="E316" t="str">
            <v>ドロップイベント2-3</v>
          </cell>
          <cell r="F316">
            <v>1</v>
          </cell>
          <cell r="G316" t="str">
            <v>ja</v>
          </cell>
          <cell r="H316" t="str">
            <v>【初級】スチール・プレデター</v>
          </cell>
          <cell r="I316" t="str">
            <v>初級</v>
          </cell>
          <cell r="J316">
            <v>280</v>
          </cell>
          <cell r="K316">
            <v>8</v>
          </cell>
          <cell r="L316">
            <v>384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2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19</v>
          </cell>
          <cell r="AD316">
            <v>6</v>
          </cell>
          <cell r="AE316" t="str">
            <v>everyone</v>
          </cell>
        </row>
        <row r="317">
          <cell r="A317" t="str">
            <v>20006_2</v>
          </cell>
          <cell r="B317">
            <v>3</v>
          </cell>
          <cell r="C317">
            <v>20006</v>
          </cell>
          <cell r="D317" t="str">
            <v>スチール・プレデター</v>
          </cell>
          <cell r="E317" t="str">
            <v>ドロップイベント2-3</v>
          </cell>
          <cell r="F317">
            <v>2</v>
          </cell>
          <cell r="G317" t="str">
            <v>ja</v>
          </cell>
          <cell r="H317" t="str">
            <v>【中級】スチール・プレデター</v>
          </cell>
          <cell r="I317" t="str">
            <v>中級</v>
          </cell>
          <cell r="J317">
            <v>280</v>
          </cell>
          <cell r="K317">
            <v>15</v>
          </cell>
          <cell r="L317">
            <v>1200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2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19</v>
          </cell>
          <cell r="AD317">
            <v>6</v>
          </cell>
          <cell r="AE317" t="str">
            <v>everyone</v>
          </cell>
        </row>
        <row r="318">
          <cell r="A318" t="str">
            <v>20006_3</v>
          </cell>
          <cell r="B318">
            <v>3</v>
          </cell>
          <cell r="C318">
            <v>20006</v>
          </cell>
          <cell r="D318" t="str">
            <v>スチール・プレデター</v>
          </cell>
          <cell r="E318" t="str">
            <v>ドロップイベント2-3</v>
          </cell>
          <cell r="F318">
            <v>3</v>
          </cell>
          <cell r="G318" t="str">
            <v>ja</v>
          </cell>
          <cell r="H318" t="str">
            <v>【上級】スチール・プレデター</v>
          </cell>
          <cell r="I318" t="str">
            <v>上級</v>
          </cell>
          <cell r="J318">
            <v>281</v>
          </cell>
          <cell r="K318">
            <v>20</v>
          </cell>
          <cell r="L318">
            <v>2000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2</v>
          </cell>
          <cell r="S318" t="str">
            <v>polygon</v>
          </cell>
          <cell r="T318">
            <v>1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19</v>
          </cell>
          <cell r="AD318">
            <v>6</v>
          </cell>
          <cell r="AE318" t="str">
            <v>everyone</v>
          </cell>
        </row>
        <row r="319">
          <cell r="A319" t="str">
            <v>20007_1</v>
          </cell>
          <cell r="B319">
            <v>3</v>
          </cell>
          <cell r="C319">
            <v>20007</v>
          </cell>
          <cell r="D319" t="str">
            <v>女王陛下の処刑龍</v>
          </cell>
          <cell r="E319" t="str">
            <v>ドロップイベント2-1</v>
          </cell>
          <cell r="F319">
            <v>1</v>
          </cell>
          <cell r="G319" t="str">
            <v>ja</v>
          </cell>
          <cell r="H319" t="str">
            <v>【初級】女王陛下の処刑龍(4タップ)</v>
          </cell>
          <cell r="I319" t="str">
            <v>初級</v>
          </cell>
          <cell r="J319">
            <v>282</v>
          </cell>
          <cell r="K319">
            <v>8</v>
          </cell>
          <cell r="L319">
            <v>384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4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17</v>
          </cell>
          <cell r="AD319">
            <v>6</v>
          </cell>
          <cell r="AE319" t="str">
            <v>everyone</v>
          </cell>
        </row>
        <row r="320">
          <cell r="A320" t="str">
            <v>20007_2</v>
          </cell>
          <cell r="B320">
            <v>3</v>
          </cell>
          <cell r="C320">
            <v>20007</v>
          </cell>
          <cell r="D320" t="str">
            <v>女王陛下の処刑龍</v>
          </cell>
          <cell r="E320" t="str">
            <v>ドロップイベント2-1</v>
          </cell>
          <cell r="F320">
            <v>2</v>
          </cell>
          <cell r="G320" t="str">
            <v>ja</v>
          </cell>
          <cell r="H320" t="str">
            <v>【中級】女王陛下の処刑龍(4タップ)</v>
          </cell>
          <cell r="I320" t="str">
            <v>中級</v>
          </cell>
          <cell r="J320">
            <v>282</v>
          </cell>
          <cell r="K320">
            <v>15</v>
          </cell>
          <cell r="L320">
            <v>1200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4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17</v>
          </cell>
          <cell r="AD320">
            <v>6</v>
          </cell>
          <cell r="AE320" t="str">
            <v>everyone</v>
          </cell>
        </row>
        <row r="321">
          <cell r="A321" t="str">
            <v>20007_3</v>
          </cell>
          <cell r="B321">
            <v>3</v>
          </cell>
          <cell r="C321">
            <v>20007</v>
          </cell>
          <cell r="D321" t="str">
            <v>女王陛下の処刑龍</v>
          </cell>
          <cell r="E321" t="str">
            <v>ドロップイベント2-1</v>
          </cell>
          <cell r="F321">
            <v>3</v>
          </cell>
          <cell r="G321" t="str">
            <v>ja</v>
          </cell>
          <cell r="H321" t="str">
            <v>【上級】女王陛下の処刑龍(4タップ)</v>
          </cell>
          <cell r="I321" t="str">
            <v>上級</v>
          </cell>
          <cell r="J321">
            <v>283</v>
          </cell>
          <cell r="K321">
            <v>20</v>
          </cell>
          <cell r="L321">
            <v>2000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4</v>
          </cell>
          <cell r="S321" t="str">
            <v>polygon</v>
          </cell>
          <cell r="T321">
            <v>1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17</v>
          </cell>
          <cell r="AD321">
            <v>6</v>
          </cell>
          <cell r="AE321" t="str">
            <v>everyone</v>
          </cell>
        </row>
        <row r="322">
          <cell r="A322" t="str">
            <v>20008_1</v>
          </cell>
          <cell r="B322">
            <v>3</v>
          </cell>
          <cell r="C322">
            <v>20008</v>
          </cell>
          <cell r="D322" t="str">
            <v>天翔ける金轟機龍</v>
          </cell>
          <cell r="E322" t="str">
            <v>ドロップイベント2-4</v>
          </cell>
          <cell r="F322">
            <v>1</v>
          </cell>
          <cell r="G322" t="str">
            <v>ja</v>
          </cell>
          <cell r="H322" t="str">
            <v>【初級】天翔ける金轟機龍</v>
          </cell>
          <cell r="I322" t="str">
            <v>初級</v>
          </cell>
          <cell r="J322">
            <v>284</v>
          </cell>
          <cell r="K322">
            <v>8</v>
          </cell>
          <cell r="L322">
            <v>384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8</v>
          </cell>
          <cell r="AD322">
            <v>6</v>
          </cell>
          <cell r="AE322" t="str">
            <v>everyone</v>
          </cell>
        </row>
        <row r="323">
          <cell r="A323" t="str">
            <v>20008_2</v>
          </cell>
          <cell r="B323">
            <v>3</v>
          </cell>
          <cell r="C323">
            <v>20008</v>
          </cell>
          <cell r="D323" t="str">
            <v>天翔ける金轟機龍</v>
          </cell>
          <cell r="E323" t="str">
            <v>ドロップイベント2-4</v>
          </cell>
          <cell r="F323">
            <v>2</v>
          </cell>
          <cell r="G323" t="str">
            <v>ja</v>
          </cell>
          <cell r="H323" t="str">
            <v>【中級】天翔ける金轟機龍</v>
          </cell>
          <cell r="I323" t="str">
            <v>中級</v>
          </cell>
          <cell r="J323">
            <v>284</v>
          </cell>
          <cell r="K323">
            <v>15</v>
          </cell>
          <cell r="L323">
            <v>1200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8</v>
          </cell>
          <cell r="AD323">
            <v>6</v>
          </cell>
          <cell r="AE323" t="str">
            <v>everyone</v>
          </cell>
        </row>
        <row r="324">
          <cell r="A324" t="str">
            <v>20008_3</v>
          </cell>
          <cell r="B324">
            <v>3</v>
          </cell>
          <cell r="C324">
            <v>20008</v>
          </cell>
          <cell r="D324" t="str">
            <v>天翔ける金轟機龍</v>
          </cell>
          <cell r="E324" t="str">
            <v>ドロップイベント2-4</v>
          </cell>
          <cell r="F324">
            <v>3</v>
          </cell>
          <cell r="G324" t="str">
            <v>ja</v>
          </cell>
          <cell r="H324" t="str">
            <v>【上級】天翔ける金轟機龍</v>
          </cell>
          <cell r="I324" t="str">
            <v>上級</v>
          </cell>
          <cell r="J324">
            <v>285</v>
          </cell>
          <cell r="K324">
            <v>20</v>
          </cell>
          <cell r="L324">
            <v>2000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polygon</v>
          </cell>
          <cell r="T324">
            <v>1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8</v>
          </cell>
          <cell r="AD324">
            <v>6</v>
          </cell>
          <cell r="AE324" t="str">
            <v>everyone</v>
          </cell>
        </row>
        <row r="325">
          <cell r="A325" t="str">
            <v>20009_1</v>
          </cell>
          <cell r="B325">
            <v>0</v>
          </cell>
          <cell r="C325">
            <v>20009</v>
          </cell>
          <cell r="D325" t="str">
            <v>迫り来る窒息</v>
          </cell>
          <cell r="E325" t="str">
            <v>ドロップイベント3</v>
          </cell>
          <cell r="F325">
            <v>1</v>
          </cell>
          <cell r="G325" t="str">
            <v>ja</v>
          </cell>
          <cell r="H325" t="str">
            <v>【初級】迫り来る窒息</v>
          </cell>
          <cell r="I325" t="str">
            <v>初級</v>
          </cell>
          <cell r="J325" t="str">
            <v>NULL</v>
          </cell>
          <cell r="K325">
            <v>8</v>
          </cell>
          <cell r="L325">
            <v>384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25</v>
          </cell>
          <cell r="AD325">
            <v>5</v>
          </cell>
          <cell r="AE325" t="str">
            <v>everyone</v>
          </cell>
        </row>
        <row r="326">
          <cell r="A326" t="str">
            <v>20009_2</v>
          </cell>
          <cell r="B326">
            <v>3</v>
          </cell>
          <cell r="C326">
            <v>20009</v>
          </cell>
          <cell r="D326" t="str">
            <v>迫り来る窒息</v>
          </cell>
          <cell r="E326" t="str">
            <v>ドロップイベント3</v>
          </cell>
          <cell r="F326">
            <v>2</v>
          </cell>
          <cell r="G326" t="str">
            <v>ja</v>
          </cell>
          <cell r="H326" t="str">
            <v>【中級】迫り来る窒息</v>
          </cell>
          <cell r="I326" t="str">
            <v>中級</v>
          </cell>
          <cell r="J326">
            <v>302</v>
          </cell>
          <cell r="K326">
            <v>15</v>
          </cell>
          <cell r="L326">
            <v>1200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25</v>
          </cell>
          <cell r="AD326">
            <v>5</v>
          </cell>
          <cell r="AE326" t="str">
            <v>everyone</v>
          </cell>
        </row>
        <row r="327">
          <cell r="A327" t="str">
            <v>20009_3</v>
          </cell>
          <cell r="B327">
            <v>3</v>
          </cell>
          <cell r="C327">
            <v>20009</v>
          </cell>
          <cell r="D327" t="str">
            <v>迫り来る窒息</v>
          </cell>
          <cell r="E327" t="str">
            <v>ドロップイベント3</v>
          </cell>
          <cell r="F327">
            <v>3</v>
          </cell>
          <cell r="G327" t="str">
            <v>ja</v>
          </cell>
          <cell r="H327" t="str">
            <v>【上級】迫り来る窒息</v>
          </cell>
          <cell r="I327" t="str">
            <v>上級</v>
          </cell>
          <cell r="J327">
            <v>303</v>
          </cell>
          <cell r="K327">
            <v>20</v>
          </cell>
          <cell r="L327">
            <v>2000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polygon</v>
          </cell>
          <cell r="T327">
            <v>1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25</v>
          </cell>
          <cell r="AD327">
            <v>5</v>
          </cell>
          <cell r="AE327" t="str">
            <v>everyone</v>
          </cell>
        </row>
        <row r="328">
          <cell r="A328" t="str">
            <v>20010_1</v>
          </cell>
          <cell r="B328">
            <v>3</v>
          </cell>
          <cell r="C328">
            <v>20010</v>
          </cell>
          <cell r="D328" t="str">
            <v>悪夢の一目惚れ</v>
          </cell>
          <cell r="E328" t="str">
            <v>ドロップイベント3</v>
          </cell>
          <cell r="F328">
            <v>1</v>
          </cell>
          <cell r="G328" t="str">
            <v>ja</v>
          </cell>
          <cell r="H328" t="str">
            <v>【初級】悪夢の一目惚れ</v>
          </cell>
          <cell r="I328" t="str">
            <v>初級</v>
          </cell>
          <cell r="J328">
            <v>304</v>
          </cell>
          <cell r="K328">
            <v>8</v>
          </cell>
          <cell r="L328">
            <v>384</v>
          </cell>
          <cell r="M328">
            <v>1</v>
          </cell>
          <cell r="N328">
            <v>1</v>
          </cell>
          <cell r="O328">
            <v>0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2601</v>
          </cell>
          <cell r="AD328">
            <v>6</v>
          </cell>
          <cell r="AE328" t="str">
            <v>everyone</v>
          </cell>
        </row>
        <row r="329">
          <cell r="A329" t="str">
            <v>20010_2</v>
          </cell>
          <cell r="B329">
            <v>3</v>
          </cell>
          <cell r="C329">
            <v>20010</v>
          </cell>
          <cell r="D329" t="str">
            <v>悪夢の一目惚れ</v>
          </cell>
          <cell r="E329" t="str">
            <v>ドロップイベント3</v>
          </cell>
          <cell r="F329">
            <v>2</v>
          </cell>
          <cell r="G329" t="str">
            <v>ja</v>
          </cell>
          <cell r="H329" t="str">
            <v>【中級】悪夢の一目惚れ</v>
          </cell>
          <cell r="I329" t="str">
            <v>中級</v>
          </cell>
          <cell r="J329">
            <v>304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0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2601</v>
          </cell>
          <cell r="AD329">
            <v>6</v>
          </cell>
          <cell r="AE329" t="str">
            <v>everyone</v>
          </cell>
        </row>
        <row r="330">
          <cell r="A330" t="str">
            <v>20010_3</v>
          </cell>
          <cell r="B330">
            <v>3</v>
          </cell>
          <cell r="C330">
            <v>20010</v>
          </cell>
          <cell r="D330" t="str">
            <v>悪夢の一目惚れ</v>
          </cell>
          <cell r="E330" t="str">
            <v>ドロップイベント3</v>
          </cell>
          <cell r="F330">
            <v>3</v>
          </cell>
          <cell r="G330" t="str">
            <v>ja</v>
          </cell>
          <cell r="H330" t="str">
            <v>【上級】悪夢の一目惚れ</v>
          </cell>
          <cell r="I330" t="str">
            <v>上級</v>
          </cell>
          <cell r="J330">
            <v>305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0</v>
          </cell>
          <cell r="P330">
            <v>1</v>
          </cell>
          <cell r="Q330">
            <v>1</v>
          </cell>
          <cell r="R330">
            <v>3</v>
          </cell>
          <cell r="S330" t="str">
            <v>polygon</v>
          </cell>
          <cell r="T330">
            <v>1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2601</v>
          </cell>
          <cell r="AD330">
            <v>6</v>
          </cell>
          <cell r="AE330" t="str">
            <v>everyone</v>
          </cell>
        </row>
        <row r="331">
          <cell r="A331" t="str">
            <v>20011_1</v>
          </cell>
          <cell r="B331">
            <v>3</v>
          </cell>
          <cell r="C331">
            <v>20011</v>
          </cell>
          <cell r="D331" t="str">
            <v>すべてが灰になる</v>
          </cell>
          <cell r="E331" t="str">
            <v>ドロップイベント3</v>
          </cell>
          <cell r="F331">
            <v>1</v>
          </cell>
          <cell r="G331" t="str">
            <v>ja</v>
          </cell>
          <cell r="H331" t="str">
            <v>【初級】すべてが灰になる</v>
          </cell>
          <cell r="I331" t="str">
            <v>初級</v>
          </cell>
          <cell r="J331">
            <v>298</v>
          </cell>
          <cell r="K331">
            <v>8</v>
          </cell>
          <cell r="L331">
            <v>384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10</v>
          </cell>
          <cell r="AD331">
            <v>5</v>
          </cell>
          <cell r="AE331" t="str">
            <v>everyone</v>
          </cell>
        </row>
        <row r="332">
          <cell r="A332" t="str">
            <v>20011_2</v>
          </cell>
          <cell r="B332">
            <v>3</v>
          </cell>
          <cell r="C332">
            <v>20011</v>
          </cell>
          <cell r="D332" t="str">
            <v>すべてが灰になる</v>
          </cell>
          <cell r="E332" t="str">
            <v>ドロップイベント3</v>
          </cell>
          <cell r="F332">
            <v>2</v>
          </cell>
          <cell r="G332" t="str">
            <v>ja</v>
          </cell>
          <cell r="H332" t="str">
            <v>【中級】すべてが灰になる</v>
          </cell>
          <cell r="I332" t="str">
            <v>中級</v>
          </cell>
          <cell r="J332">
            <v>298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10</v>
          </cell>
          <cell r="AD332">
            <v>5</v>
          </cell>
          <cell r="AE332" t="str">
            <v>everyone</v>
          </cell>
        </row>
        <row r="333">
          <cell r="A333" t="str">
            <v>20011_3</v>
          </cell>
          <cell r="B333">
            <v>3</v>
          </cell>
          <cell r="C333">
            <v>20011</v>
          </cell>
          <cell r="D333" t="str">
            <v>すべてが灰になる</v>
          </cell>
          <cell r="E333" t="str">
            <v>ドロップイベント3</v>
          </cell>
          <cell r="F333">
            <v>3</v>
          </cell>
          <cell r="G333" t="str">
            <v>ja</v>
          </cell>
          <cell r="H333" t="str">
            <v>【上級】すべてが灰になる</v>
          </cell>
          <cell r="I333" t="str">
            <v>上級</v>
          </cell>
          <cell r="J333">
            <v>299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polygon</v>
          </cell>
          <cell r="T333">
            <v>1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10</v>
          </cell>
          <cell r="AD333">
            <v>5</v>
          </cell>
          <cell r="AE333" t="str">
            <v>everyone</v>
          </cell>
        </row>
        <row r="334">
          <cell r="A334" t="str">
            <v>20012_1</v>
          </cell>
          <cell r="B334">
            <v>3</v>
          </cell>
          <cell r="C334">
            <v>20012</v>
          </cell>
          <cell r="D334" t="str">
            <v>罪と劇薬</v>
          </cell>
          <cell r="E334" t="str">
            <v>ドロップイベント3</v>
          </cell>
          <cell r="F334">
            <v>1</v>
          </cell>
          <cell r="G334" t="str">
            <v>ja</v>
          </cell>
          <cell r="H334" t="str">
            <v>【初級】罪と劇薬</v>
          </cell>
          <cell r="I334" t="str">
            <v>初級</v>
          </cell>
          <cell r="J334">
            <v>300</v>
          </cell>
          <cell r="K334">
            <v>8</v>
          </cell>
          <cell r="L334">
            <v>384</v>
          </cell>
          <cell r="M334">
            <v>0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19</v>
          </cell>
          <cell r="AD334">
            <v>6</v>
          </cell>
          <cell r="AE334" t="str">
            <v>everyone</v>
          </cell>
        </row>
        <row r="335">
          <cell r="A335" t="str">
            <v>20012_2</v>
          </cell>
          <cell r="B335">
            <v>3</v>
          </cell>
          <cell r="C335">
            <v>20012</v>
          </cell>
          <cell r="D335" t="str">
            <v>罪と劇薬</v>
          </cell>
          <cell r="E335" t="str">
            <v>ドロップイベント3</v>
          </cell>
          <cell r="F335">
            <v>2</v>
          </cell>
          <cell r="G335" t="str">
            <v>ja</v>
          </cell>
          <cell r="H335" t="str">
            <v>【中級】罪と劇薬</v>
          </cell>
          <cell r="I335" t="str">
            <v>中級</v>
          </cell>
          <cell r="J335">
            <v>300</v>
          </cell>
          <cell r="K335">
            <v>15</v>
          </cell>
          <cell r="L335">
            <v>1200</v>
          </cell>
          <cell r="M335">
            <v>0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20012_3</v>
          </cell>
          <cell r="B336">
            <v>3</v>
          </cell>
          <cell r="C336">
            <v>20012</v>
          </cell>
          <cell r="D336" t="str">
            <v>罪と劇薬</v>
          </cell>
          <cell r="E336" t="str">
            <v>ドロップイベント3</v>
          </cell>
          <cell r="F336">
            <v>3</v>
          </cell>
          <cell r="G336" t="str">
            <v>ja</v>
          </cell>
          <cell r="H336" t="str">
            <v>【上級】罪と劇薬</v>
          </cell>
          <cell r="I336" t="str">
            <v>上級</v>
          </cell>
          <cell r="J336">
            <v>301</v>
          </cell>
          <cell r="K336">
            <v>20</v>
          </cell>
          <cell r="L336">
            <v>2000</v>
          </cell>
          <cell r="M336">
            <v>0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polygon</v>
          </cell>
          <cell r="T336">
            <v>1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30001_1</v>
          </cell>
          <cell r="B337">
            <v>3</v>
          </cell>
          <cell r="C337">
            <v>30001</v>
          </cell>
          <cell r="D337" t="str">
            <v>ハンター・オブ・ハンター</v>
          </cell>
          <cell r="E337" t="str">
            <v>ドロップイベント1-1（マルチ専用）</v>
          </cell>
          <cell r="F337">
            <v>1</v>
          </cell>
          <cell r="G337" t="str">
            <v>ja</v>
          </cell>
          <cell r="H337" t="str">
            <v xml:space="preserve">【中級】ハンター・オブ・ハンター </v>
          </cell>
          <cell r="I337" t="str">
            <v>中級</v>
          </cell>
          <cell r="J337">
            <v>270</v>
          </cell>
          <cell r="K337">
            <v>15</v>
          </cell>
          <cell r="L337">
            <v>1200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7</v>
          </cell>
          <cell r="AD337">
            <v>6</v>
          </cell>
          <cell r="AE337" t="str">
            <v>everyone</v>
          </cell>
        </row>
        <row r="338">
          <cell r="A338" t="str">
            <v>30001_2</v>
          </cell>
          <cell r="B338">
            <v>3</v>
          </cell>
          <cell r="C338">
            <v>30001</v>
          </cell>
          <cell r="D338" t="str">
            <v>ハンター・オブ・ハンター</v>
          </cell>
          <cell r="E338" t="str">
            <v>ドロップイベント1-1（マルチ専用）</v>
          </cell>
          <cell r="F338">
            <v>2</v>
          </cell>
          <cell r="G338" t="str">
            <v>ja</v>
          </cell>
          <cell r="H338" t="str">
            <v xml:space="preserve">【上級】ハンター・オブ・ハンター </v>
          </cell>
          <cell r="I338" t="str">
            <v>上級</v>
          </cell>
          <cell r="J338">
            <v>270</v>
          </cell>
          <cell r="K338">
            <v>20</v>
          </cell>
          <cell r="L338">
            <v>2000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7</v>
          </cell>
          <cell r="AD338">
            <v>6</v>
          </cell>
          <cell r="AE338" t="str">
            <v>everyone</v>
          </cell>
        </row>
        <row r="339">
          <cell r="A339" t="str">
            <v>30001_3</v>
          </cell>
          <cell r="B339">
            <v>3</v>
          </cell>
          <cell r="C339">
            <v>30001</v>
          </cell>
          <cell r="D339" t="str">
            <v>ハンター・オブ・ハンター</v>
          </cell>
          <cell r="E339" t="str">
            <v>ドロップイベント1-1（マルチ専用）</v>
          </cell>
          <cell r="F339">
            <v>3</v>
          </cell>
          <cell r="G339" t="str">
            <v>ja</v>
          </cell>
          <cell r="H339" t="str">
            <v xml:space="preserve">【超級】ハンター・オブ・ハンター </v>
          </cell>
          <cell r="I339" t="str">
            <v>超級</v>
          </cell>
          <cell r="J339">
            <v>271</v>
          </cell>
          <cell r="K339">
            <v>30</v>
          </cell>
          <cell r="L339">
            <v>3300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polygon</v>
          </cell>
          <cell r="T339">
            <v>1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7</v>
          </cell>
          <cell r="AD339">
            <v>6</v>
          </cell>
          <cell r="AE339" t="str">
            <v>everyone</v>
          </cell>
        </row>
        <row r="340">
          <cell r="A340" t="str">
            <v>30002_1</v>
          </cell>
          <cell r="B340">
            <v>3</v>
          </cell>
          <cell r="C340">
            <v>30002</v>
          </cell>
          <cell r="D340" t="str">
            <v>トリックスター</v>
          </cell>
          <cell r="E340" t="str">
            <v>ドロップイベント1-2（マルチ専用）</v>
          </cell>
          <cell r="F340">
            <v>1</v>
          </cell>
          <cell r="G340" t="str">
            <v>ja</v>
          </cell>
          <cell r="H340" t="str">
            <v xml:space="preserve">【中級】トリックスター </v>
          </cell>
          <cell r="I340" t="str">
            <v>中級</v>
          </cell>
          <cell r="J340">
            <v>272</v>
          </cell>
          <cell r="K340">
            <v>15</v>
          </cell>
          <cell r="L340">
            <v>1200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17</v>
          </cell>
          <cell r="AD340">
            <v>6</v>
          </cell>
          <cell r="AE340" t="str">
            <v>everyone</v>
          </cell>
        </row>
        <row r="341">
          <cell r="A341" t="str">
            <v>30002_2</v>
          </cell>
          <cell r="B341">
            <v>3</v>
          </cell>
          <cell r="C341">
            <v>30002</v>
          </cell>
          <cell r="D341" t="str">
            <v>トリックスター</v>
          </cell>
          <cell r="E341" t="str">
            <v>ドロップイベント1-2（マルチ専用）</v>
          </cell>
          <cell r="F341">
            <v>2</v>
          </cell>
          <cell r="G341" t="str">
            <v>ja</v>
          </cell>
          <cell r="H341" t="str">
            <v xml:space="preserve">【上級】トリックスター </v>
          </cell>
          <cell r="I341" t="str">
            <v>上級</v>
          </cell>
          <cell r="J341">
            <v>272</v>
          </cell>
          <cell r="K341">
            <v>20</v>
          </cell>
          <cell r="L341">
            <v>2000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17</v>
          </cell>
          <cell r="AD341">
            <v>6</v>
          </cell>
          <cell r="AE341" t="str">
            <v>everyone</v>
          </cell>
        </row>
        <row r="342">
          <cell r="A342" t="str">
            <v>30002_3</v>
          </cell>
          <cell r="B342">
            <v>3</v>
          </cell>
          <cell r="C342">
            <v>30002</v>
          </cell>
          <cell r="D342" t="str">
            <v>トリックスター</v>
          </cell>
          <cell r="E342" t="str">
            <v>ドロップイベント1-2（マルチ専用）</v>
          </cell>
          <cell r="F342">
            <v>3</v>
          </cell>
          <cell r="G342" t="str">
            <v>ja</v>
          </cell>
          <cell r="H342" t="str">
            <v xml:space="preserve">【超級】トリックスター </v>
          </cell>
          <cell r="I342" t="str">
            <v>超級</v>
          </cell>
          <cell r="J342">
            <v>273</v>
          </cell>
          <cell r="K342">
            <v>30</v>
          </cell>
          <cell r="L342">
            <v>3300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polygon</v>
          </cell>
          <cell r="T342">
            <v>1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17</v>
          </cell>
          <cell r="AD342">
            <v>6</v>
          </cell>
          <cell r="AE342" t="str">
            <v>everyone</v>
          </cell>
        </row>
        <row r="343">
          <cell r="A343" t="str">
            <v>30003_1</v>
          </cell>
          <cell r="B343">
            <v>3</v>
          </cell>
          <cell r="C343">
            <v>30003</v>
          </cell>
          <cell r="D343" t="str">
            <v>打ち下ろされる砕棒</v>
          </cell>
          <cell r="E343" t="str">
            <v>ドロップイベント1-3（マルチ専用）</v>
          </cell>
          <cell r="F343">
            <v>1</v>
          </cell>
          <cell r="G343" t="str">
            <v>ja</v>
          </cell>
          <cell r="H343" t="str">
            <v xml:space="preserve">【中級】打ち下ろされる砕棒 </v>
          </cell>
          <cell r="I343" t="str">
            <v>中級</v>
          </cell>
          <cell r="J343">
            <v>274</v>
          </cell>
          <cell r="K343">
            <v>15</v>
          </cell>
          <cell r="L343">
            <v>1200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20</v>
          </cell>
          <cell r="AD343">
            <v>6</v>
          </cell>
          <cell r="AE343" t="str">
            <v>everyone</v>
          </cell>
        </row>
        <row r="344">
          <cell r="A344" t="str">
            <v>30003_2</v>
          </cell>
          <cell r="B344">
            <v>3</v>
          </cell>
          <cell r="C344">
            <v>30003</v>
          </cell>
          <cell r="D344" t="str">
            <v>打ち下ろされる砕棒</v>
          </cell>
          <cell r="E344" t="str">
            <v>ドロップイベント1-3（マルチ専用）</v>
          </cell>
          <cell r="F344">
            <v>2</v>
          </cell>
          <cell r="G344" t="str">
            <v>ja</v>
          </cell>
          <cell r="H344" t="str">
            <v>【上級】打ち下ろされる砕棒</v>
          </cell>
          <cell r="I344" t="str">
            <v>上級</v>
          </cell>
          <cell r="J344">
            <v>274</v>
          </cell>
          <cell r="K344">
            <v>20</v>
          </cell>
          <cell r="L344">
            <v>2000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20</v>
          </cell>
          <cell r="AD344">
            <v>6</v>
          </cell>
          <cell r="AE344" t="str">
            <v>everyone</v>
          </cell>
        </row>
        <row r="345">
          <cell r="A345" t="str">
            <v>30003_3</v>
          </cell>
          <cell r="B345">
            <v>3</v>
          </cell>
          <cell r="C345">
            <v>30003</v>
          </cell>
          <cell r="D345" t="str">
            <v>打ち下ろされる砕棒</v>
          </cell>
          <cell r="E345" t="str">
            <v>ドロップイベント1-3（マルチ専用）</v>
          </cell>
          <cell r="F345">
            <v>3</v>
          </cell>
          <cell r="G345" t="str">
            <v>ja</v>
          </cell>
          <cell r="H345" t="str">
            <v xml:space="preserve">【超級】打ち下ろされる砕棒 </v>
          </cell>
          <cell r="I345" t="str">
            <v>超級</v>
          </cell>
          <cell r="J345">
            <v>275</v>
          </cell>
          <cell r="K345">
            <v>30</v>
          </cell>
          <cell r="L345">
            <v>3300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20</v>
          </cell>
          <cell r="AD345">
            <v>6</v>
          </cell>
          <cell r="AE345" t="str">
            <v>everyone</v>
          </cell>
        </row>
        <row r="346">
          <cell r="A346" t="str">
            <v>30004_1</v>
          </cell>
          <cell r="B346">
            <v>3</v>
          </cell>
          <cell r="C346">
            <v>30004</v>
          </cell>
          <cell r="D346" t="str">
            <v>危険な仲裁者</v>
          </cell>
          <cell r="E346" t="str">
            <v>ドロップイベント1-4（マルチ専用）</v>
          </cell>
          <cell r="F346">
            <v>1</v>
          </cell>
          <cell r="G346" t="str">
            <v>ja</v>
          </cell>
          <cell r="H346" t="str">
            <v xml:space="preserve">【中級】危険な仲裁者 </v>
          </cell>
          <cell r="I346" t="str">
            <v>中級</v>
          </cell>
          <cell r="J346">
            <v>276</v>
          </cell>
          <cell r="K346">
            <v>15</v>
          </cell>
          <cell r="L346">
            <v>1200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30004_2</v>
          </cell>
          <cell r="B347">
            <v>3</v>
          </cell>
          <cell r="C347">
            <v>30004</v>
          </cell>
          <cell r="D347" t="str">
            <v>危険な仲裁者</v>
          </cell>
          <cell r="E347" t="str">
            <v>ドロップイベント1-4（マルチ専用）</v>
          </cell>
          <cell r="F347">
            <v>2</v>
          </cell>
          <cell r="G347" t="str">
            <v>ja</v>
          </cell>
          <cell r="H347" t="str">
            <v xml:space="preserve">【上級】危険な仲裁者 </v>
          </cell>
          <cell r="I347" t="str">
            <v>上級</v>
          </cell>
          <cell r="J347">
            <v>276</v>
          </cell>
          <cell r="K347">
            <v>20</v>
          </cell>
          <cell r="L347">
            <v>2000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14</v>
          </cell>
          <cell r="AD347">
            <v>6</v>
          </cell>
          <cell r="AE347" t="str">
            <v>everyone</v>
          </cell>
        </row>
        <row r="348">
          <cell r="A348" t="str">
            <v>30004_3</v>
          </cell>
          <cell r="B348">
            <v>3</v>
          </cell>
          <cell r="C348">
            <v>30004</v>
          </cell>
          <cell r="D348" t="str">
            <v>危険な仲裁者</v>
          </cell>
          <cell r="E348" t="str">
            <v>ドロップイベント1-4（マルチ専用）</v>
          </cell>
          <cell r="F348">
            <v>3</v>
          </cell>
          <cell r="G348" t="str">
            <v>ja</v>
          </cell>
          <cell r="H348" t="str">
            <v xml:space="preserve">【超級】危険な仲裁者 </v>
          </cell>
          <cell r="I348" t="str">
            <v>超級</v>
          </cell>
          <cell r="J348">
            <v>277</v>
          </cell>
          <cell r="K348">
            <v>30</v>
          </cell>
          <cell r="L348">
            <v>3300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30005_1</v>
          </cell>
          <cell r="B349">
            <v>3</v>
          </cell>
          <cell r="C349">
            <v>30005</v>
          </cell>
          <cell r="D349" t="str">
            <v>ニンゲンにしてあげる☆</v>
          </cell>
          <cell r="E349" t="str">
            <v>ドロップイベント2-1（マルチ専用）</v>
          </cell>
          <cell r="F349">
            <v>1</v>
          </cell>
          <cell r="G349" t="str">
            <v>ja</v>
          </cell>
          <cell r="H349" t="str">
            <v xml:space="preserve">【中級】ニンゲンにしてあげる </v>
          </cell>
          <cell r="I349" t="str">
            <v>中級</v>
          </cell>
          <cell r="J349">
            <v>290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11</v>
          </cell>
          <cell r="AD349">
            <v>6</v>
          </cell>
          <cell r="AE349" t="str">
            <v>everyone</v>
          </cell>
        </row>
        <row r="350">
          <cell r="A350" t="str">
            <v>30005_2</v>
          </cell>
          <cell r="B350">
            <v>3</v>
          </cell>
          <cell r="C350">
            <v>30005</v>
          </cell>
          <cell r="D350" t="str">
            <v>ニンゲンにしてあげる☆</v>
          </cell>
          <cell r="E350" t="str">
            <v>ドロップイベント2-1（マルチ専用）</v>
          </cell>
          <cell r="F350">
            <v>2</v>
          </cell>
          <cell r="G350" t="str">
            <v>ja</v>
          </cell>
          <cell r="H350" t="str">
            <v xml:space="preserve">【上級】ニンゲンにしてあげる </v>
          </cell>
          <cell r="I350" t="str">
            <v>上級</v>
          </cell>
          <cell r="J350">
            <v>290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11</v>
          </cell>
          <cell r="AD350">
            <v>6</v>
          </cell>
          <cell r="AE350" t="str">
            <v>everyone</v>
          </cell>
        </row>
        <row r="351">
          <cell r="A351" t="str">
            <v>30005_3</v>
          </cell>
          <cell r="B351">
            <v>3</v>
          </cell>
          <cell r="C351">
            <v>30005</v>
          </cell>
          <cell r="D351" t="str">
            <v>ニンゲンにしてあげる☆</v>
          </cell>
          <cell r="E351" t="str">
            <v>ドロップイベント2-1（マルチ専用）</v>
          </cell>
          <cell r="F351">
            <v>3</v>
          </cell>
          <cell r="G351" t="str">
            <v>ja</v>
          </cell>
          <cell r="H351" t="str">
            <v>【超級】ニンゲンにしてあげる</v>
          </cell>
          <cell r="I351" t="str">
            <v>超級</v>
          </cell>
          <cell r="J351">
            <v>291</v>
          </cell>
          <cell r="K351">
            <v>30</v>
          </cell>
          <cell r="L351">
            <v>3300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11</v>
          </cell>
          <cell r="AD351">
            <v>6</v>
          </cell>
          <cell r="AE351" t="str">
            <v>everyone</v>
          </cell>
        </row>
        <row r="352">
          <cell r="A352" t="str">
            <v>30006_1</v>
          </cell>
          <cell r="B352">
            <v>3</v>
          </cell>
          <cell r="C352">
            <v>30006</v>
          </cell>
          <cell r="D352" t="str">
            <v>それはお前を食べるためさ</v>
          </cell>
          <cell r="E352" t="str">
            <v>ドロップイベント2-3（マルチ専用）</v>
          </cell>
          <cell r="F352">
            <v>1</v>
          </cell>
          <cell r="G352" t="str">
            <v>ja</v>
          </cell>
          <cell r="H352" t="str">
            <v>【中級】それはお前を食べるためさ</v>
          </cell>
          <cell r="I352" t="str">
            <v>中級</v>
          </cell>
          <cell r="J352">
            <v>294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7</v>
          </cell>
          <cell r="AD352">
            <v>6</v>
          </cell>
          <cell r="AE352" t="str">
            <v>everyone</v>
          </cell>
        </row>
        <row r="353">
          <cell r="A353" t="str">
            <v>30006_2</v>
          </cell>
          <cell r="B353">
            <v>3</v>
          </cell>
          <cell r="C353">
            <v>30006</v>
          </cell>
          <cell r="D353" t="str">
            <v>それはお前を食べるためさ</v>
          </cell>
          <cell r="E353" t="str">
            <v>ドロップイベント2-3（マルチ専用）</v>
          </cell>
          <cell r="F353">
            <v>2</v>
          </cell>
          <cell r="G353" t="str">
            <v>ja</v>
          </cell>
          <cell r="H353" t="str">
            <v>【上級】それはお前を食べるためさ</v>
          </cell>
          <cell r="I353" t="str">
            <v>上級</v>
          </cell>
          <cell r="J353">
            <v>294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7</v>
          </cell>
          <cell r="AD353">
            <v>6</v>
          </cell>
          <cell r="AE353" t="str">
            <v>everyone</v>
          </cell>
        </row>
        <row r="354">
          <cell r="A354" t="str">
            <v>30006_3</v>
          </cell>
          <cell r="B354">
            <v>3</v>
          </cell>
          <cell r="C354">
            <v>30006</v>
          </cell>
          <cell r="D354" t="str">
            <v>それはお前を食べるためさ</v>
          </cell>
          <cell r="E354" t="str">
            <v>ドロップイベント2-3（マルチ専用）</v>
          </cell>
          <cell r="F354">
            <v>3</v>
          </cell>
          <cell r="G354" t="str">
            <v>ja</v>
          </cell>
          <cell r="H354" t="str">
            <v>【超級】それはお前を食べるためさ</v>
          </cell>
          <cell r="I354" t="str">
            <v>超級</v>
          </cell>
          <cell r="J354">
            <v>295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7</v>
          </cell>
          <cell r="AD354">
            <v>6</v>
          </cell>
          <cell r="AE354" t="str">
            <v>everyone</v>
          </cell>
        </row>
        <row r="355">
          <cell r="A355" t="str">
            <v>30007_1</v>
          </cell>
          <cell r="B355">
            <v>3</v>
          </cell>
          <cell r="C355">
            <v>30007</v>
          </cell>
          <cell r="D355" t="str">
            <v>ガラスの靴は私のもの</v>
          </cell>
          <cell r="E355" t="str">
            <v>ドロップイベント2-2（マルチ専用）</v>
          </cell>
          <cell r="F355">
            <v>1</v>
          </cell>
          <cell r="G355" t="str">
            <v>ja</v>
          </cell>
          <cell r="H355" t="str">
            <v xml:space="preserve">【中級】ガラスの靴は私のもの </v>
          </cell>
          <cell r="I355" t="str">
            <v>中級</v>
          </cell>
          <cell r="J355">
            <v>292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9</v>
          </cell>
          <cell r="AD355">
            <v>6</v>
          </cell>
          <cell r="AE355" t="str">
            <v>everyone</v>
          </cell>
        </row>
        <row r="356">
          <cell r="A356" t="str">
            <v>30007_2</v>
          </cell>
          <cell r="B356">
            <v>3</v>
          </cell>
          <cell r="C356">
            <v>30007</v>
          </cell>
          <cell r="D356" t="str">
            <v>ガラスの靴は私のもの</v>
          </cell>
          <cell r="E356" t="str">
            <v>ドロップイベント2-2（マルチ専用）</v>
          </cell>
          <cell r="F356">
            <v>2</v>
          </cell>
          <cell r="G356" t="str">
            <v>ja</v>
          </cell>
          <cell r="H356" t="str">
            <v>【上級】ガラスの靴は私のもの</v>
          </cell>
          <cell r="I356" t="str">
            <v>上級</v>
          </cell>
          <cell r="J356">
            <v>292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9</v>
          </cell>
          <cell r="AD356">
            <v>6</v>
          </cell>
          <cell r="AE356" t="str">
            <v>everyone</v>
          </cell>
        </row>
        <row r="357">
          <cell r="A357" t="str">
            <v>30007_3</v>
          </cell>
          <cell r="B357">
            <v>3</v>
          </cell>
          <cell r="C357">
            <v>30007</v>
          </cell>
          <cell r="D357" t="str">
            <v>ガラスの靴は私のもの</v>
          </cell>
          <cell r="E357" t="str">
            <v>ドロップイベント2-2（マルチ専用）</v>
          </cell>
          <cell r="F357">
            <v>3</v>
          </cell>
          <cell r="G357" t="str">
            <v>ja</v>
          </cell>
          <cell r="H357" t="str">
            <v xml:space="preserve">【超級】ガラスの靴は私のもの </v>
          </cell>
          <cell r="I357" t="str">
            <v>超級</v>
          </cell>
          <cell r="J357">
            <v>293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9</v>
          </cell>
          <cell r="AD357">
            <v>6</v>
          </cell>
          <cell r="AE357" t="str">
            <v>everyone</v>
          </cell>
        </row>
        <row r="358">
          <cell r="A358" t="str">
            <v>30008_1</v>
          </cell>
          <cell r="B358">
            <v>3</v>
          </cell>
          <cell r="C358">
            <v>30008</v>
          </cell>
          <cell r="D358" t="str">
            <v>わたしの嫁を返してもらおう</v>
          </cell>
          <cell r="E358" t="str">
            <v>ドロップイベント2-4（マルチ専用）</v>
          </cell>
          <cell r="F358">
            <v>1</v>
          </cell>
          <cell r="G358" t="str">
            <v>ja</v>
          </cell>
          <cell r="H358" t="str">
            <v>【中級】わたしの嫁を返してもらおう</v>
          </cell>
          <cell r="I358" t="str">
            <v>中級</v>
          </cell>
          <cell r="J358">
            <v>288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22</v>
          </cell>
          <cell r="AD358">
            <v>6</v>
          </cell>
          <cell r="AE358" t="str">
            <v>everyone</v>
          </cell>
        </row>
        <row r="359">
          <cell r="A359" t="str">
            <v>30008_2</v>
          </cell>
          <cell r="B359">
            <v>3</v>
          </cell>
          <cell r="C359">
            <v>30008</v>
          </cell>
          <cell r="D359" t="str">
            <v>わたしの嫁を返してもらおう</v>
          </cell>
          <cell r="E359" t="str">
            <v>ドロップイベント2-4（マルチ専用）</v>
          </cell>
          <cell r="F359">
            <v>2</v>
          </cell>
          <cell r="G359" t="str">
            <v>ja</v>
          </cell>
          <cell r="H359" t="str">
            <v>【上級】わたしの嫁を返してもらおう</v>
          </cell>
          <cell r="I359" t="str">
            <v>上級</v>
          </cell>
          <cell r="J359">
            <v>288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22</v>
          </cell>
          <cell r="AD359">
            <v>6</v>
          </cell>
          <cell r="AE359" t="str">
            <v>everyone</v>
          </cell>
        </row>
        <row r="360">
          <cell r="A360" t="str">
            <v>30008_3</v>
          </cell>
          <cell r="B360">
            <v>3</v>
          </cell>
          <cell r="C360">
            <v>30008</v>
          </cell>
          <cell r="D360" t="str">
            <v>わたしの嫁を返してもらおう</v>
          </cell>
          <cell r="E360" t="str">
            <v>ドロップイベント2-4（マルチ専用）</v>
          </cell>
          <cell r="F360">
            <v>3</v>
          </cell>
          <cell r="G360" t="str">
            <v>ja</v>
          </cell>
          <cell r="H360" t="str">
            <v>【超級】わたしの嫁を返してもらおう</v>
          </cell>
          <cell r="I360" t="str">
            <v>超級</v>
          </cell>
          <cell r="J360">
            <v>289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22</v>
          </cell>
          <cell r="AD360">
            <v>6</v>
          </cell>
          <cell r="AE360" t="str">
            <v>everyone</v>
          </cell>
        </row>
        <row r="361">
          <cell r="A361" t="str">
            <v>30009_3</v>
          </cell>
          <cell r="B361">
            <v>0</v>
          </cell>
          <cell r="C361">
            <v>30009</v>
          </cell>
          <cell r="D361" t="str">
            <v>復活の捕食者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【上級】復活の捕食者</v>
          </cell>
          <cell r="I361" t="str">
            <v>上級</v>
          </cell>
          <cell r="J361">
            <v>312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8</v>
          </cell>
          <cell r="AD361">
            <v>6</v>
          </cell>
          <cell r="AE361" t="str">
            <v>everyone</v>
          </cell>
        </row>
        <row r="362">
          <cell r="A362" t="str">
            <v>30009_1</v>
          </cell>
          <cell r="B362">
            <v>3</v>
          </cell>
          <cell r="C362">
            <v>30009</v>
          </cell>
          <cell r="D362" t="str">
            <v>復活の捕食者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【超級】復活の捕食者</v>
          </cell>
          <cell r="I362" t="str">
            <v>超級</v>
          </cell>
          <cell r="J362">
            <v>312</v>
          </cell>
          <cell r="K362">
            <v>30</v>
          </cell>
          <cell r="L362">
            <v>3300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2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8</v>
          </cell>
          <cell r="AD362">
            <v>6</v>
          </cell>
          <cell r="AE362" t="str">
            <v>everyone</v>
          </cell>
        </row>
        <row r="363">
          <cell r="A363" t="str">
            <v>30009_2</v>
          </cell>
          <cell r="B363">
            <v>3</v>
          </cell>
          <cell r="C363">
            <v>30009</v>
          </cell>
          <cell r="D363" t="str">
            <v>復活の捕食者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【超絶級】復活の捕食者</v>
          </cell>
          <cell r="I363" t="str">
            <v>超絶級</v>
          </cell>
          <cell r="J363">
            <v>312</v>
          </cell>
          <cell r="K363">
            <v>35</v>
          </cell>
          <cell r="L363">
            <v>4200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8</v>
          </cell>
          <cell r="AD363">
            <v>6</v>
          </cell>
          <cell r="AE363" t="str">
            <v>everyone</v>
          </cell>
        </row>
        <row r="364">
          <cell r="A364" t="str">
            <v>30010_1</v>
          </cell>
          <cell r="B364">
            <v>3</v>
          </cell>
          <cell r="C364">
            <v>30010</v>
          </cell>
          <cell r="D364" t="str">
            <v>最大最凶</v>
          </cell>
          <cell r="E364" t="str">
            <v>ドロップイベント3（マルチ専用）</v>
          </cell>
          <cell r="F364">
            <v>1</v>
          </cell>
          <cell r="G364" t="str">
            <v>ja</v>
          </cell>
          <cell r="H364" t="str">
            <v>【上級】最大最凶</v>
          </cell>
          <cell r="I364" t="str">
            <v>上級</v>
          </cell>
          <cell r="J364">
            <v>306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2</v>
          </cell>
          <cell r="AD364">
            <v>7</v>
          </cell>
          <cell r="AE364" t="str">
            <v>everyone</v>
          </cell>
        </row>
        <row r="365">
          <cell r="A365" t="str">
            <v>30010_2</v>
          </cell>
          <cell r="B365">
            <v>3</v>
          </cell>
          <cell r="C365">
            <v>30010</v>
          </cell>
          <cell r="D365" t="str">
            <v>最大最凶</v>
          </cell>
          <cell r="E365" t="str">
            <v>ドロップイベント3（マルチ専用）</v>
          </cell>
          <cell r="F365">
            <v>2</v>
          </cell>
          <cell r="G365" t="str">
            <v>ja</v>
          </cell>
          <cell r="H365" t="str">
            <v>【超級】最大最凶</v>
          </cell>
          <cell r="I365" t="str">
            <v>超級</v>
          </cell>
          <cell r="J365">
            <v>306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2</v>
          </cell>
          <cell r="AD365">
            <v>7</v>
          </cell>
          <cell r="AE365" t="str">
            <v>everyone</v>
          </cell>
        </row>
        <row r="366">
          <cell r="A366" t="str">
            <v>30010_3</v>
          </cell>
          <cell r="B366">
            <v>3</v>
          </cell>
          <cell r="C366">
            <v>30010</v>
          </cell>
          <cell r="D366" t="str">
            <v>最大最凶</v>
          </cell>
          <cell r="E366" t="str">
            <v>ドロップイベント3（マルチ専用）</v>
          </cell>
          <cell r="F366">
            <v>3</v>
          </cell>
          <cell r="G366" t="str">
            <v>ja</v>
          </cell>
          <cell r="H366" t="str">
            <v>【超絶級】最大最凶</v>
          </cell>
          <cell r="I366" t="str">
            <v>超絶級</v>
          </cell>
          <cell r="J366">
            <v>306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2</v>
          </cell>
          <cell r="AD366">
            <v>7</v>
          </cell>
          <cell r="AE366" t="str">
            <v>everyone</v>
          </cell>
        </row>
        <row r="367">
          <cell r="A367" t="str">
            <v>30011_1</v>
          </cell>
          <cell r="B367">
            <v>3</v>
          </cell>
          <cell r="C367">
            <v>30011</v>
          </cell>
          <cell r="D367" t="str">
            <v>気怠い巨読者</v>
          </cell>
          <cell r="E367" t="str">
            <v>ドロップイベント3（マルチ専用）</v>
          </cell>
          <cell r="F367">
            <v>1</v>
          </cell>
          <cell r="G367" t="str">
            <v>ja</v>
          </cell>
          <cell r="H367" t="str">
            <v>【上級】気怠い巨読者</v>
          </cell>
          <cell r="I367" t="str">
            <v>上級</v>
          </cell>
          <cell r="J367">
            <v>308</v>
          </cell>
          <cell r="K367">
            <v>20</v>
          </cell>
          <cell r="L367">
            <v>2000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2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30011_2</v>
          </cell>
          <cell r="B368">
            <v>3</v>
          </cell>
          <cell r="C368">
            <v>30011</v>
          </cell>
          <cell r="D368" t="str">
            <v>気怠い巨読者</v>
          </cell>
          <cell r="E368" t="str">
            <v>ドロップイベント3（マルチ専用）</v>
          </cell>
          <cell r="F368">
            <v>2</v>
          </cell>
          <cell r="G368" t="str">
            <v>ja</v>
          </cell>
          <cell r="H368" t="str">
            <v>【超級】気怠い巨読者</v>
          </cell>
          <cell r="I368" t="str">
            <v>超級</v>
          </cell>
          <cell r="J368">
            <v>308</v>
          </cell>
          <cell r="K368">
            <v>30</v>
          </cell>
          <cell r="L368">
            <v>3300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2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19</v>
          </cell>
          <cell r="AD368">
            <v>6</v>
          </cell>
          <cell r="AE368" t="str">
            <v>everyone</v>
          </cell>
        </row>
        <row r="369">
          <cell r="A369" t="str">
            <v>30011_3</v>
          </cell>
          <cell r="B369">
            <v>3</v>
          </cell>
          <cell r="C369">
            <v>30011</v>
          </cell>
          <cell r="D369" t="str">
            <v>気怠い巨読者</v>
          </cell>
          <cell r="E369" t="str">
            <v>ドロップイベント3（マルチ専用）</v>
          </cell>
          <cell r="F369">
            <v>3</v>
          </cell>
          <cell r="G369" t="str">
            <v>ja</v>
          </cell>
          <cell r="H369" t="str">
            <v>【超絶級】気怠い巨読者</v>
          </cell>
          <cell r="I369" t="str">
            <v>超絶級</v>
          </cell>
          <cell r="J369">
            <v>309</v>
          </cell>
          <cell r="K369">
            <v>35</v>
          </cell>
          <cell r="L369">
            <v>4200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6</v>
          </cell>
          <cell r="AE369" t="str">
            <v>everyone</v>
          </cell>
        </row>
        <row r="370">
          <cell r="A370" t="str">
            <v>30012_1</v>
          </cell>
          <cell r="B370">
            <v>3</v>
          </cell>
          <cell r="C370">
            <v>30012</v>
          </cell>
          <cell r="D370" t="str">
            <v>底なしの胃袋</v>
          </cell>
          <cell r="E370" t="str">
            <v>ドロップイベント3（マルチ専用）</v>
          </cell>
          <cell r="F370">
            <v>1</v>
          </cell>
          <cell r="G370" t="str">
            <v>ja</v>
          </cell>
          <cell r="H370" t="str">
            <v>【上級】底なしの胃袋</v>
          </cell>
          <cell r="I370" t="str">
            <v>上級</v>
          </cell>
          <cell r="J370">
            <v>310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0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5</v>
          </cell>
          <cell r="AD370">
            <v>6</v>
          </cell>
          <cell r="AE370" t="str">
            <v>everyone</v>
          </cell>
        </row>
        <row r="371">
          <cell r="A371" t="str">
            <v>30012_2</v>
          </cell>
          <cell r="B371">
            <v>3</v>
          </cell>
          <cell r="C371">
            <v>30012</v>
          </cell>
          <cell r="D371" t="str">
            <v>底なしの胃袋</v>
          </cell>
          <cell r="E371" t="str">
            <v>ドロップイベント3（マルチ専用）</v>
          </cell>
          <cell r="F371">
            <v>2</v>
          </cell>
          <cell r="G371" t="str">
            <v>ja</v>
          </cell>
          <cell r="H371" t="str">
            <v>【超級】底なしの胃袋</v>
          </cell>
          <cell r="I371" t="str">
            <v>超級</v>
          </cell>
          <cell r="J371">
            <v>310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0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5</v>
          </cell>
          <cell r="AD371">
            <v>6</v>
          </cell>
          <cell r="AE371" t="str">
            <v>everyone</v>
          </cell>
        </row>
        <row r="372">
          <cell r="A372" t="str">
            <v>30012_3</v>
          </cell>
          <cell r="B372">
            <v>3</v>
          </cell>
          <cell r="C372">
            <v>30012</v>
          </cell>
          <cell r="D372" t="str">
            <v>底なしの胃袋</v>
          </cell>
          <cell r="E372" t="str">
            <v>ドロップイベント3（マルチ専用）</v>
          </cell>
          <cell r="F372">
            <v>3</v>
          </cell>
          <cell r="G372" t="str">
            <v>ja</v>
          </cell>
          <cell r="H372" t="str">
            <v>【超絶級】底なしの胃袋</v>
          </cell>
          <cell r="I372" t="str">
            <v>超絶級</v>
          </cell>
          <cell r="J372">
            <v>310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5</v>
          </cell>
          <cell r="AD372">
            <v>6</v>
          </cell>
          <cell r="AE372" t="str">
            <v>everyone</v>
          </cell>
        </row>
        <row r="373">
          <cell r="A373" t="str">
            <v>30013_1</v>
          </cell>
          <cell r="B373">
            <v>3</v>
          </cell>
          <cell r="C373">
            <v>30013</v>
          </cell>
          <cell r="D373" t="str">
            <v>決戦・竜宮城</v>
          </cell>
          <cell r="E373" t="str">
            <v>ドロップイベント4（マルチ専用）</v>
          </cell>
          <cell r="F373">
            <v>1</v>
          </cell>
          <cell r="G373" t="str">
            <v>ja</v>
          </cell>
          <cell r="H373" t="str">
            <v>【超級】決戦・竜宮城</v>
          </cell>
          <cell r="I373" t="str">
            <v>超級</v>
          </cell>
          <cell r="J373">
            <v>418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30013_2</v>
          </cell>
          <cell r="B374">
            <v>3</v>
          </cell>
          <cell r="C374">
            <v>30013</v>
          </cell>
          <cell r="D374" t="str">
            <v>決戦・竜宮城</v>
          </cell>
          <cell r="E374" t="str">
            <v>ドロップイベント4（マルチ専用）</v>
          </cell>
          <cell r="F374">
            <v>2</v>
          </cell>
          <cell r="G374" t="str">
            <v>ja</v>
          </cell>
          <cell r="H374" t="str">
            <v>【超絶級】決戦・竜宮城</v>
          </cell>
          <cell r="I374" t="str">
            <v>超絶級</v>
          </cell>
          <cell r="J374">
            <v>419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30014_1</v>
          </cell>
          <cell r="B375">
            <v>3</v>
          </cell>
          <cell r="C375">
            <v>30014</v>
          </cell>
          <cell r="D375" t="str">
            <v>親指を突き立てろ！</v>
          </cell>
          <cell r="E375" t="str">
            <v>ドロップイベント4（マルチ専用）</v>
          </cell>
          <cell r="F375">
            <v>1</v>
          </cell>
          <cell r="G375" t="str">
            <v>ja</v>
          </cell>
          <cell r="H375" t="str">
            <v>【超級】親指を突き立てろ！</v>
          </cell>
          <cell r="I375" t="str">
            <v>超級</v>
          </cell>
          <cell r="J375">
            <v>420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23</v>
          </cell>
          <cell r="AD375">
            <v>5</v>
          </cell>
          <cell r="AE375" t="str">
            <v>everyone</v>
          </cell>
        </row>
        <row r="376">
          <cell r="A376" t="str">
            <v>30014_2</v>
          </cell>
          <cell r="B376">
            <v>3</v>
          </cell>
          <cell r="C376">
            <v>30014</v>
          </cell>
          <cell r="D376" t="str">
            <v>親指を突き立てろ！</v>
          </cell>
          <cell r="E376" t="str">
            <v>ドロップイベント4（マルチ専用）</v>
          </cell>
          <cell r="F376">
            <v>2</v>
          </cell>
          <cell r="G376" t="str">
            <v>ja</v>
          </cell>
          <cell r="H376" t="str">
            <v>【超絶級】親指を突き立てろ！</v>
          </cell>
          <cell r="I376" t="str">
            <v>超絶級</v>
          </cell>
          <cell r="J376">
            <v>421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23</v>
          </cell>
          <cell r="AD376">
            <v>5</v>
          </cell>
          <cell r="AE376" t="str">
            <v>everyone</v>
          </cell>
        </row>
        <row r="377">
          <cell r="A377" t="str">
            <v>30015_1</v>
          </cell>
          <cell r="B377">
            <v>3</v>
          </cell>
          <cell r="C377">
            <v>30015</v>
          </cell>
          <cell r="D377" t="str">
            <v>兄妹の大冒険</v>
          </cell>
          <cell r="E377" t="str">
            <v>ドロップイベント4（マルチ専用）</v>
          </cell>
          <cell r="F377">
            <v>1</v>
          </cell>
          <cell r="G377" t="str">
            <v>ja</v>
          </cell>
          <cell r="H377" t="str">
            <v>【超級】兄妹の大冒険</v>
          </cell>
          <cell r="I377" t="str">
            <v>超級</v>
          </cell>
          <cell r="J377">
            <v>422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16</v>
          </cell>
          <cell r="AD377">
            <v>6</v>
          </cell>
          <cell r="AE377" t="str">
            <v>everyone</v>
          </cell>
        </row>
        <row r="378">
          <cell r="A378" t="str">
            <v>30015_2</v>
          </cell>
          <cell r="B378">
            <v>3</v>
          </cell>
          <cell r="C378">
            <v>30015</v>
          </cell>
          <cell r="D378" t="str">
            <v>兄妹の大冒険</v>
          </cell>
          <cell r="E378" t="str">
            <v>ドロップイベント4（マルチ専用）</v>
          </cell>
          <cell r="F378">
            <v>2</v>
          </cell>
          <cell r="G378" t="str">
            <v>ja</v>
          </cell>
          <cell r="H378" t="str">
            <v>【超絶級】兄妹の大冒険</v>
          </cell>
          <cell r="I378" t="str">
            <v>超絶級</v>
          </cell>
          <cell r="J378">
            <v>423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16</v>
          </cell>
          <cell r="AD378">
            <v>6</v>
          </cell>
          <cell r="AE378" t="str">
            <v>everyone</v>
          </cell>
        </row>
        <row r="379">
          <cell r="A379" t="str">
            <v>30016_1</v>
          </cell>
          <cell r="B379">
            <v>3</v>
          </cell>
          <cell r="C379">
            <v>30016</v>
          </cell>
          <cell r="D379" t="str">
            <v>私がワニの天敵よ？</v>
          </cell>
          <cell r="E379" t="str">
            <v>ドロップイベント4（マルチ専用）</v>
          </cell>
          <cell r="F379">
            <v>1</v>
          </cell>
          <cell r="G379" t="str">
            <v>ja</v>
          </cell>
          <cell r="H379" t="str">
            <v>【超級】私がワニの天敵よ？</v>
          </cell>
          <cell r="I379" t="str">
            <v>超級</v>
          </cell>
          <cell r="J379">
            <v>424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4</v>
          </cell>
          <cell r="AD379">
            <v>6</v>
          </cell>
          <cell r="AE379" t="str">
            <v>everyone</v>
          </cell>
        </row>
        <row r="380">
          <cell r="A380" t="str">
            <v>30016_2</v>
          </cell>
          <cell r="B380">
            <v>3</v>
          </cell>
          <cell r="C380">
            <v>30016</v>
          </cell>
          <cell r="D380" t="str">
            <v>私がワニの天敵よ？</v>
          </cell>
          <cell r="E380" t="str">
            <v>ドロップイベント4（マルチ専用）</v>
          </cell>
          <cell r="F380">
            <v>2</v>
          </cell>
          <cell r="G380" t="str">
            <v>ja</v>
          </cell>
          <cell r="H380" t="str">
            <v>【超絶級】私がワニの天敵よ？</v>
          </cell>
          <cell r="I380" t="str">
            <v>超絶級</v>
          </cell>
          <cell r="J380">
            <v>425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4</v>
          </cell>
          <cell r="AD380">
            <v>6</v>
          </cell>
          <cell r="AE380" t="str">
            <v>everyone</v>
          </cell>
        </row>
        <row r="381">
          <cell r="A381" t="str">
            <v>30017_1</v>
          </cell>
          <cell r="B381">
            <v>3</v>
          </cell>
          <cell r="C381">
            <v>30017</v>
          </cell>
          <cell r="D381" t="str">
            <v>狩人の挽歌</v>
          </cell>
          <cell r="E381" t="str">
            <v>ドロップイベント5（マルチ専用）</v>
          </cell>
          <cell r="F381">
            <v>1</v>
          </cell>
          <cell r="G381" t="str">
            <v>ja</v>
          </cell>
          <cell r="H381" t="str">
            <v>【超級】狩人の挽歌</v>
          </cell>
          <cell r="I381" t="str">
            <v>超級</v>
          </cell>
          <cell r="J381">
            <v>452</v>
          </cell>
          <cell r="K381">
            <v>30</v>
          </cell>
          <cell r="L381">
            <v>3300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20</v>
          </cell>
          <cell r="AD381">
            <v>6</v>
          </cell>
          <cell r="AE381" t="str">
            <v>multionly</v>
          </cell>
        </row>
        <row r="382">
          <cell r="A382" t="str">
            <v>30017_2</v>
          </cell>
          <cell r="B382">
            <v>3</v>
          </cell>
          <cell r="C382">
            <v>30017</v>
          </cell>
          <cell r="D382" t="str">
            <v>狩人の挽歌</v>
          </cell>
          <cell r="E382" t="str">
            <v>ドロップイベント5（マルチ専用）</v>
          </cell>
          <cell r="F382">
            <v>2</v>
          </cell>
          <cell r="G382" t="str">
            <v>ja</v>
          </cell>
          <cell r="H382" t="str">
            <v>【超絶級】狩人の挽歌</v>
          </cell>
          <cell r="I382" t="str">
            <v>超絶級</v>
          </cell>
          <cell r="J382">
            <v>453</v>
          </cell>
          <cell r="K382">
            <v>35</v>
          </cell>
          <cell r="L382">
            <v>4200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20</v>
          </cell>
          <cell r="AD382">
            <v>6</v>
          </cell>
          <cell r="AE382" t="str">
            <v>multionly</v>
          </cell>
        </row>
        <row r="383">
          <cell r="A383" t="str">
            <v>30018_1</v>
          </cell>
          <cell r="B383">
            <v>3</v>
          </cell>
          <cell r="C383">
            <v>30018</v>
          </cell>
          <cell r="D383" t="str">
            <v>バックストリートファイト</v>
          </cell>
          <cell r="E383" t="str">
            <v>ドロップイベント5（マルチ専用）</v>
          </cell>
          <cell r="F383">
            <v>1</v>
          </cell>
          <cell r="G383" t="str">
            <v>ja</v>
          </cell>
          <cell r="H383" t="str">
            <v>【超級】バックストリートファイト</v>
          </cell>
          <cell r="I383" t="str">
            <v>超級</v>
          </cell>
          <cell r="J383">
            <v>454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0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14</v>
          </cell>
          <cell r="AD383">
            <v>6</v>
          </cell>
          <cell r="AE383" t="str">
            <v>everyone</v>
          </cell>
        </row>
        <row r="384">
          <cell r="A384" t="str">
            <v>30018_2</v>
          </cell>
          <cell r="B384">
            <v>3</v>
          </cell>
          <cell r="C384">
            <v>30018</v>
          </cell>
          <cell r="D384" t="str">
            <v>バックストリートファイト</v>
          </cell>
          <cell r="E384" t="str">
            <v>ドロップイベント5（マルチ専用）</v>
          </cell>
          <cell r="F384">
            <v>2</v>
          </cell>
          <cell r="G384" t="str">
            <v>ja</v>
          </cell>
          <cell r="H384" t="str">
            <v>【超絶級】バックストリートファイト</v>
          </cell>
          <cell r="I384" t="str">
            <v>超絶級</v>
          </cell>
          <cell r="J384">
            <v>455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0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14</v>
          </cell>
          <cell r="AD384">
            <v>6</v>
          </cell>
          <cell r="AE384" t="str">
            <v>everyone</v>
          </cell>
        </row>
        <row r="385">
          <cell r="A385" t="str">
            <v>30019_1</v>
          </cell>
          <cell r="B385">
            <v>3</v>
          </cell>
          <cell r="C385">
            <v>30019</v>
          </cell>
          <cell r="D385" t="str">
            <v>狙撃は終わらない</v>
          </cell>
          <cell r="E385" t="str">
            <v>ドロップイベント5（マルチ専用）</v>
          </cell>
          <cell r="F385">
            <v>1</v>
          </cell>
          <cell r="G385" t="str">
            <v>ja</v>
          </cell>
          <cell r="H385" t="str">
            <v>【超級】狙撃は終わらない</v>
          </cell>
          <cell r="I385" t="str">
            <v>超級</v>
          </cell>
          <cell r="J385">
            <v>456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24</v>
          </cell>
          <cell r="AD385">
            <v>6</v>
          </cell>
          <cell r="AE385" t="str">
            <v>multionly</v>
          </cell>
        </row>
        <row r="386">
          <cell r="A386" t="str">
            <v>30019_2</v>
          </cell>
          <cell r="B386">
            <v>3</v>
          </cell>
          <cell r="C386">
            <v>30019</v>
          </cell>
          <cell r="D386" t="str">
            <v>狙撃は終わらない</v>
          </cell>
          <cell r="E386" t="str">
            <v>ドロップイベント5（マルチ専用）</v>
          </cell>
          <cell r="F386">
            <v>2</v>
          </cell>
          <cell r="G386" t="str">
            <v>ja</v>
          </cell>
          <cell r="H386" t="str">
            <v>【超絶級】狙撃は終わらない</v>
          </cell>
          <cell r="I386" t="str">
            <v>超絶級</v>
          </cell>
          <cell r="J386">
            <v>457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24</v>
          </cell>
          <cell r="AD386">
            <v>6</v>
          </cell>
          <cell r="AE386" t="str">
            <v>multionly</v>
          </cell>
        </row>
        <row r="387">
          <cell r="A387" t="str">
            <v>30020_1</v>
          </cell>
          <cell r="B387">
            <v>3</v>
          </cell>
          <cell r="C387">
            <v>30020</v>
          </cell>
          <cell r="D387" t="str">
            <v>若造よ、身の程を知れ</v>
          </cell>
          <cell r="E387" t="str">
            <v>ドロップイベント5（マルチ専用）</v>
          </cell>
          <cell r="F387">
            <v>1</v>
          </cell>
          <cell r="G387" t="str">
            <v>ja</v>
          </cell>
          <cell r="H387" t="str">
            <v>【超級】若造よ、身の程を知れ</v>
          </cell>
          <cell r="I387" t="str">
            <v>超級</v>
          </cell>
          <cell r="J387">
            <v>458</v>
          </cell>
          <cell r="K387">
            <v>30</v>
          </cell>
          <cell r="L387">
            <v>3300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13</v>
          </cell>
          <cell r="AD387">
            <v>6</v>
          </cell>
          <cell r="AE387" t="str">
            <v>everyone</v>
          </cell>
        </row>
        <row r="388">
          <cell r="A388" t="str">
            <v>30020_2</v>
          </cell>
          <cell r="B388">
            <v>3</v>
          </cell>
          <cell r="C388">
            <v>30020</v>
          </cell>
          <cell r="D388" t="str">
            <v>若造よ、身の程を知れ</v>
          </cell>
          <cell r="E388" t="str">
            <v>ドロップイベント5（マルチ専用）</v>
          </cell>
          <cell r="F388">
            <v>2</v>
          </cell>
          <cell r="G388" t="str">
            <v>ja</v>
          </cell>
          <cell r="H388" t="str">
            <v>【超絶級】若造よ、身の程を知れ</v>
          </cell>
          <cell r="I388" t="str">
            <v>超絶級</v>
          </cell>
          <cell r="J388">
            <v>459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13</v>
          </cell>
          <cell r="AD388">
            <v>6</v>
          </cell>
          <cell r="AE388" t="str">
            <v>everyone</v>
          </cell>
        </row>
        <row r="389">
          <cell r="A389" t="str">
            <v>30021_1</v>
          </cell>
          <cell r="B389">
            <v>3</v>
          </cell>
          <cell r="C389">
            <v>30021</v>
          </cell>
          <cell r="D389" t="str">
            <v>野獣死すべしっ！</v>
          </cell>
          <cell r="E389" t="str">
            <v>ドロップイベント6（マルチ専用）</v>
          </cell>
          <cell r="F389">
            <v>1</v>
          </cell>
          <cell r="G389" t="str">
            <v>ja</v>
          </cell>
          <cell r="H389" t="str">
            <v>【中級】野獣死すべしっ！</v>
          </cell>
          <cell r="I389" t="str">
            <v>中級</v>
          </cell>
          <cell r="J389">
            <v>502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0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14</v>
          </cell>
          <cell r="AD389">
            <v>6</v>
          </cell>
          <cell r="AE389" t="str">
            <v>everyone</v>
          </cell>
        </row>
        <row r="390">
          <cell r="A390" t="str">
            <v>30021_2</v>
          </cell>
          <cell r="B390">
            <v>3</v>
          </cell>
          <cell r="C390">
            <v>30021</v>
          </cell>
          <cell r="D390" t="str">
            <v>野獣死すべしっ！</v>
          </cell>
          <cell r="E390" t="str">
            <v>ドロップイベント6（マルチ専用）</v>
          </cell>
          <cell r="F390">
            <v>2</v>
          </cell>
          <cell r="G390" t="str">
            <v>ja</v>
          </cell>
          <cell r="H390" t="str">
            <v>【上級】野獣死すべしっ！</v>
          </cell>
          <cell r="I390" t="str">
            <v>上級</v>
          </cell>
          <cell r="J390">
            <v>502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0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14</v>
          </cell>
          <cell r="AD390">
            <v>6</v>
          </cell>
          <cell r="AE390" t="str">
            <v>everyone</v>
          </cell>
        </row>
        <row r="391">
          <cell r="A391" t="str">
            <v>30021_3</v>
          </cell>
          <cell r="B391">
            <v>3</v>
          </cell>
          <cell r="C391">
            <v>30021</v>
          </cell>
          <cell r="D391" t="str">
            <v>野獣死すべしっ！</v>
          </cell>
          <cell r="E391" t="str">
            <v>ドロップイベント6（マルチ専用）</v>
          </cell>
          <cell r="F391">
            <v>3</v>
          </cell>
          <cell r="G391" t="str">
            <v>ja</v>
          </cell>
          <cell r="H391" t="str">
            <v>【超級】野獣死すべしっ！</v>
          </cell>
          <cell r="I391" t="str">
            <v>超級</v>
          </cell>
          <cell r="J391">
            <v>503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0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14</v>
          </cell>
          <cell r="AD391">
            <v>6</v>
          </cell>
          <cell r="AE391" t="str">
            <v>everyone</v>
          </cell>
        </row>
        <row r="392">
          <cell r="A392" t="str">
            <v>30022_1</v>
          </cell>
          <cell r="B392">
            <v>3</v>
          </cell>
          <cell r="C392">
            <v>30022</v>
          </cell>
          <cell r="D392" t="str">
            <v>凶鼠ネコを咬む</v>
          </cell>
          <cell r="E392" t="str">
            <v>ドロップイベント7（マルチ専用）</v>
          </cell>
          <cell r="F392">
            <v>1</v>
          </cell>
          <cell r="G392" t="str">
            <v>ja</v>
          </cell>
          <cell r="H392" t="str">
            <v>【超級】凶鼠ネコを咬む</v>
          </cell>
          <cell r="I392" t="str">
            <v>超級</v>
          </cell>
          <cell r="J392">
            <v>504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30022_2</v>
          </cell>
          <cell r="B393">
            <v>3</v>
          </cell>
          <cell r="C393">
            <v>30022</v>
          </cell>
          <cell r="D393" t="str">
            <v>凶鼠ネコを咬む</v>
          </cell>
          <cell r="E393" t="str">
            <v>ドロップイベント7（マルチ専用）</v>
          </cell>
          <cell r="F393">
            <v>2</v>
          </cell>
          <cell r="G393" t="str">
            <v>ja</v>
          </cell>
          <cell r="H393" t="str">
            <v>【超絶級】凶鼠ネコを咬む</v>
          </cell>
          <cell r="I393" t="str">
            <v>超絶級</v>
          </cell>
          <cell r="J393">
            <v>505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30023_1</v>
          </cell>
          <cell r="B394">
            <v>1</v>
          </cell>
          <cell r="C394">
            <v>30023</v>
          </cell>
          <cell r="D394" t="str">
            <v>隔離からのエスケイプ</v>
          </cell>
          <cell r="E394" t="str">
            <v>ドロップイベント8（マルチ専用）</v>
          </cell>
          <cell r="F394">
            <v>1</v>
          </cell>
          <cell r="G394" t="str">
            <v>ja</v>
          </cell>
          <cell r="H394" t="str">
            <v>【中級】隔離からのエスケイプ</v>
          </cell>
          <cell r="I394" t="str">
            <v>中級</v>
          </cell>
          <cell r="J394">
            <v>506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6</v>
          </cell>
          <cell r="AE394" t="str">
            <v>everyone</v>
          </cell>
        </row>
        <row r="395">
          <cell r="A395" t="str">
            <v>30023_2</v>
          </cell>
          <cell r="B395">
            <v>1</v>
          </cell>
          <cell r="C395">
            <v>30023</v>
          </cell>
          <cell r="D395" t="str">
            <v>隔離からのエスケイプ</v>
          </cell>
          <cell r="E395" t="str">
            <v>ドロップイベント8（マルチ専用）</v>
          </cell>
          <cell r="F395">
            <v>2</v>
          </cell>
          <cell r="G395" t="str">
            <v>ja</v>
          </cell>
          <cell r="H395" t="str">
            <v>【上級】隔離からのエスケイプ</v>
          </cell>
          <cell r="I395" t="str">
            <v>上級</v>
          </cell>
          <cell r="J395">
            <v>506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25</v>
          </cell>
          <cell r="AD395">
            <v>6</v>
          </cell>
          <cell r="AE395" t="str">
            <v>everyone</v>
          </cell>
        </row>
        <row r="396">
          <cell r="A396" t="str">
            <v>30023_3</v>
          </cell>
          <cell r="B396">
            <v>1</v>
          </cell>
          <cell r="C396">
            <v>30023</v>
          </cell>
          <cell r="D396" t="str">
            <v>隔離からのエスケイプ</v>
          </cell>
          <cell r="E396" t="str">
            <v>ドロップイベント8（マルチ専用）</v>
          </cell>
          <cell r="F396">
            <v>3</v>
          </cell>
          <cell r="G396" t="str">
            <v>ja</v>
          </cell>
          <cell r="H396" t="str">
            <v>【超級】隔離からのエスケイプ</v>
          </cell>
          <cell r="I396" t="str">
            <v>超級</v>
          </cell>
          <cell r="J396">
            <v>507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25</v>
          </cell>
          <cell r="AD396">
            <v>6</v>
          </cell>
          <cell r="AE396" t="str">
            <v>everyone</v>
          </cell>
        </row>
        <row r="397">
          <cell r="A397" t="str">
            <v>39001_1</v>
          </cell>
          <cell r="B397">
            <v>1</v>
          </cell>
          <cell r="C397">
            <v>39001</v>
          </cell>
          <cell r="D397" t="str">
            <v>雪の歌姫</v>
          </cell>
          <cell r="E397" t="str">
            <v>コラボクエスト</v>
          </cell>
          <cell r="F397">
            <v>1</v>
          </cell>
          <cell r="G397" t="str">
            <v>ja</v>
          </cell>
          <cell r="H397" t="str">
            <v>【初級】雪の歌姫</v>
          </cell>
          <cell r="I397" t="str">
            <v>初級</v>
          </cell>
          <cell r="J397">
            <v>1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14</v>
          </cell>
          <cell r="AD397">
            <v>6</v>
          </cell>
          <cell r="AE397" t="str">
            <v>everyone</v>
          </cell>
        </row>
        <row r="398">
          <cell r="A398" t="str">
            <v>39001_2</v>
          </cell>
          <cell r="B398">
            <v>1</v>
          </cell>
          <cell r="C398">
            <v>39001</v>
          </cell>
          <cell r="D398" t="str">
            <v>雪の歌姫</v>
          </cell>
          <cell r="E398" t="str">
            <v>コラボクエスト</v>
          </cell>
          <cell r="F398">
            <v>2</v>
          </cell>
          <cell r="G398" t="str">
            <v>ja</v>
          </cell>
          <cell r="H398" t="str">
            <v>【中級】雪の歌姫</v>
          </cell>
          <cell r="I398" t="str">
            <v>中級</v>
          </cell>
          <cell r="J398">
            <v>1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39001_3</v>
          </cell>
          <cell r="B399">
            <v>1</v>
          </cell>
          <cell r="C399">
            <v>39001</v>
          </cell>
          <cell r="D399" t="str">
            <v>雪の歌姫</v>
          </cell>
          <cell r="E399" t="str">
            <v>コラボクエスト</v>
          </cell>
          <cell r="F399">
            <v>3</v>
          </cell>
          <cell r="G399" t="str">
            <v>ja</v>
          </cell>
          <cell r="H399" t="str">
            <v>【上級】雪の歌姫</v>
          </cell>
          <cell r="I399" t="str">
            <v>上級</v>
          </cell>
          <cell r="J399">
            <v>1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14</v>
          </cell>
          <cell r="AD399">
            <v>6</v>
          </cell>
          <cell r="AE399" t="str">
            <v>everyone</v>
          </cell>
        </row>
        <row r="400">
          <cell r="A400" t="str">
            <v>39001_4</v>
          </cell>
          <cell r="B400">
            <v>1</v>
          </cell>
          <cell r="C400">
            <v>39001</v>
          </cell>
          <cell r="D400" t="str">
            <v>雪の歌姫</v>
          </cell>
          <cell r="E400" t="str">
            <v>コラボクエスト</v>
          </cell>
          <cell r="F400">
            <v>4</v>
          </cell>
          <cell r="G400" t="str">
            <v>ja</v>
          </cell>
          <cell r="H400" t="str">
            <v>【超級】雪の歌姫</v>
          </cell>
          <cell r="I400" t="str">
            <v>超級</v>
          </cell>
          <cell r="J400">
            <v>1</v>
          </cell>
          <cell r="K400">
            <v>30</v>
          </cell>
          <cell r="L400">
            <v>3300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39001_5</v>
          </cell>
          <cell r="B401">
            <v>1</v>
          </cell>
          <cell r="C401">
            <v>39001</v>
          </cell>
          <cell r="D401" t="str">
            <v>雪の歌姫</v>
          </cell>
          <cell r="E401" t="str">
            <v>コラボクエスト</v>
          </cell>
          <cell r="F401">
            <v>5</v>
          </cell>
          <cell r="G401" t="str">
            <v>ja</v>
          </cell>
          <cell r="H401" t="str">
            <v>【超絶級】雪の歌姫</v>
          </cell>
          <cell r="I401" t="str">
            <v>超絶級</v>
          </cell>
          <cell r="J401">
            <v>1</v>
          </cell>
          <cell r="K401">
            <v>35</v>
          </cell>
          <cell r="L401">
            <v>4200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14</v>
          </cell>
          <cell r="AD401">
            <v>6</v>
          </cell>
          <cell r="AE401" t="str">
            <v>everyone</v>
          </cell>
        </row>
        <row r="402">
          <cell r="A402" t="str">
            <v>40001_1</v>
          </cell>
          <cell r="B402">
            <v>3</v>
          </cell>
          <cell r="C402">
            <v>40001</v>
          </cell>
          <cell r="D402" t="str">
            <v>アマテラス襲来！</v>
          </cell>
          <cell r="E402" t="str">
            <v>降臨1</v>
          </cell>
          <cell r="F402">
            <v>1</v>
          </cell>
          <cell r="G402" t="str">
            <v>ja</v>
          </cell>
          <cell r="H402" t="str">
            <v xml:space="preserve">【ウィザード級】アマテラス襲来 </v>
          </cell>
          <cell r="I402" t="str">
            <v>地獄級</v>
          </cell>
          <cell r="J402">
            <v>278</v>
          </cell>
          <cell r="K402">
            <v>35</v>
          </cell>
          <cell r="L402">
            <v>4200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901</v>
          </cell>
          <cell r="AD402">
            <v>6</v>
          </cell>
          <cell r="AE402" t="str">
            <v>everyone</v>
          </cell>
        </row>
        <row r="403">
          <cell r="A403" t="str">
            <v>40002_1</v>
          </cell>
          <cell r="B403">
            <v>3</v>
          </cell>
          <cell r="C403">
            <v>40002</v>
          </cell>
          <cell r="D403" t="str">
            <v>アザゼル襲来！</v>
          </cell>
          <cell r="E403" t="str">
            <v>降臨2</v>
          </cell>
          <cell r="F403">
            <v>1</v>
          </cell>
          <cell r="G403" t="str">
            <v>ja</v>
          </cell>
          <cell r="H403" t="str">
            <v xml:space="preserve">【超級】アザゼル襲来 </v>
          </cell>
          <cell r="I403" t="str">
            <v>超級</v>
          </cell>
          <cell r="J403">
            <v>296</v>
          </cell>
          <cell r="K403">
            <v>25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902</v>
          </cell>
          <cell r="AD403">
            <v>6</v>
          </cell>
          <cell r="AE403" t="str">
            <v>everyone</v>
          </cell>
        </row>
        <row r="404">
          <cell r="A404" t="str">
            <v>40002_2</v>
          </cell>
          <cell r="B404">
            <v>3</v>
          </cell>
          <cell r="C404">
            <v>40002</v>
          </cell>
          <cell r="D404" t="str">
            <v>アザゼル襲来！</v>
          </cell>
          <cell r="E404" t="str">
            <v>降臨2</v>
          </cell>
          <cell r="F404">
            <v>2</v>
          </cell>
          <cell r="G404" t="str">
            <v>ja</v>
          </cell>
          <cell r="H404" t="str">
            <v>【超絶級】アザゼル襲来</v>
          </cell>
          <cell r="I404" t="str">
            <v>超絶級</v>
          </cell>
          <cell r="J404">
            <v>297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902</v>
          </cell>
          <cell r="AD404">
            <v>6</v>
          </cell>
          <cell r="AE404" t="str">
            <v>everyone</v>
          </cell>
        </row>
        <row r="405">
          <cell r="A405" t="str">
            <v>40002_3</v>
          </cell>
          <cell r="B405">
            <v>3</v>
          </cell>
          <cell r="C405">
            <v>40002</v>
          </cell>
          <cell r="D405" t="str">
            <v>アザゼル襲来！</v>
          </cell>
          <cell r="E405" t="str">
            <v>降臨2</v>
          </cell>
          <cell r="F405">
            <v>3</v>
          </cell>
          <cell r="G405" t="str">
            <v>ja</v>
          </cell>
          <cell r="H405" t="str">
            <v xml:space="preserve">【ウィザード級】アザゼル襲来 </v>
          </cell>
          <cell r="I405" t="str">
            <v>地獄級</v>
          </cell>
          <cell r="J405">
            <v>297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296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902</v>
          </cell>
          <cell r="AD405">
            <v>6</v>
          </cell>
          <cell r="AE405" t="str">
            <v>everyone</v>
          </cell>
        </row>
        <row r="406">
          <cell r="A406" t="str">
            <v>40003_1</v>
          </cell>
          <cell r="B406">
            <v>3</v>
          </cell>
          <cell r="C406">
            <v>40003</v>
          </cell>
          <cell r="D406" t="str">
            <v>ジャンヌ襲来！</v>
          </cell>
          <cell r="E406" t="str">
            <v>降臨3</v>
          </cell>
          <cell r="F406">
            <v>1</v>
          </cell>
          <cell r="G406" t="str">
            <v>ja</v>
          </cell>
          <cell r="H406" t="str">
            <v xml:space="preserve">【ウィザード級】ジャンヌ襲来 </v>
          </cell>
          <cell r="I406" t="str">
            <v>地獄級</v>
          </cell>
          <cell r="J406">
            <v>315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314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903</v>
          </cell>
          <cell r="AD406">
            <v>6</v>
          </cell>
          <cell r="AE406" t="str">
            <v>everyone</v>
          </cell>
        </row>
        <row r="407">
          <cell r="A407" t="str">
            <v>40004_1</v>
          </cell>
          <cell r="B407">
            <v>3</v>
          </cell>
          <cell r="C407">
            <v>40004</v>
          </cell>
          <cell r="D407" t="str">
            <v>宮本武蔵襲来！</v>
          </cell>
          <cell r="E407" t="str">
            <v>降臨4</v>
          </cell>
          <cell r="F407">
            <v>1</v>
          </cell>
          <cell r="G407" t="str">
            <v>ja</v>
          </cell>
          <cell r="H407" t="str">
            <v xml:space="preserve">【ウィザード級】宮本武蔵襲来 </v>
          </cell>
          <cell r="I407" t="str">
            <v>地獄級</v>
          </cell>
          <cell r="J407">
            <v>427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426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904</v>
          </cell>
          <cell r="AD407">
            <v>6</v>
          </cell>
          <cell r="AE407" t="str">
            <v>everyone</v>
          </cell>
        </row>
        <row r="408">
          <cell r="A408" t="str">
            <v>40005_1</v>
          </cell>
          <cell r="B408">
            <v>3</v>
          </cell>
          <cell r="C408">
            <v>40005</v>
          </cell>
          <cell r="D408" t="str">
            <v>オズ襲来！</v>
          </cell>
          <cell r="E408" t="str">
            <v>降臨5</v>
          </cell>
          <cell r="F408">
            <v>1</v>
          </cell>
          <cell r="G408" t="str">
            <v>ja</v>
          </cell>
          <cell r="H408" t="str">
            <v xml:space="preserve">【ウィザード級】オズ襲来 </v>
          </cell>
          <cell r="I408" t="str">
            <v>地獄級</v>
          </cell>
          <cell r="J408">
            <v>461</v>
          </cell>
          <cell r="K408">
            <v>35</v>
          </cell>
          <cell r="L408">
            <v>4200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460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906</v>
          </cell>
          <cell r="AD408">
            <v>6</v>
          </cell>
          <cell r="AE408" t="str">
            <v>everyone</v>
          </cell>
        </row>
        <row r="409">
          <cell r="A409" t="str">
            <v>40006_1</v>
          </cell>
          <cell r="B409">
            <v>3</v>
          </cell>
          <cell r="C409">
            <v>40006</v>
          </cell>
          <cell r="D409" t="str">
            <v>アーサー襲来！</v>
          </cell>
          <cell r="E409" t="str">
            <v>降臨6</v>
          </cell>
          <cell r="F409">
            <v>1</v>
          </cell>
          <cell r="G409" t="str">
            <v>ja</v>
          </cell>
          <cell r="H409" t="str">
            <v xml:space="preserve">【ウィザード級】アーサー襲来 </v>
          </cell>
          <cell r="I409" t="str">
            <v>地獄級</v>
          </cell>
          <cell r="J409">
            <v>473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472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907</v>
          </cell>
          <cell r="AD409">
            <v>6</v>
          </cell>
          <cell r="AE409" t="str">
            <v>everyone</v>
          </cell>
        </row>
        <row r="410">
          <cell r="A410" t="str">
            <v>40007_1</v>
          </cell>
          <cell r="B410">
            <v>3</v>
          </cell>
          <cell r="C410">
            <v>40007</v>
          </cell>
          <cell r="D410" t="str">
            <v>グリム襲来！</v>
          </cell>
          <cell r="E410" t="str">
            <v>降臨7</v>
          </cell>
          <cell r="F410">
            <v>1</v>
          </cell>
          <cell r="G410" t="str">
            <v>ja</v>
          </cell>
          <cell r="H410" t="str">
            <v xml:space="preserve">【ウィザード級】グリム襲来 </v>
          </cell>
          <cell r="I410" t="str">
            <v>地獄級</v>
          </cell>
          <cell r="J410">
            <v>491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490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908</v>
          </cell>
          <cell r="AD410">
            <v>6</v>
          </cell>
          <cell r="AE410" t="str">
            <v>everyone</v>
          </cell>
        </row>
        <row r="411">
          <cell r="A411" t="str">
            <v>40008_1</v>
          </cell>
          <cell r="B411">
            <v>3</v>
          </cell>
          <cell r="C411">
            <v>40008</v>
          </cell>
          <cell r="D411" t="str">
            <v>Gスター・チルドレン襲来！</v>
          </cell>
          <cell r="E411" t="str">
            <v>降臨8</v>
          </cell>
          <cell r="F411">
            <v>1</v>
          </cell>
          <cell r="G411" t="str">
            <v>ja</v>
          </cell>
          <cell r="H411" t="str">
            <v xml:space="preserve">【ウィザード級】Gスター・チルドレン襲来 </v>
          </cell>
          <cell r="I411" t="str">
            <v>地獄級</v>
          </cell>
          <cell r="J411">
            <v>491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490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12</v>
          </cell>
          <cell r="AD411">
            <v>6</v>
          </cell>
          <cell r="AE411" t="str">
            <v>everyone</v>
          </cell>
        </row>
        <row r="412">
          <cell r="A412" t="str">
            <v>50001_1</v>
          </cell>
          <cell r="B412">
            <v>3</v>
          </cell>
          <cell r="C412">
            <v>50001</v>
          </cell>
          <cell r="D412" t="str">
            <v>麒麟襲来！</v>
          </cell>
          <cell r="E412" t="str">
            <v>超降臨1</v>
          </cell>
          <cell r="F412">
            <v>1</v>
          </cell>
          <cell r="G412" t="str">
            <v>ja</v>
          </cell>
          <cell r="H412" t="str">
            <v xml:space="preserve">【超ウィザード級】麒麟襲来 </v>
          </cell>
          <cell r="I412" t="str">
            <v>超地獄級</v>
          </cell>
          <cell r="J412">
            <v>328</v>
          </cell>
          <cell r="K412">
            <v>40</v>
          </cell>
          <cell r="L412">
            <v>5200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432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905</v>
          </cell>
          <cell r="AD412">
            <v>6</v>
          </cell>
          <cell r="AE412" t="str">
            <v>everyone</v>
          </cell>
        </row>
        <row r="413">
          <cell r="A413" t="str">
            <v>49001_1</v>
          </cell>
          <cell r="B413">
            <v>1</v>
          </cell>
          <cell r="C413">
            <v>49001</v>
          </cell>
          <cell r="D413" t="str">
            <v>初音ミクV3襲来！</v>
          </cell>
          <cell r="E413" t="str">
            <v>コラボ降臨1</v>
          </cell>
          <cell r="F413">
            <v>1</v>
          </cell>
          <cell r="G413" t="str">
            <v>ja</v>
          </cell>
          <cell r="H413" t="str">
            <v xml:space="preserve">【ウィザード級】V3襲来 </v>
          </cell>
          <cell r="I413" t="str">
            <v>地獄級</v>
          </cell>
          <cell r="J413">
            <v>328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907</v>
          </cell>
          <cell r="AD413">
            <v>6</v>
          </cell>
          <cell r="AE413" t="str">
            <v>everyone</v>
          </cell>
        </row>
        <row r="414">
          <cell r="A414" t="str">
            <v>65535_1</v>
          </cell>
          <cell r="B414">
            <v>1</v>
          </cell>
          <cell r="C414">
            <v>65535</v>
          </cell>
          <cell r="D414" t="str">
            <v>★検証専用クエスト★</v>
          </cell>
          <cell r="E414" t="str">
            <v>検証</v>
          </cell>
          <cell r="F414">
            <v>1</v>
          </cell>
          <cell r="G414" t="str">
            <v>ja</v>
          </cell>
          <cell r="H414" t="str">
            <v>テンプレート</v>
          </cell>
          <cell r="I414" t="str">
            <v>検証</v>
          </cell>
          <cell r="J414" t="str">
            <v>NULL</v>
          </cell>
          <cell r="K414">
            <v>1</v>
          </cell>
          <cell r="L414">
            <v>1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903</v>
          </cell>
          <cell r="AD414">
            <v>6</v>
          </cell>
          <cell r="AE414" t="str">
            <v>everyone</v>
          </cell>
        </row>
        <row r="415">
          <cell r="A415" t="str">
            <v>65535_2</v>
          </cell>
          <cell r="B415">
            <v>1</v>
          </cell>
          <cell r="C415">
            <v>65535</v>
          </cell>
          <cell r="D415" t="str">
            <v>★検証専用クエスト★</v>
          </cell>
          <cell r="E415" t="str">
            <v>検証</v>
          </cell>
          <cell r="F415">
            <v>2</v>
          </cell>
          <cell r="G415" t="str">
            <v>ja</v>
          </cell>
          <cell r="H415" t="str">
            <v>ランクアップクエスト</v>
          </cell>
          <cell r="I415" t="str">
            <v>検証</v>
          </cell>
          <cell r="J415" t="str">
            <v>NULL</v>
          </cell>
          <cell r="K415">
            <v>1</v>
          </cell>
          <cell r="L415">
            <v>65535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903</v>
          </cell>
          <cell r="AD415">
            <v>6</v>
          </cell>
          <cell r="AE415" t="str">
            <v>everyone</v>
          </cell>
        </row>
        <row r="416">
          <cell r="A416" t="str">
            <v>65535_3</v>
          </cell>
          <cell r="B416">
            <v>1</v>
          </cell>
          <cell r="C416">
            <v>65535</v>
          </cell>
          <cell r="D416" t="str">
            <v>★検証専用クエスト★</v>
          </cell>
          <cell r="E416" t="str">
            <v>検証</v>
          </cell>
          <cell r="F416">
            <v>3</v>
          </cell>
          <cell r="G416" t="str">
            <v>ja</v>
          </cell>
          <cell r="H416" t="str">
            <v>男気ゲリラテスト</v>
          </cell>
          <cell r="I416" t="str">
            <v>検証</v>
          </cell>
          <cell r="J416" t="str">
            <v>NULL</v>
          </cell>
          <cell r="K416">
            <v>1</v>
          </cell>
          <cell r="L416">
            <v>1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105</v>
          </cell>
          <cell r="AD416">
            <v>6</v>
          </cell>
          <cell r="AE41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2" sqref="C22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49" t="s">
        <v>127</v>
      </c>
      <c r="B1" s="44" t="s">
        <v>98</v>
      </c>
      <c r="C1" s="44" t="s">
        <v>99</v>
      </c>
      <c r="D1" s="44" t="s">
        <v>100</v>
      </c>
      <c r="E1" s="44" t="s">
        <v>101</v>
      </c>
      <c r="F1" s="44" t="s">
        <v>102</v>
      </c>
      <c r="G1" s="44" t="s">
        <v>103</v>
      </c>
      <c r="H1" s="44"/>
      <c r="I1" s="44"/>
      <c r="J1" s="44"/>
      <c r="K1" s="44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</row>
    <row r="2" spans="1:30">
      <c r="A2" s="50" t="s">
        <v>148</v>
      </c>
      <c r="B2" s="46" t="s">
        <v>104</v>
      </c>
      <c r="C2" s="51">
        <v>40005</v>
      </c>
      <c r="D2" s="46" t="s">
        <v>105</v>
      </c>
      <c r="E2" s="45" t="str">
        <f>B2&amp;C2&amp;D2</f>
        <v>floors_40005.tmp</v>
      </c>
      <c r="F2" s="46" t="s">
        <v>106</v>
      </c>
      <c r="G2" s="47" t="s">
        <v>0</v>
      </c>
      <c r="H2" s="47" t="s">
        <v>1</v>
      </c>
      <c r="I2" s="47" t="s">
        <v>13</v>
      </c>
      <c r="J2" s="47" t="s">
        <v>14</v>
      </c>
      <c r="K2" s="47" t="s">
        <v>15</v>
      </c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</row>
    <row r="3" spans="1:30">
      <c r="A3" s="50" t="s">
        <v>149</v>
      </c>
      <c r="B3" s="46" t="s">
        <v>107</v>
      </c>
      <c r="C3" s="51">
        <f>C$2</f>
        <v>40005</v>
      </c>
      <c r="D3" s="46" t="s">
        <v>105</v>
      </c>
      <c r="E3" s="45" t="str">
        <f>B3&amp;C3&amp;D3</f>
        <v>enemy_habitats_40005.tmp</v>
      </c>
      <c r="F3" s="46" t="s">
        <v>108</v>
      </c>
      <c r="G3" s="47" t="s">
        <v>0</v>
      </c>
      <c r="H3" s="47" t="s">
        <v>1</v>
      </c>
      <c r="I3" s="47" t="s">
        <v>13</v>
      </c>
      <c r="J3" s="47" t="s">
        <v>2</v>
      </c>
      <c r="K3" s="47" t="s">
        <v>3</v>
      </c>
      <c r="L3" s="47" t="s">
        <v>47</v>
      </c>
      <c r="M3" s="47" t="s">
        <v>49</v>
      </c>
      <c r="N3" s="47" t="s">
        <v>51</v>
      </c>
      <c r="O3" s="47" t="s">
        <v>22</v>
      </c>
      <c r="P3" s="47" t="s">
        <v>5</v>
      </c>
      <c r="Q3" s="47" t="s">
        <v>6</v>
      </c>
      <c r="R3" s="47" t="s">
        <v>7</v>
      </c>
      <c r="S3" s="47" t="s">
        <v>8</v>
      </c>
      <c r="T3" s="47" t="s">
        <v>9</v>
      </c>
      <c r="U3" s="47" t="s">
        <v>10</v>
      </c>
      <c r="V3" s="47" t="s">
        <v>11</v>
      </c>
      <c r="W3" s="47" t="s">
        <v>12</v>
      </c>
      <c r="X3" s="47" t="s">
        <v>37</v>
      </c>
      <c r="Y3" s="47" t="s">
        <v>39</v>
      </c>
      <c r="Z3" s="47" t="s">
        <v>41</v>
      </c>
      <c r="AA3" s="47" t="s">
        <v>43</v>
      </c>
      <c r="AB3" s="47" t="s">
        <v>45</v>
      </c>
      <c r="AC3" s="47" t="s">
        <v>53</v>
      </c>
      <c r="AD3" s="47" t="s">
        <v>179</v>
      </c>
    </row>
    <row r="4" spans="1:30">
      <c r="A4" s="50" t="s">
        <v>149</v>
      </c>
      <c r="B4" s="46" t="s">
        <v>109</v>
      </c>
      <c r="C4" s="51">
        <f t="shared" ref="C4:C9" si="0">C$2</f>
        <v>40005</v>
      </c>
      <c r="D4" s="46" t="s">
        <v>105</v>
      </c>
      <c r="E4" s="45" t="str">
        <f>B4&amp;C4&amp;D4</f>
        <v>enemy_habitat_S_40005.tmp</v>
      </c>
      <c r="F4" s="46" t="s">
        <v>110</v>
      </c>
      <c r="G4" s="47" t="s">
        <v>0</v>
      </c>
      <c r="H4" s="47" t="s">
        <v>1</v>
      </c>
      <c r="I4" s="47" t="s">
        <v>13</v>
      </c>
      <c r="J4" s="47" t="s">
        <v>53</v>
      </c>
      <c r="K4" s="47" t="s">
        <v>54</v>
      </c>
      <c r="L4" s="47" t="s">
        <v>55</v>
      </c>
      <c r="M4" s="47" t="s">
        <v>56</v>
      </c>
      <c r="N4" s="47" t="s">
        <v>57</v>
      </c>
      <c r="O4" s="47" t="s">
        <v>58</v>
      </c>
      <c r="P4" s="47" t="s">
        <v>48</v>
      </c>
      <c r="Q4" s="47" t="s">
        <v>50</v>
      </c>
      <c r="R4" s="47" t="s">
        <v>52</v>
      </c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</row>
    <row r="5" spans="1:30">
      <c r="A5" s="50" t="s">
        <v>149</v>
      </c>
      <c r="B5" s="46" t="s">
        <v>111</v>
      </c>
      <c r="C5" s="51">
        <f t="shared" si="0"/>
        <v>40005</v>
      </c>
      <c r="D5" s="46" t="s">
        <v>105</v>
      </c>
      <c r="E5" s="45" t="str">
        <f>B5&amp;C5&amp;D5</f>
        <v>enemy_skill_sets_40005.tmp</v>
      </c>
      <c r="F5" s="46" t="s">
        <v>112</v>
      </c>
      <c r="G5" s="48" t="s">
        <v>22</v>
      </c>
      <c r="H5" s="48" t="s">
        <v>97</v>
      </c>
      <c r="I5" s="48" t="s">
        <v>92</v>
      </c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</row>
    <row r="6" spans="1:30">
      <c r="A6" s="50" t="s">
        <v>149</v>
      </c>
      <c r="B6" s="46" t="s">
        <v>113</v>
      </c>
      <c r="C6" s="51">
        <f t="shared" si="0"/>
        <v>40005</v>
      </c>
      <c r="D6" s="46" t="s">
        <v>114</v>
      </c>
      <c r="E6" s="45" t="str">
        <f t="shared" ref="E6:E12" si="1">B6&amp;C6&amp;D6</f>
        <v>enemy_skills_tmp_40005.tmp</v>
      </c>
      <c r="F6" s="46" t="s">
        <v>88</v>
      </c>
      <c r="G6" s="47" t="s">
        <v>78</v>
      </c>
      <c r="H6" s="47" t="s">
        <v>79</v>
      </c>
      <c r="I6" s="47" t="s">
        <v>80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</row>
    <row r="7" spans="1:30">
      <c r="A7" s="50" t="s">
        <v>149</v>
      </c>
      <c r="B7" s="46" t="s">
        <v>115</v>
      </c>
      <c r="C7" s="51">
        <f t="shared" si="0"/>
        <v>40005</v>
      </c>
      <c r="D7" s="46" t="s">
        <v>105</v>
      </c>
      <c r="E7" s="45" t="str">
        <f>B7&amp;C7&amp;D7</f>
        <v>enemy_skills_i18n_40005.tmp</v>
      </c>
      <c r="F7" s="46" t="s">
        <v>116</v>
      </c>
      <c r="G7" s="47" t="s">
        <v>78</v>
      </c>
      <c r="H7" s="47" t="s">
        <v>89</v>
      </c>
      <c r="I7" s="47" t="s">
        <v>90</v>
      </c>
      <c r="J7" s="47" t="s">
        <v>91</v>
      </c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</row>
    <row r="8" spans="1:30">
      <c r="A8" s="50" t="s">
        <v>147</v>
      </c>
      <c r="B8" s="46" t="s">
        <v>117</v>
      </c>
      <c r="C8" s="51">
        <f t="shared" si="0"/>
        <v>40005</v>
      </c>
      <c r="D8" s="46" t="s">
        <v>118</v>
      </c>
      <c r="E8" s="45" t="str">
        <f t="shared" si="1"/>
        <v>enemy_skill_triggers_40005.tmp</v>
      </c>
      <c r="F8" s="46" t="s">
        <v>119</v>
      </c>
      <c r="G8" s="47" t="s">
        <v>92</v>
      </c>
      <c r="H8" s="47" t="s">
        <v>93</v>
      </c>
      <c r="I8" s="47" t="s">
        <v>94</v>
      </c>
      <c r="J8" s="47" t="s">
        <v>95</v>
      </c>
      <c r="K8" s="47" t="s">
        <v>120</v>
      </c>
      <c r="L8" s="47" t="s">
        <v>96</v>
      </c>
      <c r="M8" s="47" t="s">
        <v>121</v>
      </c>
      <c r="N8" s="47" t="s">
        <v>122</v>
      </c>
      <c r="O8" s="47" t="s">
        <v>123</v>
      </c>
      <c r="P8" s="47" t="s">
        <v>66</v>
      </c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</row>
    <row r="9" spans="1:30">
      <c r="A9" s="50" t="s">
        <v>380</v>
      </c>
      <c r="B9" s="56" t="s">
        <v>178</v>
      </c>
      <c r="C9" s="51">
        <f t="shared" si="0"/>
        <v>40005</v>
      </c>
      <c r="D9" s="56" t="s">
        <v>172</v>
      </c>
      <c r="E9" s="57" t="str">
        <f t="shared" si="1"/>
        <v>stage_bug_bonuses_40005.tmp</v>
      </c>
      <c r="F9" s="56" t="s">
        <v>173</v>
      </c>
      <c r="G9" s="53" t="s">
        <v>150</v>
      </c>
      <c r="H9" s="53" t="s">
        <v>174</v>
      </c>
      <c r="I9" s="53" t="s">
        <v>175</v>
      </c>
      <c r="J9" s="55" t="s">
        <v>176</v>
      </c>
      <c r="K9" s="53" t="s">
        <v>177</v>
      </c>
      <c r="L9" s="53" t="s">
        <v>156</v>
      </c>
      <c r="M9" s="53" t="s">
        <v>157</v>
      </c>
      <c r="N9" s="53" t="s">
        <v>158</v>
      </c>
      <c r="O9" s="53" t="s">
        <v>159</v>
      </c>
      <c r="P9" s="53" t="s">
        <v>160</v>
      </c>
      <c r="Q9" s="53" t="s">
        <v>161</v>
      </c>
      <c r="R9" s="53" t="s">
        <v>162</v>
      </c>
      <c r="S9" s="53" t="s">
        <v>163</v>
      </c>
      <c r="T9" s="53" t="s">
        <v>164</v>
      </c>
      <c r="U9" s="53" t="s">
        <v>165</v>
      </c>
      <c r="V9" s="53" t="s">
        <v>166</v>
      </c>
      <c r="W9" s="53" t="s">
        <v>167</v>
      </c>
    </row>
    <row r="10" spans="1:30" s="254" customFormat="1">
      <c r="A10" s="50" t="s">
        <v>147</v>
      </c>
      <c r="B10" s="56" t="s">
        <v>384</v>
      </c>
      <c r="C10" s="51">
        <f>C8</f>
        <v>40005</v>
      </c>
      <c r="D10" s="56" t="s">
        <v>172</v>
      </c>
      <c r="E10" s="57" t="str">
        <f t="shared" si="1"/>
        <v>stage_hints_data_c_40005.tmp</v>
      </c>
      <c r="F10" s="56" t="s">
        <v>385</v>
      </c>
      <c r="G10" s="251" t="s">
        <v>150</v>
      </c>
      <c r="H10" s="251" t="s">
        <v>174</v>
      </c>
      <c r="I10" s="252" t="s">
        <v>299</v>
      </c>
      <c r="J10" s="55" t="s">
        <v>19</v>
      </c>
      <c r="K10" s="253" t="s">
        <v>298</v>
      </c>
    </row>
    <row r="11" spans="1:30" s="254" customFormat="1">
      <c r="A11" s="50" t="s">
        <v>147</v>
      </c>
      <c r="B11" s="56" t="s">
        <v>386</v>
      </c>
      <c r="C11" s="51">
        <f>C9</f>
        <v>40005</v>
      </c>
      <c r="D11" s="56" t="s">
        <v>172</v>
      </c>
      <c r="E11" s="57" t="str">
        <f t="shared" si="1"/>
        <v>stage_hints_data_f_40005.tmp</v>
      </c>
      <c r="F11" s="56" t="s">
        <v>387</v>
      </c>
      <c r="G11" s="251" t="s">
        <v>150</v>
      </c>
      <c r="H11" s="251" t="s">
        <v>174</v>
      </c>
      <c r="I11" s="252" t="s">
        <v>299</v>
      </c>
      <c r="J11" s="55" t="s">
        <v>19</v>
      </c>
      <c r="K11" s="253" t="s">
        <v>298</v>
      </c>
    </row>
    <row r="12" spans="1:30" s="254" customFormat="1">
      <c r="A12" s="50" t="s">
        <v>147</v>
      </c>
      <c r="B12" s="56" t="s">
        <v>388</v>
      </c>
      <c r="C12" s="51">
        <f t="shared" ref="C12" si="2">C11</f>
        <v>40005</v>
      </c>
      <c r="D12" s="56" t="s">
        <v>172</v>
      </c>
      <c r="E12" s="57" t="str">
        <f t="shared" si="1"/>
        <v>stage_hints_i18n_f_40005.tmp</v>
      </c>
      <c r="F12" s="56" t="s">
        <v>387</v>
      </c>
      <c r="G12" s="252" t="s">
        <v>299</v>
      </c>
      <c r="H12" s="255" t="s">
        <v>389</v>
      </c>
      <c r="I12" s="251" t="s">
        <v>300</v>
      </c>
      <c r="J12" s="256" t="s">
        <v>301</v>
      </c>
      <c r="K12" s="253" t="s">
        <v>311</v>
      </c>
    </row>
  </sheetData>
  <phoneticPr fontId="5"/>
  <dataValidations count="1">
    <dataValidation type="list" allowBlank="1" showInputMessage="1" showErrorMessage="1" sqref="A10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O26" sqref="O26"/>
    </sheetView>
  </sheetViews>
  <sheetFormatPr baseColWidth="12" defaultColWidth="13" defaultRowHeight="21" customHeight="1" outlineLevelCol="1" x14ac:dyDescent="0"/>
  <cols>
    <col min="1" max="1" width="8.83203125" style="14" bestFit="1" customWidth="1"/>
    <col min="2" max="2" width="5" style="14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4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1" t="s">
        <v>30</v>
      </c>
      <c r="B1" s="11" t="s">
        <v>36</v>
      </c>
      <c r="C1" s="1" t="s">
        <v>0</v>
      </c>
      <c r="D1" s="2" t="s">
        <v>18</v>
      </c>
      <c r="E1" s="10" t="s">
        <v>33</v>
      </c>
      <c r="F1" s="1" t="s">
        <v>1</v>
      </c>
      <c r="G1" s="15" t="s">
        <v>32</v>
      </c>
      <c r="H1" s="10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1" t="str">
        <f>G2&amp;"-"&amp;I2</f>
        <v>40005_1-1</v>
      </c>
      <c r="B2" s="11" t="str">
        <f>IF(COUNTIF(enemy_habitats!$H:$H,A2),"OK","NG")</f>
        <v>OK</v>
      </c>
      <c r="C2" s="60">
        <v>40005</v>
      </c>
      <c r="D2" s="13" t="str">
        <f ca="1">VLOOKUP($C2,OFFSET([2]quests!$A$1,0,0,COUNTA([2]quests!$A:$A),MATCH(D$1,[2]quests!$1:$1,0)-MATCH($C$1,[2]quests!$1:$1,0)+1),MATCH(D$1,[2]quests!$1:$1,0)-MATCH($C$1,[2]quests!$1:$1,0)+1,FALSE)</f>
        <v>オズ襲来！</v>
      </c>
      <c r="E2" s="13" t="str">
        <f ca="1">VLOOKUP($C2,OFFSET([2]quests!$A$1,0,0,COUNTA([2]quests!$A:$A),MATCH(E$1,[2]quests!$1:$1,0)-MATCH($C$1,[2]quests!$1:$1,0)+1),MATCH(E$1,[2]quests!$1:$1,0)-MATCH($C$1,[2]quests!$1:$1,0)+1,FALSE)</f>
        <v>降臨5</v>
      </c>
      <c r="F2" s="61">
        <v>1</v>
      </c>
      <c r="G2" s="15" t="str">
        <f>C2&amp;"_"&amp;F2</f>
        <v>40005_1</v>
      </c>
      <c r="H2" s="10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【ウィザード級】オズ襲来 </v>
      </c>
      <c r="I2" s="61">
        <v>1</v>
      </c>
      <c r="J2" s="29">
        <v>60</v>
      </c>
      <c r="K2" s="29">
        <v>60</v>
      </c>
    </row>
    <row r="3" spans="1:11" ht="21" customHeight="1">
      <c r="A3" s="11" t="str">
        <f t="shared" ref="A3:A5" si="0">G3&amp;"-"&amp;I3</f>
        <v>40005_1-2</v>
      </c>
      <c r="B3" s="11" t="str">
        <f>IF(COUNTIF(enemy_habitats!$H:$H,A3),"OK","NG")</f>
        <v>OK</v>
      </c>
      <c r="C3" s="60">
        <v>40005</v>
      </c>
      <c r="D3" s="13" t="str">
        <f ca="1">VLOOKUP($C3,OFFSET([2]quests!$A$1,0,0,COUNTA([2]quests!$A:$A),MATCH(D$1,[2]quests!$1:$1,0)-MATCH($C$1,[2]quests!$1:$1,0)+1),MATCH(D$1,[2]quests!$1:$1,0)-MATCH($C$1,[2]quests!$1:$1,0)+1,FALSE)</f>
        <v>オズ襲来！</v>
      </c>
      <c r="E3" s="13" t="str">
        <f ca="1">VLOOKUP($C3,OFFSET([2]quests!$A$1,0,0,COUNTA([2]quests!$A:$A),MATCH(E$1,[2]quests!$1:$1,0)-MATCH($C$1,[2]quests!$1:$1,0)+1),MATCH(E$1,[2]quests!$1:$1,0)-MATCH($C$1,[2]quests!$1:$1,0)+1,FALSE)</f>
        <v>降臨5</v>
      </c>
      <c r="F3" s="61">
        <v>1</v>
      </c>
      <c r="G3" s="15" t="str">
        <f t="shared" ref="G3:G5" si="1">C3&amp;"_"&amp;F3</f>
        <v>40005_1</v>
      </c>
      <c r="H3" s="10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【ウィザード級】オズ襲来 </v>
      </c>
      <c r="I3" s="61">
        <v>2</v>
      </c>
      <c r="J3" s="29">
        <v>60</v>
      </c>
      <c r="K3" s="29">
        <v>60</v>
      </c>
    </row>
    <row r="4" spans="1:11" ht="21" customHeight="1">
      <c r="A4" s="11" t="str">
        <f t="shared" si="0"/>
        <v>40005_1-3</v>
      </c>
      <c r="B4" s="11" t="str">
        <f>IF(COUNTIF(enemy_habitats!$H:$H,A4),"OK","NG")</f>
        <v>OK</v>
      </c>
      <c r="C4" s="60">
        <v>40005</v>
      </c>
      <c r="D4" s="13" t="str">
        <f ca="1">VLOOKUP($C4,OFFSET([2]quests!$A$1,0,0,COUNTA([2]quests!$A:$A),MATCH(D$1,[2]quests!$1:$1,0)-MATCH($C$1,[2]quests!$1:$1,0)+1),MATCH(D$1,[2]quests!$1:$1,0)-MATCH($C$1,[2]quests!$1:$1,0)+1,FALSE)</f>
        <v>オズ襲来！</v>
      </c>
      <c r="E4" s="13" t="str">
        <f ca="1">VLOOKUP($C4,OFFSET([2]quests!$A$1,0,0,COUNTA([2]quests!$A:$A),MATCH(E$1,[2]quests!$1:$1,0)-MATCH($C$1,[2]quests!$1:$1,0)+1),MATCH(E$1,[2]quests!$1:$1,0)-MATCH($C$1,[2]quests!$1:$1,0)+1,FALSE)</f>
        <v>降臨5</v>
      </c>
      <c r="F4" s="61">
        <v>1</v>
      </c>
      <c r="G4" s="15" t="str">
        <f t="shared" si="1"/>
        <v>40005_1</v>
      </c>
      <c r="H4" s="10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【ウィザード級】オズ襲来 </v>
      </c>
      <c r="I4" s="61">
        <v>3</v>
      </c>
      <c r="J4" s="29">
        <v>60</v>
      </c>
      <c r="K4" s="29">
        <v>60</v>
      </c>
    </row>
    <row r="5" spans="1:11" ht="21" customHeight="1">
      <c r="A5" s="11" t="str">
        <f t="shared" si="0"/>
        <v>40005_1-4</v>
      </c>
      <c r="B5" s="11" t="str">
        <f>IF(COUNTIF(enemy_habitats!$H:$H,A5),"OK","NG")</f>
        <v>OK</v>
      </c>
      <c r="C5" s="60">
        <v>40005</v>
      </c>
      <c r="D5" s="13" t="str">
        <f ca="1">VLOOKUP($C5,OFFSET([2]quests!$A$1,0,0,COUNTA([2]quests!$A:$A),MATCH(D$1,[2]quests!$1:$1,0)-MATCH($C$1,[2]quests!$1:$1,0)+1),MATCH(D$1,[2]quests!$1:$1,0)-MATCH($C$1,[2]quests!$1:$1,0)+1,FALSE)</f>
        <v>オズ襲来！</v>
      </c>
      <c r="E5" s="13" t="str">
        <f ca="1">VLOOKUP($C5,OFFSET([2]quests!$A$1,0,0,COUNTA([2]quests!$A:$A),MATCH(E$1,[2]quests!$1:$1,0)-MATCH($C$1,[2]quests!$1:$1,0)+1),MATCH(E$1,[2]quests!$1:$1,0)-MATCH($C$1,[2]quests!$1:$1,0)+1,FALSE)</f>
        <v>降臨5</v>
      </c>
      <c r="F5" s="61">
        <v>1</v>
      </c>
      <c r="G5" s="15" t="str">
        <f t="shared" si="1"/>
        <v>40005_1</v>
      </c>
      <c r="H5" s="10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【ウィザード級】オズ襲来 </v>
      </c>
      <c r="I5" s="61">
        <v>4</v>
      </c>
      <c r="J5" s="29">
        <v>60</v>
      </c>
      <c r="K5" s="29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workbookViewId="0">
      <pane xSplit="17" ySplit="1" topLeftCell="R3" activePane="bottomRight" state="frozen"/>
      <selection pane="topRight" activeCell="N1" sqref="N1"/>
      <selection pane="bottomLeft" activeCell="A2" sqref="A2"/>
      <selection pane="bottomRight" activeCell="T14" sqref="T14"/>
    </sheetView>
  </sheetViews>
  <sheetFormatPr baseColWidth="12" defaultColWidth="13" defaultRowHeight="21" customHeight="1" outlineLevelCol="1" x14ac:dyDescent="0"/>
  <cols>
    <col min="1" max="1" width="15.83203125" style="14" bestFit="1" customWidth="1"/>
    <col min="2" max="2" width="10.83203125" style="3" bestFit="1" customWidth="1"/>
    <col min="3" max="3" width="10.6640625" style="3" bestFit="1" customWidth="1"/>
    <col min="4" max="4" width="13" style="9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6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4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8" bestFit="1" customWidth="1" outlineLevel="1"/>
    <col min="30" max="30" width="8" style="9" bestFit="1" customWidth="1" outlineLevel="1"/>
    <col min="31" max="31" width="12" style="9" bestFit="1" customWidth="1" outlineLevel="1"/>
    <col min="32" max="32" width="15" style="7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6" customFormat="1" ht="21" customHeight="1" thickBot="1">
      <c r="A1" s="18" t="s">
        <v>29</v>
      </c>
      <c r="B1" s="19" t="s">
        <v>0</v>
      </c>
      <c r="C1" s="19" t="s">
        <v>1</v>
      </c>
      <c r="D1" s="20" t="s">
        <v>28</v>
      </c>
      <c r="E1" s="21" t="s">
        <v>20</v>
      </c>
      <c r="F1" s="21" t="s">
        <v>20</v>
      </c>
      <c r="G1" s="19" t="s">
        <v>19</v>
      </c>
      <c r="H1" s="20" t="s">
        <v>35</v>
      </c>
      <c r="I1" s="20" t="s">
        <v>14</v>
      </c>
      <c r="J1" s="20" t="s">
        <v>15</v>
      </c>
      <c r="K1" s="27" t="s">
        <v>53</v>
      </c>
      <c r="L1" s="28" t="s">
        <v>2</v>
      </c>
      <c r="M1" s="22" t="s">
        <v>21</v>
      </c>
      <c r="N1" s="20" t="s">
        <v>24</v>
      </c>
      <c r="O1" s="20" t="s">
        <v>23</v>
      </c>
      <c r="P1" s="23" t="s">
        <v>26</v>
      </c>
      <c r="Q1" s="21" t="s">
        <v>25</v>
      </c>
      <c r="R1" s="19" t="s">
        <v>3</v>
      </c>
      <c r="S1" s="17" t="s">
        <v>48</v>
      </c>
      <c r="T1" s="17" t="s">
        <v>50</v>
      </c>
      <c r="U1" s="17" t="s">
        <v>52</v>
      </c>
      <c r="V1" s="20" t="s">
        <v>31</v>
      </c>
      <c r="W1" s="19" t="s">
        <v>4</v>
      </c>
      <c r="X1" s="19" t="s">
        <v>5</v>
      </c>
      <c r="Y1" s="19" t="s">
        <v>6</v>
      </c>
      <c r="Z1" s="19" t="s">
        <v>7</v>
      </c>
      <c r="AA1" s="19" t="s">
        <v>8</v>
      </c>
      <c r="AB1" s="24" t="s">
        <v>9</v>
      </c>
      <c r="AC1" s="25" t="s">
        <v>16</v>
      </c>
      <c r="AD1" s="25" t="s">
        <v>17</v>
      </c>
      <c r="AE1" s="25" t="s">
        <v>27</v>
      </c>
      <c r="AF1" s="24" t="s">
        <v>10</v>
      </c>
      <c r="AG1" s="19" t="s">
        <v>11</v>
      </c>
      <c r="AH1" s="19" t="s">
        <v>12</v>
      </c>
      <c r="AI1" s="19" t="s">
        <v>38</v>
      </c>
      <c r="AJ1" s="19" t="s">
        <v>40</v>
      </c>
      <c r="AK1" s="19" t="s">
        <v>42</v>
      </c>
      <c r="AL1" s="19" t="s">
        <v>44</v>
      </c>
      <c r="AM1" s="19" t="s">
        <v>46</v>
      </c>
      <c r="AN1" s="27" t="s">
        <v>180</v>
      </c>
    </row>
    <row r="2" spans="1:40" ht="21" customHeight="1" thickBot="1">
      <c r="A2" s="11" t="str">
        <f>B2&amp;"_"&amp;C2&amp;"-"&amp;G2&amp;"/"&amp;L2&amp;"&lt;lv"&amp;R2&amp;"&gt;s"&amp;AA2</f>
        <v>40005_1-1/242&lt;lv65&gt;s2</v>
      </c>
      <c r="B2" s="62">
        <v>40005</v>
      </c>
      <c r="C2" s="63">
        <v>1</v>
      </c>
      <c r="D2" s="2" t="str">
        <f>B2&amp;"_"&amp;C2</f>
        <v>40005_1</v>
      </c>
      <c r="E2" s="4" t="str">
        <f ca="1">VLOOKUP($B2,OFFSET([2]quests!$A$1,0,0,COUNTA([2]quests!$A:$A),MATCH(E$1,[2]quests!$1:$1,0)-MATCH($B$1,[2]quests!$1:$1,0)+1),MATCH(E$1,[2]quests!$1:$1,0)-MATCH($B$1,[2]quests!$1:$1,0)+1,FALSE)</f>
        <v>オズ襲来！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2" s="63">
        <v>1</v>
      </c>
      <c r="H2" s="10" t="str">
        <f>B2&amp;"_"&amp;C2&amp;"-"&amp;G2</f>
        <v>40005_1-1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76" t="s">
        <v>181</v>
      </c>
      <c r="L2" s="77">
        <v>242</v>
      </c>
      <c r="M2" s="12" t="str">
        <f ca="1">VLOOKUP($L2,OFFSET([3]enemies!$A$1,0,0,COUNTA([3]enemies!$A:$A),MATCH(M$1,[3]enemies!$1:$1,0)-MATCH($L$1,[3]enemies!$1:$1,0)+1),MATCH(M$1,[3]enemies!$1:$1,0)-MATCH($L$1,[3]enemies!$1:$1,0)+1,FALSE)</f>
        <v>百花の天使 ガブリエル</v>
      </c>
      <c r="N2" s="12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2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2">
        <f ca="1">VLOOKUP($L2,OFFSET([3]enemies!$A$1,0,0,COUNTA([3]enemies!$A:$A),MATCH(Q$1,[3]enemies!$1:$1,0)-MATCH($L$1,[3]enemies!$1:$1,0)+1),MATCH(Q$1,[3]enemies!$1:$1,0)-MATCH($L$1,[3]enemies!$1:$1,0)+1,FALSE)</f>
        <v>30</v>
      </c>
      <c r="R2" s="90">
        <v>65</v>
      </c>
      <c r="S2" s="91">
        <v>1</v>
      </c>
      <c r="T2" s="91">
        <v>1</v>
      </c>
      <c r="U2" s="90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3ターン防御力アップ</v>
      </c>
      <c r="W2" s="92">
        <v>40005001</v>
      </c>
      <c r="X2" s="110">
        <v>1</v>
      </c>
      <c r="Y2" s="111">
        <v>100</v>
      </c>
      <c r="Z2" s="111">
        <v>1</v>
      </c>
      <c r="AA2" s="112">
        <v>2</v>
      </c>
      <c r="AB2" s="16">
        <f>L2</f>
        <v>242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百花の天使 ガブリエル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5">
        <v>1</v>
      </c>
      <c r="AG2" s="16">
        <f ca="1">AD2</f>
        <v>4</v>
      </c>
      <c r="AH2" s="129">
        <v>0</v>
      </c>
      <c r="AI2" s="130">
        <v>0</v>
      </c>
      <c r="AJ2" s="130">
        <v>0</v>
      </c>
      <c r="AK2" s="130">
        <v>0</v>
      </c>
      <c r="AL2" s="130">
        <v>0</v>
      </c>
      <c r="AM2" s="130">
        <v>1</v>
      </c>
      <c r="AN2" s="58">
        <v>1</v>
      </c>
    </row>
    <row r="3" spans="1:40" ht="21" customHeight="1" thickBot="1">
      <c r="A3" s="11" t="str">
        <f>B3&amp;"_"&amp;C3&amp;"-"&amp;G3&amp;"/"&amp;L3&amp;"&lt;lv"&amp;R3&amp;"&gt;s"&amp;AA3</f>
        <v>40005_1-1/245&lt;lv65&gt;s2</v>
      </c>
      <c r="B3" s="64">
        <v>40005</v>
      </c>
      <c r="C3" s="65">
        <v>1</v>
      </c>
      <c r="D3" s="2" t="str">
        <f>B3&amp;"_"&amp;C3</f>
        <v>40005_1</v>
      </c>
      <c r="E3" s="4" t="str">
        <f ca="1">VLOOKUP($B3,OFFSET([2]quests!$A$1,0,0,COUNTA([2]quests!$A:$A),MATCH(E$1,[2]quests!$1:$1,0)-MATCH($B$1,[2]quests!$1:$1,0)+1),MATCH(E$1,[2]quests!$1:$1,0)-MATCH($B$1,[2]quests!$1:$1,0)+1,FALSE)</f>
        <v>オズ襲来！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3" s="65">
        <v>1</v>
      </c>
      <c r="H3" s="10" t="str">
        <f>B3&amp;"_"&amp;C3&amp;"-"&amp;G3</f>
        <v>40005_1-1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78" t="s">
        <v>181</v>
      </c>
      <c r="L3" s="79">
        <v>245</v>
      </c>
      <c r="M3" s="12" t="str">
        <f ca="1">VLOOKUP($L3,OFFSET([3]enemies!$A$1,0,0,COUNTA([3]enemies!$A:$A),MATCH(M$1,[3]enemies!$1:$1,0)-MATCH($L$1,[3]enemies!$1:$1,0)+1),MATCH(M$1,[3]enemies!$1:$1,0)-MATCH($L$1,[3]enemies!$1:$1,0)+1,FALSE)</f>
        <v>鎮癒の天使 ラファエル</v>
      </c>
      <c r="N3" s="12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2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2">
        <f ca="1">VLOOKUP($L3,OFFSET([3]enemies!$A$1,0,0,COUNTA([3]enemies!$A:$A),MATCH(Q$1,[3]enemies!$1:$1,0)-MATCH($L$1,[3]enemies!$1:$1,0)+1),MATCH(Q$1,[3]enemies!$1:$1,0)-MATCH($L$1,[3]enemies!$1:$1,0)+1,FALSE)</f>
        <v>30</v>
      </c>
      <c r="R3" s="93">
        <v>65</v>
      </c>
      <c r="S3" s="94">
        <v>1</v>
      </c>
      <c r="T3" s="94">
        <v>1</v>
      </c>
      <c r="U3" s="93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5ターン回復力ダウン</v>
      </c>
      <c r="W3" s="92">
        <v>40005002</v>
      </c>
      <c r="X3" s="113">
        <v>1</v>
      </c>
      <c r="Y3" s="114">
        <v>100</v>
      </c>
      <c r="Z3" s="114">
        <v>0</v>
      </c>
      <c r="AA3" s="115">
        <v>2</v>
      </c>
      <c r="AB3" s="16">
        <f>L3</f>
        <v>245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鎮癒の天使 ラファエル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5">
        <v>1</v>
      </c>
      <c r="AG3" s="16">
        <f ca="1">AD3</f>
        <v>4</v>
      </c>
      <c r="AH3" s="131">
        <v>0</v>
      </c>
      <c r="AI3" s="132">
        <v>0</v>
      </c>
      <c r="AJ3" s="132">
        <v>0</v>
      </c>
      <c r="AK3" s="132">
        <v>0</v>
      </c>
      <c r="AL3" s="132">
        <v>0</v>
      </c>
      <c r="AM3" s="132">
        <v>1</v>
      </c>
      <c r="AN3" s="58">
        <v>1</v>
      </c>
    </row>
    <row r="4" spans="1:40" ht="21" customHeight="1">
      <c r="A4" s="11" t="str">
        <f t="shared" ref="A4:A8" si="0">B4&amp;"_"&amp;C4&amp;"-"&amp;G4&amp;"/"&amp;L4&amp;"&lt;lv"&amp;R4&amp;"&gt;s"&amp;AA4</f>
        <v>40005_1-2/24&lt;lv75&gt;s3</v>
      </c>
      <c r="B4" s="66">
        <v>40005</v>
      </c>
      <c r="C4" s="67">
        <v>1</v>
      </c>
      <c r="D4" s="2" t="str">
        <f t="shared" ref="D4:D8" si="1">B4&amp;"_"&amp;C4</f>
        <v>40005_1</v>
      </c>
      <c r="E4" s="4" t="str">
        <f ca="1">VLOOKUP($B4,OFFSET([2]quests!$A$1,0,0,COUNTA([2]quests!$A:$A),MATCH(E$1,[2]quests!$1:$1,0)-MATCH($B$1,[2]quests!$1:$1,0)+1),MATCH(E$1,[2]quests!$1:$1,0)-MATCH($B$1,[2]quests!$1:$1,0)+1,FALSE)</f>
        <v>オズ襲来！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4" s="67">
        <v>2</v>
      </c>
      <c r="H4" s="10" t="str">
        <f t="shared" ref="H4:H8" si="2">B4&amp;"_"&amp;C4&amp;"-"&amp;G4</f>
        <v>40005_1-2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80" t="s">
        <v>181</v>
      </c>
      <c r="L4" s="81">
        <v>24</v>
      </c>
      <c r="M4" s="12" t="str">
        <f ca="1">VLOOKUP($L4,OFFSET([3]enemies!$A$1,0,0,COUNTA([3]enemies!$A:$A),MATCH(M$1,[3]enemies!$1:$1,0)-MATCH($L$1,[3]enemies!$1:$1,0)+1),MATCH(M$1,[3]enemies!$1:$1,0)-MATCH($L$1,[3]enemies!$1:$1,0)+1,FALSE)</f>
        <v>天翔のミール</v>
      </c>
      <c r="N4" s="12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2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2">
        <f ca="1">VLOOKUP($L4,OFFSET([3]enemies!$A$1,0,0,COUNTA([3]enemies!$A:$A),MATCH(Q$1,[3]enemies!$1:$1,0)-MATCH($L$1,[3]enemies!$1:$1,0)+1),MATCH(Q$1,[3]enemies!$1:$1,0)-MATCH($L$1,[3]enemies!$1:$1,0)+1,FALSE)</f>
        <v>15</v>
      </c>
      <c r="R4" s="95">
        <v>75</v>
      </c>
      <c r="S4" s="96">
        <v>2</v>
      </c>
      <c r="T4" s="96">
        <v>2</v>
      </c>
      <c r="U4" s="9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3ターン後に一斉に襲いかかる！</v>
      </c>
      <c r="W4" s="97">
        <v>40005003</v>
      </c>
      <c r="X4" s="116">
        <v>1</v>
      </c>
      <c r="Y4" s="117">
        <v>100</v>
      </c>
      <c r="Z4" s="117">
        <v>1</v>
      </c>
      <c r="AA4" s="118">
        <v>3</v>
      </c>
      <c r="AB4" s="16">
        <f t="shared" ref="AB4:AB7" si="3">L4</f>
        <v>24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5">
        <v>1</v>
      </c>
      <c r="AG4" s="16">
        <f t="shared" ref="AG4:AG8" ca="1" si="4">AD4</f>
        <v>2</v>
      </c>
      <c r="AH4" s="133">
        <v>15</v>
      </c>
      <c r="AI4" s="133">
        <v>0</v>
      </c>
      <c r="AJ4" s="133">
        <v>0</v>
      </c>
      <c r="AK4" s="133">
        <v>0</v>
      </c>
      <c r="AL4" s="133">
        <v>0</v>
      </c>
      <c r="AM4" s="133">
        <v>1</v>
      </c>
      <c r="AN4" s="58">
        <v>1</v>
      </c>
    </row>
    <row r="5" spans="1:40" ht="21" customHeight="1" thickBot="1">
      <c r="A5" s="11" t="str">
        <f t="shared" ref="A5" si="5">B5&amp;"_"&amp;C5&amp;"-"&amp;G5&amp;"/"&amp;L5&amp;"&lt;lv"&amp;R5&amp;"&gt;s"&amp;AA5</f>
        <v>40005_1-2/24&lt;lv74&gt;s3</v>
      </c>
      <c r="B5" s="68">
        <v>40005</v>
      </c>
      <c r="C5" s="69">
        <v>1</v>
      </c>
      <c r="D5" s="2" t="str">
        <f t="shared" ref="D5" si="6">B5&amp;"_"&amp;C5</f>
        <v>40005_1</v>
      </c>
      <c r="E5" s="4" t="str">
        <f ca="1">VLOOKUP($B5,OFFSET([2]quests!$A$1,0,0,COUNTA([2]quests!$A:$A),MATCH(E$1,[2]quests!$1:$1,0)-MATCH($B$1,[2]quests!$1:$1,0)+1),MATCH(E$1,[2]quests!$1:$1,0)-MATCH($B$1,[2]quests!$1:$1,0)+1,FALSE)</f>
        <v>オズ襲来！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5" s="69">
        <v>2</v>
      </c>
      <c r="H5" s="10" t="str">
        <f t="shared" ref="H5" si="7">B5&amp;"_"&amp;C5&amp;"-"&amp;G5</f>
        <v>40005_1-2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82" t="s">
        <v>181</v>
      </c>
      <c r="L5" s="83">
        <v>24</v>
      </c>
      <c r="M5" s="12" t="str">
        <f ca="1">VLOOKUP($L5,OFFSET([3]enemies!$A$1,0,0,COUNTA([3]enemies!$A:$A),MATCH(M$1,[3]enemies!$1:$1,0)-MATCH($L$1,[3]enemies!$1:$1,0)+1),MATCH(M$1,[3]enemies!$1:$1,0)-MATCH($L$1,[3]enemies!$1:$1,0)+1,FALSE)</f>
        <v>天翔のミール</v>
      </c>
      <c r="N5" s="12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2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2">
        <f ca="1">VLOOKUP($L5,OFFSET([3]enemies!$A$1,0,0,COUNTA([3]enemies!$A:$A),MATCH(Q$1,[3]enemies!$1:$1,0)-MATCH($L$1,[3]enemies!$1:$1,0)+1),MATCH(Q$1,[3]enemies!$1:$1,0)-MATCH($L$1,[3]enemies!$1:$1,0)+1,FALSE)</f>
        <v>15</v>
      </c>
      <c r="R5" s="98">
        <v>74</v>
      </c>
      <c r="S5" s="99">
        <v>2</v>
      </c>
      <c r="T5" s="99">
        <v>2</v>
      </c>
      <c r="U5" s="98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100">
        <v>0</v>
      </c>
      <c r="X5" s="119">
        <v>3</v>
      </c>
      <c r="Y5" s="120">
        <v>100</v>
      </c>
      <c r="Z5" s="120">
        <v>0</v>
      </c>
      <c r="AA5" s="121">
        <v>3</v>
      </c>
      <c r="AB5" s="16">
        <f t="shared" ref="AB5" si="8">L5</f>
        <v>24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5">
        <v>1</v>
      </c>
      <c r="AG5" s="16">
        <f t="shared" ref="AG5" ca="1" si="9">AD5</f>
        <v>2</v>
      </c>
      <c r="AH5" s="134">
        <v>15</v>
      </c>
      <c r="AI5" s="135">
        <v>0</v>
      </c>
      <c r="AJ5" s="135">
        <v>0</v>
      </c>
      <c r="AK5" s="135">
        <v>0</v>
      </c>
      <c r="AL5" s="135">
        <v>0</v>
      </c>
      <c r="AM5" s="135">
        <v>1</v>
      </c>
      <c r="AN5" s="58">
        <v>1</v>
      </c>
    </row>
    <row r="6" spans="1:40" ht="21" customHeight="1">
      <c r="A6" s="11" t="str">
        <f t="shared" si="0"/>
        <v>40005_1-3/212&lt;lv70&gt;s2</v>
      </c>
      <c r="B6" s="70">
        <v>40005</v>
      </c>
      <c r="C6" s="71">
        <v>1</v>
      </c>
      <c r="D6" s="2" t="str">
        <f t="shared" si="1"/>
        <v>40005_1</v>
      </c>
      <c r="E6" s="4" t="str">
        <f ca="1">VLOOKUP($B6,OFFSET([2]quests!$A$1,0,0,COUNTA([2]quests!$A:$A),MATCH(E$1,[2]quests!$1:$1,0)-MATCH($B$1,[2]quests!$1:$1,0)+1),MATCH(E$1,[2]quests!$1:$1,0)-MATCH($B$1,[2]quests!$1:$1,0)+1,FALSE)</f>
        <v>オズ襲来！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6" s="71">
        <v>3</v>
      </c>
      <c r="H6" s="10" t="str">
        <f t="shared" si="2"/>
        <v>40005_1-3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84">
        <v>2</v>
      </c>
      <c r="L6" s="85">
        <v>212</v>
      </c>
      <c r="M6" s="12" t="str">
        <f ca="1">VLOOKUP($L6,OFFSET([3]enemies!$A$1,0,0,COUNTA([3]enemies!$A:$A),MATCH(M$1,[3]enemies!$1:$1,0)-MATCH($L$1,[3]enemies!$1:$1,0)+1),MATCH(M$1,[3]enemies!$1:$1,0)-MATCH($L$1,[3]enemies!$1:$1,0)+1,FALSE)</f>
        <v>星神 アストライアー</v>
      </c>
      <c r="N6" s="12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2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2">
        <f ca="1">VLOOKUP($L6,OFFSET([3]enemies!$A$1,0,0,COUNTA([3]enemies!$A:$A),MATCH(Q$1,[3]enemies!$1:$1,0)-MATCH($L$1,[3]enemies!$1:$1,0)+1),MATCH(Q$1,[3]enemies!$1:$1,0)-MATCH($L$1,[3]enemies!$1:$1,0)+1,FALSE)</f>
        <v>30</v>
      </c>
      <c r="R6" s="101">
        <v>70</v>
      </c>
      <c r="S6" s="102">
        <v>1</v>
      </c>
      <c r="T6" s="102">
        <v>1</v>
      </c>
      <c r="U6" s="101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6" s="103">
        <v>40005005</v>
      </c>
      <c r="X6" s="122">
        <v>1</v>
      </c>
      <c r="Y6" s="123">
        <v>100</v>
      </c>
      <c r="Z6" s="123">
        <v>1</v>
      </c>
      <c r="AA6" s="124">
        <v>2</v>
      </c>
      <c r="AB6" s="16">
        <f t="shared" si="3"/>
        <v>212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星神 アストライアー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5">
        <v>1</v>
      </c>
      <c r="AG6" s="16">
        <f t="shared" ca="1" si="4"/>
        <v>4</v>
      </c>
      <c r="AH6" s="136">
        <v>0</v>
      </c>
      <c r="AI6" s="137">
        <v>0</v>
      </c>
      <c r="AJ6" s="137">
        <v>0</v>
      </c>
      <c r="AK6" s="137">
        <v>0</v>
      </c>
      <c r="AL6" s="137">
        <v>0</v>
      </c>
      <c r="AM6" s="137">
        <v>1</v>
      </c>
      <c r="AN6" s="58">
        <v>1</v>
      </c>
    </row>
    <row r="7" spans="1:40" ht="21" customHeight="1" thickBot="1">
      <c r="A7" s="11" t="str">
        <f t="shared" si="0"/>
        <v>40005_1-3/176&lt;lv70&gt;s2</v>
      </c>
      <c r="B7" s="72">
        <v>40005</v>
      </c>
      <c r="C7" s="73">
        <v>1</v>
      </c>
      <c r="D7" s="2" t="str">
        <f t="shared" si="1"/>
        <v>40005_1</v>
      </c>
      <c r="E7" s="4" t="str">
        <f ca="1">VLOOKUP($B7,OFFSET([2]quests!$A$1,0,0,COUNTA([2]quests!$A:$A),MATCH(E$1,[2]quests!$1:$1,0)-MATCH($B$1,[2]quests!$1:$1,0)+1),MATCH(E$1,[2]quests!$1:$1,0)-MATCH($B$1,[2]quests!$1:$1,0)+1,FALSE)</f>
        <v>オズ襲来！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7" s="73">
        <v>3</v>
      </c>
      <c r="H7" s="10" t="str">
        <f t="shared" si="2"/>
        <v>40005_1-3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86">
        <v>3</v>
      </c>
      <c r="L7" s="87">
        <v>176</v>
      </c>
      <c r="M7" s="12" t="str">
        <f ca="1">VLOOKUP($L7,OFFSET([3]enemies!$A$1,0,0,COUNTA([3]enemies!$A:$A),MATCH(M$1,[3]enemies!$1:$1,0)-MATCH($L$1,[3]enemies!$1:$1,0)+1),MATCH(M$1,[3]enemies!$1:$1,0)-MATCH($L$1,[3]enemies!$1:$1,0)+1,FALSE)</f>
        <v>異教徒 バフォメット</v>
      </c>
      <c r="N7" s="12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2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2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2">
        <f ca="1">VLOOKUP($L7,OFFSET([3]enemies!$A$1,0,0,COUNTA([3]enemies!$A:$A),MATCH(Q$1,[3]enemies!$1:$1,0)-MATCH($L$1,[3]enemies!$1:$1,0)+1),MATCH(Q$1,[3]enemies!$1:$1,0)-MATCH($L$1,[3]enemies!$1:$1,0)+1,FALSE)</f>
        <v>30</v>
      </c>
      <c r="R7" s="104">
        <v>70</v>
      </c>
      <c r="S7" s="105">
        <v>1</v>
      </c>
      <c r="T7" s="105">
        <v>1</v>
      </c>
      <c r="U7" s="104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4ターンハート無効</v>
      </c>
      <c r="W7" s="106">
        <v>40005004</v>
      </c>
      <c r="X7" s="125">
        <v>1</v>
      </c>
      <c r="Y7" s="126">
        <v>100</v>
      </c>
      <c r="Z7" s="126">
        <v>0</v>
      </c>
      <c r="AA7" s="121">
        <v>2</v>
      </c>
      <c r="AB7" s="16">
        <f t="shared" si="3"/>
        <v>176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異教徒 バフォメット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5">
        <v>1</v>
      </c>
      <c r="AG7" s="16">
        <f t="shared" ca="1" si="4"/>
        <v>4</v>
      </c>
      <c r="AH7" s="138">
        <v>0</v>
      </c>
      <c r="AI7" s="139">
        <v>0</v>
      </c>
      <c r="AJ7" s="139">
        <v>0</v>
      </c>
      <c r="AK7" s="139">
        <v>0</v>
      </c>
      <c r="AL7" s="139">
        <v>0</v>
      </c>
      <c r="AM7" s="139">
        <v>1</v>
      </c>
      <c r="AN7" s="58">
        <v>1</v>
      </c>
    </row>
    <row r="8" spans="1:40" ht="21" customHeight="1" thickBot="1">
      <c r="A8" s="11" t="str">
        <f t="shared" si="0"/>
        <v>40005_1-4/461&lt;lv75&gt;s1</v>
      </c>
      <c r="B8" s="74">
        <v>40005</v>
      </c>
      <c r="C8" s="75">
        <v>1</v>
      </c>
      <c r="D8" s="2" t="str">
        <f t="shared" si="1"/>
        <v>40005_1</v>
      </c>
      <c r="E8" s="4" t="str">
        <f ca="1">VLOOKUP($B8,OFFSET([2]quests!$A$1,0,0,COUNTA([2]quests!$A:$A),MATCH(E$1,[2]quests!$1:$1,0)-MATCH($B$1,[2]quests!$1:$1,0)+1),MATCH(E$1,[2]quests!$1:$1,0)-MATCH($B$1,[2]quests!$1:$1,0)+1,FALSE)</f>
        <v>オズ襲来！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8" s="75">
        <v>4</v>
      </c>
      <c r="H8" s="10" t="str">
        <f t="shared" si="2"/>
        <v>40005_1-4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88">
        <v>1</v>
      </c>
      <c r="L8" s="89">
        <v>461</v>
      </c>
      <c r="M8" s="12" t="str">
        <f ca="1">VLOOKUP($L8,OFFSET([3]enemies!$A$1,0,0,COUNTA([3]enemies!$A:$A),MATCH(M$1,[3]enemies!$1:$1,0)-MATCH($L$1,[3]enemies!$1:$1,0)+1),MATCH(M$1,[3]enemies!$1:$1,0)-MATCH($L$1,[3]enemies!$1:$1,0)+1,FALSE)</f>
        <v>大いなる虚像 オズ</v>
      </c>
      <c r="N8" s="12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2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2">
        <f ca="1">VLOOKUP($L8,OFFSET([3]enemies!$A$1,0,0,COUNTA([3]enemies!$A:$A),MATCH(Q$1,[3]enemies!$1:$1,0)-MATCH($L$1,[3]enemies!$1:$1,0)+1),MATCH(Q$1,[3]enemies!$1:$1,0)-MATCH($L$1,[3]enemies!$1:$1,0)+1,FALSE)</f>
        <v>60</v>
      </c>
      <c r="R8" s="107">
        <v>75</v>
      </c>
      <c r="S8" s="108">
        <v>1.8</v>
      </c>
      <c r="T8" s="108">
        <v>1.1000000000000001</v>
      </c>
      <c r="U8" s="107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3ターン防御力アップ＆状態異常無効</v>
      </c>
      <c r="W8" s="109">
        <v>40005006</v>
      </c>
      <c r="X8" s="127">
        <v>1</v>
      </c>
      <c r="Y8" s="128">
        <v>100</v>
      </c>
      <c r="Z8" s="128">
        <v>1</v>
      </c>
      <c r="AA8" s="121">
        <v>1</v>
      </c>
      <c r="AB8" s="16">
        <v>460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オズ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5">
        <v>1</v>
      </c>
      <c r="AG8" s="16">
        <f t="shared" ca="1" si="4"/>
        <v>4</v>
      </c>
      <c r="AH8" s="140">
        <v>30</v>
      </c>
      <c r="AI8" s="141">
        <v>0</v>
      </c>
      <c r="AJ8" s="141">
        <v>0</v>
      </c>
      <c r="AK8" s="141">
        <v>0</v>
      </c>
      <c r="AL8" s="141">
        <v>0</v>
      </c>
      <c r="AM8" s="141">
        <v>1</v>
      </c>
      <c r="AN8" s="5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F25" sqref="F25"/>
    </sheetView>
  </sheetViews>
  <sheetFormatPr baseColWidth="12" defaultColWidth="13" defaultRowHeight="21" customHeight="1" outlineLevelCol="1" x14ac:dyDescent="0"/>
  <cols>
    <col min="1" max="1" width="17" style="14" bestFit="1" customWidth="1"/>
    <col min="2" max="2" width="10.83203125" style="3" bestFit="1" customWidth="1"/>
    <col min="3" max="3" width="10.6640625" style="3" bestFit="1" customWidth="1"/>
    <col min="4" max="4" width="13" style="9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6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26" customFormat="1" ht="21" customHeight="1" thickBot="1">
      <c r="A1" s="18" t="s">
        <v>29</v>
      </c>
      <c r="B1" s="24" t="s">
        <v>0</v>
      </c>
      <c r="C1" s="24" t="s">
        <v>1</v>
      </c>
      <c r="D1" s="180" t="s">
        <v>28</v>
      </c>
      <c r="E1" s="180" t="s">
        <v>16</v>
      </c>
      <c r="F1" s="180" t="s">
        <v>16</v>
      </c>
      <c r="G1" s="24" t="s">
        <v>19</v>
      </c>
      <c r="H1" s="180" t="s">
        <v>30</v>
      </c>
      <c r="I1" s="180" t="s">
        <v>14</v>
      </c>
      <c r="J1" s="180" t="s">
        <v>15</v>
      </c>
      <c r="K1" s="181" t="s">
        <v>53</v>
      </c>
      <c r="L1" s="181" t="s">
        <v>54</v>
      </c>
      <c r="M1" s="181" t="s">
        <v>2</v>
      </c>
      <c r="N1" s="182" t="s">
        <v>16</v>
      </c>
      <c r="O1" s="180" t="s">
        <v>24</v>
      </c>
      <c r="P1" s="180" t="s">
        <v>23</v>
      </c>
      <c r="Q1" s="183" t="s">
        <v>26</v>
      </c>
      <c r="R1" s="180" t="s">
        <v>25</v>
      </c>
      <c r="S1" s="24" t="s">
        <v>3</v>
      </c>
      <c r="T1" s="24" t="s">
        <v>48</v>
      </c>
      <c r="U1" s="24" t="s">
        <v>50</v>
      </c>
      <c r="V1" s="24" t="s">
        <v>52</v>
      </c>
      <c r="W1" s="24" t="s">
        <v>126</v>
      </c>
      <c r="X1" s="180" t="s">
        <v>125</v>
      </c>
      <c r="Y1" s="24" t="s">
        <v>8</v>
      </c>
    </row>
    <row r="2" spans="1:25" ht="21" customHeight="1" thickBot="1">
      <c r="A2" s="156" t="str">
        <f>B2&amp;"_"&amp;C2&amp;"-"&amp;G2&amp;"/"&amp;M2&amp;"&lt;lv"&amp;S2&amp;"&gt;sq"&amp;K2&amp;"st"&amp;L2</f>
        <v>40005_1-4/461&lt;lv75&gt;sq1st2</v>
      </c>
      <c r="B2" s="157">
        <v>40005</v>
      </c>
      <c r="C2" s="158">
        <v>1</v>
      </c>
      <c r="D2" s="159" t="str">
        <f>B2&amp;"_"&amp;C2</f>
        <v>40005_1</v>
      </c>
      <c r="E2" s="160" t="str">
        <f ca="1">VLOOKUP($B2,OFFSET([2]quests!$A$1,0,0,COUNTA([2]quests!$A:$A),MATCH(E$1,[2]quests!$1:$1,0)-MATCH($B$1,[2]quests!$1:$1,0)+1),MATCH(E$1,[2]quests!$1:$1,0)-MATCH($B$1,[2]quests!$1:$1,0)+1,FALSE)</f>
        <v>オズ襲来！</v>
      </c>
      <c r="F2" s="160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2" s="158">
        <v>4</v>
      </c>
      <c r="H2" s="159" t="str">
        <f>B2&amp;"_"&amp;C2&amp;"-"&amp;G2</f>
        <v>40005_1-4</v>
      </c>
      <c r="I2" s="160">
        <f ca="1">VLOOKUP($H2,OFFSET(floors!$A$1,0,0,COUNTA(floors!$A:$A),MATCH(I$1,floors!$1:$1,0)-MATCH($H$1,floors!$1:$1,0)+1),MATCH(I$1,floors!$1:$1,0)-MATCH($H$1,floors!$1:$1,0)+1,FALSE)</f>
        <v>60</v>
      </c>
      <c r="J2" s="160">
        <f ca="1">VLOOKUP($H2,OFFSET(floors!$A$1,0,0,COUNTA(floors!$A:$A),MATCH(J$1,floors!$1:$1,0)-MATCH($H$1,floors!$1:$1,0)+1),MATCH(J$1,floors!$1:$1,0)-MATCH($H$1,floors!$1:$1,0)+1,FALSE)</f>
        <v>60</v>
      </c>
      <c r="K2" s="161">
        <v>1</v>
      </c>
      <c r="L2" s="161">
        <v>2</v>
      </c>
      <c r="M2" s="184">
        <v>461</v>
      </c>
      <c r="N2" s="165" t="str">
        <f ca="1">VLOOKUP($M2,OFFSET([3]enemies!$A$1,0,0,COUNTA([3]enemies!$A:$A),MATCH(N$1,[3]enemies!$1:$1,0)-MATCH($M$1,[3]enemies!$1:$1,0)+1),MATCH(N$1,[3]enemies!$1:$1,0)-MATCH($M$1,[3]enemies!$1:$1,0)+1,FALSE)</f>
        <v>大いなる虚像 オズ</v>
      </c>
      <c r="O2" s="165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5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5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5">
        <f ca="1">VLOOKUP($M2,OFFSET([3]enemies!$A$1,0,0,COUNTA([3]enemies!$A:$A),MATCH(R$1,[3]enemies!$1:$1,0)-MATCH($M$1,[3]enemies!$1:$1,0)+1),MATCH(R$1,[3]enemies!$1:$1,0)-MATCH($M$1,[3]enemies!$1:$1,0)+1,FALSE)</f>
        <v>60</v>
      </c>
      <c r="S2" s="166">
        <v>75</v>
      </c>
      <c r="T2" s="167">
        <v>2.1</v>
      </c>
      <c r="U2" s="167">
        <v>1</v>
      </c>
      <c r="V2" s="166">
        <v>0</v>
      </c>
      <c r="W2" s="160" t="e">
        <f ca="1">VLOOKUP($X2,OFFSET(enemy_skill_sets!$B$1,0,0,COUNTA(enemy_skill_sets!$B:$B),MATCH(M$1,enemy_skill_sets!$1:$1,0)-MATCH($X$1,enemy_skill_sets!$1:$1,0)+2),MATCH(M$1,enemy_skill_sets!$1:$1,0)-MATCH($X$1,enemy_skill_sets!$1:$1,0)+2,FALSE)</f>
        <v>#N/A</v>
      </c>
      <c r="X2" s="204">
        <v>40005007</v>
      </c>
      <c r="Y2" s="187">
        <v>1</v>
      </c>
    </row>
    <row r="3" spans="1:25" ht="21" customHeight="1" thickBot="1">
      <c r="A3" s="185" t="str">
        <f>B3&amp;"_"&amp;C3&amp;"-"&amp;G3&amp;"/"&amp;M3&amp;"&lt;lv"&amp;S3&amp;"&gt;sq"&amp;K3&amp;"st"&amp;L3</f>
        <v>40005_1-4/461&lt;lv75&gt;sq1st3</v>
      </c>
      <c r="B3" s="148">
        <v>40005</v>
      </c>
      <c r="C3" s="149">
        <v>1</v>
      </c>
      <c r="D3" s="150" t="str">
        <f>B3&amp;"_"&amp;C3</f>
        <v>40005_1</v>
      </c>
      <c r="E3" s="151" t="str">
        <f ca="1">VLOOKUP($B3,OFFSET([2]quests!$A$1,0,0,COUNTA([2]quests!$A:$A),MATCH(E$1,[2]quests!$1:$1,0)-MATCH($B$1,[2]quests!$1:$1,0)+1),MATCH(E$1,[2]quests!$1:$1,0)-MATCH($B$1,[2]quests!$1:$1,0)+1,FALSE)</f>
        <v>オズ襲来！</v>
      </c>
      <c r="F3" s="151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3" s="149">
        <v>4</v>
      </c>
      <c r="H3" s="150" t="str">
        <f>B3&amp;"_"&amp;C3&amp;"-"&amp;G3</f>
        <v>40005_1-4</v>
      </c>
      <c r="I3" s="151">
        <f ca="1">VLOOKUP($H3,OFFSET(floors!$A$1,0,0,COUNTA(floors!$A:$A),MATCH(I$1,floors!$1:$1,0)-MATCH($H$1,floors!$1:$1,0)+1),MATCH(I$1,floors!$1:$1,0)-MATCH($H$1,floors!$1:$1,0)+1,FALSE)</f>
        <v>60</v>
      </c>
      <c r="J3" s="151">
        <f ca="1">VLOOKUP($H3,OFFSET(floors!$A$1,0,0,COUNTA(floors!$A:$A),MATCH(J$1,floors!$1:$1,0)-MATCH($H$1,floors!$1:$1,0)+1),MATCH(J$1,floors!$1:$1,0)-MATCH($H$1,floors!$1:$1,0)+1,FALSE)</f>
        <v>60</v>
      </c>
      <c r="K3" s="152">
        <v>1</v>
      </c>
      <c r="L3" s="152">
        <v>3</v>
      </c>
      <c r="M3" s="147">
        <v>461</v>
      </c>
      <c r="N3" s="153" t="str">
        <f ca="1">VLOOKUP($M3,OFFSET([3]enemies!$A$1,0,0,COUNTA([3]enemies!$A:$A),MATCH(N$1,[3]enemies!$1:$1,0)-MATCH($M$1,[3]enemies!$1:$1,0)+1),MATCH(N$1,[3]enemies!$1:$1,0)-MATCH($M$1,[3]enemies!$1:$1,0)+1,FALSE)</f>
        <v>大いなる虚像 オズ</v>
      </c>
      <c r="O3" s="153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53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53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53">
        <f ca="1">VLOOKUP($M3,OFFSET([3]enemies!$A$1,0,0,COUNTA([3]enemies!$A:$A),MATCH(R$1,[3]enemies!$1:$1,0)-MATCH($M$1,[3]enemies!$1:$1,0)+1),MATCH(R$1,[3]enemies!$1:$1,0)-MATCH($M$1,[3]enemies!$1:$1,0)+1,FALSE)</f>
        <v>60</v>
      </c>
      <c r="S3" s="154">
        <v>75</v>
      </c>
      <c r="T3" s="155">
        <v>2.7</v>
      </c>
      <c r="U3" s="155">
        <v>1.3</v>
      </c>
      <c r="V3" s="154">
        <v>0</v>
      </c>
      <c r="W3" s="160" t="e">
        <f ca="1">VLOOKUP($X3,OFFSET(enemy_skill_sets!$B$1,0,0,COUNTA(enemy_skill_sets!$B:$B),MATCH(M$1,enemy_skill_sets!$1:$1,0)-MATCH($X$1,enemy_skill_sets!$1:$1,0)+2),MATCH(M$1,enemy_skill_sets!$1:$1,0)-MATCH($X$1,enemy_skill_sets!$1:$1,0)+2,FALSE)</f>
        <v>#N/A</v>
      </c>
      <c r="X3" s="197">
        <v>40005008</v>
      </c>
      <c r="Y3" s="188">
        <v>1</v>
      </c>
    </row>
    <row r="4" spans="1:25" ht="21" customHeight="1" thickBot="1">
      <c r="A4" s="156" t="str">
        <f>B4&amp;"_"&amp;C4&amp;"-"&amp;G4&amp;"/"&amp;M4&amp;"&lt;lv"&amp;S4&amp;"&gt;sq"&amp;K4&amp;"st"&amp;L4</f>
        <v>40005_1-3/212&lt;lv70&gt;sq2st2</v>
      </c>
      <c r="B4" s="157">
        <v>40005</v>
      </c>
      <c r="C4" s="158">
        <v>1</v>
      </c>
      <c r="D4" s="159" t="str">
        <f>B4&amp;"_"&amp;C4</f>
        <v>40005_1</v>
      </c>
      <c r="E4" s="160" t="str">
        <f ca="1">VLOOKUP($B4,OFFSET([2]quests!$A$1,0,0,COUNTA([2]quests!$A:$A),MATCH(E$1,[2]quests!$1:$1,0)-MATCH($B$1,[2]quests!$1:$1,0)+1),MATCH(E$1,[2]quests!$1:$1,0)-MATCH($B$1,[2]quests!$1:$1,0)+1,FALSE)</f>
        <v>オズ襲来！</v>
      </c>
      <c r="F4" s="160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4" s="158">
        <v>3</v>
      </c>
      <c r="H4" s="159" t="str">
        <f>B4&amp;"_"&amp;C4&amp;"-"&amp;G4</f>
        <v>40005_1-3</v>
      </c>
      <c r="I4" s="160">
        <f ca="1">VLOOKUP($H4,OFFSET(floors!$A$1,0,0,COUNTA(floors!$A:$A),MATCH(I$1,floors!$1:$1,0)-MATCH($H$1,floors!$1:$1,0)+1),MATCH(I$1,floors!$1:$1,0)-MATCH($H$1,floors!$1:$1,0)+1,FALSE)</f>
        <v>60</v>
      </c>
      <c r="J4" s="160">
        <f ca="1">VLOOKUP($H4,OFFSET(floors!$A$1,0,0,COUNTA(floors!$A:$A),MATCH(J$1,floors!$1:$1,0)-MATCH($H$1,floors!$1:$1,0)+1),MATCH(J$1,floors!$1:$1,0)-MATCH($H$1,floors!$1:$1,0)+1,FALSE)</f>
        <v>60</v>
      </c>
      <c r="K4" s="161">
        <v>2</v>
      </c>
      <c r="L4" s="162">
        <v>2</v>
      </c>
      <c r="M4" s="163">
        <v>212</v>
      </c>
      <c r="N4" s="164" t="str">
        <f ca="1">VLOOKUP($M4,OFFSET([3]enemies!$A$1,0,0,COUNTA([3]enemies!$A:$A),MATCH(N$1,[3]enemies!$1:$1,0)-MATCH($M$1,[3]enemies!$1:$1,0)+1),MATCH(N$1,[3]enemies!$1:$1,0)-MATCH($M$1,[3]enemies!$1:$1,0)+1,FALSE)</f>
        <v>星神 アストライアー</v>
      </c>
      <c r="O4" s="165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5" t="str">
        <f ca="1">VLOOKUP($M4,OFFSET([4]characters!$A$1,0,0,COUNTA([4]characters!$A:$A),MATCH(P$1,[4]characters!$1:$1,0)-MATCH($M$1,[4]characters!$1:$1,0)+1),MATCH(P$1,[4]characters!$1:$1,0)-MATCH($M$1,[4]characters!$1:$1,0)+1,FALSE)</f>
        <v>PremiumN</v>
      </c>
      <c r="Q4" s="165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65">
        <f ca="1">VLOOKUP($M4,OFFSET([3]enemies!$A$1,0,0,COUNTA([3]enemies!$A:$A),MATCH(R$1,[3]enemies!$1:$1,0)-MATCH($M$1,[3]enemies!$1:$1,0)+1),MATCH(R$1,[3]enemies!$1:$1,0)-MATCH($M$1,[3]enemies!$1:$1,0)+1,FALSE)</f>
        <v>30</v>
      </c>
      <c r="S4" s="166">
        <v>70</v>
      </c>
      <c r="T4" s="167">
        <v>0.9</v>
      </c>
      <c r="U4" s="167">
        <v>1</v>
      </c>
      <c r="V4" s="166">
        <v>0</v>
      </c>
      <c r="W4" s="160" t="e">
        <f ca="1">VLOOKUP($X4,OFFSET(enemy_skill_sets!$B$1,0,0,COUNTA(enemy_skill_sets!$B:$B),MATCH(M$1,enemy_skill_sets!$1:$1,0)-MATCH($X$1,enemy_skill_sets!$1:$1,0)+2),MATCH(M$1,enemy_skill_sets!$1:$1,0)-MATCH($X$1,enemy_skill_sets!$1:$1,0)+2,FALSE)</f>
        <v>#N/A</v>
      </c>
      <c r="X4" s="197">
        <v>40005010</v>
      </c>
      <c r="Y4" s="187">
        <v>2</v>
      </c>
    </row>
    <row r="5" spans="1:25" ht="21" customHeight="1" thickBot="1">
      <c r="A5" s="168" t="str">
        <f>B5&amp;"_"&amp;C5&amp;"-"&amp;G5&amp;"/"&amp;M5&amp;"&lt;lv"&amp;S5&amp;"&gt;sq"&amp;K5&amp;"st"&amp;L5</f>
        <v>40005_1-3/176&lt;lv70&gt;sq3st2</v>
      </c>
      <c r="B5" s="169">
        <v>40005</v>
      </c>
      <c r="C5" s="170">
        <v>1</v>
      </c>
      <c r="D5" s="171" t="str">
        <f>B5&amp;"_"&amp;C5</f>
        <v>40005_1</v>
      </c>
      <c r="E5" s="172" t="str">
        <f ca="1">VLOOKUP($B5,OFFSET([2]quests!$A$1,0,0,COUNTA([2]quests!$A:$A),MATCH(E$1,[2]quests!$1:$1,0)-MATCH($B$1,[2]quests!$1:$1,0)+1),MATCH(E$1,[2]quests!$1:$1,0)-MATCH($B$1,[2]quests!$1:$1,0)+1,FALSE)</f>
        <v>オズ襲来！</v>
      </c>
      <c r="F5" s="172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【ウィザード級】オズ襲来 </v>
      </c>
      <c r="G5" s="170">
        <v>3</v>
      </c>
      <c r="H5" s="171" t="str">
        <f>B5&amp;"_"&amp;C5&amp;"-"&amp;G5</f>
        <v>40005_1-3</v>
      </c>
      <c r="I5" s="172">
        <f ca="1">VLOOKUP($H5,OFFSET(floors!$A$1,0,0,COUNTA(floors!$A:$A),MATCH(I$1,floors!$1:$1,0)-MATCH($H$1,floors!$1:$1,0)+1),MATCH(I$1,floors!$1:$1,0)-MATCH($H$1,floors!$1:$1,0)+1,FALSE)</f>
        <v>60</v>
      </c>
      <c r="J5" s="172">
        <f ca="1">VLOOKUP($H5,OFFSET(floors!$A$1,0,0,COUNTA(floors!$A:$A),MATCH(J$1,floors!$1:$1,0)-MATCH($H$1,floors!$1:$1,0)+1),MATCH(J$1,floors!$1:$1,0)-MATCH($H$1,floors!$1:$1,0)+1,FALSE)</f>
        <v>60</v>
      </c>
      <c r="K5" s="173">
        <v>3</v>
      </c>
      <c r="L5" s="174">
        <v>2</v>
      </c>
      <c r="M5" s="175">
        <v>176</v>
      </c>
      <c r="N5" s="176" t="str">
        <f ca="1">VLOOKUP($M5,OFFSET([3]enemies!$A$1,0,0,COUNTA([3]enemies!$A:$A),MATCH(N$1,[3]enemies!$1:$1,0)-MATCH($M$1,[3]enemies!$1:$1,0)+1),MATCH(N$1,[3]enemies!$1:$1,0)-MATCH($M$1,[3]enemies!$1:$1,0)+1,FALSE)</f>
        <v>異教徒 バフォメット</v>
      </c>
      <c r="O5" s="17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7" t="str">
        <f ca="1">VLOOKUP($M5,OFFSET([4]characters!$A$1,0,0,COUNTA([4]characters!$A:$A),MATCH(P$1,[4]characters!$1:$1,0)-MATCH($M$1,[4]characters!$1:$1,0)+1),MATCH(P$1,[4]characters!$1:$1,0)-MATCH($M$1,[4]characters!$1:$1,0)+1,FALSE)</f>
        <v>PremiumN</v>
      </c>
      <c r="Q5" s="17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7">
        <f ca="1">VLOOKUP($M5,OFFSET([3]enemies!$A$1,0,0,COUNTA([3]enemies!$A:$A),MATCH(R$1,[3]enemies!$1:$1,0)-MATCH($M$1,[3]enemies!$1:$1,0)+1),MATCH(R$1,[3]enemies!$1:$1,0)-MATCH($M$1,[3]enemies!$1:$1,0)+1,FALSE)</f>
        <v>30</v>
      </c>
      <c r="S5" s="178">
        <v>70</v>
      </c>
      <c r="T5" s="179">
        <v>0.9</v>
      </c>
      <c r="U5" s="179">
        <v>1</v>
      </c>
      <c r="V5" s="178">
        <v>0</v>
      </c>
      <c r="W5" s="160" t="e">
        <f ca="1">VLOOKUP($X5,OFFSET(enemy_skill_sets!$B$1,0,0,COUNTA(enemy_skill_sets!$B:$B),MATCH(M$1,enemy_skill_sets!$1:$1,0)-MATCH($X$1,enemy_skill_sets!$1:$1,0)+2),MATCH(M$1,enemy_skill_sets!$1:$1,0)-MATCH($X$1,enemy_skill_sets!$1:$1,0)+2,FALSE)</f>
        <v>#N/A</v>
      </c>
      <c r="X5" s="172">
        <v>40005009</v>
      </c>
      <c r="Y5" s="189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0" sqref="E10"/>
    </sheetView>
  </sheetViews>
  <sheetFormatPr baseColWidth="12" defaultColWidth="12.83203125" defaultRowHeight="21" customHeight="1" outlineLevelCol="1" x14ac:dyDescent="0"/>
  <cols>
    <col min="1" max="1" width="11.33203125" style="30" bestFit="1" customWidth="1"/>
    <col min="2" max="2" width="10.5" style="38" bestFit="1" customWidth="1"/>
    <col min="3" max="3" width="9.6640625" style="38" customWidth="1"/>
    <col min="4" max="4" width="18.5" style="38" customWidth="1" outlineLevel="1"/>
    <col min="5" max="5" width="44.1640625" style="38" bestFit="1" customWidth="1" outlineLevel="1"/>
    <col min="6" max="6" width="10.83203125" style="38" bestFit="1" customWidth="1"/>
    <col min="7" max="7" width="8.33203125" style="38" bestFit="1" customWidth="1" outlineLevel="1"/>
    <col min="8" max="9" width="12.83203125" style="38" outlineLevel="1"/>
    <col min="10" max="10" width="17.6640625" style="38" bestFit="1" customWidth="1" outlineLevel="1"/>
    <col min="11" max="15" width="12.83203125" style="38" outlineLevel="1"/>
    <col min="16" max="16" width="8.33203125" style="35" bestFit="1" customWidth="1"/>
    <col min="17" max="17" width="9.6640625" style="35" customWidth="1"/>
    <col min="18" max="18" width="56.5" style="35" bestFit="1" customWidth="1"/>
    <col min="19" max="16384" width="12.83203125" style="35"/>
  </cols>
  <sheetData>
    <row r="1" spans="1:18" ht="21" customHeight="1" thickBot="1">
      <c r="A1" s="30" t="s">
        <v>59</v>
      </c>
      <c r="B1" s="233" t="s">
        <v>60</v>
      </c>
      <c r="C1" s="233" t="s">
        <v>61</v>
      </c>
      <c r="D1" s="234" t="s">
        <v>62</v>
      </c>
      <c r="E1" s="234" t="s">
        <v>63</v>
      </c>
      <c r="F1" s="42" t="s">
        <v>64</v>
      </c>
      <c r="G1" s="34" t="s">
        <v>65</v>
      </c>
      <c r="H1" s="34" t="s">
        <v>67</v>
      </c>
      <c r="I1" s="34" t="s">
        <v>68</v>
      </c>
      <c r="J1" s="34" t="s">
        <v>69</v>
      </c>
      <c r="K1" s="34" t="s">
        <v>70</v>
      </c>
      <c r="L1" s="34" t="s">
        <v>71</v>
      </c>
      <c r="M1" s="34" t="s">
        <v>72</v>
      </c>
      <c r="N1" s="34" t="s">
        <v>73</v>
      </c>
      <c r="O1" s="34" t="s">
        <v>74</v>
      </c>
      <c r="P1" s="234" t="s">
        <v>75</v>
      </c>
      <c r="Q1" s="234" t="s">
        <v>76</v>
      </c>
      <c r="R1" s="234" t="s">
        <v>77</v>
      </c>
    </row>
    <row r="2" spans="1:18" s="217" customFormat="1" ht="21" customHeight="1">
      <c r="A2" s="212" t="str">
        <f t="shared" ref="A2:A42" si="0">B2&amp;"_"&amp;C2</f>
        <v>40005001_40005005</v>
      </c>
      <c r="B2" s="235">
        <v>40005001</v>
      </c>
      <c r="C2" s="235">
        <v>40005005</v>
      </c>
      <c r="D2" s="21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マジカルヴェール</v>
      </c>
      <c r="E2" s="214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2" s="235">
        <v>40005002</v>
      </c>
      <c r="G2" s="21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215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21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21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21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21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21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21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21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97"/>
      <c r="Q2" s="97"/>
      <c r="R2" s="97" t="s">
        <v>204</v>
      </c>
    </row>
    <row r="3" spans="1:18" s="219" customFormat="1" ht="21" customHeight="1">
      <c r="A3" s="218" t="str">
        <f t="shared" si="0"/>
        <v>40005001_40005002</v>
      </c>
      <c r="B3" s="192">
        <v>40005001</v>
      </c>
      <c r="C3" s="192">
        <v>40005002</v>
      </c>
      <c r="D3" s="3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東の魔女が消えた♪</v>
      </c>
      <c r="E3" s="3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3" s="192">
        <v>40005003</v>
      </c>
      <c r="G3" s="3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3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7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245</v>
      </c>
      <c r="O3" s="3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191"/>
      <c r="Q3" s="191"/>
      <c r="R3" s="191" t="s">
        <v>205</v>
      </c>
    </row>
    <row r="4" spans="1:18" s="219" customFormat="1" ht="21" customHeight="1">
      <c r="A4" s="218" t="str">
        <f t="shared" si="0"/>
        <v>40005002_40005006</v>
      </c>
      <c r="B4" s="194">
        <v>40005002</v>
      </c>
      <c r="C4" s="194">
        <v>40005006</v>
      </c>
      <c r="D4" s="3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アンチヒール</v>
      </c>
      <c r="E4" s="36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5ターン回復力ダウン</v>
      </c>
      <c r="F4" s="194">
        <v>40005004</v>
      </c>
      <c r="G4" s="3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3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" s="3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93"/>
      <c r="Q4" s="193"/>
      <c r="R4" s="193" t="s">
        <v>206</v>
      </c>
    </row>
    <row r="5" spans="1:18" s="219" customFormat="1" ht="21" customHeight="1">
      <c r="A5" s="218" t="str">
        <f t="shared" si="0"/>
        <v>40005002_40005007</v>
      </c>
      <c r="B5" s="194">
        <v>40005002</v>
      </c>
      <c r="C5" s="194">
        <v>40005007</v>
      </c>
      <c r="D5" s="3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ジャミング</v>
      </c>
      <c r="E5" s="3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5" s="194">
        <v>40005005</v>
      </c>
      <c r="G5" s="3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3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5" s="3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93"/>
      <c r="Q5" s="193"/>
      <c r="R5" s="193" t="s">
        <v>280</v>
      </c>
    </row>
    <row r="6" spans="1:18" s="226" customFormat="1" ht="21" customHeight="1" thickBot="1">
      <c r="A6" s="220" t="str">
        <f t="shared" si="0"/>
        <v>40005002_40005029</v>
      </c>
      <c r="B6" s="236">
        <v>40005002</v>
      </c>
      <c r="C6" s="236">
        <v>40005029</v>
      </c>
      <c r="D6" s="223" t="str">
        <f ca="1">VLOOKUP($C6,OFFSET(enemy_skills!$A$1,0,0,COUNTA(enemy_skills!$A:$A),MATCH(D$1,enemy_skills!$1:$1,0)-MATCH("enemy_skill_id",enemy_skills!$1:$1,0)+1),MATCH(D$1,enemy_skills!$1:$1,0)-MATCH("enemy_skill_id",enemy_skills!$1:$1,0)+1,FALSE)</f>
        <v>魔力吸収</v>
      </c>
      <c r="E6" s="223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6" s="236">
        <v>40005016</v>
      </c>
      <c r="G6" s="22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22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22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22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22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22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22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22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242</v>
      </c>
      <c r="O6" s="22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37"/>
      <c r="Q6" s="237"/>
      <c r="R6" s="237" t="s">
        <v>207</v>
      </c>
    </row>
    <row r="7" spans="1:18" ht="21" customHeight="1" thickBot="1">
      <c r="A7" s="30" t="str">
        <f t="shared" si="0"/>
        <v>40005003_40005004</v>
      </c>
      <c r="B7" s="238">
        <v>40005003</v>
      </c>
      <c r="C7" s="238">
        <v>40005004</v>
      </c>
      <c r="D7" s="239" t="str">
        <f ca="1">VLOOKUP($C7,OFFSET(enemy_skills!$A$1,0,0,COUNTA(enemy_skills!$A:$A),MATCH(D$1,enemy_skills!$1:$1,0)-MATCH("enemy_skill_id",enemy_skills!$1:$1,0)+1),MATCH(D$1,enemy_skills!$1:$1,0)-MATCH("enemy_skill_id",enemy_skills!$1:$1,0)+1,FALSE)</f>
        <v>一気に行くぜ！</v>
      </c>
      <c r="E7" s="239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3ターン後に一斉に襲いかかる！</v>
      </c>
      <c r="F7" s="238">
        <v>40005002</v>
      </c>
      <c r="G7" s="24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240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240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240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240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240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240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240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240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241"/>
      <c r="Q7" s="241"/>
      <c r="R7" s="241" t="s">
        <v>208</v>
      </c>
    </row>
    <row r="8" spans="1:18" s="217" customFormat="1" ht="21" customHeight="1">
      <c r="A8" s="212" t="str">
        <f t="shared" si="0"/>
        <v>40005004_40005021</v>
      </c>
      <c r="B8" s="244">
        <v>40005004</v>
      </c>
      <c r="C8" s="244">
        <v>40005021</v>
      </c>
      <c r="D8" s="21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ロスト・ハート</v>
      </c>
      <c r="E8" s="214" t="str">
        <f ca="1">VLOOKUP($C8,OFFSET(enemy_skills!$A$1,0,0,COUNTA(enemy_skills!$A:$A),MATCH(E$1,enemy_skills!$1:$1,0)-MATCH("enemy_skill_id",enemy_skills!$1:$1,0)+1),MATCH(E$1,enemy_skills!$1:$1,0)-MATCH("enemy_skill_id",enemy_skills!$1:$1,0)+1,FALSE)</f>
        <v>4ターンハート無効</v>
      </c>
      <c r="F8" s="244">
        <v>40005002</v>
      </c>
      <c r="G8" s="21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215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21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21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21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21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21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21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21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245"/>
      <c r="Q8" s="245"/>
      <c r="R8" s="245" t="s">
        <v>210</v>
      </c>
    </row>
    <row r="9" spans="1:18" s="219" customFormat="1" ht="21" customHeight="1">
      <c r="A9" s="218" t="str">
        <f t="shared" si="0"/>
        <v>40005004_40005008</v>
      </c>
      <c r="B9" s="196">
        <v>40005004</v>
      </c>
      <c r="C9" s="196">
        <v>40005008</v>
      </c>
      <c r="D9" s="3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黒山羊の儀式</v>
      </c>
      <c r="E9" s="3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196">
        <v>40005006</v>
      </c>
      <c r="G9" s="3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3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3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9" s="3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195"/>
      <c r="Q9" s="195"/>
      <c r="R9" s="195" t="s">
        <v>209</v>
      </c>
    </row>
    <row r="10" spans="1:18" s="219" customFormat="1" ht="21" customHeight="1">
      <c r="A10" s="218" t="str">
        <f t="shared" si="0"/>
        <v>40005004_40005009</v>
      </c>
      <c r="B10" s="196">
        <v>40005004</v>
      </c>
      <c r="C10" s="196">
        <v>40005009</v>
      </c>
      <c r="D10" s="3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サバトの護石</v>
      </c>
      <c r="E10" s="3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10" s="196">
        <v>40005005</v>
      </c>
      <c r="G10" s="3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3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0" s="3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95"/>
      <c r="Q10" s="195"/>
      <c r="R10" s="195" t="s">
        <v>210</v>
      </c>
    </row>
    <row r="11" spans="1:18" s="219" customFormat="1" ht="21" customHeight="1">
      <c r="A11" s="218" t="str">
        <f t="shared" si="0"/>
        <v>40005004_40005029</v>
      </c>
      <c r="B11" s="196">
        <v>40005004</v>
      </c>
      <c r="C11" s="196">
        <v>40005029</v>
      </c>
      <c r="D11" s="3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魔力吸収</v>
      </c>
      <c r="E11" s="3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11" s="196">
        <v>40005015</v>
      </c>
      <c r="G11" s="3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3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3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11" s="3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95"/>
      <c r="Q11" s="195"/>
      <c r="R11" s="195" t="s">
        <v>209</v>
      </c>
    </row>
    <row r="12" spans="1:18" s="219" customFormat="1" ht="21" customHeight="1">
      <c r="A12" s="218" t="str">
        <f t="shared" si="0"/>
        <v>40005005_40005010</v>
      </c>
      <c r="B12" s="197">
        <v>40005005</v>
      </c>
      <c r="C12" s="197">
        <v>40005010</v>
      </c>
      <c r="D12" s="3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プラチナメテオ</v>
      </c>
      <c r="E12" s="3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" s="198">
        <v>40005006</v>
      </c>
      <c r="G12" s="3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3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2" s="3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3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2" s="199"/>
      <c r="Q12" s="199"/>
      <c r="R12" s="199" t="s">
        <v>211</v>
      </c>
    </row>
    <row r="13" spans="1:18" s="219" customFormat="1" ht="21" customHeight="1">
      <c r="A13" s="218" t="str">
        <f t="shared" si="0"/>
        <v>40005005_40005031</v>
      </c>
      <c r="B13" s="197">
        <v>40005005</v>
      </c>
      <c r="C13" s="197">
        <v>40005031</v>
      </c>
      <c r="D13" s="3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13" s="3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13" s="197">
        <v>40005006</v>
      </c>
      <c r="G13" s="3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3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3" s="3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3" s="3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3" s="199"/>
      <c r="Q13" s="199"/>
      <c r="R13" s="199" t="s">
        <v>261</v>
      </c>
    </row>
    <row r="14" spans="1:18" s="219" customFormat="1" ht="21" customHeight="1">
      <c r="A14" s="218" t="str">
        <f t="shared" si="0"/>
        <v>40005005_40005003</v>
      </c>
      <c r="B14" s="205">
        <v>40005005</v>
      </c>
      <c r="C14" s="205">
        <v>40005003</v>
      </c>
      <c r="D14" s="20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14" s="20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14" s="205">
        <v>40005008</v>
      </c>
      <c r="G14" s="20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20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20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20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0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0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20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0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14" s="20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208"/>
      <c r="Q14" s="208"/>
      <c r="R14" s="208" t="s">
        <v>261</v>
      </c>
    </row>
    <row r="15" spans="1:18" s="230" customFormat="1" ht="21" customHeight="1">
      <c r="A15" s="246" t="str">
        <f t="shared" ref="A15:A23" si="1">B15&amp;"_"&amp;C15</f>
        <v>40005009_40005023</v>
      </c>
      <c r="B15" s="196">
        <v>40005009</v>
      </c>
      <c r="C15" s="196">
        <v>40005023</v>
      </c>
      <c r="D15" s="3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ダブルマジック</v>
      </c>
      <c r="E15" s="3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15" s="196">
        <v>40005006</v>
      </c>
      <c r="G15" s="3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3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5" s="3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5" s="3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5" s="195"/>
      <c r="Q15" s="195"/>
      <c r="R15" s="195" t="s">
        <v>209</v>
      </c>
    </row>
    <row r="16" spans="1:18" s="230" customFormat="1" ht="21" customHeight="1">
      <c r="A16" s="246" t="str">
        <f t="shared" si="1"/>
        <v>40005009_40005027</v>
      </c>
      <c r="B16" s="196">
        <v>40005009</v>
      </c>
      <c r="C16" s="196">
        <v>40005027</v>
      </c>
      <c r="D16" s="3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ロスト・ブレイブリー</v>
      </c>
      <c r="E16" s="3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3ターン攻撃力ダウン</v>
      </c>
      <c r="F16" s="196">
        <v>40005033</v>
      </c>
      <c r="G16" s="3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3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95"/>
      <c r="Q16" s="195"/>
      <c r="R16" s="195" t="s">
        <v>209</v>
      </c>
    </row>
    <row r="17" spans="1:18" s="230" customFormat="1" ht="21" customHeight="1">
      <c r="A17" s="246" t="str">
        <f t="shared" si="1"/>
        <v>40005009_40005029</v>
      </c>
      <c r="B17" s="196">
        <v>40005009</v>
      </c>
      <c r="C17" s="196">
        <v>40005029</v>
      </c>
      <c r="D17" s="3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魔力吸収</v>
      </c>
      <c r="E17" s="3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17" s="196">
        <v>40005015</v>
      </c>
      <c r="G17" s="3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3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7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212</v>
      </c>
      <c r="O17" s="3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95"/>
      <c r="Q17" s="195"/>
      <c r="R17" s="195" t="s">
        <v>209</v>
      </c>
    </row>
    <row r="18" spans="1:18" s="230" customFormat="1" ht="21" customHeight="1">
      <c r="A18" s="246" t="str">
        <f t="shared" si="1"/>
        <v>40005010_40005028</v>
      </c>
      <c r="B18" s="197">
        <v>40005010</v>
      </c>
      <c r="C18" s="197">
        <v>40005028</v>
      </c>
      <c r="D18" s="3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クロックメテオEX</v>
      </c>
      <c r="E18" s="3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時限式ダメージパネル×5</v>
      </c>
      <c r="F18" s="197">
        <v>40005006</v>
      </c>
      <c r="G18" s="3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3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8" s="3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8" s="3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8" s="199"/>
      <c r="Q18" s="199"/>
      <c r="R18" s="199" t="s">
        <v>281</v>
      </c>
    </row>
    <row r="19" spans="1:18" s="219" customFormat="1" ht="21" customHeight="1">
      <c r="A19" s="218" t="str">
        <f t="shared" si="1"/>
        <v>40005010_40005031</v>
      </c>
      <c r="B19" s="197">
        <v>40005010</v>
      </c>
      <c r="C19" s="197">
        <v>40005031</v>
      </c>
      <c r="D19" s="3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マジカルバランサー</v>
      </c>
      <c r="E19" s="3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19" s="197">
        <v>40005006</v>
      </c>
      <c r="G19" s="3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3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9" s="3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9" s="3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9" s="199"/>
      <c r="Q19" s="199"/>
      <c r="R19" s="199" t="s">
        <v>211</v>
      </c>
    </row>
    <row r="20" spans="1:18" s="230" customFormat="1" ht="21" customHeight="1">
      <c r="A20" s="246" t="str">
        <f t="shared" si="1"/>
        <v>40005010_40005026</v>
      </c>
      <c r="B20" s="197">
        <v>40005010</v>
      </c>
      <c r="C20" s="197">
        <v>40005026</v>
      </c>
      <c r="D20" s="3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ロスト・ブレイン</v>
      </c>
      <c r="E20" s="3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3ターンスキルが使えない！</v>
      </c>
      <c r="F20" s="197">
        <v>40005002</v>
      </c>
      <c r="G20" s="3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3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3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99"/>
      <c r="Q20" s="199"/>
      <c r="R20" s="199" t="s">
        <v>257</v>
      </c>
    </row>
    <row r="21" spans="1:18" s="230" customFormat="1" ht="21" customHeight="1">
      <c r="A21" s="246" t="str">
        <f t="shared" si="1"/>
        <v>40005010_40005003</v>
      </c>
      <c r="B21" s="197">
        <v>40005010</v>
      </c>
      <c r="C21" s="197">
        <v>40005003</v>
      </c>
      <c r="D21" s="3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西の魔女が消えた♪</v>
      </c>
      <c r="E21" s="3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ハートパネル7個出現</v>
      </c>
      <c r="F21" s="197">
        <v>40005008</v>
      </c>
      <c r="G21" s="3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3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176</v>
      </c>
      <c r="O21" s="3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99"/>
      <c r="Q21" s="199"/>
      <c r="R21" s="199" t="s">
        <v>260</v>
      </c>
    </row>
    <row r="22" spans="1:18" s="250" customFormat="1" ht="21" customHeight="1" thickBot="1">
      <c r="A22" s="247" t="str">
        <f t="shared" si="1"/>
        <v>40005010_40005030</v>
      </c>
      <c r="B22" s="248">
        <v>40005010</v>
      </c>
      <c r="C22" s="248">
        <v>40005030</v>
      </c>
      <c r="D22" s="22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乙女座流星群</v>
      </c>
      <c r="E22" s="22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お邪魔パネル×8</v>
      </c>
      <c r="F22" s="248">
        <v>40005005</v>
      </c>
      <c r="G22" s="22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22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22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224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2" s="22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22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22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22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22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249"/>
      <c r="Q22" s="249"/>
      <c r="R22" s="249" t="s">
        <v>260</v>
      </c>
    </row>
    <row r="23" spans="1:18" s="243" customFormat="1" ht="21" customHeight="1">
      <c r="A23" s="242" t="str">
        <f t="shared" si="1"/>
        <v>40005006_40005044</v>
      </c>
      <c r="B23" s="202">
        <v>40005006</v>
      </c>
      <c r="C23" s="202">
        <v>40005044</v>
      </c>
      <c r="D23" s="20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恐れよ！私がオズだ！</v>
      </c>
      <c r="E23" s="20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</v>
      </c>
      <c r="F23" s="202">
        <v>40005002</v>
      </c>
      <c r="G23" s="210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210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210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210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210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210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210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210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210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211"/>
      <c r="Q23" s="211"/>
      <c r="R23" s="211" t="s">
        <v>282</v>
      </c>
    </row>
    <row r="24" spans="1:18" s="219" customFormat="1" ht="21" customHeight="1">
      <c r="A24" s="218" t="str">
        <f t="shared" si="0"/>
        <v>40005006_40005012</v>
      </c>
      <c r="B24" s="202">
        <v>40005006</v>
      </c>
      <c r="C24" s="202">
        <v>40005012</v>
      </c>
      <c r="D24" s="20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封印解放【左手】</v>
      </c>
      <c r="E24" s="20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24" s="202">
        <v>40005009</v>
      </c>
      <c r="G24" s="210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210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210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210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210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210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210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210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210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211"/>
      <c r="Q24" s="211"/>
      <c r="R24" s="211" t="s">
        <v>212</v>
      </c>
    </row>
    <row r="25" spans="1:18" s="219" customFormat="1" ht="21" customHeight="1">
      <c r="A25" s="218" t="str">
        <f t="shared" si="0"/>
        <v>40005006_40005013</v>
      </c>
      <c r="B25" s="201">
        <v>40005006</v>
      </c>
      <c r="C25" s="201">
        <v>40005013</v>
      </c>
      <c r="D25" s="3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封印解放【右手】</v>
      </c>
      <c r="E25" s="3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さらに攻撃力アップ</v>
      </c>
      <c r="F25" s="201">
        <v>40005010</v>
      </c>
      <c r="G25" s="3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3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3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200"/>
      <c r="Q25" s="200"/>
      <c r="R25" s="200" t="s">
        <v>212</v>
      </c>
    </row>
    <row r="26" spans="1:18" s="219" customFormat="1" ht="21" customHeight="1">
      <c r="A26" s="218" t="str">
        <f t="shared" si="0"/>
        <v>40005006_40005014</v>
      </c>
      <c r="B26" s="201">
        <v>40005006</v>
      </c>
      <c r="C26" s="201">
        <v>40005014</v>
      </c>
      <c r="D26" s="3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封印術式完全解放</v>
      </c>
      <c r="E26" s="3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【！】かなり攻撃力アップ【！】</v>
      </c>
      <c r="F26" s="201">
        <v>40005011</v>
      </c>
      <c r="G26" s="3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3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6" s="3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00"/>
      <c r="Q26" s="200"/>
      <c r="R26" s="200" t="s">
        <v>212</v>
      </c>
    </row>
    <row r="27" spans="1:18" s="219" customFormat="1" ht="21" customHeight="1">
      <c r="A27" s="218" t="str">
        <f t="shared" si="0"/>
        <v>40005006_40005015</v>
      </c>
      <c r="B27" s="201">
        <v>40005006</v>
      </c>
      <c r="C27" s="202">
        <v>40005015</v>
      </c>
      <c r="D27" s="3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石の心臓を与えよう</v>
      </c>
      <c r="E27" s="3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7" s="201">
        <v>40005012</v>
      </c>
      <c r="G27" s="3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7" s="3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7" s="3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7" s="200"/>
      <c r="Q27" s="200"/>
      <c r="R27" s="200" t="s">
        <v>192</v>
      </c>
    </row>
    <row r="28" spans="1:18" s="219" customFormat="1" ht="21" customHeight="1">
      <c r="A28" s="218" t="str">
        <f t="shared" si="0"/>
        <v>40005006_40005024</v>
      </c>
      <c r="B28" s="201">
        <v>40005006</v>
      </c>
      <c r="C28" s="202">
        <v>40005024</v>
      </c>
      <c r="D28" s="3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勇気の石を与えよう</v>
      </c>
      <c r="E28" s="3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8" s="201">
        <v>40005013</v>
      </c>
      <c r="G28" s="3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3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3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200"/>
      <c r="Q28" s="200"/>
      <c r="R28" s="200" t="s">
        <v>192</v>
      </c>
    </row>
    <row r="29" spans="1:18" s="219" customFormat="1" ht="21" customHeight="1" thickBot="1">
      <c r="A29" s="218" t="str">
        <f t="shared" si="0"/>
        <v>40005006_40005025</v>
      </c>
      <c r="B29" s="227">
        <v>40005006</v>
      </c>
      <c r="C29" s="228">
        <v>40005025</v>
      </c>
      <c r="D29" s="20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石の脳を与えよう</v>
      </c>
      <c r="E29" s="20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お邪魔パネル×4</v>
      </c>
      <c r="F29" s="227">
        <v>40005014</v>
      </c>
      <c r="G29" s="20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20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20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20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20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20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20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20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20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229"/>
      <c r="Q29" s="229"/>
      <c r="R29" s="229" t="s">
        <v>192</v>
      </c>
    </row>
    <row r="30" spans="1:18" s="232" customFormat="1" ht="21" customHeight="1">
      <c r="A30" s="231" t="str">
        <f t="shared" si="0"/>
        <v>40005007_40005016</v>
      </c>
      <c r="B30" s="213">
        <v>40005007</v>
      </c>
      <c r="C30" s="213">
        <v>40005016</v>
      </c>
      <c r="D30" s="21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翠玉の結界</v>
      </c>
      <c r="E30" s="21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3ターン防御力アップ＆状態異常無効</v>
      </c>
      <c r="F30" s="213">
        <v>40005002</v>
      </c>
      <c r="G30" s="21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21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21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21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21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21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21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21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21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216"/>
      <c r="Q30" s="216"/>
      <c r="R30" s="216" t="s">
        <v>212</v>
      </c>
    </row>
    <row r="31" spans="1:18" s="219" customFormat="1" ht="21" customHeight="1">
      <c r="A31" s="218" t="str">
        <f>B31&amp;"_"&amp;C31</f>
        <v>40005007_40005011</v>
      </c>
      <c r="B31" s="202">
        <v>40005007</v>
      </c>
      <c r="C31" s="202">
        <v>40005011</v>
      </c>
      <c r="D31" s="20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ヒール封印術</v>
      </c>
      <c r="E31" s="20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解除するまでハート無効</v>
      </c>
      <c r="F31" s="202">
        <v>40005033</v>
      </c>
      <c r="G31" s="210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210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210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210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210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210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210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210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210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211"/>
      <c r="Q31" s="211"/>
      <c r="R31" s="211" t="s">
        <v>212</v>
      </c>
    </row>
    <row r="32" spans="1:18" s="219" customFormat="1" ht="21" customHeight="1">
      <c r="A32" s="218" t="str">
        <f>B32&amp;"_"&amp;C32</f>
        <v>40005007_40005045</v>
      </c>
      <c r="B32" s="202">
        <v>40005007</v>
      </c>
      <c r="C32" s="202">
        <v>40005045</v>
      </c>
      <c r="D32" s="209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足掻くが良い！</v>
      </c>
      <c r="E32" s="209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クリティカル＆お邪魔パネル×4</v>
      </c>
      <c r="F32" s="202">
        <v>40005034</v>
      </c>
      <c r="G32" s="210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210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210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210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210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210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210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210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210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211"/>
      <c r="Q32" s="211"/>
      <c r="R32" s="211" t="s">
        <v>192</v>
      </c>
    </row>
    <row r="33" spans="1:18" s="219" customFormat="1" ht="21" customHeight="1">
      <c r="A33" s="218" t="str">
        <f t="shared" si="0"/>
        <v>40005007_40005017</v>
      </c>
      <c r="B33" s="201">
        <v>40005007</v>
      </c>
      <c r="C33" s="202">
        <v>40005017</v>
      </c>
      <c r="D33" s="3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オズの魔力を見よ！</v>
      </c>
      <c r="E33" s="209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次のターンお邪魔パネル大量発生</v>
      </c>
      <c r="F33" s="202">
        <v>400050017</v>
      </c>
      <c r="G33" s="3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3" s="3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33" s="3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3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200"/>
      <c r="Q33" s="200"/>
      <c r="R33" s="200" t="s">
        <v>212</v>
      </c>
    </row>
    <row r="34" spans="1:18" s="226" customFormat="1" ht="21" customHeight="1" thickBot="1">
      <c r="A34" s="220" t="str">
        <f t="shared" si="0"/>
        <v>40005007_40005019</v>
      </c>
      <c r="B34" s="221">
        <v>40005007</v>
      </c>
      <c r="C34" s="222">
        <v>40005019</v>
      </c>
      <c r="D34" s="22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どうだ素晴らしいだろう！</v>
      </c>
      <c r="E34" s="26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お邪魔パネル×15</v>
      </c>
      <c r="F34" s="222">
        <v>400050018</v>
      </c>
      <c r="G34" s="22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22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4" s="22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224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34" s="22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22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224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22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22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225"/>
      <c r="Q34" s="225"/>
      <c r="R34" s="225" t="s">
        <v>212</v>
      </c>
    </row>
    <row r="35" spans="1:18" ht="21" customHeight="1">
      <c r="A35" s="30" t="str">
        <f t="shared" si="0"/>
        <v>40005008_40005018</v>
      </c>
      <c r="B35" s="202">
        <v>40005008</v>
      </c>
      <c r="C35" s="202">
        <v>40005018</v>
      </c>
      <c r="D35" s="209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私の前に跪け！</v>
      </c>
      <c r="E35" s="209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5ターン攻撃力ダウン＆敵状態異常無効</v>
      </c>
      <c r="F35" s="202">
        <v>40005002</v>
      </c>
      <c r="G35" s="210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210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210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210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210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210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210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210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210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211"/>
      <c r="Q35" s="211"/>
      <c r="R35" s="211" t="s">
        <v>192</v>
      </c>
    </row>
    <row r="36" spans="1:18" ht="21" customHeight="1">
      <c r="A36" s="30" t="str">
        <f t="shared" ref="A36" si="2">B36&amp;"_"&amp;C36</f>
        <v>40005008_40005032</v>
      </c>
      <c r="B36" s="201">
        <v>40005008</v>
      </c>
      <c r="C36" s="201">
        <v>40005032</v>
      </c>
      <c r="D36" s="3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ははは！私は無敵だ！</v>
      </c>
      <c r="E36" s="209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36" s="202">
        <v>40005019</v>
      </c>
      <c r="G36" s="210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210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210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210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210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210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210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210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210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200"/>
      <c r="Q36" s="200"/>
      <c r="R36" s="200" t="s">
        <v>192</v>
      </c>
    </row>
    <row r="37" spans="1:18" ht="21" customHeight="1">
      <c r="A37" s="30" t="str">
        <f t="shared" si="0"/>
        <v>40005008_40005046</v>
      </c>
      <c r="B37" s="201">
        <v>40005008</v>
      </c>
      <c r="C37" s="201">
        <v>40005046</v>
      </c>
      <c r="D37" s="3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魔の戦輪！</v>
      </c>
      <c r="E37" s="209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次のターンからどんどん強くなる！</v>
      </c>
      <c r="F37" s="202">
        <v>40005020</v>
      </c>
      <c r="G37" s="3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210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7" s="3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210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3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200"/>
      <c r="Q37" s="200"/>
      <c r="R37" s="200" t="s">
        <v>192</v>
      </c>
    </row>
    <row r="38" spans="1:18" ht="21" customHeight="1">
      <c r="A38" s="30" t="str">
        <f t="shared" si="0"/>
        <v>40005008_40005033</v>
      </c>
      <c r="B38" s="201">
        <v>40005008</v>
      </c>
      <c r="C38" s="201">
        <v>40005033</v>
      </c>
      <c r="D38" s="3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手も足も出まい！</v>
      </c>
      <c r="E38" s="209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2回連続攻撃＆2ターンスキルバインド</v>
      </c>
      <c r="F38" s="202">
        <v>40005021</v>
      </c>
      <c r="G38" s="3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210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8" s="3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210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3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200"/>
      <c r="Q38" s="200"/>
      <c r="R38" s="200" t="s">
        <v>192</v>
      </c>
    </row>
    <row r="39" spans="1:18" ht="21" customHeight="1">
      <c r="A39" s="30" t="str">
        <f t="shared" si="0"/>
        <v>40005008_40005047</v>
      </c>
      <c r="B39" s="201">
        <v>40005008</v>
      </c>
      <c r="C39" s="203">
        <v>40005047</v>
      </c>
      <c r="D39" s="3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戦輪二連撃</v>
      </c>
      <c r="E39" s="209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9" s="202">
        <v>40005022</v>
      </c>
      <c r="G39" s="3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210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9" s="3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210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3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200"/>
      <c r="Q39" s="200"/>
      <c r="R39" s="200" t="s">
        <v>192</v>
      </c>
    </row>
    <row r="40" spans="1:18" ht="21" customHeight="1">
      <c r="A40" s="30" t="str">
        <f t="shared" si="0"/>
        <v>40005008_40005020</v>
      </c>
      <c r="B40" s="201">
        <v>40005008</v>
      </c>
      <c r="C40" s="201">
        <v>40005020</v>
      </c>
      <c r="D40" s="3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無様だな！</v>
      </c>
      <c r="E40" s="20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3回連続攻撃＆お邪魔パネル×10</v>
      </c>
      <c r="F40" s="202">
        <v>40005023</v>
      </c>
      <c r="G40" s="3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210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0" s="3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3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210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0" s="3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200"/>
      <c r="Q40" s="200"/>
      <c r="R40" s="200" t="s">
        <v>192</v>
      </c>
    </row>
    <row r="41" spans="1:18" ht="21" customHeight="1">
      <c r="A41" s="30" t="str">
        <f t="shared" si="0"/>
        <v>40005008_40005048</v>
      </c>
      <c r="B41" s="201">
        <v>40005008</v>
      </c>
      <c r="C41" s="201">
        <v>40005048</v>
      </c>
      <c r="D41" s="3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戦輪三連撃</v>
      </c>
      <c r="E41" s="209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1" s="202">
        <v>40005024</v>
      </c>
      <c r="G41" s="3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210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" s="3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210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1" s="3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200"/>
      <c r="Q41" s="200"/>
      <c r="R41" s="200" t="s">
        <v>192</v>
      </c>
    </row>
    <row r="42" spans="1:18" ht="21" customHeight="1">
      <c r="A42" s="30" t="str">
        <f t="shared" si="0"/>
        <v>40005008_40005034</v>
      </c>
      <c r="B42" s="201">
        <v>40005008</v>
      </c>
      <c r="C42" s="201">
        <v>40005034</v>
      </c>
      <c r="D42" s="3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どうだ、降伏するか？</v>
      </c>
      <c r="E42" s="209" t="str">
        <f ca="1">VLOOKUP($C42,OFFSET(enemy_skills!$A$1,0,0,COUNTA(enemy_skills!$A:$A),MATCH(E$1,enemy_skills!$1:$1,0)-MATCH("enemy_skill_id",enemy_skills!$1:$1,0)+1),MATCH(E$1,enemy_skills!$1:$1,0)-MATCH("enemy_skill_id",enemy_skills!$1:$1,0)+1,FALSE)</f>
        <v>4回連続攻撃＆永続攻撃力ダウン</v>
      </c>
      <c r="F42" s="202">
        <v>40005025</v>
      </c>
      <c r="G42" s="3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210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3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210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2" s="3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200"/>
      <c r="Q42" s="200"/>
      <c r="R42" s="200" t="s">
        <v>192</v>
      </c>
    </row>
    <row r="43" spans="1:18" ht="21" customHeight="1">
      <c r="A43" s="30" t="str">
        <f t="shared" ref="A43:A47" si="3">B43&amp;"_"&amp;C43</f>
        <v>40005008_40005049</v>
      </c>
      <c r="B43" s="201">
        <v>40005008</v>
      </c>
      <c r="C43" s="201">
        <v>40005049</v>
      </c>
      <c r="D43" s="3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戦輪四連撃</v>
      </c>
      <c r="E43" s="209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3" s="202">
        <v>40005026</v>
      </c>
      <c r="G43" s="3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210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3" s="3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210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3" s="3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200"/>
      <c r="Q43" s="200"/>
      <c r="R43" s="200" t="s">
        <v>192</v>
      </c>
    </row>
    <row r="44" spans="1:18" ht="21" customHeight="1">
      <c r="A44" s="30" t="str">
        <f t="shared" si="3"/>
        <v>40005008_40005035</v>
      </c>
      <c r="B44" s="201">
        <v>40005008</v>
      </c>
      <c r="C44" s="203">
        <v>40005035</v>
      </c>
      <c r="D44" s="3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ダメ押しだ！</v>
      </c>
      <c r="E44" s="20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4" s="202">
        <v>40005027</v>
      </c>
      <c r="G44" s="3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210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3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210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4" s="3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200"/>
      <c r="Q44" s="200"/>
      <c r="R44" s="200" t="s">
        <v>192</v>
      </c>
    </row>
    <row r="45" spans="1:18" ht="21" customHeight="1">
      <c r="A45" s="30" t="str">
        <f t="shared" si="3"/>
        <v>40005008_40005050</v>
      </c>
      <c r="B45" s="201">
        <v>40005008</v>
      </c>
      <c r="C45" s="201">
        <v>40005050</v>
      </c>
      <c r="D45" s="3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戦輪五連撃</v>
      </c>
      <c r="E45" s="209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5" s="202">
        <v>40005028</v>
      </c>
      <c r="G45" s="3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210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5" s="3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3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210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45" s="3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200"/>
      <c r="Q45" s="200"/>
      <c r="R45" s="200" t="s">
        <v>192</v>
      </c>
    </row>
    <row r="46" spans="1:18" ht="21" customHeight="1">
      <c r="A46" s="30" t="str">
        <f t="shared" si="3"/>
        <v>40005008_40005051</v>
      </c>
      <c r="B46" s="201">
        <v>40005008</v>
      </c>
      <c r="C46" s="201">
        <v>40005051</v>
      </c>
      <c r="D46" s="3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君は随分しぶといな！</v>
      </c>
      <c r="E46" s="209" t="str">
        <f ca="1">VLOOKUP($C46,OFFSET(enemy_skills!$A$1,0,0,COUNTA(enemy_skills!$A:$A),MATCH(E$1,enemy_skills!$1:$1,0)-MATCH("enemy_skill_id",enemy_skills!$1:$1,0)+1),MATCH(E$1,enemy_skills!$1:$1,0)-MATCH("enemy_skill_id",enemy_skills!$1:$1,0)+1,FALSE)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6" s="202">
        <v>40005029</v>
      </c>
      <c r="G46" s="3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210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6" s="3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3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210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46" s="3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200"/>
      <c r="Q46" s="200"/>
      <c r="R46" s="200" t="s">
        <v>192</v>
      </c>
    </row>
    <row r="47" spans="1:18" ht="21" customHeight="1">
      <c r="A47" s="30" t="str">
        <f t="shared" si="3"/>
        <v>40005008_40005036</v>
      </c>
      <c r="B47" s="201">
        <v>40005008</v>
      </c>
      <c r="C47" s="201">
        <v>40005036</v>
      </c>
      <c r="D47" s="3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戦輪六連撃</v>
      </c>
      <c r="E47" s="209" t="str">
        <f ca="1">VLOOKUP($C47,OFFSET(enemy_skills!$A$1,0,0,COUNTA(enemy_skills!$A:$A),MATCH(E$1,enemy_skills!$1:$1,0)-MATCH("enemy_skill_id",enemy_skills!$1:$1,0)+1),MATCH(E$1,enemy_skills!$1:$1,0)-MATCH("enemy_skill_id",enemy_skills!$1:$1,0)+1,FALSE)</f>
        <v>6回連続攻撃＆3ターン防御力ダウン</v>
      </c>
      <c r="F47" s="202">
        <v>40005036</v>
      </c>
      <c r="G47" s="3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210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3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210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3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200"/>
      <c r="Q47" s="200"/>
      <c r="R47" s="200" t="s">
        <v>192</v>
      </c>
    </row>
    <row r="48" spans="1:18" ht="21" customHeight="1">
      <c r="A48" s="30" t="str">
        <f t="shared" ref="A48" si="4">B48&amp;"_"&amp;C48</f>
        <v>40005008_40005052</v>
      </c>
      <c r="B48" s="201">
        <v>40005008</v>
      </c>
      <c r="C48" s="201">
        <v>40005052</v>
      </c>
      <c r="D48" s="3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そろそろ諦めるんだな！</v>
      </c>
      <c r="E48" s="209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8" s="202">
        <v>40005035</v>
      </c>
      <c r="G48" s="3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210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8" s="3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3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210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48" s="3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200"/>
      <c r="Q48" s="200"/>
      <c r="R48" s="200" t="s">
        <v>192</v>
      </c>
    </row>
    <row r="49" spans="8:8" ht="21" customHeight="1">
      <c r="H49" s="210"/>
    </row>
    <row r="50" spans="8:8" ht="21" customHeight="1">
      <c r="H50" s="210"/>
    </row>
    <row r="51" spans="8:8" ht="21" customHeight="1">
      <c r="H51" s="21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5"/>
  <sheetViews>
    <sheetView showGridLines="0" workbookViewId="0">
      <pane ySplit="1" topLeftCell="A2" activePane="bottomLeft" state="frozenSplit"/>
      <selection pane="bottomLeft" activeCell="D19" sqref="D19"/>
    </sheetView>
  </sheetViews>
  <sheetFormatPr baseColWidth="12" defaultColWidth="12.83203125" defaultRowHeight="21" customHeight="1" outlineLevelCol="1" x14ac:dyDescent="0"/>
  <cols>
    <col min="1" max="1" width="12.83203125" style="38"/>
    <col min="2" max="2" width="67.1640625" style="38" customWidth="1"/>
    <col min="3" max="4" width="12.83203125" style="38"/>
    <col min="5" max="5" width="23.6640625" style="38" bestFit="1" customWidth="1"/>
    <col min="6" max="6" width="44.1640625" style="38" bestFit="1" customWidth="1"/>
    <col min="7" max="7" width="52" style="38" hidden="1" customWidth="1" outlineLevel="1"/>
    <col min="8" max="8" width="18.33203125" style="38" hidden="1" customWidth="1" outlineLevel="1"/>
    <col min="9" max="11" width="18.6640625" style="38" hidden="1" customWidth="1" outlineLevel="1"/>
    <col min="12" max="12" width="23.6640625" style="38" customWidth="1" collapsed="1"/>
    <col min="13" max="18" width="23.6640625" style="38" hidden="1" customWidth="1" outlineLevel="1"/>
    <col min="19" max="19" width="23.6640625" style="38" customWidth="1" collapsed="1"/>
    <col min="20" max="24" width="23.6640625" style="38" hidden="1" customWidth="1" outlineLevel="1"/>
    <col min="25" max="25" width="23.6640625" style="38" customWidth="1" collapsed="1"/>
    <col min="26" max="27" width="12.83203125" style="38"/>
    <col min="28" max="28" width="44.5" style="38" customWidth="1"/>
    <col min="29" max="16384" width="12.83203125" style="38"/>
  </cols>
  <sheetData>
    <row r="1" spans="1:28" ht="21" customHeight="1">
      <c r="A1" s="31" t="s">
        <v>78</v>
      </c>
      <c r="B1" s="31" t="s">
        <v>79</v>
      </c>
      <c r="C1" s="31" t="s">
        <v>80</v>
      </c>
      <c r="D1" s="31" t="s">
        <v>124</v>
      </c>
      <c r="E1" s="31" t="s">
        <v>81</v>
      </c>
      <c r="F1" s="31" t="s">
        <v>82</v>
      </c>
      <c r="G1" s="32" t="s">
        <v>129</v>
      </c>
      <c r="H1" s="32" t="s">
        <v>135</v>
      </c>
      <c r="I1" s="32" t="s">
        <v>137</v>
      </c>
      <c r="J1" s="32" t="s">
        <v>136</v>
      </c>
      <c r="K1" s="32" t="s">
        <v>138</v>
      </c>
      <c r="L1" s="32" t="s">
        <v>130</v>
      </c>
      <c r="M1" s="32" t="s">
        <v>128</v>
      </c>
      <c r="N1" s="32" t="s">
        <v>131</v>
      </c>
      <c r="O1" s="32" t="s">
        <v>139</v>
      </c>
      <c r="P1" s="32" t="s">
        <v>140</v>
      </c>
      <c r="Q1" s="32" t="s">
        <v>141</v>
      </c>
      <c r="R1" s="32" t="s">
        <v>142</v>
      </c>
      <c r="S1" s="32" t="s">
        <v>132</v>
      </c>
      <c r="T1" s="32" t="s">
        <v>133</v>
      </c>
      <c r="U1" s="32" t="s">
        <v>143</v>
      </c>
      <c r="V1" s="32" t="s">
        <v>144</v>
      </c>
      <c r="W1" s="32" t="s">
        <v>145</v>
      </c>
      <c r="X1" s="32" t="s">
        <v>146</v>
      </c>
      <c r="Y1" s="32" t="s">
        <v>134</v>
      </c>
      <c r="Z1" s="32" t="s">
        <v>75</v>
      </c>
      <c r="AA1" s="32" t="s">
        <v>76</v>
      </c>
      <c r="AB1" s="32" t="s">
        <v>77</v>
      </c>
    </row>
    <row r="2" spans="1:28" ht="21" customHeight="1">
      <c r="A2" s="142">
        <v>40005002</v>
      </c>
      <c r="B2" s="145" t="s">
        <v>226</v>
      </c>
      <c r="C2" s="39">
        <v>3</v>
      </c>
      <c r="D2" s="39" t="s">
        <v>182</v>
      </c>
      <c r="E2" s="40" t="s">
        <v>183</v>
      </c>
      <c r="F2" s="40" t="s">
        <v>213</v>
      </c>
      <c r="G2" s="52" t="str">
        <f t="shared" ref="G2:G19" si="0">IFERROR(LEFT(B2,FIND("],",B2)),B2)</f>
        <v>[effect:change_block, new_block:block_heart, target:block_all, count:7, val:0.1, animation:change_block]</v>
      </c>
      <c r="H2" s="52">
        <f t="shared" ref="H2:H19" si="1">FIND("effect:",G2)+7</f>
        <v>9</v>
      </c>
      <c r="I2" s="52">
        <f t="shared" ref="I2:I19" si="2">IFERROR(FIND(",",G2),LEN(G2))</f>
        <v>21</v>
      </c>
      <c r="J2" s="52">
        <f t="shared" ref="J2:J19" si="3">FIND("target:",G2)+7</f>
        <v>53</v>
      </c>
      <c r="K2" s="52">
        <f t="shared" ref="K2:K19" si="4">FIND(",",G2,I2+1)</f>
        <v>44</v>
      </c>
      <c r="L2" s="52" t="str">
        <f>IFERROR(VLOOKUP(MID(G2,J2,K2-J2),[5]skilldef!$C:$D,2,FALSE),"-") &amp; " / " &amp; IFERROR(VLOOKUP(MID(G2,H2,I2-H2),[5]skilldef!$A:$B,2,FALSE),"-")</f>
        <v>- / ブロック変換</v>
      </c>
      <c r="M2" s="52" t="str">
        <f t="shared" ref="M2:M19" si="5">IFERROR(RIGHT(B2,LEN(B2)-FIND("],",B2)-1),"none")</f>
        <v>none</v>
      </c>
      <c r="N2" s="37" t="str">
        <f t="shared" ref="N2:N9" si="6">IFERROR(LEFT(M2,FIND("],",M2)+S12),M2)</f>
        <v>none</v>
      </c>
      <c r="O2" s="52" t="e">
        <f t="shared" ref="O2:O19" si="7">FIND("effect:",N2)+7</f>
        <v>#VALUE!</v>
      </c>
      <c r="P2" s="52">
        <f t="shared" ref="P2:P19" si="8">IFERROR(FIND(",",N2),LEN(N2))</f>
        <v>4</v>
      </c>
      <c r="Q2" s="52" t="e">
        <f t="shared" ref="Q2:Q19" si="9">FIND("target:",N2)+7</f>
        <v>#VALUE!</v>
      </c>
      <c r="R2" s="52" t="e">
        <f t="shared" ref="R2:R19" si="10">FIND(",",N2,P2+1)</f>
        <v>#VALUE!</v>
      </c>
      <c r="S2" s="52" t="str">
        <f>IFERROR(VLOOKUP(MID(N2,Q2,R2-Q2),[5]skilldef!$C:$D,2,FALSE),"-") &amp; " / " &amp; IFERROR(VLOOKUP(MID(N2,O2,P2-O2),[5]skilldef!$A:$B,2,FALSE),"-")</f>
        <v>- / -</v>
      </c>
      <c r="T2" s="37" t="str">
        <f t="shared" ref="T2:T19" si="11">IFERROR(RIGHT(M2,LEN(M2)-FIND("],",M2)-1),"none")</f>
        <v>none</v>
      </c>
      <c r="U2" s="52" t="e">
        <f t="shared" ref="U2:U19" si="12">FIND("effect:",T2)+7</f>
        <v>#VALUE!</v>
      </c>
      <c r="V2" s="52">
        <f t="shared" ref="V2:V19" si="13">IFERROR(FIND(",",T2),LEN(T2))</f>
        <v>4</v>
      </c>
      <c r="W2" s="52" t="e">
        <f t="shared" ref="W2:W19" si="14">FIND("target:",T2)+7</f>
        <v>#VALUE!</v>
      </c>
      <c r="X2" s="52" t="e">
        <f t="shared" ref="X2:X19" si="15">FIND(",",T2,V2+1)</f>
        <v>#VALUE!</v>
      </c>
      <c r="Y2" s="52" t="str">
        <f>IFERROR(VLOOKUP(MID(T2,W2,X2-W2),[5]skilldef!$C:$D,2,FALSE),"-") &amp; " / " &amp; IFERROR(VLOOKUP(MID(T2,U2,V2-U2),[5]skilldef!$A:$B,2,FALSE),"-")</f>
        <v>- / -</v>
      </c>
      <c r="Z2" s="39" t="s">
        <v>191</v>
      </c>
      <c r="AA2" s="41"/>
      <c r="AB2" s="39" t="s">
        <v>193</v>
      </c>
    </row>
    <row r="3" spans="1:28" ht="21" customHeight="1">
      <c r="A3" s="142">
        <v>40005003</v>
      </c>
      <c r="B3" s="145" t="s">
        <v>226</v>
      </c>
      <c r="C3" s="39">
        <v>3</v>
      </c>
      <c r="D3" s="39" t="s">
        <v>184</v>
      </c>
      <c r="E3" s="40" t="s">
        <v>185</v>
      </c>
      <c r="F3" s="40" t="s">
        <v>213</v>
      </c>
      <c r="G3" s="52" t="str">
        <f t="shared" si="0"/>
        <v>[effect:change_block, new_block:block_heart, target:block_all, count:7, val:0.1, animation:change_block]</v>
      </c>
      <c r="H3" s="52">
        <f t="shared" si="1"/>
        <v>9</v>
      </c>
      <c r="I3" s="52">
        <f t="shared" si="2"/>
        <v>21</v>
      </c>
      <c r="J3" s="52">
        <f t="shared" si="3"/>
        <v>53</v>
      </c>
      <c r="K3" s="52">
        <f t="shared" si="4"/>
        <v>44</v>
      </c>
      <c r="L3" s="52" t="str">
        <f>IFERROR(VLOOKUP(MID(G3,J3,K3-J3),[5]skilldef!$C:$D,2,FALSE),"-") &amp; " / " &amp; IFERROR(VLOOKUP(MID(G3,H3,I3-H3),[5]skilldef!$A:$B,2,FALSE),"-")</f>
        <v>- / ブロック変換</v>
      </c>
      <c r="M3" s="52" t="str">
        <f t="shared" si="5"/>
        <v>none</v>
      </c>
      <c r="N3" s="37" t="str">
        <f t="shared" si="6"/>
        <v>none</v>
      </c>
      <c r="O3" s="52" t="e">
        <f t="shared" si="7"/>
        <v>#VALUE!</v>
      </c>
      <c r="P3" s="52">
        <f t="shared" si="8"/>
        <v>4</v>
      </c>
      <c r="Q3" s="52" t="e">
        <f t="shared" si="9"/>
        <v>#VALUE!</v>
      </c>
      <c r="R3" s="52" t="e">
        <f t="shared" si="10"/>
        <v>#VALUE!</v>
      </c>
      <c r="S3" s="52" t="str">
        <f>IFERROR(VLOOKUP(MID(N3,Q3,R3-Q3),[5]skilldef!$C:$D,2,FALSE),"-") &amp; " / " &amp; IFERROR(VLOOKUP(MID(N3,O3,P3-O3),[5]skilldef!$A:$B,2,FALSE),"-")</f>
        <v>- / -</v>
      </c>
      <c r="T3" s="37" t="str">
        <f t="shared" si="11"/>
        <v>none</v>
      </c>
      <c r="U3" s="52" t="e">
        <f t="shared" si="12"/>
        <v>#VALUE!</v>
      </c>
      <c r="V3" s="52">
        <f t="shared" si="13"/>
        <v>4</v>
      </c>
      <c r="W3" s="52" t="e">
        <f t="shared" si="14"/>
        <v>#VALUE!</v>
      </c>
      <c r="X3" s="52" t="e">
        <f t="shared" si="15"/>
        <v>#VALUE!</v>
      </c>
      <c r="Y3" s="52" t="str">
        <f>IFERROR(VLOOKUP(MID(T3,W3,X3-W3),[5]skilldef!$C:$D,2,FALSE),"-") &amp; " / " &amp; IFERROR(VLOOKUP(MID(T3,U3,V3-U3),[5]skilldef!$A:$B,2,FALSE),"-")</f>
        <v>- / -</v>
      </c>
      <c r="Z3" s="39" t="s">
        <v>191</v>
      </c>
      <c r="AA3" s="41"/>
      <c r="AB3" s="39" t="s">
        <v>194</v>
      </c>
    </row>
    <row r="4" spans="1:28" ht="21" customHeight="1">
      <c r="A4" s="142">
        <v>40005004</v>
      </c>
      <c r="B4" s="145" t="s">
        <v>271</v>
      </c>
      <c r="C4" s="39">
        <v>3</v>
      </c>
      <c r="D4" s="39" t="s">
        <v>182</v>
      </c>
      <c r="E4" s="40" t="s">
        <v>221</v>
      </c>
      <c r="F4" s="40" t="s">
        <v>186</v>
      </c>
      <c r="G4" s="52" t="str">
        <f t="shared" si="0"/>
        <v>[effect:fix_speed, target:enemy_all, turn:3]</v>
      </c>
      <c r="H4" s="52">
        <f t="shared" si="1"/>
        <v>9</v>
      </c>
      <c r="I4" s="52">
        <f t="shared" si="2"/>
        <v>18</v>
      </c>
      <c r="J4" s="52">
        <f t="shared" si="3"/>
        <v>27</v>
      </c>
      <c r="K4" s="52">
        <f t="shared" si="4"/>
        <v>36</v>
      </c>
      <c r="L4" s="52" t="str">
        <f>IFERROR(VLOOKUP(MID(G4,J4,K4-J4),[5]skilldef!$C:$D,2,FALSE),"-") &amp; " / " &amp; IFERROR(VLOOKUP(MID(G4,H4,I4-H4),[5]skilldef!$A:$B,2,FALSE),"-")</f>
        <v>敵全体に / 行動値設定</v>
      </c>
      <c r="M4" s="52" t="str">
        <f t="shared" si="5"/>
        <v>none</v>
      </c>
      <c r="N4" s="37" t="str">
        <f t="shared" si="6"/>
        <v>none</v>
      </c>
      <c r="O4" s="52" t="e">
        <f t="shared" si="7"/>
        <v>#VALUE!</v>
      </c>
      <c r="P4" s="52">
        <f t="shared" si="8"/>
        <v>4</v>
      </c>
      <c r="Q4" s="52" t="e">
        <f t="shared" si="9"/>
        <v>#VALUE!</v>
      </c>
      <c r="R4" s="52" t="e">
        <f t="shared" si="10"/>
        <v>#VALUE!</v>
      </c>
      <c r="S4" s="52" t="str">
        <f>IFERROR(VLOOKUP(MID(N4,Q4,R4-Q4),[5]skilldef!$C:$D,2,FALSE),"-") &amp; " / " &amp; IFERROR(VLOOKUP(MID(N4,O4,P4-O4),[5]skilldef!$A:$B,2,FALSE),"-")</f>
        <v>- / -</v>
      </c>
      <c r="T4" s="37" t="str">
        <f t="shared" si="11"/>
        <v>none</v>
      </c>
      <c r="U4" s="52" t="e">
        <f t="shared" si="12"/>
        <v>#VALUE!</v>
      </c>
      <c r="V4" s="52">
        <f t="shared" si="13"/>
        <v>4</v>
      </c>
      <c r="W4" s="52" t="e">
        <f t="shared" si="14"/>
        <v>#VALUE!</v>
      </c>
      <c r="X4" s="52" t="e">
        <f t="shared" si="15"/>
        <v>#VALUE!</v>
      </c>
      <c r="Y4" s="52" t="str">
        <f>IFERROR(VLOOKUP(MID(T4,W4,X4-W4),[5]skilldef!$C:$D,2,FALSE),"-") &amp; " / " &amp; IFERROR(VLOOKUP(MID(T4,U4,V4-U4),[5]skilldef!$A:$B,2,FALSE),"-")</f>
        <v>- / -</v>
      </c>
      <c r="Z4" s="39" t="s">
        <v>191</v>
      </c>
      <c r="AA4" s="41"/>
      <c r="AB4" s="39" t="s">
        <v>195</v>
      </c>
    </row>
    <row r="5" spans="1:28" ht="21" customHeight="1">
      <c r="A5" s="142">
        <v>40005005</v>
      </c>
      <c r="B5" s="186" t="s">
        <v>333</v>
      </c>
      <c r="C5" s="39">
        <v>3</v>
      </c>
      <c r="D5" s="39" t="s">
        <v>187</v>
      </c>
      <c r="E5" s="40" t="s">
        <v>219</v>
      </c>
      <c r="F5" s="40" t="s">
        <v>188</v>
      </c>
      <c r="G5" s="52" t="str">
        <f t="shared" si="0"/>
        <v>[effect:enhance_enemy, target:myself, turn:3, status:defense, val:3500, calc:add, animation:enemy_enhance_enemy]</v>
      </c>
      <c r="H5" s="52">
        <f t="shared" si="1"/>
        <v>9</v>
      </c>
      <c r="I5" s="52">
        <f t="shared" si="2"/>
        <v>22</v>
      </c>
      <c r="J5" s="52">
        <f t="shared" si="3"/>
        <v>31</v>
      </c>
      <c r="K5" s="52">
        <f t="shared" si="4"/>
        <v>37</v>
      </c>
      <c r="L5" s="52" t="str">
        <f>IFERROR(VLOOKUP(MID(G5,J5,K5-J5),[5]skilldef!$C:$D,2,FALSE),"-") &amp; " / " &amp; IFERROR(VLOOKUP(MID(G5,H5,I5-H5),[5]skilldef!$A:$B,2,FALSE),"-")</f>
        <v>自分自身に / ステータス強化</v>
      </c>
      <c r="M5" s="52" t="str">
        <f t="shared" si="5"/>
        <v>[effect:fix_speed, target:enemy_all, turn:2]</v>
      </c>
      <c r="N5" s="37" t="str">
        <f t="shared" si="6"/>
        <v>[effect:fix_speed, target:enemy_all, turn:2]</v>
      </c>
      <c r="O5" s="52">
        <f t="shared" si="7"/>
        <v>9</v>
      </c>
      <c r="P5" s="52">
        <f t="shared" si="8"/>
        <v>18</v>
      </c>
      <c r="Q5" s="52">
        <f t="shared" si="9"/>
        <v>27</v>
      </c>
      <c r="R5" s="52">
        <f t="shared" si="10"/>
        <v>36</v>
      </c>
      <c r="S5" s="52" t="str">
        <f>IFERROR(VLOOKUP(MID(N5,Q5,R5-Q5),[5]skilldef!$C:$D,2,FALSE),"-") &amp; " / " &amp; IFERROR(VLOOKUP(MID(N5,O5,P5-O5),[5]skilldef!$A:$B,2,FALSE),"-")</f>
        <v>敵全体に / 行動値設定</v>
      </c>
      <c r="T5" s="37" t="str">
        <f t="shared" si="11"/>
        <v>none</v>
      </c>
      <c r="U5" s="52" t="e">
        <f t="shared" si="12"/>
        <v>#VALUE!</v>
      </c>
      <c r="V5" s="52">
        <f t="shared" si="13"/>
        <v>4</v>
      </c>
      <c r="W5" s="52" t="e">
        <f t="shared" si="14"/>
        <v>#VALUE!</v>
      </c>
      <c r="X5" s="52" t="e">
        <f t="shared" si="15"/>
        <v>#VALUE!</v>
      </c>
      <c r="Y5" s="52" t="str">
        <f>IFERROR(VLOOKUP(MID(T5,W5,X5-W5),[5]skilldef!$C:$D,2,FALSE),"-") &amp; " / " &amp; IFERROR(VLOOKUP(MID(T5,U5,V5-U5),[5]skilldef!$A:$B,2,FALSE),"-")</f>
        <v>- / -</v>
      </c>
      <c r="Z5" s="39" t="s">
        <v>191</v>
      </c>
      <c r="AA5" s="41"/>
      <c r="AB5" s="39" t="s">
        <v>193</v>
      </c>
    </row>
    <row r="6" spans="1:28" ht="21" customHeight="1">
      <c r="A6" s="142">
        <v>40005006</v>
      </c>
      <c r="B6" s="145" t="s">
        <v>264</v>
      </c>
      <c r="C6" s="39">
        <v>3</v>
      </c>
      <c r="D6" s="39" t="s">
        <v>184</v>
      </c>
      <c r="E6" s="40" t="s">
        <v>250</v>
      </c>
      <c r="F6" s="40" t="s">
        <v>263</v>
      </c>
      <c r="G6" s="52" t="str">
        <f t="shared" si="0"/>
        <v>[effect:degrade_unit, target:unit_all, turn:5, status:heal, val:0.5, calc:mul, animation:degrade_unit_all_heal]</v>
      </c>
      <c r="H6" s="52">
        <f t="shared" si="1"/>
        <v>9</v>
      </c>
      <c r="I6" s="52">
        <f t="shared" si="2"/>
        <v>21</v>
      </c>
      <c r="J6" s="52">
        <f t="shared" si="3"/>
        <v>30</v>
      </c>
      <c r="K6" s="52">
        <f t="shared" si="4"/>
        <v>38</v>
      </c>
      <c r="L6" s="52" t="str">
        <f>IFERROR(VLOOKUP(MID(G6,J6,K6-J6),[5]skilldef!$C:$D,2,FALSE),"-") &amp; " / " &amp; IFERROR(VLOOKUP(MID(G6,H6,I6-H6),[5]skilldef!$A:$B,2,FALSE),"-")</f>
        <v>味方全体に / ステータスDOWN</v>
      </c>
      <c r="M6" s="52" t="str">
        <f t="shared" si="5"/>
        <v>none</v>
      </c>
      <c r="N6" s="37" t="str">
        <f t="shared" si="6"/>
        <v>none</v>
      </c>
      <c r="O6" s="52" t="e">
        <f t="shared" si="7"/>
        <v>#VALUE!</v>
      </c>
      <c r="P6" s="52">
        <f t="shared" si="8"/>
        <v>4</v>
      </c>
      <c r="Q6" s="52" t="e">
        <f t="shared" si="9"/>
        <v>#VALUE!</v>
      </c>
      <c r="R6" s="52" t="e">
        <f t="shared" si="10"/>
        <v>#VALUE!</v>
      </c>
      <c r="S6" s="52" t="str">
        <f>IFERROR(VLOOKUP(MID(N6,Q6,R6-Q6),[5]skilldef!$C:$D,2,FALSE),"-") &amp; " / " &amp; IFERROR(VLOOKUP(MID(N6,O6,P6-O6),[5]skilldef!$A:$B,2,FALSE),"-")</f>
        <v>- / -</v>
      </c>
      <c r="T6" s="37" t="str">
        <f t="shared" si="11"/>
        <v>none</v>
      </c>
      <c r="U6" s="52" t="e">
        <f t="shared" si="12"/>
        <v>#VALUE!</v>
      </c>
      <c r="V6" s="52">
        <f t="shared" si="13"/>
        <v>4</v>
      </c>
      <c r="W6" s="52" t="e">
        <f t="shared" si="14"/>
        <v>#VALUE!</v>
      </c>
      <c r="X6" s="52" t="e">
        <f t="shared" si="15"/>
        <v>#VALUE!</v>
      </c>
      <c r="Y6" s="52" t="str">
        <f>IFERROR(VLOOKUP(MID(T6,W6,X6-W6),[5]skilldef!$C:$D,2,FALSE),"-") &amp; " / " &amp; IFERROR(VLOOKUP(MID(T6,U6,V6-U6),[5]skilldef!$A:$B,2,FALSE),"-")</f>
        <v>- / -</v>
      </c>
      <c r="Z6" s="39" t="s">
        <v>191</v>
      </c>
      <c r="AA6" s="41"/>
      <c r="AB6" s="39" t="s">
        <v>196</v>
      </c>
    </row>
    <row r="7" spans="1:28" ht="21" customHeight="1">
      <c r="A7" s="142">
        <v>40005007</v>
      </c>
      <c r="B7" s="145" t="s">
        <v>228</v>
      </c>
      <c r="C7" s="39">
        <v>3</v>
      </c>
      <c r="D7" s="39" t="s">
        <v>184</v>
      </c>
      <c r="E7" s="40" t="s">
        <v>251</v>
      </c>
      <c r="F7" s="40" t="s">
        <v>320</v>
      </c>
      <c r="G7" s="52" t="str">
        <f t="shared" si="0"/>
        <v xml:space="preserve">[effect:change_block, new_block:jammer, target:block_all, count:8, val:0, animation:change_block]    </v>
      </c>
      <c r="H7" s="52">
        <f t="shared" si="1"/>
        <v>9</v>
      </c>
      <c r="I7" s="52">
        <f t="shared" si="2"/>
        <v>21</v>
      </c>
      <c r="J7" s="52">
        <f t="shared" si="3"/>
        <v>48</v>
      </c>
      <c r="K7" s="52">
        <f t="shared" si="4"/>
        <v>39</v>
      </c>
      <c r="L7" s="52" t="str">
        <f>IFERROR(VLOOKUP(MID(G7,J7,K7-J7),[5]skilldef!$C:$D,2,FALSE),"-") &amp; " / " &amp; IFERROR(VLOOKUP(MID(G7,H7,I7-H7),[5]skilldef!$A:$B,2,FALSE),"-")</f>
        <v>- / ブロック変換</v>
      </c>
      <c r="M7" s="52" t="str">
        <f t="shared" si="5"/>
        <v>none</v>
      </c>
      <c r="N7" s="37" t="str">
        <f t="shared" si="6"/>
        <v>none</v>
      </c>
      <c r="O7" s="52" t="e">
        <f t="shared" si="7"/>
        <v>#VALUE!</v>
      </c>
      <c r="P7" s="52">
        <f t="shared" si="8"/>
        <v>4</v>
      </c>
      <c r="Q7" s="52" t="e">
        <f t="shared" si="9"/>
        <v>#VALUE!</v>
      </c>
      <c r="R7" s="52" t="e">
        <f t="shared" si="10"/>
        <v>#VALUE!</v>
      </c>
      <c r="S7" s="52" t="str">
        <f>IFERROR(VLOOKUP(MID(N7,Q7,R7-Q7),[5]skilldef!$C:$D,2,FALSE),"-") &amp; " / " &amp; IFERROR(VLOOKUP(MID(N7,O7,P7-O7),[5]skilldef!$A:$B,2,FALSE),"-")</f>
        <v>- / -</v>
      </c>
      <c r="T7" s="37" t="str">
        <f t="shared" si="11"/>
        <v>none</v>
      </c>
      <c r="U7" s="52" t="e">
        <f t="shared" si="12"/>
        <v>#VALUE!</v>
      </c>
      <c r="V7" s="52">
        <f t="shared" si="13"/>
        <v>4</v>
      </c>
      <c r="W7" s="52" t="e">
        <f t="shared" si="14"/>
        <v>#VALUE!</v>
      </c>
      <c r="X7" s="52" t="e">
        <f t="shared" si="15"/>
        <v>#VALUE!</v>
      </c>
      <c r="Y7" s="52" t="str">
        <f>IFERROR(VLOOKUP(MID(T7,W7,X7-W7),[5]skilldef!$C:$D,2,FALSE),"-") &amp; " / " &amp; IFERROR(VLOOKUP(MID(T7,U7,V7-U7),[5]skilldef!$A:$B,2,FALSE),"-")</f>
        <v>- / -</v>
      </c>
      <c r="Z7" s="39" t="s">
        <v>191</v>
      </c>
      <c r="AA7" s="41"/>
      <c r="AB7" s="39" t="s">
        <v>196</v>
      </c>
    </row>
    <row r="8" spans="1:28" ht="21" customHeight="1">
      <c r="A8" s="142">
        <v>40005008</v>
      </c>
      <c r="B8" s="145" t="s">
        <v>229</v>
      </c>
      <c r="C8" s="39">
        <v>3</v>
      </c>
      <c r="D8" s="39" t="s">
        <v>184</v>
      </c>
      <c r="E8" s="40" t="s">
        <v>236</v>
      </c>
      <c r="F8" s="40" t="s">
        <v>189</v>
      </c>
      <c r="G8" s="52" t="str">
        <f t="shared" si="0"/>
        <v xml:space="preserve">[effect:spread, val:0.3]    </v>
      </c>
      <c r="H8" s="52">
        <f t="shared" si="1"/>
        <v>9</v>
      </c>
      <c r="I8" s="52">
        <f t="shared" si="2"/>
        <v>15</v>
      </c>
      <c r="J8" s="52" t="e">
        <f t="shared" si="3"/>
        <v>#VALUE!</v>
      </c>
      <c r="K8" s="52" t="e">
        <f t="shared" si="4"/>
        <v>#VALUE!</v>
      </c>
      <c r="L8" s="52" t="str">
        <f>IFERROR(VLOOKUP(MID(G8,J8,K8-J8),[5]skilldef!$C:$D,2,FALSE),"-") &amp; " / " &amp; IFERROR(VLOOKUP(MID(G8,H8,I8-H8),[5]skilldef!$A:$B,2,FALSE),"-")</f>
        <v>- / 全体攻撃</v>
      </c>
      <c r="M8" s="52" t="str">
        <f t="shared" si="5"/>
        <v>none</v>
      </c>
      <c r="N8" s="37" t="str">
        <f t="shared" si="6"/>
        <v>none</v>
      </c>
      <c r="O8" s="52" t="e">
        <f t="shared" si="7"/>
        <v>#VALUE!</v>
      </c>
      <c r="P8" s="52">
        <f t="shared" si="8"/>
        <v>4</v>
      </c>
      <c r="Q8" s="52" t="e">
        <f t="shared" si="9"/>
        <v>#VALUE!</v>
      </c>
      <c r="R8" s="52" t="e">
        <f t="shared" si="10"/>
        <v>#VALUE!</v>
      </c>
      <c r="S8" s="52" t="str">
        <f>IFERROR(VLOOKUP(MID(N8,Q8,R8-Q8),[5]skilldef!$C:$D,2,FALSE),"-") &amp; " / " &amp; IFERROR(VLOOKUP(MID(N8,O8,P8-O8),[5]skilldef!$A:$B,2,FALSE),"-")</f>
        <v>- / -</v>
      </c>
      <c r="T8" s="37" t="str">
        <f t="shared" si="11"/>
        <v>none</v>
      </c>
      <c r="U8" s="52" t="e">
        <f t="shared" si="12"/>
        <v>#VALUE!</v>
      </c>
      <c r="V8" s="52">
        <f t="shared" si="13"/>
        <v>4</v>
      </c>
      <c r="W8" s="52" t="e">
        <f t="shared" si="14"/>
        <v>#VALUE!</v>
      </c>
      <c r="X8" s="52" t="e">
        <f t="shared" si="15"/>
        <v>#VALUE!</v>
      </c>
      <c r="Y8" s="52" t="str">
        <f>IFERROR(VLOOKUP(MID(T8,W8,X8-W8),[5]skilldef!$C:$D,2,FALSE),"-") &amp; " / " &amp; IFERROR(VLOOKUP(MID(T8,U8,V8-U8),[5]skilldef!$A:$B,2,FALSE),"-")</f>
        <v>- / -</v>
      </c>
      <c r="Z8" s="39" t="s">
        <v>191</v>
      </c>
      <c r="AA8" s="41"/>
      <c r="AB8" s="39" t="s">
        <v>197</v>
      </c>
    </row>
    <row r="9" spans="1:28" ht="21" customHeight="1">
      <c r="A9" s="142">
        <v>40005009</v>
      </c>
      <c r="B9" s="145" t="s">
        <v>286</v>
      </c>
      <c r="C9" s="39">
        <v>3</v>
      </c>
      <c r="D9" s="39" t="s">
        <v>184</v>
      </c>
      <c r="E9" s="40" t="s">
        <v>223</v>
      </c>
      <c r="F9" s="40" t="s">
        <v>382</v>
      </c>
      <c r="G9" s="52" t="str">
        <f t="shared" si="0"/>
        <v xml:space="preserve">[effect:change_block, new_block:jammer, target:block_all, count:8, val:0, animation:change_block]    </v>
      </c>
      <c r="H9" s="52">
        <f t="shared" si="1"/>
        <v>9</v>
      </c>
      <c r="I9" s="52">
        <f t="shared" si="2"/>
        <v>21</v>
      </c>
      <c r="J9" s="52">
        <f t="shared" si="3"/>
        <v>48</v>
      </c>
      <c r="K9" s="52">
        <f t="shared" si="4"/>
        <v>39</v>
      </c>
      <c r="L9" s="52" t="str">
        <f>IFERROR(VLOOKUP(MID(G9,J9,K9-J9),[5]skilldef!$C:$D,2,FALSE),"-") &amp; " / " &amp; IFERROR(VLOOKUP(MID(G9,H9,I9-H9),[5]skilldef!$A:$B,2,FALSE),"-")</f>
        <v>- / ブロック変換</v>
      </c>
      <c r="M9" s="52" t="str">
        <f t="shared" si="5"/>
        <v>none</v>
      </c>
      <c r="N9" s="37" t="str">
        <f t="shared" si="6"/>
        <v>none</v>
      </c>
      <c r="O9" s="52" t="e">
        <f t="shared" si="7"/>
        <v>#VALUE!</v>
      </c>
      <c r="P9" s="52">
        <f t="shared" si="8"/>
        <v>4</v>
      </c>
      <c r="Q9" s="52" t="e">
        <f t="shared" si="9"/>
        <v>#VALUE!</v>
      </c>
      <c r="R9" s="52" t="e">
        <f t="shared" si="10"/>
        <v>#VALUE!</v>
      </c>
      <c r="S9" s="52" t="str">
        <f>IFERROR(VLOOKUP(MID(N9,Q9,R9-Q9),[5]skilldef!$C:$D,2,FALSE),"-") &amp; " / " &amp; IFERROR(VLOOKUP(MID(N9,O9,P9-O9),[5]skilldef!$A:$B,2,FALSE),"-")</f>
        <v>- / -</v>
      </c>
      <c r="T9" s="37" t="str">
        <f t="shared" si="11"/>
        <v>none</v>
      </c>
      <c r="U9" s="52" t="e">
        <f t="shared" si="12"/>
        <v>#VALUE!</v>
      </c>
      <c r="V9" s="52">
        <f t="shared" si="13"/>
        <v>4</v>
      </c>
      <c r="W9" s="52" t="e">
        <f t="shared" si="14"/>
        <v>#VALUE!</v>
      </c>
      <c r="X9" s="52" t="e">
        <f t="shared" si="15"/>
        <v>#VALUE!</v>
      </c>
      <c r="Y9" s="52" t="str">
        <f>IFERROR(VLOOKUP(MID(T9,W9,X9-W9),[5]skilldef!$C:$D,2,FALSE),"-") &amp; " / " &amp; IFERROR(VLOOKUP(MID(T9,U9,V9-U9),[5]skilldef!$A:$B,2,FALSE),"-")</f>
        <v>- / -</v>
      </c>
      <c r="Z9" s="39" t="s">
        <v>191</v>
      </c>
      <c r="AA9" s="41"/>
      <c r="AB9" s="39" t="s">
        <v>197</v>
      </c>
    </row>
    <row r="10" spans="1:28" ht="21" customHeight="1">
      <c r="A10" s="142">
        <v>40005010</v>
      </c>
      <c r="B10" s="145" t="s">
        <v>327</v>
      </c>
      <c r="C10" s="39">
        <v>3</v>
      </c>
      <c r="D10" s="39" t="s">
        <v>184</v>
      </c>
      <c r="E10" s="40" t="s">
        <v>220</v>
      </c>
      <c r="F10" s="40" t="s">
        <v>227</v>
      </c>
      <c r="G10" s="52" t="str">
        <f t="shared" si="0"/>
        <v>[effect:critical, val:2]</v>
      </c>
      <c r="H10" s="52">
        <f t="shared" si="1"/>
        <v>9</v>
      </c>
      <c r="I10" s="52">
        <f t="shared" si="2"/>
        <v>17</v>
      </c>
      <c r="J10" s="52" t="e">
        <f t="shared" si="3"/>
        <v>#VALUE!</v>
      </c>
      <c r="K10" s="52" t="e">
        <f t="shared" si="4"/>
        <v>#VALUE!</v>
      </c>
      <c r="L10" s="52" t="str">
        <f>IFERROR(VLOOKUP(MID(G10,J10,K10-J10),[5]skilldef!$C:$D,2,FALSE),"-") &amp; " / " &amp; IFERROR(VLOOKUP(MID(G10,H10,I10-H10),[5]skilldef!$A:$B,2,FALSE),"-")</f>
        <v>- / 大攻撃</v>
      </c>
      <c r="M10" s="52" t="str">
        <f t="shared" si="5"/>
        <v>none</v>
      </c>
      <c r="N10" s="37" t="str">
        <f>IFERROR(LEFT(M10,FIND("],",M10)+S33),M10)</f>
        <v>none</v>
      </c>
      <c r="O10" s="52" t="e">
        <f t="shared" si="7"/>
        <v>#VALUE!</v>
      </c>
      <c r="P10" s="52">
        <f t="shared" si="8"/>
        <v>4</v>
      </c>
      <c r="Q10" s="52" t="e">
        <f t="shared" si="9"/>
        <v>#VALUE!</v>
      </c>
      <c r="R10" s="52" t="e">
        <f t="shared" si="10"/>
        <v>#VALUE!</v>
      </c>
      <c r="S10" s="52" t="str">
        <f>IFERROR(VLOOKUP(MID(N10,Q10,R10-Q10),[5]skilldef!$C:$D,2,FALSE),"-") &amp; " / " &amp; IFERROR(VLOOKUP(MID(N10,O10,P10-O10),[5]skilldef!$A:$B,2,FALSE),"-")</f>
        <v>- / -</v>
      </c>
      <c r="T10" s="37" t="str">
        <f t="shared" si="11"/>
        <v>none</v>
      </c>
      <c r="U10" s="52" t="e">
        <f t="shared" si="12"/>
        <v>#VALUE!</v>
      </c>
      <c r="V10" s="52">
        <f t="shared" si="13"/>
        <v>4</v>
      </c>
      <c r="W10" s="52" t="e">
        <f t="shared" si="14"/>
        <v>#VALUE!</v>
      </c>
      <c r="X10" s="52" t="e">
        <f t="shared" si="15"/>
        <v>#VALUE!</v>
      </c>
      <c r="Y10" s="52" t="str">
        <f>IFERROR(VLOOKUP(MID(T10,W10,X10-W10),[5]skilldef!$C:$D,2,FALSE),"-") &amp; " / " &amp; IFERROR(VLOOKUP(MID(T10,U10,V10-U10),[5]skilldef!$A:$B,2,FALSE),"-")</f>
        <v>- / -</v>
      </c>
      <c r="Z10" s="39" t="s">
        <v>191</v>
      </c>
      <c r="AA10" s="41"/>
      <c r="AB10" s="39" t="s">
        <v>198</v>
      </c>
    </row>
    <row r="11" spans="1:28" ht="21" customHeight="1">
      <c r="A11" s="142">
        <v>40005011</v>
      </c>
      <c r="B11" s="145" t="s">
        <v>230</v>
      </c>
      <c r="C11" s="39">
        <v>3</v>
      </c>
      <c r="D11" s="39" t="s">
        <v>184</v>
      </c>
      <c r="E11" s="40" t="s">
        <v>291</v>
      </c>
      <c r="F11" s="40" t="s">
        <v>190</v>
      </c>
      <c r="G11" s="52" t="str">
        <f t="shared" si="0"/>
        <v xml:space="preserve">[effect:dis_heart, turn:-1, animation:enemy_dis_heart]    </v>
      </c>
      <c r="H11" s="52">
        <f t="shared" si="1"/>
        <v>9</v>
      </c>
      <c r="I11" s="52">
        <f t="shared" si="2"/>
        <v>18</v>
      </c>
      <c r="J11" s="52" t="e">
        <f t="shared" si="3"/>
        <v>#VALUE!</v>
      </c>
      <c r="K11" s="52">
        <f t="shared" si="4"/>
        <v>27</v>
      </c>
      <c r="L11" s="52" t="str">
        <f>IFERROR(VLOOKUP(MID(G11,J11,K11-J11),[5]skilldef!$C:$D,2,FALSE),"-") &amp; " / " &amp; IFERROR(VLOOKUP(MID(G11,H11,I11-H11),[5]skilldef!$A:$B,2,FALSE),"-")</f>
        <v>- / ディスハート</v>
      </c>
      <c r="M11" s="52" t="str">
        <f t="shared" si="5"/>
        <v>none</v>
      </c>
      <c r="N11" s="37" t="str">
        <f>IFERROR(LEFT(M11,FIND("],",M11)+S20),M11)</f>
        <v>none</v>
      </c>
      <c r="O11" s="52" t="e">
        <f t="shared" si="7"/>
        <v>#VALUE!</v>
      </c>
      <c r="P11" s="52">
        <f t="shared" si="8"/>
        <v>4</v>
      </c>
      <c r="Q11" s="52" t="e">
        <f t="shared" si="9"/>
        <v>#VALUE!</v>
      </c>
      <c r="R11" s="52" t="e">
        <f t="shared" si="10"/>
        <v>#VALUE!</v>
      </c>
      <c r="S11" s="52" t="str">
        <f>IFERROR(VLOOKUP(MID(N11,Q11,R11-Q11),[5]skilldef!$C:$D,2,FALSE),"-") &amp; " / " &amp; IFERROR(VLOOKUP(MID(N11,O11,P11-O11),[5]skilldef!$A:$B,2,FALSE),"-")</f>
        <v>- / -</v>
      </c>
      <c r="T11" s="37" t="str">
        <f t="shared" si="11"/>
        <v>none</v>
      </c>
      <c r="U11" s="52" t="e">
        <f t="shared" si="12"/>
        <v>#VALUE!</v>
      </c>
      <c r="V11" s="52">
        <f t="shared" si="13"/>
        <v>4</v>
      </c>
      <c r="W11" s="52" t="e">
        <f t="shared" si="14"/>
        <v>#VALUE!</v>
      </c>
      <c r="X11" s="52" t="e">
        <f t="shared" si="15"/>
        <v>#VALUE!</v>
      </c>
      <c r="Y11" s="52" t="str">
        <f>IFERROR(VLOOKUP(MID(T11,W11,X11-W11),[5]skilldef!$C:$D,2,FALSE),"-") &amp; " / " &amp; IFERROR(VLOOKUP(MID(T11,U11,V11-U11),[5]skilldef!$A:$B,2,FALSE),"-")</f>
        <v>- / -</v>
      </c>
      <c r="Z11" s="39" t="s">
        <v>191</v>
      </c>
      <c r="AA11" s="41"/>
      <c r="AB11" s="39" t="s">
        <v>199</v>
      </c>
    </row>
    <row r="12" spans="1:28" ht="21" customHeight="1">
      <c r="A12" s="142">
        <v>40005012</v>
      </c>
      <c r="B12" s="145" t="s">
        <v>329</v>
      </c>
      <c r="C12" s="39">
        <v>3</v>
      </c>
      <c r="D12" s="39" t="s">
        <v>184</v>
      </c>
      <c r="E12" s="40" t="s">
        <v>238</v>
      </c>
      <c r="F12" s="40" t="s">
        <v>235</v>
      </c>
      <c r="G12" s="52" t="str">
        <f t="shared" si="0"/>
        <v>[effect:enhance_enemy, target:myself, turn:-1, status:attack, val:0.5, animation:enemy_enhance_attack]</v>
      </c>
      <c r="H12" s="52">
        <f t="shared" si="1"/>
        <v>9</v>
      </c>
      <c r="I12" s="52">
        <f t="shared" si="2"/>
        <v>22</v>
      </c>
      <c r="J12" s="52">
        <f t="shared" si="3"/>
        <v>31</v>
      </c>
      <c r="K12" s="52">
        <f t="shared" si="4"/>
        <v>37</v>
      </c>
      <c r="L12" s="52" t="str">
        <f>IFERROR(VLOOKUP(MID(G12,J12,K12-J12),[5]skilldef!$C:$D,2,FALSE),"-") &amp; " / " &amp; IFERROR(VLOOKUP(MID(G12,H12,I12-H12),[5]skilldef!$A:$B,2,FALSE),"-")</f>
        <v>自分自身に / ステータス強化</v>
      </c>
      <c r="M12" s="52" t="str">
        <f t="shared" si="5"/>
        <v xml:space="preserve">[effect:rush, count:1, val:0.6] </v>
      </c>
      <c r="N12" s="37" t="str">
        <f>IFERROR(LEFT(M12,FIND("],",M12)+S21),M12)</f>
        <v xml:space="preserve">[effect:rush, count:1, val:0.6] </v>
      </c>
      <c r="O12" s="52">
        <f t="shared" si="7"/>
        <v>9</v>
      </c>
      <c r="P12" s="52">
        <f t="shared" si="8"/>
        <v>13</v>
      </c>
      <c r="Q12" s="52" t="e">
        <f t="shared" si="9"/>
        <v>#VALUE!</v>
      </c>
      <c r="R12" s="52">
        <f t="shared" si="10"/>
        <v>22</v>
      </c>
      <c r="S12" s="52" t="str">
        <f>IFERROR(VLOOKUP(MID(N12,Q12,R12-Q12),[5]skilldef!$C:$D,2,FALSE),"-") &amp; " / " &amp; IFERROR(VLOOKUP(MID(N12,O12,P12-O12),[5]skilldef!$A:$B,2,FALSE),"-")</f>
        <v>- / 連続攻撃</v>
      </c>
      <c r="T12" s="37" t="str">
        <f t="shared" si="11"/>
        <v>none</v>
      </c>
      <c r="U12" s="52" t="e">
        <f t="shared" si="12"/>
        <v>#VALUE!</v>
      </c>
      <c r="V12" s="52">
        <f t="shared" si="13"/>
        <v>4</v>
      </c>
      <c r="W12" s="52" t="e">
        <f t="shared" si="14"/>
        <v>#VALUE!</v>
      </c>
      <c r="X12" s="52" t="e">
        <f t="shared" si="15"/>
        <v>#VALUE!</v>
      </c>
      <c r="Y12" s="52" t="str">
        <f>IFERROR(VLOOKUP(MID(T12,W12,X12-W12),[5]skilldef!$C:$D,2,FALSE),"-") &amp; " / " &amp; IFERROR(VLOOKUP(MID(T12,U12,V12-U12),[5]skilldef!$A:$B,2,FALSE),"-")</f>
        <v>- / -</v>
      </c>
      <c r="Z12" s="39" t="s">
        <v>191</v>
      </c>
      <c r="AA12" s="41"/>
      <c r="AB12" s="39" t="s">
        <v>200</v>
      </c>
    </row>
    <row r="13" spans="1:28" ht="21" customHeight="1">
      <c r="A13" s="142">
        <v>40005013</v>
      </c>
      <c r="B13" s="145" t="s">
        <v>330</v>
      </c>
      <c r="C13" s="39">
        <v>3</v>
      </c>
      <c r="D13" s="39" t="s">
        <v>184</v>
      </c>
      <c r="E13" s="40" t="s">
        <v>239</v>
      </c>
      <c r="F13" s="40" t="s">
        <v>233</v>
      </c>
      <c r="G13" s="52" t="str">
        <f t="shared" si="0"/>
        <v>[effect:enhance_enemy, target:myself, turn:-1, status:attack, val:1.1, animation:enemy_enhance_attack]</v>
      </c>
      <c r="H13" s="52">
        <f t="shared" si="1"/>
        <v>9</v>
      </c>
      <c r="I13" s="52">
        <f t="shared" si="2"/>
        <v>22</v>
      </c>
      <c r="J13" s="52">
        <f t="shared" si="3"/>
        <v>31</v>
      </c>
      <c r="K13" s="52">
        <f t="shared" si="4"/>
        <v>37</v>
      </c>
      <c r="L13" s="52" t="str">
        <f>IFERROR(VLOOKUP(MID(G13,J13,K13-J13),[5]skilldef!$C:$D,2,FALSE),"-") &amp; " / " &amp; IFERROR(VLOOKUP(MID(G13,H13,I13-H13),[5]skilldef!$A:$B,2,FALSE),"-")</f>
        <v>自分自身に / ステータス強化</v>
      </c>
      <c r="M13" s="52" t="str">
        <f t="shared" si="5"/>
        <v>[effect:rush, count:1, val:0.5]</v>
      </c>
      <c r="N13" s="37" t="str">
        <f>IFERROR(LEFT(M13,FIND("],",M13)+S22),M13)</f>
        <v>[effect:rush, count:1, val:0.5]</v>
      </c>
      <c r="O13" s="52">
        <f t="shared" si="7"/>
        <v>9</v>
      </c>
      <c r="P13" s="52">
        <f t="shared" si="8"/>
        <v>13</v>
      </c>
      <c r="Q13" s="52" t="e">
        <f t="shared" si="9"/>
        <v>#VALUE!</v>
      </c>
      <c r="R13" s="52">
        <f t="shared" si="10"/>
        <v>22</v>
      </c>
      <c r="S13" s="52" t="str">
        <f>IFERROR(VLOOKUP(MID(N13,Q13,R13-Q13),[5]skilldef!$C:$D,2,FALSE),"-") &amp; " / " &amp; IFERROR(VLOOKUP(MID(N13,O13,P13-O13),[5]skilldef!$A:$B,2,FALSE),"-")</f>
        <v>- / 連続攻撃</v>
      </c>
      <c r="T13" s="37" t="str">
        <f t="shared" si="11"/>
        <v>none</v>
      </c>
      <c r="U13" s="52" t="e">
        <f t="shared" si="12"/>
        <v>#VALUE!</v>
      </c>
      <c r="V13" s="52">
        <f t="shared" si="13"/>
        <v>4</v>
      </c>
      <c r="W13" s="52" t="e">
        <f t="shared" si="14"/>
        <v>#VALUE!</v>
      </c>
      <c r="X13" s="52" t="e">
        <f t="shared" si="15"/>
        <v>#VALUE!</v>
      </c>
      <c r="Y13" s="52" t="str">
        <f>IFERROR(VLOOKUP(MID(T13,W13,X13-W13),[5]skilldef!$C:$D,2,FALSE),"-") &amp; " / " &amp; IFERROR(VLOOKUP(MID(T13,U13,V13-U13),[5]skilldef!$A:$B,2,FALSE),"-")</f>
        <v>- / -</v>
      </c>
      <c r="Z13" s="39" t="s">
        <v>191</v>
      </c>
      <c r="AA13" s="41"/>
      <c r="AB13" s="39" t="s">
        <v>199</v>
      </c>
    </row>
    <row r="14" spans="1:28" ht="21" customHeight="1">
      <c r="A14" s="142">
        <v>40005014</v>
      </c>
      <c r="B14" s="145" t="s">
        <v>331</v>
      </c>
      <c r="C14" s="39">
        <v>3</v>
      </c>
      <c r="D14" s="39" t="s">
        <v>184</v>
      </c>
      <c r="E14" s="40" t="s">
        <v>237</v>
      </c>
      <c r="F14" s="40" t="s">
        <v>234</v>
      </c>
      <c r="G14" s="52" t="str">
        <f t="shared" si="0"/>
        <v xml:space="preserve">[effect:enhance_enemy, target:myself, turn:-1, status:attack, val:1.8, animation:enemy_enhance_attack]    </v>
      </c>
      <c r="H14" s="52">
        <f t="shared" si="1"/>
        <v>9</v>
      </c>
      <c r="I14" s="52">
        <f t="shared" si="2"/>
        <v>22</v>
      </c>
      <c r="J14" s="52">
        <f t="shared" si="3"/>
        <v>31</v>
      </c>
      <c r="K14" s="52">
        <f t="shared" si="4"/>
        <v>37</v>
      </c>
      <c r="L14" s="52" t="str">
        <f>IFERROR(VLOOKUP(MID(G14,J14,K14-J14),[5]skilldef!$C:$D,2,FALSE),"-") &amp; " / " &amp; IFERROR(VLOOKUP(MID(G14,H14,I14-H14),[5]skilldef!$A:$B,2,FALSE),"-")</f>
        <v>自分自身に / ステータス強化</v>
      </c>
      <c r="M14" s="52" t="str">
        <f t="shared" si="5"/>
        <v>none</v>
      </c>
      <c r="N14" s="37" t="str">
        <f>IFERROR(LEFT(M14,FIND("],",M14)+S23),M14)</f>
        <v>none</v>
      </c>
      <c r="O14" s="52" t="e">
        <f t="shared" si="7"/>
        <v>#VALUE!</v>
      </c>
      <c r="P14" s="52">
        <f t="shared" si="8"/>
        <v>4</v>
      </c>
      <c r="Q14" s="52" t="e">
        <f t="shared" si="9"/>
        <v>#VALUE!</v>
      </c>
      <c r="R14" s="52" t="e">
        <f t="shared" si="10"/>
        <v>#VALUE!</v>
      </c>
      <c r="S14" s="52" t="str">
        <f>IFERROR(VLOOKUP(MID(N14,Q14,R14-Q14),[5]skilldef!$C:$D,2,FALSE),"-") &amp; " / " &amp; IFERROR(VLOOKUP(MID(N14,O14,P14-O14),[5]skilldef!$A:$B,2,FALSE),"-")</f>
        <v>- / -</v>
      </c>
      <c r="T14" s="37" t="str">
        <f t="shared" si="11"/>
        <v>none</v>
      </c>
      <c r="U14" s="52" t="e">
        <f t="shared" si="12"/>
        <v>#VALUE!</v>
      </c>
      <c r="V14" s="52">
        <f t="shared" si="13"/>
        <v>4</v>
      </c>
      <c r="W14" s="52" t="e">
        <f t="shared" si="14"/>
        <v>#VALUE!</v>
      </c>
      <c r="X14" s="52" t="e">
        <f t="shared" si="15"/>
        <v>#VALUE!</v>
      </c>
      <c r="Y14" s="52" t="str">
        <f>IFERROR(VLOOKUP(MID(T14,W14,X14-W14),[5]skilldef!$C:$D,2,FALSE),"-") &amp; " / " &amp; IFERROR(VLOOKUP(MID(T14,U14,V14-U14),[5]skilldef!$A:$B,2,FALSE),"-")</f>
        <v>- / -</v>
      </c>
      <c r="Z14" s="39" t="s">
        <v>191</v>
      </c>
      <c r="AA14" s="41"/>
      <c r="AB14" s="39" t="s">
        <v>199</v>
      </c>
    </row>
    <row r="15" spans="1:28" ht="21" customHeight="1">
      <c r="A15" s="142">
        <v>40005015</v>
      </c>
      <c r="B15" s="145" t="s">
        <v>295</v>
      </c>
      <c r="C15" s="39">
        <v>3</v>
      </c>
      <c r="D15" s="39" t="s">
        <v>184</v>
      </c>
      <c r="E15" s="40" t="s">
        <v>248</v>
      </c>
      <c r="F15" s="40" t="s">
        <v>319</v>
      </c>
      <c r="G15" s="52" t="str">
        <f t="shared" si="0"/>
        <v>[effect:change_block, new_block:jammer, target:block_all, count:4, val:0, animation:change_block]</v>
      </c>
      <c r="H15" s="52">
        <f t="shared" si="1"/>
        <v>9</v>
      </c>
      <c r="I15" s="52">
        <f t="shared" si="2"/>
        <v>21</v>
      </c>
      <c r="J15" s="52">
        <f t="shared" si="3"/>
        <v>48</v>
      </c>
      <c r="K15" s="52">
        <f t="shared" si="4"/>
        <v>39</v>
      </c>
      <c r="L15" s="52" t="str">
        <f>IFERROR(VLOOKUP(MID(G15,J15,K15-J15),[5]skilldef!$C:$D,2,FALSE),"-") &amp; " / " &amp; IFERROR(VLOOKUP(MID(G15,H15,I15-H15),[5]skilldef!$A:$B,2,FALSE),"-")</f>
        <v>- / ブロック変換</v>
      </c>
      <c r="M15" s="52" t="str">
        <f t="shared" si="5"/>
        <v>[effect:rush, count:1, val:1]</v>
      </c>
      <c r="N15" s="37" t="str">
        <f>IFERROR(LEFT(M15,FIND("],",M15)+S24),M15)</f>
        <v>[effect:rush, count:1, val:1]</v>
      </c>
      <c r="O15" s="52">
        <f t="shared" si="7"/>
        <v>9</v>
      </c>
      <c r="P15" s="52">
        <f t="shared" si="8"/>
        <v>13</v>
      </c>
      <c r="Q15" s="52" t="e">
        <f t="shared" si="9"/>
        <v>#VALUE!</v>
      </c>
      <c r="R15" s="52">
        <f t="shared" si="10"/>
        <v>22</v>
      </c>
      <c r="S15" s="52" t="str">
        <f>IFERROR(VLOOKUP(MID(N15,Q15,R15-Q15),[5]skilldef!$C:$D,2,FALSE),"-") &amp; " / " &amp; IFERROR(VLOOKUP(MID(N15,O15,P15-O15),[5]skilldef!$A:$B,2,FALSE),"-")</f>
        <v>- / 連続攻撃</v>
      </c>
      <c r="T15" s="37" t="str">
        <f t="shared" si="11"/>
        <v>none</v>
      </c>
      <c r="U15" s="52" t="e">
        <f t="shared" si="12"/>
        <v>#VALUE!</v>
      </c>
      <c r="V15" s="52">
        <f t="shared" si="13"/>
        <v>4</v>
      </c>
      <c r="W15" s="52" t="e">
        <f t="shared" si="14"/>
        <v>#VALUE!</v>
      </c>
      <c r="X15" s="52" t="e">
        <f t="shared" si="15"/>
        <v>#VALUE!</v>
      </c>
      <c r="Y15" s="52" t="str">
        <f>IFERROR(VLOOKUP(MID(T15,W15,X15-W15),[5]skilldef!$C:$D,2,FALSE),"-") &amp; " / " &amp; IFERROR(VLOOKUP(MID(T15,U15,V15-U15),[5]skilldef!$A:$B,2,FALSE),"-")</f>
        <v>- / -</v>
      </c>
      <c r="Z15" s="39" t="s">
        <v>191</v>
      </c>
      <c r="AA15" s="41"/>
      <c r="AB15" s="39" t="s">
        <v>199</v>
      </c>
    </row>
    <row r="16" spans="1:28" ht="21" customHeight="1">
      <c r="A16" s="142">
        <v>40005016</v>
      </c>
      <c r="B16" s="145" t="s">
        <v>332</v>
      </c>
      <c r="C16" s="39">
        <v>3</v>
      </c>
      <c r="D16" s="39" t="s">
        <v>184</v>
      </c>
      <c r="E16" s="40" t="s">
        <v>249</v>
      </c>
      <c r="F16" s="40" t="s">
        <v>289</v>
      </c>
      <c r="G16" s="52" t="str">
        <f t="shared" si="0"/>
        <v>[effect:tolerance,target:myself,turn:-1,tolerance_effect:all,count:-1,animation:enemy_tolerance]</v>
      </c>
      <c r="H16" s="52">
        <f t="shared" si="1"/>
        <v>9</v>
      </c>
      <c r="I16" s="52">
        <f t="shared" si="2"/>
        <v>18</v>
      </c>
      <c r="J16" s="52">
        <f t="shared" si="3"/>
        <v>26</v>
      </c>
      <c r="K16" s="52">
        <f t="shared" si="4"/>
        <v>32</v>
      </c>
      <c r="L16" s="52" t="str">
        <f>IFERROR(VLOOKUP(MID(G16,J16,K16-J16),[5]skilldef!$C:$D,2,FALSE),"-") &amp; " / " &amp; IFERROR(VLOOKUP(MID(G16,H16,I16-H16),[5]skilldef!$A:$B,2,FALSE),"-")</f>
        <v>自分自身に / 状態異常耐性</v>
      </c>
      <c r="M16" s="52" t="str">
        <f t="shared" si="5"/>
        <v>[effect:enhance_enemy, target:myself, turn:3, status:defense, val:3700, calc:add, animation:enemy_enhance_enemy]</v>
      </c>
      <c r="N16" s="37" t="str">
        <f>IFERROR(LEFT(M16,FIND("],",M16)+#REF!),M16)</f>
        <v>[effect:enhance_enemy, target:myself, turn:3, status:defense, val:3700, calc:add, animation:enemy_enhance_enemy]</v>
      </c>
      <c r="O16" s="52">
        <f t="shared" si="7"/>
        <v>9</v>
      </c>
      <c r="P16" s="52">
        <f t="shared" si="8"/>
        <v>22</v>
      </c>
      <c r="Q16" s="52">
        <f t="shared" si="9"/>
        <v>31</v>
      </c>
      <c r="R16" s="52">
        <f t="shared" si="10"/>
        <v>37</v>
      </c>
      <c r="S16" s="52" t="str">
        <f>IFERROR(VLOOKUP(MID(N16,Q16,R16-Q16),[5]skilldef!$C:$D,2,FALSE),"-") &amp; " / " &amp; IFERROR(VLOOKUP(MID(N16,O16,P16-O16),[5]skilldef!$A:$B,2,FALSE),"-")</f>
        <v>自分自身に / ステータス強化</v>
      </c>
      <c r="T16" s="37" t="str">
        <f t="shared" si="11"/>
        <v>none</v>
      </c>
      <c r="U16" s="52" t="e">
        <f t="shared" si="12"/>
        <v>#VALUE!</v>
      </c>
      <c r="V16" s="52">
        <f t="shared" si="13"/>
        <v>4</v>
      </c>
      <c r="W16" s="52" t="e">
        <f t="shared" si="14"/>
        <v>#VALUE!</v>
      </c>
      <c r="X16" s="52" t="e">
        <f t="shared" si="15"/>
        <v>#VALUE!</v>
      </c>
      <c r="Y16" s="52" t="str">
        <f>IFERROR(VLOOKUP(MID(T16,W16,X16-W16),[5]skilldef!$C:$D,2,FALSE),"-") &amp; " / " &amp; IFERROR(VLOOKUP(MID(T16,U16,V16-U16),[5]skilldef!$A:$B,2,FALSE),"-")</f>
        <v>- / -</v>
      </c>
      <c r="Z16" s="39" t="s">
        <v>191</v>
      </c>
      <c r="AA16" s="41"/>
      <c r="AB16" s="39" t="s">
        <v>199</v>
      </c>
    </row>
    <row r="17" spans="1:28" ht="21" customHeight="1">
      <c r="A17" s="142">
        <v>40005017</v>
      </c>
      <c r="B17" s="145" t="s">
        <v>371</v>
      </c>
      <c r="C17" s="39">
        <v>3</v>
      </c>
      <c r="D17" s="39" t="s">
        <v>184</v>
      </c>
      <c r="E17" s="40" t="s">
        <v>246</v>
      </c>
      <c r="F17" s="40" t="s">
        <v>322</v>
      </c>
      <c r="G17" s="52" t="str">
        <f t="shared" si="0"/>
        <v>[effect:nothing]</v>
      </c>
      <c r="H17" s="52">
        <f t="shared" si="1"/>
        <v>9</v>
      </c>
      <c r="I17" s="52">
        <f t="shared" si="2"/>
        <v>16</v>
      </c>
      <c r="J17" s="52" t="e">
        <f t="shared" si="3"/>
        <v>#VALUE!</v>
      </c>
      <c r="K17" s="52" t="e">
        <f t="shared" si="4"/>
        <v>#VALUE!</v>
      </c>
      <c r="L17" s="52" t="str">
        <f>IFERROR(VLOOKUP(MID(G17,J17,K17-J17),[5]skilldef!$C:$D,2,FALSE),"-") &amp; " / " &amp; IFERROR(VLOOKUP(MID(G17,H17,I17-H17),[5]skilldef!$A:$B,2,FALSE),"-")</f>
        <v>- / 何もしない</v>
      </c>
      <c r="M17" s="52" t="str">
        <f t="shared" si="5"/>
        <v>[effect:rush, count:1, val:1]</v>
      </c>
      <c r="N17" s="37" t="str">
        <f>IFERROR(LEFT(M17,FIND("],",M17)+S25),M17)</f>
        <v>[effect:rush, count:1, val:1]</v>
      </c>
      <c r="O17" s="52">
        <f t="shared" si="7"/>
        <v>9</v>
      </c>
      <c r="P17" s="52">
        <f t="shared" si="8"/>
        <v>13</v>
      </c>
      <c r="Q17" s="52" t="e">
        <f t="shared" si="9"/>
        <v>#VALUE!</v>
      </c>
      <c r="R17" s="52">
        <f t="shared" si="10"/>
        <v>22</v>
      </c>
      <c r="S17" s="52" t="str">
        <f>IFERROR(VLOOKUP(MID(N17,Q17,R17-Q17),[5]skilldef!$C:$D,2,FALSE),"-") &amp; " / " &amp; IFERROR(VLOOKUP(MID(N17,O17,P17-O17),[5]skilldef!$A:$B,2,FALSE),"-")</f>
        <v>- / 連続攻撃</v>
      </c>
      <c r="T17" s="37" t="str">
        <f t="shared" si="11"/>
        <v>none</v>
      </c>
      <c r="U17" s="52" t="e">
        <f t="shared" si="12"/>
        <v>#VALUE!</v>
      </c>
      <c r="V17" s="52">
        <f t="shared" si="13"/>
        <v>4</v>
      </c>
      <c r="W17" s="52" t="e">
        <f t="shared" si="14"/>
        <v>#VALUE!</v>
      </c>
      <c r="X17" s="52" t="e">
        <f t="shared" si="15"/>
        <v>#VALUE!</v>
      </c>
      <c r="Y17" s="52" t="str">
        <f>IFERROR(VLOOKUP(MID(T17,W17,X17-W17),[5]skilldef!$C:$D,2,FALSE),"-") &amp; " / " &amp; IFERROR(VLOOKUP(MID(T17,U17,V17-U17),[5]skilldef!$A:$B,2,FALSE),"-")</f>
        <v>- / -</v>
      </c>
      <c r="Z17" s="39" t="s">
        <v>191</v>
      </c>
      <c r="AA17" s="41"/>
      <c r="AB17" s="39" t="s">
        <v>199</v>
      </c>
    </row>
    <row r="18" spans="1:28" ht="21" customHeight="1">
      <c r="A18" s="142">
        <v>40005018</v>
      </c>
      <c r="B18" s="243" t="s">
        <v>372</v>
      </c>
      <c r="C18" s="39">
        <v>3</v>
      </c>
      <c r="D18" s="39" t="s">
        <v>373</v>
      </c>
      <c r="E18" s="40" t="s">
        <v>358</v>
      </c>
      <c r="F18" s="40" t="s">
        <v>348</v>
      </c>
      <c r="G18" s="52" t="str">
        <f t="shared" si="0"/>
        <v>[effect:degrade_unit, target:unit_all, turn:5, status:attack, val:0.7, calc:mul]</v>
      </c>
      <c r="H18" s="52">
        <f t="shared" si="1"/>
        <v>9</v>
      </c>
      <c r="I18" s="52">
        <f t="shared" si="2"/>
        <v>21</v>
      </c>
      <c r="J18" s="52">
        <f t="shared" si="3"/>
        <v>30</v>
      </c>
      <c r="K18" s="52">
        <f t="shared" si="4"/>
        <v>38</v>
      </c>
      <c r="L18" s="52" t="str">
        <f>IFERROR(VLOOKUP(MID(G18,J18,K18-J18),[5]skilldef!$C:$D,2,FALSE),"-") &amp; " / " &amp; IFERROR(VLOOKUP(MID(G18,H18,I18-H18),[5]skilldef!$A:$B,2,FALSE),"-")</f>
        <v>味方全体に / ステータスDOWN</v>
      </c>
      <c r="M18" s="52" t="str">
        <f t="shared" si="5"/>
        <v>[effect:rush, count:1, val:0.8],[effect:tolerance,target:myself,turn:-1,tolerance_effect:all,count:-1,animation:enemy_tolerance],[effect:fix_speed, target:enemy_all, turn:1]</v>
      </c>
      <c r="N18" s="37" t="str">
        <f>IFERROR(LEFT(M18,FIND("],",M18)+S26),M18)</f>
        <v>[effect:rush, count:1, val:0.8],[effect:tolerance,target:myself,turn:-1,tolerance_effect:all,count:-1,animation:enemy_tolerance],[effect:fix_speed, target:enemy_all, turn:1]</v>
      </c>
      <c r="O18" s="52">
        <f t="shared" si="7"/>
        <v>9</v>
      </c>
      <c r="P18" s="52">
        <f t="shared" si="8"/>
        <v>13</v>
      </c>
      <c r="Q18" s="52">
        <f t="shared" si="9"/>
        <v>58</v>
      </c>
      <c r="R18" s="52">
        <f t="shared" si="10"/>
        <v>22</v>
      </c>
      <c r="S18" s="52" t="str">
        <f>IFERROR(VLOOKUP(MID(N18,Q18,R18-Q18),[5]skilldef!$C:$D,2,FALSE),"-") &amp; " / " &amp; IFERROR(VLOOKUP(MID(N18,O18,P18-O18),[5]skilldef!$A:$B,2,FALSE),"-")</f>
        <v>- / 連続攻撃</v>
      </c>
      <c r="T18" s="37" t="str">
        <f t="shared" si="11"/>
        <v>[effect:tolerance,target:myself,turn:-1,tolerance_effect:all,count:-1,animation:enemy_tolerance],[effect:fix_speed, target:enemy_all, turn:1]</v>
      </c>
      <c r="U18" s="52">
        <f t="shared" si="12"/>
        <v>9</v>
      </c>
      <c r="V18" s="52">
        <f t="shared" si="13"/>
        <v>18</v>
      </c>
      <c r="W18" s="52">
        <f t="shared" si="14"/>
        <v>26</v>
      </c>
      <c r="X18" s="52">
        <f t="shared" si="15"/>
        <v>32</v>
      </c>
      <c r="Y18" s="52" t="str">
        <f>IFERROR(VLOOKUP(MID(T18,W18,X18-W18),[5]skilldef!$C:$D,2,FALSE),"-") &amp; " / " &amp; IFERROR(VLOOKUP(MID(T18,U18,V18-U18),[5]skilldef!$A:$B,2,FALSE),"-")</f>
        <v>自分自身に / 状態異常耐性</v>
      </c>
      <c r="Z18" s="39" t="s">
        <v>191</v>
      </c>
      <c r="AA18" s="41"/>
      <c r="AB18" s="39" t="s">
        <v>200</v>
      </c>
    </row>
    <row r="19" spans="1:28" ht="21" customHeight="1">
      <c r="A19" s="142">
        <v>40005019</v>
      </c>
      <c r="B19" s="145" t="s">
        <v>343</v>
      </c>
      <c r="C19" s="39">
        <v>3</v>
      </c>
      <c r="D19" s="39" t="s">
        <v>184</v>
      </c>
      <c r="E19" s="40" t="s">
        <v>245</v>
      </c>
      <c r="F19" s="40" t="s">
        <v>344</v>
      </c>
      <c r="G19" s="52" t="str">
        <f t="shared" si="0"/>
        <v>[effect:change_block, new_block:jammer, target:block_all, count:15, val:0, animation:change_block]</v>
      </c>
      <c r="H19" s="52">
        <f t="shared" si="1"/>
        <v>9</v>
      </c>
      <c r="I19" s="52">
        <f t="shared" si="2"/>
        <v>21</v>
      </c>
      <c r="J19" s="52">
        <f t="shared" si="3"/>
        <v>48</v>
      </c>
      <c r="K19" s="52">
        <f t="shared" si="4"/>
        <v>39</v>
      </c>
      <c r="L19" s="52" t="str">
        <f>IFERROR(VLOOKUP(MID(G19,J19,K19-J19),[5]skilldef!$C:$D,2,FALSE),"-") &amp; " / " &amp; IFERROR(VLOOKUP(MID(G19,H19,I19-H19),[5]skilldef!$A:$B,2,FALSE),"-")</f>
        <v>- / ブロック変換</v>
      </c>
      <c r="M19" s="52" t="str">
        <f t="shared" si="5"/>
        <v>none</v>
      </c>
      <c r="N19" s="37" t="str">
        <f>IFERROR(LEFT(M19,FIND("],",M19)+S27),M19)</f>
        <v>none</v>
      </c>
      <c r="O19" s="52" t="e">
        <f t="shared" si="7"/>
        <v>#VALUE!</v>
      </c>
      <c r="P19" s="52">
        <f t="shared" si="8"/>
        <v>4</v>
      </c>
      <c r="Q19" s="52" t="e">
        <f t="shared" si="9"/>
        <v>#VALUE!</v>
      </c>
      <c r="R19" s="52" t="e">
        <f t="shared" si="10"/>
        <v>#VALUE!</v>
      </c>
      <c r="S19" s="52" t="str">
        <f>IFERROR(VLOOKUP(MID(N19,Q19,R19-Q19),[5]skilldef!$C:$D,2,FALSE),"-") &amp; " / " &amp; IFERROR(VLOOKUP(MID(N19,O19,P19-O19),[5]skilldef!$A:$B,2,FALSE),"-")</f>
        <v>- / -</v>
      </c>
      <c r="T19" s="37" t="str">
        <f t="shared" si="11"/>
        <v>none</v>
      </c>
      <c r="U19" s="52" t="e">
        <f t="shared" si="12"/>
        <v>#VALUE!</v>
      </c>
      <c r="V19" s="52">
        <f t="shared" si="13"/>
        <v>4</v>
      </c>
      <c r="W19" s="52" t="e">
        <f t="shared" si="14"/>
        <v>#VALUE!</v>
      </c>
      <c r="X19" s="52" t="e">
        <f t="shared" si="15"/>
        <v>#VALUE!</v>
      </c>
      <c r="Y19" s="52" t="str">
        <f>IFERROR(VLOOKUP(MID(T19,W19,X19-W19),[5]skilldef!$C:$D,2,FALSE),"-") &amp; " / " &amp; IFERROR(VLOOKUP(MID(T19,U19,V19-U19),[5]skilldef!$A:$B,2,FALSE),"-")</f>
        <v>- / -</v>
      </c>
      <c r="Z19" s="39" t="s">
        <v>191</v>
      </c>
      <c r="AA19" s="41"/>
      <c r="AB19" s="39" t="s">
        <v>199</v>
      </c>
    </row>
    <row r="20" spans="1:28" ht="21" customHeight="1">
      <c r="A20" s="142">
        <v>40005021</v>
      </c>
      <c r="B20" s="145" t="s">
        <v>231</v>
      </c>
      <c r="C20" s="39">
        <v>3</v>
      </c>
      <c r="D20" s="39" t="s">
        <v>182</v>
      </c>
      <c r="E20" s="40" t="s">
        <v>256</v>
      </c>
      <c r="F20" s="40" t="s">
        <v>202</v>
      </c>
      <c r="G20" s="52" t="str">
        <f t="shared" ref="G20" si="16">IFERROR(LEFT(B20,FIND("],",B20)),B20)</f>
        <v xml:space="preserve">[effect:dis_heart, turn:4, animation:enemy_dis_heart]    </v>
      </c>
      <c r="H20" s="52">
        <f t="shared" ref="H20" si="17">FIND("effect:",G20)+7</f>
        <v>9</v>
      </c>
      <c r="I20" s="52">
        <f t="shared" ref="I20" si="18">IFERROR(FIND(",",G20),LEN(G20))</f>
        <v>18</v>
      </c>
      <c r="J20" s="52" t="e">
        <f t="shared" ref="J20" si="19">FIND("target:",G20)+7</f>
        <v>#VALUE!</v>
      </c>
      <c r="K20" s="52">
        <f t="shared" ref="K20" si="20">FIND(",",G20,I20+1)</f>
        <v>26</v>
      </c>
      <c r="L20" s="52" t="str">
        <f>IFERROR(VLOOKUP(MID(G20,J20,K20-J20),[5]skilldef!$C:$D,2,FALSE),"-") &amp; " / " &amp; IFERROR(VLOOKUP(MID(G20,H20,I20-H20),[5]skilldef!$A:$B,2,FALSE),"-")</f>
        <v>- / ディスハート</v>
      </c>
      <c r="M20" s="52" t="str">
        <f t="shared" ref="M20" si="21">IFERROR(RIGHT(B20,LEN(B20)-FIND("],",B20)-1),"none")</f>
        <v>none</v>
      </c>
      <c r="N20" s="37" t="str">
        <f>IFERROR(LEFT(M20,FIND("],",M20)+#REF!),M20)</f>
        <v>none</v>
      </c>
      <c r="O20" s="52" t="e">
        <f t="shared" ref="O20" si="22">FIND("effect:",N20)+7</f>
        <v>#VALUE!</v>
      </c>
      <c r="P20" s="52">
        <f t="shared" ref="P20" si="23">IFERROR(FIND(",",N20),LEN(N20))</f>
        <v>4</v>
      </c>
      <c r="Q20" s="52" t="e">
        <f t="shared" ref="Q20" si="24">FIND("target:",N20)+7</f>
        <v>#VALUE!</v>
      </c>
      <c r="R20" s="52" t="e">
        <f t="shared" ref="R20" si="25">FIND(",",N20,P20+1)</f>
        <v>#VALUE!</v>
      </c>
      <c r="S20" s="52" t="str">
        <f>IFERROR(VLOOKUP(MID(N20,Q20,R20-Q20),[5]skilldef!$C:$D,2,FALSE),"-") &amp; " / " &amp; IFERROR(VLOOKUP(MID(N20,O20,P20-O20),[5]skilldef!$A:$B,2,FALSE),"-")</f>
        <v>- / -</v>
      </c>
      <c r="T20" s="37" t="str">
        <f t="shared" ref="T20" si="26">IFERROR(RIGHT(M20,LEN(M20)-FIND("],",M20)-1),"none")</f>
        <v>none</v>
      </c>
      <c r="U20" s="52" t="e">
        <f t="shared" ref="U20" si="27">FIND("effect:",T20)+7</f>
        <v>#VALUE!</v>
      </c>
      <c r="V20" s="52">
        <f t="shared" ref="V20" si="28">IFERROR(FIND(",",T20),LEN(T20))</f>
        <v>4</v>
      </c>
      <c r="W20" s="52" t="e">
        <f t="shared" ref="W20" si="29">FIND("target:",T20)+7</f>
        <v>#VALUE!</v>
      </c>
      <c r="X20" s="52" t="e">
        <f t="shared" ref="X20" si="30">FIND(",",T20,V20+1)</f>
        <v>#VALUE!</v>
      </c>
      <c r="Y20" s="52" t="str">
        <f>IFERROR(VLOOKUP(MID(T20,W20,X20-W20),[5]skilldef!$C:$D,2,FALSE),"-") &amp; " / " &amp; IFERROR(VLOOKUP(MID(T20,U20,V20-U20),[5]skilldef!$A:$B,2,FALSE),"-")</f>
        <v>- / -</v>
      </c>
      <c r="Z20" s="39" t="s">
        <v>191</v>
      </c>
      <c r="AA20" s="41"/>
      <c r="AB20" s="39" t="s">
        <v>203</v>
      </c>
    </row>
    <row r="21" spans="1:28" ht="21" customHeight="1">
      <c r="A21" s="142">
        <v>40005022</v>
      </c>
      <c r="B21" s="145" t="s">
        <v>232</v>
      </c>
      <c r="C21" s="39">
        <v>3</v>
      </c>
      <c r="D21" s="39" t="s">
        <v>182</v>
      </c>
      <c r="E21" s="40" t="s">
        <v>222</v>
      </c>
      <c r="F21" s="40" t="s">
        <v>323</v>
      </c>
      <c r="G21" s="52" t="e">
        <f>IFERROR(LEFT(#REF!,FIND("],",#REF!)),#REF!)</f>
        <v>#REF!</v>
      </c>
      <c r="H21" s="52" t="e">
        <f t="shared" ref="H21" si="31">FIND("effect:",G21)+7</f>
        <v>#REF!</v>
      </c>
      <c r="I21" s="52" t="e">
        <f t="shared" ref="I21" si="32">IFERROR(FIND(",",G21),LEN(G21))</f>
        <v>#REF!</v>
      </c>
      <c r="J21" s="52" t="e">
        <f t="shared" ref="J21" si="33">FIND("target:",G21)+7</f>
        <v>#REF!</v>
      </c>
      <c r="K21" s="52" t="e">
        <f t="shared" ref="K21" si="34">FIND(",",G21,I21+1)</f>
        <v>#REF!</v>
      </c>
      <c r="L21" s="52" t="str">
        <f>IFERROR(VLOOKUP(MID(G21,J21,K21-J21),[5]skilldef!$C:$D,2,FALSE),"-") &amp; " / " &amp; IFERROR(VLOOKUP(MID(G21,H21,I21-H21),[5]skilldef!$A:$B,2,FALSE),"-")</f>
        <v>- / -</v>
      </c>
      <c r="M21" s="52" t="str">
        <f>IFERROR(RIGHT(#REF!,LEN(#REF!)-FIND("],",#REF!)-1),"none")</f>
        <v>none</v>
      </c>
      <c r="N21" s="37" t="str">
        <f t="shared" ref="N21:N24" si="35">IFERROR(LEFT(M21,FIND("],",M21)+S29),M21)</f>
        <v>none</v>
      </c>
      <c r="O21" s="52" t="e">
        <f t="shared" ref="O21" si="36">FIND("effect:",N21)+7</f>
        <v>#VALUE!</v>
      </c>
      <c r="P21" s="52">
        <f t="shared" ref="P21" si="37">IFERROR(FIND(",",N21),LEN(N21))</f>
        <v>4</v>
      </c>
      <c r="Q21" s="52" t="e">
        <f t="shared" ref="Q21" si="38">FIND("target:",N21)+7</f>
        <v>#VALUE!</v>
      </c>
      <c r="R21" s="52" t="e">
        <f t="shared" ref="R21" si="39">FIND(",",N21,P21+1)</f>
        <v>#VALUE!</v>
      </c>
      <c r="S21" s="52" t="str">
        <f>IFERROR(VLOOKUP(MID(N21,Q21,R21-Q21),[5]skilldef!$C:$D,2,FALSE),"-") &amp; " / " &amp; IFERROR(VLOOKUP(MID(N21,O21,P21-O21),[5]skilldef!$A:$B,2,FALSE),"-")</f>
        <v>- / -</v>
      </c>
      <c r="T21" s="37" t="str">
        <f t="shared" ref="T21" si="40">IFERROR(RIGHT(M21,LEN(M21)-FIND("],",M21)-1),"none")</f>
        <v>none</v>
      </c>
      <c r="U21" s="52" t="e">
        <f t="shared" ref="U21" si="41">FIND("effect:",T21)+7</f>
        <v>#VALUE!</v>
      </c>
      <c r="V21" s="52">
        <f t="shared" ref="V21" si="42">IFERROR(FIND(",",T21),LEN(T21))</f>
        <v>4</v>
      </c>
      <c r="W21" s="52" t="e">
        <f t="shared" ref="W21" si="43">FIND("target:",T21)+7</f>
        <v>#VALUE!</v>
      </c>
      <c r="X21" s="52" t="e">
        <f t="shared" ref="X21" si="44">FIND(",",T21,V21+1)</f>
        <v>#VALUE!</v>
      </c>
      <c r="Y21" s="52" t="str">
        <f>IFERROR(VLOOKUP(MID(T21,W21,X21-W21),[5]skilldef!$C:$D,2,FALSE),"-") &amp; " / " &amp; IFERROR(VLOOKUP(MID(T21,U21,V21-U21),[5]skilldef!$A:$B,2,FALSE),"-")</f>
        <v>- / -</v>
      </c>
      <c r="Z21" s="39" t="s">
        <v>191</v>
      </c>
      <c r="AA21" s="41"/>
      <c r="AB21" s="39" t="s">
        <v>195</v>
      </c>
    </row>
    <row r="22" spans="1:28" ht="21" customHeight="1">
      <c r="A22" s="142">
        <v>40005023</v>
      </c>
      <c r="B22" s="145" t="s">
        <v>374</v>
      </c>
      <c r="C22" s="39">
        <v>3</v>
      </c>
      <c r="D22" s="39" t="s">
        <v>182</v>
      </c>
      <c r="E22" s="40" t="s">
        <v>268</v>
      </c>
      <c r="F22" s="40" t="s">
        <v>269</v>
      </c>
      <c r="G22" s="52" t="e">
        <f>IFERROR(LEFT(#REF!,FIND("],",#REF!)),#REF!)</f>
        <v>#REF!</v>
      </c>
      <c r="H22" s="52" t="e">
        <f t="shared" ref="H22:H23" si="45">FIND("effect:",G22)+7</f>
        <v>#REF!</v>
      </c>
      <c r="I22" s="52" t="e">
        <f t="shared" ref="I22:I23" si="46">IFERROR(FIND(",",G22),LEN(G22))</f>
        <v>#REF!</v>
      </c>
      <c r="J22" s="52" t="e">
        <f t="shared" ref="J22:J23" si="47">FIND("target:",G22)+7</f>
        <v>#REF!</v>
      </c>
      <c r="K22" s="52" t="e">
        <f t="shared" ref="K22:K23" si="48">FIND(",",G22,I22+1)</f>
        <v>#REF!</v>
      </c>
      <c r="L22" s="52" t="str">
        <f>IFERROR(VLOOKUP(MID(G22,J22,K22-J22),[5]skilldef!$C:$D,2,FALSE),"-") &amp; " / " &amp; IFERROR(VLOOKUP(MID(G22,H22,I22-H22),[5]skilldef!$A:$B,2,FALSE),"-")</f>
        <v>- / -</v>
      </c>
      <c r="M22" s="52" t="str">
        <f>IFERROR(RIGHT(#REF!,LEN(#REF!)-FIND("],",#REF!)-1),"none")</f>
        <v>none</v>
      </c>
      <c r="N22" s="37" t="str">
        <f t="shared" si="35"/>
        <v>none</v>
      </c>
      <c r="O22" s="52" t="e">
        <f t="shared" ref="O22:O23" si="49">FIND("effect:",N22)+7</f>
        <v>#VALUE!</v>
      </c>
      <c r="P22" s="52">
        <f t="shared" ref="P22:P23" si="50">IFERROR(FIND(",",N22),LEN(N22))</f>
        <v>4</v>
      </c>
      <c r="Q22" s="52" t="e">
        <f t="shared" ref="Q22:Q23" si="51">FIND("target:",N22)+7</f>
        <v>#VALUE!</v>
      </c>
      <c r="R22" s="52" t="e">
        <f t="shared" ref="R22:R23" si="52">FIND(",",N22,P22+1)</f>
        <v>#VALUE!</v>
      </c>
      <c r="S22" s="52" t="str">
        <f>IFERROR(VLOOKUP(MID(N22,Q22,R22-Q22),[5]skilldef!$C:$D,2,FALSE),"-") &amp; " / " &amp; IFERROR(VLOOKUP(MID(N22,O22,P22-O22),[5]skilldef!$A:$B,2,FALSE),"-")</f>
        <v>- / -</v>
      </c>
      <c r="T22" s="37" t="str">
        <f t="shared" ref="T22:T23" si="53">IFERROR(RIGHT(M22,LEN(M22)-FIND("],",M22)-1),"none")</f>
        <v>none</v>
      </c>
      <c r="U22" s="52" t="e">
        <f t="shared" ref="U22:U23" si="54">FIND("effect:",T22)+7</f>
        <v>#VALUE!</v>
      </c>
      <c r="V22" s="52">
        <f t="shared" ref="V22:V23" si="55">IFERROR(FIND(",",T22),LEN(T22))</f>
        <v>4</v>
      </c>
      <c r="W22" s="52" t="e">
        <f t="shared" ref="W22:W23" si="56">FIND("target:",T22)+7</f>
        <v>#VALUE!</v>
      </c>
      <c r="X22" s="52" t="e">
        <f t="shared" ref="X22:X23" si="57">FIND(",",T22,V22+1)</f>
        <v>#VALUE!</v>
      </c>
      <c r="Y22" s="52" t="str">
        <f>IFERROR(VLOOKUP(MID(T22,W22,X22-W22),[5]skilldef!$C:$D,2,FALSE),"-") &amp; " / " &amp; IFERROR(VLOOKUP(MID(T22,U22,V22-U22),[5]skilldef!$A:$B,2,FALSE),"-")</f>
        <v>- / -</v>
      </c>
      <c r="Z22" s="39" t="s">
        <v>191</v>
      </c>
      <c r="AA22" s="41"/>
      <c r="AB22" s="39" t="s">
        <v>195</v>
      </c>
    </row>
    <row r="23" spans="1:28" ht="21" customHeight="1">
      <c r="A23" s="142">
        <v>40005024</v>
      </c>
      <c r="B23" s="145" t="s">
        <v>296</v>
      </c>
      <c r="C23" s="39">
        <v>3</v>
      </c>
      <c r="D23" s="39" t="s">
        <v>182</v>
      </c>
      <c r="E23" s="40" t="s">
        <v>241</v>
      </c>
      <c r="F23" s="40" t="s">
        <v>319</v>
      </c>
      <c r="G23" s="52" t="str">
        <f t="shared" ref="G23" si="58">IFERROR(LEFT(B23,FIND("],",B23)),B23)</f>
        <v>[effect:change_block, new_block:jammer, target:block_all, count:4, val:0, animation:change_block]</v>
      </c>
      <c r="H23" s="52">
        <f t="shared" si="45"/>
        <v>9</v>
      </c>
      <c r="I23" s="52">
        <f t="shared" si="46"/>
        <v>21</v>
      </c>
      <c r="J23" s="52">
        <f t="shared" si="47"/>
        <v>48</v>
      </c>
      <c r="K23" s="52">
        <f t="shared" si="48"/>
        <v>39</v>
      </c>
      <c r="L23" s="52" t="str">
        <f>IFERROR(VLOOKUP(MID(G23,J23,K23-J23),[5]skilldef!$C:$D,2,FALSE),"-") &amp; " / " &amp; IFERROR(VLOOKUP(MID(G23,H23,I23-H23),[5]skilldef!$A:$B,2,FALSE),"-")</f>
        <v>- / ブロック変換</v>
      </c>
      <c r="M23" s="52" t="str">
        <f t="shared" ref="M23" si="59">IFERROR(RIGHT(B23,LEN(B23)-FIND("],",B23)-1),"none")</f>
        <v>[effect:rush, count:1, val:1]</v>
      </c>
      <c r="N23" s="37" t="str">
        <f t="shared" si="35"/>
        <v>[effect:rush, count:1, val:1]</v>
      </c>
      <c r="O23" s="52">
        <f t="shared" si="49"/>
        <v>9</v>
      </c>
      <c r="P23" s="52">
        <f t="shared" si="50"/>
        <v>13</v>
      </c>
      <c r="Q23" s="52" t="e">
        <f t="shared" si="51"/>
        <v>#VALUE!</v>
      </c>
      <c r="R23" s="52">
        <f t="shared" si="52"/>
        <v>22</v>
      </c>
      <c r="S23" s="52" t="str">
        <f>IFERROR(VLOOKUP(MID(N23,Q23,R23-Q23),[5]skilldef!$C:$D,2,FALSE),"-") &amp; " / " &amp; IFERROR(VLOOKUP(MID(N23,O23,P23-O23),[5]skilldef!$A:$B,2,FALSE),"-")</f>
        <v>- / 連続攻撃</v>
      </c>
      <c r="T23" s="37" t="str">
        <f t="shared" si="53"/>
        <v>none</v>
      </c>
      <c r="U23" s="52" t="e">
        <f t="shared" si="54"/>
        <v>#VALUE!</v>
      </c>
      <c r="V23" s="52">
        <f t="shared" si="55"/>
        <v>4</v>
      </c>
      <c r="W23" s="52" t="e">
        <f t="shared" si="56"/>
        <v>#VALUE!</v>
      </c>
      <c r="X23" s="52" t="e">
        <f t="shared" si="57"/>
        <v>#VALUE!</v>
      </c>
      <c r="Y23" s="52" t="str">
        <f>IFERROR(VLOOKUP(MID(T23,W23,X23-W23),[5]skilldef!$C:$D,2,FALSE),"-") &amp; " / " &amp; IFERROR(VLOOKUP(MID(T23,U23,V23-U23),[5]skilldef!$A:$B,2,FALSE),"-")</f>
        <v>- / -</v>
      </c>
      <c r="Z23" s="39" t="s">
        <v>191</v>
      </c>
      <c r="AA23" s="41"/>
      <c r="AB23" s="39" t="s">
        <v>192</v>
      </c>
    </row>
    <row r="24" spans="1:28" ht="21" customHeight="1">
      <c r="A24" s="142">
        <v>40005025</v>
      </c>
      <c r="B24" s="145" t="s">
        <v>293</v>
      </c>
      <c r="C24" s="39">
        <v>3</v>
      </c>
      <c r="D24" s="39" t="s">
        <v>182</v>
      </c>
      <c r="E24" s="40" t="s">
        <v>240</v>
      </c>
      <c r="F24" s="40" t="s">
        <v>319</v>
      </c>
      <c r="G24" s="52" t="str">
        <f t="shared" ref="G24" si="60">IFERROR(LEFT(B24,FIND("],",B24)),B24)</f>
        <v>[effect:change_block, new_block:jammer, target:block_all, count:4, val:0, animation:change_block]</v>
      </c>
      <c r="H24" s="52">
        <f t="shared" ref="H24" si="61">FIND("effect:",G24)+7</f>
        <v>9</v>
      </c>
      <c r="I24" s="52">
        <f t="shared" ref="I24" si="62">IFERROR(FIND(",",G24),LEN(G24))</f>
        <v>21</v>
      </c>
      <c r="J24" s="52">
        <f t="shared" ref="J24" si="63">FIND("target:",G24)+7</f>
        <v>48</v>
      </c>
      <c r="K24" s="52">
        <f t="shared" ref="K24" si="64">FIND(",",G24,I24+1)</f>
        <v>39</v>
      </c>
      <c r="L24" s="52" t="str">
        <f>IFERROR(VLOOKUP(MID(G24,J24,K24-J24),[5]skilldef!$C:$D,2,FALSE),"-") &amp; " / " &amp; IFERROR(VLOOKUP(MID(G24,H24,I24-H24),[5]skilldef!$A:$B,2,FALSE),"-")</f>
        <v>- / ブロック変換</v>
      </c>
      <c r="M24" s="52" t="str">
        <f t="shared" ref="M24" si="65">IFERROR(RIGHT(B24,LEN(B24)-FIND("],",B24)-1),"none")</f>
        <v>[effect:rush, count:1, val:1]</v>
      </c>
      <c r="N24" s="37" t="str">
        <f t="shared" si="35"/>
        <v>[effect:rush, count:1, val:1]</v>
      </c>
      <c r="O24" s="52">
        <f t="shared" ref="O24" si="66">FIND("effect:",N24)+7</f>
        <v>9</v>
      </c>
      <c r="P24" s="52">
        <f t="shared" ref="P24" si="67">IFERROR(FIND(",",N24),LEN(N24))</f>
        <v>13</v>
      </c>
      <c r="Q24" s="52" t="e">
        <f t="shared" ref="Q24" si="68">FIND("target:",N24)+7</f>
        <v>#VALUE!</v>
      </c>
      <c r="R24" s="52">
        <f t="shared" ref="R24" si="69">FIND(",",N24,P24+1)</f>
        <v>22</v>
      </c>
      <c r="S24" s="52" t="str">
        <f>IFERROR(VLOOKUP(MID(N24,Q24,R24-Q24),[5]skilldef!$C:$D,2,FALSE),"-") &amp; " / " &amp; IFERROR(VLOOKUP(MID(N24,O24,P24-O24),[5]skilldef!$A:$B,2,FALSE),"-")</f>
        <v>- / 連続攻撃</v>
      </c>
      <c r="T24" s="37" t="str">
        <f t="shared" ref="T24" si="70">IFERROR(RIGHT(M24,LEN(M24)-FIND("],",M24)-1),"none")</f>
        <v>none</v>
      </c>
      <c r="U24" s="52" t="e">
        <f t="shared" ref="U24" si="71">FIND("effect:",T24)+7</f>
        <v>#VALUE!</v>
      </c>
      <c r="V24" s="52">
        <f t="shared" ref="V24" si="72">IFERROR(FIND(",",T24),LEN(T24))</f>
        <v>4</v>
      </c>
      <c r="W24" s="52" t="e">
        <f t="shared" ref="W24" si="73">FIND("target:",T24)+7</f>
        <v>#VALUE!</v>
      </c>
      <c r="X24" s="52" t="e">
        <f t="shared" ref="X24" si="74">FIND(",",T24,V24+1)</f>
        <v>#VALUE!</v>
      </c>
      <c r="Y24" s="52" t="str">
        <f>IFERROR(VLOOKUP(MID(T24,W24,X24-W24),[5]skilldef!$C:$D,2,FALSE),"-") &amp; " / " &amp; IFERROR(VLOOKUP(MID(T24,U24,V24-U24),[5]skilldef!$A:$B,2,FALSE),"-")</f>
        <v>- / -</v>
      </c>
      <c r="Z24" s="39" t="s">
        <v>191</v>
      </c>
      <c r="AA24" s="41"/>
      <c r="AB24" s="39" t="s">
        <v>192</v>
      </c>
    </row>
    <row r="25" spans="1:28" ht="21" customHeight="1">
      <c r="A25" s="142">
        <v>40005026</v>
      </c>
      <c r="B25" s="145" t="s">
        <v>265</v>
      </c>
      <c r="C25" s="39">
        <v>3</v>
      </c>
      <c r="D25" s="39" t="s">
        <v>182</v>
      </c>
      <c r="E25" s="40" t="s">
        <v>255</v>
      </c>
      <c r="F25" s="40" t="s">
        <v>318</v>
      </c>
      <c r="G25" s="52" t="str">
        <f t="shared" ref="G25" si="75">IFERROR(LEFT(B25,FIND("],",B25)),B25)</f>
        <v>[effect:hungup, target:unit_all, turn:3, rate:1, animation:hungup01]</v>
      </c>
      <c r="H25" s="52">
        <f t="shared" ref="H25" si="76">FIND("effect:",G25)+7</f>
        <v>9</v>
      </c>
      <c r="I25" s="52">
        <f t="shared" ref="I25" si="77">IFERROR(FIND(",",G25),LEN(G25))</f>
        <v>15</v>
      </c>
      <c r="J25" s="52">
        <f t="shared" ref="J25" si="78">FIND("target:",G25)+7</f>
        <v>24</v>
      </c>
      <c r="K25" s="52">
        <f t="shared" ref="K25" si="79">FIND(",",G25,I25+1)</f>
        <v>32</v>
      </c>
      <c r="L25" s="52" t="str">
        <f>IFERROR(VLOOKUP(MID(G25,J25,K25-J25),[5]skilldef!$C:$D,2,FALSE),"-") &amp; " / " &amp; IFERROR(VLOOKUP(MID(G25,H25,I25-H25),[5]skilldef!$A:$B,2,FALSE),"-")</f>
        <v>味方全体に / ハングアップ</v>
      </c>
      <c r="M25" s="52" t="str">
        <f t="shared" ref="M25" si="80">IFERROR(RIGHT(B25,LEN(B25)-FIND("],",B25)-1),"none")</f>
        <v>none</v>
      </c>
      <c r="N25" s="37" t="str">
        <f>IFERROR(LEFT(M25,FIND("],",M25)+S34),M25)</f>
        <v>none</v>
      </c>
      <c r="O25" s="52" t="e">
        <f t="shared" ref="O25" si="81">FIND("effect:",N25)+7</f>
        <v>#VALUE!</v>
      </c>
      <c r="P25" s="52">
        <f t="shared" ref="P25" si="82">IFERROR(FIND(",",N25),LEN(N25))</f>
        <v>4</v>
      </c>
      <c r="Q25" s="52" t="e">
        <f t="shared" ref="Q25" si="83">FIND("target:",N25)+7</f>
        <v>#VALUE!</v>
      </c>
      <c r="R25" s="52" t="e">
        <f t="shared" ref="R25" si="84">FIND(",",N25,P25+1)</f>
        <v>#VALUE!</v>
      </c>
      <c r="S25" s="52" t="str">
        <f>IFERROR(VLOOKUP(MID(N25,Q25,R25-Q25),[5]skilldef!$C:$D,2,FALSE),"-") &amp; " / " &amp; IFERROR(VLOOKUP(MID(N25,O25,P25-O25),[5]skilldef!$A:$B,2,FALSE),"-")</f>
        <v>- / -</v>
      </c>
      <c r="T25" s="37" t="str">
        <f t="shared" ref="T25" si="85">IFERROR(RIGHT(M25,LEN(M25)-FIND("],",M25)-1),"none")</f>
        <v>none</v>
      </c>
      <c r="U25" s="52" t="e">
        <f t="shared" ref="U25" si="86">FIND("effect:",T25)+7</f>
        <v>#VALUE!</v>
      </c>
      <c r="V25" s="52">
        <f t="shared" ref="V25" si="87">IFERROR(FIND(",",T25),LEN(T25))</f>
        <v>4</v>
      </c>
      <c r="W25" s="52" t="e">
        <f t="shared" ref="W25" si="88">FIND("target:",T25)+7</f>
        <v>#VALUE!</v>
      </c>
      <c r="X25" s="52" t="e">
        <f t="shared" ref="X25" si="89">FIND(",",T25,V25+1)</f>
        <v>#VALUE!</v>
      </c>
      <c r="Y25" s="52" t="str">
        <f>IFERROR(VLOOKUP(MID(T25,W25,X25-W25),[5]skilldef!$C:$D,2,FALSE),"-") &amp; " / " &amp; IFERROR(VLOOKUP(MID(T25,U25,V25-U25),[5]skilldef!$A:$B,2,FALSE),"-")</f>
        <v>- / -</v>
      </c>
      <c r="Z25" s="39" t="s">
        <v>191</v>
      </c>
      <c r="AA25" s="41"/>
      <c r="AB25" s="39" t="s">
        <v>252</v>
      </c>
    </row>
    <row r="26" spans="1:28" ht="21" customHeight="1">
      <c r="A26" s="142">
        <v>40005027</v>
      </c>
      <c r="B26" s="145" t="s">
        <v>359</v>
      </c>
      <c r="C26" s="39">
        <v>3</v>
      </c>
      <c r="D26" s="39" t="s">
        <v>182</v>
      </c>
      <c r="E26" s="40" t="s">
        <v>254</v>
      </c>
      <c r="F26" s="40" t="s">
        <v>253</v>
      </c>
      <c r="G26" s="52" t="str">
        <f t="shared" ref="G26" si="90">IFERROR(LEFT(B26,FIND("],",B26)),B26)</f>
        <v>[effect:degrade_unit, target:unit_all, turn:3, status:attack, val:0.8, calc:mul]</v>
      </c>
      <c r="H26" s="52">
        <f t="shared" ref="H26" si="91">FIND("effect:",G26)+7</f>
        <v>9</v>
      </c>
      <c r="I26" s="52">
        <f t="shared" ref="I26" si="92">IFERROR(FIND(",",G26),LEN(G26))</f>
        <v>21</v>
      </c>
      <c r="J26" s="52">
        <f t="shared" ref="J26" si="93">FIND("target:",G26)+7</f>
        <v>30</v>
      </c>
      <c r="K26" s="52">
        <f t="shared" ref="K26" si="94">FIND(",",G26,I26+1)</f>
        <v>38</v>
      </c>
      <c r="L26" s="52" t="str">
        <f>IFERROR(VLOOKUP(MID(G26,J26,K26-J26),[5]skilldef!$C:$D,2,FALSE),"-") &amp; " / " &amp; IFERROR(VLOOKUP(MID(G26,H26,I26-H26),[5]skilldef!$A:$B,2,FALSE),"-")</f>
        <v>味方全体に / ステータスDOWN</v>
      </c>
      <c r="M26" s="52" t="str">
        <f t="shared" ref="M26" si="95">IFERROR(RIGHT(B26,LEN(B26)-FIND("],",B26)-1),"none")</f>
        <v>none</v>
      </c>
      <c r="N26" s="37" t="str">
        <f>IFERROR(LEFT(M26,FIND("],",M26)+S35),M26)</f>
        <v>none</v>
      </c>
      <c r="O26" s="52" t="e">
        <f t="shared" ref="O26" si="96">FIND("effect:",N26)+7</f>
        <v>#VALUE!</v>
      </c>
      <c r="P26" s="52">
        <f t="shared" ref="P26" si="97">IFERROR(FIND(",",N26),LEN(N26))</f>
        <v>4</v>
      </c>
      <c r="Q26" s="52" t="e">
        <f t="shared" ref="Q26" si="98">FIND("target:",N26)+7</f>
        <v>#VALUE!</v>
      </c>
      <c r="R26" s="52" t="e">
        <f t="shared" ref="R26" si="99">FIND(",",N26,P26+1)</f>
        <v>#VALUE!</v>
      </c>
      <c r="S26" s="52" t="str">
        <f>IFERROR(VLOOKUP(MID(N26,Q26,R26-Q26),[5]skilldef!$C:$D,2,FALSE),"-") &amp; " / " &amp; IFERROR(VLOOKUP(MID(N26,O26,P26-O26),[5]skilldef!$A:$B,2,FALSE),"-")</f>
        <v>- / -</v>
      </c>
      <c r="T26" s="37" t="str">
        <f t="shared" ref="T26" si="100">IFERROR(RIGHT(M26,LEN(M26)-FIND("],",M26)-1),"none")</f>
        <v>none</v>
      </c>
      <c r="U26" s="52" t="e">
        <f t="shared" ref="U26" si="101">FIND("effect:",T26)+7</f>
        <v>#VALUE!</v>
      </c>
      <c r="V26" s="52">
        <f t="shared" ref="V26" si="102">IFERROR(FIND(",",T26),LEN(T26))</f>
        <v>4</v>
      </c>
      <c r="W26" s="52" t="e">
        <f t="shared" ref="W26" si="103">FIND("target:",T26)+7</f>
        <v>#VALUE!</v>
      </c>
      <c r="X26" s="52" t="e">
        <f t="shared" ref="X26" si="104">FIND(",",T26,V26+1)</f>
        <v>#VALUE!</v>
      </c>
      <c r="Y26" s="52" t="str">
        <f>IFERROR(VLOOKUP(MID(T26,W26,X26-W26),[5]skilldef!$C:$D,2,FALSE),"-") &amp; " / " &amp; IFERROR(VLOOKUP(MID(T26,U26,V26-U26),[5]skilldef!$A:$B,2,FALSE),"-")</f>
        <v>- / -</v>
      </c>
      <c r="Z26" s="39" t="s">
        <v>191</v>
      </c>
      <c r="AA26" s="41"/>
      <c r="AB26" s="39" t="s">
        <v>272</v>
      </c>
    </row>
    <row r="27" spans="1:28" ht="21" customHeight="1">
      <c r="A27" s="142">
        <v>40005028</v>
      </c>
      <c r="B27" s="145" t="s">
        <v>328</v>
      </c>
      <c r="C27" s="39">
        <v>3</v>
      </c>
      <c r="D27" s="39" t="s">
        <v>182</v>
      </c>
      <c r="E27" s="40" t="s">
        <v>267</v>
      </c>
      <c r="F27" s="40" t="s">
        <v>324</v>
      </c>
      <c r="G27" s="52" t="str">
        <f t="shared" ref="G27:G29" si="105">IFERROR(LEFT(B27,FIND("],",B27)),B27)</f>
        <v>[effect:change_block, new_block:time_bomb, target:block_all, count:5, val:0.3, animation:change_block]</v>
      </c>
      <c r="H27" s="52">
        <f t="shared" ref="H27:H31" si="106">FIND("effect:",G27)+7</f>
        <v>9</v>
      </c>
      <c r="I27" s="52">
        <f t="shared" ref="I27:I31" si="107">IFERROR(FIND(",",G27),LEN(G27))</f>
        <v>21</v>
      </c>
      <c r="J27" s="52">
        <f t="shared" ref="J27:J31" si="108">FIND("target:",G27)+7</f>
        <v>51</v>
      </c>
      <c r="K27" s="52">
        <f t="shared" ref="K27:K31" si="109">FIND(",",G27,I27+1)</f>
        <v>42</v>
      </c>
      <c r="L27" s="52" t="str">
        <f>IFERROR(VLOOKUP(MID(G27,J27,K27-J27),[5]skilldef!$C:$D,2,FALSE),"-") &amp; " / " &amp; IFERROR(VLOOKUP(MID(G27,H27,I27-H27),[5]skilldef!$A:$B,2,FALSE),"-")</f>
        <v>- / ブロック変換</v>
      </c>
      <c r="M27" s="52" t="str">
        <f t="shared" ref="M27:M29" si="110">IFERROR(RIGHT(B27,LEN(B27)-FIND("],",B27)-1),"none")</f>
        <v>[effect:rush, count:1, val:1.7]</v>
      </c>
      <c r="N27" s="37" t="str">
        <f>IFERROR(LEFT(M27,FIND("],",M27)+S36),M27)</f>
        <v>[effect:rush, count:1, val:1.7]</v>
      </c>
      <c r="O27" s="52">
        <f t="shared" ref="O27:O31" si="111">FIND("effect:",N27)+7</f>
        <v>9</v>
      </c>
      <c r="P27" s="52">
        <f t="shared" ref="P27:P31" si="112">IFERROR(FIND(",",N27),LEN(N27))</f>
        <v>13</v>
      </c>
      <c r="Q27" s="52" t="e">
        <f t="shared" ref="Q27:Q31" si="113">FIND("target:",N27)+7</f>
        <v>#VALUE!</v>
      </c>
      <c r="R27" s="52">
        <f t="shared" ref="R27:R31" si="114">FIND(",",N27,P27+1)</f>
        <v>22</v>
      </c>
      <c r="S27" s="52" t="str">
        <f>IFERROR(VLOOKUP(MID(N27,Q27,R27-Q27),[5]skilldef!$C:$D,2,FALSE),"-") &amp; " / " &amp; IFERROR(VLOOKUP(MID(N27,O27,P27-O27),[5]skilldef!$A:$B,2,FALSE),"-")</f>
        <v>- / 連続攻撃</v>
      </c>
      <c r="T27" s="37" t="str">
        <f t="shared" ref="T27:T31" si="115">IFERROR(RIGHT(M27,LEN(M27)-FIND("],",M27)-1),"none")</f>
        <v>none</v>
      </c>
      <c r="U27" s="52" t="e">
        <f t="shared" ref="U27:U31" si="116">FIND("effect:",T27)+7</f>
        <v>#VALUE!</v>
      </c>
      <c r="V27" s="52">
        <f t="shared" ref="V27:V31" si="117">IFERROR(FIND(",",T27),LEN(T27))</f>
        <v>4</v>
      </c>
      <c r="W27" s="52" t="e">
        <f t="shared" ref="W27:W31" si="118">FIND("target:",T27)+7</f>
        <v>#VALUE!</v>
      </c>
      <c r="X27" s="52" t="e">
        <f t="shared" ref="X27:X31" si="119">FIND(",",T27,V27+1)</f>
        <v>#VALUE!</v>
      </c>
      <c r="Y27" s="52" t="str">
        <f>IFERROR(VLOOKUP(MID(T27,W27,X27-W27),[5]skilldef!$C:$D,2,FALSE),"-") &amp; " / " &amp; IFERROR(VLOOKUP(MID(T27,U27,V27-U27),[5]skilldef!$A:$B,2,FALSE),"-")</f>
        <v>- / -</v>
      </c>
      <c r="Z27" s="39" t="s">
        <v>191</v>
      </c>
      <c r="AA27" s="41"/>
      <c r="AB27" s="39" t="s">
        <v>252</v>
      </c>
    </row>
    <row r="28" spans="1:28" ht="21" customHeight="1">
      <c r="A28" s="142">
        <v>40005029</v>
      </c>
      <c r="B28" s="145" t="s">
        <v>287</v>
      </c>
      <c r="C28" s="39">
        <v>3</v>
      </c>
      <c r="D28" s="39" t="s">
        <v>184</v>
      </c>
      <c r="E28" s="40" t="s">
        <v>258</v>
      </c>
      <c r="F28" s="40" t="s">
        <v>235</v>
      </c>
      <c r="G28" s="52" t="str">
        <f t="shared" si="105"/>
        <v xml:space="preserve">[effect:enhance_enemy, target:myself, turn:-1, status:attack, val:0.5, animation:enemy_enhance_attack]    </v>
      </c>
      <c r="H28" s="52">
        <f t="shared" si="106"/>
        <v>9</v>
      </c>
      <c r="I28" s="52">
        <f t="shared" si="107"/>
        <v>22</v>
      </c>
      <c r="J28" s="52">
        <f t="shared" si="108"/>
        <v>31</v>
      </c>
      <c r="K28" s="52">
        <f t="shared" si="109"/>
        <v>37</v>
      </c>
      <c r="L28" s="52" t="str">
        <f>IFERROR(VLOOKUP(MID(G28,J28,K28-J28),[5]skilldef!$C:$D,2,FALSE),"-") &amp; " / " &amp; IFERROR(VLOOKUP(MID(G28,H28,I28-H28),[5]skilldef!$A:$B,2,FALSE),"-")</f>
        <v>自分自身に / ステータス強化</v>
      </c>
      <c r="M28" s="52" t="str">
        <f t="shared" si="110"/>
        <v>none</v>
      </c>
      <c r="N28" s="37" t="str">
        <f>IFERROR(LEFT(M28,FIND("],",M28)+#REF!),M28)</f>
        <v>none</v>
      </c>
      <c r="O28" s="52" t="e">
        <f t="shared" si="111"/>
        <v>#VALUE!</v>
      </c>
      <c r="P28" s="52">
        <f t="shared" si="112"/>
        <v>4</v>
      </c>
      <c r="Q28" s="52" t="e">
        <f t="shared" si="113"/>
        <v>#VALUE!</v>
      </c>
      <c r="R28" s="52" t="e">
        <f t="shared" si="114"/>
        <v>#VALUE!</v>
      </c>
      <c r="S28" s="52" t="str">
        <f>IFERROR(VLOOKUP(MID(N28,Q28,R28-Q28),[5]skilldef!$C:$D,2,FALSE),"-") &amp; " / " &amp; IFERROR(VLOOKUP(MID(N28,O28,P28-O28),[5]skilldef!$A:$B,2,FALSE),"-")</f>
        <v>- / -</v>
      </c>
      <c r="T28" s="37" t="str">
        <f t="shared" si="115"/>
        <v>none</v>
      </c>
      <c r="U28" s="52" t="e">
        <f t="shared" si="116"/>
        <v>#VALUE!</v>
      </c>
      <c r="V28" s="52">
        <f t="shared" si="117"/>
        <v>4</v>
      </c>
      <c r="W28" s="52" t="e">
        <f t="shared" si="118"/>
        <v>#VALUE!</v>
      </c>
      <c r="X28" s="52" t="e">
        <f t="shared" si="119"/>
        <v>#VALUE!</v>
      </c>
      <c r="Y28" s="52" t="str">
        <f>IFERROR(VLOOKUP(MID(T28,W28,X28-W28),[5]skilldef!$C:$D,2,FALSE),"-") &amp; " / " &amp; IFERROR(VLOOKUP(MID(T28,U28,V28-U28),[5]skilldef!$A:$B,2,FALSE),"-")</f>
        <v>- / -</v>
      </c>
      <c r="Z28" s="39" t="s">
        <v>191</v>
      </c>
      <c r="AA28" s="41"/>
      <c r="AB28" s="39" t="s">
        <v>259</v>
      </c>
    </row>
    <row r="29" spans="1:28" ht="21" customHeight="1">
      <c r="A29" s="142">
        <v>40005030</v>
      </c>
      <c r="B29" s="145" t="s">
        <v>262</v>
      </c>
      <c r="C29" s="39">
        <v>3</v>
      </c>
      <c r="D29" s="39" t="s">
        <v>184</v>
      </c>
      <c r="E29" s="40" t="s">
        <v>266</v>
      </c>
      <c r="F29" s="40" t="s">
        <v>320</v>
      </c>
      <c r="G29" s="52" t="str">
        <f t="shared" si="105"/>
        <v>[effect:change_block, new_block:jammer, target:block_all, count:8, val:0, animation:change_block]</v>
      </c>
      <c r="H29" s="52">
        <f t="shared" si="106"/>
        <v>9</v>
      </c>
      <c r="I29" s="52">
        <f t="shared" si="107"/>
        <v>21</v>
      </c>
      <c r="J29" s="52">
        <f t="shared" si="108"/>
        <v>48</v>
      </c>
      <c r="K29" s="52">
        <f t="shared" si="109"/>
        <v>39</v>
      </c>
      <c r="L29" s="52" t="str">
        <f>IFERROR(VLOOKUP(MID(G29,J29,K29-J29),[5]skilldef!$C:$D,2,FALSE),"-") &amp; " / " &amp; IFERROR(VLOOKUP(MID(G29,H29,I29-H29),[5]skilldef!$A:$B,2,FALSE),"-")</f>
        <v>- / ブロック変換</v>
      </c>
      <c r="M29" s="52" t="str">
        <f t="shared" si="110"/>
        <v>none</v>
      </c>
      <c r="N29" s="37" t="str">
        <f>IFERROR(LEFT(M29,FIND("],",M29)+#REF!),M29)</f>
        <v>none</v>
      </c>
      <c r="O29" s="52" t="e">
        <f t="shared" si="111"/>
        <v>#VALUE!</v>
      </c>
      <c r="P29" s="52">
        <f t="shared" si="112"/>
        <v>4</v>
      </c>
      <c r="Q29" s="52" t="e">
        <f t="shared" si="113"/>
        <v>#VALUE!</v>
      </c>
      <c r="R29" s="52" t="e">
        <f t="shared" si="114"/>
        <v>#VALUE!</v>
      </c>
      <c r="S29" s="52" t="str">
        <f>IFERROR(VLOOKUP(MID(N29,Q29,R29-Q29),[5]skilldef!$C:$D,2,FALSE),"-") &amp; " / " &amp; IFERROR(VLOOKUP(MID(N29,O29,P29-O29),[5]skilldef!$A:$B,2,FALSE),"-")</f>
        <v>- / -</v>
      </c>
      <c r="T29" s="37" t="str">
        <f t="shared" si="115"/>
        <v>none</v>
      </c>
      <c r="U29" s="52" t="e">
        <f t="shared" si="116"/>
        <v>#VALUE!</v>
      </c>
      <c r="V29" s="52">
        <f t="shared" si="117"/>
        <v>4</v>
      </c>
      <c r="W29" s="52" t="e">
        <f t="shared" si="118"/>
        <v>#VALUE!</v>
      </c>
      <c r="X29" s="52" t="e">
        <f t="shared" si="119"/>
        <v>#VALUE!</v>
      </c>
      <c r="Y29" s="52" t="str">
        <f>IFERROR(VLOOKUP(MID(T29,W29,X29-W29),[5]skilldef!$C:$D,2,FALSE),"-") &amp; " / " &amp; IFERROR(VLOOKUP(MID(T29,U29,V29-U29),[5]skilldef!$A:$B,2,FALSE),"-")</f>
        <v>- / -</v>
      </c>
      <c r="Z29" s="39" t="s">
        <v>191</v>
      </c>
      <c r="AA29" s="41"/>
      <c r="AB29" s="39" t="s">
        <v>274</v>
      </c>
    </row>
    <row r="30" spans="1:28" ht="21" customHeight="1">
      <c r="A30" s="142">
        <v>40005031</v>
      </c>
      <c r="B30" s="145" t="s">
        <v>326</v>
      </c>
      <c r="C30" s="39">
        <v>3</v>
      </c>
      <c r="D30" s="39" t="s">
        <v>182</v>
      </c>
      <c r="E30" s="40" t="s">
        <v>270</v>
      </c>
      <c r="F30" s="40" t="s">
        <v>269</v>
      </c>
      <c r="G30" s="52" t="e">
        <f>IFERROR(LEFT(#REF!,FIND("],",#REF!)),#REF!)</f>
        <v>#REF!</v>
      </c>
      <c r="H30" s="52" t="e">
        <f t="shared" si="106"/>
        <v>#REF!</v>
      </c>
      <c r="I30" s="52" t="e">
        <f t="shared" si="107"/>
        <v>#REF!</v>
      </c>
      <c r="J30" s="52" t="e">
        <f t="shared" si="108"/>
        <v>#REF!</v>
      </c>
      <c r="K30" s="52" t="e">
        <f t="shared" si="109"/>
        <v>#REF!</v>
      </c>
      <c r="L30" s="52" t="str">
        <f>IFERROR(VLOOKUP(MID(G30,J30,K30-J30),[5]skilldef!$C:$D,2,FALSE),"-") &amp; " / " &amp; IFERROR(VLOOKUP(MID(G30,H30,I30-H30),[5]skilldef!$A:$B,2,FALSE),"-")</f>
        <v>- / -</v>
      </c>
      <c r="M30" s="52" t="str">
        <f>IFERROR(RIGHT(#REF!,LEN(#REF!)-FIND("],",#REF!)-1),"none")</f>
        <v>none</v>
      </c>
      <c r="N30" s="37" t="str">
        <f>IFERROR(LEFT(M30,FIND("],",M30)+#REF!),M30)</f>
        <v>none</v>
      </c>
      <c r="O30" s="52" t="e">
        <f t="shared" si="111"/>
        <v>#VALUE!</v>
      </c>
      <c r="P30" s="52">
        <f t="shared" si="112"/>
        <v>4</v>
      </c>
      <c r="Q30" s="52" t="e">
        <f t="shared" si="113"/>
        <v>#VALUE!</v>
      </c>
      <c r="R30" s="52" t="e">
        <f t="shared" si="114"/>
        <v>#VALUE!</v>
      </c>
      <c r="S30" s="52" t="str">
        <f>IFERROR(VLOOKUP(MID(N30,Q30,R30-Q30),[5]skilldef!$C:$D,2,FALSE),"-") &amp; " / " &amp; IFERROR(VLOOKUP(MID(N30,O30,P30-O30),[5]skilldef!$A:$B,2,FALSE),"-")</f>
        <v>- / -</v>
      </c>
      <c r="T30" s="37" t="str">
        <f t="shared" si="115"/>
        <v>none</v>
      </c>
      <c r="U30" s="52" t="e">
        <f t="shared" si="116"/>
        <v>#VALUE!</v>
      </c>
      <c r="V30" s="52">
        <f t="shared" si="117"/>
        <v>4</v>
      </c>
      <c r="W30" s="52" t="e">
        <f t="shared" si="118"/>
        <v>#VALUE!</v>
      </c>
      <c r="X30" s="52" t="e">
        <f t="shared" si="119"/>
        <v>#VALUE!</v>
      </c>
      <c r="Y30" s="52" t="str">
        <f>IFERROR(VLOOKUP(MID(T30,W30,X30-W30),[5]skilldef!$C:$D,2,FALSE),"-") &amp; " / " &amp; IFERROR(VLOOKUP(MID(T30,U30,V30-U30),[5]skilldef!$A:$B,2,FALSE),"-")</f>
        <v>- / -</v>
      </c>
      <c r="Z30" s="39" t="s">
        <v>191</v>
      </c>
      <c r="AA30" s="41"/>
      <c r="AB30" s="39" t="s">
        <v>273</v>
      </c>
    </row>
    <row r="31" spans="1:28" ht="21" customHeight="1">
      <c r="A31" s="142">
        <v>40005032</v>
      </c>
      <c r="B31" s="145" t="s">
        <v>364</v>
      </c>
      <c r="C31" s="39">
        <v>3</v>
      </c>
      <c r="D31" s="39" t="s">
        <v>182</v>
      </c>
      <c r="E31" s="40" t="s">
        <v>363</v>
      </c>
      <c r="F31" s="40" t="s">
        <v>354</v>
      </c>
      <c r="G31" s="52" t="str">
        <f t="shared" ref="G31" si="120">IFERROR(LEFT(B31,FIND("],",B31)),B31)</f>
        <v>[effect:rush, count:1, val:0.4]</v>
      </c>
      <c r="H31" s="52">
        <f t="shared" si="106"/>
        <v>9</v>
      </c>
      <c r="I31" s="52">
        <f t="shared" si="107"/>
        <v>13</v>
      </c>
      <c r="J31" s="52" t="e">
        <f t="shared" si="108"/>
        <v>#VALUE!</v>
      </c>
      <c r="K31" s="52">
        <f t="shared" si="109"/>
        <v>22</v>
      </c>
      <c r="L31" s="52" t="str">
        <f>IFERROR(VLOOKUP(MID(G31,J31,K31-J31),[5]skilldef!$C:$D,2,FALSE),"-") &amp; " / " &amp; IFERROR(VLOOKUP(MID(G31,H31,I31-H31),[5]skilldef!$A:$B,2,FALSE),"-")</f>
        <v>- / 連続攻撃</v>
      </c>
      <c r="M31" s="52" t="str">
        <f t="shared" ref="M31" si="121">IFERROR(RIGHT(B31,LEN(B31)-FIND("],",B31)-1),"none")</f>
        <v>[effect:enhance_enemy, target:myself, turn:3, status:defense, val:7500, calc:add, animation:enemy_enhance_enemy]</v>
      </c>
      <c r="N31" s="37" t="str">
        <f>IFERROR(LEFT(M31,FIND("],",M31)+#REF!),M31)</f>
        <v>[effect:enhance_enemy, target:myself, turn:3, status:defense, val:7500, calc:add, animation:enemy_enhance_enemy]</v>
      </c>
      <c r="O31" s="52">
        <f t="shared" si="111"/>
        <v>9</v>
      </c>
      <c r="P31" s="52">
        <f t="shared" si="112"/>
        <v>22</v>
      </c>
      <c r="Q31" s="52">
        <f t="shared" si="113"/>
        <v>31</v>
      </c>
      <c r="R31" s="52">
        <f t="shared" si="114"/>
        <v>37</v>
      </c>
      <c r="S31" s="52" t="str">
        <f>IFERROR(VLOOKUP(MID(N31,Q31,R31-Q31),[5]skilldef!$C:$D,2,FALSE),"-") &amp; " / " &amp; IFERROR(VLOOKUP(MID(N31,O31,P31-O31),[5]skilldef!$A:$B,2,FALSE),"-")</f>
        <v>自分自身に / ステータス強化</v>
      </c>
      <c r="T31" s="37" t="str">
        <f t="shared" si="115"/>
        <v>none</v>
      </c>
      <c r="U31" s="52" t="e">
        <f t="shared" si="116"/>
        <v>#VALUE!</v>
      </c>
      <c r="V31" s="52">
        <f t="shared" si="117"/>
        <v>4</v>
      </c>
      <c r="W31" s="52" t="e">
        <f t="shared" si="118"/>
        <v>#VALUE!</v>
      </c>
      <c r="X31" s="52" t="e">
        <f t="shared" si="119"/>
        <v>#VALUE!</v>
      </c>
      <c r="Y31" s="52" t="str">
        <f>IFERROR(VLOOKUP(MID(T31,W31,X31-W31),[5]skilldef!$C:$D,2,FALSE),"-") &amp; " / " &amp; IFERROR(VLOOKUP(MID(T31,U31,V31-U31),[5]skilldef!$A:$B,2,FALSE),"-")</f>
        <v>- / -</v>
      </c>
      <c r="Z31" s="39" t="s">
        <v>191</v>
      </c>
      <c r="AA31" s="41"/>
      <c r="AB31" s="39" t="s">
        <v>192</v>
      </c>
    </row>
    <row r="32" spans="1:28" ht="21" customHeight="1">
      <c r="A32" s="142">
        <v>40005033</v>
      </c>
      <c r="B32" s="145" t="s">
        <v>356</v>
      </c>
      <c r="C32" s="39">
        <v>3</v>
      </c>
      <c r="D32" s="39" t="s">
        <v>182</v>
      </c>
      <c r="E32" s="40" t="s">
        <v>365</v>
      </c>
      <c r="F32" s="40" t="s">
        <v>355</v>
      </c>
      <c r="G32" s="52" t="str">
        <f t="shared" ref="G32:G36" si="122">IFERROR(LEFT(B32,FIND("],",B32)),B32)</f>
        <v>[effect:rush, count:2, val:0.4]</v>
      </c>
      <c r="H32" s="52">
        <f t="shared" ref="H32:H36" si="123">FIND("effect:",G32)+7</f>
        <v>9</v>
      </c>
      <c r="I32" s="52">
        <f t="shared" ref="I32:I36" si="124">IFERROR(FIND(",",G32),LEN(G32))</f>
        <v>13</v>
      </c>
      <c r="J32" s="52" t="e">
        <f t="shared" ref="J32:J36" si="125">FIND("target:",G32)+7</f>
        <v>#VALUE!</v>
      </c>
      <c r="K32" s="52">
        <f t="shared" ref="K32:K36" si="126">FIND(",",G32,I32+1)</f>
        <v>22</v>
      </c>
      <c r="L32" s="52" t="str">
        <f>IFERROR(VLOOKUP(MID(G32,J32,K32-J32),[5]skilldef!$C:$D,2,FALSE),"-") &amp; " / " &amp; IFERROR(VLOOKUP(MID(G32,H32,I32-H32),[5]skilldef!$A:$B,2,FALSE),"-")</f>
        <v>- / 連続攻撃</v>
      </c>
      <c r="M32" s="52" t="str">
        <f t="shared" ref="M32:M36" si="127">IFERROR(RIGHT(B32,LEN(B32)-FIND("],",B32)-1),"none")</f>
        <v>[effect:hungup, target:unit_all, turn:2, rate:1, animation:hungup01]</v>
      </c>
      <c r="N32" s="37" t="str">
        <f>IFERROR(LEFT(M32,FIND("],",M32)+#REF!),M32)</f>
        <v>[effect:hungup, target:unit_all, turn:2, rate:1, animation:hungup01]</v>
      </c>
      <c r="O32" s="52">
        <f t="shared" ref="O32:O36" si="128">FIND("effect:",N32)+7</f>
        <v>9</v>
      </c>
      <c r="P32" s="52">
        <f t="shared" ref="P32:P36" si="129">IFERROR(FIND(",",N32),LEN(N32))</f>
        <v>15</v>
      </c>
      <c r="Q32" s="52">
        <f t="shared" ref="Q32:Q36" si="130">FIND("target:",N32)+7</f>
        <v>24</v>
      </c>
      <c r="R32" s="52">
        <f t="shared" ref="R32:R36" si="131">FIND(",",N32,P32+1)</f>
        <v>32</v>
      </c>
      <c r="S32" s="52" t="str">
        <f>IFERROR(VLOOKUP(MID(N32,Q32,R32-Q32),[5]skilldef!$C:$D,2,FALSE),"-") &amp; " / " &amp; IFERROR(VLOOKUP(MID(N32,O32,P32-O32),[5]skilldef!$A:$B,2,FALSE),"-")</f>
        <v>味方全体に / ハングアップ</v>
      </c>
      <c r="T32" s="37" t="str">
        <f t="shared" ref="T32:T36" si="132">IFERROR(RIGHT(M32,LEN(M32)-FIND("],",M32)-1),"none")</f>
        <v>none</v>
      </c>
      <c r="U32" s="52" t="e">
        <f t="shared" ref="U32:U36" si="133">FIND("effect:",T32)+7</f>
        <v>#VALUE!</v>
      </c>
      <c r="V32" s="52">
        <f t="shared" ref="V32:V36" si="134">IFERROR(FIND(",",T32),LEN(T32))</f>
        <v>4</v>
      </c>
      <c r="W32" s="52" t="e">
        <f t="shared" ref="W32:W36" si="135">FIND("target:",T32)+7</f>
        <v>#VALUE!</v>
      </c>
      <c r="X32" s="52" t="e">
        <f t="shared" ref="X32:X36" si="136">FIND(",",T32,V32+1)</f>
        <v>#VALUE!</v>
      </c>
      <c r="Y32" s="52" t="str">
        <f>IFERROR(VLOOKUP(MID(T32,W32,X32-W32),[5]skilldef!$C:$D,2,FALSE),"-") &amp; " / " &amp; IFERROR(VLOOKUP(MID(T32,U32,V32-U32),[5]skilldef!$A:$B,2,FALSE),"-")</f>
        <v>- / -</v>
      </c>
      <c r="Z32" s="39" t="s">
        <v>191</v>
      </c>
      <c r="AA32" s="41"/>
      <c r="AB32" s="39" t="s">
        <v>192</v>
      </c>
    </row>
    <row r="33" spans="1:28" ht="21" customHeight="1">
      <c r="A33" s="263">
        <v>40005020</v>
      </c>
      <c r="B33" s="145" t="s">
        <v>349</v>
      </c>
      <c r="C33" s="39">
        <v>3</v>
      </c>
      <c r="D33" s="39" t="s">
        <v>184</v>
      </c>
      <c r="E33" s="40" t="s">
        <v>366</v>
      </c>
      <c r="F33" s="40" t="s">
        <v>345</v>
      </c>
      <c r="G33" s="52" t="str">
        <f>IFERROR(LEFT(B33,FIND("],",B33)),B33)</f>
        <v>[effect:rush, count:3, val:0.4]</v>
      </c>
      <c r="H33" s="52">
        <f>FIND("effect:",G33)+7</f>
        <v>9</v>
      </c>
      <c r="I33" s="52">
        <f>IFERROR(FIND(",",G33),LEN(G33))</f>
        <v>13</v>
      </c>
      <c r="J33" s="52" t="e">
        <f>FIND("target:",G33)+7</f>
        <v>#VALUE!</v>
      </c>
      <c r="K33" s="52">
        <f>FIND(",",G33,I33+1)</f>
        <v>22</v>
      </c>
      <c r="L33" s="52" t="str">
        <f>IFERROR(VLOOKUP(MID(G33,J33,K33-J33),[5]skilldef!$C:$D,2,FALSE),"-") &amp; " / " &amp; IFERROR(VLOOKUP(MID(G33,H33,I33-H33),[5]skilldef!$A:$B,2,FALSE),"-")</f>
        <v>- / 連続攻撃</v>
      </c>
      <c r="M33" s="52" t="str">
        <f>IFERROR(RIGHT(B33,LEN(B33)-FIND("],",B33)-1),"none")</f>
        <v>[effect:change_block, new_block:jammer, target:block_all, count:10, val:0, animation:change_block]</v>
      </c>
      <c r="N33" s="37" t="str">
        <f>IFERROR(LEFT(M33,FIND("],",M33)+S28),M33)</f>
        <v>[effect:change_block, new_block:jammer, target:block_all, count:10, val:0, animation:change_block]</v>
      </c>
      <c r="O33" s="52">
        <f>FIND("effect:",N33)+7</f>
        <v>9</v>
      </c>
      <c r="P33" s="52">
        <f>IFERROR(FIND(",",N33),LEN(N33))</f>
        <v>21</v>
      </c>
      <c r="Q33" s="52">
        <f>FIND("target:",N33)+7</f>
        <v>48</v>
      </c>
      <c r="R33" s="52">
        <f>FIND(",",N33,P33+1)</f>
        <v>39</v>
      </c>
      <c r="S33" s="52" t="str">
        <f>IFERROR(VLOOKUP(MID(N33,Q33,R33-Q33),[5]skilldef!$C:$D,2,FALSE),"-") &amp; " / " &amp; IFERROR(VLOOKUP(MID(N33,O33,P33-O33),[5]skilldef!$A:$B,2,FALSE),"-")</f>
        <v>- / ブロック変換</v>
      </c>
      <c r="T33" s="37" t="str">
        <f>IFERROR(RIGHT(M33,LEN(M33)-FIND("],",M33)-1),"none")</f>
        <v>none</v>
      </c>
      <c r="U33" s="52" t="e">
        <f>FIND("effect:",T33)+7</f>
        <v>#VALUE!</v>
      </c>
      <c r="V33" s="52">
        <f>IFERROR(FIND(",",T33),LEN(T33))</f>
        <v>4</v>
      </c>
      <c r="W33" s="52" t="e">
        <f>FIND("target:",T33)+7</f>
        <v>#VALUE!</v>
      </c>
      <c r="X33" s="52" t="e">
        <f>FIND(",",T33,V33+1)</f>
        <v>#VALUE!</v>
      </c>
      <c r="Y33" s="52" t="str">
        <f>IFERROR(VLOOKUP(MID(T33,W33,X33-W33),[5]skilldef!$C:$D,2,FALSE),"-") &amp; " / " &amp; IFERROR(VLOOKUP(MID(T33,U33,V33-U33),[5]skilldef!$A:$B,2,FALSE),"-")</f>
        <v>- / -</v>
      </c>
      <c r="Z33" s="39" t="s">
        <v>191</v>
      </c>
      <c r="AA33" s="41"/>
      <c r="AB33" s="39" t="s">
        <v>199</v>
      </c>
    </row>
    <row r="34" spans="1:28" ht="21" customHeight="1">
      <c r="A34" s="142">
        <v>40005034</v>
      </c>
      <c r="B34" s="145" t="s">
        <v>361</v>
      </c>
      <c r="C34" s="39">
        <v>3</v>
      </c>
      <c r="D34" s="39" t="s">
        <v>182</v>
      </c>
      <c r="E34" s="40" t="s">
        <v>370</v>
      </c>
      <c r="F34" s="40" t="s">
        <v>360</v>
      </c>
      <c r="G34" s="52" t="str">
        <f t="shared" si="122"/>
        <v>[effect:rush, count:4, val:0.4]</v>
      </c>
      <c r="H34" s="52">
        <f t="shared" si="123"/>
        <v>9</v>
      </c>
      <c r="I34" s="52">
        <f t="shared" si="124"/>
        <v>13</v>
      </c>
      <c r="J34" s="52" t="e">
        <f t="shared" si="125"/>
        <v>#VALUE!</v>
      </c>
      <c r="K34" s="52">
        <f t="shared" si="126"/>
        <v>22</v>
      </c>
      <c r="L34" s="52" t="str">
        <f>IFERROR(VLOOKUP(MID(G34,J34,K34-J34),[5]skilldef!$C:$D,2,FALSE),"-") &amp; " / " &amp; IFERROR(VLOOKUP(MID(G34,H34,I34-H34),[5]skilldef!$A:$B,2,FALSE),"-")</f>
        <v>- / 連続攻撃</v>
      </c>
      <c r="M34" s="52" t="str">
        <f t="shared" si="127"/>
        <v>[effect:degrade_unit, target:unit_all, turn:-1, status:attack, val:0.9, calc:mul]</v>
      </c>
      <c r="N34" s="37" t="str">
        <f>IFERROR(LEFT(M34,FIND("],",M34)+#REF!),M34)</f>
        <v>[effect:degrade_unit, target:unit_all, turn:-1, status:attack, val:0.9, calc:mul]</v>
      </c>
      <c r="O34" s="52">
        <f t="shared" si="128"/>
        <v>9</v>
      </c>
      <c r="P34" s="52">
        <f t="shared" si="129"/>
        <v>21</v>
      </c>
      <c r="Q34" s="52">
        <f t="shared" si="130"/>
        <v>30</v>
      </c>
      <c r="R34" s="52">
        <f t="shared" si="131"/>
        <v>38</v>
      </c>
      <c r="S34" s="52" t="str">
        <f>IFERROR(VLOOKUP(MID(N34,Q34,R34-Q34),[5]skilldef!$C:$D,2,FALSE),"-") &amp; " / " &amp; IFERROR(VLOOKUP(MID(N34,O34,P34-O34),[5]skilldef!$A:$B,2,FALSE),"-")</f>
        <v>味方全体に / ステータスDOWN</v>
      </c>
      <c r="T34" s="37" t="str">
        <f t="shared" si="132"/>
        <v>none</v>
      </c>
      <c r="U34" s="52" t="e">
        <f t="shared" si="133"/>
        <v>#VALUE!</v>
      </c>
      <c r="V34" s="52">
        <f t="shared" si="134"/>
        <v>4</v>
      </c>
      <c r="W34" s="52" t="e">
        <f t="shared" si="135"/>
        <v>#VALUE!</v>
      </c>
      <c r="X34" s="52" t="e">
        <f t="shared" si="136"/>
        <v>#VALUE!</v>
      </c>
      <c r="Y34" s="52" t="str">
        <f>IFERROR(VLOOKUP(MID(T34,W34,X34-W34),[5]skilldef!$C:$D,2,FALSE),"-") &amp; " / " &amp; IFERROR(VLOOKUP(MID(T34,U34,V34-U34),[5]skilldef!$A:$B,2,FALSE),"-")</f>
        <v>- / -</v>
      </c>
      <c r="Z34" s="39" t="s">
        <v>191</v>
      </c>
      <c r="AA34" s="41"/>
      <c r="AB34" s="39" t="s">
        <v>192</v>
      </c>
    </row>
    <row r="35" spans="1:28" ht="21" customHeight="1">
      <c r="A35" s="142">
        <v>40005035</v>
      </c>
      <c r="B35" s="145" t="s">
        <v>350</v>
      </c>
      <c r="C35" s="39">
        <v>3</v>
      </c>
      <c r="D35" s="39" t="s">
        <v>182</v>
      </c>
      <c r="E35" s="40" t="s">
        <v>367</v>
      </c>
      <c r="F35" s="40" t="s">
        <v>297</v>
      </c>
      <c r="G35" s="52" t="str">
        <f t="shared" si="122"/>
        <v>[effect:rush, count:5, val:0.4]</v>
      </c>
      <c r="H35" s="52">
        <f t="shared" si="123"/>
        <v>9</v>
      </c>
      <c r="I35" s="52">
        <f t="shared" si="124"/>
        <v>13</v>
      </c>
      <c r="J35" s="52" t="e">
        <f t="shared" si="125"/>
        <v>#VALUE!</v>
      </c>
      <c r="K35" s="52">
        <f t="shared" si="126"/>
        <v>22</v>
      </c>
      <c r="L35" s="52" t="str">
        <f>IFERROR(VLOOKUP(MID(G35,J35,K35-J35),[5]skilldef!$C:$D,2,FALSE),"-") &amp; " / " &amp; IFERROR(VLOOKUP(MID(G35,H35,I35-H35),[5]skilldef!$A:$B,2,FALSE),"-")</f>
        <v>- / 連続攻撃</v>
      </c>
      <c r="M35" s="52" t="str">
        <f t="shared" si="127"/>
        <v>[effect:degrade_fever, val:300, animation:fevergage_down]</v>
      </c>
      <c r="N35" s="37" t="str">
        <f>IFERROR(LEFT(M35,FIND("],",M35)+S37),M35)</f>
        <v>[effect:degrade_fever, val:300, animation:fevergage_down]</v>
      </c>
      <c r="O35" s="52">
        <f t="shared" si="128"/>
        <v>9</v>
      </c>
      <c r="P35" s="52">
        <f t="shared" si="129"/>
        <v>22</v>
      </c>
      <c r="Q35" s="52" t="e">
        <f t="shared" si="130"/>
        <v>#VALUE!</v>
      </c>
      <c r="R35" s="52">
        <f t="shared" si="131"/>
        <v>31</v>
      </c>
      <c r="S35" s="52" t="str">
        <f>IFERROR(VLOOKUP(MID(N35,Q35,R35-Q35),[5]skilldef!$C:$D,2,FALSE),"-") &amp; " / " &amp; IFERROR(VLOOKUP(MID(N35,O35,P35-O35),[5]skilldef!$A:$B,2,FALSE),"-")</f>
        <v>- / フィーバーゲージ減少</v>
      </c>
      <c r="T35" s="37" t="str">
        <f t="shared" si="132"/>
        <v>none</v>
      </c>
      <c r="U35" s="52" t="e">
        <f t="shared" si="133"/>
        <v>#VALUE!</v>
      </c>
      <c r="V35" s="52">
        <f t="shared" si="134"/>
        <v>4</v>
      </c>
      <c r="W35" s="52" t="e">
        <f t="shared" si="135"/>
        <v>#VALUE!</v>
      </c>
      <c r="X35" s="52" t="e">
        <f t="shared" si="136"/>
        <v>#VALUE!</v>
      </c>
      <c r="Y35" s="52" t="str">
        <f>IFERROR(VLOOKUP(MID(T35,W35,X35-W35),[5]skilldef!$C:$D,2,FALSE),"-") &amp; " / " &amp; IFERROR(VLOOKUP(MID(T35,U35,V35-U35),[5]skilldef!$A:$B,2,FALSE),"-")</f>
        <v>- / -</v>
      </c>
      <c r="Z35" s="39" t="s">
        <v>191</v>
      </c>
      <c r="AA35" s="41"/>
      <c r="AB35" s="39" t="s">
        <v>192</v>
      </c>
    </row>
    <row r="36" spans="1:28" ht="21" customHeight="1">
      <c r="A36" s="142">
        <v>40005036</v>
      </c>
      <c r="B36" s="145" t="s">
        <v>351</v>
      </c>
      <c r="C36" s="39">
        <v>3</v>
      </c>
      <c r="D36" s="39" t="s">
        <v>182</v>
      </c>
      <c r="E36" s="40" t="s">
        <v>278</v>
      </c>
      <c r="F36" s="40" t="s">
        <v>290</v>
      </c>
      <c r="G36" s="52" t="str">
        <f t="shared" si="122"/>
        <v>[effect:degrade_unit, target:unit_all, turn:3, status:defense, val:1, calc:mul]</v>
      </c>
      <c r="H36" s="52">
        <f t="shared" si="123"/>
        <v>9</v>
      </c>
      <c r="I36" s="52">
        <f t="shared" si="124"/>
        <v>21</v>
      </c>
      <c r="J36" s="52">
        <f t="shared" si="125"/>
        <v>30</v>
      </c>
      <c r="K36" s="52">
        <f t="shared" si="126"/>
        <v>38</v>
      </c>
      <c r="L36" s="52" t="str">
        <f>IFERROR(VLOOKUP(MID(G36,J36,K36-J36),[5]skilldef!$C:$D,2,FALSE),"-") &amp; " / " &amp; IFERROR(VLOOKUP(MID(G36,H36,I36-H36),[5]skilldef!$A:$B,2,FALSE),"-")</f>
        <v>味方全体に / ステータスDOWN</v>
      </c>
      <c r="M36" s="52" t="str">
        <f t="shared" si="127"/>
        <v>[effect:rush, count:6, val:0.4]</v>
      </c>
      <c r="N36" s="37" t="str">
        <f>IFERROR(LEFT(M36,FIND("],",M36)+S38),M36)</f>
        <v>[effect:rush, count:6, val:0.4]</v>
      </c>
      <c r="O36" s="52">
        <f t="shared" si="128"/>
        <v>9</v>
      </c>
      <c r="P36" s="52">
        <f t="shared" si="129"/>
        <v>13</v>
      </c>
      <c r="Q36" s="52" t="e">
        <f t="shared" si="130"/>
        <v>#VALUE!</v>
      </c>
      <c r="R36" s="52">
        <f t="shared" si="131"/>
        <v>22</v>
      </c>
      <c r="S36" s="52" t="str">
        <f>IFERROR(VLOOKUP(MID(N36,Q36,R36-Q36),[5]skilldef!$C:$D,2,FALSE),"-") &amp; " / " &amp; IFERROR(VLOOKUP(MID(N36,O36,P36-O36),[5]skilldef!$A:$B,2,FALSE),"-")</f>
        <v>- / 連続攻撃</v>
      </c>
      <c r="T36" s="37" t="str">
        <f t="shared" si="132"/>
        <v>none</v>
      </c>
      <c r="U36" s="52" t="e">
        <f t="shared" si="133"/>
        <v>#VALUE!</v>
      </c>
      <c r="V36" s="52">
        <f t="shared" si="134"/>
        <v>4</v>
      </c>
      <c r="W36" s="52" t="e">
        <f t="shared" si="135"/>
        <v>#VALUE!</v>
      </c>
      <c r="X36" s="52" t="e">
        <f t="shared" si="136"/>
        <v>#VALUE!</v>
      </c>
      <c r="Y36" s="52" t="str">
        <f>IFERROR(VLOOKUP(MID(T36,W36,X36-W36),[5]skilldef!$C:$D,2,FALSE),"-") &amp; " / " &amp; IFERROR(VLOOKUP(MID(T36,U36,V36-U36),[5]skilldef!$A:$B,2,FALSE),"-")</f>
        <v>- / -</v>
      </c>
      <c r="Z36" s="39" t="s">
        <v>191</v>
      </c>
      <c r="AA36" s="41"/>
      <c r="AB36" s="39" t="s">
        <v>192</v>
      </c>
    </row>
    <row r="37" spans="1:28" ht="21" customHeight="1">
      <c r="A37" s="142">
        <v>40005044</v>
      </c>
      <c r="B37" s="145" t="s">
        <v>347</v>
      </c>
      <c r="C37" s="39">
        <v>3</v>
      </c>
      <c r="D37" s="39" t="s">
        <v>182</v>
      </c>
      <c r="E37" s="40" t="s">
        <v>285</v>
      </c>
      <c r="F37" s="40" t="s">
        <v>381</v>
      </c>
      <c r="G37" s="52" t="str">
        <f t="shared" ref="G37:G40" si="137">IFERROR(LEFT(B37,FIND("],",B37)),B37)</f>
        <v>[effect:degrade_fever, val:500, animation:fevergage_down]</v>
      </c>
      <c r="H37" s="52">
        <f t="shared" ref="H37:H40" si="138">FIND("effect:",G37)+7</f>
        <v>9</v>
      </c>
      <c r="I37" s="52">
        <f t="shared" ref="I37:I40" si="139">IFERROR(FIND(",",G37),LEN(G37))</f>
        <v>22</v>
      </c>
      <c r="J37" s="52" t="e">
        <f t="shared" ref="J37:J40" si="140">FIND("target:",G37)+7</f>
        <v>#VALUE!</v>
      </c>
      <c r="K37" s="52">
        <f t="shared" ref="K37:K40" si="141">FIND(",",G37,I37+1)</f>
        <v>31</v>
      </c>
      <c r="L37" s="52" t="str">
        <f>IFERROR(VLOOKUP(MID(G37,J37,K37-J37),[5]skilldef!$C:$D,2,FALSE),"-") &amp; " / " &amp; IFERROR(VLOOKUP(MID(G37,H37,I37-H37),[5]skilldef!$A:$B,2,FALSE),"-")</f>
        <v>- / フィーバーゲージ減少</v>
      </c>
      <c r="M37" s="52" t="str">
        <f t="shared" ref="M37:M40" si="142">IFERROR(RIGHT(B37,LEN(B37)-FIND("],",B37)-1),"none")</f>
        <v>[effect:enhance_enemy, target:myself, turn:3, status:defense, val:3700, calc:add, animation:enemy_enhance_enemy],[effect:tolerance,target:myself,turn:-1,tolerance_effect:all,count:-1,animation:enemy_tolerance]</v>
      </c>
      <c r="N37" s="37" t="str">
        <f t="shared" ref="N37" si="143">IFERROR(LEFT(M37,FIND("],",M37)+S46),M37)</f>
        <v>[effect:enhance_enemy, target:myself, turn:3, status:defense, val:3700, calc:add, animation:enemy_enhance_enemy]</v>
      </c>
      <c r="O37" s="52">
        <f t="shared" ref="O37:O40" si="144">FIND("effect:",N37)+7</f>
        <v>9</v>
      </c>
      <c r="P37" s="52">
        <f t="shared" ref="P37:P40" si="145">IFERROR(FIND(",",N37),LEN(N37))</f>
        <v>22</v>
      </c>
      <c r="Q37" s="52">
        <f t="shared" ref="Q37:Q40" si="146">FIND("target:",N37)+7</f>
        <v>31</v>
      </c>
      <c r="R37" s="52">
        <f t="shared" ref="R37:R40" si="147">FIND(",",N37,P37+1)</f>
        <v>37</v>
      </c>
      <c r="S37" s="52" t="str">
        <f>IFERROR(VLOOKUP(MID(N37,Q37,R37-Q37),[5]skilldef!$C:$D,2,FALSE),"-") &amp; " / " &amp; IFERROR(VLOOKUP(MID(N37,O37,P37-O37),[5]skilldef!$A:$B,2,FALSE),"-")</f>
        <v>自分自身に / ステータス強化</v>
      </c>
      <c r="T37" s="37" t="str">
        <f t="shared" ref="T37:T40" si="148">IFERROR(RIGHT(M37,LEN(M37)-FIND("],",M37)-1),"none")</f>
        <v>[effect:tolerance,target:myself,turn:-1,tolerance_effect:all,count:-1,animation:enemy_tolerance]</v>
      </c>
      <c r="U37" s="52">
        <f t="shared" ref="U37:U40" si="149">FIND("effect:",T37)+7</f>
        <v>9</v>
      </c>
      <c r="V37" s="52">
        <f t="shared" ref="V37:V40" si="150">IFERROR(FIND(",",T37),LEN(T37))</f>
        <v>18</v>
      </c>
      <c r="W37" s="52">
        <f t="shared" ref="W37:W40" si="151">FIND("target:",T37)+7</f>
        <v>26</v>
      </c>
      <c r="X37" s="52">
        <f t="shared" ref="X37:X40" si="152">FIND(",",T37,V37+1)</f>
        <v>32</v>
      </c>
      <c r="Y37" s="52" t="str">
        <f>IFERROR(VLOOKUP(MID(T37,W37,X37-W37),[5]skilldef!$C:$D,2,FALSE),"-") &amp; " / " &amp; IFERROR(VLOOKUP(MID(T37,U37,V37-U37),[5]skilldef!$A:$B,2,FALSE),"-")</f>
        <v>自分自身に / 状態異常耐性</v>
      </c>
      <c r="Z37" s="39" t="s">
        <v>191</v>
      </c>
      <c r="AA37" s="41"/>
      <c r="AB37" s="39" t="s">
        <v>283</v>
      </c>
    </row>
    <row r="38" spans="1:28" ht="21" customHeight="1">
      <c r="A38" s="142">
        <v>40005045</v>
      </c>
      <c r="B38" s="145" t="s">
        <v>292</v>
      </c>
      <c r="C38" s="39">
        <v>3</v>
      </c>
      <c r="D38" s="39" t="s">
        <v>182</v>
      </c>
      <c r="E38" s="40" t="s">
        <v>357</v>
      </c>
      <c r="F38" s="40" t="s">
        <v>321</v>
      </c>
      <c r="G38" s="52" t="str">
        <f t="shared" si="137"/>
        <v>[effect:change_block, new_block:jammer, target:block_all, count:4, val:0, animation:change_block]</v>
      </c>
      <c r="H38" s="52">
        <f t="shared" si="138"/>
        <v>9</v>
      </c>
      <c r="I38" s="52">
        <f t="shared" si="139"/>
        <v>21</v>
      </c>
      <c r="J38" s="52">
        <f t="shared" si="140"/>
        <v>48</v>
      </c>
      <c r="K38" s="52">
        <f t="shared" si="141"/>
        <v>39</v>
      </c>
      <c r="L38" s="52" t="str">
        <f>IFERROR(VLOOKUP(MID(G38,J38,K38-J38),[5]skilldef!$C:$D,2,FALSE),"-") &amp; " / " &amp; IFERROR(VLOOKUP(MID(G38,H38,I38-H38),[5]skilldef!$A:$B,2,FALSE),"-")</f>
        <v>- / ブロック変換</v>
      </c>
      <c r="M38" s="52" t="str">
        <f t="shared" si="142"/>
        <v>[effect:critical, val:1.8]</v>
      </c>
      <c r="N38" s="37" t="str">
        <f t="shared" ref="N38" si="153">IFERROR(LEFT(M38,FIND("],",M38)+S46),M38)</f>
        <v>[effect:critical, val:1.8]</v>
      </c>
      <c r="O38" s="52">
        <f t="shared" si="144"/>
        <v>9</v>
      </c>
      <c r="P38" s="52">
        <f t="shared" si="145"/>
        <v>17</v>
      </c>
      <c r="Q38" s="52" t="e">
        <f t="shared" si="146"/>
        <v>#VALUE!</v>
      </c>
      <c r="R38" s="52" t="e">
        <f t="shared" si="147"/>
        <v>#VALUE!</v>
      </c>
      <c r="S38" s="52" t="str">
        <f>IFERROR(VLOOKUP(MID(N38,Q38,R38-Q38),[5]skilldef!$C:$D,2,FALSE),"-") &amp; " / " &amp; IFERROR(VLOOKUP(MID(N38,O38,P38-O38),[5]skilldef!$A:$B,2,FALSE),"-")</f>
        <v>- / 大攻撃</v>
      </c>
      <c r="T38" s="37" t="str">
        <f t="shared" si="148"/>
        <v>none</v>
      </c>
      <c r="U38" s="52" t="e">
        <f t="shared" si="149"/>
        <v>#VALUE!</v>
      </c>
      <c r="V38" s="52">
        <f t="shared" si="150"/>
        <v>4</v>
      </c>
      <c r="W38" s="52" t="e">
        <f t="shared" si="151"/>
        <v>#VALUE!</v>
      </c>
      <c r="X38" s="52" t="e">
        <f t="shared" si="152"/>
        <v>#VALUE!</v>
      </c>
      <c r="Y38" s="52" t="str">
        <f>IFERROR(VLOOKUP(MID(T38,W38,X38-W38),[5]skilldef!$C:$D,2,FALSE),"-") &amp; " / " &amp; IFERROR(VLOOKUP(MID(T38,U38,V38-U38),[5]skilldef!$A:$B,2,FALSE),"-")</f>
        <v>- / -</v>
      </c>
      <c r="Z38" s="39" t="s">
        <v>191</v>
      </c>
      <c r="AA38" s="41"/>
      <c r="AB38" s="39" t="s">
        <v>192</v>
      </c>
    </row>
    <row r="39" spans="1:28" ht="21" customHeight="1">
      <c r="A39" s="142">
        <v>40005046</v>
      </c>
      <c r="B39" s="145" t="s">
        <v>352</v>
      </c>
      <c r="C39" s="39">
        <v>3</v>
      </c>
      <c r="D39" s="39" t="s">
        <v>182</v>
      </c>
      <c r="E39" s="40" t="s">
        <v>362</v>
      </c>
      <c r="F39" s="40" t="s">
        <v>334</v>
      </c>
      <c r="G39" s="52" t="str">
        <f t="shared" si="137"/>
        <v>[effect:rush, count:1, val:0.4]</v>
      </c>
      <c r="H39" s="52">
        <f t="shared" si="138"/>
        <v>9</v>
      </c>
      <c r="I39" s="52">
        <f t="shared" si="139"/>
        <v>13</v>
      </c>
      <c r="J39" s="52" t="e">
        <f t="shared" si="140"/>
        <v>#VALUE!</v>
      </c>
      <c r="K39" s="52">
        <f t="shared" si="141"/>
        <v>22</v>
      </c>
      <c r="L39" s="52" t="str">
        <f>IFERROR(VLOOKUP(MID(G39,J39,K39-J39),[5]skilldef!$C:$D,2,FALSE),"-") &amp; " / " &amp; IFERROR(VLOOKUP(MID(G39,H39,I39-H39),[5]skilldef!$A:$B,2,FALSE),"-")</f>
        <v>- / 連続攻撃</v>
      </c>
      <c r="M39" s="52" t="str">
        <f t="shared" si="142"/>
        <v>none</v>
      </c>
      <c r="N39" s="37" t="str">
        <f>IFERROR(LEFT(M39,FIND("],",M39)+#REF!),M39)</f>
        <v>none</v>
      </c>
      <c r="O39" s="52" t="e">
        <f t="shared" si="144"/>
        <v>#VALUE!</v>
      </c>
      <c r="P39" s="52">
        <f t="shared" si="145"/>
        <v>4</v>
      </c>
      <c r="Q39" s="52" t="e">
        <f t="shared" si="146"/>
        <v>#VALUE!</v>
      </c>
      <c r="R39" s="52" t="e">
        <f t="shared" si="147"/>
        <v>#VALUE!</v>
      </c>
      <c r="S39" s="52" t="str">
        <f>IFERROR(VLOOKUP(MID(N39,Q39,R39-Q39),[5]skilldef!$C:$D,2,FALSE),"-") &amp; " / " &amp; IFERROR(VLOOKUP(MID(N39,O39,P39-O39),[5]skilldef!$A:$B,2,FALSE),"-")</f>
        <v>- / -</v>
      </c>
      <c r="T39" s="37" t="str">
        <f t="shared" si="148"/>
        <v>none</v>
      </c>
      <c r="U39" s="52" t="e">
        <f t="shared" si="149"/>
        <v>#VALUE!</v>
      </c>
      <c r="V39" s="52">
        <f t="shared" si="150"/>
        <v>4</v>
      </c>
      <c r="W39" s="52" t="e">
        <f t="shared" si="151"/>
        <v>#VALUE!</v>
      </c>
      <c r="X39" s="52" t="e">
        <f t="shared" si="152"/>
        <v>#VALUE!</v>
      </c>
      <c r="Y39" s="52" t="str">
        <f>IFERROR(VLOOKUP(MID(T39,W39,X39-W39),[5]skilldef!$C:$D,2,FALSE),"-") &amp; " / " &amp; IFERROR(VLOOKUP(MID(T39,U39,V39-U39),[5]skilldef!$A:$B,2,FALSE),"-")</f>
        <v>- / -</v>
      </c>
      <c r="Z39" s="39" t="s">
        <v>191</v>
      </c>
      <c r="AA39" s="41"/>
      <c r="AB39" s="39" t="s">
        <v>192</v>
      </c>
    </row>
    <row r="40" spans="1:28" ht="21" customHeight="1">
      <c r="A40" s="142">
        <v>40005047</v>
      </c>
      <c r="B40" s="145" t="s">
        <v>346</v>
      </c>
      <c r="C40" s="39">
        <v>3</v>
      </c>
      <c r="D40" s="39" t="s">
        <v>182</v>
      </c>
      <c r="E40" s="40" t="s">
        <v>275</v>
      </c>
      <c r="F40" s="40" t="s">
        <v>337</v>
      </c>
      <c r="G40" s="52" t="str">
        <f t="shared" si="137"/>
        <v>[effect:rush, count:2, val:0.4]</v>
      </c>
      <c r="H40" s="52">
        <f t="shared" si="138"/>
        <v>9</v>
      </c>
      <c r="I40" s="52">
        <f t="shared" si="139"/>
        <v>13</v>
      </c>
      <c r="J40" s="52" t="e">
        <f t="shared" si="140"/>
        <v>#VALUE!</v>
      </c>
      <c r="K40" s="52">
        <f t="shared" si="141"/>
        <v>22</v>
      </c>
      <c r="L40" s="52" t="str">
        <f>IFERROR(VLOOKUP(MID(G40,J40,K40-J40),[5]skilldef!$C:$D,2,FALSE),"-") &amp; " / " &amp; IFERROR(VLOOKUP(MID(G40,H40,I40-H40),[5]skilldef!$A:$B,2,FALSE),"-")</f>
        <v>- / 連続攻撃</v>
      </c>
      <c r="M40" s="52" t="str">
        <f t="shared" si="142"/>
        <v>none</v>
      </c>
      <c r="N40" s="37" t="str">
        <f>IFERROR(LEFT(M40,FIND("],",M40)+#REF!),M40)</f>
        <v>none</v>
      </c>
      <c r="O40" s="52" t="e">
        <f t="shared" si="144"/>
        <v>#VALUE!</v>
      </c>
      <c r="P40" s="52">
        <f t="shared" si="145"/>
        <v>4</v>
      </c>
      <c r="Q40" s="52" t="e">
        <f t="shared" si="146"/>
        <v>#VALUE!</v>
      </c>
      <c r="R40" s="52" t="e">
        <f t="shared" si="147"/>
        <v>#VALUE!</v>
      </c>
      <c r="S40" s="52" t="str">
        <f>IFERROR(VLOOKUP(MID(N40,Q40,R40-Q40),[5]skilldef!$C:$D,2,FALSE),"-") &amp; " / " &amp; IFERROR(VLOOKUP(MID(N40,O40,P40-O40),[5]skilldef!$A:$B,2,FALSE),"-")</f>
        <v>- / -</v>
      </c>
      <c r="T40" s="37" t="str">
        <f t="shared" si="148"/>
        <v>none</v>
      </c>
      <c r="U40" s="52" t="e">
        <f t="shared" si="149"/>
        <v>#VALUE!</v>
      </c>
      <c r="V40" s="52">
        <f t="shared" si="150"/>
        <v>4</v>
      </c>
      <c r="W40" s="52" t="e">
        <f t="shared" si="151"/>
        <v>#VALUE!</v>
      </c>
      <c r="X40" s="52" t="e">
        <f t="shared" si="152"/>
        <v>#VALUE!</v>
      </c>
      <c r="Y40" s="52" t="str">
        <f>IFERROR(VLOOKUP(MID(T40,W40,X40-W40),[5]skilldef!$C:$D,2,FALSE),"-") &amp; " / " &amp; IFERROR(VLOOKUP(MID(T40,U40,V40-U40),[5]skilldef!$A:$B,2,FALSE),"-")</f>
        <v>- / -</v>
      </c>
      <c r="Z40" s="39" t="s">
        <v>191</v>
      </c>
      <c r="AA40" s="41"/>
      <c r="AB40" s="39" t="s">
        <v>192</v>
      </c>
    </row>
    <row r="41" spans="1:28" ht="21" customHeight="1">
      <c r="A41" s="142">
        <v>40005048</v>
      </c>
      <c r="B41" s="145" t="s">
        <v>339</v>
      </c>
      <c r="C41" s="39">
        <v>3</v>
      </c>
      <c r="D41" s="39" t="s">
        <v>182</v>
      </c>
      <c r="E41" s="40" t="s">
        <v>247</v>
      </c>
      <c r="F41" s="40" t="s">
        <v>201</v>
      </c>
      <c r="G41" s="52" t="str">
        <f>IFERROR(LEFT(B41,FIND("],",B41)),B41)</f>
        <v>[effect:rush, count:3, val:0.4]</v>
      </c>
      <c r="H41" s="52">
        <f>FIND("effect:",G41)+7</f>
        <v>9</v>
      </c>
      <c r="I41" s="52">
        <f>IFERROR(FIND(",",G41),LEN(G41))</f>
        <v>13</v>
      </c>
      <c r="J41" s="52" t="e">
        <f>FIND("target:",G41)+7</f>
        <v>#VALUE!</v>
      </c>
      <c r="K41" s="52">
        <f>FIND(",",G41,I41+1)</f>
        <v>22</v>
      </c>
      <c r="L41" s="52" t="str">
        <f>IFERROR(VLOOKUP(MID(G41,J41,K41-J41),[5]skilldef!$C:$D,2,FALSE),"-") &amp; " / " &amp; IFERROR(VLOOKUP(MID(G41,H41,I41-H41),[5]skilldef!$A:$B,2,FALSE),"-")</f>
        <v>- / 連続攻撃</v>
      </c>
      <c r="M41" s="52" t="str">
        <f>IFERROR(RIGHT(B41,LEN(B41)-FIND("],",B41)-1),"none")</f>
        <v>none</v>
      </c>
      <c r="N41" s="37" t="str">
        <f>IFERROR(LEFT(M41,FIND("],",M41)+S36),M41)</f>
        <v>none</v>
      </c>
      <c r="O41" s="52" t="e">
        <f>FIND("effect:",N41)+7</f>
        <v>#VALUE!</v>
      </c>
      <c r="P41" s="52">
        <f>IFERROR(FIND(",",N41),LEN(N41))</f>
        <v>4</v>
      </c>
      <c r="Q41" s="52" t="e">
        <f>FIND("target:",N41)+7</f>
        <v>#VALUE!</v>
      </c>
      <c r="R41" s="52" t="e">
        <f>FIND(",",N41,P41+1)</f>
        <v>#VALUE!</v>
      </c>
      <c r="S41" s="52" t="str">
        <f>IFERROR(VLOOKUP(MID(N41,Q41,R41-Q41),[5]skilldef!$C:$D,2,FALSE),"-") &amp; " / " &amp; IFERROR(VLOOKUP(MID(N41,O41,P41-O41),[5]skilldef!$A:$B,2,FALSE),"-")</f>
        <v>- / -</v>
      </c>
      <c r="T41" s="37" t="str">
        <f>IFERROR(RIGHT(M41,LEN(M41)-FIND("],",M41)-1),"none")</f>
        <v>none</v>
      </c>
      <c r="U41" s="52" t="e">
        <f>FIND("effect:",T41)+7</f>
        <v>#VALUE!</v>
      </c>
      <c r="V41" s="52">
        <f>IFERROR(FIND(",",T41),LEN(T41))</f>
        <v>4</v>
      </c>
      <c r="W41" s="52" t="e">
        <f>FIND("target:",T41)+7</f>
        <v>#VALUE!</v>
      </c>
      <c r="X41" s="52" t="e">
        <f>FIND(",",T41,V41+1)</f>
        <v>#VALUE!</v>
      </c>
      <c r="Y41" s="52" t="str">
        <f>IFERROR(VLOOKUP(MID(T41,W41,X41-W41),[5]skilldef!$C:$D,2,FALSE),"-") &amp; " / " &amp; IFERROR(VLOOKUP(MID(T41,U41,V41-U41),[5]skilldef!$A:$B,2,FALSE),"-")</f>
        <v>- / -</v>
      </c>
      <c r="Z41" s="39" t="s">
        <v>191</v>
      </c>
      <c r="AA41" s="41"/>
      <c r="AB41" s="39" t="s">
        <v>192</v>
      </c>
    </row>
    <row r="42" spans="1:28" ht="21" customHeight="1">
      <c r="A42" s="142">
        <v>40005049</v>
      </c>
      <c r="B42" s="145" t="s">
        <v>340</v>
      </c>
      <c r="C42" s="39">
        <v>3</v>
      </c>
      <c r="D42" s="39" t="s">
        <v>182</v>
      </c>
      <c r="E42" s="40" t="s">
        <v>276</v>
      </c>
      <c r="F42" s="40" t="s">
        <v>336</v>
      </c>
      <c r="G42" s="52" t="str">
        <f t="shared" ref="G42:G45" si="154">IFERROR(LEFT(B42,FIND("],",B42)),B42)</f>
        <v>[effect:rush, count:4, val:0.4]</v>
      </c>
      <c r="H42" s="52">
        <f t="shared" ref="H42:H45" si="155">FIND("effect:",G42)+7</f>
        <v>9</v>
      </c>
      <c r="I42" s="52">
        <f t="shared" ref="I42:I45" si="156">IFERROR(FIND(",",G42),LEN(G42))</f>
        <v>13</v>
      </c>
      <c r="J42" s="52" t="e">
        <f t="shared" ref="J42:J45" si="157">FIND("target:",G42)+7</f>
        <v>#VALUE!</v>
      </c>
      <c r="K42" s="52">
        <f t="shared" ref="K42:K45" si="158">FIND(",",G42,I42+1)</f>
        <v>22</v>
      </c>
      <c r="L42" s="52" t="str">
        <f>IFERROR(VLOOKUP(MID(G42,J42,K42-J42),[5]skilldef!$C:$D,2,FALSE),"-") &amp; " / " &amp; IFERROR(VLOOKUP(MID(G42,H42,I42-H42),[5]skilldef!$A:$B,2,FALSE),"-")</f>
        <v>- / 連続攻撃</v>
      </c>
      <c r="M42" s="52" t="str">
        <f t="shared" ref="M42:M45" si="159">IFERROR(RIGHT(B42,LEN(B42)-FIND("],",B42)-1),"none")</f>
        <v>none</v>
      </c>
      <c r="N42" s="37" t="str">
        <f>IFERROR(LEFT(M42,FIND("],",M42)+#REF!),M42)</f>
        <v>none</v>
      </c>
      <c r="O42" s="52" t="e">
        <f t="shared" ref="O42:O45" si="160">FIND("effect:",N42)+7</f>
        <v>#VALUE!</v>
      </c>
      <c r="P42" s="52">
        <f t="shared" ref="P42:P45" si="161">IFERROR(FIND(",",N42),LEN(N42))</f>
        <v>4</v>
      </c>
      <c r="Q42" s="52" t="e">
        <f t="shared" ref="Q42:Q45" si="162">FIND("target:",N42)+7</f>
        <v>#VALUE!</v>
      </c>
      <c r="R42" s="52" t="e">
        <f t="shared" ref="R42:R45" si="163">FIND(",",N42,P42+1)</f>
        <v>#VALUE!</v>
      </c>
      <c r="S42" s="52" t="str">
        <f>IFERROR(VLOOKUP(MID(N42,Q42,R42-Q42),[5]skilldef!$C:$D,2,FALSE),"-") &amp; " / " &amp; IFERROR(VLOOKUP(MID(N42,O42,P42-O42),[5]skilldef!$A:$B,2,FALSE),"-")</f>
        <v>- / -</v>
      </c>
      <c r="T42" s="37" t="str">
        <f t="shared" ref="T42:T45" si="164">IFERROR(RIGHT(M42,LEN(M42)-FIND("],",M42)-1),"none")</f>
        <v>none</v>
      </c>
      <c r="U42" s="52" t="e">
        <f t="shared" ref="U42:U45" si="165">FIND("effect:",T42)+7</f>
        <v>#VALUE!</v>
      </c>
      <c r="V42" s="52">
        <f t="shared" ref="V42:V45" si="166">IFERROR(FIND(",",T42),LEN(T42))</f>
        <v>4</v>
      </c>
      <c r="W42" s="52" t="e">
        <f t="shared" ref="W42:W45" si="167">FIND("target:",T42)+7</f>
        <v>#VALUE!</v>
      </c>
      <c r="X42" s="52" t="e">
        <f t="shared" ref="X42:X45" si="168">FIND(",",T42,V42+1)</f>
        <v>#VALUE!</v>
      </c>
      <c r="Y42" s="52" t="str">
        <f>IFERROR(VLOOKUP(MID(T42,W42,X42-W42),[5]skilldef!$C:$D,2,FALSE),"-") &amp; " / " &amp; IFERROR(VLOOKUP(MID(T42,U42,V42-U42),[5]skilldef!$A:$B,2,FALSE),"-")</f>
        <v>- / -</v>
      </c>
      <c r="Z42" s="39" t="s">
        <v>191</v>
      </c>
      <c r="AA42" s="41"/>
      <c r="AB42" s="39" t="s">
        <v>192</v>
      </c>
    </row>
    <row r="43" spans="1:28" ht="21" customHeight="1">
      <c r="A43" s="142">
        <v>40005050</v>
      </c>
      <c r="B43" s="145" t="s">
        <v>341</v>
      </c>
      <c r="C43" s="39">
        <v>3</v>
      </c>
      <c r="D43" s="39" t="s">
        <v>182</v>
      </c>
      <c r="E43" s="40" t="s">
        <v>277</v>
      </c>
      <c r="F43" s="40" t="s">
        <v>297</v>
      </c>
      <c r="G43" s="52" t="str">
        <f t="shared" si="154"/>
        <v>[effect:rush, count:5, val:0.4]</v>
      </c>
      <c r="H43" s="52">
        <f t="shared" si="155"/>
        <v>9</v>
      </c>
      <c r="I43" s="52">
        <f t="shared" si="156"/>
        <v>13</v>
      </c>
      <c r="J43" s="52" t="e">
        <f t="shared" si="157"/>
        <v>#VALUE!</v>
      </c>
      <c r="K43" s="52">
        <f t="shared" si="158"/>
        <v>22</v>
      </c>
      <c r="L43" s="52" t="str">
        <f>IFERROR(VLOOKUP(MID(G43,J43,K43-J43),[5]skilldef!$C:$D,2,FALSE),"-") &amp; " / " &amp; IFERROR(VLOOKUP(MID(G43,H43,I43-H43),[5]skilldef!$A:$B,2,FALSE),"-")</f>
        <v>- / 連続攻撃</v>
      </c>
      <c r="M43" s="52" t="str">
        <f t="shared" si="159"/>
        <v>none</v>
      </c>
      <c r="N43" s="37" t="str">
        <f>IFERROR(LEFT(M43,FIND("],",M43)+S45),M43)</f>
        <v>none</v>
      </c>
      <c r="O43" s="52" t="e">
        <f t="shared" si="160"/>
        <v>#VALUE!</v>
      </c>
      <c r="P43" s="52">
        <f t="shared" si="161"/>
        <v>4</v>
      </c>
      <c r="Q43" s="52" t="e">
        <f t="shared" si="162"/>
        <v>#VALUE!</v>
      </c>
      <c r="R43" s="52" t="e">
        <f t="shared" si="163"/>
        <v>#VALUE!</v>
      </c>
      <c r="S43" s="52" t="str">
        <f>IFERROR(VLOOKUP(MID(N43,Q43,R43-Q43),[5]skilldef!$C:$D,2,FALSE),"-") &amp; " / " &amp; IFERROR(VLOOKUP(MID(N43,O43,P43-O43),[5]skilldef!$A:$B,2,FALSE),"-")</f>
        <v>- / -</v>
      </c>
      <c r="T43" s="37" t="str">
        <f t="shared" si="164"/>
        <v>none</v>
      </c>
      <c r="U43" s="52" t="e">
        <f t="shared" si="165"/>
        <v>#VALUE!</v>
      </c>
      <c r="V43" s="52">
        <f t="shared" si="166"/>
        <v>4</v>
      </c>
      <c r="W43" s="52" t="e">
        <f t="shared" si="167"/>
        <v>#VALUE!</v>
      </c>
      <c r="X43" s="52" t="e">
        <f t="shared" si="168"/>
        <v>#VALUE!</v>
      </c>
      <c r="Y43" s="52" t="str">
        <f>IFERROR(VLOOKUP(MID(T43,W43,X43-W43),[5]skilldef!$C:$D,2,FALSE),"-") &amp; " / " &amp; IFERROR(VLOOKUP(MID(T43,U43,V43-U43),[5]skilldef!$A:$B,2,FALSE),"-")</f>
        <v>- / -</v>
      </c>
      <c r="Z43" s="39" t="s">
        <v>191</v>
      </c>
      <c r="AA43" s="41"/>
      <c r="AB43" s="39" t="s">
        <v>192</v>
      </c>
    </row>
    <row r="44" spans="1:28" ht="21" customHeight="1">
      <c r="A44" s="142">
        <v>40005051</v>
      </c>
      <c r="B44" s="145" t="s">
        <v>353</v>
      </c>
      <c r="C44" s="39">
        <v>3</v>
      </c>
      <c r="D44" s="39" t="s">
        <v>182</v>
      </c>
      <c r="E44" s="40" t="s">
        <v>369</v>
      </c>
      <c r="F44" s="40" t="s">
        <v>338</v>
      </c>
      <c r="G44" s="52" t="str">
        <f t="shared" si="154"/>
        <v>[effect:degrade_unit, target:unit_all, turn:3, status:defense, val:1, calc:mul]</v>
      </c>
      <c r="H44" s="52">
        <f t="shared" si="155"/>
        <v>9</v>
      </c>
      <c r="I44" s="52">
        <f t="shared" si="156"/>
        <v>21</v>
      </c>
      <c r="J44" s="52">
        <f t="shared" si="157"/>
        <v>30</v>
      </c>
      <c r="K44" s="52">
        <f t="shared" si="158"/>
        <v>38</v>
      </c>
      <c r="L44" s="52" t="str">
        <f>IFERROR(VLOOKUP(MID(G44,J44,K44-J44),[5]skilldef!$C:$D,2,FALSE),"-") &amp; " / " &amp; IFERROR(VLOOKUP(MID(G44,H44,I44-H44),[5]skilldef!$A:$B,2,FALSE),"-")</f>
        <v>味方全体に / ステータスDOWN</v>
      </c>
      <c r="M44" s="52" t="str">
        <f t="shared" si="159"/>
        <v>[effect:rush, count:6, val:0.4]</v>
      </c>
      <c r="N44" s="37" t="str">
        <f>IFERROR(LEFT(M44,FIND("],",M44)+S46),M44)</f>
        <v>[effect:rush, count:6, val:0.4]</v>
      </c>
      <c r="O44" s="52">
        <f t="shared" si="160"/>
        <v>9</v>
      </c>
      <c r="P44" s="52">
        <f t="shared" si="161"/>
        <v>13</v>
      </c>
      <c r="Q44" s="52" t="e">
        <f t="shared" si="162"/>
        <v>#VALUE!</v>
      </c>
      <c r="R44" s="52">
        <f t="shared" si="163"/>
        <v>22</v>
      </c>
      <c r="S44" s="52" t="str">
        <f>IFERROR(VLOOKUP(MID(N44,Q44,R44-Q44),[5]skilldef!$C:$D,2,FALSE),"-") &amp; " / " &amp; IFERROR(VLOOKUP(MID(N44,O44,P44-O44),[5]skilldef!$A:$B,2,FALSE),"-")</f>
        <v>- / 連続攻撃</v>
      </c>
      <c r="T44" s="37" t="str">
        <f t="shared" si="164"/>
        <v>none</v>
      </c>
      <c r="U44" s="52" t="e">
        <f t="shared" si="165"/>
        <v>#VALUE!</v>
      </c>
      <c r="V44" s="52">
        <f t="shared" si="166"/>
        <v>4</v>
      </c>
      <c r="W44" s="52" t="e">
        <f t="shared" si="167"/>
        <v>#VALUE!</v>
      </c>
      <c r="X44" s="52" t="e">
        <f t="shared" si="168"/>
        <v>#VALUE!</v>
      </c>
      <c r="Y44" s="52" t="str">
        <f>IFERROR(VLOOKUP(MID(T44,W44,X44-W44),[5]skilldef!$C:$D,2,FALSE),"-") &amp; " / " &amp; IFERROR(VLOOKUP(MID(T44,U44,V44-U44),[5]skilldef!$A:$B,2,FALSE),"-")</f>
        <v>- / -</v>
      </c>
      <c r="Z44" s="39" t="s">
        <v>191</v>
      </c>
      <c r="AA44" s="41"/>
      <c r="AB44" s="39" t="s">
        <v>192</v>
      </c>
    </row>
    <row r="45" spans="1:28" ht="21" customHeight="1">
      <c r="A45" s="142">
        <v>40005052</v>
      </c>
      <c r="B45" s="145" t="s">
        <v>335</v>
      </c>
      <c r="C45" s="39">
        <v>3</v>
      </c>
      <c r="D45" s="39" t="s">
        <v>182</v>
      </c>
      <c r="E45" s="40" t="s">
        <v>368</v>
      </c>
      <c r="F45" s="40" t="s">
        <v>227</v>
      </c>
      <c r="G45" s="52" t="str">
        <f t="shared" si="154"/>
        <v>[effect:critical, val:4]</v>
      </c>
      <c r="H45" s="52">
        <f t="shared" si="155"/>
        <v>9</v>
      </c>
      <c r="I45" s="52">
        <f t="shared" si="156"/>
        <v>17</v>
      </c>
      <c r="J45" s="52" t="e">
        <f t="shared" si="157"/>
        <v>#VALUE!</v>
      </c>
      <c r="K45" s="52" t="e">
        <f t="shared" si="158"/>
        <v>#VALUE!</v>
      </c>
      <c r="L45" s="52" t="str">
        <f>IFERROR(VLOOKUP(MID(G45,J45,K45-J45),[5]skilldef!$C:$D,2,FALSE),"-") &amp; " / " &amp; IFERROR(VLOOKUP(MID(G45,H45,I45-H45),[5]skilldef!$A:$B,2,FALSE),"-")</f>
        <v>- / 大攻撃</v>
      </c>
      <c r="M45" s="52" t="str">
        <f t="shared" si="159"/>
        <v>none</v>
      </c>
      <c r="N45" s="37" t="str">
        <f>IFERROR(LEFT(M45,FIND("],",M45)+S68),M45)</f>
        <v>none</v>
      </c>
      <c r="O45" s="52" t="e">
        <f t="shared" si="160"/>
        <v>#VALUE!</v>
      </c>
      <c r="P45" s="52">
        <f t="shared" si="161"/>
        <v>4</v>
      </c>
      <c r="Q45" s="52" t="e">
        <f t="shared" si="162"/>
        <v>#VALUE!</v>
      </c>
      <c r="R45" s="52" t="e">
        <f t="shared" si="163"/>
        <v>#VALUE!</v>
      </c>
      <c r="S45" s="52" t="str">
        <f>IFERROR(VLOOKUP(MID(N45,Q45,R45-Q45),[5]skilldef!$C:$D,2,FALSE),"-") &amp; " / " &amp; IFERROR(VLOOKUP(MID(N45,O45,P45-O45),[5]skilldef!$A:$B,2,FALSE),"-")</f>
        <v>- / -</v>
      </c>
      <c r="T45" s="37" t="str">
        <f t="shared" si="164"/>
        <v>none</v>
      </c>
      <c r="U45" s="52" t="e">
        <f t="shared" si="165"/>
        <v>#VALUE!</v>
      </c>
      <c r="V45" s="52">
        <f t="shared" si="166"/>
        <v>4</v>
      </c>
      <c r="W45" s="52" t="e">
        <f t="shared" si="167"/>
        <v>#VALUE!</v>
      </c>
      <c r="X45" s="52" t="e">
        <f t="shared" si="168"/>
        <v>#VALUE!</v>
      </c>
      <c r="Y45" s="52" t="str">
        <f>IFERROR(VLOOKUP(MID(T45,W45,X45-W45),[5]skilldef!$C:$D,2,FALSE),"-") &amp; " / " &amp; IFERROR(VLOOKUP(MID(T45,U45,V45-U45),[5]skilldef!$A:$B,2,FALSE),"-")</f>
        <v>- / -</v>
      </c>
      <c r="Z45" s="39" t="s">
        <v>191</v>
      </c>
      <c r="AA45" s="41"/>
      <c r="AB45" s="39" t="s">
        <v>194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9"/>
  <sheetViews>
    <sheetView showGridLines="0" zoomScale="125" zoomScaleNormal="125" zoomScalePageLayoutView="125" workbookViewId="0">
      <pane ySplit="1" topLeftCell="A19" activePane="bottomLeft" state="frozenSplit"/>
      <selection pane="bottomLeft" activeCell="E44" sqref="E44"/>
    </sheetView>
  </sheetViews>
  <sheetFormatPr baseColWidth="12" defaultColWidth="12.83203125" defaultRowHeight="21" customHeight="1" x14ac:dyDescent="0"/>
  <cols>
    <col min="1" max="1" width="16.1640625" style="38" bestFit="1" customWidth="1"/>
    <col min="2" max="2" width="13.33203125" style="38" bestFit="1" customWidth="1"/>
    <col min="3" max="3" width="11.83203125" style="38" bestFit="1" customWidth="1"/>
    <col min="4" max="4" width="14.6640625" style="38" bestFit="1" customWidth="1"/>
    <col min="5" max="5" width="15.6640625" style="38" bestFit="1" customWidth="1"/>
    <col min="6" max="6" width="17" style="38" bestFit="1" customWidth="1"/>
    <col min="7" max="7" width="15.6640625" style="38" bestFit="1" customWidth="1"/>
    <col min="8" max="9" width="14.6640625" style="38" customWidth="1"/>
    <col min="10" max="10" width="14.6640625" style="38" bestFit="1" customWidth="1"/>
    <col min="11" max="11" width="22.83203125" style="30" bestFit="1" customWidth="1"/>
    <col min="12" max="16384" width="12.83203125" style="35"/>
  </cols>
  <sheetData>
    <row r="1" spans="1:11" ht="21" customHeight="1">
      <c r="A1" s="33" t="s">
        <v>83</v>
      </c>
      <c r="B1" s="33" t="s">
        <v>84</v>
      </c>
      <c r="C1" s="33" t="s">
        <v>85</v>
      </c>
      <c r="D1" s="33" t="s">
        <v>86</v>
      </c>
      <c r="E1" s="33" t="s">
        <v>69</v>
      </c>
      <c r="F1" s="42" t="s">
        <v>70</v>
      </c>
      <c r="G1" s="42" t="s">
        <v>71</v>
      </c>
      <c r="H1" s="33" t="s">
        <v>72</v>
      </c>
      <c r="I1" s="33" t="s">
        <v>73</v>
      </c>
      <c r="J1" s="33" t="s">
        <v>74</v>
      </c>
      <c r="K1" s="43" t="s">
        <v>87</v>
      </c>
    </row>
    <row r="2" spans="1:11" ht="21" customHeight="1">
      <c r="A2" s="142">
        <v>40005001</v>
      </c>
      <c r="B2" s="143">
        <v>0</v>
      </c>
      <c r="C2" s="143">
        <v>1</v>
      </c>
      <c r="D2" s="143">
        <v>100</v>
      </c>
      <c r="E2" s="143" t="s">
        <v>181</v>
      </c>
      <c r="F2" s="143" t="s">
        <v>181</v>
      </c>
      <c r="G2" s="143" t="s">
        <v>181</v>
      </c>
      <c r="H2" s="143" t="s">
        <v>214</v>
      </c>
      <c r="I2" s="143" t="s">
        <v>181</v>
      </c>
      <c r="J2" s="190">
        <f>D2</f>
        <v>100</v>
      </c>
      <c r="K2" s="144"/>
    </row>
    <row r="3" spans="1:11" ht="21" customHeight="1">
      <c r="A3" s="145">
        <v>40005002</v>
      </c>
      <c r="B3" s="146">
        <v>1</v>
      </c>
      <c r="C3" s="146">
        <v>1</v>
      </c>
      <c r="D3" s="146">
        <v>100</v>
      </c>
      <c r="E3" s="146" t="s">
        <v>181</v>
      </c>
      <c r="F3" s="146" t="s">
        <v>181</v>
      </c>
      <c r="G3" s="146">
        <v>1</v>
      </c>
      <c r="H3" s="146" t="s">
        <v>215</v>
      </c>
      <c r="I3" s="146" t="s">
        <v>181</v>
      </c>
      <c r="J3" s="190">
        <f t="shared" ref="J3:J15" si="0">D3</f>
        <v>100</v>
      </c>
      <c r="K3" s="144"/>
    </row>
    <row r="4" spans="1:11" ht="21" customHeight="1">
      <c r="A4" s="145">
        <v>40005003</v>
      </c>
      <c r="B4" s="146">
        <v>0</v>
      </c>
      <c r="C4" s="146">
        <v>1</v>
      </c>
      <c r="D4" s="146">
        <v>100</v>
      </c>
      <c r="E4" s="146" t="s">
        <v>181</v>
      </c>
      <c r="F4" s="146" t="s">
        <v>181</v>
      </c>
      <c r="G4" s="146">
        <v>1</v>
      </c>
      <c r="H4" s="146" t="s">
        <v>216</v>
      </c>
      <c r="I4" s="146">
        <v>245</v>
      </c>
      <c r="J4" s="190">
        <f t="shared" si="0"/>
        <v>100</v>
      </c>
      <c r="K4" s="144"/>
    </row>
    <row r="5" spans="1:11" ht="21" customHeight="1">
      <c r="A5" s="145">
        <v>40005004</v>
      </c>
      <c r="B5" s="146">
        <v>0</v>
      </c>
      <c r="C5" s="146">
        <v>1</v>
      </c>
      <c r="D5" s="146">
        <v>100</v>
      </c>
      <c r="E5" s="146">
        <v>80</v>
      </c>
      <c r="F5" s="146" t="s">
        <v>181</v>
      </c>
      <c r="G5" s="146">
        <v>1</v>
      </c>
      <c r="H5" s="146" t="s">
        <v>217</v>
      </c>
      <c r="I5" s="146" t="s">
        <v>215</v>
      </c>
      <c r="J5" s="190">
        <f t="shared" si="0"/>
        <v>100</v>
      </c>
      <c r="K5" s="144"/>
    </row>
    <row r="6" spans="1:11" ht="21" customHeight="1">
      <c r="A6" s="145">
        <v>40005005</v>
      </c>
      <c r="B6" s="146">
        <v>0</v>
      </c>
      <c r="C6" s="146">
        <v>1</v>
      </c>
      <c r="D6" s="146">
        <v>100</v>
      </c>
      <c r="E6" s="146">
        <v>35</v>
      </c>
      <c r="F6" s="146" t="s">
        <v>181</v>
      </c>
      <c r="G6" s="146">
        <v>1</v>
      </c>
      <c r="H6" s="146" t="s">
        <v>181</v>
      </c>
      <c r="I6" s="146" t="s">
        <v>218</v>
      </c>
      <c r="J6" s="190">
        <f t="shared" si="0"/>
        <v>100</v>
      </c>
      <c r="K6" s="144"/>
    </row>
    <row r="7" spans="1:11" ht="21" customHeight="1">
      <c r="A7" s="145">
        <v>40005006</v>
      </c>
      <c r="B7" s="146">
        <v>0</v>
      </c>
      <c r="C7" s="146">
        <v>1</v>
      </c>
      <c r="D7" s="146">
        <v>65</v>
      </c>
      <c r="E7" s="146" t="s">
        <v>215</v>
      </c>
      <c r="F7" s="146" t="s">
        <v>181</v>
      </c>
      <c r="G7" s="146">
        <v>5</v>
      </c>
      <c r="H7" s="146" t="s">
        <v>181</v>
      </c>
      <c r="I7" s="146" t="s">
        <v>218</v>
      </c>
      <c r="J7" s="190">
        <f t="shared" si="0"/>
        <v>65</v>
      </c>
      <c r="K7" s="144"/>
    </row>
    <row r="8" spans="1:11" ht="21" customHeight="1">
      <c r="A8" s="145">
        <v>40005007</v>
      </c>
      <c r="B8" s="146">
        <v>0</v>
      </c>
      <c r="C8" s="146">
        <v>1</v>
      </c>
      <c r="D8" s="146">
        <v>100</v>
      </c>
      <c r="E8" s="146">
        <v>30</v>
      </c>
      <c r="F8" s="146" t="s">
        <v>181</v>
      </c>
      <c r="G8" s="146">
        <v>1</v>
      </c>
      <c r="H8" s="146" t="s">
        <v>181</v>
      </c>
      <c r="I8" s="146" t="s">
        <v>218</v>
      </c>
      <c r="J8" s="190">
        <f t="shared" si="0"/>
        <v>100</v>
      </c>
      <c r="K8" s="144"/>
    </row>
    <row r="9" spans="1:11" ht="21" customHeight="1">
      <c r="A9" s="145">
        <v>40005008</v>
      </c>
      <c r="B9" s="146">
        <v>0</v>
      </c>
      <c r="C9" s="146">
        <v>1</v>
      </c>
      <c r="D9" s="146">
        <v>100</v>
      </c>
      <c r="E9" s="146" t="s">
        <v>224</v>
      </c>
      <c r="F9" s="146" t="s">
        <v>181</v>
      </c>
      <c r="G9" s="146">
        <v>1</v>
      </c>
      <c r="H9" s="146" t="s">
        <v>181</v>
      </c>
      <c r="I9" s="146">
        <v>176</v>
      </c>
      <c r="J9" s="190">
        <f t="shared" si="0"/>
        <v>100</v>
      </c>
      <c r="K9" s="144"/>
    </row>
    <row r="10" spans="1:11" ht="21" customHeight="1">
      <c r="A10" s="145">
        <v>40005009</v>
      </c>
      <c r="B10" s="146">
        <v>0</v>
      </c>
      <c r="C10" s="146">
        <v>1</v>
      </c>
      <c r="D10" s="146">
        <v>100</v>
      </c>
      <c r="E10" s="146" t="s">
        <v>224</v>
      </c>
      <c r="F10" s="146" t="s">
        <v>181</v>
      </c>
      <c r="G10" s="146">
        <v>1</v>
      </c>
      <c r="H10" s="146">
        <v>2</v>
      </c>
      <c r="I10" s="146" t="s">
        <v>225</v>
      </c>
      <c r="J10" s="190">
        <f t="shared" si="0"/>
        <v>100</v>
      </c>
      <c r="K10" s="144"/>
    </row>
    <row r="11" spans="1:11" ht="21" customHeight="1">
      <c r="A11" s="145">
        <v>40005010</v>
      </c>
      <c r="B11" s="146">
        <v>0</v>
      </c>
      <c r="C11" s="146">
        <v>2</v>
      </c>
      <c r="D11" s="146">
        <v>100</v>
      </c>
      <c r="E11" s="146" t="s">
        <v>224</v>
      </c>
      <c r="F11" s="146" t="s">
        <v>181</v>
      </c>
      <c r="G11" s="146">
        <v>1</v>
      </c>
      <c r="H11" s="146">
        <v>4</v>
      </c>
      <c r="I11" s="146" t="s">
        <v>225</v>
      </c>
      <c r="J11" s="190">
        <f t="shared" si="0"/>
        <v>100</v>
      </c>
      <c r="K11" s="144"/>
    </row>
    <row r="12" spans="1:11" ht="21" customHeight="1">
      <c r="A12" s="145">
        <v>40005011</v>
      </c>
      <c r="B12" s="146">
        <v>0</v>
      </c>
      <c r="C12" s="146">
        <v>3</v>
      </c>
      <c r="D12" s="146">
        <v>100</v>
      </c>
      <c r="E12" s="146" t="s">
        <v>224</v>
      </c>
      <c r="F12" s="146" t="s">
        <v>181</v>
      </c>
      <c r="G12" s="146">
        <v>1</v>
      </c>
      <c r="H12" s="146">
        <v>6</v>
      </c>
      <c r="I12" s="146" t="s">
        <v>225</v>
      </c>
      <c r="J12" s="190">
        <f t="shared" si="0"/>
        <v>100</v>
      </c>
      <c r="K12" s="144"/>
    </row>
    <row r="13" spans="1:11" ht="21" customHeight="1">
      <c r="A13" s="145">
        <v>40005012</v>
      </c>
      <c r="B13" s="146">
        <v>0</v>
      </c>
      <c r="C13" s="146">
        <v>3</v>
      </c>
      <c r="D13" s="146">
        <v>33</v>
      </c>
      <c r="E13" s="146" t="s">
        <v>224</v>
      </c>
      <c r="F13" s="146" t="s">
        <v>181</v>
      </c>
      <c r="G13" s="146" t="s">
        <v>242</v>
      </c>
      <c r="H13" s="146" t="s">
        <v>243</v>
      </c>
      <c r="I13" s="146" t="s">
        <v>225</v>
      </c>
      <c r="J13" s="190">
        <f t="shared" si="0"/>
        <v>33</v>
      </c>
      <c r="K13" s="144"/>
    </row>
    <row r="14" spans="1:11" ht="21" customHeight="1">
      <c r="A14" s="145">
        <v>40005013</v>
      </c>
      <c r="B14" s="146">
        <v>0</v>
      </c>
      <c r="C14" s="146">
        <v>2</v>
      </c>
      <c r="D14" s="146">
        <v>50</v>
      </c>
      <c r="E14" s="146" t="s">
        <v>224</v>
      </c>
      <c r="F14" s="146" t="s">
        <v>181</v>
      </c>
      <c r="G14" s="146" t="s">
        <v>243</v>
      </c>
      <c r="H14" s="146" t="s">
        <v>244</v>
      </c>
      <c r="I14" s="146" t="s">
        <v>225</v>
      </c>
      <c r="J14" s="190">
        <f t="shared" si="0"/>
        <v>50</v>
      </c>
      <c r="K14" s="144"/>
    </row>
    <row r="15" spans="1:11" ht="21" customHeight="1">
      <c r="A15" s="145">
        <v>40005014</v>
      </c>
      <c r="B15" s="146">
        <v>0</v>
      </c>
      <c r="C15" s="146">
        <v>1</v>
      </c>
      <c r="D15" s="146">
        <v>100</v>
      </c>
      <c r="E15" s="146" t="s">
        <v>224</v>
      </c>
      <c r="F15" s="146" t="s">
        <v>181</v>
      </c>
      <c r="G15" s="146" t="s">
        <v>243</v>
      </c>
      <c r="H15" s="146" t="s">
        <v>243</v>
      </c>
      <c r="I15" s="146" t="s">
        <v>225</v>
      </c>
      <c r="J15" s="190">
        <f t="shared" si="0"/>
        <v>100</v>
      </c>
      <c r="K15" s="144"/>
    </row>
    <row r="16" spans="1:11" ht="21" customHeight="1">
      <c r="A16" s="145">
        <v>40005015</v>
      </c>
      <c r="B16" s="146">
        <v>0</v>
      </c>
      <c r="C16" s="146">
        <v>1</v>
      </c>
      <c r="D16" s="146">
        <v>100</v>
      </c>
      <c r="E16" s="146" t="s">
        <v>169</v>
      </c>
      <c r="F16" s="146" t="s">
        <v>181</v>
      </c>
      <c r="G16" s="146">
        <v>1</v>
      </c>
      <c r="H16" s="146" t="s">
        <v>181</v>
      </c>
      <c r="I16" s="146">
        <v>212</v>
      </c>
      <c r="J16" s="190">
        <f t="shared" ref="J16" si="1">D16</f>
        <v>100</v>
      </c>
      <c r="K16" s="144"/>
    </row>
    <row r="17" spans="1:11" ht="21" customHeight="1">
      <c r="A17" s="145">
        <v>40005016</v>
      </c>
      <c r="B17" s="146">
        <v>0</v>
      </c>
      <c r="C17" s="146">
        <v>1</v>
      </c>
      <c r="D17" s="146">
        <v>100</v>
      </c>
      <c r="E17" s="146" t="s">
        <v>169</v>
      </c>
      <c r="F17" s="146" t="s">
        <v>181</v>
      </c>
      <c r="G17" s="146">
        <v>1</v>
      </c>
      <c r="H17" s="146" t="s">
        <v>181</v>
      </c>
      <c r="I17" s="146">
        <v>242</v>
      </c>
      <c r="J17" s="190">
        <f t="shared" ref="J17" si="2">D17</f>
        <v>100</v>
      </c>
      <c r="K17" s="144"/>
    </row>
    <row r="18" spans="1:11" ht="21" customHeight="1">
      <c r="A18" s="145">
        <v>40005017</v>
      </c>
      <c r="B18" s="146">
        <v>0</v>
      </c>
      <c r="C18" s="146">
        <v>3</v>
      </c>
      <c r="D18" s="146">
        <v>100</v>
      </c>
      <c r="E18" s="146">
        <v>35</v>
      </c>
      <c r="F18" s="146" t="s">
        <v>181</v>
      </c>
      <c r="G18" s="146">
        <v>1</v>
      </c>
      <c r="H18" s="146" t="s">
        <v>181</v>
      </c>
      <c r="I18" s="146" t="s">
        <v>279</v>
      </c>
      <c r="J18" s="190">
        <f t="shared" ref="J18" si="3">D18</f>
        <v>100</v>
      </c>
      <c r="K18" s="144"/>
    </row>
    <row r="19" spans="1:11" ht="21" customHeight="1">
      <c r="A19" s="145">
        <v>40005018</v>
      </c>
      <c r="B19" s="146">
        <v>0</v>
      </c>
      <c r="C19" s="146">
        <v>2</v>
      </c>
      <c r="D19" s="146">
        <v>100</v>
      </c>
      <c r="E19" s="146">
        <v>35</v>
      </c>
      <c r="F19" s="146" t="s">
        <v>181</v>
      </c>
      <c r="G19" s="146">
        <v>1</v>
      </c>
      <c r="H19" s="146" t="s">
        <v>181</v>
      </c>
      <c r="I19" s="146" t="s">
        <v>279</v>
      </c>
      <c r="J19" s="190">
        <f t="shared" ref="J19" si="4">D19</f>
        <v>100</v>
      </c>
      <c r="K19" s="144"/>
    </row>
    <row r="20" spans="1:11" ht="21" customHeight="1">
      <c r="A20" s="145">
        <v>40005019</v>
      </c>
      <c r="B20" s="146">
        <v>0</v>
      </c>
      <c r="C20" s="146">
        <v>3</v>
      </c>
      <c r="D20" s="146">
        <v>100</v>
      </c>
      <c r="E20" s="146" t="s">
        <v>169</v>
      </c>
      <c r="F20" s="146" t="s">
        <v>181</v>
      </c>
      <c r="G20" s="146">
        <v>1</v>
      </c>
      <c r="H20" s="146">
        <v>1</v>
      </c>
      <c r="I20" s="146" t="s">
        <v>279</v>
      </c>
      <c r="J20" s="190">
        <f t="shared" ref="J20:J31" si="5">D20</f>
        <v>100</v>
      </c>
      <c r="K20" s="144"/>
    </row>
    <row r="21" spans="1:11" ht="21" customHeight="1">
      <c r="A21" s="145">
        <v>40005020</v>
      </c>
      <c r="B21" s="146">
        <v>0</v>
      </c>
      <c r="C21" s="146">
        <v>3</v>
      </c>
      <c r="D21" s="146">
        <v>100</v>
      </c>
      <c r="E21" s="146" t="s">
        <v>169</v>
      </c>
      <c r="F21" s="146" t="s">
        <v>181</v>
      </c>
      <c r="G21" s="146">
        <v>1</v>
      </c>
      <c r="H21" s="146">
        <v>2</v>
      </c>
      <c r="I21" s="146" t="s">
        <v>279</v>
      </c>
      <c r="J21" s="190">
        <f t="shared" si="5"/>
        <v>100</v>
      </c>
      <c r="K21" s="144"/>
    </row>
    <row r="22" spans="1:11" ht="21" customHeight="1">
      <c r="A22" s="145">
        <v>40005021</v>
      </c>
      <c r="B22" s="146">
        <v>0</v>
      </c>
      <c r="C22" s="146">
        <v>3</v>
      </c>
      <c r="D22" s="146">
        <v>100</v>
      </c>
      <c r="E22" s="146" t="s">
        <v>169</v>
      </c>
      <c r="F22" s="146" t="s">
        <v>181</v>
      </c>
      <c r="G22" s="146">
        <v>1</v>
      </c>
      <c r="H22" s="146">
        <v>3</v>
      </c>
      <c r="I22" s="146" t="s">
        <v>279</v>
      </c>
      <c r="J22" s="190">
        <f t="shared" si="5"/>
        <v>100</v>
      </c>
      <c r="K22" s="144"/>
    </row>
    <row r="23" spans="1:11" ht="21" customHeight="1">
      <c r="A23" s="145">
        <v>40005022</v>
      </c>
      <c r="B23" s="146">
        <v>0</v>
      </c>
      <c r="C23" s="146">
        <v>3</v>
      </c>
      <c r="D23" s="146">
        <v>100</v>
      </c>
      <c r="E23" s="146" t="s">
        <v>169</v>
      </c>
      <c r="F23" s="146" t="s">
        <v>181</v>
      </c>
      <c r="G23" s="146">
        <v>1</v>
      </c>
      <c r="H23" s="146">
        <v>4</v>
      </c>
      <c r="I23" s="146" t="s">
        <v>279</v>
      </c>
      <c r="J23" s="190">
        <f t="shared" si="5"/>
        <v>100</v>
      </c>
      <c r="K23" s="144"/>
    </row>
    <row r="24" spans="1:11" ht="21" customHeight="1">
      <c r="A24" s="145">
        <v>40005023</v>
      </c>
      <c r="B24" s="146">
        <v>0</v>
      </c>
      <c r="C24" s="146">
        <v>3</v>
      </c>
      <c r="D24" s="146">
        <v>100</v>
      </c>
      <c r="E24" s="146" t="s">
        <v>169</v>
      </c>
      <c r="F24" s="146" t="s">
        <v>181</v>
      </c>
      <c r="G24" s="146">
        <v>1</v>
      </c>
      <c r="H24" s="146">
        <v>5</v>
      </c>
      <c r="I24" s="146" t="s">
        <v>279</v>
      </c>
      <c r="J24" s="190">
        <f t="shared" si="5"/>
        <v>100</v>
      </c>
      <c r="K24" s="144"/>
    </row>
    <row r="25" spans="1:11" ht="21" customHeight="1">
      <c r="A25" s="145">
        <v>40005024</v>
      </c>
      <c r="B25" s="146">
        <v>0</v>
      </c>
      <c r="C25" s="146">
        <v>3</v>
      </c>
      <c r="D25" s="146">
        <v>100</v>
      </c>
      <c r="E25" s="146" t="s">
        <v>169</v>
      </c>
      <c r="F25" s="146" t="s">
        <v>181</v>
      </c>
      <c r="G25" s="146">
        <v>1</v>
      </c>
      <c r="H25" s="146">
        <v>6</v>
      </c>
      <c r="I25" s="146" t="s">
        <v>279</v>
      </c>
      <c r="J25" s="190">
        <f t="shared" si="5"/>
        <v>100</v>
      </c>
      <c r="K25" s="144"/>
    </row>
    <row r="26" spans="1:11" ht="21" customHeight="1">
      <c r="A26" s="145">
        <v>40005025</v>
      </c>
      <c r="B26" s="146">
        <v>0</v>
      </c>
      <c r="C26" s="146">
        <v>3</v>
      </c>
      <c r="D26" s="146">
        <v>100</v>
      </c>
      <c r="E26" s="146" t="s">
        <v>169</v>
      </c>
      <c r="F26" s="146" t="s">
        <v>181</v>
      </c>
      <c r="G26" s="146">
        <v>1</v>
      </c>
      <c r="H26" s="146">
        <v>7</v>
      </c>
      <c r="I26" s="146" t="s">
        <v>279</v>
      </c>
      <c r="J26" s="190">
        <f t="shared" si="5"/>
        <v>100</v>
      </c>
      <c r="K26" s="144"/>
    </row>
    <row r="27" spans="1:11" ht="21" customHeight="1">
      <c r="A27" s="145">
        <v>40005026</v>
      </c>
      <c r="B27" s="146">
        <v>0</v>
      </c>
      <c r="C27" s="146">
        <v>3</v>
      </c>
      <c r="D27" s="146">
        <v>100</v>
      </c>
      <c r="E27" s="146" t="s">
        <v>169</v>
      </c>
      <c r="F27" s="146" t="s">
        <v>181</v>
      </c>
      <c r="G27" s="146">
        <v>1</v>
      </c>
      <c r="H27" s="146">
        <v>8</v>
      </c>
      <c r="I27" s="146" t="s">
        <v>279</v>
      </c>
      <c r="J27" s="190">
        <f t="shared" si="5"/>
        <v>100</v>
      </c>
      <c r="K27" s="144"/>
    </row>
    <row r="28" spans="1:11" ht="21" customHeight="1">
      <c r="A28" s="145">
        <v>40005027</v>
      </c>
      <c r="B28" s="146">
        <v>0</v>
      </c>
      <c r="C28" s="146">
        <v>3</v>
      </c>
      <c r="D28" s="146">
        <v>100</v>
      </c>
      <c r="E28" s="146" t="s">
        <v>169</v>
      </c>
      <c r="F28" s="146" t="s">
        <v>181</v>
      </c>
      <c r="G28" s="146">
        <v>1</v>
      </c>
      <c r="H28" s="146">
        <v>9</v>
      </c>
      <c r="I28" s="146" t="s">
        <v>279</v>
      </c>
      <c r="J28" s="190">
        <f t="shared" si="5"/>
        <v>100</v>
      </c>
      <c r="K28" s="144"/>
    </row>
    <row r="29" spans="1:11" ht="21" customHeight="1">
      <c r="A29" s="145">
        <v>40005028</v>
      </c>
      <c r="B29" s="146">
        <v>0</v>
      </c>
      <c r="C29" s="146">
        <v>3</v>
      </c>
      <c r="D29" s="146">
        <v>100</v>
      </c>
      <c r="E29" s="146" t="s">
        <v>169</v>
      </c>
      <c r="F29" s="146" t="s">
        <v>181</v>
      </c>
      <c r="G29" s="146">
        <v>1</v>
      </c>
      <c r="H29" s="146">
        <v>10</v>
      </c>
      <c r="I29" s="146" t="s">
        <v>279</v>
      </c>
      <c r="J29" s="190">
        <f t="shared" si="5"/>
        <v>100</v>
      </c>
      <c r="K29" s="144"/>
    </row>
    <row r="30" spans="1:11" ht="21" customHeight="1">
      <c r="A30" s="145">
        <v>40005029</v>
      </c>
      <c r="B30" s="146">
        <v>0</v>
      </c>
      <c r="C30" s="146">
        <v>3</v>
      </c>
      <c r="D30" s="146">
        <v>100</v>
      </c>
      <c r="E30" s="146" t="s">
        <v>169</v>
      </c>
      <c r="F30" s="146" t="s">
        <v>181</v>
      </c>
      <c r="G30" s="146">
        <v>1</v>
      </c>
      <c r="H30" s="146">
        <v>11</v>
      </c>
      <c r="I30" s="146" t="s">
        <v>279</v>
      </c>
      <c r="J30" s="190">
        <f t="shared" si="5"/>
        <v>100</v>
      </c>
      <c r="K30" s="144"/>
    </row>
    <row r="31" spans="1:11" ht="21" customHeight="1">
      <c r="A31" s="145">
        <v>40005030</v>
      </c>
      <c r="B31" s="146">
        <v>0</v>
      </c>
      <c r="C31" s="146">
        <v>3</v>
      </c>
      <c r="D31" s="146">
        <v>100</v>
      </c>
      <c r="E31" s="146" t="s">
        <v>169</v>
      </c>
      <c r="F31" s="146" t="s">
        <v>181</v>
      </c>
      <c r="G31" s="146">
        <v>1</v>
      </c>
      <c r="H31" s="146">
        <v>12</v>
      </c>
      <c r="I31" s="146" t="s">
        <v>279</v>
      </c>
      <c r="J31" s="190">
        <f t="shared" si="5"/>
        <v>100</v>
      </c>
      <c r="K31" s="144"/>
    </row>
    <row r="32" spans="1:11" ht="21" customHeight="1">
      <c r="A32" s="145">
        <v>40005031</v>
      </c>
      <c r="B32" s="146">
        <v>0</v>
      </c>
      <c r="C32" s="146">
        <v>3</v>
      </c>
      <c r="D32" s="146">
        <v>100</v>
      </c>
      <c r="E32" s="146" t="s">
        <v>169</v>
      </c>
      <c r="F32" s="146" t="s">
        <v>181</v>
      </c>
      <c r="G32" s="146">
        <v>1</v>
      </c>
      <c r="H32" s="146">
        <v>13</v>
      </c>
      <c r="I32" s="146" t="s">
        <v>279</v>
      </c>
      <c r="J32" s="190">
        <f t="shared" ref="J32" si="6">D32</f>
        <v>100</v>
      </c>
      <c r="K32" s="144"/>
    </row>
    <row r="33" spans="1:11" ht="21" customHeight="1">
      <c r="A33" s="145">
        <v>40005032</v>
      </c>
      <c r="B33" s="146">
        <v>0</v>
      </c>
      <c r="C33" s="146">
        <v>1</v>
      </c>
      <c r="D33" s="146">
        <v>100</v>
      </c>
      <c r="E33" s="146" t="s">
        <v>169</v>
      </c>
      <c r="F33" s="146" t="s">
        <v>181</v>
      </c>
      <c r="G33" s="146" t="s">
        <v>284</v>
      </c>
      <c r="H33" s="146">
        <v>2</v>
      </c>
      <c r="I33" s="146" t="s">
        <v>279</v>
      </c>
      <c r="J33" s="190">
        <f t="shared" ref="J33" si="7">D33</f>
        <v>100</v>
      </c>
      <c r="K33" s="144"/>
    </row>
    <row r="34" spans="1:11" ht="21" customHeight="1">
      <c r="A34" s="145">
        <v>40005033</v>
      </c>
      <c r="B34" s="146">
        <v>0</v>
      </c>
      <c r="C34" s="146">
        <v>1</v>
      </c>
      <c r="D34" s="146">
        <v>100</v>
      </c>
      <c r="E34" s="146" t="s">
        <v>169</v>
      </c>
      <c r="F34" s="146" t="s">
        <v>181</v>
      </c>
      <c r="G34" s="146">
        <v>1</v>
      </c>
      <c r="H34" s="146" t="s">
        <v>288</v>
      </c>
      <c r="I34" s="146" t="s">
        <v>169</v>
      </c>
      <c r="J34" s="190">
        <f t="shared" ref="J34" si="8">D34</f>
        <v>100</v>
      </c>
      <c r="K34" s="144"/>
    </row>
    <row r="35" spans="1:11" ht="21" customHeight="1">
      <c r="A35" s="145">
        <v>40005034</v>
      </c>
      <c r="B35" s="146">
        <v>0</v>
      </c>
      <c r="C35" s="146">
        <v>1</v>
      </c>
      <c r="D35" s="146">
        <v>100</v>
      </c>
      <c r="E35" s="146" t="s">
        <v>169</v>
      </c>
      <c r="F35" s="146" t="s">
        <v>181</v>
      </c>
      <c r="G35" s="146" t="s">
        <v>294</v>
      </c>
      <c r="H35" s="146">
        <v>2</v>
      </c>
      <c r="I35" s="146" t="s">
        <v>169</v>
      </c>
      <c r="J35" s="190">
        <f t="shared" ref="J35:J37" si="9">D35</f>
        <v>100</v>
      </c>
      <c r="K35" s="144"/>
    </row>
    <row r="36" spans="1:11" ht="21" customHeight="1">
      <c r="A36" s="145">
        <v>400050017</v>
      </c>
      <c r="B36" s="146">
        <v>0</v>
      </c>
      <c r="C36" s="146">
        <v>3</v>
      </c>
      <c r="D36" s="146">
        <v>100</v>
      </c>
      <c r="E36" s="146">
        <v>45</v>
      </c>
      <c r="F36" s="146" t="s">
        <v>181</v>
      </c>
      <c r="G36" s="146">
        <v>1</v>
      </c>
      <c r="H36" s="146">
        <v>1</v>
      </c>
      <c r="I36" s="146" t="s">
        <v>169</v>
      </c>
      <c r="J36" s="190">
        <f t="shared" si="9"/>
        <v>100</v>
      </c>
      <c r="K36" s="144"/>
    </row>
    <row r="37" spans="1:11" ht="21" customHeight="1">
      <c r="A37" s="145">
        <v>400050018</v>
      </c>
      <c r="B37" s="146">
        <v>0</v>
      </c>
      <c r="C37" s="146">
        <v>2</v>
      </c>
      <c r="D37" s="146">
        <v>100</v>
      </c>
      <c r="E37" s="146">
        <v>45</v>
      </c>
      <c r="F37" s="146" t="s">
        <v>181</v>
      </c>
      <c r="G37" s="146">
        <v>1</v>
      </c>
      <c r="H37" s="146">
        <v>1</v>
      </c>
      <c r="I37" s="146" t="s">
        <v>169</v>
      </c>
      <c r="J37" s="190">
        <f t="shared" si="9"/>
        <v>100</v>
      </c>
      <c r="K37" s="144"/>
    </row>
    <row r="38" spans="1:11" ht="21" customHeight="1">
      <c r="A38" s="145">
        <v>40005035</v>
      </c>
      <c r="B38" s="146">
        <v>0</v>
      </c>
      <c r="C38" s="146">
        <v>3</v>
      </c>
      <c r="D38" s="146">
        <v>100</v>
      </c>
      <c r="E38" s="146" t="s">
        <v>169</v>
      </c>
      <c r="F38" s="146" t="s">
        <v>181</v>
      </c>
      <c r="G38" s="146">
        <v>1</v>
      </c>
      <c r="H38" s="146">
        <v>15</v>
      </c>
      <c r="I38" s="146" t="s">
        <v>169</v>
      </c>
      <c r="J38" s="190">
        <f t="shared" ref="J38:J39" si="10">D38</f>
        <v>100</v>
      </c>
      <c r="K38" s="144"/>
    </row>
    <row r="39" spans="1:11" ht="21" customHeight="1">
      <c r="A39" s="145">
        <v>40005036</v>
      </c>
      <c r="B39" s="146">
        <v>0</v>
      </c>
      <c r="C39" s="146">
        <v>1</v>
      </c>
      <c r="D39" s="146">
        <v>100</v>
      </c>
      <c r="E39" s="146" t="s">
        <v>169</v>
      </c>
      <c r="F39" s="146" t="s">
        <v>181</v>
      </c>
      <c r="G39" s="146" t="s">
        <v>342</v>
      </c>
      <c r="H39" s="146">
        <v>1</v>
      </c>
      <c r="I39" s="146" t="s">
        <v>169</v>
      </c>
      <c r="J39" s="190">
        <f t="shared" si="10"/>
        <v>100</v>
      </c>
      <c r="K39" s="144"/>
    </row>
  </sheetData>
  <autoFilter ref="A1:G1"/>
  <phoneticPr fontId="5"/>
  <conditionalFormatting sqref="K40:K1048576 K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topLeftCell="E1" workbookViewId="0">
      <selection activeCell="O10" sqref="O10"/>
    </sheetView>
  </sheetViews>
  <sheetFormatPr baseColWidth="12" defaultRowHeight="18" x14ac:dyDescent="0"/>
  <cols>
    <col min="17" max="18" width="19" bestFit="1" customWidth="1"/>
  </cols>
  <sheetData>
    <row r="1" spans="1:18">
      <c r="A1" s="53" t="s">
        <v>150</v>
      </c>
      <c r="B1" s="53" t="s">
        <v>151</v>
      </c>
      <c r="C1" s="54" t="s">
        <v>152</v>
      </c>
      <c r="D1" s="59" t="s">
        <v>153</v>
      </c>
      <c r="E1" s="55" t="s">
        <v>154</v>
      </c>
      <c r="F1" s="53" t="s">
        <v>155</v>
      </c>
      <c r="G1" s="53" t="s">
        <v>156</v>
      </c>
      <c r="H1" s="53" t="s">
        <v>157</v>
      </c>
      <c r="I1" s="53" t="s">
        <v>158</v>
      </c>
      <c r="J1" s="53" t="s">
        <v>159</v>
      </c>
      <c r="K1" s="53" t="s">
        <v>160</v>
      </c>
      <c r="L1" s="53" t="s">
        <v>161</v>
      </c>
      <c r="M1" s="53" t="s">
        <v>162</v>
      </c>
      <c r="N1" s="53" t="s">
        <v>163</v>
      </c>
      <c r="O1" s="53" t="s">
        <v>164</v>
      </c>
      <c r="P1" s="53" t="s">
        <v>165</v>
      </c>
      <c r="Q1" s="53" t="s">
        <v>166</v>
      </c>
      <c r="R1" s="53" t="s">
        <v>167</v>
      </c>
    </row>
    <row r="2" spans="1:18">
      <c r="A2" s="265">
        <v>40005</v>
      </c>
      <c r="B2" s="265">
        <v>1</v>
      </c>
      <c r="C2" s="265" t="str">
        <f t="shared" ref="C2:C11" si="0">A2&amp; "_"&amp;B2</f>
        <v>40005_1</v>
      </c>
      <c r="D2" s="265" t="str">
        <f>VLOOKUP(C2,[2]stages!$A:$AE,31,FALSE)</f>
        <v>everyone</v>
      </c>
      <c r="E2" s="265">
        <v>872</v>
      </c>
      <c r="F2" s="265" t="s">
        <v>168</v>
      </c>
      <c r="G2" s="265">
        <v>40000</v>
      </c>
      <c r="H2" s="265" t="s">
        <v>375</v>
      </c>
      <c r="I2" s="265">
        <v>1</v>
      </c>
      <c r="J2" s="265">
        <v>1</v>
      </c>
      <c r="K2" s="265">
        <v>0</v>
      </c>
      <c r="L2" s="265">
        <v>0</v>
      </c>
      <c r="M2" s="265">
        <v>0</v>
      </c>
      <c r="N2" s="265">
        <v>0</v>
      </c>
      <c r="O2" s="265">
        <v>1</v>
      </c>
      <c r="P2" s="265">
        <v>150</v>
      </c>
      <c r="Q2" s="265" t="s">
        <v>170</v>
      </c>
      <c r="R2" s="265" t="s">
        <v>171</v>
      </c>
    </row>
    <row r="3" spans="1:18">
      <c r="A3" s="265">
        <v>40005</v>
      </c>
      <c r="B3" s="265">
        <v>1</v>
      </c>
      <c r="C3" s="265" t="str">
        <f t="shared" si="0"/>
        <v>40005_1</v>
      </c>
      <c r="D3" s="265" t="str">
        <f>VLOOKUP(C3,[2]stages!$A:$AE,31,FALSE)</f>
        <v>everyone</v>
      </c>
      <c r="E3" s="265">
        <v>873</v>
      </c>
      <c r="F3" s="265" t="s">
        <v>376</v>
      </c>
      <c r="G3" s="265">
        <v>30</v>
      </c>
      <c r="H3" s="265" t="s">
        <v>377</v>
      </c>
      <c r="I3" s="265">
        <v>1</v>
      </c>
      <c r="J3" s="265">
        <v>1</v>
      </c>
      <c r="K3" s="265">
        <v>0</v>
      </c>
      <c r="L3" s="265">
        <v>0</v>
      </c>
      <c r="M3" s="265">
        <v>0</v>
      </c>
      <c r="N3" s="265">
        <v>0</v>
      </c>
      <c r="O3" s="265">
        <v>1</v>
      </c>
      <c r="P3" s="265">
        <v>150</v>
      </c>
      <c r="Q3" s="265" t="s">
        <v>170</v>
      </c>
      <c r="R3" s="265" t="s">
        <v>171</v>
      </c>
    </row>
    <row r="4" spans="1:18">
      <c r="A4" s="265">
        <v>40005</v>
      </c>
      <c r="B4" s="265">
        <v>1</v>
      </c>
      <c r="C4" s="265" t="str">
        <f t="shared" si="0"/>
        <v>40005_1</v>
      </c>
      <c r="D4" s="265" t="str">
        <f>VLOOKUP(C4,[2]stages!$A:$AE,31,FALSE)</f>
        <v>everyone</v>
      </c>
      <c r="E4" s="265">
        <v>874</v>
      </c>
      <c r="F4" s="265" t="s">
        <v>378</v>
      </c>
      <c r="G4" s="265">
        <v>337</v>
      </c>
      <c r="H4" s="265">
        <v>1</v>
      </c>
      <c r="I4" s="265">
        <v>1</v>
      </c>
      <c r="J4" s="265">
        <v>1</v>
      </c>
      <c r="K4" s="265">
        <v>0</v>
      </c>
      <c r="L4" s="265">
        <v>0</v>
      </c>
      <c r="M4" s="265">
        <v>0</v>
      </c>
      <c r="N4" s="265">
        <v>0</v>
      </c>
      <c r="O4" s="265">
        <v>1</v>
      </c>
      <c r="P4" s="265">
        <v>28</v>
      </c>
      <c r="Q4" s="265" t="s">
        <v>170</v>
      </c>
      <c r="R4" s="265" t="s">
        <v>171</v>
      </c>
    </row>
    <row r="5" spans="1:18">
      <c r="A5" s="265">
        <v>40005</v>
      </c>
      <c r="B5" s="265">
        <v>1</v>
      </c>
      <c r="C5" s="265" t="str">
        <f t="shared" si="0"/>
        <v>40005_1</v>
      </c>
      <c r="D5" s="265" t="str">
        <f>VLOOKUP(C5,[2]stages!$A:$AE,31,FALSE)</f>
        <v>everyone</v>
      </c>
      <c r="E5" s="265">
        <v>875</v>
      </c>
      <c r="F5" s="265" t="s">
        <v>379</v>
      </c>
      <c r="G5" s="265">
        <v>338</v>
      </c>
      <c r="H5" s="265">
        <v>1</v>
      </c>
      <c r="I5" s="265">
        <v>1</v>
      </c>
      <c r="J5" s="265">
        <v>1</v>
      </c>
      <c r="K5" s="265">
        <v>0</v>
      </c>
      <c r="L5" s="265">
        <v>0</v>
      </c>
      <c r="M5" s="265">
        <v>0</v>
      </c>
      <c r="N5" s="265">
        <v>0</v>
      </c>
      <c r="O5" s="265">
        <v>1</v>
      </c>
      <c r="P5" s="265">
        <v>112</v>
      </c>
      <c r="Q5" s="265" t="s">
        <v>170</v>
      </c>
      <c r="R5" s="265" t="s">
        <v>171</v>
      </c>
    </row>
    <row r="6" spans="1:18">
      <c r="A6" s="265">
        <v>40005</v>
      </c>
      <c r="B6" s="265">
        <v>1</v>
      </c>
      <c r="C6" s="265" t="str">
        <f t="shared" si="0"/>
        <v>40005_1</v>
      </c>
      <c r="D6" s="265" t="str">
        <f>VLOOKUP(C6,[2]stages!$A:$AE,31,FALSE)</f>
        <v>everyone</v>
      </c>
      <c r="E6" s="265">
        <v>876</v>
      </c>
      <c r="F6" s="265" t="s">
        <v>379</v>
      </c>
      <c r="G6" s="265">
        <v>121</v>
      </c>
      <c r="H6" s="265">
        <v>1</v>
      </c>
      <c r="I6" s="265">
        <v>1</v>
      </c>
      <c r="J6" s="265">
        <v>1</v>
      </c>
      <c r="K6" s="265">
        <v>0</v>
      </c>
      <c r="L6" s="265">
        <v>0</v>
      </c>
      <c r="M6" s="265">
        <v>0</v>
      </c>
      <c r="N6" s="265">
        <v>0</v>
      </c>
      <c r="O6" s="265">
        <v>1</v>
      </c>
      <c r="P6" s="265">
        <v>50</v>
      </c>
      <c r="Q6" s="265" t="s">
        <v>170</v>
      </c>
      <c r="R6" s="265" t="s">
        <v>171</v>
      </c>
    </row>
    <row r="7" spans="1:18">
      <c r="A7" s="265">
        <v>40005</v>
      </c>
      <c r="B7" s="265">
        <v>1</v>
      </c>
      <c r="C7" s="265" t="str">
        <f t="shared" si="0"/>
        <v>40005_1</v>
      </c>
      <c r="D7" s="265" t="str">
        <f>VLOOKUP(C7,[2]stages!$A:$AE,31,FALSE)</f>
        <v>everyone</v>
      </c>
      <c r="E7" s="265">
        <v>877</v>
      </c>
      <c r="F7" s="265" t="s">
        <v>378</v>
      </c>
      <c r="G7" s="265">
        <v>122</v>
      </c>
      <c r="H7" s="265">
        <v>1</v>
      </c>
      <c r="I7" s="265">
        <v>1</v>
      </c>
      <c r="J7" s="265">
        <v>1</v>
      </c>
      <c r="K7" s="265">
        <v>0</v>
      </c>
      <c r="L7" s="265">
        <v>0</v>
      </c>
      <c r="M7" s="265">
        <v>0</v>
      </c>
      <c r="N7" s="265">
        <v>0</v>
      </c>
      <c r="O7" s="265">
        <v>1</v>
      </c>
      <c r="P7" s="265">
        <v>50</v>
      </c>
      <c r="Q7" s="265" t="s">
        <v>170</v>
      </c>
      <c r="R7" s="265" t="s">
        <v>171</v>
      </c>
    </row>
    <row r="8" spans="1:18">
      <c r="A8" s="265">
        <v>40005</v>
      </c>
      <c r="B8" s="265">
        <v>1</v>
      </c>
      <c r="C8" s="265" t="str">
        <f t="shared" si="0"/>
        <v>40005_1</v>
      </c>
      <c r="D8" s="265" t="str">
        <f>VLOOKUP(C8,[2]stages!$A:$AE,31,FALSE)</f>
        <v>everyone</v>
      </c>
      <c r="E8" s="265">
        <v>878</v>
      </c>
      <c r="F8" s="265" t="s">
        <v>378</v>
      </c>
      <c r="G8" s="265">
        <v>123</v>
      </c>
      <c r="H8" s="265">
        <v>1</v>
      </c>
      <c r="I8" s="265">
        <v>1</v>
      </c>
      <c r="J8" s="265">
        <v>1</v>
      </c>
      <c r="K8" s="265">
        <v>0</v>
      </c>
      <c r="L8" s="265">
        <v>0</v>
      </c>
      <c r="M8" s="265">
        <v>0</v>
      </c>
      <c r="N8" s="265">
        <v>0</v>
      </c>
      <c r="O8" s="265">
        <v>1</v>
      </c>
      <c r="P8" s="265">
        <v>50</v>
      </c>
      <c r="Q8" s="265" t="s">
        <v>170</v>
      </c>
      <c r="R8" s="265" t="s">
        <v>171</v>
      </c>
    </row>
    <row r="9" spans="1:18">
      <c r="A9" s="265">
        <v>40005</v>
      </c>
      <c r="B9" s="265">
        <v>1</v>
      </c>
      <c r="C9" s="265" t="str">
        <f t="shared" si="0"/>
        <v>40005_1</v>
      </c>
      <c r="D9" s="265" t="str">
        <f>VLOOKUP(C9,[2]stages!$A:$AE,31,FALSE)</f>
        <v>everyone</v>
      </c>
      <c r="E9" s="265">
        <v>879</v>
      </c>
      <c r="F9" s="265" t="s">
        <v>378</v>
      </c>
      <c r="G9" s="265">
        <v>125</v>
      </c>
      <c r="H9" s="265">
        <v>1</v>
      </c>
      <c r="I9" s="265">
        <v>1</v>
      </c>
      <c r="J9" s="265">
        <v>1</v>
      </c>
      <c r="K9" s="265">
        <v>0</v>
      </c>
      <c r="L9" s="265">
        <v>0</v>
      </c>
      <c r="M9" s="265">
        <v>0</v>
      </c>
      <c r="N9" s="265">
        <v>0</v>
      </c>
      <c r="O9" s="265">
        <v>1</v>
      </c>
      <c r="P9" s="265">
        <v>10</v>
      </c>
      <c r="Q9" s="265" t="s">
        <v>170</v>
      </c>
      <c r="R9" s="265" t="s">
        <v>171</v>
      </c>
    </row>
    <row r="10" spans="1:18">
      <c r="A10" s="265">
        <v>40005</v>
      </c>
      <c r="B10" s="265">
        <v>1</v>
      </c>
      <c r="C10" s="265" t="str">
        <f t="shared" si="0"/>
        <v>40005_1</v>
      </c>
      <c r="D10" s="265" t="str">
        <f>VLOOKUP(C10,[2]stages!$A:$AE,31,FALSE)</f>
        <v>everyone</v>
      </c>
      <c r="E10" s="265">
        <v>880</v>
      </c>
      <c r="F10" s="265" t="s">
        <v>379</v>
      </c>
      <c r="G10" s="265">
        <v>460</v>
      </c>
      <c r="H10" s="265">
        <v>1</v>
      </c>
      <c r="I10" s="265">
        <v>1</v>
      </c>
      <c r="J10" s="265">
        <v>1</v>
      </c>
      <c r="K10" s="265">
        <v>0</v>
      </c>
      <c r="L10" s="265">
        <v>0</v>
      </c>
      <c r="M10" s="265">
        <v>0</v>
      </c>
      <c r="N10" s="265">
        <v>0</v>
      </c>
      <c r="O10" s="265">
        <v>1</v>
      </c>
      <c r="P10" s="265">
        <v>250</v>
      </c>
      <c r="Q10" s="265" t="s">
        <v>170</v>
      </c>
      <c r="R10" s="265" t="s">
        <v>171</v>
      </c>
    </row>
    <row r="11" spans="1:18">
      <c r="A11" s="265">
        <v>40005</v>
      </c>
      <c r="B11" s="265">
        <v>1</v>
      </c>
      <c r="C11" s="265" t="str">
        <f t="shared" si="0"/>
        <v>40005_1</v>
      </c>
      <c r="D11" s="265" t="str">
        <f>VLOOKUP(C11,[2]stages!$A:$AE,31,FALSE)</f>
        <v>everyone</v>
      </c>
      <c r="E11" s="265">
        <v>881</v>
      </c>
      <c r="F11" s="265" t="s">
        <v>379</v>
      </c>
      <c r="G11" s="265">
        <v>350</v>
      </c>
      <c r="H11" s="265">
        <v>1</v>
      </c>
      <c r="I11" s="265">
        <v>1</v>
      </c>
      <c r="J11" s="265">
        <v>1</v>
      </c>
      <c r="K11" s="265">
        <v>0</v>
      </c>
      <c r="L11" s="265">
        <v>0</v>
      </c>
      <c r="M11" s="265">
        <v>0</v>
      </c>
      <c r="N11" s="265">
        <v>0</v>
      </c>
      <c r="O11" s="265">
        <v>1</v>
      </c>
      <c r="P11" s="265">
        <v>150</v>
      </c>
      <c r="Q11" s="265" t="s">
        <v>170</v>
      </c>
      <c r="R11" s="265" t="s">
        <v>171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7"/>
  <sheetViews>
    <sheetView showGridLines="0" workbookViewId="0">
      <pane ySplit="1" topLeftCell="A2" activePane="bottomLeft" state="frozen"/>
      <selection pane="bottomLeft" activeCell="N7" sqref="N7"/>
    </sheetView>
  </sheetViews>
  <sheetFormatPr baseColWidth="12" defaultColWidth="13" defaultRowHeight="18" outlineLevelCol="1" x14ac:dyDescent="0"/>
  <cols>
    <col min="1" max="1" width="13" style="274"/>
    <col min="2" max="2" width="13" style="261"/>
    <col min="3" max="3" width="13" style="274" collapsed="1"/>
    <col min="4" max="4" width="17" style="274" hidden="1" customWidth="1" outlineLevel="1"/>
    <col min="5" max="5" width="18.83203125" style="274" hidden="1" customWidth="1" outlineLevel="1"/>
    <col min="6" max="6" width="13" style="274" collapsed="1"/>
    <col min="7" max="7" width="22.5" style="274" hidden="1" customWidth="1" outlineLevel="1"/>
    <col min="8" max="8" width="22" style="274" hidden="1" customWidth="1" outlineLevel="1"/>
    <col min="9" max="9" width="22" style="274" customWidth="1"/>
    <col min="10" max="10" width="11.1640625" style="274" bestFit="1" customWidth="1"/>
    <col min="11" max="12" width="11.1640625" style="274" customWidth="1"/>
    <col min="13" max="13" width="14.33203125" style="283" customWidth="1"/>
    <col min="14" max="14" width="42.6640625" style="274" customWidth="1"/>
    <col min="15" max="16384" width="13" style="274"/>
  </cols>
  <sheetData>
    <row r="1" spans="1:15">
      <c r="A1" s="257" t="s">
        <v>302</v>
      </c>
      <c r="B1" s="258" t="s">
        <v>303</v>
      </c>
      <c r="C1" s="267" t="s">
        <v>304</v>
      </c>
      <c r="D1" s="268" t="s">
        <v>305</v>
      </c>
      <c r="E1" s="268" t="s">
        <v>33</v>
      </c>
      <c r="F1" s="267" t="s">
        <v>306</v>
      </c>
      <c r="G1" s="268" t="s">
        <v>307</v>
      </c>
      <c r="H1" s="268" t="s">
        <v>33</v>
      </c>
      <c r="I1" s="267" t="s">
        <v>308</v>
      </c>
      <c r="J1" s="269" t="s">
        <v>309</v>
      </c>
      <c r="K1" s="270" t="s">
        <v>310</v>
      </c>
      <c r="L1" s="271" t="s">
        <v>124</v>
      </c>
      <c r="M1" s="281" t="s">
        <v>311</v>
      </c>
      <c r="N1" s="272" t="s">
        <v>312</v>
      </c>
      <c r="O1" s="273" t="s">
        <v>313</v>
      </c>
    </row>
    <row r="2" spans="1:15" ht="57">
      <c r="A2" s="259" t="str">
        <f t="shared" ref="A2" si="0">C2&amp;"_"&amp;F2&amp;"_"&amp;J2</f>
        <v>40005_1_1</v>
      </c>
      <c r="B2" s="260" t="s">
        <v>314</v>
      </c>
      <c r="C2" s="275">
        <v>40005</v>
      </c>
      <c r="D2" s="276" t="str">
        <f ca="1">VLOOKUP($C2,OFFSET([2]quests!$A$1,0,0,COUNTA([2]quests!$A:$A),MATCH(D$1,[2]quests!$1:$1,0)-MATCH($C$1,[2]quests!$1:$1,0)+1),MATCH(D$1,[2]quests!$1:$1,0)-MATCH($C$1,[2]quests!$1:$1,0)+1,FALSE)</f>
        <v>オズ襲来！</v>
      </c>
      <c r="E2" s="276" t="str">
        <f ca="1">VLOOKUP($C2,OFFSET([2]quests!$A$1,0,0,COUNTA([2]quests!$A:$A),MATCH(E$1,[2]quests!$1:$1,0)-MATCH($C$1,[2]quests!$1:$1,0)+1),MATCH(E$1,[2]quests!$1:$1,0)-MATCH($C$1,[2]quests!$1:$1,0)+1,FALSE)</f>
        <v>降臨5</v>
      </c>
      <c r="F2" s="275">
        <v>1</v>
      </c>
      <c r="G2" s="276" t="str">
        <f ca="1">VLOOKUP($C2&amp;"_"&amp;$F2,OFFSET([2]stages!$A$1,0,0,COUNTA([2]stages!$A:$A),MATCH(G$1,[2]stages!$2:$2,0)-MATCH("temp_stage",[2]stages!$2:$2,0)+1),MATCH(G$1,[2]stages!$2:$2,0)-MATCH("temp_stage",[2]stages!$2:$2,0)+1,FALSE)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2" s="276" t="str">
        <f ca="1">VLOOKUP($C2&amp;"_"&amp;$F2,OFFSET([2]stages!$A$1,0,0,COUNTA([2]stages!$A:$A),MATCH(H$1,[2]stages!$2:$2,0)-MATCH("temp_stage",[2]stages!$2:$2,0)+1),MATCH(H$1,[2]stages!$2:$2,0)-MATCH("temp_stage",[2]stages!$2:$2,0)+1,FALSE)</f>
        <v>降臨5</v>
      </c>
      <c r="I2" s="277">
        <v>1</v>
      </c>
      <c r="J2" s="278">
        <f>ROW()-1</f>
        <v>1</v>
      </c>
      <c r="K2" s="279" t="str">
        <f t="shared" ref="K2:K7" si="1">C2&amp;TEXT(J2,"00")</f>
        <v>4000501</v>
      </c>
      <c r="L2" s="275" t="s">
        <v>315</v>
      </c>
      <c r="M2" s="282" t="s">
        <v>316</v>
      </c>
      <c r="N2" s="280" t="s">
        <v>390</v>
      </c>
      <c r="O2" s="266" t="s">
        <v>317</v>
      </c>
    </row>
    <row r="3" spans="1:15" ht="31">
      <c r="A3" s="259" t="str">
        <f t="shared" ref="A3:A5" si="2">C3&amp;"_"&amp;F3&amp;"_"&amp;J3</f>
        <v>40005_1_2</v>
      </c>
      <c r="B3" s="260" t="s">
        <v>314</v>
      </c>
      <c r="C3" s="275">
        <v>40005</v>
      </c>
      <c r="D3" s="276" t="str">
        <f ca="1">VLOOKUP($C3,OFFSET([2]quests!$A$1,0,0,COUNTA([2]quests!$A:$A),MATCH(D$1,[2]quests!$1:$1,0)-MATCH($C$1,[2]quests!$1:$1,0)+1),MATCH(D$1,[2]quests!$1:$1,0)-MATCH($C$1,[2]quests!$1:$1,0)+1,FALSE)</f>
        <v>オズ襲来！</v>
      </c>
      <c r="E3" s="276" t="str">
        <f ca="1">VLOOKUP($C3,OFFSET([2]quests!$A$1,0,0,COUNTA([2]quests!$A:$A),MATCH(E$1,[2]quests!$1:$1,0)-MATCH($C$1,[2]quests!$1:$1,0)+1),MATCH(E$1,[2]quests!$1:$1,0)-MATCH($C$1,[2]quests!$1:$1,0)+1,FALSE)</f>
        <v>降臨5</v>
      </c>
      <c r="F3" s="275">
        <v>1</v>
      </c>
      <c r="G3" s="276" t="str">
        <f ca="1">VLOOKUP($C3&amp;"_"&amp;$F3,OFFSET([2]stages!$A$1,0,0,COUNTA([2]stages!$A:$A),MATCH(G$1,[2]stages!$2:$2,0)-MATCH("temp_stage",[2]stages!$2:$2,0)+1),MATCH(G$1,[2]stages!$2:$2,0)-MATCH("temp_stage",[2]stages!$2:$2,0)+1,FALSE)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3" s="276" t="str">
        <f ca="1">VLOOKUP($C3&amp;"_"&amp;$F3,OFFSET([2]stages!$A$1,0,0,COUNTA([2]stages!$A:$A),MATCH(H$1,[2]stages!$2:$2,0)-MATCH("temp_stage",[2]stages!$2:$2,0)+1),MATCH(H$1,[2]stages!$2:$2,0)-MATCH("temp_stage",[2]stages!$2:$2,0)+1,FALSE)</f>
        <v>降臨5</v>
      </c>
      <c r="I3" s="277">
        <v>2</v>
      </c>
      <c r="J3" s="278">
        <f>ROW()-1</f>
        <v>2</v>
      </c>
      <c r="K3" s="279" t="str">
        <f t="shared" si="1"/>
        <v>4000502</v>
      </c>
      <c r="L3" s="275" t="s">
        <v>315</v>
      </c>
      <c r="M3" s="282" t="s">
        <v>316</v>
      </c>
      <c r="N3" s="286" t="s">
        <v>393</v>
      </c>
      <c r="O3" s="266" t="s">
        <v>317</v>
      </c>
    </row>
    <row r="4" spans="1:15" ht="57">
      <c r="A4" s="259" t="str">
        <f t="shared" si="2"/>
        <v>40005_1_3</v>
      </c>
      <c r="B4" s="260" t="s">
        <v>314</v>
      </c>
      <c r="C4" s="275">
        <v>40005</v>
      </c>
      <c r="D4" s="276" t="str">
        <f ca="1">VLOOKUP($C4,OFFSET([2]quests!$A$1,0,0,COUNTA([2]quests!$A:$A),MATCH(D$1,[2]quests!$1:$1,0)-MATCH($C$1,[2]quests!$1:$1,0)+1),MATCH(D$1,[2]quests!$1:$1,0)-MATCH($C$1,[2]quests!$1:$1,0)+1,FALSE)</f>
        <v>オズ襲来！</v>
      </c>
      <c r="E4" s="276" t="str">
        <f ca="1">VLOOKUP($C4,OFFSET([2]quests!$A$1,0,0,COUNTA([2]quests!$A:$A),MATCH(E$1,[2]quests!$1:$1,0)-MATCH($C$1,[2]quests!$1:$1,0)+1),MATCH(E$1,[2]quests!$1:$1,0)-MATCH($C$1,[2]quests!$1:$1,0)+1,FALSE)</f>
        <v>降臨5</v>
      </c>
      <c r="F4" s="275">
        <v>1</v>
      </c>
      <c r="G4" s="276" t="str">
        <f ca="1">VLOOKUP($C4&amp;"_"&amp;$F4,OFFSET([2]stages!$A$1,0,0,COUNTA([2]stages!$A:$A),MATCH(G$1,[2]stages!$2:$2,0)-MATCH("temp_stage",[2]stages!$2:$2,0)+1),MATCH(G$1,[2]stages!$2:$2,0)-MATCH("temp_stage",[2]stages!$2:$2,0)+1,FALSE)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4" s="276" t="str">
        <f ca="1">VLOOKUP($C4&amp;"_"&amp;$F4,OFFSET([2]stages!$A$1,0,0,COUNTA([2]stages!$A:$A),MATCH(H$1,[2]stages!$2:$2,0)-MATCH("temp_stage",[2]stages!$2:$2,0)+1),MATCH(H$1,[2]stages!$2:$2,0)-MATCH("temp_stage",[2]stages!$2:$2,0)+1,FALSE)</f>
        <v>降臨5</v>
      </c>
      <c r="I4" s="277">
        <v>3</v>
      </c>
      <c r="J4" s="278">
        <f>ROW()-1</f>
        <v>3</v>
      </c>
      <c r="K4" s="279" t="str">
        <f t="shared" si="1"/>
        <v>4000503</v>
      </c>
      <c r="L4" s="275" t="s">
        <v>315</v>
      </c>
      <c r="M4" s="282" t="s">
        <v>316</v>
      </c>
      <c r="N4" s="280" t="s">
        <v>390</v>
      </c>
      <c r="O4" s="266" t="s">
        <v>317</v>
      </c>
    </row>
    <row r="5" spans="1:15" ht="31">
      <c r="A5" s="259" t="str">
        <f t="shared" si="2"/>
        <v>40005_1_4</v>
      </c>
      <c r="B5" s="260" t="s">
        <v>314</v>
      </c>
      <c r="C5" s="275">
        <v>40005</v>
      </c>
      <c r="D5" s="276" t="str">
        <f ca="1">VLOOKUP($C5,OFFSET([2]quests!$A$1,0,0,COUNTA([2]quests!$A:$A),MATCH(D$1,[2]quests!$1:$1,0)-MATCH($C$1,[2]quests!$1:$1,0)+1),MATCH(D$1,[2]quests!$1:$1,0)-MATCH($C$1,[2]quests!$1:$1,0)+1,FALSE)</f>
        <v>オズ襲来！</v>
      </c>
      <c r="E5" s="276" t="str">
        <f ca="1">VLOOKUP($C5,OFFSET([2]quests!$A$1,0,0,COUNTA([2]quests!$A:$A),MATCH(E$1,[2]quests!$1:$1,0)-MATCH($C$1,[2]quests!$1:$1,0)+1),MATCH(E$1,[2]quests!$1:$1,0)-MATCH($C$1,[2]quests!$1:$1,0)+1,FALSE)</f>
        <v>降臨5</v>
      </c>
      <c r="F5" s="275">
        <v>1</v>
      </c>
      <c r="G5" s="276" t="str">
        <f ca="1">VLOOKUP($C5&amp;"_"&amp;$F5,OFFSET([2]stages!$A$1,0,0,COUNTA([2]stages!$A:$A),MATCH(G$1,[2]stages!$2:$2,0)-MATCH("temp_stage",[2]stages!$2:$2,0)+1),MATCH(G$1,[2]stages!$2:$2,0)-MATCH("temp_stage",[2]stages!$2:$2,0)+1,FALSE)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5" s="276" t="str">
        <f ca="1">VLOOKUP($C5&amp;"_"&amp;$F5,OFFSET([2]stages!$A$1,0,0,COUNTA([2]stages!$A:$A),MATCH(H$1,[2]stages!$2:$2,0)-MATCH("temp_stage",[2]stages!$2:$2,0)+1),MATCH(H$1,[2]stages!$2:$2,0)-MATCH("temp_stage",[2]stages!$2:$2,0)+1,FALSE)</f>
        <v>降臨5</v>
      </c>
      <c r="I5" s="277">
        <v>4</v>
      </c>
      <c r="J5" s="278">
        <f>ROW()-1</f>
        <v>4</v>
      </c>
      <c r="K5" s="279" t="str">
        <f t="shared" si="1"/>
        <v>4000504</v>
      </c>
      <c r="L5" s="275" t="s">
        <v>315</v>
      </c>
      <c r="M5" s="282" t="s">
        <v>316</v>
      </c>
      <c r="N5" s="280" t="s">
        <v>391</v>
      </c>
      <c r="O5" s="266" t="s">
        <v>317</v>
      </c>
    </row>
    <row r="6" spans="1:15" ht="57">
      <c r="A6" s="259" t="str">
        <f t="shared" ref="A6" si="3">C6&amp;"_"&amp;F6&amp;"_"&amp;J6</f>
        <v>40005_1_5</v>
      </c>
      <c r="B6" s="260" t="s">
        <v>314</v>
      </c>
      <c r="C6" s="275">
        <v>40005</v>
      </c>
      <c r="D6" s="276" t="str">
        <f ca="1">VLOOKUP($C6,OFFSET([2]quests!$A$1,0,0,COUNTA([2]quests!$A:$A),MATCH(D$1,[2]quests!$1:$1,0)-MATCH($C$1,[2]quests!$1:$1,0)+1),MATCH(D$1,[2]quests!$1:$1,0)-MATCH($C$1,[2]quests!$1:$1,0)+1,FALSE)</f>
        <v>オズ襲来！</v>
      </c>
      <c r="E6" s="276" t="str">
        <f ca="1">VLOOKUP($C6,OFFSET([2]quests!$A$1,0,0,COUNTA([2]quests!$A:$A),MATCH(E$1,[2]quests!$1:$1,0)-MATCH($C$1,[2]quests!$1:$1,0)+1),MATCH(E$1,[2]quests!$1:$1,0)-MATCH($C$1,[2]quests!$1:$1,0)+1,FALSE)</f>
        <v>降臨5</v>
      </c>
      <c r="F6" s="275">
        <v>1</v>
      </c>
      <c r="G6" s="276" t="str">
        <f ca="1">VLOOKUP($C6&amp;"_"&amp;$F6,OFFSET([2]stages!$A$1,0,0,COUNTA([2]stages!$A:$A),MATCH(G$1,[2]stages!$2:$2,0)-MATCH("temp_stage",[2]stages!$2:$2,0)+1),MATCH(G$1,[2]stages!$2:$2,0)-MATCH("temp_stage",[2]stages!$2:$2,0)+1,FALSE)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6" s="276" t="str">
        <f ca="1">VLOOKUP($C6&amp;"_"&amp;$F6,OFFSET([2]stages!$A$1,0,0,COUNTA([2]stages!$A:$A),MATCH(H$1,[2]stages!$2:$2,0)-MATCH("temp_stage",[2]stages!$2:$2,0)+1),MATCH(H$1,[2]stages!$2:$2,0)-MATCH("temp_stage",[2]stages!$2:$2,0)+1,FALSE)</f>
        <v>降臨5</v>
      </c>
      <c r="I6" s="277">
        <v>4</v>
      </c>
      <c r="J6" s="278">
        <f t="shared" ref="J6:J7" si="4">ROW()-1</f>
        <v>5</v>
      </c>
      <c r="K6" s="279" t="str">
        <f t="shared" si="1"/>
        <v>4000505</v>
      </c>
      <c r="L6" s="275" t="s">
        <v>315</v>
      </c>
      <c r="M6" s="282" t="s">
        <v>316</v>
      </c>
      <c r="N6" s="280" t="s">
        <v>392</v>
      </c>
      <c r="O6" s="266" t="s">
        <v>317</v>
      </c>
    </row>
    <row r="7" spans="1:15" ht="57">
      <c r="A7" s="259" t="str">
        <f t="shared" ref="A7" si="5">C7&amp;"_"&amp;F7&amp;"_"&amp;J7</f>
        <v>40005_1_6</v>
      </c>
      <c r="B7" s="260" t="s">
        <v>314</v>
      </c>
      <c r="C7" s="275">
        <v>40005</v>
      </c>
      <c r="D7" s="276" t="str">
        <f ca="1">VLOOKUP($C7,OFFSET([2]quests!$A$1,0,0,COUNTA([2]quests!$A:$A),MATCH(D$1,[2]quests!$1:$1,0)-MATCH($C$1,[2]quests!$1:$1,0)+1),MATCH(D$1,[2]quests!$1:$1,0)-MATCH($C$1,[2]quests!$1:$1,0)+1,FALSE)</f>
        <v>オズ襲来！</v>
      </c>
      <c r="E7" s="276" t="str">
        <f ca="1">VLOOKUP($C7,OFFSET([2]quests!$A$1,0,0,COUNTA([2]quests!$A:$A),MATCH(E$1,[2]quests!$1:$1,0)-MATCH($C$1,[2]quests!$1:$1,0)+1),MATCH(E$1,[2]quests!$1:$1,0)-MATCH($C$1,[2]quests!$1:$1,0)+1,FALSE)</f>
        <v>降臨5</v>
      </c>
      <c r="F7" s="275">
        <v>1</v>
      </c>
      <c r="G7" s="276" t="str">
        <f ca="1">VLOOKUP($C7&amp;"_"&amp;$F7,OFFSET([2]stages!$A$1,0,0,COUNTA([2]stages!$A:$A),MATCH(G$1,[2]stages!$2:$2,0)-MATCH("temp_stage",[2]stages!$2:$2,0)+1),MATCH(G$1,[2]stages!$2:$2,0)-MATCH("temp_stage",[2]stages!$2:$2,0)+1,FALSE)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7" s="276" t="str">
        <f ca="1">VLOOKUP($C7&amp;"_"&amp;$F7,OFFSET([2]stages!$A$1,0,0,COUNTA([2]stages!$A:$A),MATCH(H$1,[2]stages!$2:$2,0)-MATCH("temp_stage",[2]stages!$2:$2,0)+1),MATCH(H$1,[2]stages!$2:$2,0)-MATCH("temp_stage",[2]stages!$2:$2,0)+1,FALSE)</f>
        <v>降臨5</v>
      </c>
      <c r="I7" s="277">
        <v>4</v>
      </c>
      <c r="J7" s="278">
        <f t="shared" si="4"/>
        <v>6</v>
      </c>
      <c r="K7" s="279" t="str">
        <f t="shared" si="1"/>
        <v>4000506</v>
      </c>
      <c r="L7" s="275" t="s">
        <v>182</v>
      </c>
      <c r="M7" s="282" t="s">
        <v>316</v>
      </c>
      <c r="N7" s="286" t="s">
        <v>394</v>
      </c>
      <c r="O7" s="266" t="s">
        <v>317</v>
      </c>
    </row>
  </sheetData>
  <phoneticPr fontId="5"/>
  <dataValidations count="1">
    <dataValidation type="list" allowBlank="1" showInputMessage="1" showErrorMessage="1" sqref="B2:B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3"/>
  <sheetViews>
    <sheetView showGridLines="0" tabSelected="1" workbookViewId="0">
      <pane ySplit="1" topLeftCell="A2" activePane="bottomLeft" state="frozen"/>
      <selection pane="bottomLeft" activeCell="B17" sqref="B17"/>
    </sheetView>
  </sheetViews>
  <sheetFormatPr baseColWidth="12" defaultColWidth="13" defaultRowHeight="18" outlineLevelCol="1" x14ac:dyDescent="0"/>
  <cols>
    <col min="1" max="1" width="13" style="274"/>
    <col min="2" max="2" width="13" style="261"/>
    <col min="3" max="3" width="13" style="274" collapsed="1"/>
    <col min="4" max="4" width="17" style="274" hidden="1" customWidth="1" outlineLevel="1"/>
    <col min="5" max="5" width="18.83203125" style="274" hidden="1" customWidth="1" outlineLevel="1"/>
    <col min="6" max="6" width="13" style="274" collapsed="1"/>
    <col min="7" max="7" width="22.5" style="274" hidden="1" customWidth="1" outlineLevel="1"/>
    <col min="8" max="8" width="22" style="274" hidden="1" customWidth="1" outlineLevel="1"/>
    <col min="9" max="9" width="22" style="274" customWidth="1"/>
    <col min="10" max="10" width="11.1640625" style="274" bestFit="1" customWidth="1"/>
    <col min="11" max="12" width="11.1640625" style="274" customWidth="1"/>
    <col min="13" max="13" width="14.33203125" style="283" customWidth="1"/>
    <col min="14" max="14" width="42.6640625" style="274" customWidth="1"/>
    <col min="15" max="16384" width="13" style="274"/>
  </cols>
  <sheetData>
    <row r="1" spans="1:15">
      <c r="A1" s="257" t="s">
        <v>302</v>
      </c>
      <c r="B1" s="258" t="s">
        <v>303</v>
      </c>
      <c r="C1" s="267" t="s">
        <v>304</v>
      </c>
      <c r="D1" s="268" t="s">
        <v>305</v>
      </c>
      <c r="E1" s="268" t="s">
        <v>33</v>
      </c>
      <c r="F1" s="267" t="s">
        <v>306</v>
      </c>
      <c r="G1" s="268" t="s">
        <v>307</v>
      </c>
      <c r="H1" s="268" t="s">
        <v>33</v>
      </c>
      <c r="I1" s="267" t="s">
        <v>308</v>
      </c>
      <c r="J1" s="269" t="s">
        <v>309</v>
      </c>
      <c r="K1" s="270" t="s">
        <v>310</v>
      </c>
      <c r="L1" s="271" t="s">
        <v>124</v>
      </c>
      <c r="M1" s="281" t="s">
        <v>311</v>
      </c>
      <c r="N1" s="272" t="s">
        <v>300</v>
      </c>
      <c r="O1" s="273" t="s">
        <v>313</v>
      </c>
    </row>
    <row r="2" spans="1:15">
      <c r="A2" s="262" t="str">
        <f t="shared" ref="A2:A13" si="0">C2&amp;"_"&amp;F2&amp;"_"&amp;J2</f>
        <v>40005_1_1</v>
      </c>
      <c r="B2" s="260" t="s">
        <v>325</v>
      </c>
      <c r="C2" s="275">
        <v>40005</v>
      </c>
      <c r="D2" s="276" t="str">
        <f ca="1">VLOOKUP($C2,OFFSET([2]quests!$A$1,0,0,COUNTA([2]quests!$A:$A),MATCH(D$1,[2]quests!$1:$1,0)-MATCH($C$1,[2]quests!$1:$1,0)+1),MATCH(D$1,[2]quests!$1:$1,0)-MATCH($C$1,[2]quests!$1:$1,0)+1,FALSE)</f>
        <v>オズ襲来！</v>
      </c>
      <c r="E2" s="276" t="str">
        <f ca="1">VLOOKUP($C2,OFFSET([2]quests!$A$1,0,0,COUNTA([2]quests!$A:$A),MATCH(E$1,[2]quests!$1:$1,0)-MATCH($C$1,[2]quests!$1:$1,0)+1),MATCH(E$1,[2]quests!$1:$1,0)-MATCH($C$1,[2]quests!$1:$1,0)+1,FALSE)</f>
        <v>降臨5</v>
      </c>
      <c r="F2" s="275">
        <v>1</v>
      </c>
      <c r="G2" s="276" t="str">
        <f ca="1">VLOOKUP($C2&amp;"_"&amp;$F2,OFFSET([2]stages!$A$1,0,0,COUNTA([2]stages!$A:$A),MATCH(G$1,[2]stages!$2:$2,0)-MATCH("temp_stage",[2]stages!$2:$2,0)+1),MATCH(G$1,[2]stages!$2:$2,0)-MATCH("temp_stage",[2]stages!$2:$2,0)+1,FALSE)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2" s="276" t="str">
        <f ca="1">VLOOKUP($C2&amp;"_"&amp;$F2,OFFSET([2]stages!$A$1,0,0,COUNTA([2]stages!$A:$A),MATCH(H$1,[2]stages!$2:$2,0)-MATCH("temp_stage",[2]stages!$2:$2,0)+1),MATCH(H$1,[2]stages!$2:$2,0)-MATCH("temp_stage",[2]stages!$2:$2,0)+1,FALSE)</f>
        <v>降臨5</v>
      </c>
      <c r="I2" s="277">
        <v>0</v>
      </c>
      <c r="J2" s="278">
        <f t="shared" ref="J2:J13" si="1">ROW()-1</f>
        <v>1</v>
      </c>
      <c r="K2">
        <v>12</v>
      </c>
      <c r="L2" s="275" t="s">
        <v>182</v>
      </c>
      <c r="M2" s="284" t="str">
        <f>VLOOKUP(K2,[6]stage_hints!$A:$C,3,FALSE)</f>
        <v>ユニットのお気に入り登録</v>
      </c>
      <c r="N2" s="285" t="str">
        <f>VLOOKUP(K2,[6]stage_hints!$A:$D,4,FALSE)</f>
        <v>大事なユニットを誤って消さないように_x000D_フォルダから「お気に入り登録」しましょう</v>
      </c>
      <c r="O2" s="46" t="s">
        <v>383</v>
      </c>
    </row>
    <row r="3" spans="1:15">
      <c r="A3" s="262" t="str">
        <f t="shared" si="0"/>
        <v>40005_1_2</v>
      </c>
      <c r="B3" s="260" t="s">
        <v>325</v>
      </c>
      <c r="C3" s="275">
        <v>40005</v>
      </c>
      <c r="D3" s="276" t="str">
        <f ca="1">VLOOKUP($C3,OFFSET([2]quests!$A$1,0,0,COUNTA([2]quests!$A:$A),MATCH(D$1,[2]quests!$1:$1,0)-MATCH($C$1,[2]quests!$1:$1,0)+1),MATCH(D$1,[2]quests!$1:$1,0)-MATCH($C$1,[2]quests!$1:$1,0)+1,FALSE)</f>
        <v>オズ襲来！</v>
      </c>
      <c r="E3" s="276" t="str">
        <f ca="1">VLOOKUP($C3,OFFSET([2]quests!$A$1,0,0,COUNTA([2]quests!$A:$A),MATCH(E$1,[2]quests!$1:$1,0)-MATCH($C$1,[2]quests!$1:$1,0)+1),MATCH(E$1,[2]quests!$1:$1,0)-MATCH($C$1,[2]quests!$1:$1,0)+1,FALSE)</f>
        <v>降臨5</v>
      </c>
      <c r="F3" s="275">
        <v>1</v>
      </c>
      <c r="G3" s="276" t="str">
        <f ca="1">VLOOKUP($C3&amp;"_"&amp;$F3,OFFSET([2]stages!$A$1,0,0,COUNTA([2]stages!$A:$A),MATCH(G$1,[2]stages!$2:$2,0)-MATCH("temp_stage",[2]stages!$2:$2,0)+1),MATCH(G$1,[2]stages!$2:$2,0)-MATCH("temp_stage",[2]stages!$2:$2,0)+1,FALSE)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3" s="276" t="str">
        <f ca="1">VLOOKUP($C3&amp;"_"&amp;$F3,OFFSET([2]stages!$A$1,0,0,COUNTA([2]stages!$A:$A),MATCH(H$1,[2]stages!$2:$2,0)-MATCH("temp_stage",[2]stages!$2:$2,0)+1),MATCH(H$1,[2]stages!$2:$2,0)-MATCH("temp_stage",[2]stages!$2:$2,0)+1,FALSE)</f>
        <v>降臨5</v>
      </c>
      <c r="I3" s="277">
        <v>0</v>
      </c>
      <c r="J3" s="278">
        <f t="shared" si="1"/>
        <v>2</v>
      </c>
      <c r="K3">
        <v>17</v>
      </c>
      <c r="L3" s="275" t="s">
        <v>182</v>
      </c>
      <c r="M3" s="284" t="str">
        <f>VLOOKUP(K3,[6]stage_hints!$A:$C,3,FALSE)</f>
        <v>リンクガチャ</v>
      </c>
      <c r="N3" s="285" t="str">
        <f>VLOOKUP(K3,[6]stage_hints!$A:$D,4,FALSE)</f>
        <v>無料のリンクガチャを回して_x000D_経験値素材や売却素材を獲得しましょう</v>
      </c>
      <c r="O3" s="46" t="s">
        <v>383</v>
      </c>
    </row>
    <row r="4" spans="1:15">
      <c r="A4" s="262" t="str">
        <f t="shared" si="0"/>
        <v>40005_1_3</v>
      </c>
      <c r="B4" s="260" t="s">
        <v>325</v>
      </c>
      <c r="C4" s="275">
        <v>40005</v>
      </c>
      <c r="D4" s="276" t="str">
        <f ca="1">VLOOKUP($C4,OFFSET([2]quests!$A$1,0,0,COUNTA([2]quests!$A:$A),MATCH(D$1,[2]quests!$1:$1,0)-MATCH($C$1,[2]quests!$1:$1,0)+1),MATCH(D$1,[2]quests!$1:$1,0)-MATCH($C$1,[2]quests!$1:$1,0)+1,FALSE)</f>
        <v>オズ襲来！</v>
      </c>
      <c r="E4" s="276" t="str">
        <f ca="1">VLOOKUP($C4,OFFSET([2]quests!$A$1,0,0,COUNTA([2]quests!$A:$A),MATCH(E$1,[2]quests!$1:$1,0)-MATCH($C$1,[2]quests!$1:$1,0)+1),MATCH(E$1,[2]quests!$1:$1,0)-MATCH($C$1,[2]quests!$1:$1,0)+1,FALSE)</f>
        <v>降臨5</v>
      </c>
      <c r="F4" s="275">
        <v>1</v>
      </c>
      <c r="G4" s="276" t="str">
        <f ca="1">VLOOKUP($C4&amp;"_"&amp;$F4,OFFSET([2]stages!$A$1,0,0,COUNTA([2]stages!$A:$A),MATCH(G$1,[2]stages!$2:$2,0)-MATCH("temp_stage",[2]stages!$2:$2,0)+1),MATCH(G$1,[2]stages!$2:$2,0)-MATCH("temp_stage",[2]stages!$2:$2,0)+1,FALSE)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4" s="276" t="str">
        <f ca="1">VLOOKUP($C4&amp;"_"&amp;$F4,OFFSET([2]stages!$A$1,0,0,COUNTA([2]stages!$A:$A),MATCH(H$1,[2]stages!$2:$2,0)-MATCH("temp_stage",[2]stages!$2:$2,0)+1),MATCH(H$1,[2]stages!$2:$2,0)-MATCH("temp_stage",[2]stages!$2:$2,0)+1,FALSE)</f>
        <v>降臨5</v>
      </c>
      <c r="I4" s="277">
        <v>0</v>
      </c>
      <c r="J4" s="278">
        <f t="shared" si="1"/>
        <v>3</v>
      </c>
      <c r="K4">
        <v>19</v>
      </c>
      <c r="L4" s="275" t="s">
        <v>182</v>
      </c>
      <c r="M4" s="284" t="str">
        <f>VLOOKUP(K4,[6]stage_hints!$A:$C,3,FALSE)</f>
        <v>ソロ専用チャレンジタワー</v>
      </c>
      <c r="N4" s="285" t="str">
        <f>VLOOKUP(K4,[6]stage_hints!$A:$D,4,FALSE)</f>
        <v>ソロ専用の「チャレンジタワー」では_x000D_各フロアごとにクリア報酬がもらえます</v>
      </c>
      <c r="O4" s="46" t="s">
        <v>383</v>
      </c>
    </row>
    <row r="5" spans="1:15">
      <c r="A5" s="262" t="str">
        <f t="shared" si="0"/>
        <v>40005_1_4</v>
      </c>
      <c r="B5" s="260" t="s">
        <v>325</v>
      </c>
      <c r="C5" s="275">
        <v>40005</v>
      </c>
      <c r="D5" s="276" t="str">
        <f ca="1">VLOOKUP($C5,OFFSET([2]quests!$A$1,0,0,COUNTA([2]quests!$A:$A),MATCH(D$1,[2]quests!$1:$1,0)-MATCH($C$1,[2]quests!$1:$1,0)+1),MATCH(D$1,[2]quests!$1:$1,0)-MATCH($C$1,[2]quests!$1:$1,0)+1,FALSE)</f>
        <v>オズ襲来！</v>
      </c>
      <c r="E5" s="276" t="str">
        <f ca="1">VLOOKUP($C5,OFFSET([2]quests!$A$1,0,0,COUNTA([2]quests!$A:$A),MATCH(E$1,[2]quests!$1:$1,0)-MATCH($C$1,[2]quests!$1:$1,0)+1),MATCH(E$1,[2]quests!$1:$1,0)-MATCH($C$1,[2]quests!$1:$1,0)+1,FALSE)</f>
        <v>降臨5</v>
      </c>
      <c r="F5" s="275">
        <v>1</v>
      </c>
      <c r="G5" s="276" t="str">
        <f ca="1">VLOOKUP($C5&amp;"_"&amp;$F5,OFFSET([2]stages!$A$1,0,0,COUNTA([2]stages!$A:$A),MATCH(G$1,[2]stages!$2:$2,0)-MATCH("temp_stage",[2]stages!$2:$2,0)+1),MATCH(G$1,[2]stages!$2:$2,0)-MATCH("temp_stage",[2]stages!$2:$2,0)+1,FALSE)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5" s="276" t="str">
        <f ca="1">VLOOKUP($C5&amp;"_"&amp;$F5,OFFSET([2]stages!$A$1,0,0,COUNTA([2]stages!$A:$A),MATCH(H$1,[2]stages!$2:$2,0)-MATCH("temp_stage",[2]stages!$2:$2,0)+1),MATCH(H$1,[2]stages!$2:$2,0)-MATCH("temp_stage",[2]stages!$2:$2,0)+1,FALSE)</f>
        <v>降臨5</v>
      </c>
      <c r="I5" s="277">
        <v>0</v>
      </c>
      <c r="J5" s="278">
        <f t="shared" si="1"/>
        <v>4</v>
      </c>
      <c r="K5">
        <v>21</v>
      </c>
      <c r="L5" s="275" t="s">
        <v>184</v>
      </c>
      <c r="M5" s="284" t="str">
        <f>VLOOKUP(K5,[6]stage_hints!$A:$C,3,FALSE)</f>
        <v>スキルを有効に</v>
      </c>
      <c r="N5" s="285" t="str">
        <f>VLOOKUP(K5,[6]stage_hints!$A:$D,4,FALSE)</f>
        <v>ターン経過でユニットのスキルが使えます_x000D_強力スキルでバトルを有利に進めましょう</v>
      </c>
      <c r="O5" s="46" t="s">
        <v>383</v>
      </c>
    </row>
    <row r="6" spans="1:15">
      <c r="A6" s="262" t="str">
        <f t="shared" si="0"/>
        <v>40005_1_5</v>
      </c>
      <c r="B6" s="260" t="s">
        <v>325</v>
      </c>
      <c r="C6" s="275">
        <v>40005</v>
      </c>
      <c r="D6" s="276" t="str">
        <f ca="1">VLOOKUP($C6,OFFSET([2]quests!$A$1,0,0,COUNTA([2]quests!$A:$A),MATCH(D$1,[2]quests!$1:$1,0)-MATCH($C$1,[2]quests!$1:$1,0)+1),MATCH(D$1,[2]quests!$1:$1,0)-MATCH($C$1,[2]quests!$1:$1,0)+1,FALSE)</f>
        <v>オズ襲来！</v>
      </c>
      <c r="E6" s="276" t="str">
        <f ca="1">VLOOKUP($C6,OFFSET([2]quests!$A$1,0,0,COUNTA([2]quests!$A:$A),MATCH(E$1,[2]quests!$1:$1,0)-MATCH($C$1,[2]quests!$1:$1,0)+1),MATCH(E$1,[2]quests!$1:$1,0)-MATCH($C$1,[2]quests!$1:$1,0)+1,FALSE)</f>
        <v>降臨5</v>
      </c>
      <c r="F6" s="275">
        <v>1</v>
      </c>
      <c r="G6" s="276" t="str">
        <f ca="1">VLOOKUP($C6&amp;"_"&amp;$F6,OFFSET([2]stages!$A$1,0,0,COUNTA([2]stages!$A:$A),MATCH(G$1,[2]stages!$2:$2,0)-MATCH("temp_stage",[2]stages!$2:$2,0)+1),MATCH(G$1,[2]stages!$2:$2,0)-MATCH("temp_stage",[2]stages!$2:$2,0)+1,FALSE)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6" s="276" t="str">
        <f ca="1">VLOOKUP($C6&amp;"_"&amp;$F6,OFFSET([2]stages!$A$1,0,0,COUNTA([2]stages!$A:$A),MATCH(H$1,[2]stages!$2:$2,0)-MATCH("temp_stage",[2]stages!$2:$2,0)+1),MATCH(H$1,[2]stages!$2:$2,0)-MATCH("temp_stage",[2]stages!$2:$2,0)+1,FALSE)</f>
        <v>降臨5</v>
      </c>
      <c r="I6" s="277">
        <v>0</v>
      </c>
      <c r="J6" s="278">
        <f t="shared" si="1"/>
        <v>5</v>
      </c>
      <c r="K6">
        <v>29</v>
      </c>
      <c r="L6" s="275" t="s">
        <v>182</v>
      </c>
      <c r="M6" s="284" t="str">
        <f>VLOOKUP(K6,[6]stage_hints!$A:$C,3,FALSE)</f>
        <v>「バグ」のメリット</v>
      </c>
      <c r="N6" s="285" t="str">
        <f>VLOOKUP(K6,[6]stage_hints!$A:$D,4,FALSE)</f>
        <v>ユニットの「バグ」を増やすと_x000D_報酬をもらえる確率がアップします</v>
      </c>
      <c r="O6" s="46" t="s">
        <v>383</v>
      </c>
    </row>
    <row r="7" spans="1:15">
      <c r="A7" s="262" t="str">
        <f t="shared" si="0"/>
        <v>40005_1_6</v>
      </c>
      <c r="B7" s="260" t="s">
        <v>325</v>
      </c>
      <c r="C7" s="275">
        <v>40005</v>
      </c>
      <c r="D7" s="276" t="str">
        <f ca="1">VLOOKUP($C7,OFFSET([2]quests!$A$1,0,0,COUNTA([2]quests!$A:$A),MATCH(D$1,[2]quests!$1:$1,0)-MATCH($C$1,[2]quests!$1:$1,0)+1),MATCH(D$1,[2]quests!$1:$1,0)-MATCH($C$1,[2]quests!$1:$1,0)+1,FALSE)</f>
        <v>オズ襲来！</v>
      </c>
      <c r="E7" s="276" t="str">
        <f ca="1">VLOOKUP($C7,OFFSET([2]quests!$A$1,0,0,COUNTA([2]quests!$A:$A),MATCH(E$1,[2]quests!$1:$1,0)-MATCH($C$1,[2]quests!$1:$1,0)+1),MATCH(E$1,[2]quests!$1:$1,0)-MATCH($C$1,[2]quests!$1:$1,0)+1,FALSE)</f>
        <v>降臨5</v>
      </c>
      <c r="F7" s="275">
        <v>1</v>
      </c>
      <c r="G7" s="276" t="str">
        <f ca="1">VLOOKUP($C7&amp;"_"&amp;$F7,OFFSET([2]stages!$A$1,0,0,COUNTA([2]stages!$A:$A),MATCH(G$1,[2]stages!$2:$2,0)-MATCH("temp_stage",[2]stages!$2:$2,0)+1),MATCH(G$1,[2]stages!$2:$2,0)-MATCH("temp_stage",[2]stages!$2:$2,0)+1,FALSE)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7" s="276" t="str">
        <f ca="1">VLOOKUP($C7&amp;"_"&amp;$F7,OFFSET([2]stages!$A$1,0,0,COUNTA([2]stages!$A:$A),MATCH(H$1,[2]stages!$2:$2,0)-MATCH("temp_stage",[2]stages!$2:$2,0)+1),MATCH(H$1,[2]stages!$2:$2,0)-MATCH("temp_stage",[2]stages!$2:$2,0)+1,FALSE)</f>
        <v>降臨5</v>
      </c>
      <c r="I7" s="277">
        <v>0</v>
      </c>
      <c r="J7" s="278">
        <f t="shared" si="1"/>
        <v>6</v>
      </c>
      <c r="K7">
        <v>30</v>
      </c>
      <c r="L7" s="275" t="s">
        <v>182</v>
      </c>
      <c r="M7" s="284" t="str">
        <f>VLOOKUP(K7,[6]stage_hints!$A:$C,3,FALSE)</f>
        <v>「バグ」の増やし方</v>
      </c>
      <c r="N7" s="285" t="str">
        <f>VLOOKUP(K7,[6]stage_hints!$A:$D,4,FALSE)</f>
        <v>同じユニット同士を強化で合成すると_x000D_「バグ」を増やすことができます</v>
      </c>
      <c r="O7" s="46" t="s">
        <v>383</v>
      </c>
    </row>
    <row r="8" spans="1:15">
      <c r="A8" s="262" t="str">
        <f t="shared" si="0"/>
        <v>40005_1_7</v>
      </c>
      <c r="B8" s="260" t="s">
        <v>325</v>
      </c>
      <c r="C8" s="275">
        <v>40005</v>
      </c>
      <c r="D8" s="276" t="str">
        <f ca="1">VLOOKUP($C8,OFFSET([2]quests!$A$1,0,0,COUNTA([2]quests!$A:$A),MATCH(D$1,[2]quests!$1:$1,0)-MATCH($C$1,[2]quests!$1:$1,0)+1),MATCH(D$1,[2]quests!$1:$1,0)-MATCH($C$1,[2]quests!$1:$1,0)+1,FALSE)</f>
        <v>オズ襲来！</v>
      </c>
      <c r="E8" s="276" t="str">
        <f ca="1">VLOOKUP($C8,OFFSET([2]quests!$A$1,0,0,COUNTA([2]quests!$A:$A),MATCH(E$1,[2]quests!$1:$1,0)-MATCH($C$1,[2]quests!$1:$1,0)+1),MATCH(E$1,[2]quests!$1:$1,0)-MATCH($C$1,[2]quests!$1:$1,0)+1,FALSE)</f>
        <v>降臨5</v>
      </c>
      <c r="F8" s="275">
        <v>1</v>
      </c>
      <c r="G8" s="276" t="str">
        <f ca="1">VLOOKUP($C8&amp;"_"&amp;$F8,OFFSET([2]stages!$A$1,0,0,COUNTA([2]stages!$A:$A),MATCH(G$1,[2]stages!$2:$2,0)-MATCH("temp_stage",[2]stages!$2:$2,0)+1),MATCH(G$1,[2]stages!$2:$2,0)-MATCH("temp_stage",[2]stages!$2:$2,0)+1,FALSE)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8" s="276" t="str">
        <f ca="1">VLOOKUP($C8&amp;"_"&amp;$F8,OFFSET([2]stages!$A$1,0,0,COUNTA([2]stages!$A:$A),MATCH(H$1,[2]stages!$2:$2,0)-MATCH("temp_stage",[2]stages!$2:$2,0)+1),MATCH(H$1,[2]stages!$2:$2,0)-MATCH("temp_stage",[2]stages!$2:$2,0)+1,FALSE)</f>
        <v>降臨5</v>
      </c>
      <c r="I8" s="277">
        <v>0</v>
      </c>
      <c r="J8" s="278">
        <f t="shared" si="1"/>
        <v>7</v>
      </c>
      <c r="K8">
        <v>32</v>
      </c>
      <c r="L8" s="275" t="s">
        <v>182</v>
      </c>
      <c r="M8" s="284" t="str">
        <f>VLOOKUP(K8,[6]stage_hints!$A:$C,3,FALSE)</f>
        <v>敵の連続攻撃には</v>
      </c>
      <c r="N8" s="285" t="str">
        <f>VLOOKUP(K8,[6]stage_hints!$A:$D,4,FALSE)</f>
        <v>カウンタースキルを持つユニットがいれば_x000D_ダメージ回数分の反撃ができます</v>
      </c>
      <c r="O8" s="46" t="s">
        <v>383</v>
      </c>
    </row>
    <row r="9" spans="1:15">
      <c r="A9" s="262" t="str">
        <f t="shared" si="0"/>
        <v>40005_1_8</v>
      </c>
      <c r="B9" s="260" t="s">
        <v>325</v>
      </c>
      <c r="C9" s="275">
        <v>40005</v>
      </c>
      <c r="D9" s="276" t="str">
        <f ca="1">VLOOKUP($C9,OFFSET([2]quests!$A$1,0,0,COUNTA([2]quests!$A:$A),MATCH(D$1,[2]quests!$1:$1,0)-MATCH($C$1,[2]quests!$1:$1,0)+1),MATCH(D$1,[2]quests!$1:$1,0)-MATCH($C$1,[2]quests!$1:$1,0)+1,FALSE)</f>
        <v>オズ襲来！</v>
      </c>
      <c r="E9" s="276" t="str">
        <f ca="1">VLOOKUP($C9,OFFSET([2]quests!$A$1,0,0,COUNTA([2]quests!$A:$A),MATCH(E$1,[2]quests!$1:$1,0)-MATCH($C$1,[2]quests!$1:$1,0)+1),MATCH(E$1,[2]quests!$1:$1,0)-MATCH($C$1,[2]quests!$1:$1,0)+1,FALSE)</f>
        <v>降臨5</v>
      </c>
      <c r="F9" s="275">
        <v>1</v>
      </c>
      <c r="G9" s="276" t="str">
        <f ca="1">VLOOKUP($C9&amp;"_"&amp;$F9,OFFSET([2]stages!$A$1,0,0,COUNTA([2]stages!$A:$A),MATCH(G$1,[2]stages!$2:$2,0)-MATCH("temp_stage",[2]stages!$2:$2,0)+1),MATCH(G$1,[2]stages!$2:$2,0)-MATCH("temp_stage",[2]stages!$2:$2,0)+1,FALSE)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9" s="276" t="str">
        <f ca="1">VLOOKUP($C9&amp;"_"&amp;$F9,OFFSET([2]stages!$A$1,0,0,COUNTA([2]stages!$A:$A),MATCH(H$1,[2]stages!$2:$2,0)-MATCH("temp_stage",[2]stages!$2:$2,0)+1),MATCH(H$1,[2]stages!$2:$2,0)-MATCH("temp_stage",[2]stages!$2:$2,0)+1,FALSE)</f>
        <v>降臨5</v>
      </c>
      <c r="I9" s="277">
        <v>0</v>
      </c>
      <c r="J9" s="278">
        <f t="shared" si="1"/>
        <v>8</v>
      </c>
      <c r="K9">
        <v>33</v>
      </c>
      <c r="L9" s="275" t="s">
        <v>182</v>
      </c>
      <c r="M9" s="284" t="str">
        <f>VLOOKUP(K9,[6]stage_hints!$A:$C,3,FALSE)</f>
        <v>敵のカウンター攻撃には</v>
      </c>
      <c r="N9" s="285" t="str">
        <f>VLOOKUP(K9,[6]stage_hints!$A:$D,4,FALSE)</f>
        <v>カウンターブレイクスキルを持っていれば_x000D_敵のカウンターを解除して攻撃ができます</v>
      </c>
      <c r="O9" s="46" t="s">
        <v>383</v>
      </c>
    </row>
    <row r="10" spans="1:15">
      <c r="A10" s="262" t="str">
        <f t="shared" si="0"/>
        <v>40005_1_9</v>
      </c>
      <c r="B10" s="260" t="s">
        <v>325</v>
      </c>
      <c r="C10" s="275">
        <v>40005</v>
      </c>
      <c r="D10" s="276" t="str">
        <f ca="1">VLOOKUP($C10,OFFSET([2]quests!$A$1,0,0,COUNTA([2]quests!$A:$A),MATCH(D$1,[2]quests!$1:$1,0)-MATCH($C$1,[2]quests!$1:$1,0)+1),MATCH(D$1,[2]quests!$1:$1,0)-MATCH($C$1,[2]quests!$1:$1,0)+1,FALSE)</f>
        <v>オズ襲来！</v>
      </c>
      <c r="E10" s="276" t="str">
        <f ca="1">VLOOKUP($C10,OFFSET([2]quests!$A$1,0,0,COUNTA([2]quests!$A:$A),MATCH(E$1,[2]quests!$1:$1,0)-MATCH($C$1,[2]quests!$1:$1,0)+1),MATCH(E$1,[2]quests!$1:$1,0)-MATCH($C$1,[2]quests!$1:$1,0)+1,FALSE)</f>
        <v>降臨5</v>
      </c>
      <c r="F10" s="275">
        <v>1</v>
      </c>
      <c r="G10" s="276" t="str">
        <f ca="1">VLOOKUP($C10&amp;"_"&amp;$F10,OFFSET([2]stages!$A$1,0,0,COUNTA([2]stages!$A:$A),MATCH(G$1,[2]stages!$2:$2,0)-MATCH("temp_stage",[2]stages!$2:$2,0)+1),MATCH(G$1,[2]stages!$2:$2,0)-MATCH("temp_stage",[2]stages!$2:$2,0)+1,FALSE)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10" s="276" t="str">
        <f ca="1">VLOOKUP($C10&amp;"_"&amp;$F10,OFFSET([2]stages!$A$1,0,0,COUNTA([2]stages!$A:$A),MATCH(H$1,[2]stages!$2:$2,0)-MATCH("temp_stage",[2]stages!$2:$2,0)+1),MATCH(H$1,[2]stages!$2:$2,0)-MATCH("temp_stage",[2]stages!$2:$2,0)+1,FALSE)</f>
        <v>降臨5</v>
      </c>
      <c r="I10" s="277">
        <v>0</v>
      </c>
      <c r="J10" s="278">
        <f t="shared" si="1"/>
        <v>9</v>
      </c>
      <c r="K10">
        <v>34</v>
      </c>
      <c r="L10" s="275" t="s">
        <v>182</v>
      </c>
      <c r="M10" s="284" t="str">
        <f>VLOOKUP(K10,[6]stage_hints!$A:$C,3,FALSE)</f>
        <v>ステータスをスキルで下げられたら</v>
      </c>
      <c r="N10" s="285" t="str">
        <f>VLOOKUP(K10,[6]stage_hints!$A:$D,4,FALSE)</f>
        <v>ステータスダウンのスキルを受けたら_x000D_ステータスアップスキルで上書きしましょう</v>
      </c>
      <c r="O10" s="46" t="s">
        <v>383</v>
      </c>
    </row>
    <row r="11" spans="1:15">
      <c r="A11" s="262" t="str">
        <f t="shared" si="0"/>
        <v>40005_1_10</v>
      </c>
      <c r="B11" s="260" t="s">
        <v>325</v>
      </c>
      <c r="C11" s="275">
        <v>40005</v>
      </c>
      <c r="D11" s="276" t="str">
        <f ca="1">VLOOKUP($C11,OFFSET([2]quests!$A$1,0,0,COUNTA([2]quests!$A:$A),MATCH(D$1,[2]quests!$1:$1,0)-MATCH($C$1,[2]quests!$1:$1,0)+1),MATCH(D$1,[2]quests!$1:$1,0)-MATCH($C$1,[2]quests!$1:$1,0)+1,FALSE)</f>
        <v>オズ襲来！</v>
      </c>
      <c r="E11" s="276" t="str">
        <f ca="1">VLOOKUP($C11,OFFSET([2]quests!$A$1,0,0,COUNTA([2]quests!$A:$A),MATCH(E$1,[2]quests!$1:$1,0)-MATCH($C$1,[2]quests!$1:$1,0)+1),MATCH(E$1,[2]quests!$1:$1,0)-MATCH($C$1,[2]quests!$1:$1,0)+1,FALSE)</f>
        <v>降臨5</v>
      </c>
      <c r="F11" s="275">
        <v>1</v>
      </c>
      <c r="G11" s="276" t="str">
        <f ca="1">VLOOKUP($C11&amp;"_"&amp;$F11,OFFSET([2]stages!$A$1,0,0,COUNTA([2]stages!$A:$A),MATCH(G$1,[2]stages!$2:$2,0)-MATCH("temp_stage",[2]stages!$2:$2,0)+1),MATCH(G$1,[2]stages!$2:$2,0)-MATCH("temp_stage",[2]stages!$2:$2,0)+1,FALSE)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11" s="276" t="str">
        <f ca="1">VLOOKUP($C11&amp;"_"&amp;$F11,OFFSET([2]stages!$A$1,0,0,COUNTA([2]stages!$A:$A),MATCH(H$1,[2]stages!$2:$2,0)-MATCH("temp_stage",[2]stages!$2:$2,0)+1),MATCH(H$1,[2]stages!$2:$2,0)-MATCH("temp_stage",[2]stages!$2:$2,0)+1,FALSE)</f>
        <v>降臨5</v>
      </c>
      <c r="I11" s="277">
        <v>0</v>
      </c>
      <c r="J11" s="278">
        <f t="shared" si="1"/>
        <v>10</v>
      </c>
      <c r="K11">
        <v>35</v>
      </c>
      <c r="L11" s="275" t="s">
        <v>182</v>
      </c>
      <c r="M11" s="284" t="str">
        <f>VLOOKUP(K11,[6]stage_hints!$A:$C,3,FALSE)</f>
        <v>敵のステータスがスキルで上がったら</v>
      </c>
      <c r="N11" s="285" t="str">
        <f>VLOOKUP(K11,[6]stage_hints!$A:$D,4,FALSE)</f>
        <v>敵のステータスがスキルでアップしたときは_x000D_ステータスダウンスキルで上書きしましょう</v>
      </c>
      <c r="O11" s="46" t="s">
        <v>383</v>
      </c>
    </row>
    <row r="12" spans="1:15">
      <c r="A12" s="262" t="str">
        <f t="shared" si="0"/>
        <v>40005_1_11</v>
      </c>
      <c r="B12" s="260" t="s">
        <v>325</v>
      </c>
      <c r="C12" s="275">
        <v>40005</v>
      </c>
      <c r="D12" s="276" t="str">
        <f ca="1">VLOOKUP($C12,OFFSET([2]quests!$A$1,0,0,COUNTA([2]quests!$A:$A),MATCH(D$1,[2]quests!$1:$1,0)-MATCH($C$1,[2]quests!$1:$1,0)+1),MATCH(D$1,[2]quests!$1:$1,0)-MATCH($C$1,[2]quests!$1:$1,0)+1,FALSE)</f>
        <v>オズ襲来！</v>
      </c>
      <c r="E12" s="276" t="str">
        <f ca="1">VLOOKUP($C12,OFFSET([2]quests!$A$1,0,0,COUNTA([2]quests!$A:$A),MATCH(E$1,[2]quests!$1:$1,0)-MATCH($C$1,[2]quests!$1:$1,0)+1),MATCH(E$1,[2]quests!$1:$1,0)-MATCH($C$1,[2]quests!$1:$1,0)+1,FALSE)</f>
        <v>降臨5</v>
      </c>
      <c r="F12" s="275">
        <v>1</v>
      </c>
      <c r="G12" s="276" t="str">
        <f ca="1">VLOOKUP($C12&amp;"_"&amp;$F12,OFFSET([2]stages!$A$1,0,0,COUNTA([2]stages!$A:$A),MATCH(G$1,[2]stages!$2:$2,0)-MATCH("temp_stage",[2]stages!$2:$2,0)+1),MATCH(G$1,[2]stages!$2:$2,0)-MATCH("temp_stage",[2]stages!$2:$2,0)+1,FALSE)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12" s="276" t="str">
        <f ca="1">VLOOKUP($C12&amp;"_"&amp;$F12,OFFSET([2]stages!$A$1,0,0,COUNTA([2]stages!$A:$A),MATCH(H$1,[2]stages!$2:$2,0)-MATCH("temp_stage",[2]stages!$2:$2,0)+1),MATCH(H$1,[2]stages!$2:$2,0)-MATCH("temp_stage",[2]stages!$2:$2,0)+1,FALSE)</f>
        <v>降臨5</v>
      </c>
      <c r="I12" s="277">
        <v>0</v>
      </c>
      <c r="J12" s="278">
        <f t="shared" si="1"/>
        <v>11</v>
      </c>
      <c r="K12">
        <v>36</v>
      </c>
      <c r="L12" s="275" t="s">
        <v>182</v>
      </c>
      <c r="M12" s="284" t="str">
        <f>VLOOKUP(K12,[6]stage_hints!$A:$C,3,FALSE)</f>
        <v>チャレンジタワーのボス</v>
      </c>
      <c r="N12" s="285" t="str">
        <f>VLOOKUP(K12,[6]stage_hints!$A:$D,4,FALSE)</f>
        <v>チャレンジタワーでのみ登場するボスは_x000D_一定確率で獲得することができます</v>
      </c>
      <c r="O12" s="46" t="s">
        <v>383</v>
      </c>
    </row>
    <row r="13" spans="1:15">
      <c r="A13" s="262" t="str">
        <f t="shared" si="0"/>
        <v>40005_1_12</v>
      </c>
      <c r="B13" s="260" t="s">
        <v>325</v>
      </c>
      <c r="C13" s="275">
        <v>40005</v>
      </c>
      <c r="D13" s="276" t="str">
        <f ca="1">VLOOKUP($C13,OFFSET([2]quests!$A$1,0,0,COUNTA([2]quests!$A:$A),MATCH(D$1,[2]quests!$1:$1,0)-MATCH($C$1,[2]quests!$1:$1,0)+1),MATCH(D$1,[2]quests!$1:$1,0)-MATCH($C$1,[2]quests!$1:$1,0)+1,FALSE)</f>
        <v>オズ襲来！</v>
      </c>
      <c r="E13" s="276" t="str">
        <f ca="1">VLOOKUP($C13,OFFSET([2]quests!$A$1,0,0,COUNTA([2]quests!$A:$A),MATCH(E$1,[2]quests!$1:$1,0)-MATCH($C$1,[2]quests!$1:$1,0)+1),MATCH(E$1,[2]quests!$1:$1,0)-MATCH($C$1,[2]quests!$1:$1,0)+1,FALSE)</f>
        <v>降臨5</v>
      </c>
      <c r="F13" s="275">
        <v>1</v>
      </c>
      <c r="G13" s="276" t="str">
        <f ca="1">VLOOKUP($C13&amp;"_"&amp;$F13,OFFSET([2]stages!$A$1,0,0,COUNTA([2]stages!$A:$A),MATCH(G$1,[2]stages!$2:$2,0)-MATCH("temp_stage",[2]stages!$2:$2,0)+1),MATCH(G$1,[2]stages!$2:$2,0)-MATCH("temp_stage",[2]stages!$2:$2,0)+1,FALSE)</f>
        <v xml:space="preserve">【ウィザード級】オズ襲来 </v>
      </c>
      <c r="H13" s="276" t="str">
        <f ca="1">VLOOKUP($C13&amp;"_"&amp;$F13,OFFSET([2]stages!$A$1,0,0,COUNTA([2]stages!$A:$A),MATCH(H$1,[2]stages!$2:$2,0)-MATCH("temp_stage",[2]stages!$2:$2,0)+1),MATCH(H$1,[2]stages!$2:$2,0)-MATCH("temp_stage",[2]stages!$2:$2,0)+1,FALSE)</f>
        <v>降臨5</v>
      </c>
      <c r="I13" s="277">
        <v>0</v>
      </c>
      <c r="J13" s="278">
        <f t="shared" si="1"/>
        <v>12</v>
      </c>
      <c r="K13">
        <v>37</v>
      </c>
      <c r="L13" s="275" t="s">
        <v>182</v>
      </c>
      <c r="M13" s="284" t="str">
        <f>VLOOKUP(K13,[6]stage_hints!$A:$C,3,FALSE)</f>
        <v>限界突破値の引き継ぎ</v>
      </c>
      <c r="N13" s="285" t="str">
        <f>VLOOKUP(K13,[6]stage_hints!$A:$D,4,FALSE)</f>
        <v>同じユニットを強化で合成すると_x000D_限界突破値を引き継げます（覚醒前後も可）</v>
      </c>
      <c r="O13" s="46" t="s">
        <v>383</v>
      </c>
    </row>
  </sheetData>
  <phoneticPr fontId="5"/>
  <dataValidations count="1">
    <dataValidation type="list" allowBlank="1" showInputMessage="1" showErrorMessage="1" sqref="B2:B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stage_hints_failue</vt:lpstr>
      <vt:lpstr>stage_hints_complete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加藤 雅大</cp:lastModifiedBy>
  <dcterms:created xsi:type="dcterms:W3CDTF">2015-01-30T13:36:44Z</dcterms:created>
  <dcterms:modified xsi:type="dcterms:W3CDTF">2016-01-12T11:09:47Z</dcterms:modified>
</cp:coreProperties>
</file>