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8940" yWindow="1920" windowWidth="28120" windowHeight="192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0" l="1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O8" i="9"/>
  <c r="N8" i="9"/>
  <c r="M8" i="9"/>
  <c r="L8" i="9"/>
  <c r="K8" i="9"/>
  <c r="J8" i="9"/>
  <c r="I8" i="9"/>
  <c r="H8" i="9"/>
  <c r="G8" i="9"/>
  <c r="E8" i="9"/>
  <c r="D8" i="9"/>
  <c r="A8" i="9"/>
  <c r="J8" i="11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O4" i="9"/>
  <c r="N4" i="9"/>
  <c r="M4" i="9"/>
  <c r="L4" i="9"/>
  <c r="K4" i="9"/>
  <c r="J4" i="9"/>
  <c r="I4" i="9"/>
  <c r="H4" i="9"/>
  <c r="G4" i="9"/>
  <c r="E4" i="9"/>
  <c r="D4" i="9"/>
  <c r="A4" i="9"/>
  <c r="B2" i="10"/>
  <c r="N3" i="22"/>
  <c r="N2" i="22"/>
  <c r="C6" i="18"/>
  <c r="C5" i="18"/>
  <c r="C4" i="18"/>
  <c r="C3" i="18"/>
  <c r="C2" i="18"/>
  <c r="D6" i="18"/>
  <c r="D5" i="18"/>
  <c r="D4" i="18"/>
  <c r="D3" i="18"/>
  <c r="D2" i="18"/>
  <c r="T3" i="1"/>
  <c r="C3" i="21"/>
  <c r="D3" i="21"/>
  <c r="F3" i="21"/>
  <c r="G3" i="21"/>
  <c r="I3" i="21"/>
  <c r="O3" i="21"/>
  <c r="C4" i="21"/>
  <c r="D4" i="21"/>
  <c r="F4" i="21"/>
  <c r="G4" i="21"/>
  <c r="I4" i="21"/>
  <c r="O4" i="21"/>
  <c r="O2" i="21"/>
  <c r="G3" i="2"/>
  <c r="A3" i="2"/>
  <c r="H2" i="1"/>
  <c r="H3" i="1"/>
  <c r="H4" i="1"/>
  <c r="H5" i="1"/>
  <c r="H6" i="1"/>
  <c r="H7" i="1"/>
  <c r="B3" i="2"/>
  <c r="D3" i="2"/>
  <c r="E3" i="2"/>
  <c r="H3" i="2"/>
  <c r="G4" i="2"/>
  <c r="A4" i="2"/>
  <c r="B4" i="2"/>
  <c r="D4" i="2"/>
  <c r="E4" i="2"/>
  <c r="H4" i="2"/>
  <c r="A3" i="9"/>
  <c r="D3" i="9"/>
  <c r="E3" i="9"/>
  <c r="G3" i="9"/>
  <c r="H3" i="9"/>
  <c r="I3" i="9"/>
  <c r="J3" i="9"/>
  <c r="K3" i="9"/>
  <c r="L3" i="9"/>
  <c r="M3" i="9"/>
  <c r="N3" i="9"/>
  <c r="J2" i="11"/>
  <c r="J3" i="11"/>
  <c r="O3" i="9"/>
  <c r="A5" i="9"/>
  <c r="D5" i="9"/>
  <c r="E5" i="9"/>
  <c r="G5" i="9"/>
  <c r="H5" i="9"/>
  <c r="I5" i="9"/>
  <c r="J5" i="9"/>
  <c r="K5" i="9"/>
  <c r="L5" i="9"/>
  <c r="M5" i="9"/>
  <c r="N5" i="9"/>
  <c r="J4" i="11"/>
  <c r="O5" i="9"/>
  <c r="A6" i="9"/>
  <c r="D6" i="9"/>
  <c r="E6" i="9"/>
  <c r="G6" i="9"/>
  <c r="H6" i="9"/>
  <c r="I6" i="9"/>
  <c r="J6" i="9"/>
  <c r="K6" i="9"/>
  <c r="L6" i="9"/>
  <c r="M6" i="9"/>
  <c r="N6" i="9"/>
  <c r="J5" i="11"/>
  <c r="O6" i="9"/>
  <c r="A7" i="9"/>
  <c r="D7" i="9"/>
  <c r="E7" i="9"/>
  <c r="G7" i="9"/>
  <c r="H7" i="9"/>
  <c r="I7" i="9"/>
  <c r="J7" i="9"/>
  <c r="K7" i="9"/>
  <c r="L7" i="9"/>
  <c r="M7" i="9"/>
  <c r="N7" i="9"/>
  <c r="J6" i="11"/>
  <c r="O7" i="9"/>
  <c r="A9" i="9"/>
  <c r="D9" i="9"/>
  <c r="E9" i="9"/>
  <c r="G9" i="9"/>
  <c r="H9" i="9"/>
  <c r="I9" i="9"/>
  <c r="J9" i="9"/>
  <c r="K9" i="9"/>
  <c r="L9" i="9"/>
  <c r="M9" i="9"/>
  <c r="N9" i="9"/>
  <c r="J7" i="11"/>
  <c r="O9" i="9"/>
  <c r="B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B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A3" i="1"/>
  <c r="D3" i="1"/>
  <c r="E3" i="1"/>
  <c r="F3" i="1"/>
  <c r="G2" i="2"/>
  <c r="A2" i="2"/>
  <c r="I3" i="1"/>
  <c r="J3" i="1"/>
  <c r="M3" i="1"/>
  <c r="N3" i="1"/>
  <c r="O3" i="1"/>
  <c r="P3" i="1"/>
  <c r="Q3" i="1"/>
  <c r="V3" i="1"/>
  <c r="E2" i="9"/>
  <c r="X3" i="1"/>
  <c r="AD3" i="1"/>
  <c r="AE3" i="1"/>
  <c r="AF3" i="1"/>
  <c r="AG3" i="1"/>
  <c r="AI3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B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B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B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X2" i="1"/>
  <c r="V2" i="1"/>
  <c r="T2" i="1"/>
  <c r="G3" i="22"/>
  <c r="F3" i="22"/>
  <c r="D3" i="22"/>
  <c r="C3" i="22"/>
  <c r="A3" i="22"/>
  <c r="E13" i="16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<sst xmlns="http://schemas.openxmlformats.org/spreadsheetml/2006/main" count="502" uniqueCount="298">
  <si>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</si>
  <si>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</si>
  <si>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</si>
  <si>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</si>
  <si>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</si>
  <si>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</si>
  <si>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</si>
  <si>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</si>
  <si>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</si>
  <si>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</si>
  <si>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</si>
  <si>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</si>
  <si>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</si>
  <si>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</si>
  <si>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</si>
  <si>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</si>
  <si>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</si>
  <si>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</si>
  <si>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</si>
  <si>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</si>
  <si>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</si>
  <si>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</si>
  <si>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</si>
  <si>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</si>
  <si>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</si>
  <si>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</si>
  <si>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</si>
  <si>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</si>
  <si>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</si>
  <si>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</si>
  <si>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</si>
  <si>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</si>
  <si>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</si>
  <si>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</si>
  <si>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</si>
  <si>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</si>
  <si>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</si>
  <si>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</si>
  <si>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</si>
  <si>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</si>
  <si>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</si>
  <si>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</si>
  <si>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</si>
  <si>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</si>
  <si>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</si>
  <si>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</si>
  <si>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</si>
  <si>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</si>
  <si>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</si>
  <si>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</si>
  <si>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</si>
  <si>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</si>
  <si>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</si>
  <si>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</si>
  <si>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</si>
  <si>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</si>
  <si>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</si>
  <si>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</si>
  <si>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</si>
  <si>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</si>
  <si>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</si>
  <si>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</si>
  <si>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</si>
  <si>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</si>
  <si>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</si>
  <si>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</si>
  <si>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</si>
  <si>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</si>
  <si>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</si>
  <si>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</si>
  <si>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</si>
  <si>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</si>
  <si>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</si>
  <si>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</si>
  <si>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</si>
  <si>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</si>
  <si>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</si>
  <si>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</si>
  <si>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</si>
  <si>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</si>
  <si>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</si>
  <si>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</si>
  <si>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</si>
  <si>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</si>
  <si>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</si>
  <si>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</si>
  <si>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</si>
  <si>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</si>
  <si>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</si>
  <si>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</si>
  <si>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</si>
  <si>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</si>
  <si>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</si>
  <si>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</si>
  <si>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</si>
  <si>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</si>
  <si>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</si>
  <si>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</si>
  <si>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</si>
  <si>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</si>
  <si>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</si>
  <si>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</si>
  <si>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</si>
  <si>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</si>
  <si>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</si>
  <si>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</si>
  <si>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</si>
  <si>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</si>
  <si>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</si>
  <si>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</si>
  <si>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</si>
  <si>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</si>
  <si>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</si>
  <si>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</si>
  <si>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</si>
  <si>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</si>
  <si>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</si>
  <si>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</si>
  <si>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</si>
  <si>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</si>
  <si>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</si>
  <si>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</si>
  <si>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</si>
  <si>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</si>
  <si>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</si>
  <si>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</si>
  <si>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</si>
  <si>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</si>
  <si>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</si>
  <si>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</si>
  <si>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</si>
  <si>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</si>
  <si>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</si>
  <si>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</si>
  <si>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</si>
  <si>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</si>
  <si>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</si>
  <si>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</si>
  <si>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</si>
  <si>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</si>
  <si>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</si>
  <si>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</si>
  <si>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</si>
  <si>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</si>
  <si>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</si>
  <si>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</si>
  <si>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</si>
  <si>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</si>
  <si>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</si>
  <si>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</si>
  <si>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</si>
  <si>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</si>
  <si>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</si>
  <si>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</si>
  <si>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</si>
  <si>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</si>
  <si>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</si>
  <si>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</si>
  <si>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</si>
  <si>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</si>
  <si>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</si>
  <si>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</si>
  <si>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</si>
  <si>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</si>
  <si>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</si>
  <si>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</si>
  <si>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</si>
  <si>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</si>
  <si>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</si>
  <si>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</si>
  <si>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</si>
  <si>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</si>
  <si>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</si>
  <si>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</si>
  <si>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</si>
  <si>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</si>
  <si>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</si>
  <si>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</si>
  <si>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</si>
  <si>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</si>
  <si>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</si>
  <si>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</si>
  <si>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</si>
  <si>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</si>
  <si>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</si>
  <si>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</si>
  <si>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</si>
  <si>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</si>
  <si>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</si>
  <si>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</si>
  <si>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</si>
  <si>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</si>
  <si>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</si>
  <si>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</si>
  <si>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</si>
  <si>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</si>
  <si>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</si>
  <si>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</si>
  <si>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</si>
  <si>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</si>
  <si>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</si>
  <si>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</si>
  <si>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</si>
  <si>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</si>
  <si>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</si>
  <si>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</si>
  <si>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</si>
  <si>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</si>
  <si>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</si>
  <si>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</si>
  <si>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</si>
  <si>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</si>
  <si>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</si>
  <si>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</si>
  <si>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</si>
  <si>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</si>
  <si>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</si>
  <si>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</si>
  <si>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</si>
  <si>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</si>
  <si>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</si>
  <si>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</si>
  <si>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</si>
  <si>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</si>
  <si>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</si>
  <si>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</si>
  <si>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</si>
  <si>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</si>
  <si>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</si>
  <si>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</si>
  <si>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</si>
  <si>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</si>
  <si>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</si>
  <si>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</si>
  <si>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</si>
  <si>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</si>
  <si>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</si>
  <si>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</si>
  <si>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</si>
  <si>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</si>
  <si>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</si>
  <si>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</si>
  <si>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</si>
  <si>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</si>
  <si>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</si>
  <si>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</si>
  <si>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</si>
  <si>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</si>
  <si>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</si>
  <si>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</si>
  <si>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</si>
  <si>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</si>
  <si>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</si>
  <si>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</t>
    <rPh sb="0" eb="3">
      <t>サンショウヨウ</t>
    </rPh>
    <phoneticPr fontId="5"/>
  </si>
  <si>
    <t>２ターン毎にクリティカル！</t>
    <phoneticPr fontId="5"/>
  </si>
  <si>
    <t>ユズル</t>
    <phoneticPr fontId="5"/>
  </si>
  <si>
    <t>サイクロプス</t>
    <phoneticPr fontId="5"/>
  </si>
  <si>
    <t>シルベール</t>
    <phoneticPr fontId="5"/>
  </si>
  <si>
    <t>ライオネル</t>
    <phoneticPr fontId="5"/>
  </si>
  <si>
    <t>赤兎馬</t>
    <rPh sb="0" eb="3">
      <t>セキトb</t>
    </rPh>
    <phoneticPr fontId="5"/>
  </si>
  <si>
    <t>ランドラグ</t>
    <phoneticPr fontId="5"/>
  </si>
  <si>
    <t>２ターン毎に２回連続攻撃</t>
    <rPh sb="8" eb="10">
      <t>レンゾk</t>
    </rPh>
    <phoneticPr fontId="5"/>
  </si>
  <si>
    <t>毎ターン５０％の確率でランダムで
お邪魔パネルに変換（３回まで）</t>
    <rPh sb="0" eb="1">
      <t>マイターn</t>
    </rPh>
    <rPh sb="8" eb="10">
      <t>カクリt</t>
    </rPh>
    <phoneticPr fontId="5"/>
  </si>
  <si>
    <t>開幕お邪魔パネルを全てハートパネルに変換</t>
    <phoneticPr fontId="5"/>
  </si>
  <si>
    <t>ランダムでお邪魔パネルに５個変換（３回まで）</t>
    <phoneticPr fontId="5"/>
  </si>
  <si>
    <t>お邪魔パネル吸収攻撃</t>
    <rPh sb="6" eb="10">
      <t>キュウシュ</t>
    </rPh>
    <phoneticPr fontId="5"/>
  </si>
  <si>
    <t>ライオネルは攻撃力が高いうえに
クリティカル攻撃を使用します
優先的に倒しましょう</t>
    <phoneticPr fontId="5"/>
  </si>
  <si>
    <t>サイクロプスはお邪魔パネル変換スキルを
使用してくるので早めに倒しましょう</t>
    <phoneticPr fontId="5"/>
  </si>
  <si>
    <t>ランドラグは
お邪魔パネル吸収攻撃を行います
スキルやフィーバーを上手く活用しましょう</t>
    <phoneticPr fontId="5"/>
  </si>
  <si>
    <t>[effect:rush, count:2, val:0.5]</t>
    <phoneticPr fontId="5"/>
  </si>
  <si>
    <t>[effect:critical, val:1.2]</t>
    <phoneticPr fontId="5"/>
  </si>
  <si>
    <t>2回連続攻撃</t>
    <rPh sb="2" eb="4">
      <t>レンゾk</t>
    </rPh>
    <phoneticPr fontId="5"/>
  </si>
  <si>
    <t>お邪魔パネルをハートパネルに変換</t>
    <phoneticPr fontId="5"/>
  </si>
  <si>
    <t>クリティカル！</t>
    <phoneticPr fontId="5"/>
  </si>
  <si>
    <t>お邪魔パネルを吸収して全体攻撃</t>
    <rPh sb="7" eb="9">
      <t>キュウシュ</t>
    </rPh>
    <rPh sb="11" eb="13">
      <t>ゼンタ</t>
    </rPh>
    <rPh sb="13" eb="15">
      <t>キュウシュ</t>
    </rPh>
    <phoneticPr fontId="5"/>
  </si>
  <si>
    <t>13400_3</t>
    <phoneticPr fontId="5"/>
  </si>
  <si>
    <t>old</t>
    <phoneticPr fontId="5"/>
  </si>
  <si>
    <t>ジャミングレーザー</t>
    <phoneticPr fontId="5"/>
  </si>
  <si>
    <t>くらえッ！</t>
    <phoneticPr fontId="5"/>
  </si>
  <si>
    <t>ジャマしてやる！</t>
    <phoneticPr fontId="5"/>
  </si>
  <si>
    <t>フレイムブレス！</t>
    <phoneticPr fontId="5"/>
  </si>
  <si>
    <t>ハートマジック</t>
    <phoneticPr fontId="5"/>
  </si>
  <si>
    <t>ランダムでお邪魔パネルに最大3個変換</t>
    <rPh sb="12" eb="14">
      <t>サイダ</t>
    </rPh>
    <rPh sb="15" eb="16">
      <t>k</t>
    </rPh>
    <phoneticPr fontId="5"/>
  </si>
  <si>
    <t>ランダムでお邪魔パネルに最大5個変換</t>
    <rPh sb="12" eb="14">
      <t>サイダ</t>
    </rPh>
    <phoneticPr fontId="5"/>
  </si>
  <si>
    <t>射法・散弾矢</t>
    <rPh sb="0" eb="2">
      <t>シャh</t>
    </rPh>
    <rPh sb="3" eb="5">
      <t>サンダn</t>
    </rPh>
    <rPh sb="5" eb="6">
      <t>ヤ</t>
    </rPh>
    <phoneticPr fontId="5"/>
  </si>
  <si>
    <t>singleonly</t>
    <phoneticPr fontId="5"/>
  </si>
  <si>
    <t>bit</t>
    <phoneticPr fontId="5"/>
  </si>
  <si>
    <t>skip</t>
    <phoneticPr fontId="5"/>
  </si>
  <si>
    <t>[effect:force_change_block, new_block:jammer, target:block_all, ignore01:crash, ignore02:crack_bomb, ignore03:time_bomb, ignore04:jammer, ignore05:color_break, ignore06:damage, ignore07:magnet, count:3, val:0, animation:change_block]</t>
    <phoneticPr fontId="5"/>
  </si>
  <si>
    <t>[effect:force_change_block, new_block:block_heart, target:jammer, count:0, val:0, animation:change_block]</t>
    <phoneticPr fontId="5"/>
  </si>
  <si>
    <t>[effect:force_change_block, new_block:jammer, target:block_all, ignore01:crash, ignore02:crack_bomb, ignore03:time_bomb, ignore04:jammer, ignore05:color_break, ignore06:damage, ignore07:magnet, count:5, val:0, animation:change_block]</t>
    <phoneticPr fontId="5"/>
  </si>
  <si>
    <t xml:space="preserve">[effect:break_attack_fix, target:unit_all, val:100, lowest_val:850, count:-1, color:red, block01:jammer]    </t>
    <phoneticPr fontId="5"/>
  </si>
  <si>
    <t>開幕セリフ</t>
    <rPh sb="0" eb="2">
      <t>カイマk</t>
    </rPh>
    <phoneticPr fontId="5"/>
  </si>
  <si>
    <t>誰かに忠誠を誓っているようだ</t>
    <rPh sb="0" eb="1">
      <t>ダレk</t>
    </rPh>
    <rPh sb="6" eb="7">
      <t>チュウセ</t>
    </rPh>
    <phoneticPr fontId="5"/>
  </si>
  <si>
    <t>[effect:enemy_message, val1:1.2, val2:1.9]</t>
    <phoneticPr fontId="5"/>
  </si>
  <si>
    <t>ここは絶対に通さない…！</t>
    <phoneticPr fontId="5"/>
  </si>
  <si>
    <t>エンジンを吹かしている</t>
    <phoneticPr fontId="5"/>
  </si>
  <si>
    <t>オマエ、
こんなとこまで来たのか！</t>
    <rPh sb="12" eb="13">
      <t>キタn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</si>
</sst>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vertical="center"/>
    </xf>
    <xf numFmtId="0" fontId="52" fillId="14" borderId="11" xfId="0" applyNumberFormat="1" applyFont="1" applyFill="1" applyBorder="1" applyAlignment="1">
      <alignment vertical="top" wrapText="1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1471</v>
          </cell>
        </row>
        <row r="1346">
          <cell r="A1346">
            <v>1495</v>
          </cell>
        </row>
        <row r="1347">
          <cell r="A1347">
            <v>1496</v>
          </cell>
        </row>
        <row r="1348">
          <cell r="A1348">
            <v>1497</v>
          </cell>
        </row>
        <row r="1349">
          <cell r="A1349">
            <v>1498</v>
          </cell>
        </row>
        <row r="1350">
          <cell r="A1350">
            <v>1499</v>
          </cell>
        </row>
        <row r="1351">
          <cell r="A1351">
            <v>1500</v>
          </cell>
        </row>
        <row r="1352">
          <cell r="A1352">
            <v>1501</v>
          </cell>
        </row>
        <row r="1353">
          <cell r="A1353">
            <v>1502</v>
          </cell>
        </row>
        <row r="1354">
          <cell r="A1354">
            <v>1503</v>
          </cell>
        </row>
        <row r="1355">
          <cell r="A1355">
            <v>1504</v>
          </cell>
        </row>
        <row r="1356">
          <cell r="A1356">
            <v>1505</v>
          </cell>
        </row>
        <row r="1357">
          <cell r="A1357">
            <v>1506</v>
          </cell>
        </row>
        <row r="1358">
          <cell r="A1358">
            <v>1507</v>
          </cell>
        </row>
        <row r="1359">
          <cell r="A1359">
            <v>1508</v>
          </cell>
        </row>
        <row r="1360">
          <cell r="A1360">
            <v>1509</v>
          </cell>
        </row>
        <row r="1361">
          <cell r="A1361">
            <v>1510</v>
          </cell>
        </row>
        <row r="1362">
          <cell r="A1362">
            <v>1511</v>
          </cell>
        </row>
        <row r="1363">
          <cell r="A1363">
            <v>1512</v>
          </cell>
        </row>
        <row r="1364">
          <cell r="A1364">
            <v>1523</v>
          </cell>
        </row>
        <row r="1365">
          <cell r="A1365">
            <v>1524</v>
          </cell>
        </row>
        <row r="1366">
          <cell r="A1366">
            <v>1525</v>
          </cell>
        </row>
        <row r="1367">
          <cell r="A1367">
            <v>1526</v>
          </cell>
        </row>
        <row r="1368">
          <cell r="A1368">
            <v>5001</v>
          </cell>
        </row>
        <row r="1369">
          <cell r="A1369">
            <v>5002</v>
          </cell>
        </row>
        <row r="1370">
          <cell r="A1370">
            <v>5003</v>
          </cell>
        </row>
        <row r="1371">
          <cell r="A1371">
            <v>5004</v>
          </cell>
        </row>
        <row r="1372">
          <cell r="A1372">
            <v>5005</v>
          </cell>
        </row>
        <row r="1373">
          <cell r="A1373">
            <v>5006</v>
          </cell>
        </row>
        <row r="1374">
          <cell r="A1374">
            <v>5007</v>
          </cell>
        </row>
        <row r="1375">
          <cell r="A1375">
            <v>5008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8073</v>
          </cell>
        </row>
        <row r="1469">
          <cell r="A1469">
            <v>8074</v>
          </cell>
        </row>
        <row r="1470">
          <cell r="A1470">
            <v>8077</v>
          </cell>
        </row>
        <row r="1471">
          <cell r="A1471">
            <v>8078</v>
          </cell>
        </row>
        <row r="1472">
          <cell r="A1472">
            <v>8079</v>
          </cell>
        </row>
        <row r="1473">
          <cell r="A1473">
            <v>8080</v>
          </cell>
        </row>
        <row r="1474">
          <cell r="A1474">
            <v>8081</v>
          </cell>
        </row>
        <row r="1475">
          <cell r="A1475">
            <v>8082</v>
          </cell>
        </row>
        <row r="1476">
          <cell r="A1476">
            <v>8083</v>
          </cell>
        </row>
        <row r="1477">
          <cell r="A1477">
            <v>8084</v>
          </cell>
        </row>
        <row r="1478">
          <cell r="A1478">
            <v>8087</v>
          </cell>
        </row>
        <row r="1479">
          <cell r="A1479">
            <v>8088</v>
          </cell>
        </row>
        <row r="1480">
          <cell r="A1480">
            <v>8089</v>
          </cell>
        </row>
        <row r="1481">
          <cell r="A1481">
            <v>8090</v>
          </cell>
        </row>
        <row r="1482">
          <cell r="A1482">
            <v>8095</v>
          </cell>
        </row>
        <row r="1483">
          <cell r="A1483">
            <v>8096</v>
          </cell>
        </row>
        <row r="1484">
          <cell r="A1484">
            <v>8097</v>
          </cell>
        </row>
        <row r="1485">
          <cell r="A1485">
            <v>8098</v>
          </cell>
        </row>
        <row r="1486">
          <cell r="A1486">
            <v>8099</v>
          </cell>
        </row>
        <row r="1487">
          <cell r="A1487">
            <v>8100</v>
          </cell>
        </row>
        <row r="1488">
          <cell r="A1488">
            <v>8101</v>
          </cell>
        </row>
        <row r="1489">
          <cell r="A1489">
            <v>8102</v>
          </cell>
        </row>
        <row r="1490">
          <cell r="A1490">
            <v>9001</v>
          </cell>
        </row>
        <row r="1491">
          <cell r="A1491">
            <v>9002</v>
          </cell>
        </row>
        <row r="1492">
          <cell r="A1492">
            <v>9003</v>
          </cell>
        </row>
        <row r="1493">
          <cell r="A1493">
            <v>9004</v>
          </cell>
        </row>
        <row r="1494">
          <cell r="A1494">
            <v>9005</v>
          </cell>
        </row>
        <row r="1495">
          <cell r="A1495">
            <v>9006</v>
          </cell>
        </row>
        <row r="1496">
          <cell r="A1496">
            <v>9007</v>
          </cell>
        </row>
        <row r="1497">
          <cell r="A1497">
            <v>9008</v>
          </cell>
        </row>
        <row r="1498">
          <cell r="A1498">
            <v>10101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1471</v>
          </cell>
        </row>
        <row r="1427">
          <cell r="A1427">
            <v>1488</v>
          </cell>
        </row>
        <row r="1428">
          <cell r="A1428">
            <v>1489</v>
          </cell>
        </row>
        <row r="1429">
          <cell r="A1429">
            <v>1495</v>
          </cell>
        </row>
        <row r="1430">
          <cell r="A1430">
            <v>1496</v>
          </cell>
        </row>
        <row r="1431">
          <cell r="A1431">
            <v>1497</v>
          </cell>
        </row>
        <row r="1432">
          <cell r="A1432">
            <v>1498</v>
          </cell>
        </row>
        <row r="1433">
          <cell r="A1433">
            <v>1499</v>
          </cell>
        </row>
        <row r="1434">
          <cell r="A1434">
            <v>1500</v>
          </cell>
        </row>
        <row r="1435">
          <cell r="A1435">
            <v>1501</v>
          </cell>
        </row>
        <row r="1436">
          <cell r="A1436">
            <v>1502</v>
          </cell>
        </row>
        <row r="1437">
          <cell r="A1437">
            <v>1503</v>
          </cell>
        </row>
        <row r="1438">
          <cell r="A1438">
            <v>1504</v>
          </cell>
        </row>
        <row r="1439">
          <cell r="A1439">
            <v>1505</v>
          </cell>
        </row>
        <row r="1440">
          <cell r="A1440">
            <v>1506</v>
          </cell>
        </row>
        <row r="1441">
          <cell r="A1441">
            <v>1507</v>
          </cell>
        </row>
        <row r="1442">
          <cell r="A1442">
            <v>1508</v>
          </cell>
        </row>
        <row r="1443">
          <cell r="A1443">
            <v>1509</v>
          </cell>
        </row>
        <row r="1444">
          <cell r="A1444">
            <v>1510</v>
          </cell>
        </row>
        <row r="1445">
          <cell r="A1445">
            <v>1511</v>
          </cell>
        </row>
        <row r="1446">
          <cell r="A1446">
            <v>1512</v>
          </cell>
        </row>
        <row r="1447">
          <cell r="A1447">
            <v>1513</v>
          </cell>
        </row>
        <row r="1448">
          <cell r="A1448">
            <v>1514</v>
          </cell>
        </row>
        <row r="1449">
          <cell r="A1449">
            <v>1515</v>
          </cell>
        </row>
        <row r="1450">
          <cell r="A1450">
            <v>1516</v>
          </cell>
        </row>
        <row r="1451">
          <cell r="A1451">
            <v>1517</v>
          </cell>
        </row>
        <row r="1452">
          <cell r="A1452">
            <v>1518</v>
          </cell>
        </row>
        <row r="1453">
          <cell r="A1453">
            <v>1519</v>
          </cell>
        </row>
        <row r="1454">
          <cell r="A1454">
            <v>1520</v>
          </cell>
        </row>
        <row r="1455">
          <cell r="A1455">
            <v>1521</v>
          </cell>
        </row>
        <row r="1456">
          <cell r="A1456">
            <v>1522</v>
          </cell>
        </row>
        <row r="1457">
          <cell r="A1457">
            <v>1523</v>
          </cell>
        </row>
        <row r="1458">
          <cell r="A1458">
            <v>1524</v>
          </cell>
        </row>
        <row r="1459">
          <cell r="A1459">
            <v>1525</v>
          </cell>
        </row>
        <row r="1460">
          <cell r="A1460">
            <v>1526</v>
          </cell>
        </row>
        <row r="1461">
          <cell r="A1461">
            <v>1527</v>
          </cell>
        </row>
        <row r="1462">
          <cell r="A1462">
            <v>1528</v>
          </cell>
        </row>
        <row r="1463">
          <cell r="A1463">
            <v>1529</v>
          </cell>
        </row>
        <row r="1464">
          <cell r="A1464">
            <v>1530</v>
          </cell>
        </row>
        <row r="1465">
          <cell r="A1465">
            <v>1531</v>
          </cell>
        </row>
        <row r="1466">
          <cell r="A1466">
            <v>1532</v>
          </cell>
        </row>
        <row r="1467">
          <cell r="A1467">
            <v>1533</v>
          </cell>
        </row>
        <row r="1468">
          <cell r="A1468">
            <v>1534</v>
          </cell>
        </row>
        <row r="1469">
          <cell r="A1469">
            <v>1535</v>
          </cell>
        </row>
        <row r="1470">
          <cell r="A1470">
            <v>1536</v>
          </cell>
        </row>
        <row r="1471">
          <cell r="A1471">
            <v>1537</v>
          </cell>
        </row>
        <row r="1472">
          <cell r="A1472">
            <v>1538</v>
          </cell>
        </row>
        <row r="1473">
          <cell r="A1473">
            <v>1539</v>
          </cell>
        </row>
        <row r="1474">
          <cell r="A1474">
            <v>1540</v>
          </cell>
        </row>
        <row r="1475">
          <cell r="A1475">
            <v>1541</v>
          </cell>
        </row>
        <row r="1476">
          <cell r="A1476">
            <v>1542</v>
          </cell>
        </row>
        <row r="1477">
          <cell r="A1477">
            <v>1543</v>
          </cell>
        </row>
        <row r="1478">
          <cell r="A1478">
            <v>1544</v>
          </cell>
        </row>
        <row r="1479">
          <cell r="A1479">
            <v>1545</v>
          </cell>
        </row>
        <row r="1480">
          <cell r="A1480">
            <v>1546</v>
          </cell>
        </row>
        <row r="1481">
          <cell r="A1481">
            <v>1547</v>
          </cell>
        </row>
        <row r="1482">
          <cell r="A1482">
            <v>1548</v>
          </cell>
        </row>
        <row r="1483">
          <cell r="A1483">
            <v>1549</v>
          </cell>
        </row>
        <row r="1484">
          <cell r="A1484">
            <v>1550</v>
          </cell>
        </row>
        <row r="1485">
          <cell r="A1485">
            <v>5001</v>
          </cell>
        </row>
        <row r="1486">
          <cell r="A1486">
            <v>5002</v>
          </cell>
        </row>
        <row r="1487">
          <cell r="A1487">
            <v>5003</v>
          </cell>
        </row>
        <row r="1488">
          <cell r="A1488">
            <v>5004</v>
          </cell>
        </row>
        <row r="1489">
          <cell r="A1489">
            <v>5005</v>
          </cell>
        </row>
        <row r="1490">
          <cell r="A1490">
            <v>5006</v>
          </cell>
        </row>
        <row r="1491">
          <cell r="A1491">
            <v>5007</v>
          </cell>
        </row>
        <row r="1492">
          <cell r="A1492">
            <v>5008</v>
          </cell>
        </row>
        <row r="1493">
          <cell r="A1493">
            <v>6001</v>
          </cell>
        </row>
        <row r="1494">
          <cell r="A1494">
            <v>6002</v>
          </cell>
        </row>
        <row r="1495">
          <cell r="A1495">
            <v>6003</v>
          </cell>
        </row>
        <row r="1496">
          <cell r="A1496">
            <v>6004</v>
          </cell>
        </row>
        <row r="1497">
          <cell r="A1497">
            <v>6005</v>
          </cell>
        </row>
        <row r="1498">
          <cell r="A1498">
            <v>6006</v>
          </cell>
        </row>
        <row r="1499">
          <cell r="A1499">
            <v>6007</v>
          </cell>
        </row>
        <row r="1500">
          <cell r="A1500">
            <v>6008</v>
          </cell>
        </row>
        <row r="1501">
          <cell r="A1501">
            <v>6009</v>
          </cell>
        </row>
        <row r="1502">
          <cell r="A1502">
            <v>6010</v>
          </cell>
        </row>
        <row r="1503">
          <cell r="A1503">
            <v>6011</v>
          </cell>
        </row>
        <row r="1504">
          <cell r="A1504">
            <v>6012</v>
          </cell>
        </row>
        <row r="1505">
          <cell r="A1505">
            <v>6013</v>
          </cell>
        </row>
        <row r="1506">
          <cell r="A1506">
            <v>6014</v>
          </cell>
        </row>
        <row r="1507">
          <cell r="A1507">
            <v>6015</v>
          </cell>
        </row>
        <row r="1508">
          <cell r="A1508">
            <v>6016</v>
          </cell>
        </row>
        <row r="1509">
          <cell r="A1509">
            <v>6017</v>
          </cell>
        </row>
        <row r="1510">
          <cell r="A1510">
            <v>6018</v>
          </cell>
        </row>
        <row r="1511">
          <cell r="A1511">
            <v>6019</v>
          </cell>
        </row>
        <row r="1512">
          <cell r="A1512">
            <v>6020</v>
          </cell>
        </row>
        <row r="1513">
          <cell r="A1513">
            <v>8001</v>
          </cell>
        </row>
        <row r="1514">
          <cell r="A1514">
            <v>8002</v>
          </cell>
        </row>
        <row r="1515">
          <cell r="A1515">
            <v>8003</v>
          </cell>
        </row>
        <row r="1516">
          <cell r="A1516">
            <v>8004</v>
          </cell>
        </row>
        <row r="1517">
          <cell r="A1517">
            <v>8005</v>
          </cell>
        </row>
        <row r="1518">
          <cell r="A1518">
            <v>8006</v>
          </cell>
        </row>
        <row r="1519">
          <cell r="A1519">
            <v>8007</v>
          </cell>
        </row>
        <row r="1520">
          <cell r="A1520">
            <v>8008</v>
          </cell>
        </row>
        <row r="1521">
          <cell r="A1521">
            <v>8009</v>
          </cell>
        </row>
        <row r="1522">
          <cell r="A1522">
            <v>8010</v>
          </cell>
        </row>
        <row r="1523">
          <cell r="A1523">
            <v>8011</v>
          </cell>
        </row>
        <row r="1524">
          <cell r="A1524">
            <v>8012</v>
          </cell>
        </row>
        <row r="1525">
          <cell r="A1525">
            <v>8013</v>
          </cell>
        </row>
        <row r="1526">
          <cell r="A1526">
            <v>8014</v>
          </cell>
        </row>
        <row r="1527">
          <cell r="A1527">
            <v>8015</v>
          </cell>
        </row>
        <row r="1528">
          <cell r="A1528">
            <v>8016</v>
          </cell>
        </row>
        <row r="1529">
          <cell r="A1529">
            <v>8017</v>
          </cell>
        </row>
        <row r="1530">
          <cell r="A1530">
            <v>8018</v>
          </cell>
        </row>
        <row r="1531">
          <cell r="A1531">
            <v>8019</v>
          </cell>
        </row>
        <row r="1532">
          <cell r="A1532">
            <v>8020</v>
          </cell>
        </row>
        <row r="1533">
          <cell r="A1533">
            <v>8021</v>
          </cell>
        </row>
        <row r="1534">
          <cell r="A1534">
            <v>8022</v>
          </cell>
        </row>
        <row r="1535">
          <cell r="A1535">
            <v>8023</v>
          </cell>
        </row>
        <row r="1536">
          <cell r="A1536">
            <v>8024</v>
          </cell>
        </row>
        <row r="1537">
          <cell r="A1537">
            <v>8025</v>
          </cell>
        </row>
        <row r="1538">
          <cell r="A1538">
            <v>8026</v>
          </cell>
        </row>
        <row r="1539">
          <cell r="A1539">
            <v>8027</v>
          </cell>
        </row>
        <row r="1540">
          <cell r="A1540">
            <v>8028</v>
          </cell>
        </row>
        <row r="1541">
          <cell r="A1541">
            <v>8029</v>
          </cell>
        </row>
        <row r="1542">
          <cell r="A1542">
            <v>8030</v>
          </cell>
        </row>
        <row r="1543">
          <cell r="A1543">
            <v>8031</v>
          </cell>
        </row>
        <row r="1544">
          <cell r="A1544">
            <v>8032</v>
          </cell>
        </row>
        <row r="1545">
          <cell r="A1545">
            <v>8033</v>
          </cell>
        </row>
        <row r="1546">
          <cell r="A1546">
            <v>8034</v>
          </cell>
        </row>
        <row r="1547">
          <cell r="A1547">
            <v>8035</v>
          </cell>
        </row>
        <row r="1548">
          <cell r="A1548">
            <v>8036</v>
          </cell>
        </row>
        <row r="1549">
          <cell r="A1549">
            <v>8037</v>
          </cell>
        </row>
        <row r="1550">
          <cell r="A1550">
            <v>8038</v>
          </cell>
        </row>
        <row r="1551">
          <cell r="A1551">
            <v>8039</v>
          </cell>
        </row>
        <row r="1552">
          <cell r="A1552">
            <v>8040</v>
          </cell>
        </row>
        <row r="1553">
          <cell r="A1553">
            <v>8041</v>
          </cell>
        </row>
        <row r="1554">
          <cell r="A1554">
            <v>8042</v>
          </cell>
        </row>
        <row r="1555">
          <cell r="A1555">
            <v>8043</v>
          </cell>
        </row>
        <row r="1556">
          <cell r="A1556">
            <v>8044</v>
          </cell>
        </row>
        <row r="1557">
          <cell r="A1557">
            <v>8045</v>
          </cell>
        </row>
        <row r="1558">
          <cell r="A1558">
            <v>8046</v>
          </cell>
        </row>
        <row r="1559">
          <cell r="A1559">
            <v>8047</v>
          </cell>
        </row>
        <row r="1560">
          <cell r="A1560">
            <v>8048</v>
          </cell>
        </row>
        <row r="1561">
          <cell r="A1561">
            <v>8049</v>
          </cell>
        </row>
        <row r="1562">
          <cell r="A1562">
            <v>8050</v>
          </cell>
        </row>
        <row r="1563">
          <cell r="A1563">
            <v>8051</v>
          </cell>
        </row>
        <row r="1564">
          <cell r="A1564">
            <v>8052</v>
          </cell>
        </row>
        <row r="1565">
          <cell r="A1565">
            <v>8053</v>
          </cell>
        </row>
        <row r="1566">
          <cell r="A1566">
            <v>8054</v>
          </cell>
        </row>
        <row r="1567">
          <cell r="A1567">
            <v>8055</v>
          </cell>
        </row>
        <row r="1568">
          <cell r="A1568">
            <v>8056</v>
          </cell>
        </row>
        <row r="1569">
          <cell r="A1569">
            <v>8057</v>
          </cell>
        </row>
        <row r="1570">
          <cell r="A1570">
            <v>8058</v>
          </cell>
        </row>
        <row r="1571">
          <cell r="A1571">
            <v>8059</v>
          </cell>
        </row>
        <row r="1572">
          <cell r="A1572">
            <v>8060</v>
          </cell>
        </row>
        <row r="1573">
          <cell r="A1573">
            <v>8061</v>
          </cell>
        </row>
        <row r="1574">
          <cell r="A1574">
            <v>8062</v>
          </cell>
        </row>
        <row r="1575">
          <cell r="A1575">
            <v>8063</v>
          </cell>
        </row>
        <row r="1576">
          <cell r="A1576">
            <v>8064</v>
          </cell>
        </row>
        <row r="1577">
          <cell r="A1577">
            <v>8065</v>
          </cell>
        </row>
        <row r="1578">
          <cell r="A1578">
            <v>8066</v>
          </cell>
        </row>
        <row r="1579">
          <cell r="A1579">
            <v>8067</v>
          </cell>
        </row>
        <row r="1580">
          <cell r="A1580">
            <v>8068</v>
          </cell>
        </row>
        <row r="1581">
          <cell r="A1581">
            <v>8069</v>
          </cell>
        </row>
        <row r="1582">
          <cell r="A1582">
            <v>8070</v>
          </cell>
        </row>
        <row r="1583">
          <cell r="A1583">
            <v>8071</v>
          </cell>
        </row>
        <row r="1584">
          <cell r="A1584">
            <v>8072</v>
          </cell>
        </row>
        <row r="1585">
          <cell r="A1585">
            <v>8073</v>
          </cell>
        </row>
        <row r="1586">
          <cell r="A1586">
            <v>8074</v>
          </cell>
        </row>
        <row r="1587">
          <cell r="A1587">
            <v>8075</v>
          </cell>
        </row>
        <row r="1588">
          <cell r="A1588">
            <v>8076</v>
          </cell>
        </row>
        <row r="1589">
          <cell r="A1589">
            <v>8077</v>
          </cell>
        </row>
        <row r="1590">
          <cell r="A1590">
            <v>8078</v>
          </cell>
        </row>
        <row r="1591">
          <cell r="A1591">
            <v>8079</v>
          </cell>
        </row>
        <row r="1592">
          <cell r="A1592">
            <v>8080</v>
          </cell>
        </row>
        <row r="1593">
          <cell r="A1593">
            <v>8081</v>
          </cell>
        </row>
        <row r="1594">
          <cell r="A1594">
            <v>8082</v>
          </cell>
        </row>
        <row r="1595">
          <cell r="A1595">
            <v>8083</v>
          </cell>
        </row>
        <row r="1596">
          <cell r="A1596">
            <v>8084</v>
          </cell>
        </row>
        <row r="1597">
          <cell r="A1597">
            <v>8087</v>
          </cell>
        </row>
        <row r="1598">
          <cell r="A1598">
            <v>8088</v>
          </cell>
        </row>
        <row r="1599">
          <cell r="A1599">
            <v>8089</v>
          </cell>
        </row>
        <row r="1600">
          <cell r="A1600">
            <v>8090</v>
          </cell>
        </row>
        <row r="1601">
          <cell r="A1601">
            <v>8095</v>
          </cell>
        </row>
        <row r="1602">
          <cell r="A1602">
            <v>8096</v>
          </cell>
        </row>
        <row r="1603">
          <cell r="A1603">
            <v>8097</v>
          </cell>
        </row>
        <row r="1604">
          <cell r="A1604">
            <v>8098</v>
          </cell>
        </row>
        <row r="1605">
          <cell r="A1605">
            <v>8099</v>
          </cell>
        </row>
        <row r="1606">
          <cell r="A1606">
            <v>8100</v>
          </cell>
        </row>
        <row r="1607">
          <cell r="A1607">
            <v>8101</v>
          </cell>
        </row>
        <row r="1608">
          <cell r="A1608">
            <v>8102</v>
          </cell>
        </row>
        <row r="1609">
          <cell r="A1609">
            <v>9001</v>
          </cell>
        </row>
        <row r="1610">
          <cell r="A1610">
            <v>9002</v>
          </cell>
        </row>
        <row r="1611">
          <cell r="A1611">
            <v>9003</v>
          </cell>
        </row>
        <row r="1612">
          <cell r="A1612">
            <v>9004</v>
          </cell>
        </row>
        <row r="1613">
          <cell r="A1613">
            <v>9005</v>
          </cell>
        </row>
        <row r="1614">
          <cell r="A1614">
            <v>9006</v>
          </cell>
        </row>
        <row r="1615">
          <cell r="A1615">
            <v>9007</v>
          </cell>
        </row>
        <row r="1616">
          <cell r="A1616">
            <v>9008</v>
          </cell>
        </row>
        <row r="1617">
          <cell r="A1617">
            <v>10001</v>
          </cell>
        </row>
        <row r="1618">
          <cell r="A1618">
            <v>10002</v>
          </cell>
        </row>
        <row r="1619">
          <cell r="A1619">
            <v>10003</v>
          </cell>
        </row>
        <row r="1620">
          <cell r="A1620">
            <v>10004</v>
          </cell>
        </row>
        <row r="1621">
          <cell r="A1621">
            <v>10005</v>
          </cell>
        </row>
        <row r="1622">
          <cell r="A1622">
            <v>10006</v>
          </cell>
        </row>
        <row r="1623">
          <cell r="A1623">
            <v>10007</v>
          </cell>
        </row>
        <row r="1624">
          <cell r="A1624">
            <v>10008</v>
          </cell>
        </row>
        <row r="1625">
          <cell r="A1625">
            <v>10009</v>
          </cell>
        </row>
        <row r="1626">
          <cell r="A1626">
            <v>10010</v>
          </cell>
        </row>
        <row r="1627">
          <cell r="A1627">
            <v>10011</v>
          </cell>
        </row>
        <row r="1628">
          <cell r="A1628">
            <v>10012</v>
          </cell>
        </row>
        <row r="1629">
          <cell r="A1629">
            <v>10013</v>
          </cell>
        </row>
        <row r="1630">
          <cell r="A1630">
            <v>10014</v>
          </cell>
        </row>
        <row r="1631">
          <cell r="A1631">
            <v>10015</v>
          </cell>
        </row>
        <row r="1632">
          <cell r="A1632">
            <v>10016</v>
          </cell>
        </row>
        <row r="1633">
          <cell r="A1633">
            <v>10017</v>
          </cell>
        </row>
        <row r="1634">
          <cell r="A1634">
            <v>10018</v>
          </cell>
        </row>
        <row r="1635">
          <cell r="A1635">
            <v>10019</v>
          </cell>
        </row>
        <row r="1636">
          <cell r="A1636">
            <v>10020</v>
          </cell>
        </row>
        <row r="1637">
          <cell r="A1637">
            <v>10021</v>
          </cell>
        </row>
        <row r="1638">
          <cell r="A1638">
            <v>10022</v>
          </cell>
        </row>
        <row r="1639">
          <cell r="A1639">
            <v>10023</v>
          </cell>
        </row>
        <row r="1640">
          <cell r="A1640">
            <v>10024</v>
          </cell>
        </row>
        <row r="1641">
          <cell r="A1641">
            <v>10025</v>
          </cell>
        </row>
        <row r="1642">
          <cell r="A1642">
            <v>10026</v>
          </cell>
        </row>
        <row r="1643">
          <cell r="A1643">
            <v>10027</v>
          </cell>
        </row>
        <row r="1644">
          <cell r="A1644">
            <v>10028</v>
          </cell>
        </row>
        <row r="1645">
          <cell r="A1645">
            <v>10029</v>
          </cell>
        </row>
        <row r="1646">
          <cell r="A1646">
            <v>10030</v>
          </cell>
        </row>
        <row r="1647">
          <cell r="A1647">
            <v>10031</v>
          </cell>
        </row>
        <row r="1648">
          <cell r="A1648">
            <v>10032</v>
          </cell>
        </row>
        <row r="1649">
          <cell r="A1649">
            <v>10033</v>
          </cell>
        </row>
        <row r="1650">
          <cell r="A1650">
            <v>10034</v>
          </cell>
        </row>
        <row r="1651">
          <cell r="A1651">
            <v>10035</v>
          </cell>
        </row>
        <row r="1652">
          <cell r="A1652">
            <v>10036</v>
          </cell>
        </row>
        <row r="1653">
          <cell r="A1653">
            <v>10037</v>
          </cell>
        </row>
        <row r="1654">
          <cell r="A1654">
            <v>10038</v>
          </cell>
        </row>
        <row r="1655">
          <cell r="A1655">
            <v>10039</v>
          </cell>
        </row>
        <row r="1656">
          <cell r="A1656">
            <v>10040</v>
          </cell>
        </row>
        <row r="1657">
          <cell r="A1657">
            <v>10041</v>
          </cell>
        </row>
        <row r="1658">
          <cell r="A1658">
            <v>10042</v>
          </cell>
        </row>
        <row r="1659">
          <cell r="A1659">
            <v>10043</v>
          </cell>
        </row>
        <row r="1660">
          <cell r="A1660">
            <v>10044</v>
          </cell>
        </row>
        <row r="1661">
          <cell r="A1661">
            <v>10045</v>
          </cell>
        </row>
        <row r="1662">
          <cell r="A1662">
            <v>10046</v>
          </cell>
        </row>
        <row r="1663">
          <cell r="A1663">
            <v>10047</v>
          </cell>
        </row>
        <row r="1664">
          <cell r="A1664">
            <v>10048</v>
          </cell>
        </row>
        <row r="1665">
          <cell r="A1665">
            <v>10049</v>
          </cell>
        </row>
        <row r="1666">
          <cell r="A1666">
            <v>10050</v>
          </cell>
        </row>
        <row r="1667">
          <cell r="A1667">
            <v>10051</v>
          </cell>
        </row>
        <row r="1668">
          <cell r="A1668">
            <v>10052</v>
          </cell>
        </row>
        <row r="1669">
          <cell r="A1669">
            <v>10053</v>
          </cell>
        </row>
        <row r="1670">
          <cell r="A1670">
            <v>10054</v>
          </cell>
        </row>
        <row r="1671">
          <cell r="A1671">
            <v>10055</v>
          </cell>
        </row>
        <row r="1672">
          <cell r="A1672">
            <v>10056</v>
          </cell>
        </row>
        <row r="1673">
          <cell r="A1673">
            <v>10057</v>
          </cell>
        </row>
        <row r="1674">
          <cell r="A1674">
            <v>10058</v>
          </cell>
        </row>
        <row r="1675">
          <cell r="A1675">
            <v>10059</v>
          </cell>
        </row>
        <row r="1676">
          <cell r="A1676">
            <v>10060</v>
          </cell>
        </row>
        <row r="1677">
          <cell r="A1677">
            <v>10061</v>
          </cell>
        </row>
        <row r="1678">
          <cell r="A1678">
            <v>10062</v>
          </cell>
        </row>
        <row r="1679">
          <cell r="A1679">
            <v>10063</v>
          </cell>
        </row>
        <row r="1680">
          <cell r="A1680">
            <v>10064</v>
          </cell>
        </row>
        <row r="1681">
          <cell r="A1681">
            <v>10065</v>
          </cell>
        </row>
        <row r="1682">
          <cell r="A1682">
            <v>10066</v>
          </cell>
        </row>
        <row r="1683">
          <cell r="A1683">
            <v>10067</v>
          </cell>
        </row>
        <row r="1684">
          <cell r="A1684">
            <v>10068</v>
          </cell>
        </row>
        <row r="1685">
          <cell r="A1685">
            <v>10069</v>
          </cell>
        </row>
        <row r="1686">
          <cell r="A1686">
            <v>10070</v>
          </cell>
        </row>
        <row r="1687">
          <cell r="A1687">
            <v>10071</v>
          </cell>
        </row>
        <row r="1688">
          <cell r="A1688">
            <v>10072</v>
          </cell>
        </row>
        <row r="1689">
          <cell r="A1689">
            <v>10073</v>
          </cell>
        </row>
        <row r="1690">
          <cell r="A1690">
            <v>10074</v>
          </cell>
        </row>
        <row r="1691">
          <cell r="A1691">
            <v>10075</v>
          </cell>
        </row>
        <row r="1692">
          <cell r="A1692">
            <v>10076</v>
          </cell>
        </row>
        <row r="1693">
          <cell r="A1693">
            <v>10077</v>
          </cell>
        </row>
        <row r="1694">
          <cell r="A1694">
            <v>10078</v>
          </cell>
        </row>
        <row r="1695">
          <cell r="A1695">
            <v>10079</v>
          </cell>
        </row>
        <row r="1696">
          <cell r="A1696">
            <v>10080</v>
          </cell>
        </row>
        <row r="1697">
          <cell r="A1697">
            <v>10081</v>
          </cell>
        </row>
        <row r="1698">
          <cell r="A1698">
            <v>10082</v>
          </cell>
        </row>
        <row r="1699">
          <cell r="A1699">
            <v>10083</v>
          </cell>
        </row>
        <row r="1700">
          <cell r="A1700">
            <v>10084</v>
          </cell>
        </row>
        <row r="1701">
          <cell r="A1701">
            <v>10085</v>
          </cell>
        </row>
        <row r="1702">
          <cell r="A1702">
            <v>10086</v>
          </cell>
        </row>
        <row r="1703">
          <cell r="A1703">
            <v>10087</v>
          </cell>
        </row>
        <row r="1704">
          <cell r="A1704">
            <v>10088</v>
          </cell>
        </row>
        <row r="1705">
          <cell r="A1705">
            <v>10089</v>
          </cell>
        </row>
        <row r="1706">
          <cell r="A1706">
            <v>10090</v>
          </cell>
        </row>
        <row r="1707">
          <cell r="A1707">
            <v>10101</v>
          </cell>
        </row>
        <row r="1708">
          <cell r="A1708">
            <v>10102</v>
          </cell>
        </row>
        <row r="1709">
          <cell r="A170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G15" sqref="G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276</v>
      </c>
      <c r="B2" s="55" t="s">
        <v>106</v>
      </c>
      <c r="C2" s="60" t="s">
        <v>275</v>
      </c>
      <c r="D2" s="55" t="s">
        <v>107</v>
      </c>
      <c r="E2" s="54" t="str">
        <f>B2&amp;C2&amp;D2</f>
        <v>floors_13400_3.tmp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276</v>
      </c>
      <c r="B3" s="55" t="s">
        <v>109</v>
      </c>
      <c r="C3" s="60" t="s">
        <v>275</v>
      </c>
      <c r="D3" s="55" t="s">
        <v>107</v>
      </c>
      <c r="E3" s="54" t="str">
        <f>B3&amp;C3&amp;D3</f>
        <v>enemy_habitats_13400_3.tmp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177</v>
      </c>
    </row>
    <row r="4" spans="1:30" x14ac:dyDescent="0.15">
      <c r="A4" s="59" t="s">
        <v>276</v>
      </c>
      <c r="B4" s="55" t="s">
        <v>111</v>
      </c>
      <c r="C4" s="60" t="s">
        <v>275</v>
      </c>
      <c r="D4" s="55" t="s">
        <v>107</v>
      </c>
      <c r="E4" s="54" t="str">
        <f>B4&amp;C4&amp;D4</f>
        <v>enemy_habitat_S_13400_3.tmp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276</v>
      </c>
      <c r="B5" s="55" t="s">
        <v>113</v>
      </c>
      <c r="C5" s="60" t="s">
        <v>275</v>
      </c>
      <c r="D5" s="55" t="s">
        <v>107</v>
      </c>
      <c r="E5" s="54" t="str">
        <f>B5&amp;C5&amp;D5</f>
        <v>enemy_skill_sets_13400_3.tmp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276</v>
      </c>
      <c r="B6" s="55" t="s">
        <v>115</v>
      </c>
      <c r="C6" s="60" t="s">
        <v>275</v>
      </c>
      <c r="D6" s="55" t="s">
        <v>116</v>
      </c>
      <c r="E6" s="54" t="str">
        <f t="shared" ref="E6:E10" si="0">B6&amp;C6&amp;D6</f>
        <v>enemy_skills_tmp_13400_3.tmp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276</v>
      </c>
      <c r="B7" s="55" t="s">
        <v>117</v>
      </c>
      <c r="C7" s="60" t="s">
        <v>275</v>
      </c>
      <c r="D7" s="55" t="s">
        <v>107</v>
      </c>
      <c r="E7" s="54" t="str">
        <f>B7&amp;C7&amp;D7</f>
        <v>enemy_skills_i18n_13400_3.tmp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276</v>
      </c>
      <c r="B8" s="55" t="s">
        <v>119</v>
      </c>
      <c r="C8" s="60" t="s">
        <v>275</v>
      </c>
      <c r="D8" s="55" t="s">
        <v>120</v>
      </c>
      <c r="E8" s="54" t="str">
        <f t="shared" si="0"/>
        <v>enemy_skill_triggers_13400_3.tmp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276</v>
      </c>
      <c r="B9" s="65" t="s">
        <v>176</v>
      </c>
      <c r="C9" s="60" t="s">
        <v>275</v>
      </c>
      <c r="D9" s="65" t="s">
        <v>170</v>
      </c>
      <c r="E9" s="66" t="str">
        <f t="shared" si="0"/>
        <v>stage_bug_bonuses_13400_3.tmp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287</v>
      </c>
      <c r="B10" s="65" t="s">
        <v>198</v>
      </c>
      <c r="C10" s="60" t="s">
        <v>275</v>
      </c>
      <c r="D10" s="65" t="s">
        <v>179</v>
      </c>
      <c r="E10" s="66" t="str">
        <f t="shared" si="0"/>
        <v>stage_hints_data_c_13400_3.tmp</v>
      </c>
      <c r="F10" s="65" t="s">
        <v>206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64" t="s">
        <v>183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59" t="s">
        <v>276</v>
      </c>
      <c r="B11" s="65" t="s">
        <v>199</v>
      </c>
      <c r="C11" s="60" t="s">
        <v>275</v>
      </c>
      <c r="D11" s="65" t="s">
        <v>170</v>
      </c>
      <c r="E11" s="66" t="str">
        <f t="shared" ref="E11:E13" si="1">B11&amp;C11&amp;D11</f>
        <v>stage_hints_data_f_13400_3.tmp</v>
      </c>
      <c r="F11" s="65" t="s">
        <v>207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64" t="s">
        <v>183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59" t="s">
        <v>276</v>
      </c>
      <c r="B12" s="65" t="s">
        <v>200</v>
      </c>
      <c r="C12" s="60" t="s">
        <v>275</v>
      </c>
      <c r="D12" s="65" t="s">
        <v>170</v>
      </c>
      <c r="E12" s="66" t="str">
        <f t="shared" si="1"/>
        <v>stage_hints_i18n_13400_3.tmp</v>
      </c>
      <c r="F12" s="65" t="s">
        <v>208</v>
      </c>
      <c r="G12" s="71" t="s">
        <v>201</v>
      </c>
      <c r="H12" s="90" t="s">
        <v>202</v>
      </c>
      <c r="I12" s="70" t="s">
        <v>203</v>
      </c>
      <c r="J12" s="98" t="s">
        <v>204</v>
      </c>
      <c r="K12" s="64" t="s">
        <v>205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59" t="s">
        <v>276</v>
      </c>
      <c r="B13" s="65" t="s">
        <v>247</v>
      </c>
      <c r="C13" s="60" t="s">
        <v>275</v>
      </c>
      <c r="D13" s="65" t="s">
        <v>228</v>
      </c>
      <c r="E13" s="66" t="str">
        <f t="shared" si="1"/>
        <v>stage_bonuses_13400_3.tmp</v>
      </c>
      <c r="F13" s="65" t="s">
        <v>227</v>
      </c>
      <c r="G13" s="70" t="s">
        <v>229</v>
      </c>
      <c r="H13" s="70" t="s">
        <v>230</v>
      </c>
      <c r="I13" s="70" t="s">
        <v>231</v>
      </c>
      <c r="J13" s="70" t="s">
        <v>232</v>
      </c>
      <c r="K13" s="70" t="s">
        <v>233</v>
      </c>
      <c r="L13" s="70" t="s">
        <v>234</v>
      </c>
      <c r="M13" s="70" t="s">
        <v>235</v>
      </c>
      <c r="N13" s="70" t="s">
        <v>236</v>
      </c>
      <c r="O13" s="70" t="s">
        <v>237</v>
      </c>
      <c r="P13" s="70" t="s">
        <v>238</v>
      </c>
      <c r="Q13" s="70" t="s">
        <v>239</v>
      </c>
      <c r="R13" s="70" t="s">
        <v>240</v>
      </c>
      <c r="S13" s="70" t="s">
        <v>241</v>
      </c>
      <c r="T13" s="70" t="s">
        <v>242</v>
      </c>
      <c r="U13" s="70" t="s">
        <v>243</v>
      </c>
      <c r="V13" s="70" t="s">
        <v>244</v>
      </c>
      <c r="W13" s="70" t="s">
        <v>245</v>
      </c>
      <c r="X13" s="70" t="s">
        <v>246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H8" sqref="H8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13400_3-1</v>
      </c>
      <c r="B2" s="15" t="str">
        <f>IF(COUNTIF(enemy_habitats!$H:$H,A2),"OK","NG")</f>
        <v>OK</v>
      </c>
      <c r="C2" s="7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3</v>
      </c>
      <c r="G2" s="21" t="str">
        <f>C2&amp;"_"&amp;F2</f>
        <v>13400_3</v>
      </c>
      <c r="H2" s="14" t="str">
        <f ca="1">VLOOKUP($G2,OFFSET([2]stages!$A$1,0,0,COUNTA([2]stages!$A:$A),MATCH(H$1,[2]stages!$2:$2,0)-MATCH($G$1,[2]stages!$2:$2,0)+1),MATCH(H$1,[2]stages!$2:$2,0)-MATCH($G$1,[2]stages!$2:$2,0)+1,FALSE)</f>
        <v>3階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 t="shared" ref="A3:A4" si="0">G3&amp;"-"&amp;I3</f>
        <v>13400_3-2</v>
      </c>
      <c r="B3" s="15" t="str">
        <f>IF(COUNTIF(enemy_habitats!$H:$H,A3),"OK","NG")</f>
        <v>OK</v>
      </c>
      <c r="C3" s="7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3</v>
      </c>
      <c r="G3" s="21" t="str">
        <f t="shared" ref="G3:G4" si="1">C3&amp;"_"&amp;F3</f>
        <v>13400_3</v>
      </c>
      <c r="H3" s="14" t="str">
        <f ca="1">VLOOKUP($G3,OFFSET([2]stages!$A$1,0,0,COUNTA([2]stages!$A:$A),MATCH(H$1,[2]stages!$2:$2,0)-MATCH($G$1,[2]stages!$2:$2,0)+1),MATCH(H$1,[2]stages!$2:$2,0)-MATCH($G$1,[2]stages!$2:$2,0)+1,FALSE)</f>
        <v>3階 コスト制限なし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 t="shared" si="0"/>
        <v>13400_3-3</v>
      </c>
      <c r="B4" s="15" t="str">
        <f>IF(COUNTIF(enemy_habitats!$H:$H,A4),"OK","NG")</f>
        <v>OK</v>
      </c>
      <c r="C4" s="7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-セカンド（仮）-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3</v>
      </c>
      <c r="G4" s="21" t="str">
        <f t="shared" si="1"/>
        <v>13400_3</v>
      </c>
      <c r="H4" s="14" t="str">
        <f ca="1">VLOOKUP($G4,OFFSET([2]stages!$A$1,0,0,COUNTA([2]stages!$A:$A),MATCH(H$1,[2]stages!$2:$2,0)-MATCH($G$1,[2]stages!$2:$2,0)+1),MATCH(H$1,[2]stages!$2:$2,0)-MATCH($G$1,[2]stages!$2:$2,0)+1,FALSE)</f>
        <v>3階 コスト制限なし</v>
      </c>
      <c r="I4" s="19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M9" sqref="M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 collapsed="1"/>
    <col min="4" max="4" width="7.6640625" style="10" hidden="1" customWidth="1" outlineLevel="1"/>
    <col min="5" max="6" width="7.6640625" style="3" hidden="1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hidden="1" customWidth="1" outlineLevel="1"/>
    <col min="17" max="17" width="6" style="3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5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248</v>
      </c>
      <c r="U1" s="24" t="s">
        <v>50</v>
      </c>
      <c r="V1" s="99" t="s">
        <v>249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178</v>
      </c>
    </row>
    <row r="2" spans="1:42" ht="21" customHeight="1" x14ac:dyDescent="0.15">
      <c r="A2" s="15" t="str">
        <f t="shared" ref="A2:A7" si="0">B2&amp;"_"&amp;C2&amp;"-"&amp;G2&amp;"/"&amp;L2&amp;"&lt;lv"&amp;R2&amp;"&gt;s"&amp;AC2</f>
        <v>13400_3-1/456&lt;lv20&gt;s2</v>
      </c>
      <c r="B2" s="20">
        <v>13400</v>
      </c>
      <c r="C2" s="19">
        <v>3</v>
      </c>
      <c r="D2" s="2" t="str">
        <f>B2&amp;"_"&amp;C2</f>
        <v>13400_3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3階 コスト制限なし</v>
      </c>
      <c r="G2" s="19">
        <v>1</v>
      </c>
      <c r="H2" s="14" t="str">
        <f>B2&amp;"_"&amp;C2&amp;"-"&amp;G2</f>
        <v>13400_3-1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4">
        <v>456</v>
      </c>
      <c r="M2" s="103" t="str">
        <f ca="1">VLOOKUP($L2,OFFSET([3]enemies!$A$1,0,0,COUNTA([3]enemies!$A:$A),MATCH(M$1,[3]enemies!$1:$1,0)-MATCH($L$1,[3]enemies!$1:$1,0)+1),MATCH(M$1,[3]enemies!$1:$1,0)-MATCH($L$1,[3]enemies!$1:$1,0)+1,FALSE)</f>
        <v>射絶 ユヅル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20</v>
      </c>
      <c r="S2" s="23">
        <v>1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23646</v>
      </c>
      <c r="U2" s="23">
        <v>1.1000000000000001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2094.4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2" s="45">
        <v>13400060</v>
      </c>
      <c r="Z2" s="6">
        <v>1</v>
      </c>
      <c r="AA2" s="6">
        <v>100</v>
      </c>
      <c r="AB2" s="6">
        <v>1</v>
      </c>
      <c r="AC2" s="102">
        <v>2</v>
      </c>
      <c r="AD2" s="22">
        <f t="shared" ref="AD2:AD7" si="1">L2</f>
        <v>456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射絶 ユヅル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si="0"/>
        <v>13400_3-1/1200&lt;lv20&gt;s3</v>
      </c>
      <c r="B3" s="20">
        <v>13400</v>
      </c>
      <c r="C3" s="19">
        <v>3</v>
      </c>
      <c r="D3" s="2" t="str">
        <f t="shared" ref="D3:D7" si="2">B3&amp;"_"&amp;C3</f>
        <v>13400_3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3階 コスト制限なし</v>
      </c>
      <c r="G3" s="19">
        <v>1</v>
      </c>
      <c r="H3" s="14" t="str">
        <f t="shared" ref="H3:H7" si="3">B3&amp;"_"&amp;C3&amp;"-"&amp;G3</f>
        <v>13400_3-1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4">
        <v>1200</v>
      </c>
      <c r="M3" s="103" t="str">
        <f ca="1">VLOOKUP($L3,OFFSET([3]enemies!$A$1,0,0,COUNTA([3]enemies!$A:$A),MATCH(M$1,[3]enemies!$1:$1,0)-MATCH($L$1,[3]enemies!$1:$1,0)+1),MATCH(M$1,[3]enemies!$1:$1,0)-MATCH($L$1,[3]enemies!$1:$1,0)+1,FALSE)</f>
        <v>サイクロプス</v>
      </c>
      <c r="N3" s="16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20</v>
      </c>
      <c r="S3" s="23">
        <v>1.3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32701.5</v>
      </c>
      <c r="U3" s="23">
        <v>1.2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2307.6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ランダムでお邪魔パネルに最大3個変換</v>
      </c>
      <c r="Y3" s="45">
        <v>13400061</v>
      </c>
      <c r="Z3" s="6">
        <v>1</v>
      </c>
      <c r="AA3" s="6">
        <v>100</v>
      </c>
      <c r="AB3" s="6">
        <v>0</v>
      </c>
      <c r="AC3" s="102">
        <v>3</v>
      </c>
      <c r="AD3" s="22">
        <f t="shared" si="1"/>
        <v>1200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2">
        <f t="shared" ref="AI3:AI7" ca="1" si="4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0"/>
        <v>13400_3-2/272&lt;lv20&gt;s3</v>
      </c>
      <c r="B4" s="20">
        <v>13400</v>
      </c>
      <c r="C4" s="19">
        <v>3</v>
      </c>
      <c r="D4" s="2" t="str">
        <f t="shared" si="2"/>
        <v>13400_3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3階 コスト制限なし</v>
      </c>
      <c r="G4" s="19">
        <v>2</v>
      </c>
      <c r="H4" s="14" t="str">
        <f t="shared" si="3"/>
        <v>13400_3-2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4">
        <v>272</v>
      </c>
      <c r="M4" s="103" t="str">
        <f ca="1">VLOOKUP($L4,OFFSET([3]enemies!$A$1,0,0,COUNTA([3]enemies!$A:$A),MATCH(M$1,[3]enemies!$1:$1,0)-MATCH($L$1,[3]enemies!$1:$1,0)+1),MATCH(M$1,[3]enemies!$1:$1,0)-MATCH($L$1,[3]enemies!$1:$1,0)+1,FALSE)</f>
        <v>魔札のシルベール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20</v>
      </c>
      <c r="S4" s="23">
        <v>1.7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40198.199999999997</v>
      </c>
      <c r="U4" s="23">
        <v>1.3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2475.2000000000003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お邪魔パネルをハートパネルに変換</v>
      </c>
      <c r="Y4" s="45">
        <v>13400062</v>
      </c>
      <c r="Z4" s="6">
        <v>1</v>
      </c>
      <c r="AA4" s="6">
        <v>100</v>
      </c>
      <c r="AB4" s="6">
        <v>1</v>
      </c>
      <c r="AC4" s="102">
        <v>3</v>
      </c>
      <c r="AD4" s="22">
        <f t="shared" si="1"/>
        <v>272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魔札のシルベール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2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0"/>
        <v>13400_3-2/764&lt;lv20&gt;s2</v>
      </c>
      <c r="B5" s="20">
        <v>13400</v>
      </c>
      <c r="C5" s="19">
        <v>3</v>
      </c>
      <c r="D5" s="2" t="str">
        <f t="shared" si="2"/>
        <v>13400_3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3階 コスト制限なし</v>
      </c>
      <c r="G5" s="19">
        <v>2</v>
      </c>
      <c r="H5" s="14" t="str">
        <f t="shared" si="3"/>
        <v>13400_3-2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4">
        <v>764</v>
      </c>
      <c r="M5" s="103" t="str">
        <f ca="1">VLOOKUP($L5,OFFSET([3]enemies!$A$1,0,0,COUNTA([3]enemies!$A:$A),MATCH(M$1,[3]enemies!$1:$1,0)-MATCH($L$1,[3]enemies!$1:$1,0)+1),MATCH(M$1,[3]enemies!$1:$1,0)-MATCH($L$1,[3]enemies!$1:$1,0)+1,FALSE)</f>
        <v>ライオネル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20</v>
      </c>
      <c r="S5" s="23">
        <v>1.1000000000000001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30130.100000000002</v>
      </c>
      <c r="U5" s="23">
        <v>1.2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2906.4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45">
        <v>13400063</v>
      </c>
      <c r="Z5" s="6">
        <v>1</v>
      </c>
      <c r="AA5" s="6">
        <v>100</v>
      </c>
      <c r="AB5" s="6">
        <v>0</v>
      </c>
      <c r="AC5" s="102">
        <v>2</v>
      </c>
      <c r="AD5" s="22">
        <f t="shared" si="1"/>
        <v>764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ライオネル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2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0"/>
        <v>13400_3-3/1129&lt;lv20&gt;s1</v>
      </c>
      <c r="B6" s="20">
        <v>13400</v>
      </c>
      <c r="C6" s="19">
        <v>3</v>
      </c>
      <c r="D6" s="2" t="str">
        <f t="shared" si="2"/>
        <v>13400_3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-セカンド（仮）-</v>
      </c>
      <c r="F6" s="4" t="str">
        <f ca="1">VLOOKUP($D6,OFFSET([2]stages!$A$1,0,0,COUNTA([2]stages!$A:$A),MATCH(F$1,[2]stages!$2:$2,0)-MATCH($D$1,[2]stages!$2:$2,0)+1),MATCH(F$1,[2]stages!$2:$2,0)-MATCH($D$1,[2]stages!$2:$2,0)+1,FALSE)</f>
        <v>3階 コスト制限なし</v>
      </c>
      <c r="G6" s="19">
        <v>3</v>
      </c>
      <c r="H6" s="14" t="str">
        <f t="shared" si="3"/>
        <v>13400_3-3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04">
        <v>1129</v>
      </c>
      <c r="M6" s="103" t="str">
        <f ca="1">VLOOKUP($L6,OFFSET([3]enemies!$A$1,0,0,COUNTA([3]enemies!$A:$A),MATCH(M$1,[3]enemies!$1:$1,0)-MATCH($L$1,[3]enemies!$1:$1,0)+1),MATCH(M$1,[3]enemies!$1:$1,0)-MATCH($L$1,[3]enemies!$1:$1,0)+1,FALSE)</f>
        <v>赤兎馬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20</v>
      </c>
      <c r="S6" s="23">
        <v>1.4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51170</v>
      </c>
      <c r="U6" s="23">
        <v>1.3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3424.2000000000003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ランダムでお邪魔パネルに最大5個変換</v>
      </c>
      <c r="Y6" s="45">
        <v>13400064</v>
      </c>
      <c r="Z6" s="6">
        <v>1</v>
      </c>
      <c r="AA6" s="6">
        <v>100</v>
      </c>
      <c r="AB6" s="6">
        <v>1</v>
      </c>
      <c r="AC6" s="102">
        <v>1</v>
      </c>
      <c r="AD6" s="22">
        <f t="shared" si="1"/>
        <v>1129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2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si="0"/>
        <v>13400_3-3/766&lt;lv20&gt;s2</v>
      </c>
      <c r="B7" s="20">
        <v>13400</v>
      </c>
      <c r="C7" s="19">
        <v>3</v>
      </c>
      <c r="D7" s="2" t="str">
        <f t="shared" si="2"/>
        <v>13400_3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-セカンド（仮）-</v>
      </c>
      <c r="F7" s="4" t="str">
        <f ca="1">VLOOKUP($D7,OFFSET([2]stages!$A$1,0,0,COUNTA([2]stages!$A:$A),MATCH(F$1,[2]stages!$2:$2,0)-MATCH($D$1,[2]stages!$2:$2,0)+1),MATCH(F$1,[2]stages!$2:$2,0)-MATCH($D$1,[2]stages!$2:$2,0)+1,FALSE)</f>
        <v>3階 コスト制限なし</v>
      </c>
      <c r="G7" s="19">
        <v>3</v>
      </c>
      <c r="H7" s="14" t="str">
        <f t="shared" si="3"/>
        <v>13400_3-3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53</v>
      </c>
      <c r="L7" s="104">
        <v>766</v>
      </c>
      <c r="M7" s="103" t="str">
        <f ca="1">VLOOKUP($L7,OFFSET([3]enemies!$A$1,0,0,COUNTA([3]enemies!$A:$A),MATCH(M$1,[3]enemies!$1:$1,0)-MATCH($L$1,[3]enemies!$1:$1,0)+1),MATCH(M$1,[3]enemies!$1:$1,0)-MATCH($L$1,[3]enemies!$1:$1,0)+1,FALSE)</f>
        <v>ランドラグ</v>
      </c>
      <c r="N7" s="1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20</v>
      </c>
      <c r="S7" s="23">
        <v>1.45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67580.149999999994</v>
      </c>
      <c r="U7" s="23">
        <v>1.4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2910.6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お邪魔パネルを吸収して全体攻撃</v>
      </c>
      <c r="Y7" s="45">
        <v>13400065</v>
      </c>
      <c r="Z7" s="6">
        <v>1</v>
      </c>
      <c r="AA7" s="6">
        <v>100</v>
      </c>
      <c r="AB7" s="6">
        <v>0</v>
      </c>
      <c r="AC7" s="102">
        <v>2</v>
      </c>
      <c r="AD7" s="22">
        <f t="shared" si="1"/>
        <v>766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ランドラグ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2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90" zoomScaleNormal="90" zoomScalePageLayoutView="90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C6" sqref="C6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248</v>
      </c>
      <c r="V1" s="24" t="s">
        <v>50</v>
      </c>
      <c r="W1" s="99" t="s">
        <v>249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8" sqref="C8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13400060_13400060</v>
      </c>
      <c r="B2" s="45">
        <v>13400060</v>
      </c>
      <c r="C2" s="45">
        <v>13400060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射法・散弾矢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" s="45">
        <v>13400060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9" si="1">B3&amp;"_"&amp;C3</f>
        <v>13400061_13400061</v>
      </c>
      <c r="B3" s="45">
        <v>13400061</v>
      </c>
      <c r="C3" s="45">
        <v>13400061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ジャミングレーザー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</v>
      </c>
      <c r="F3" s="45">
        <v>13400061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5"/>
      <c r="Q3" s="45"/>
      <c r="R3" s="45"/>
    </row>
    <row r="4" spans="1:18" ht="21" customHeight="1" x14ac:dyDescent="0.15">
      <c r="A4" s="37" t="str">
        <f t="shared" ref="A4" si="2">B4&amp;"_"&amp;C4</f>
        <v>13400061_13400066</v>
      </c>
      <c r="B4" s="45">
        <v>13400061</v>
      </c>
      <c r="C4" s="45">
        <v>13400066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ここは絶対に通さない…！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誰かに忠誠を誓っているようだ</v>
      </c>
      <c r="F4" s="45">
        <v>13400066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13400062_13400062</v>
      </c>
      <c r="B5" s="45">
        <v>13400062</v>
      </c>
      <c r="C5" s="45">
        <v>13400062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ハートマジック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お邪魔パネルをハートパネルに変換</v>
      </c>
      <c r="F5" s="45">
        <v>13400062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13400063_13400063</v>
      </c>
      <c r="B6" s="45">
        <v>13400063</v>
      </c>
      <c r="C6" s="45">
        <v>13400063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くらえッ！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45">
        <v>13400063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13400064_13400064</v>
      </c>
      <c r="B7" s="45">
        <v>13400064</v>
      </c>
      <c r="C7" s="45">
        <v>13400064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ジャマしてやる！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</v>
      </c>
      <c r="F7" s="45">
        <v>13400064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ref="A8" si="3">B8&amp;"_"&amp;C8</f>
        <v>13400064_13400067</v>
      </c>
      <c r="B8" s="45">
        <v>13400064</v>
      </c>
      <c r="C8" s="45">
        <v>13400067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オマエ、_x000D_こんなとこまで来たのか！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エンジンを吹かしている</v>
      </c>
      <c r="F8" s="45">
        <v>13400066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13400065_13400065</v>
      </c>
      <c r="B9" s="45">
        <v>13400065</v>
      </c>
      <c r="C9" s="45">
        <v>13400065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フレイムブレス！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9" s="45">
        <v>13400065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9"/>
  <sheetViews>
    <sheetView showGridLines="0" tabSelected="1" workbookViewId="0">
      <pane ySplit="1" topLeftCell="A2" activePane="bottomLeft" state="frozenSplit"/>
      <selection pane="bottomLeft" activeCell="E9" sqref="E9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33" style="47" customWidth="1"/>
    <col min="3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0" style="47" hidden="1" customWidth="1"/>
    <col min="28" max="28" width="44.5" style="47" hidden="1" customWidth="1"/>
    <col min="29" max="29" width="44.83203125" style="47" customWidth="1"/>
    <col min="30" max="16384" width="12.83203125" style="47"/>
  </cols>
  <sheetData>
    <row r="1" spans="1:29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253</v>
      </c>
    </row>
    <row r="2" spans="1:29" ht="21" customHeight="1" x14ac:dyDescent="0.15">
      <c r="A2" s="45">
        <v>13400060</v>
      </c>
      <c r="B2" s="45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LEN(SUBSTITUTE(F2,CHAR(13),""))*0.1)),"0.0")&amp;"]"&amp;IF(LEN(AC2)&gt;0, ","&amp;AC2,AC2)</f>
        <v>[effect:enemy_message, val1:1.2, val2:1.2],[effect:rush, count:2, val:0.5]</v>
      </c>
      <c r="C2" s="48">
        <v>3</v>
      </c>
      <c r="D2" s="48" t="s">
        <v>252</v>
      </c>
      <c r="E2" s="49" t="s">
        <v>284</v>
      </c>
      <c r="F2" s="49" t="s">
        <v>271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>[effect:rush, count:2, val:0.5]</v>
      </c>
      <c r="N2" s="46" t="str">
        <f>IFERROR(LEFT(M2,FIND("],",M2)+S13),M2)</f>
        <v>[effect:rush, count:2, val:0.5]</v>
      </c>
      <c r="O2" s="61">
        <f>FIND("effect:",N2)+7</f>
        <v>9</v>
      </c>
      <c r="P2" s="61">
        <f>IFERROR(FIND(",",N2),LEN(N2))</f>
        <v>13</v>
      </c>
      <c r="Q2" s="61" t="e">
        <f>FIND("target:",N2)+7</f>
        <v>#VALUE!</v>
      </c>
      <c r="R2" s="61">
        <f>FIND(",",N2,P2+1)</f>
        <v>22</v>
      </c>
      <c r="S2" s="61" t="str">
        <f>IFERROR(VLOOKUP(MID(N2,Q2,R2-Q2),[5]skilldef!$C:$D,2,FALSE),"-") &amp; " / " &amp; IFERROR(VLOOKUP(MID(N2,O2,P2-O2),[5]skilldef!$A:$B,2,FALSE),"-")</f>
        <v>- / 連続攻撃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  <c r="AC2" s="101" t="s">
        <v>269</v>
      </c>
    </row>
    <row r="3" spans="1:29" ht="21" customHeight="1" x14ac:dyDescent="0.15">
      <c r="A3" s="45">
        <v>13400061</v>
      </c>
      <c r="B3" s="45" t="str">
        <f t="shared" ref="B3:B5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LEN(F3)*0.1)),"0.0")&amp;"]"&amp;IF(LEN(AC3)&gt;0, ","&amp;AC3,AC3)</f>
        <v>[effect:enemy_message, val1:1.2, val2:1.8],[effect:force_change_block, new_block:jammer, target:block_all, ignore01:crash, ignore02:crack_bomb, ignore03:time_bomb, ignore04:jammer, ignore05:color_break, ignore06:damage, ignore07:magnet, count:3, val:0, animation:change_block]</v>
      </c>
      <c r="C3" s="48">
        <v>3</v>
      </c>
      <c r="D3" s="48" t="s">
        <v>252</v>
      </c>
      <c r="E3" s="49" t="s">
        <v>277</v>
      </c>
      <c r="F3" s="49" t="s">
        <v>282</v>
      </c>
      <c r="G3" s="61" t="str">
        <f t="shared" ref="G3:G5" si="1">IFERROR(LEFT(B3,FIND("],",B3)),B3)</f>
        <v>[effect:enemy_message, val1:1.2, val2:1.8]</v>
      </c>
      <c r="H3" s="61">
        <f t="shared" ref="H3:H5" si="2">FIND("effect:",G3)+7</f>
        <v>9</v>
      </c>
      <c r="I3" s="61">
        <f t="shared" ref="I3:I5" si="3">IFERROR(FIND(",",G3),LEN(G3))</f>
        <v>22</v>
      </c>
      <c r="J3" s="61" t="e">
        <f t="shared" ref="J3:J5" si="4">FIND("target:",G3)+7</f>
        <v>#VALUE!</v>
      </c>
      <c r="K3" s="61">
        <f t="shared" ref="K3:K5" si="5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ref="M3:M5" si="6">IFERROR(RIGHT(B3,LEN(B3)-FIND("],",B3)-1),"none")</f>
        <v>[effect:force_change_block, new_block:jammer, target:block_all, ignore01:crash, ignore02:crack_bomb, ignore03:time_bomb, ignore04:jammer, ignore05:color_break, ignore06:damage, ignore07:magnet, count:3, val:0, animation:change_block]</v>
      </c>
      <c r="N3" s="46" t="str">
        <f>IFERROR(LEFT(M3,FIND("],",M3)+S14),M3)</f>
        <v>[effect:force_change_block, new_block:jammer, target:block_all, ignore01:crash, ignore02:crack_bomb, ignore03:time_bomb, ignore04:jammer, ignore05:color_break, ignore06:damage, ignore07:magnet, count:3, val:0, animation:change_block]</v>
      </c>
      <c r="O3" s="61">
        <f t="shared" ref="O3:O5" si="7">FIND("effect:",N3)+7</f>
        <v>9</v>
      </c>
      <c r="P3" s="61">
        <f t="shared" ref="P3:P5" si="8">IFERROR(FIND(",",N3),LEN(N3))</f>
        <v>27</v>
      </c>
      <c r="Q3" s="61">
        <f t="shared" ref="Q3:Q5" si="9">FIND("target:",N3)+7</f>
        <v>54</v>
      </c>
      <c r="R3" s="61">
        <f t="shared" ref="R3:R5" si="10">FIND(",",N3,P3+1)</f>
        <v>45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 t="shared" ref="T3:T5" si="11">IFERROR(RIGHT(M3,LEN(M3)-FIND("],",M3)-1),"none")</f>
        <v>none</v>
      </c>
      <c r="U3" s="61" t="e">
        <f t="shared" ref="U3:U5" si="12">FIND("effect:",T3)+7</f>
        <v>#VALUE!</v>
      </c>
      <c r="V3" s="61">
        <f t="shared" ref="V3:V5" si="13">IFERROR(FIND(",",T3),LEN(T3))</f>
        <v>4</v>
      </c>
      <c r="W3" s="61" t="e">
        <f t="shared" ref="W3:W5" si="14">FIND("target:",T3)+7</f>
        <v>#VALUE!</v>
      </c>
      <c r="X3" s="61" t="e">
        <f t="shared" ref="X3:X5" si="15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1" t="s">
        <v>288</v>
      </c>
    </row>
    <row r="4" spans="1:29" ht="21" customHeight="1" x14ac:dyDescent="0.15">
      <c r="A4" s="45">
        <v>13400062</v>
      </c>
      <c r="B4" s="45" t="str">
        <f t="shared" si="0"/>
        <v>[effect:enemy_message, val1:1.2, val2:1.6],[effect:force_change_block, new_block:block_heart, target:jammer, count:0, val:0, animation:change_block]</v>
      </c>
      <c r="C4" s="48">
        <v>3</v>
      </c>
      <c r="D4" s="48" t="s">
        <v>252</v>
      </c>
      <c r="E4" s="49" t="s">
        <v>281</v>
      </c>
      <c r="F4" s="49" t="s">
        <v>272</v>
      </c>
      <c r="G4" s="61" t="str">
        <f t="shared" si="1"/>
        <v>[effect:enemy_message, val1:1.2, val2:1.6]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6"/>
        <v>[effect:force_change_block, new_block:block_heart, target:jammer, count:0, val:0, animation:change_block]</v>
      </c>
      <c r="N4" s="46" t="str">
        <f>IFERROR(LEFT(M4,FIND("],",M4)+S15),M4)</f>
        <v>[effect:force_change_block, new_block:block_heart, target:jammer, count:0, val:0, animation:change_block]</v>
      </c>
      <c r="O4" s="61">
        <f t="shared" si="7"/>
        <v>9</v>
      </c>
      <c r="P4" s="61">
        <f t="shared" si="8"/>
        <v>27</v>
      </c>
      <c r="Q4" s="61">
        <f t="shared" si="9"/>
        <v>59</v>
      </c>
      <c r="R4" s="61">
        <f t="shared" si="10"/>
        <v>50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1" t="s">
        <v>289</v>
      </c>
    </row>
    <row r="5" spans="1:29" ht="21" customHeight="1" x14ac:dyDescent="0.15">
      <c r="A5" s="45">
        <v>13400063</v>
      </c>
      <c r="B5" s="45" t="str">
        <f t="shared" si="0"/>
        <v>[effect:enemy_message, val1:1.2, val2:1.2],[effect:critical, val:1.2]</v>
      </c>
      <c r="C5" s="48">
        <v>3</v>
      </c>
      <c r="D5" s="48" t="s">
        <v>252</v>
      </c>
      <c r="E5" s="49" t="s">
        <v>278</v>
      </c>
      <c r="F5" s="49" t="s">
        <v>273</v>
      </c>
      <c r="G5" s="61" t="str">
        <f t="shared" si="1"/>
        <v>[effect:enemy_message, val1:1.2, val2:1.2]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6"/>
        <v>[effect:critical, val:1.2]</v>
      </c>
      <c r="N5" s="46" t="str">
        <f>IFERROR(LEFT(M5,FIND("],",M5)+S16),M5)</f>
        <v>[effect:critical, val:1.2]</v>
      </c>
      <c r="O5" s="61">
        <f t="shared" si="7"/>
        <v>9</v>
      </c>
      <c r="P5" s="61">
        <f t="shared" si="8"/>
        <v>17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IFERROR(VLOOKUP(MID(N5,Q5,R5-Q5),[5]skilldef!$C:$D,2,FALSE),"-") &amp; " / " &amp; IFERROR(VLOOKUP(MID(N5,O5,P5-O5),[5]skilldef!$A:$B,2,FALSE),"-")</f>
        <v>- / 大攻撃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  <c r="AC5" s="101" t="s">
        <v>270</v>
      </c>
    </row>
    <row r="6" spans="1:29" ht="21" customHeight="1" x14ac:dyDescent="0.15">
      <c r="A6" s="45">
        <v>13400064</v>
      </c>
      <c r="B6" s="45" t="str">
        <f t="shared" ref="B6:B8" si="16">"[effect:enemy_message, val1:"&amp;TEXT(IF(TEXT(E6,0)="[表示しない]", "0", IF(LEN(SUBSTITUTE(E6,CHAR(13),""))*0.1&lt;1.2, 1.2, LEN(SUBSTITUTE(E6,CHAR(13),""))*0.1)), "0.0")&amp;", val2:"&amp;TEXT(IF(TEXT(F6,0)="[表示しない]", "0", IF(LEN(SUBSTITUTE(F6,CHAR(13),""))*0.1&lt;1.2, 1.2, LEN(F6)*0.1)),"0.0")&amp;"]"&amp;IF(LEN(AC6)&gt;0, ","&amp;AC6,AC6)</f>
        <v>[effect:enemy_message, val1:1.2, val2:1.8],[effect:force_change_block, new_block:jammer, target:block_all, ignore01:crash, ignore02:crack_bomb, ignore03:time_bomb, ignore04:jammer, ignore05:color_break, ignore06:damage, ignore07:magnet, count:5, val:0, animation:change_block]</v>
      </c>
      <c r="C6" s="48">
        <v>3</v>
      </c>
      <c r="D6" s="48" t="s">
        <v>196</v>
      </c>
      <c r="E6" s="49" t="s">
        <v>279</v>
      </c>
      <c r="F6" s="49" t="s">
        <v>283</v>
      </c>
      <c r="G6" s="61" t="str">
        <f t="shared" ref="G6:G9" si="17">IFERROR(LEFT(B6,FIND("],",B6)),B6)</f>
        <v>[effect:enemy_message, val1:1.2, val2:1.8]</v>
      </c>
      <c r="H6" s="61">
        <f t="shared" ref="H6:H9" si="18">FIND("effect:",G6)+7</f>
        <v>9</v>
      </c>
      <c r="I6" s="61">
        <f t="shared" ref="I6:I9" si="19">IFERROR(FIND(",",G6),LEN(G6))</f>
        <v>22</v>
      </c>
      <c r="J6" s="61" t="e">
        <f t="shared" ref="J6:J9" si="20">FIND("target:",G6)+7</f>
        <v>#VALUE!</v>
      </c>
      <c r="K6" s="61">
        <f t="shared" ref="K6:K9" si="21">FIND(",",G6,I6+1)</f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ref="M6:M9" si="22">IFERROR(RIGHT(B6,LEN(B6)-FIND("],",B6)-1),"none")</f>
        <v>[effect:force_change_block, new_block:jammer, target:block_all, ignore01:crash, ignore02:crack_bomb, ignore03:time_bomb, ignore04:jammer, ignore05:color_break, ignore06:damage, ignore07:magnet, count:5, val:0, animation:change_block]</v>
      </c>
      <c r="N6" s="46" t="str">
        <f>IFERROR(LEFT(M6,FIND("],",M6)+S17),M6)</f>
        <v>[effect:force_change_block, new_block:jammer, target:block_all, ignore01:crash, ignore02:crack_bomb, ignore03:time_bomb, ignore04:jammer, ignore05:color_break, ignore06:damage, ignore07:magnet, count:5, val:0, animation:change_block]</v>
      </c>
      <c r="O6" s="61">
        <f t="shared" ref="O6:O9" si="23">FIND("effect:",N6)+7</f>
        <v>9</v>
      </c>
      <c r="P6" s="61">
        <f t="shared" ref="P6:P9" si="24">IFERROR(FIND(",",N6),LEN(N6))</f>
        <v>27</v>
      </c>
      <c r="Q6" s="61">
        <f t="shared" ref="Q6:Q9" si="25">FIND("target:",N6)+7</f>
        <v>54</v>
      </c>
      <c r="R6" s="61">
        <f t="shared" ref="R6:R9" si="26">FIND(",",N6,P6+1)</f>
        <v>45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ref="T6:T9" si="27">IFERROR(RIGHT(M6,LEN(M6)-FIND("],",M6)-1),"none")</f>
        <v>none</v>
      </c>
      <c r="U6" s="61" t="e">
        <f t="shared" ref="U6:U9" si="28">FIND("effect:",T6)+7</f>
        <v>#VALUE!</v>
      </c>
      <c r="V6" s="61">
        <f t="shared" ref="V6:V9" si="29">IFERROR(FIND(",",T6),LEN(T6))</f>
        <v>4</v>
      </c>
      <c r="W6" s="61" t="e">
        <f t="shared" ref="W6:W9" si="30">FIND("target:",T6)+7</f>
        <v>#VALUE!</v>
      </c>
      <c r="X6" s="61" t="e">
        <f t="shared" ref="X6:X9" si="31">FIND(",",T6,V6+1)</f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  <c r="AC6" s="101" t="s">
        <v>290</v>
      </c>
    </row>
    <row r="7" spans="1:29" ht="21" customHeight="1" x14ac:dyDescent="0.15">
      <c r="A7" s="45">
        <v>13400067</v>
      </c>
      <c r="B7" s="45" t="str">
        <f t="shared" ref="B7" si="32">"[effect:enemy_message, val1:"&amp;TEXT(IF(TEXT(E7,0)="[表示しない]", "0", IF(LEN(SUBSTITUTE(E7,CHAR(13),""))*0.1&lt;1.2, 1.2, LEN(SUBSTITUTE(E7,CHAR(13),""))*0.1)), "0.0")&amp;", val2:"&amp;TEXT(IF(TEXT(F7,0)="[表示しない]", "0", IF(LEN(SUBSTITUTE(F7,CHAR(13),""))*0.1&lt;1.2, 1.2, LEN(F7)*0.1)),"0.0")&amp;"]"&amp;IF(LEN(AC7)&gt;0, ","&amp;AC7,AC7)</f>
        <v>[effect:enemy_message, val1:1.6, val2:1.2]</v>
      </c>
      <c r="C7" s="48">
        <v>3</v>
      </c>
      <c r="D7" s="48" t="s">
        <v>196</v>
      </c>
      <c r="E7" s="49" t="s">
        <v>297</v>
      </c>
      <c r="F7" s="49" t="s">
        <v>296</v>
      </c>
      <c r="G7" s="61" t="str">
        <f t="shared" ref="G7" si="33">IFERROR(LEFT(B7,FIND("],",B7)),B7)</f>
        <v>[effect:enemy_message, val1:1.6, val2:1.2]</v>
      </c>
      <c r="H7" s="61">
        <f t="shared" ref="H7" si="34">FIND("effect:",G7)+7</f>
        <v>9</v>
      </c>
      <c r="I7" s="61">
        <f t="shared" ref="I7" si="35">IFERROR(FIND(",",G7),LEN(G7))</f>
        <v>22</v>
      </c>
      <c r="J7" s="61" t="e">
        <f t="shared" ref="J7" si="36">FIND("target:",G7)+7</f>
        <v>#VALUE!</v>
      </c>
      <c r="K7" s="61">
        <f t="shared" ref="K7" si="37">FIND(",",G7,I7+1)</f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ref="M7" si="38">IFERROR(RIGHT(B7,LEN(B7)-FIND("],",B7)-1),"none")</f>
        <v>none</v>
      </c>
      <c r="N7" s="46" t="str">
        <f>IFERROR(LEFT(M7,FIND("],",M7)+S18),M7)</f>
        <v>none</v>
      </c>
      <c r="O7" s="61" t="e">
        <f t="shared" ref="O7" si="39">FIND("effect:",N7)+7</f>
        <v>#VALUE!</v>
      </c>
      <c r="P7" s="61">
        <f t="shared" ref="P7" si="40">IFERROR(FIND(",",N7),LEN(N7))</f>
        <v>4</v>
      </c>
      <c r="Q7" s="61" t="e">
        <f t="shared" ref="Q7" si="41">FIND("target:",N7)+7</f>
        <v>#VALUE!</v>
      </c>
      <c r="R7" s="61" t="e">
        <f t="shared" ref="R7" si="42">FIND(",",N7,P7+1)</f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6" t="str">
        <f t="shared" ref="T7" si="43">IFERROR(RIGHT(M7,LEN(M7)-FIND("],",M7)-1),"none")</f>
        <v>none</v>
      </c>
      <c r="U7" s="61" t="e">
        <f t="shared" ref="U7" si="44">FIND("effect:",T7)+7</f>
        <v>#VALUE!</v>
      </c>
      <c r="V7" s="61">
        <f t="shared" ref="V7" si="45">IFERROR(FIND(",",T7),LEN(T7))</f>
        <v>4</v>
      </c>
      <c r="W7" s="61" t="e">
        <f t="shared" ref="W7" si="46">FIND("target:",T7)+7</f>
        <v>#VALUE!</v>
      </c>
      <c r="X7" s="61" t="e">
        <f t="shared" ref="X7" si="47">FIND(",",T7,V7+1)</f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  <c r="AC7" s="101"/>
    </row>
    <row r="8" spans="1:29" ht="21" customHeight="1" x14ac:dyDescent="0.15">
      <c r="A8" s="45">
        <v>13400065</v>
      </c>
      <c r="B8" s="45" t="str">
        <f t="shared" si="16"/>
        <v xml:space="preserve">[effect:enemy_message, val1:1.2, val2:1.5],[effect:break_attack_fix, target:unit_all, val:100, lowest_val:850, count:-1, color:red, block01:jammer]    </v>
      </c>
      <c r="C8" s="48">
        <v>3</v>
      </c>
      <c r="D8" s="48" t="s">
        <v>196</v>
      </c>
      <c r="E8" s="49" t="s">
        <v>280</v>
      </c>
      <c r="F8" s="49" t="s">
        <v>274</v>
      </c>
      <c r="G8" s="61" t="str">
        <f t="shared" si="17"/>
        <v>[effect:enemy_message, val1:1.2, val2:1.5]</v>
      </c>
      <c r="H8" s="61">
        <f t="shared" si="18"/>
        <v>9</v>
      </c>
      <c r="I8" s="61">
        <f t="shared" si="19"/>
        <v>22</v>
      </c>
      <c r="J8" s="61" t="e">
        <f t="shared" si="20"/>
        <v>#VALUE!</v>
      </c>
      <c r="K8" s="61">
        <f t="shared" si="21"/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22"/>
        <v xml:space="preserve">[effect:break_attack_fix, target:unit_all, val:100, lowest_val:850, count:-1, color:red, block01:jammer]    </v>
      </c>
      <c r="N8" s="46" t="str">
        <f t="shared" ref="N8:N9" si="48">IFERROR(LEFT(M8,FIND("],",M8)+S18),M8)</f>
        <v xml:space="preserve">[effect:break_attack_fix, target:unit_all, val:100, lowest_val:850, count:-1, color:red, block01:jammer]    </v>
      </c>
      <c r="O8" s="61">
        <f t="shared" si="23"/>
        <v>9</v>
      </c>
      <c r="P8" s="61">
        <f t="shared" si="24"/>
        <v>25</v>
      </c>
      <c r="Q8" s="61">
        <f t="shared" si="25"/>
        <v>34</v>
      </c>
      <c r="R8" s="61">
        <f t="shared" si="26"/>
        <v>42</v>
      </c>
      <c r="S8" s="61" t="str">
        <f>IFERROR(VLOOKUP(MID(N8,Q8,R8-Q8),[5]skilldef!$C:$D,2,FALSE),"-") &amp; " / " &amp; IFERROR(VLOOKUP(MID(N8,O8,P8-O8),[5]skilldef!$A:$B,2,FALSE),"-")</f>
        <v>味方全体に / -</v>
      </c>
      <c r="T8" s="46" t="str">
        <f t="shared" si="27"/>
        <v>none</v>
      </c>
      <c r="U8" s="61" t="e">
        <f t="shared" si="28"/>
        <v>#VALUE!</v>
      </c>
      <c r="V8" s="61">
        <f t="shared" si="29"/>
        <v>4</v>
      </c>
      <c r="W8" s="61" t="e">
        <f t="shared" si="30"/>
        <v>#VALUE!</v>
      </c>
      <c r="X8" s="61" t="e">
        <f t="shared" si="31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  <c r="AC8" s="101" t="s">
        <v>291</v>
      </c>
    </row>
    <row r="9" spans="1:29" ht="21" customHeight="1" x14ac:dyDescent="0.15">
      <c r="A9" s="45">
        <v>13400066</v>
      </c>
      <c r="B9" s="45" t="s">
        <v>294</v>
      </c>
      <c r="C9" s="48">
        <v>3</v>
      </c>
      <c r="D9" s="48" t="s">
        <v>196</v>
      </c>
      <c r="E9" s="49" t="s">
        <v>295</v>
      </c>
      <c r="F9" s="49" t="s">
        <v>293</v>
      </c>
      <c r="G9" s="61" t="str">
        <f t="shared" si="17"/>
        <v>[effect:enemy_message, val1:1.2, val2:1.9]</v>
      </c>
      <c r="H9" s="61">
        <f t="shared" si="18"/>
        <v>9</v>
      </c>
      <c r="I9" s="61">
        <f t="shared" si="19"/>
        <v>22</v>
      </c>
      <c r="J9" s="61" t="e">
        <f t="shared" si="20"/>
        <v>#VALUE!</v>
      </c>
      <c r="K9" s="61">
        <f t="shared" si="21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22"/>
        <v>none</v>
      </c>
      <c r="N9" s="46" t="str">
        <f t="shared" si="48"/>
        <v>none</v>
      </c>
      <c r="O9" s="61" t="e">
        <f t="shared" si="23"/>
        <v>#VALUE!</v>
      </c>
      <c r="P9" s="61">
        <f t="shared" si="24"/>
        <v>4</v>
      </c>
      <c r="Q9" s="61" t="e">
        <f t="shared" si="25"/>
        <v>#VALUE!</v>
      </c>
      <c r="R9" s="61" t="e">
        <f t="shared" si="26"/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27"/>
        <v>none</v>
      </c>
      <c r="U9" s="61" t="e">
        <f t="shared" si="28"/>
        <v>#VALUE!</v>
      </c>
      <c r="V9" s="61">
        <f t="shared" si="29"/>
        <v>4</v>
      </c>
      <c r="W9" s="61" t="e">
        <f t="shared" si="30"/>
        <v>#VALUE!</v>
      </c>
      <c r="X9" s="61" t="e">
        <f t="shared" si="31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  <c r="AC9" s="101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8"/>
  <sheetViews>
    <sheetView showGridLines="0" workbookViewId="0">
      <pane ySplit="1" topLeftCell="A2" activePane="bottomLeft" state="frozenSplit"/>
      <selection pane="bottomLeft" activeCell="C8" sqref="C8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7.6640625" style="106" customWidth="1"/>
    <col min="12" max="12" width="12.83203125" style="43"/>
    <col min="13" max="13" width="30" style="43" customWidth="1"/>
    <col min="14" max="16384" width="12.83203125" style="43"/>
  </cols>
  <sheetData>
    <row r="1" spans="1:13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3" ht="21" customHeight="1" x14ac:dyDescent="0.15">
      <c r="A2" s="45">
        <v>13400060</v>
      </c>
      <c r="B2" s="45">
        <v>0</v>
      </c>
      <c r="C2" s="45">
        <v>500</v>
      </c>
      <c r="D2" s="45">
        <v>100</v>
      </c>
      <c r="E2" s="45" t="s">
        <v>251</v>
      </c>
      <c r="F2" s="45" t="s">
        <v>89</v>
      </c>
      <c r="G2" s="45" t="s">
        <v>251</v>
      </c>
      <c r="H2" s="45">
        <v>2</v>
      </c>
      <c r="I2" s="45" t="s">
        <v>89</v>
      </c>
      <c r="J2" s="46">
        <f t="shared" ref="J2" si="0">D2</f>
        <v>100</v>
      </c>
      <c r="K2" s="37"/>
      <c r="L2" s="49" t="s">
        <v>255</v>
      </c>
      <c r="M2" s="49" t="s">
        <v>261</v>
      </c>
    </row>
    <row r="3" spans="1:13" ht="21" customHeight="1" x14ac:dyDescent="0.15">
      <c r="A3" s="45">
        <v>13400061</v>
      </c>
      <c r="B3" s="45">
        <v>0</v>
      </c>
      <c r="C3" s="45">
        <v>500</v>
      </c>
      <c r="D3" s="45">
        <v>50</v>
      </c>
      <c r="E3" s="45" t="s">
        <v>251</v>
      </c>
      <c r="F3" s="45" t="s">
        <v>89</v>
      </c>
      <c r="G3" s="45">
        <v>3</v>
      </c>
      <c r="H3" s="45">
        <v>1</v>
      </c>
      <c r="I3" s="45" t="s">
        <v>89</v>
      </c>
      <c r="J3" s="46">
        <f t="shared" ref="J3:J7" si="1">D3</f>
        <v>50</v>
      </c>
      <c r="K3" s="37"/>
      <c r="L3" s="49" t="s">
        <v>256</v>
      </c>
      <c r="M3" s="49" t="s">
        <v>262</v>
      </c>
    </row>
    <row r="4" spans="1:13" ht="21" customHeight="1" x14ac:dyDescent="0.15">
      <c r="A4" s="45">
        <v>13400062</v>
      </c>
      <c r="B4" s="45">
        <v>1</v>
      </c>
      <c r="C4" s="45">
        <v>500</v>
      </c>
      <c r="D4" s="45">
        <v>100</v>
      </c>
      <c r="E4" s="45" t="s">
        <v>251</v>
      </c>
      <c r="F4" s="45" t="s">
        <v>89</v>
      </c>
      <c r="G4" s="45">
        <v>1</v>
      </c>
      <c r="H4" s="45">
        <v>1</v>
      </c>
      <c r="I4" s="45" t="s">
        <v>89</v>
      </c>
      <c r="J4" s="46">
        <f t="shared" si="1"/>
        <v>100</v>
      </c>
      <c r="K4" s="37"/>
      <c r="L4" s="49" t="s">
        <v>257</v>
      </c>
      <c r="M4" s="49" t="s">
        <v>263</v>
      </c>
    </row>
    <row r="5" spans="1:13" ht="21" customHeight="1" x14ac:dyDescent="0.15">
      <c r="A5" s="45">
        <v>13400063</v>
      </c>
      <c r="B5" s="45">
        <v>0</v>
      </c>
      <c r="C5" s="45">
        <v>500</v>
      </c>
      <c r="D5" s="45">
        <v>100</v>
      </c>
      <c r="E5" s="45" t="s">
        <v>251</v>
      </c>
      <c r="F5" s="45" t="s">
        <v>89</v>
      </c>
      <c r="G5" s="45" t="s">
        <v>251</v>
      </c>
      <c r="H5" s="45">
        <v>2</v>
      </c>
      <c r="I5" s="45" t="s">
        <v>89</v>
      </c>
      <c r="J5" s="46">
        <f t="shared" si="1"/>
        <v>100</v>
      </c>
      <c r="K5" s="37"/>
      <c r="L5" s="49" t="s">
        <v>258</v>
      </c>
      <c r="M5" s="49" t="s">
        <v>254</v>
      </c>
    </row>
    <row r="6" spans="1:13" ht="21" customHeight="1" x14ac:dyDescent="0.15">
      <c r="A6" s="45">
        <v>13400064</v>
      </c>
      <c r="B6" s="45">
        <v>0</v>
      </c>
      <c r="C6" s="45">
        <v>500</v>
      </c>
      <c r="D6" s="45">
        <v>100</v>
      </c>
      <c r="E6" s="45" t="s">
        <v>251</v>
      </c>
      <c r="F6" s="45" t="s">
        <v>89</v>
      </c>
      <c r="G6" s="45">
        <v>3</v>
      </c>
      <c r="H6" s="45">
        <v>1</v>
      </c>
      <c r="I6" s="45" t="s">
        <v>89</v>
      </c>
      <c r="J6" s="46">
        <f t="shared" si="1"/>
        <v>100</v>
      </c>
      <c r="K6" s="37"/>
      <c r="L6" s="49" t="s">
        <v>259</v>
      </c>
      <c r="M6" s="49" t="s">
        <v>264</v>
      </c>
    </row>
    <row r="7" spans="1:13" ht="21" customHeight="1" x14ac:dyDescent="0.15">
      <c r="A7" s="45">
        <v>13400065</v>
      </c>
      <c r="B7" s="45">
        <v>0</v>
      </c>
      <c r="C7" s="45">
        <v>500</v>
      </c>
      <c r="D7" s="45">
        <v>100</v>
      </c>
      <c r="E7" s="45" t="s">
        <v>251</v>
      </c>
      <c r="F7" s="45" t="s">
        <v>89</v>
      </c>
      <c r="G7" s="45" t="s">
        <v>251</v>
      </c>
      <c r="H7" s="45">
        <v>1</v>
      </c>
      <c r="I7" s="45" t="s">
        <v>89</v>
      </c>
      <c r="J7" s="46">
        <f t="shared" si="1"/>
        <v>100</v>
      </c>
      <c r="K7" s="37"/>
      <c r="L7" s="49" t="s">
        <v>260</v>
      </c>
      <c r="M7" s="49" t="s">
        <v>265</v>
      </c>
    </row>
    <row r="8" spans="1:13" ht="21" customHeight="1" x14ac:dyDescent="0.15">
      <c r="A8" s="45">
        <v>13400066</v>
      </c>
      <c r="B8" s="45">
        <v>1</v>
      </c>
      <c r="C8" s="45">
        <v>501</v>
      </c>
      <c r="D8" s="45">
        <v>100</v>
      </c>
      <c r="E8" s="45" t="s">
        <v>53</v>
      </c>
      <c r="F8" s="45" t="s">
        <v>53</v>
      </c>
      <c r="G8" s="45">
        <v>1</v>
      </c>
      <c r="H8" s="45">
        <v>1</v>
      </c>
      <c r="I8" s="45" t="s">
        <v>53</v>
      </c>
      <c r="J8" s="46">
        <f t="shared" ref="J8" si="2">D8</f>
        <v>100</v>
      </c>
      <c r="K8" s="37"/>
      <c r="L8" s="49" t="s">
        <v>256</v>
      </c>
      <c r="M8" s="49" t="s">
        <v>292</v>
      </c>
    </row>
  </sheetData>
  <autoFilter ref="A1:G1"/>
  <phoneticPr fontId="5"/>
  <conditionalFormatting sqref="K1:K7 K9:K1048576">
    <cfRule type="duplicateValues" dxfId="1" priority="2"/>
  </conditionalFormatting>
  <conditionalFormatting sqref="K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E10" sqref="E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3</v>
      </c>
      <c r="C2" s="68" t="str">
        <f t="shared" ref="C2:C6" si="0">A2&amp; "_"&amp;B2</f>
        <v>13400_3</v>
      </c>
      <c r="D2" s="17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224</v>
      </c>
      <c r="G2" s="55">
        <v>123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120</v>
      </c>
      <c r="Q2" s="55" t="s">
        <v>168</v>
      </c>
      <c r="R2" s="55" t="s">
        <v>169</v>
      </c>
    </row>
    <row r="3" spans="1:18" x14ac:dyDescent="0.15">
      <c r="A3" s="55">
        <v>13400</v>
      </c>
      <c r="B3" s="55">
        <v>3</v>
      </c>
      <c r="C3" s="68" t="str">
        <f t="shared" si="0"/>
        <v>13400_3</v>
      </c>
      <c r="D3" s="17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224</v>
      </c>
      <c r="G3" s="55">
        <v>609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100</v>
      </c>
      <c r="Q3" s="55" t="s">
        <v>168</v>
      </c>
      <c r="R3" s="55" t="s">
        <v>169</v>
      </c>
    </row>
    <row r="4" spans="1:18" x14ac:dyDescent="0.15">
      <c r="A4" s="55">
        <v>13400</v>
      </c>
      <c r="B4" s="55">
        <v>3</v>
      </c>
      <c r="C4" s="68" t="str">
        <f t="shared" si="0"/>
        <v>13400_3</v>
      </c>
      <c r="D4" s="17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224</v>
      </c>
      <c r="G4" s="55">
        <v>125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</v>
      </c>
      <c r="Q4" s="55" t="s">
        <v>168</v>
      </c>
      <c r="R4" s="55" t="s">
        <v>169</v>
      </c>
    </row>
    <row r="5" spans="1:18" x14ac:dyDescent="0.15">
      <c r="A5" s="55">
        <v>13400</v>
      </c>
      <c r="B5" s="55">
        <v>3</v>
      </c>
      <c r="C5" s="68" t="str">
        <f t="shared" si="0"/>
        <v>13400_3</v>
      </c>
      <c r="D5" s="17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224</v>
      </c>
      <c r="G5" s="55">
        <v>334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520</v>
      </c>
      <c r="Q5" s="55" t="s">
        <v>168</v>
      </c>
      <c r="R5" s="55" t="s">
        <v>169</v>
      </c>
    </row>
    <row r="6" spans="1:18" x14ac:dyDescent="0.15">
      <c r="A6" s="55">
        <v>13400</v>
      </c>
      <c r="B6" s="55">
        <v>3</v>
      </c>
      <c r="C6" s="68" t="str">
        <f t="shared" si="0"/>
        <v>13400_3</v>
      </c>
      <c r="D6" s="17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224</v>
      </c>
      <c r="G6" s="55">
        <v>335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240</v>
      </c>
      <c r="Q6" s="55" t="s">
        <v>168</v>
      </c>
      <c r="R6" s="55" t="s">
        <v>169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A2" sqref="A2:XFD13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126</v>
      </c>
      <c r="K1" s="75" t="s">
        <v>185</v>
      </c>
      <c r="L1" s="89" t="s">
        <v>184</v>
      </c>
      <c r="M1" s="77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workbookViewId="0">
      <pane ySplit="1" topLeftCell="A2" activePane="bottomLeft" state="frozen"/>
      <selection pane="bottomLeft" activeCell="J2" sqref="J2:J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186</v>
      </c>
      <c r="B1" s="70" t="s">
        <v>149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126</v>
      </c>
      <c r="L1" s="75" t="s">
        <v>185</v>
      </c>
      <c r="M1" s="89" t="s">
        <v>184</v>
      </c>
      <c r="N1" s="77" t="s">
        <v>194</v>
      </c>
    </row>
    <row r="2" spans="1:15" ht="60" customHeight="1" x14ac:dyDescent="0.15">
      <c r="A2" s="78" t="s">
        <v>195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3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3階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7">
        <f>ROW()-1</f>
        <v>1</v>
      </c>
      <c r="J2" s="83">
        <v>13400060</v>
      </c>
      <c r="K2" s="81" t="s">
        <v>196</v>
      </c>
      <c r="L2" s="84" t="s">
        <v>250</v>
      </c>
      <c r="M2" s="108" t="s">
        <v>267</v>
      </c>
      <c r="N2" s="55" t="s">
        <v>197</v>
      </c>
      <c r="O2" s="107" t="str">
        <f>"１２３４５６７８９０１２３４５６７８９０"&amp;M2</f>
        <v>１２３４５６７８９０１２３４５６７８９０サイクロプスはお邪魔パネル変換スキルを_x000D_使用してくるので早めに倒しましょう</v>
      </c>
    </row>
    <row r="3" spans="1:15" ht="60" customHeight="1" x14ac:dyDescent="0.15">
      <c r="A3" s="78" t="s">
        <v>195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3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3階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7">
        <f t="shared" ref="I3:I4" si="0">ROW()-1</f>
        <v>2</v>
      </c>
      <c r="J3" s="83">
        <v>13400061</v>
      </c>
      <c r="K3" s="81" t="s">
        <v>196</v>
      </c>
      <c r="L3" s="84" t="s">
        <v>250</v>
      </c>
      <c r="M3" s="108" t="s">
        <v>266</v>
      </c>
      <c r="N3" s="55" t="s">
        <v>197</v>
      </c>
      <c r="O3" s="107" t="str">
        <f t="shared" ref="O3:O4" si="1">"１２３４５６７８９０１２３４５６７８９０"&amp;M3</f>
        <v>１２３４５６７８９０１２３４５６７８９０ライオネルは攻撃力が高いうえに_x000D_クリティカル攻撃を使用します_x000D_優先的に倒しましょう</v>
      </c>
    </row>
    <row r="4" spans="1:15" ht="60" customHeight="1" x14ac:dyDescent="0.15">
      <c r="A4" s="78" t="s">
        <v>195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-セカンド（仮）-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3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3階 コスト制限なし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3</v>
      </c>
      <c r="I4" s="87">
        <f t="shared" si="0"/>
        <v>3</v>
      </c>
      <c r="J4" s="83">
        <v>13400062</v>
      </c>
      <c r="K4" s="81" t="s">
        <v>196</v>
      </c>
      <c r="L4" s="84" t="s">
        <v>250</v>
      </c>
      <c r="M4" s="108" t="s">
        <v>268</v>
      </c>
      <c r="N4" s="55" t="s">
        <v>197</v>
      </c>
      <c r="O4" s="107" t="str">
        <f t="shared" si="1"/>
        <v>１２３４５６７８９０１２３４５６７８９０ランドラグは_x000D_お邪魔パネル吸収攻撃を行います_x000D_スキルやフィーバーを上手く活用しましょう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I6" sqref="I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209</v>
      </c>
      <c r="B1" s="92" t="s">
        <v>210</v>
      </c>
      <c r="C1" s="74" t="s">
        <v>211</v>
      </c>
      <c r="D1" s="74" t="s">
        <v>33</v>
      </c>
      <c r="E1" s="92" t="s">
        <v>212</v>
      </c>
      <c r="F1" s="74" t="s">
        <v>213</v>
      </c>
      <c r="G1" s="74" t="s">
        <v>33</v>
      </c>
      <c r="H1" s="92" t="s">
        <v>214</v>
      </c>
      <c r="I1" s="92" t="s">
        <v>215</v>
      </c>
      <c r="J1" s="92" t="s">
        <v>216</v>
      </c>
      <c r="K1" s="70" t="s">
        <v>217</v>
      </c>
      <c r="L1" s="70" t="s">
        <v>218</v>
      </c>
      <c r="M1" s="70" t="s">
        <v>155</v>
      </c>
      <c r="N1" s="74" t="s">
        <v>16</v>
      </c>
      <c r="O1" s="70" t="s">
        <v>219</v>
      </c>
      <c r="P1" s="70" t="s">
        <v>57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3" t="str">
        <f>B2&amp;"_"&amp;E2&amp;"_"&amp;H2&amp;"_"&amp;I2&amp;"_"&amp;J2</f>
        <v>13400_3_singleonly_clear_1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3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3階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285</v>
      </c>
      <c r="I2" s="81" t="s">
        <v>223</v>
      </c>
      <c r="J2" s="81">
        <v>1</v>
      </c>
      <c r="K2" s="81">
        <v>770</v>
      </c>
      <c r="L2" s="81" t="s">
        <v>286</v>
      </c>
      <c r="M2" s="81">
        <v>11000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167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225</v>
      </c>
      <c r="X2" s="96" t="s">
        <v>226</v>
      </c>
    </row>
    <row r="3" spans="1:24" x14ac:dyDescent="0.15">
      <c r="A3" s="93" t="str">
        <f>B3&amp;"_"&amp;E3&amp;"_"&amp;H3&amp;"_"&amp;I3&amp;"_"&amp;J3</f>
        <v>13400_3_singleonly_clear_2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3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3階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285</v>
      </c>
      <c r="I3" s="81" t="s">
        <v>223</v>
      </c>
      <c r="J3" s="81">
        <v>2</v>
      </c>
      <c r="K3" s="81">
        <v>230</v>
      </c>
      <c r="L3" s="81" t="s">
        <v>286</v>
      </c>
      <c r="M3" s="81">
        <v>47000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167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5" t="s">
        <v>225</v>
      </c>
      <c r="X3" s="96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2017-03-22T12:42:25Z</dcterms:modified>
</cp:coreProperties>
</file>