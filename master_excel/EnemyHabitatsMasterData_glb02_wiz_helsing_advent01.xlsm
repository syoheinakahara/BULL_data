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9560" yWindow="460" windowWidth="28860" windowHeight="1986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5" i="10" l="1"/>
  <c r="T65" i="10"/>
  <c r="W65" i="10"/>
  <c r="V65" i="10"/>
  <c r="X65" i="10"/>
  <c r="U65" i="10"/>
  <c r="Y65" i="10"/>
  <c r="M80" i="10"/>
  <c r="N80" i="10"/>
  <c r="Q80" i="10"/>
  <c r="P80" i="10"/>
  <c r="R80" i="10"/>
  <c r="O80" i="10"/>
  <c r="S80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J76" i="11"/>
  <c r="O125" i="9"/>
  <c r="N125" i="9"/>
  <c r="M125" i="9"/>
  <c r="L125" i="9"/>
  <c r="K125" i="9"/>
  <c r="J125" i="9"/>
  <c r="I125" i="9"/>
  <c r="H125" i="9"/>
  <c r="G125" i="9"/>
  <c r="E125" i="9"/>
  <c r="D125" i="9"/>
  <c r="A125" i="9"/>
  <c r="J43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14" i="11"/>
  <c r="O79" i="9"/>
  <c r="N79" i="9"/>
  <c r="M79" i="9"/>
  <c r="L79" i="9"/>
  <c r="K79" i="9"/>
  <c r="J79" i="9"/>
  <c r="I79" i="9"/>
  <c r="H79" i="9"/>
  <c r="G79" i="9"/>
  <c r="E79" i="9"/>
  <c r="D79" i="9"/>
  <c r="A79" i="9"/>
  <c r="J9" i="11"/>
  <c r="O74" i="9"/>
  <c r="N74" i="9"/>
  <c r="M74" i="9"/>
  <c r="L74" i="9"/>
  <c r="K74" i="9"/>
  <c r="J74" i="9"/>
  <c r="I74" i="9"/>
  <c r="H74" i="9"/>
  <c r="G74" i="9"/>
  <c r="E74" i="9"/>
  <c r="D74" i="9"/>
  <c r="A74" i="9"/>
  <c r="J4" i="11"/>
  <c r="O69" i="9"/>
  <c r="N69" i="9"/>
  <c r="M69" i="9"/>
  <c r="L69" i="9"/>
  <c r="K69" i="9"/>
  <c r="J69" i="9"/>
  <c r="I69" i="9"/>
  <c r="H69" i="9"/>
  <c r="G69" i="9"/>
  <c r="E69" i="9"/>
  <c r="D69" i="9"/>
  <c r="A69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O43" i="9"/>
  <c r="N43" i="9"/>
  <c r="M43" i="9"/>
  <c r="L43" i="9"/>
  <c r="K43" i="9"/>
  <c r="J43" i="9"/>
  <c r="I43" i="9"/>
  <c r="H43" i="9"/>
  <c r="G43" i="9"/>
  <c r="E43" i="9"/>
  <c r="D43" i="9"/>
  <c r="A43" i="9"/>
  <c r="O14" i="9"/>
  <c r="N14" i="9"/>
  <c r="M14" i="9"/>
  <c r="L14" i="9"/>
  <c r="K14" i="9"/>
  <c r="J14" i="9"/>
  <c r="I14" i="9"/>
  <c r="H14" i="9"/>
  <c r="G14" i="9"/>
  <c r="E14" i="9"/>
  <c r="D14" i="9"/>
  <c r="A14" i="9"/>
  <c r="O9" i="9"/>
  <c r="N9" i="9"/>
  <c r="M9" i="9"/>
  <c r="L9" i="9"/>
  <c r="K9" i="9"/>
  <c r="J9" i="9"/>
  <c r="I9" i="9"/>
  <c r="H9" i="9"/>
  <c r="G9" i="9"/>
  <c r="E9" i="9"/>
  <c r="D9" i="9"/>
  <c r="A9" i="9"/>
  <c r="O4" i="9"/>
  <c r="N4" i="9"/>
  <c r="M4" i="9"/>
  <c r="L4" i="9"/>
  <c r="K4" i="9"/>
  <c r="J4" i="9"/>
  <c r="I4" i="9"/>
  <c r="H4" i="9"/>
  <c r="G4" i="9"/>
  <c r="E4" i="9"/>
  <c r="D4" i="9"/>
  <c r="A4" i="9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31" i="10"/>
  <c r="T31" i="10"/>
  <c r="W31" i="10"/>
  <c r="V31" i="10"/>
  <c r="X31" i="10"/>
  <c r="U31" i="10"/>
  <c r="Y31" i="10"/>
  <c r="M4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N3" i="22"/>
  <c r="N2" i="2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61" i="10"/>
  <c r="T61" i="10"/>
  <c r="W61" i="10"/>
  <c r="V61" i="10"/>
  <c r="X61" i="10"/>
  <c r="U61" i="10"/>
  <c r="Y61" i="10"/>
  <c r="M79" i="10"/>
  <c r="N79" i="10"/>
  <c r="Q79" i="10"/>
  <c r="P79" i="10"/>
  <c r="R79" i="10"/>
  <c r="O79" i="10"/>
  <c r="S79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52" i="10"/>
  <c r="T52" i="10"/>
  <c r="W52" i="10"/>
  <c r="V52" i="10"/>
  <c r="X52" i="10"/>
  <c r="U52" i="10"/>
  <c r="Y52" i="10"/>
  <c r="M70" i="10"/>
  <c r="N70" i="10"/>
  <c r="Q70" i="10"/>
  <c r="P70" i="10"/>
  <c r="R70" i="10"/>
  <c r="O70" i="10"/>
  <c r="S70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9" i="10"/>
  <c r="T59" i="10"/>
  <c r="W59" i="10"/>
  <c r="V59" i="10"/>
  <c r="X59" i="10"/>
  <c r="U59" i="10"/>
  <c r="Y59" i="10"/>
  <c r="M78" i="10"/>
  <c r="N78" i="10"/>
  <c r="Q78" i="10"/>
  <c r="P78" i="10"/>
  <c r="R78" i="10"/>
  <c r="O78" i="10"/>
  <c r="S78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6" i="10"/>
  <c r="T56" i="10"/>
  <c r="W56" i="10"/>
  <c r="V56" i="10"/>
  <c r="X56" i="10"/>
  <c r="U56" i="10"/>
  <c r="Y56" i="10"/>
  <c r="M74" i="10"/>
  <c r="N74" i="10"/>
  <c r="Q74" i="10"/>
  <c r="P74" i="10"/>
  <c r="R74" i="10"/>
  <c r="O74" i="10"/>
  <c r="S74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37" i="10"/>
  <c r="T37" i="10"/>
  <c r="W37" i="10"/>
  <c r="V37" i="10"/>
  <c r="X37" i="10"/>
  <c r="U37" i="10"/>
  <c r="Y37" i="10"/>
  <c r="M46" i="10"/>
  <c r="M53" i="10"/>
  <c r="M71" i="10"/>
  <c r="N71" i="10"/>
  <c r="Q71" i="10"/>
  <c r="P71" i="10"/>
  <c r="R71" i="10"/>
  <c r="O71" i="10"/>
  <c r="S71" i="10"/>
  <c r="N53" i="10"/>
  <c r="Q53" i="10"/>
  <c r="P53" i="10"/>
  <c r="R53" i="10"/>
  <c r="O53" i="10"/>
  <c r="S53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J72" i="11"/>
  <c r="J77" i="11"/>
  <c r="J75" i="11"/>
  <c r="J74" i="11"/>
  <c r="J73" i="11"/>
  <c r="J71" i="11"/>
  <c r="J70" i="11"/>
  <c r="J69" i="11"/>
  <c r="J68" i="11"/>
  <c r="J67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M82" i="10"/>
  <c r="T82" i="10"/>
  <c r="W82" i="10"/>
  <c r="V82" i="10"/>
  <c r="X82" i="10"/>
  <c r="U82" i="10"/>
  <c r="Y82" i="10"/>
  <c r="M69" i="10"/>
  <c r="N69" i="10"/>
  <c r="Q69" i="10"/>
  <c r="P69" i="10"/>
  <c r="R69" i="10"/>
  <c r="O69" i="10"/>
  <c r="S69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O126" i="9"/>
  <c r="N126" i="9"/>
  <c r="M126" i="9"/>
  <c r="L126" i="9"/>
  <c r="K126" i="9"/>
  <c r="J126" i="9"/>
  <c r="I126" i="9"/>
  <c r="H126" i="9"/>
  <c r="G126" i="9"/>
  <c r="E126" i="9"/>
  <c r="D126" i="9"/>
  <c r="A126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J56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55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54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53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52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51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50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49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48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47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46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45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44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42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41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34" i="11"/>
  <c r="O99" i="9"/>
  <c r="N99" i="9"/>
  <c r="M99" i="9"/>
  <c r="L99" i="9"/>
  <c r="K99" i="9"/>
  <c r="J99" i="9"/>
  <c r="I99" i="9"/>
  <c r="H99" i="9"/>
  <c r="G99" i="9"/>
  <c r="E99" i="9"/>
  <c r="D99" i="9"/>
  <c r="A99" i="9"/>
  <c r="J33" i="11"/>
  <c r="O98" i="9"/>
  <c r="N98" i="9"/>
  <c r="M98" i="9"/>
  <c r="L98" i="9"/>
  <c r="K98" i="9"/>
  <c r="J98" i="9"/>
  <c r="I98" i="9"/>
  <c r="H98" i="9"/>
  <c r="G98" i="9"/>
  <c r="E98" i="9"/>
  <c r="D98" i="9"/>
  <c r="A98" i="9"/>
  <c r="J32" i="11"/>
  <c r="O97" i="9"/>
  <c r="N97" i="9"/>
  <c r="M97" i="9"/>
  <c r="L97" i="9"/>
  <c r="K97" i="9"/>
  <c r="J97" i="9"/>
  <c r="I97" i="9"/>
  <c r="H97" i="9"/>
  <c r="G97" i="9"/>
  <c r="E97" i="9"/>
  <c r="D97" i="9"/>
  <c r="A97" i="9"/>
  <c r="J31" i="11"/>
  <c r="O96" i="9"/>
  <c r="N96" i="9"/>
  <c r="M96" i="9"/>
  <c r="L96" i="9"/>
  <c r="K96" i="9"/>
  <c r="J96" i="9"/>
  <c r="I96" i="9"/>
  <c r="H96" i="9"/>
  <c r="G96" i="9"/>
  <c r="E96" i="9"/>
  <c r="D96" i="9"/>
  <c r="A96" i="9"/>
  <c r="J30" i="11"/>
  <c r="O95" i="9"/>
  <c r="N95" i="9"/>
  <c r="M95" i="9"/>
  <c r="L95" i="9"/>
  <c r="K95" i="9"/>
  <c r="J95" i="9"/>
  <c r="I95" i="9"/>
  <c r="H95" i="9"/>
  <c r="G95" i="9"/>
  <c r="E95" i="9"/>
  <c r="D95" i="9"/>
  <c r="A95" i="9"/>
  <c r="J29" i="11"/>
  <c r="O94" i="9"/>
  <c r="N94" i="9"/>
  <c r="M94" i="9"/>
  <c r="L94" i="9"/>
  <c r="K94" i="9"/>
  <c r="J94" i="9"/>
  <c r="I94" i="9"/>
  <c r="H94" i="9"/>
  <c r="G94" i="9"/>
  <c r="E94" i="9"/>
  <c r="D94" i="9"/>
  <c r="A94" i="9"/>
  <c r="J28" i="11"/>
  <c r="O93" i="9"/>
  <c r="N93" i="9"/>
  <c r="M93" i="9"/>
  <c r="L93" i="9"/>
  <c r="K93" i="9"/>
  <c r="J93" i="9"/>
  <c r="I93" i="9"/>
  <c r="H93" i="9"/>
  <c r="G93" i="9"/>
  <c r="E93" i="9"/>
  <c r="D93" i="9"/>
  <c r="A93" i="9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35" i="10"/>
  <c r="T35" i="10"/>
  <c r="W35" i="10"/>
  <c r="V35" i="10"/>
  <c r="X35" i="10"/>
  <c r="U35" i="10"/>
  <c r="Y35" i="10"/>
  <c r="M45" i="10"/>
  <c r="M51" i="10"/>
  <c r="N51" i="10"/>
  <c r="Q51" i="10"/>
  <c r="P51" i="10"/>
  <c r="R51" i="10"/>
  <c r="O51" i="10"/>
  <c r="S51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29" i="10"/>
  <c r="T29" i="10"/>
  <c r="W29" i="10"/>
  <c r="V29" i="10"/>
  <c r="X29" i="10"/>
  <c r="U29" i="10"/>
  <c r="Y29" i="10"/>
  <c r="M43" i="10"/>
  <c r="N43" i="10"/>
  <c r="Q43" i="10"/>
  <c r="P43" i="10"/>
  <c r="R43" i="10"/>
  <c r="O43" i="10"/>
  <c r="S43" i="10"/>
  <c r="M3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17" i="10"/>
  <c r="T17" i="10"/>
  <c r="W17" i="10"/>
  <c r="V17" i="10"/>
  <c r="X17" i="10"/>
  <c r="U17" i="10"/>
  <c r="Y17" i="10"/>
  <c r="M32" i="10"/>
  <c r="N32" i="10"/>
  <c r="Q32" i="10"/>
  <c r="P32" i="10"/>
  <c r="R32" i="10"/>
  <c r="O32" i="10"/>
  <c r="S32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27" i="11"/>
  <c r="O92" i="9"/>
  <c r="N92" i="9"/>
  <c r="M92" i="9"/>
  <c r="L92" i="9"/>
  <c r="K92" i="9"/>
  <c r="J92" i="9"/>
  <c r="I92" i="9"/>
  <c r="H92" i="9"/>
  <c r="G92" i="9"/>
  <c r="E92" i="9"/>
  <c r="D92" i="9"/>
  <c r="A92" i="9"/>
  <c r="J26" i="11"/>
  <c r="O91" i="9"/>
  <c r="N91" i="9"/>
  <c r="M91" i="9"/>
  <c r="L91" i="9"/>
  <c r="K91" i="9"/>
  <c r="J91" i="9"/>
  <c r="I91" i="9"/>
  <c r="H91" i="9"/>
  <c r="G91" i="9"/>
  <c r="E91" i="9"/>
  <c r="D91" i="9"/>
  <c r="A91" i="9"/>
  <c r="J25" i="11"/>
  <c r="O90" i="9"/>
  <c r="N90" i="9"/>
  <c r="M90" i="9"/>
  <c r="L90" i="9"/>
  <c r="K90" i="9"/>
  <c r="J90" i="9"/>
  <c r="I90" i="9"/>
  <c r="H90" i="9"/>
  <c r="G90" i="9"/>
  <c r="E90" i="9"/>
  <c r="D90" i="9"/>
  <c r="A90" i="9"/>
  <c r="J24" i="11"/>
  <c r="O89" i="9"/>
  <c r="N89" i="9"/>
  <c r="M89" i="9"/>
  <c r="L89" i="9"/>
  <c r="K89" i="9"/>
  <c r="J89" i="9"/>
  <c r="I89" i="9"/>
  <c r="H89" i="9"/>
  <c r="G89" i="9"/>
  <c r="E89" i="9"/>
  <c r="D89" i="9"/>
  <c r="A89" i="9"/>
  <c r="J23" i="11"/>
  <c r="O88" i="9"/>
  <c r="N88" i="9"/>
  <c r="M88" i="9"/>
  <c r="L88" i="9"/>
  <c r="K88" i="9"/>
  <c r="J88" i="9"/>
  <c r="I88" i="9"/>
  <c r="H88" i="9"/>
  <c r="G88" i="9"/>
  <c r="E88" i="9"/>
  <c r="D88" i="9"/>
  <c r="A88" i="9"/>
  <c r="J22" i="11"/>
  <c r="O87" i="9"/>
  <c r="N87" i="9"/>
  <c r="M87" i="9"/>
  <c r="L87" i="9"/>
  <c r="K87" i="9"/>
  <c r="J87" i="9"/>
  <c r="I87" i="9"/>
  <c r="H87" i="9"/>
  <c r="G87" i="9"/>
  <c r="E87" i="9"/>
  <c r="D87" i="9"/>
  <c r="A87" i="9"/>
  <c r="J21" i="11"/>
  <c r="O86" i="9"/>
  <c r="N86" i="9"/>
  <c r="M86" i="9"/>
  <c r="L86" i="9"/>
  <c r="K86" i="9"/>
  <c r="J86" i="9"/>
  <c r="I86" i="9"/>
  <c r="H86" i="9"/>
  <c r="G86" i="9"/>
  <c r="E86" i="9"/>
  <c r="D86" i="9"/>
  <c r="A86" i="9"/>
  <c r="J20" i="11"/>
  <c r="O85" i="9"/>
  <c r="N85" i="9"/>
  <c r="M85" i="9"/>
  <c r="L85" i="9"/>
  <c r="K85" i="9"/>
  <c r="J85" i="9"/>
  <c r="I85" i="9"/>
  <c r="H85" i="9"/>
  <c r="G85" i="9"/>
  <c r="E85" i="9"/>
  <c r="D85" i="9"/>
  <c r="A85" i="9"/>
  <c r="J19" i="11"/>
  <c r="O84" i="9"/>
  <c r="N84" i="9"/>
  <c r="M84" i="9"/>
  <c r="L84" i="9"/>
  <c r="K84" i="9"/>
  <c r="J84" i="9"/>
  <c r="I84" i="9"/>
  <c r="H84" i="9"/>
  <c r="G84" i="9"/>
  <c r="E84" i="9"/>
  <c r="D84" i="9"/>
  <c r="A84" i="9"/>
  <c r="J18" i="11"/>
  <c r="O83" i="9"/>
  <c r="N83" i="9"/>
  <c r="M83" i="9"/>
  <c r="L83" i="9"/>
  <c r="K83" i="9"/>
  <c r="J83" i="9"/>
  <c r="I83" i="9"/>
  <c r="H83" i="9"/>
  <c r="G83" i="9"/>
  <c r="E83" i="9"/>
  <c r="D83" i="9"/>
  <c r="A83" i="9"/>
  <c r="J17" i="11"/>
  <c r="O82" i="9"/>
  <c r="N82" i="9"/>
  <c r="M82" i="9"/>
  <c r="L82" i="9"/>
  <c r="K82" i="9"/>
  <c r="J82" i="9"/>
  <c r="I82" i="9"/>
  <c r="H82" i="9"/>
  <c r="G82" i="9"/>
  <c r="E82" i="9"/>
  <c r="D82" i="9"/>
  <c r="A82" i="9"/>
  <c r="J16" i="11"/>
  <c r="O81" i="9"/>
  <c r="N81" i="9"/>
  <c r="M81" i="9"/>
  <c r="L81" i="9"/>
  <c r="K81" i="9"/>
  <c r="J81" i="9"/>
  <c r="I81" i="9"/>
  <c r="H81" i="9"/>
  <c r="G81" i="9"/>
  <c r="E81" i="9"/>
  <c r="D81" i="9"/>
  <c r="A81" i="9"/>
  <c r="J15" i="11"/>
  <c r="O80" i="9"/>
  <c r="N80" i="9"/>
  <c r="M80" i="9"/>
  <c r="L80" i="9"/>
  <c r="K80" i="9"/>
  <c r="J80" i="9"/>
  <c r="I80" i="9"/>
  <c r="H80" i="9"/>
  <c r="G80" i="9"/>
  <c r="E80" i="9"/>
  <c r="D80" i="9"/>
  <c r="A80" i="9"/>
  <c r="J13" i="11"/>
  <c r="O78" i="9"/>
  <c r="N78" i="9"/>
  <c r="M78" i="9"/>
  <c r="L78" i="9"/>
  <c r="K78" i="9"/>
  <c r="J78" i="9"/>
  <c r="I78" i="9"/>
  <c r="H78" i="9"/>
  <c r="G78" i="9"/>
  <c r="E78" i="9"/>
  <c r="D78" i="9"/>
  <c r="A78" i="9"/>
  <c r="J12" i="11"/>
  <c r="O77" i="9"/>
  <c r="N77" i="9"/>
  <c r="M77" i="9"/>
  <c r="L77" i="9"/>
  <c r="K77" i="9"/>
  <c r="J77" i="9"/>
  <c r="I77" i="9"/>
  <c r="H77" i="9"/>
  <c r="G77" i="9"/>
  <c r="E77" i="9"/>
  <c r="D77" i="9"/>
  <c r="A77" i="9"/>
  <c r="M10" i="10"/>
  <c r="T10" i="10"/>
  <c r="W10" i="10"/>
  <c r="V10" i="10"/>
  <c r="X10" i="10"/>
  <c r="U10" i="10"/>
  <c r="Y10" i="10"/>
  <c r="M25" i="10"/>
  <c r="N25" i="10"/>
  <c r="Q25" i="10"/>
  <c r="P25" i="10"/>
  <c r="R25" i="10"/>
  <c r="O25" i="10"/>
  <c r="S25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11" i="11"/>
  <c r="O76" i="9"/>
  <c r="N76" i="9"/>
  <c r="M76" i="9"/>
  <c r="L76" i="9"/>
  <c r="K76" i="9"/>
  <c r="J76" i="9"/>
  <c r="I76" i="9"/>
  <c r="H76" i="9"/>
  <c r="G76" i="9"/>
  <c r="E76" i="9"/>
  <c r="D76" i="9"/>
  <c r="A76" i="9"/>
  <c r="J10" i="11"/>
  <c r="O75" i="9"/>
  <c r="N75" i="9"/>
  <c r="M75" i="9"/>
  <c r="L75" i="9"/>
  <c r="K75" i="9"/>
  <c r="J75" i="9"/>
  <c r="I75" i="9"/>
  <c r="H75" i="9"/>
  <c r="G75" i="9"/>
  <c r="E75" i="9"/>
  <c r="D75" i="9"/>
  <c r="A75" i="9"/>
  <c r="J8" i="11"/>
  <c r="O73" i="9"/>
  <c r="N73" i="9"/>
  <c r="M73" i="9"/>
  <c r="L73" i="9"/>
  <c r="K73" i="9"/>
  <c r="J73" i="9"/>
  <c r="I73" i="9"/>
  <c r="H73" i="9"/>
  <c r="G73" i="9"/>
  <c r="E73" i="9"/>
  <c r="D73" i="9"/>
  <c r="A73" i="9"/>
  <c r="J7" i="11"/>
  <c r="O72" i="9"/>
  <c r="N72" i="9"/>
  <c r="M72" i="9"/>
  <c r="L72" i="9"/>
  <c r="K72" i="9"/>
  <c r="J72" i="9"/>
  <c r="I72" i="9"/>
  <c r="H72" i="9"/>
  <c r="G72" i="9"/>
  <c r="E72" i="9"/>
  <c r="D72" i="9"/>
  <c r="A72" i="9"/>
  <c r="J6" i="11"/>
  <c r="O71" i="9"/>
  <c r="N71" i="9"/>
  <c r="M71" i="9"/>
  <c r="L71" i="9"/>
  <c r="K71" i="9"/>
  <c r="J71" i="9"/>
  <c r="I71" i="9"/>
  <c r="H71" i="9"/>
  <c r="G71" i="9"/>
  <c r="E71" i="9"/>
  <c r="D71" i="9"/>
  <c r="A71" i="9"/>
  <c r="J5" i="11"/>
  <c r="O70" i="9"/>
  <c r="N70" i="9"/>
  <c r="M70" i="9"/>
  <c r="L70" i="9"/>
  <c r="K70" i="9"/>
  <c r="J70" i="9"/>
  <c r="I70" i="9"/>
  <c r="H70" i="9"/>
  <c r="G70" i="9"/>
  <c r="E70" i="9"/>
  <c r="D70" i="9"/>
  <c r="A70" i="9"/>
  <c r="J3" i="11"/>
  <c r="O68" i="9"/>
  <c r="N68" i="9"/>
  <c r="M68" i="9"/>
  <c r="L68" i="9"/>
  <c r="K68" i="9"/>
  <c r="J68" i="9"/>
  <c r="I68" i="9"/>
  <c r="H68" i="9"/>
  <c r="G68" i="9"/>
  <c r="E68" i="9"/>
  <c r="D68" i="9"/>
  <c r="A68" i="9"/>
  <c r="J2" i="11"/>
  <c r="O67" i="9"/>
  <c r="N67" i="9"/>
  <c r="M67" i="9"/>
  <c r="L67" i="9"/>
  <c r="K67" i="9"/>
  <c r="J67" i="9"/>
  <c r="I67" i="9"/>
  <c r="H67" i="9"/>
  <c r="G67" i="9"/>
  <c r="E67" i="9"/>
  <c r="D67" i="9"/>
  <c r="A67" i="9"/>
  <c r="M12" i="10"/>
  <c r="T12" i="10"/>
  <c r="W12" i="10"/>
  <c r="V12" i="10"/>
  <c r="X12" i="10"/>
  <c r="U12" i="10"/>
  <c r="Y12" i="10"/>
  <c r="M26" i="10"/>
  <c r="M34" i="10"/>
  <c r="M44" i="10"/>
  <c r="M50" i="10"/>
  <c r="M67" i="10"/>
  <c r="M81" i="10"/>
  <c r="N81" i="10"/>
  <c r="Q81" i="10"/>
  <c r="P81" i="10"/>
  <c r="R81" i="10"/>
  <c r="O81" i="10"/>
  <c r="S81" i="10"/>
  <c r="N67" i="10"/>
  <c r="Q67" i="10"/>
  <c r="P67" i="10"/>
  <c r="R67" i="10"/>
  <c r="O67" i="10"/>
  <c r="S67" i="10"/>
  <c r="N50" i="10"/>
  <c r="Q50" i="10"/>
  <c r="P50" i="10"/>
  <c r="R50" i="10"/>
  <c r="O50" i="10"/>
  <c r="S50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N26" i="10"/>
  <c r="Q26" i="10"/>
  <c r="P26" i="10"/>
  <c r="R26" i="10"/>
  <c r="O26" i="10"/>
  <c r="S26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6" i="10"/>
  <c r="T6" i="10"/>
  <c r="W6" i="10"/>
  <c r="V6" i="10"/>
  <c r="X6" i="10"/>
  <c r="U6" i="10"/>
  <c r="Y6" i="10"/>
  <c r="M21" i="10"/>
  <c r="N21" i="10"/>
  <c r="Q21" i="10"/>
  <c r="P21" i="10"/>
  <c r="R21" i="10"/>
  <c r="O21" i="10"/>
  <c r="S21" i="10"/>
  <c r="N6" i="10"/>
  <c r="Q6" i="10"/>
  <c r="P6" i="10"/>
  <c r="R6" i="10"/>
  <c r="O6" i="10"/>
  <c r="S6" i="10"/>
  <c r="G6" i="10"/>
  <c r="J6" i="10"/>
  <c r="I6" i="10"/>
  <c r="K6" i="10"/>
  <c r="H6" i="10"/>
  <c r="L6" i="10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G81" i="10"/>
  <c r="H81" i="10"/>
  <c r="I81" i="10"/>
  <c r="J81" i="10"/>
  <c r="K81" i="10"/>
  <c r="L81" i="10"/>
  <c r="T81" i="10"/>
  <c r="U81" i="10"/>
  <c r="V81" i="10"/>
  <c r="W81" i="10"/>
  <c r="X81" i="10"/>
  <c r="Y81" i="10"/>
  <c r="H6" i="9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3" i="9"/>
  <c r="A5" i="9"/>
  <c r="A6" i="9"/>
  <c r="A7" i="9"/>
  <c r="A8" i="9"/>
  <c r="A10" i="9"/>
  <c r="A11" i="9"/>
  <c r="A12" i="9"/>
  <c r="A13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6" i="9"/>
  <c r="D3" i="9"/>
  <c r="E3" i="9"/>
  <c r="G3" i="9"/>
  <c r="H3" i="9"/>
  <c r="I3" i="9"/>
  <c r="J3" i="9"/>
  <c r="K3" i="9"/>
  <c r="L3" i="9"/>
  <c r="M3" i="9"/>
  <c r="N3" i="9"/>
  <c r="O3" i="9"/>
  <c r="D5" i="9"/>
  <c r="E5" i="9"/>
  <c r="G5" i="9"/>
  <c r="H5" i="9"/>
  <c r="I5" i="9"/>
  <c r="J5" i="9"/>
  <c r="K5" i="9"/>
  <c r="L5" i="9"/>
  <c r="M5" i="9"/>
  <c r="N5" i="9"/>
  <c r="O5" i="9"/>
  <c r="D6" i="9"/>
  <c r="E6" i="9"/>
  <c r="G6" i="9"/>
  <c r="I6" i="9"/>
  <c r="J6" i="9"/>
  <c r="K6" i="9"/>
  <c r="L6" i="9"/>
  <c r="M6" i="9"/>
  <c r="N6" i="9"/>
  <c r="O6" i="9"/>
  <c r="D7" i="9"/>
  <c r="E7" i="9"/>
  <c r="G7" i="9"/>
  <c r="H7" i="9"/>
  <c r="I7" i="9"/>
  <c r="J7" i="9"/>
  <c r="K7" i="9"/>
  <c r="L7" i="9"/>
  <c r="M7" i="9"/>
  <c r="N7" i="9"/>
  <c r="O7" i="9"/>
  <c r="D8" i="9"/>
  <c r="E8" i="9"/>
  <c r="G8" i="9"/>
  <c r="H8" i="9"/>
  <c r="I8" i="9"/>
  <c r="J8" i="9"/>
  <c r="K8" i="9"/>
  <c r="L8" i="9"/>
  <c r="M8" i="9"/>
  <c r="N8" i="9"/>
  <c r="O8" i="9"/>
  <c r="D10" i="9"/>
  <c r="E10" i="9"/>
  <c r="G10" i="9"/>
  <c r="H10" i="9"/>
  <c r="I10" i="9"/>
  <c r="J10" i="9"/>
  <c r="K10" i="9"/>
  <c r="L10" i="9"/>
  <c r="M10" i="9"/>
  <c r="N10" i="9"/>
  <c r="O10" i="9"/>
  <c r="D11" i="9"/>
  <c r="E11" i="9"/>
  <c r="G11" i="9"/>
  <c r="H11" i="9"/>
  <c r="I11" i="9"/>
  <c r="J11" i="9"/>
  <c r="K11" i="9"/>
  <c r="L11" i="9"/>
  <c r="M11" i="9"/>
  <c r="N11" i="9"/>
  <c r="O11" i="9"/>
  <c r="D12" i="9"/>
  <c r="E12" i="9"/>
  <c r="G12" i="9"/>
  <c r="H12" i="9"/>
  <c r="I12" i="9"/>
  <c r="J12" i="9"/>
  <c r="K12" i="9"/>
  <c r="L12" i="9"/>
  <c r="M12" i="9"/>
  <c r="N12" i="9"/>
  <c r="O12" i="9"/>
  <c r="D13" i="9"/>
  <c r="E13" i="9"/>
  <c r="G13" i="9"/>
  <c r="H13" i="9"/>
  <c r="I13" i="9"/>
  <c r="J13" i="9"/>
  <c r="K13" i="9"/>
  <c r="L13" i="9"/>
  <c r="M13" i="9"/>
  <c r="N13" i="9"/>
  <c r="O13" i="9"/>
  <c r="D15" i="9"/>
  <c r="E15" i="9"/>
  <c r="G15" i="9"/>
  <c r="H15" i="9"/>
  <c r="I15" i="9"/>
  <c r="J15" i="9"/>
  <c r="K15" i="9"/>
  <c r="L15" i="9"/>
  <c r="M15" i="9"/>
  <c r="N15" i="9"/>
  <c r="O15" i="9"/>
  <c r="D16" i="9"/>
  <c r="E16" i="9"/>
  <c r="G16" i="9"/>
  <c r="H16" i="9"/>
  <c r="I16" i="9"/>
  <c r="J16" i="9"/>
  <c r="K16" i="9"/>
  <c r="L16" i="9"/>
  <c r="M16" i="9"/>
  <c r="N16" i="9"/>
  <c r="O16" i="9"/>
  <c r="D17" i="9"/>
  <c r="E17" i="9"/>
  <c r="G17" i="9"/>
  <c r="H17" i="9"/>
  <c r="I17" i="9"/>
  <c r="J17" i="9"/>
  <c r="K17" i="9"/>
  <c r="L17" i="9"/>
  <c r="M17" i="9"/>
  <c r="N17" i="9"/>
  <c r="O17" i="9"/>
  <c r="D18" i="9"/>
  <c r="E18" i="9"/>
  <c r="G18" i="9"/>
  <c r="H18" i="9"/>
  <c r="I18" i="9"/>
  <c r="J18" i="9"/>
  <c r="K18" i="9"/>
  <c r="L18" i="9"/>
  <c r="M18" i="9"/>
  <c r="N18" i="9"/>
  <c r="O18" i="9"/>
  <c r="D19" i="9"/>
  <c r="E19" i="9"/>
  <c r="G19" i="9"/>
  <c r="H19" i="9"/>
  <c r="I19" i="9"/>
  <c r="J19" i="9"/>
  <c r="K19" i="9"/>
  <c r="L19" i="9"/>
  <c r="M19" i="9"/>
  <c r="N19" i="9"/>
  <c r="O19" i="9"/>
  <c r="D20" i="9"/>
  <c r="E20" i="9"/>
  <c r="G20" i="9"/>
  <c r="H20" i="9"/>
  <c r="I20" i="9"/>
  <c r="J20" i="9"/>
  <c r="K20" i="9"/>
  <c r="L20" i="9"/>
  <c r="M20" i="9"/>
  <c r="N20" i="9"/>
  <c r="O20" i="9"/>
  <c r="D21" i="9"/>
  <c r="E21" i="9"/>
  <c r="G21" i="9"/>
  <c r="H21" i="9"/>
  <c r="I21" i="9"/>
  <c r="J21" i="9"/>
  <c r="K21" i="9"/>
  <c r="L21" i="9"/>
  <c r="M21" i="9"/>
  <c r="N21" i="9"/>
  <c r="O21" i="9"/>
  <c r="D22" i="9"/>
  <c r="E22" i="9"/>
  <c r="G22" i="9"/>
  <c r="H22" i="9"/>
  <c r="I22" i="9"/>
  <c r="J22" i="9"/>
  <c r="K22" i="9"/>
  <c r="L22" i="9"/>
  <c r="M22" i="9"/>
  <c r="N22" i="9"/>
  <c r="O22" i="9"/>
  <c r="D23" i="9"/>
  <c r="E23" i="9"/>
  <c r="G23" i="9"/>
  <c r="H23" i="9"/>
  <c r="I23" i="9"/>
  <c r="J23" i="9"/>
  <c r="K23" i="9"/>
  <c r="L23" i="9"/>
  <c r="M23" i="9"/>
  <c r="N23" i="9"/>
  <c r="O23" i="9"/>
  <c r="D24" i="9"/>
  <c r="E24" i="9"/>
  <c r="G24" i="9"/>
  <c r="H24" i="9"/>
  <c r="I24" i="9"/>
  <c r="J24" i="9"/>
  <c r="K24" i="9"/>
  <c r="L24" i="9"/>
  <c r="M24" i="9"/>
  <c r="N24" i="9"/>
  <c r="O24" i="9"/>
  <c r="D25" i="9"/>
  <c r="E25" i="9"/>
  <c r="G25" i="9"/>
  <c r="H25" i="9"/>
  <c r="I25" i="9"/>
  <c r="J25" i="9"/>
  <c r="K25" i="9"/>
  <c r="L25" i="9"/>
  <c r="M25" i="9"/>
  <c r="N25" i="9"/>
  <c r="O25" i="9"/>
  <c r="D26" i="9"/>
  <c r="E26" i="9"/>
  <c r="G26" i="9"/>
  <c r="H26" i="9"/>
  <c r="I26" i="9"/>
  <c r="J26" i="9"/>
  <c r="K26" i="9"/>
  <c r="L26" i="9"/>
  <c r="M26" i="9"/>
  <c r="N26" i="9"/>
  <c r="O26" i="9"/>
  <c r="D27" i="9"/>
  <c r="E27" i="9"/>
  <c r="G27" i="9"/>
  <c r="H27" i="9"/>
  <c r="I27" i="9"/>
  <c r="J27" i="9"/>
  <c r="K27" i="9"/>
  <c r="L27" i="9"/>
  <c r="M27" i="9"/>
  <c r="N27" i="9"/>
  <c r="O27" i="9"/>
  <c r="D28" i="9"/>
  <c r="E28" i="9"/>
  <c r="G28" i="9"/>
  <c r="H28" i="9"/>
  <c r="I28" i="9"/>
  <c r="J28" i="9"/>
  <c r="K28" i="9"/>
  <c r="L28" i="9"/>
  <c r="M28" i="9"/>
  <c r="N28" i="9"/>
  <c r="O28" i="9"/>
  <c r="D29" i="9"/>
  <c r="E29" i="9"/>
  <c r="G29" i="9"/>
  <c r="H29" i="9"/>
  <c r="I29" i="9"/>
  <c r="J29" i="9"/>
  <c r="K29" i="9"/>
  <c r="L29" i="9"/>
  <c r="M29" i="9"/>
  <c r="N29" i="9"/>
  <c r="O29" i="9"/>
  <c r="D30" i="9"/>
  <c r="E30" i="9"/>
  <c r="G30" i="9"/>
  <c r="H30" i="9"/>
  <c r="I30" i="9"/>
  <c r="J30" i="9"/>
  <c r="K30" i="9"/>
  <c r="L30" i="9"/>
  <c r="M30" i="9"/>
  <c r="N30" i="9"/>
  <c r="O30" i="9"/>
  <c r="D31" i="9"/>
  <c r="E31" i="9"/>
  <c r="G31" i="9"/>
  <c r="H31" i="9"/>
  <c r="I31" i="9"/>
  <c r="J31" i="9"/>
  <c r="K31" i="9"/>
  <c r="L31" i="9"/>
  <c r="M31" i="9"/>
  <c r="N31" i="9"/>
  <c r="O31" i="9"/>
  <c r="D32" i="9"/>
  <c r="E32" i="9"/>
  <c r="G32" i="9"/>
  <c r="H32" i="9"/>
  <c r="I32" i="9"/>
  <c r="J32" i="9"/>
  <c r="K32" i="9"/>
  <c r="L32" i="9"/>
  <c r="M32" i="9"/>
  <c r="N32" i="9"/>
  <c r="O32" i="9"/>
  <c r="D33" i="9"/>
  <c r="E33" i="9"/>
  <c r="G33" i="9"/>
  <c r="H33" i="9"/>
  <c r="I33" i="9"/>
  <c r="J33" i="9"/>
  <c r="K33" i="9"/>
  <c r="L33" i="9"/>
  <c r="M33" i="9"/>
  <c r="N33" i="9"/>
  <c r="O33" i="9"/>
  <c r="D34" i="9"/>
  <c r="E34" i="9"/>
  <c r="G34" i="9"/>
  <c r="H34" i="9"/>
  <c r="I34" i="9"/>
  <c r="J34" i="9"/>
  <c r="K34" i="9"/>
  <c r="L34" i="9"/>
  <c r="M34" i="9"/>
  <c r="N34" i="9"/>
  <c r="O34" i="9"/>
  <c r="D35" i="9"/>
  <c r="E35" i="9"/>
  <c r="G35" i="9"/>
  <c r="H35" i="9"/>
  <c r="I35" i="9"/>
  <c r="J35" i="9"/>
  <c r="K35" i="9"/>
  <c r="L35" i="9"/>
  <c r="M35" i="9"/>
  <c r="N35" i="9"/>
  <c r="J35" i="11"/>
  <c r="O35" i="9"/>
  <c r="D36" i="9"/>
  <c r="E36" i="9"/>
  <c r="G36" i="9"/>
  <c r="H36" i="9"/>
  <c r="I36" i="9"/>
  <c r="J36" i="9"/>
  <c r="K36" i="9"/>
  <c r="L36" i="9"/>
  <c r="M36" i="9"/>
  <c r="N36" i="9"/>
  <c r="J36" i="11"/>
  <c r="O36" i="9"/>
  <c r="D37" i="9"/>
  <c r="E37" i="9"/>
  <c r="G37" i="9"/>
  <c r="H37" i="9"/>
  <c r="I37" i="9"/>
  <c r="J37" i="9"/>
  <c r="K37" i="9"/>
  <c r="L37" i="9"/>
  <c r="M37" i="9"/>
  <c r="N37" i="9"/>
  <c r="J37" i="11"/>
  <c r="O37" i="9"/>
  <c r="D38" i="9"/>
  <c r="E38" i="9"/>
  <c r="G38" i="9"/>
  <c r="H38" i="9"/>
  <c r="I38" i="9"/>
  <c r="J38" i="9"/>
  <c r="K38" i="9"/>
  <c r="L38" i="9"/>
  <c r="M38" i="9"/>
  <c r="N38" i="9"/>
  <c r="J38" i="11"/>
  <c r="O38" i="9"/>
  <c r="D39" i="9"/>
  <c r="E39" i="9"/>
  <c r="G39" i="9"/>
  <c r="H39" i="9"/>
  <c r="I39" i="9"/>
  <c r="J39" i="9"/>
  <c r="K39" i="9"/>
  <c r="L39" i="9"/>
  <c r="M39" i="9"/>
  <c r="N39" i="9"/>
  <c r="J39" i="11"/>
  <c r="O39" i="9"/>
  <c r="D40" i="9"/>
  <c r="E40" i="9"/>
  <c r="G40" i="9"/>
  <c r="H40" i="9"/>
  <c r="I40" i="9"/>
  <c r="J40" i="9"/>
  <c r="K40" i="9"/>
  <c r="L40" i="9"/>
  <c r="M40" i="9"/>
  <c r="N40" i="9"/>
  <c r="J40" i="11"/>
  <c r="O40" i="9"/>
  <c r="D41" i="9"/>
  <c r="E41" i="9"/>
  <c r="G41" i="9"/>
  <c r="H41" i="9"/>
  <c r="I41" i="9"/>
  <c r="J41" i="9"/>
  <c r="K41" i="9"/>
  <c r="L41" i="9"/>
  <c r="M41" i="9"/>
  <c r="N41" i="9"/>
  <c r="O41" i="9"/>
  <c r="D42" i="9"/>
  <c r="E42" i="9"/>
  <c r="G42" i="9"/>
  <c r="H42" i="9"/>
  <c r="I42" i="9"/>
  <c r="J42" i="9"/>
  <c r="K42" i="9"/>
  <c r="L42" i="9"/>
  <c r="M42" i="9"/>
  <c r="N42" i="9"/>
  <c r="O42" i="9"/>
  <c r="D44" i="9"/>
  <c r="E44" i="9"/>
  <c r="G44" i="9"/>
  <c r="H44" i="9"/>
  <c r="I44" i="9"/>
  <c r="J44" i="9"/>
  <c r="K44" i="9"/>
  <c r="L44" i="9"/>
  <c r="M44" i="9"/>
  <c r="N44" i="9"/>
  <c r="O44" i="9"/>
  <c r="D45" i="9"/>
  <c r="E45" i="9"/>
  <c r="G45" i="9"/>
  <c r="H45" i="9"/>
  <c r="I45" i="9"/>
  <c r="J45" i="9"/>
  <c r="K45" i="9"/>
  <c r="L45" i="9"/>
  <c r="M45" i="9"/>
  <c r="N45" i="9"/>
  <c r="O45" i="9"/>
  <c r="D46" i="9"/>
  <c r="E46" i="9"/>
  <c r="G46" i="9"/>
  <c r="H46" i="9"/>
  <c r="I46" i="9"/>
  <c r="J46" i="9"/>
  <c r="K46" i="9"/>
  <c r="L46" i="9"/>
  <c r="M46" i="9"/>
  <c r="N46" i="9"/>
  <c r="O46" i="9"/>
  <c r="D47" i="9"/>
  <c r="E47" i="9"/>
  <c r="G47" i="9"/>
  <c r="H47" i="9"/>
  <c r="I47" i="9"/>
  <c r="J47" i="9"/>
  <c r="K47" i="9"/>
  <c r="L47" i="9"/>
  <c r="M47" i="9"/>
  <c r="N47" i="9"/>
  <c r="O47" i="9"/>
  <c r="D48" i="9"/>
  <c r="E48" i="9"/>
  <c r="G48" i="9"/>
  <c r="H48" i="9"/>
  <c r="I48" i="9"/>
  <c r="J48" i="9"/>
  <c r="K48" i="9"/>
  <c r="L48" i="9"/>
  <c r="M48" i="9"/>
  <c r="N48" i="9"/>
  <c r="O48" i="9"/>
  <c r="D49" i="9"/>
  <c r="E49" i="9"/>
  <c r="G49" i="9"/>
  <c r="H49" i="9"/>
  <c r="I49" i="9"/>
  <c r="J49" i="9"/>
  <c r="K49" i="9"/>
  <c r="L49" i="9"/>
  <c r="M49" i="9"/>
  <c r="N49" i="9"/>
  <c r="O49" i="9"/>
  <c r="D50" i="9"/>
  <c r="E50" i="9"/>
  <c r="G50" i="9"/>
  <c r="H50" i="9"/>
  <c r="I50" i="9"/>
  <c r="J50" i="9"/>
  <c r="K50" i="9"/>
  <c r="L50" i="9"/>
  <c r="M50" i="9"/>
  <c r="N50" i="9"/>
  <c r="O50" i="9"/>
  <c r="D51" i="9"/>
  <c r="E51" i="9"/>
  <c r="G51" i="9"/>
  <c r="H51" i="9"/>
  <c r="I51" i="9"/>
  <c r="J51" i="9"/>
  <c r="K51" i="9"/>
  <c r="L51" i="9"/>
  <c r="M51" i="9"/>
  <c r="N51" i="9"/>
  <c r="O51" i="9"/>
  <c r="D52" i="9"/>
  <c r="E52" i="9"/>
  <c r="G52" i="9"/>
  <c r="H52" i="9"/>
  <c r="I52" i="9"/>
  <c r="J52" i="9"/>
  <c r="K52" i="9"/>
  <c r="L52" i="9"/>
  <c r="M52" i="9"/>
  <c r="N52" i="9"/>
  <c r="O52" i="9"/>
  <c r="D53" i="9"/>
  <c r="E53" i="9"/>
  <c r="G53" i="9"/>
  <c r="H53" i="9"/>
  <c r="I53" i="9"/>
  <c r="J53" i="9"/>
  <c r="K53" i="9"/>
  <c r="L53" i="9"/>
  <c r="M53" i="9"/>
  <c r="N53" i="9"/>
  <c r="O53" i="9"/>
  <c r="D54" i="9"/>
  <c r="E54" i="9"/>
  <c r="G54" i="9"/>
  <c r="H54" i="9"/>
  <c r="I54" i="9"/>
  <c r="J54" i="9"/>
  <c r="K54" i="9"/>
  <c r="L54" i="9"/>
  <c r="M54" i="9"/>
  <c r="N54" i="9"/>
  <c r="O54" i="9"/>
  <c r="D55" i="9"/>
  <c r="E55" i="9"/>
  <c r="G55" i="9"/>
  <c r="H55" i="9"/>
  <c r="I55" i="9"/>
  <c r="J55" i="9"/>
  <c r="K55" i="9"/>
  <c r="L55" i="9"/>
  <c r="M55" i="9"/>
  <c r="N55" i="9"/>
  <c r="O55" i="9"/>
  <c r="D56" i="9"/>
  <c r="E56" i="9"/>
  <c r="G56" i="9"/>
  <c r="H56" i="9"/>
  <c r="I56" i="9"/>
  <c r="J56" i="9"/>
  <c r="K56" i="9"/>
  <c r="L56" i="9"/>
  <c r="M56" i="9"/>
  <c r="N56" i="9"/>
  <c r="O56" i="9"/>
  <c r="D57" i="9"/>
  <c r="E57" i="9"/>
  <c r="G57" i="9"/>
  <c r="H57" i="9"/>
  <c r="I57" i="9"/>
  <c r="J57" i="9"/>
  <c r="K57" i="9"/>
  <c r="L57" i="9"/>
  <c r="M57" i="9"/>
  <c r="N57" i="9"/>
  <c r="J57" i="11"/>
  <c r="O57" i="9"/>
  <c r="D58" i="9"/>
  <c r="E58" i="9"/>
  <c r="G58" i="9"/>
  <c r="H58" i="9"/>
  <c r="I58" i="9"/>
  <c r="J58" i="9"/>
  <c r="K58" i="9"/>
  <c r="L58" i="9"/>
  <c r="M58" i="9"/>
  <c r="N58" i="9"/>
  <c r="J58" i="11"/>
  <c r="O58" i="9"/>
  <c r="D59" i="9"/>
  <c r="E59" i="9"/>
  <c r="G59" i="9"/>
  <c r="H59" i="9"/>
  <c r="I59" i="9"/>
  <c r="J59" i="9"/>
  <c r="K59" i="9"/>
  <c r="L59" i="9"/>
  <c r="M59" i="9"/>
  <c r="N59" i="9"/>
  <c r="J59" i="11"/>
  <c r="O59" i="9"/>
  <c r="D60" i="9"/>
  <c r="E60" i="9"/>
  <c r="G60" i="9"/>
  <c r="H60" i="9"/>
  <c r="I60" i="9"/>
  <c r="J60" i="9"/>
  <c r="K60" i="9"/>
  <c r="L60" i="9"/>
  <c r="M60" i="9"/>
  <c r="N60" i="9"/>
  <c r="J60" i="11"/>
  <c r="O60" i="9"/>
  <c r="D61" i="9"/>
  <c r="E61" i="9"/>
  <c r="G61" i="9"/>
  <c r="H61" i="9"/>
  <c r="I61" i="9"/>
  <c r="J61" i="9"/>
  <c r="K61" i="9"/>
  <c r="L61" i="9"/>
  <c r="M61" i="9"/>
  <c r="N61" i="9"/>
  <c r="J61" i="11"/>
  <c r="O61" i="9"/>
  <c r="D62" i="9"/>
  <c r="E62" i="9"/>
  <c r="G62" i="9"/>
  <c r="H62" i="9"/>
  <c r="I62" i="9"/>
  <c r="J62" i="9"/>
  <c r="K62" i="9"/>
  <c r="L62" i="9"/>
  <c r="M62" i="9"/>
  <c r="N62" i="9"/>
  <c r="J62" i="11"/>
  <c r="O62" i="9"/>
  <c r="D63" i="9"/>
  <c r="E63" i="9"/>
  <c r="G63" i="9"/>
  <c r="H63" i="9"/>
  <c r="I63" i="9"/>
  <c r="J63" i="9"/>
  <c r="K63" i="9"/>
  <c r="L63" i="9"/>
  <c r="M63" i="9"/>
  <c r="N63" i="9"/>
  <c r="J63" i="11"/>
  <c r="O63" i="9"/>
  <c r="D64" i="9"/>
  <c r="E64" i="9"/>
  <c r="G64" i="9"/>
  <c r="H64" i="9"/>
  <c r="I64" i="9"/>
  <c r="J64" i="9"/>
  <c r="K64" i="9"/>
  <c r="L64" i="9"/>
  <c r="M64" i="9"/>
  <c r="N64" i="9"/>
  <c r="J64" i="11"/>
  <c r="O64" i="9"/>
  <c r="D66" i="9"/>
  <c r="E66" i="9"/>
  <c r="G66" i="9"/>
  <c r="H66" i="9"/>
  <c r="I66" i="9"/>
  <c r="J66" i="9"/>
  <c r="K66" i="9"/>
  <c r="L66" i="9"/>
  <c r="M66" i="9"/>
  <c r="N66" i="9"/>
  <c r="J66" i="11"/>
  <c r="O66" i="9"/>
  <c r="G3" i="10"/>
  <c r="H3" i="10"/>
  <c r="I3" i="10"/>
  <c r="J3" i="10"/>
  <c r="K3" i="10"/>
  <c r="L3" i="10"/>
  <c r="M3" i="10"/>
  <c r="M16" i="10"/>
  <c r="M30" i="10"/>
  <c r="M40" i="10"/>
  <c r="M47" i="10"/>
  <c r="M54" i="10"/>
  <c r="M72" i="10"/>
  <c r="N72" i="10"/>
  <c r="Q72" i="10"/>
  <c r="P72" i="10"/>
  <c r="R72" i="10"/>
  <c r="O72" i="10"/>
  <c r="S72" i="10"/>
  <c r="N54" i="10"/>
  <c r="Q54" i="10"/>
  <c r="P54" i="10"/>
  <c r="R54" i="10"/>
  <c r="O54" i="10"/>
  <c r="S54" i="10"/>
  <c r="N47" i="10"/>
  <c r="Q47" i="10"/>
  <c r="P47" i="10"/>
  <c r="R47" i="10"/>
  <c r="O47" i="10"/>
  <c r="S47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16" i="10"/>
  <c r="Q16" i="10"/>
  <c r="P16" i="10"/>
  <c r="R16" i="10"/>
  <c r="O16" i="10"/>
  <c r="S16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8" i="10"/>
  <c r="M55" i="10"/>
  <c r="M73" i="10"/>
  <c r="N73" i="10"/>
  <c r="Q73" i="10"/>
  <c r="P73" i="10"/>
  <c r="R73" i="10"/>
  <c r="O73" i="10"/>
  <c r="S73" i="10"/>
  <c r="N55" i="10"/>
  <c r="Q55" i="10"/>
  <c r="P55" i="10"/>
  <c r="R55" i="10"/>
  <c r="O55" i="10"/>
  <c r="S55" i="10"/>
  <c r="N18" i="10"/>
  <c r="Q18" i="10"/>
  <c r="P18" i="10"/>
  <c r="R18" i="10"/>
  <c r="O18" i="10"/>
  <c r="S18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9" i="10"/>
  <c r="M57" i="10"/>
  <c r="M75" i="10"/>
  <c r="M62" i="10"/>
  <c r="N62" i="10"/>
  <c r="Q62" i="10"/>
  <c r="P62" i="10"/>
  <c r="R62" i="10"/>
  <c r="O62" i="10"/>
  <c r="S62" i="10"/>
  <c r="N75" i="10"/>
  <c r="Q75" i="10"/>
  <c r="P75" i="10"/>
  <c r="R75" i="10"/>
  <c r="O75" i="10"/>
  <c r="S75" i="10"/>
  <c r="N57" i="10"/>
  <c r="Q57" i="10"/>
  <c r="P57" i="10"/>
  <c r="R57" i="10"/>
  <c r="O57" i="10"/>
  <c r="S57" i="10"/>
  <c r="N19" i="10"/>
  <c r="Q19" i="10"/>
  <c r="P19" i="10"/>
  <c r="R19" i="10"/>
  <c r="O19" i="10"/>
  <c r="S19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58" i="10"/>
  <c r="M77" i="10"/>
  <c r="N77" i="10"/>
  <c r="Q77" i="10"/>
  <c r="P77" i="10"/>
  <c r="R77" i="10"/>
  <c r="O77" i="10"/>
  <c r="S77" i="10"/>
  <c r="N58" i="10"/>
  <c r="Q58" i="10"/>
  <c r="P58" i="10"/>
  <c r="R58" i="10"/>
  <c r="O58" i="10"/>
  <c r="S58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2" i="10"/>
  <c r="M33" i="10"/>
  <c r="M48" i="10"/>
  <c r="M60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N33" i="10"/>
  <c r="Q33" i="10"/>
  <c r="P33" i="10"/>
  <c r="R33" i="10"/>
  <c r="O33" i="10"/>
  <c r="S33" i="10"/>
  <c r="N22" i="10"/>
  <c r="Q22" i="10"/>
  <c r="P22" i="10"/>
  <c r="R22" i="10"/>
  <c r="O22" i="10"/>
  <c r="S22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3" i="10"/>
  <c r="M42" i="10"/>
  <c r="M49" i="10"/>
  <c r="M64" i="10"/>
  <c r="N64" i="10"/>
  <c r="Q64" i="10"/>
  <c r="P64" i="10"/>
  <c r="R64" i="10"/>
  <c r="O64" i="10"/>
  <c r="S64" i="10"/>
  <c r="N49" i="10"/>
  <c r="Q49" i="10"/>
  <c r="P49" i="10"/>
  <c r="R49" i="10"/>
  <c r="O49" i="10"/>
  <c r="S49" i="10"/>
  <c r="N42" i="10"/>
  <c r="Q42" i="10"/>
  <c r="P42" i="10"/>
  <c r="R42" i="10"/>
  <c r="O42" i="10"/>
  <c r="S42" i="10"/>
  <c r="N23" i="10"/>
  <c r="Q23" i="10"/>
  <c r="P23" i="10"/>
  <c r="R23" i="10"/>
  <c r="O23" i="10"/>
  <c r="S23" i="10"/>
  <c r="N9" i="10"/>
  <c r="O9" i="10"/>
  <c r="P9" i="10"/>
  <c r="Q9" i="10"/>
  <c r="R9" i="10"/>
  <c r="S9" i="10"/>
  <c r="T9" i="10"/>
  <c r="U9" i="10"/>
  <c r="V9" i="10"/>
  <c r="W9" i="10"/>
  <c r="X9" i="10"/>
  <c r="Y9" i="10"/>
  <c r="G11" i="10"/>
  <c r="H11" i="10"/>
  <c r="I11" i="10"/>
  <c r="J11" i="10"/>
  <c r="K11" i="10"/>
  <c r="L11" i="10"/>
  <c r="M11" i="10"/>
  <c r="M66" i="10"/>
  <c r="N66" i="10"/>
  <c r="Q66" i="10"/>
  <c r="P66" i="10"/>
  <c r="R66" i="10"/>
  <c r="O66" i="10"/>
  <c r="S66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27" i="10"/>
  <c r="M36" i="10"/>
  <c r="N36" i="10"/>
  <c r="Q36" i="10"/>
  <c r="P36" i="10"/>
  <c r="R36" i="10"/>
  <c r="O36" i="10"/>
  <c r="S36" i="10"/>
  <c r="N27" i="10"/>
  <c r="Q27" i="10"/>
  <c r="P27" i="10"/>
  <c r="R27" i="10"/>
  <c r="O27" i="10"/>
  <c r="S27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28" i="10"/>
  <c r="M38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T67" i="10"/>
  <c r="U67" i="10"/>
  <c r="V67" i="10"/>
  <c r="W67" i="10"/>
  <c r="X67" i="10"/>
  <c r="Y67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G73" i="10"/>
  <c r="H73" i="10"/>
  <c r="I73" i="10"/>
  <c r="J73" i="10"/>
  <c r="K73" i="10"/>
  <c r="L73" i="10"/>
  <c r="T73" i="10"/>
  <c r="U73" i="10"/>
  <c r="V73" i="10"/>
  <c r="W73" i="10"/>
  <c r="X73" i="10"/>
  <c r="Y73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E2" i="9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6" i="7"/>
  <c r="D6" i="7"/>
  <c r="E6" i="7"/>
  <c r="F6" i="7"/>
  <c r="H6" i="7"/>
  <c r="I6" i="7"/>
  <c r="J6" i="7"/>
  <c r="N6" i="7"/>
  <c r="O6" i="7"/>
  <c r="P6" i="7"/>
  <c r="Q6" i="7"/>
  <c r="R6" i="7"/>
  <c r="U6" i="7"/>
  <c r="W6" i="7"/>
  <c r="Y6" i="7"/>
  <c r="A7" i="7"/>
  <c r="D7" i="7"/>
  <c r="E7" i="7"/>
  <c r="F7" i="7"/>
  <c r="H7" i="7"/>
  <c r="I7" i="7"/>
  <c r="J7" i="7"/>
  <c r="N7" i="7"/>
  <c r="O7" i="7"/>
  <c r="P7" i="7"/>
  <c r="Q7" i="7"/>
  <c r="R7" i="7"/>
  <c r="U7" i="7"/>
  <c r="W7" i="7"/>
  <c r="Y7" i="7"/>
  <c r="Y2" i="7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X2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W2" i="7"/>
  <c r="U2" i="7"/>
  <c r="V2" i="1"/>
  <c r="T2" i="1"/>
  <c r="G3" i="22"/>
  <c r="F3" i="22"/>
  <c r="D3" i="22"/>
  <c r="C3" i="22"/>
  <c r="A3" i="22"/>
  <c r="E13" i="16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<sst xmlns="http://schemas.openxmlformats.org/spreadsheetml/2006/main" count="1207" uniqueCount="498">
  <si>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</si>
  <si>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</si>
  <si>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</si>
  <si>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</si>
  <si>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</si>
  <si>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</si>
  <si>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</si>
  <si>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</si>
  <si>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</si>
  <si>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</si>
  <si>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</si>
  <si>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</si>
  <si>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</si>
  <si>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</si>
  <si>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</si>
  <si>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</si>
  <si>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</si>
  <si>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</si>
  <si>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</si>
  <si>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</si>
  <si>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</si>
  <si>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</si>
  <si>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</si>
  <si>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</si>
  <si>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</si>
  <si>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</si>
  <si>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</si>
  <si>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</si>
  <si>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</si>
  <si>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</si>
  <si>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</si>
  <si>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</si>
  <si>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</si>
  <si>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</si>
  <si>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</si>
  <si>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</si>
  <si>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</si>
  <si>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</si>
  <si>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</si>
  <si>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</si>
  <si>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</si>
  <si>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</si>
  <si>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</si>
  <si>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</si>
  <si>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</si>
  <si>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</si>
  <si>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</si>
  <si>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</si>
  <si>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</si>
  <si>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</si>
  <si>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</si>
  <si>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</si>
  <si>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</si>
  <si>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</si>
  <si>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</si>
  <si>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</si>
  <si>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</si>
  <si>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</si>
  <si>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</si>
  <si>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</si>
  <si>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</si>
  <si>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</si>
  <si>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</si>
  <si>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</si>
  <si>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</si>
  <si>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</si>
  <si>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</si>
  <si>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</si>
  <si>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</si>
  <si>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</si>
  <si>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</si>
  <si>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</si>
  <si>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</si>
  <si>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</si>
  <si>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</si>
  <si>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</si>
  <si>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</si>
  <si>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</si>
  <si>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</si>
  <si>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</si>
  <si>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</si>
  <si>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</si>
  <si>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</si>
  <si>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</si>
  <si>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</si>
  <si>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</si>
  <si>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</si>
  <si>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</si>
  <si>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</si>
  <si>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</si>
  <si>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</si>
  <si>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</si>
  <si>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</si>
  <si>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</si>
  <si>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</si>
  <si>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</si>
  <si>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</si>
  <si>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</si>
  <si>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</si>
  <si>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</si>
  <si>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</si>
  <si>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</si>
  <si>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</si>
  <si>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</si>
  <si>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</si>
  <si>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</si>
  <si>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</si>
  <si>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</si>
  <si>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</si>
  <si>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</si>
  <si>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</si>
  <si>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</si>
  <si>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</si>
  <si>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</si>
  <si>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</si>
  <si>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</si>
  <si>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</si>
  <si>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</si>
  <si>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</si>
  <si>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</si>
  <si>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</si>
  <si>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</si>
  <si>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</si>
  <si>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</si>
  <si>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</si>
  <si>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</si>
  <si>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</si>
  <si>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</si>
  <si>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</si>
  <si>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</si>
  <si>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</si>
  <si>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</si>
  <si>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</si>
  <si>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</si>
  <si>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</si>
  <si>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</si>
  <si>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</si>
  <si>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</si>
  <si>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</si>
  <si>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</si>
  <si>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</si>
  <si>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</si>
  <si>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</si>
  <si>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</si>
  <si>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</si>
  <si>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</si>
  <si>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</si>
  <si>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</si>
  <si>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</si>
  <si>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</si>
  <si>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</si>
  <si>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</si>
  <si>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</si>
  <si>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</si>
  <si>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</si>
  <si>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</si>
  <si>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</si>
  <si>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</si>
  <si>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</si>
  <si>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</si>
  <si>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</si>
  <si>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</si>
  <si>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</si>
  <si>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</si>
  <si>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</si>
  <si>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</si>
  <si>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</si>
  <si>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</si>
  <si>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</si>
  <si>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</si>
  <si>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</si>
  <si>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</si>
  <si>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</si>
  <si>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</si>
  <si>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</si>
  <si>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</si>
  <si>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</si>
  <si>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</si>
  <si>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</si>
  <si>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</si>
  <si>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</si>
  <si>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</si>
  <si>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</si>
  <si>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</si>
  <si>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</si>
  <si>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</si>
  <si>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</si>
  <si>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</si>
  <si>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</si>
  <si>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</si>
  <si>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</si>
  <si>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</si>
  <si>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</si>
  <si>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</si>
  <si>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</si>
  <si>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</si>
  <si>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</si>
  <si>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</si>
  <si>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</si>
  <si>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</si>
  <si>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</si>
  <si>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</si>
  <si>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</si>
  <si>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</si>
  <si>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</si>
  <si>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</si>
  <si>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</si>
  <si>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</si>
  <si>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</si>
  <si>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</si>
  <si>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</si>
  <si>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</si>
  <si>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</si>
  <si>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</si>
  <si>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</si>
  <si>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</si>
  <si>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</si>
  <si>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</si>
  <si>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</si>
  <si>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</si>
  <si>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</si>
  <si>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</si>
  <si>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</si>
  <si>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</si>
  <si>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</si>
  <si>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</si>
  <si>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</si>
  <si>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</si>
  <si>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</si>
  <si>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</si>
  <si>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</si>
  <si>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</si>
  <si>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</si>
  <si>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</si>
  <si>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</si>
  <si>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</si>
  <si>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</si>
  <si>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</si>
  <si>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</si>
  <si>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</si>
  <si>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</si>
  <si>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</si>
  <si>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</si>
  <si>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</si>
  <si>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</si>
  <si>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</si>
  <si>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</si>
  <si>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</si>
  <si>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</si>
  <si>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</si>
  <si>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</si>
  <si>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</si>
  <si>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</si>
  <si>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</si>
  <si>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…やだ…痛いのイヤ…！</t>
    <rPh sb="4" eb="5">
      <t>イタイ</t>
    </rPh>
    <phoneticPr fontId="5"/>
  </si>
  <si>
    <t>ダ…め…逃ゲて…！</t>
    <rPh sb="4" eb="5">
      <t>ニゲテ</t>
    </rPh>
    <phoneticPr fontId="5"/>
  </si>
  <si>
    <t>ァ…ネコ…最強ナ…ノ…ァァァ…</t>
    <rPh sb="5" eb="7">
      <t>サイキョウ</t>
    </rPh>
    <phoneticPr fontId="5"/>
  </si>
  <si>
    <t>フフ…仲間ニシテアゲル！</t>
    <rPh sb="3" eb="5">
      <t>ナカマ</t>
    </rPh>
    <phoneticPr fontId="5"/>
  </si>
  <si>
    <t>old</t>
  </si>
  <si>
    <t>null</t>
  </si>
  <si>
    <t>様子がおかしい…</t>
    <rPh sb="0" eb="2">
      <t>ヨウスガオカシイ</t>
    </rPh>
    <phoneticPr fontId="5"/>
  </si>
  <si>
    <t>様子がおかしい…</t>
    <rPh sb="0" eb="2">
      <t>ヨウスガ</t>
    </rPh>
    <phoneticPr fontId="5"/>
  </si>
  <si>
    <t>null</t>
    <phoneticPr fontId="5"/>
  </si>
  <si>
    <t>null</t>
    <phoneticPr fontId="5"/>
  </si>
  <si>
    <t>暴走コア</t>
    <rPh sb="0" eb="2">
      <t>ボウソウ</t>
    </rPh>
    <phoneticPr fontId="5"/>
  </si>
  <si>
    <t>縫合痕・修復</t>
    <rPh sb="0" eb="3">
      <t>ホウゴウ</t>
    </rPh>
    <rPh sb="4" eb="6">
      <t>シュウフク</t>
    </rPh>
    <phoneticPr fontId="5"/>
  </si>
  <si>
    <t>ア…なにこれ…意識…ガ…</t>
    <rPh sb="7" eb="9">
      <t>イシキ</t>
    </rPh>
    <phoneticPr fontId="5"/>
  </si>
  <si>
    <t>暴走ステッチ</t>
    <rPh sb="0" eb="2">
      <t>ボウソウ</t>
    </rPh>
    <phoneticPr fontId="5"/>
  </si>
  <si>
    <t>吸血鬼カーミラ…</t>
    <phoneticPr fontId="5"/>
  </si>
  <si>
    <t>アバター達の様子がおかしい…</t>
    <rPh sb="4" eb="5">
      <t>タチ</t>
    </rPh>
    <rPh sb="6" eb="8">
      <t>ヨウスガ</t>
    </rPh>
    <phoneticPr fontId="5"/>
  </si>
  <si>
    <t>[表示しない]</t>
    <rPh sb="1" eb="3">
      <t>ヒョウジシナイ</t>
    </rPh>
    <phoneticPr fontId="5"/>
  </si>
  <si>
    <t>不気味な叫び声が聴こえる…</t>
    <rPh sb="0" eb="3">
      <t>ブキミハ</t>
    </rPh>
    <rPh sb="4" eb="5">
      <t>サケビ</t>
    </rPh>
    <rPh sb="8" eb="9">
      <t>キコエル</t>
    </rPh>
    <phoneticPr fontId="5"/>
  </si>
  <si>
    <t>体が…いうコト…きかナイ！！</t>
    <rPh sb="0" eb="1">
      <t>カラダ</t>
    </rPh>
    <phoneticPr fontId="5"/>
  </si>
  <si>
    <t>ははは！その虚勢はどこまで続くかな？</t>
    <rPh sb="6" eb="8">
      <t>キョセイ</t>
    </rPh>
    <rPh sb="13" eb="14">
      <t>ツヅク</t>
    </rPh>
    <phoneticPr fontId="5"/>
  </si>
  <si>
    <t>へぇ、やるじゃないか！
ますます興味がわいてきたぞ…！</t>
    <rPh sb="16" eb="18">
      <t>キョウミガ</t>
    </rPh>
    <phoneticPr fontId="5"/>
  </si>
  <si>
    <t>自動迎撃システム再起動！</t>
    <rPh sb="0" eb="4">
      <t>ジドウゲイゲキシステム</t>
    </rPh>
    <rPh sb="8" eb="11">
      <t>サイキドウ</t>
    </rPh>
    <phoneticPr fontId="5"/>
  </si>
  <si>
    <t>ああ、ああ、お前は本当に強いな！</t>
    <rPh sb="9" eb="11">
      <t>ホントウニ</t>
    </rPh>
    <rPh sb="12" eb="13">
      <t>ツヨイ</t>
    </rPh>
    <phoneticPr fontId="5"/>
  </si>
  <si>
    <t>わかるように言ってやろうか？
つまり…お前はここで負けるのさ！</t>
    <rPh sb="6" eb="7">
      <t>イッテ</t>
    </rPh>
    <rPh sb="25" eb="26">
      <t>マケル</t>
    </rPh>
    <phoneticPr fontId="5"/>
  </si>
  <si>
    <t>はは…噂通りの強さだな…</t>
    <rPh sb="3" eb="5">
      <t>ウワサドオリ</t>
    </rPh>
    <rPh sb="7" eb="8">
      <t>ツヨサ</t>
    </rPh>
    <phoneticPr fontId="5"/>
  </si>
  <si>
    <t>はははは！強情だなあ！</t>
    <rPh sb="5" eb="7">
      <t>ゴウジョウバリ</t>
    </rPh>
    <phoneticPr fontId="5"/>
  </si>
  <si>
    <t>いいさ…力尽くで奪うだけだ</t>
    <rPh sb="4" eb="6">
      <t>チカラズク</t>
    </rPh>
    <rPh sb="8" eb="9">
      <t>ウバウ</t>
    </rPh>
    <phoneticPr fontId="5"/>
  </si>
  <si>
    <t>伝播性ウィルス拡散！耐えられるかい？</t>
    <rPh sb="0" eb="3">
      <t>デンパンセイ</t>
    </rPh>
    <rPh sb="7" eb="9">
      <t>カクサｎ</t>
    </rPh>
    <rPh sb="10" eb="11">
      <t>タエテ</t>
    </rPh>
    <phoneticPr fontId="5"/>
  </si>
  <si>
    <t>&lt;&lt;思考データ消去完了&gt;&gt;
【次のターンに激烈攻撃！】</t>
    <rPh sb="2" eb="4">
      <t>シコウデータ</t>
    </rPh>
    <rPh sb="7" eb="9">
      <t>ショウキョ</t>
    </rPh>
    <rPh sb="9" eb="11">
      <t>カンリョウ</t>
    </rPh>
    <rPh sb="15" eb="16">
      <t>ツギノターン</t>
    </rPh>
    <rPh sb="21" eb="23">
      <t>ゲキレツ</t>
    </rPh>
    <rPh sb="23" eb="25">
      <t>コウゲキ</t>
    </rPh>
    <phoneticPr fontId="5"/>
  </si>
  <si>
    <t>ぐっ…そんな…馬鹿な…</t>
    <rPh sb="7" eb="9">
      <t>バカ</t>
    </rPh>
    <phoneticPr fontId="5"/>
  </si>
  <si>
    <t>伝説のアンデッド…吸血鬼カーミラ…！
お前は本当に素晴らしい存在だ…次こそは必ず…！</t>
    <rPh sb="0" eb="2">
      <t>デンセツ</t>
    </rPh>
    <rPh sb="9" eb="12">
      <t>キュウケツキ</t>
    </rPh>
    <rPh sb="22" eb="24">
      <t>ホントウニ</t>
    </rPh>
    <rPh sb="25" eb="27">
      <t>スバラシイソンザイ</t>
    </rPh>
    <rPh sb="34" eb="35">
      <t>ツギコソハ</t>
    </rPh>
    <rPh sb="38" eb="39">
      <t>カナラズ</t>
    </rPh>
    <phoneticPr fontId="5"/>
  </si>
  <si>
    <t>よし！お前もカスタマイズしてやろう！</t>
    <phoneticPr fontId="5"/>
  </si>
  <si>
    <t>彼女達を助けに来たの…？</t>
    <rPh sb="0" eb="2">
      <t>カノジョ</t>
    </rPh>
    <rPh sb="4" eb="5">
      <t>タスケニ</t>
    </rPh>
    <rPh sb="7" eb="8">
      <t>キタ</t>
    </rPh>
    <phoneticPr fontId="5"/>
  </si>
  <si>
    <t>ウィルスファイル</t>
    <phoneticPr fontId="5"/>
  </si>
  <si>
    <t>よし…！
ついにお前の戦闘データを完璧に解析したぞ！</t>
    <rPh sb="11" eb="13">
      <t>セントウデータ</t>
    </rPh>
    <rPh sb="17" eb="19">
      <t>カンペキ</t>
    </rPh>
    <rPh sb="20" eb="22">
      <t>カイセキ</t>
    </rPh>
    <phoneticPr fontId="5"/>
  </si>
  <si>
    <t>見せてくれよ！お前の全てを…！</t>
    <rPh sb="0" eb="1">
      <t>ミセテ</t>
    </rPh>
    <rPh sb="10" eb="11">
      <t>スベテ</t>
    </rPh>
    <phoneticPr fontId="5"/>
  </si>
  <si>
    <t>単体攻撃</t>
    <rPh sb="0" eb="4">
      <t>タンタイコウゲキ</t>
    </rPh>
    <phoneticPr fontId="5"/>
  </si>
  <si>
    <t>ウィルス状態のユニットに大ダメージの全体攻撃</t>
    <rPh sb="4" eb="6">
      <t>ジョウタイノ</t>
    </rPh>
    <rPh sb="12" eb="13">
      <t>ダイダーメジ</t>
    </rPh>
    <rPh sb="18" eb="22">
      <t>ゼンタイコウゲキ</t>
    </rPh>
    <phoneticPr fontId="5"/>
  </si>
  <si>
    <t>ハートパネルを吸収して攻撃</t>
    <rPh sb="11" eb="13">
      <t>コウゲキ</t>
    </rPh>
    <phoneticPr fontId="5"/>
  </si>
  <si>
    <t>ハートパネルプロテクト+2回連続攻撃</t>
  </si>
  <si>
    <t>2ターンウィルス+単体攻撃</t>
    <rPh sb="9" eb="13">
      <t>タンタイコウゲキ</t>
    </rPh>
    <phoneticPr fontId="5"/>
  </si>
  <si>
    <t>8000固定ダメージ</t>
    <rPh sb="4" eb="6">
      <t>コテイダメージ</t>
    </rPh>
    <phoneticPr fontId="5"/>
  </si>
  <si>
    <t>赤パネルを吸収して攻撃</t>
    <rPh sb="0" eb="1">
      <t>アカ</t>
    </rPh>
    <phoneticPr fontId="5"/>
  </si>
  <si>
    <t>自身の攻撃頻度UP</t>
    <rPh sb="0" eb="2">
      <t>ジシンノ</t>
    </rPh>
    <rPh sb="3" eb="7">
      <t>コウゲキヒンド</t>
    </rPh>
    <phoneticPr fontId="5"/>
  </si>
  <si>
    <t>2ターン暗闇+赤パネルプロテクト</t>
    <rPh sb="7" eb="8">
      <t>アカ</t>
    </rPh>
    <phoneticPr fontId="5"/>
  </si>
  <si>
    <t>状態異常耐性+3ターン赤パネル無効</t>
    <rPh sb="11" eb="12">
      <t>アカパネル</t>
    </rPh>
    <rPh sb="15" eb="17">
      <t>ムコウ</t>
    </rPh>
    <phoneticPr fontId="5"/>
  </si>
  <si>
    <t>赤パネルプロテクト+4回連続攻撃</t>
  </si>
  <si>
    <t>3ターン全ユニットのタップ回数を1DOWN+全体攻撃</t>
    <rPh sb="4" eb="5">
      <t>ゼンユニットノ</t>
    </rPh>
    <rPh sb="13" eb="15">
      <t>カイスウ</t>
    </rPh>
    <rPh sb="22" eb="26">
      <t>ゼンタイコウゲキ</t>
    </rPh>
    <phoneticPr fontId="5"/>
  </si>
  <si>
    <t>状態異常耐性+残りHPの50%ダメージ！</t>
  </si>
  <si>
    <t>さあ、俺に最高の真理をもたらしてくれ！
【状態異常耐性+残りHPの50%ダメージ！】</t>
    <rPh sb="28" eb="29">
      <t>ノコリ</t>
    </rPh>
    <phoneticPr fontId="5"/>
  </si>
  <si>
    <t>2ターン全ユニットの攻撃力40%DOWN+単体攻撃</t>
    <rPh sb="4" eb="5">
      <t>ゼンユニット</t>
    </rPh>
    <phoneticPr fontId="5"/>
  </si>
  <si>
    <t>5ターン全ユニットの攻撃力50%DOWN+全体攻撃</t>
    <rPh sb="4" eb="5">
      <t>ゼンユニットノ</t>
    </rPh>
    <phoneticPr fontId="5"/>
  </si>
  <si>
    <t>2ターン全ユニットの攻撃力50%DOWN+
2ターン暗闇+2回連続攻撃</t>
  </si>
  <si>
    <t>残りHPの40%ダメージ！</t>
  </si>
  <si>
    <t>2ターン強力なカウンター+残りHPの80%ダメージ！</t>
  </si>
  <si>
    <t>2ターン強力なカウンター+単体攻撃+攻撃頻度UP</t>
    <rPh sb="18" eb="20">
      <t>コウゲキ</t>
    </rPh>
    <rPh sb="20" eb="22">
      <t>コウドウヒンド</t>
    </rPh>
    <phoneticPr fontId="5"/>
  </si>
  <si>
    <t>赤パネルと青パネルを吸収して攻撃</t>
    <rPh sb="5" eb="6">
      <t>アオ</t>
    </rPh>
    <phoneticPr fontId="5"/>
  </si>
  <si>
    <t>青パネルを吸収して全体回復(最大10個)</t>
    <rPh sb="0" eb="1">
      <t>アオ</t>
    </rPh>
    <rPh sb="5" eb="7">
      <t>キュウシュウ</t>
    </rPh>
    <rPh sb="9" eb="11">
      <t>ゼンタイ</t>
    </rPh>
    <rPh sb="11" eb="13">
      <t>カイフク</t>
    </rPh>
    <rPh sb="14" eb="16">
      <t>サイダイ</t>
    </rPh>
    <rPh sb="18" eb="19">
      <t>コ</t>
    </rPh>
    <phoneticPr fontId="5"/>
  </si>
  <si>
    <t>クリティカル！</t>
    <phoneticPr fontId="5"/>
  </si>
  <si>
    <t>種族マシンのユニットに大ダメージの全体攻撃</t>
    <rPh sb="11" eb="12">
      <t>ダイダメージ</t>
    </rPh>
    <rPh sb="17" eb="21">
      <t>ゼンタイコウゲキ</t>
    </rPh>
    <phoneticPr fontId="5"/>
  </si>
  <si>
    <t>2回連続攻撃+
ランダムにパネルプロテクト(最大7個)</t>
    <phoneticPr fontId="5"/>
  </si>
  <si>
    <t>状態異常耐性</t>
    <phoneticPr fontId="5"/>
  </si>
  <si>
    <t>状態異常耐性+ハートパネルドロップ率UP</t>
  </si>
  <si>
    <t>ランダムで黄パネルに最大8個変換+全体攻撃</t>
    <rPh sb="10" eb="12">
      <t>サイダイ</t>
    </rPh>
    <rPh sb="14" eb="16">
      <t>ヘンカｎ</t>
    </rPh>
    <phoneticPr fontId="5"/>
  </si>
  <si>
    <t>1ターン強力なカウンター+全体攻撃</t>
    <phoneticPr fontId="5"/>
  </si>
  <si>
    <t>状態異常耐性</t>
    <phoneticPr fontId="5"/>
  </si>
  <si>
    <t>ハートパネルプロテクト+単体攻撃</t>
  </si>
  <si>
    <t>解除するまで超強力なカウンター</t>
    <phoneticPr fontId="5"/>
  </si>
  <si>
    <t>2回連続全体攻撃</t>
    <phoneticPr fontId="5"/>
  </si>
  <si>
    <t>[effect:enemy_message, val1:0.0, val2:1.3],[effect:fix_speed, target:myself, turn:2]</t>
  </si>
  <si>
    <t>[effect:enemy_message, val1:1.2, val2:0.0],[effect:fix_speed, target:myself, turn:2]</t>
  </si>
  <si>
    <t xml:space="preserve">[effect:enemy_message, val1:1.2, val2:2.0],[effect:break_heal_ratio, target:enemy_all, val:0.01, lowest_val:0, count:10, block_color:block_blue, block01:normal, animation:enemy_heal]    </t>
  </si>
  <si>
    <t>[effect:enemy_message, val1:0.0, val2:1.4],[effect:fix_speed, target:myself, turn:2]</t>
  </si>
  <si>
    <t>[effect:enemy_message, val1:1.2, val2:1.3],[effect:damage_gravity, val:0.4, animation:fevergauge_down]</t>
  </si>
  <si>
    <t>[effect:enemy_message, val1:1.3, val2:1.2],[effect:freq_turn, target:myself, turn:-1, val:1, animation:enemy_freq_turn]</t>
  </si>
  <si>
    <t>[effect:enemy_message, val1:1.2, val2:1.2],[effect:damage_fix_absolute, target:unit_one, val:33333],[effect:damage_fix_absolute, target:unit_one, val:33333]</t>
  </si>
  <si>
    <t>[effect:enemy_message, val1:1.5, val2:1.6],[effect:panel_freeze, target:normal, color:block_red, count:-1],[effect:rush, val:0.32, count:4]</t>
  </si>
  <si>
    <t>[effect:enemy_message, val1:2.5, val2:1.2],[effect:tolerance, target:myself, turn:-1, count:-1, tolerance_effect:all, animation:enemy_tolerance],[effect:fix_speed, target:myself, turn:1]</t>
  </si>
  <si>
    <t>[effect:enemy_message, val1:3.0, val2:1.6],[effect:panel_freeze, target:normal, color:block_heart, count:-1],[effect:rush, val:1.2, count:1]</t>
  </si>
  <si>
    <t>[effect:enemy_message, val1:1.6, val2:1.2],[effect:spread, val:0.2],[effect:spread, val:0.2]</t>
  </si>
  <si>
    <t>[effect:enemy_message, val1:1.5, val2:1.2],[effect:rush, val:1, count:1]</t>
  </si>
  <si>
    <t>ランダムで赤パネルに最大13個変換+
6666固定ダメージ</t>
    <rPh sb="10" eb="12">
      <t>サイダイ</t>
    </rPh>
    <rPh sb="15" eb="17">
      <t>ヘンカン</t>
    </rPh>
    <phoneticPr fontId="5"/>
  </si>
  <si>
    <t>次のターン激烈固定ダメージ！</t>
    <rPh sb="0" eb="1">
      <t>ツギノターン</t>
    </rPh>
    <rPh sb="5" eb="7">
      <t>ゲキレツ</t>
    </rPh>
    <rPh sb="7" eb="9">
      <t>コテイ</t>
    </rPh>
    <phoneticPr fontId="5"/>
  </si>
  <si>
    <t>激烈固定ダメージ！</t>
    <rPh sb="0" eb="4">
      <t>ゲキレツコテイダメージ</t>
    </rPh>
    <phoneticPr fontId="5"/>
  </si>
  <si>
    <t>激烈固定ダメージ！</t>
    <rPh sb="0" eb="2">
      <t>ゲキレツ</t>
    </rPh>
    <rPh sb="2" eb="4">
      <t>コテイダメージ</t>
    </rPh>
    <phoneticPr fontId="5"/>
  </si>
  <si>
    <t>俺の実験台になりたくないかい？</t>
    <rPh sb="2" eb="5">
      <t>ジッケンダイ</t>
    </rPh>
    <phoneticPr fontId="5"/>
  </si>
  <si>
    <t>俺の解析結果を上回るとは…面白い…！
次こそは必ず…俺の物に…！</t>
    <rPh sb="2" eb="4">
      <t>カイセキ</t>
    </rPh>
    <rPh sb="4" eb="6">
      <t>ケッカ</t>
    </rPh>
    <rPh sb="7" eb="9">
      <t>ウワマワリウ</t>
    </rPh>
    <rPh sb="13" eb="15">
      <t>オモシロイ</t>
    </rPh>
    <rPh sb="19" eb="20">
      <t>ツギコソハ</t>
    </rPh>
    <rPh sb="23" eb="24">
      <t>カナラズ</t>
    </rPh>
    <rPh sb="28" eb="29">
      <t>モノ</t>
    </rPh>
    <phoneticPr fontId="5"/>
  </si>
  <si>
    <t>見たかい、俺の天使達を！
素晴らしいカスタマイズだったろう！</t>
    <rPh sb="0" eb="1">
      <t>ミタカネ</t>
    </rPh>
    <rPh sb="7" eb="9">
      <t>キカイテンシ</t>
    </rPh>
    <rPh sb="9" eb="10">
      <t>タチ</t>
    </rPh>
    <rPh sb="13" eb="15">
      <t>スバラシイ</t>
    </rPh>
    <phoneticPr fontId="5"/>
  </si>
  <si>
    <t>赤属性のユニットに大ダメージの全体攻撃</t>
    <rPh sb="0" eb="3">
      <t>アカゾクセイニ</t>
    </rPh>
    <rPh sb="9" eb="10">
      <t>ダイダメージノ</t>
    </rPh>
    <rPh sb="15" eb="19">
      <t>ゼンタイコウゲキ</t>
    </rPh>
    <phoneticPr fontId="5"/>
  </si>
  <si>
    <t>3ターン超強力なウィルス</t>
    <rPh sb="4" eb="7">
      <t>チョウキョウリョクナ</t>
    </rPh>
    <phoneticPr fontId="5"/>
  </si>
  <si>
    <t>2ターン強力なウィルス+3回連続攻撃</t>
    <rPh sb="4" eb="6">
      <t>キョウリョクナ</t>
    </rPh>
    <phoneticPr fontId="5"/>
  </si>
  <si>
    <t>3ターン超強力なウィルス+全体攻撃</t>
    <rPh sb="4" eb="5">
      <t>チョウ</t>
    </rPh>
    <phoneticPr fontId="5"/>
  </si>
  <si>
    <t>1ターン強力なウィルス+クリティカル！</t>
    <rPh sb="4" eb="6">
      <t>キョウリョクナ</t>
    </rPh>
    <phoneticPr fontId="5"/>
  </si>
  <si>
    <t>2ターンウィルス+2回連続攻撃</t>
    <phoneticPr fontId="5"/>
  </si>
  <si>
    <t>フレイヤは強力なカウンターを使用します
一度でも攻撃を当てると大ダメージを
受けてしまうため注意しましょう</t>
    <phoneticPr fontId="5"/>
  </si>
  <si>
    <t>ミカエルは一定までHPを減らすと
防御できない強力な攻撃を行います</t>
    <phoneticPr fontId="5"/>
  </si>
  <si>
    <t>ヘルシングのカウンターはとても強力です
カウンター解除スキルを使うか
強力な防御力UPスキルで対応しましょう</t>
    <phoneticPr fontId="5"/>
  </si>
  <si>
    <t>ヘルシングのウィルスはとても強力です
解除スキルかウィルス無効アビリティ
または強力な回復スキルで対応しましょう</t>
    <phoneticPr fontId="5"/>
  </si>
  <si>
    <t>ヘルシングはウィルス研究の専門家でしたが
珍しいアバターを研究したい衝動に駆られ
アバターの誘拐と改造を繰り返していました</t>
    <phoneticPr fontId="5"/>
  </si>
  <si>
    <t>元ウィルスハンター</t>
    <rPh sb="0" eb="1">
      <t>モト</t>
    </rPh>
    <phoneticPr fontId="5"/>
  </si>
  <si>
    <t>伝説の吸血鬼</t>
    <rPh sb="0" eb="2">
      <t>デンセツ</t>
    </rPh>
    <phoneticPr fontId="5"/>
  </si>
  <si>
    <t>吸血鬼カーミラはとても珍しい能力を持ち
眷属を召喚し使役して戦うため
ヘルシングは熱烈な興味を抱いていました</t>
    <phoneticPr fontId="5"/>
  </si>
  <si>
    <t>ヘルシングの実験台にされていたアバターは
全員カーミラによって救出され
順調に回復しつつあるようです</t>
    <phoneticPr fontId="5"/>
  </si>
  <si>
    <t>その後の顛末</t>
    <phoneticPr fontId="5"/>
  </si>
  <si>
    <t>2ターン強力なカウンター+
残りHPの40%ダメージ！</t>
    <phoneticPr fontId="5"/>
  </si>
  <si>
    <t>教授ノ…実験…私…私ハ…！</t>
    <rPh sb="0" eb="2">
      <t>キョウジュ</t>
    </rPh>
    <rPh sb="4" eb="6">
      <t>ジッケン</t>
    </rPh>
    <phoneticPr fontId="5"/>
  </si>
  <si>
    <t>[effect:enemy_message, val1:1.2, val2:1.2],[effect:critical, val:1.18]</t>
    <phoneticPr fontId="5"/>
  </si>
  <si>
    <t>[effect:enemy_message, val1:1.2, val2:1.2],[effect:critical, val:1.18]</t>
    <phoneticPr fontId="5"/>
  </si>
  <si>
    <t>ハートパネルプロテクト+2回連続攻撃</t>
    <phoneticPr fontId="5"/>
  </si>
  <si>
    <t>[effect:enemy_message, val1:1.5, val2:1.8],[effect:panel_freeze, target:normal, color:block_heart, count:-1],[effect:rush, val:0.48, count:2]</t>
    <phoneticPr fontId="5"/>
  </si>
  <si>
    <t>5000固定ダメージ</t>
    <rPh sb="4" eb="6">
      <t>コテイダメージ</t>
    </rPh>
    <phoneticPr fontId="5"/>
  </si>
  <si>
    <t>《カプセル投与》</t>
    <rPh sb="5" eb="7">
      <t>トウヨ</t>
    </rPh>
    <phoneticPr fontId="5"/>
  </si>
  <si>
    <t>《伝播性ウィルス拡散》</t>
    <rPh sb="1" eb="4">
      <t>デンパンセイ</t>
    </rPh>
    <rPh sb="8" eb="10">
      <t>カクサｎ</t>
    </rPh>
    <phoneticPr fontId="5"/>
  </si>
  <si>
    <t>《伝播性ウィルス拡散》</t>
    <phoneticPr fontId="5"/>
  </si>
  <si>
    <t>《トランキライザー投与》</t>
    <rPh sb="9" eb="11">
      <t>トウヨ</t>
    </rPh>
    <phoneticPr fontId="5"/>
  </si>
  <si>
    <t>《思考データ消去中》</t>
    <rPh sb="1" eb="3">
      <t>シコウ</t>
    </rPh>
    <rPh sb="6" eb="8">
      <t>ショウキョ</t>
    </rPh>
    <rPh sb="8" eb="9">
      <t>チュウ</t>
    </rPh>
    <phoneticPr fontId="5"/>
  </si>
  <si>
    <t>《思考データ上書き中》</t>
    <rPh sb="1" eb="3">
      <t>シコウデータ</t>
    </rPh>
    <rPh sb="6" eb="8">
      <t>ウワガキ</t>
    </rPh>
    <rPh sb="9" eb="10">
      <t>チュウ</t>
    </rPh>
    <phoneticPr fontId="5"/>
  </si>
  <si>
    <t>《放電モード》</t>
    <rPh sb="1" eb="3">
      <t>ホウデン</t>
    </rPh>
    <phoneticPr fontId="5"/>
  </si>
  <si>
    <t>[effect:enemy_message, val1:1.2, val2:1.6],[effect:break_attack_fix, target:unit_one, val:400, lowest_val:5000, count:-1, block01:block_red, block02:block_blue, ignore01:crack_bomb, ignore02:color_break, ignore03:magnet]</t>
    <phoneticPr fontId="5"/>
  </si>
  <si>
    <t>全体攻撃</t>
    <phoneticPr fontId="5"/>
  </si>
  <si>
    <t>2回連続全体攻撃</t>
    <phoneticPr fontId="5"/>
  </si>
  <si>
    <t>全体攻撃</t>
    <phoneticPr fontId="5"/>
  </si>
  <si>
    <t>はは！もうおしまいかい？</t>
    <phoneticPr fontId="5"/>
  </si>
  <si>
    <t>　《思考データ消去完了》
【次のターンに激烈攻撃！】</t>
    <rPh sb="2" eb="4">
      <t>シコウデータ</t>
    </rPh>
    <rPh sb="7" eb="9">
      <t>ショウキョ</t>
    </rPh>
    <rPh sb="9" eb="11">
      <t>カンリョウ</t>
    </rPh>
    <rPh sb="14" eb="15">
      <t>ツギノターン</t>
    </rPh>
    <rPh sb="20" eb="22">
      <t>ゲキレツ</t>
    </rPh>
    <rPh sb="22" eb="24">
      <t>コウゲキ</t>
    </rPh>
    <phoneticPr fontId="5"/>
  </si>
  <si>
    <t>[effect:enemy_message, val1:2.4, val2:4.1],[effect:tolerance, target:myself, turn:-1, count:-1, tolerance_effect:all, animation:enemy_tolerance],[effect:fix_speed, target:myself, turn:2],[effect:damage_gravity, val:0.5, animation:fevergauge_down]</t>
    <phoneticPr fontId="5"/>
  </si>
  <si>
    <t>1ターン超強力なカウンター+全体攻撃</t>
    <phoneticPr fontId="5"/>
  </si>
  <si>
    <t>1ターン超強力なカウンター+全体攻撃</t>
    <phoneticPr fontId="5"/>
  </si>
  <si>
    <t>2ターン超強力なカウンター+残りHPの80%ダメージ！</t>
    <phoneticPr fontId="5"/>
  </si>
  <si>
    <t xml:space="preserve">[effect:enemy_message, val1:1.4, val2:2.6],[effect:damage_gravity, val:0.4, animation:fevergauge_down],[effect:enemy_counter, target:myself, invoke_condition:unit_all, counter_target:unit_all, turn:2, val:0.48, animation:enemy_counter]    </t>
    <phoneticPr fontId="5"/>
  </si>
  <si>
    <t>ノエルは青パネルを吸収して全体回復し
ポチはウィルス攻撃を行います
パーティによって倒す順番を工夫しましょう</t>
    <phoneticPr fontId="5"/>
  </si>
  <si>
    <t>link</t>
  </si>
  <si>
    <t>unit</t>
  </si>
  <si>
    <t>no_continue</t>
  </si>
  <si>
    <t>unit</t>
    <phoneticPr fontId="5"/>
  </si>
  <si>
    <t>full_member</t>
  </si>
  <si>
    <t>unit</t>
    <phoneticPr fontId="5"/>
  </si>
  <si>
    <t>ぁ…助けて…カーミラ…ぅぅうぅ…</t>
    <rPh sb="2" eb="3">
      <t>タスケ</t>
    </rPh>
    <phoneticPr fontId="5"/>
  </si>
  <si>
    <t>ぁ…助け……う…ぅぅうぅ…</t>
    <rPh sb="2" eb="3">
      <t>タスケテ</t>
    </rPh>
    <phoneticPr fontId="5"/>
  </si>
  <si>
    <t>もう…もう注射はイヤ…なの…</t>
    <phoneticPr fontId="5"/>
  </si>
  <si>
    <t>ぜんぶ…ゼンブホシいノ…！</t>
    <phoneticPr fontId="5"/>
  </si>
  <si>
    <t>ぜんぶ…ゼンブホシいノ…！</t>
    <phoneticPr fontId="5"/>
  </si>
  <si>
    <t>ほう、珍しい！客人じゃないか！</t>
    <rPh sb="3" eb="4">
      <t>メズラシイ</t>
    </rPh>
    <rPh sb="7" eb="9">
      <t>キャクジン</t>
    </rPh>
    <phoneticPr fontId="5"/>
  </si>
  <si>
    <t>ああ、カーミラ！
まさかお前から来てくれるとはな！</t>
    <phoneticPr fontId="5"/>
  </si>
  <si>
    <t>さあ、歓迎してやろう！
自動迎撃システム起動！</t>
    <rPh sb="3" eb="5">
      <t>カンゲイ</t>
    </rPh>
    <rPh sb="12" eb="14">
      <t>ジドウゲイｋゲイ</t>
    </rPh>
    <rPh sb="14" eb="16">
      <t>ゲイゲキ</t>
    </rPh>
    <rPh sb="20" eb="22">
      <t>キドウ</t>
    </rPh>
    <phoneticPr fontId="5"/>
  </si>
  <si>
    <t>どうだい？暗闇は怖いかい？</t>
    <rPh sb="5" eb="7">
      <t>クラヤミガ</t>
    </rPh>
    <rPh sb="8" eb="9">
      <t>コワイカ</t>
    </rPh>
    <phoneticPr fontId="5"/>
  </si>
  <si>
    <t>ぜひとも解剖させてくれ！</t>
    <rPh sb="4" eb="6">
      <t>カイボウ</t>
    </rPh>
    <phoneticPr fontId="5"/>
  </si>
  <si>
    <t>さあ、おとなしく屈服してみせろ！</t>
    <rPh sb="8" eb="10">
      <t>クップク</t>
    </rPh>
    <phoneticPr fontId="5"/>
  </si>
  <si>
    <t>よし…いい子だ…
俺のモノになってくれるかい？</t>
    <phoneticPr fontId="5"/>
  </si>
  <si>
    <t>俺の解析結果を上回るとは…面白い…！
次こそは必ず…俺のモノに…！</t>
    <rPh sb="2" eb="4">
      <t>カイセキ</t>
    </rPh>
    <rPh sb="4" eb="6">
      <t>ケッカ</t>
    </rPh>
    <rPh sb="7" eb="9">
      <t>ウワマワリウ</t>
    </rPh>
    <rPh sb="13" eb="15">
      <t>オモシロイ</t>
    </rPh>
    <rPh sb="19" eb="20">
      <t>ツギコソハ</t>
    </rPh>
    <rPh sb="23" eb="24">
      <t>カナラズ</t>
    </rPh>
    <phoneticPr fontId="5"/>
  </si>
  <si>
    <t>お前の動きは全て予測可能！
全てを跳ね返してやろう！！</t>
    <rPh sb="3" eb="4">
      <t>ウゴキ</t>
    </rPh>
    <rPh sb="6" eb="7">
      <t>スベテ</t>
    </rPh>
    <rPh sb="8" eb="10">
      <t>ヨソク</t>
    </rPh>
    <rPh sb="10" eb="12">
      <t>カノウ</t>
    </rPh>
    <rPh sb="14" eb="15">
      <t>スベテ</t>
    </rPh>
    <rPh sb="17" eb="18">
      <t>ハネカエシテ</t>
    </rPh>
    <phoneticPr fontId="5"/>
  </si>
  <si>
    <t>2ターン強力なカウンター+残りHPの40%ダメージ！</t>
    <phoneticPr fontId="5"/>
  </si>
  <si>
    <t>2ターン超強力なカウンター+単体攻撃+
攻撃頻度UP</t>
    <rPh sb="20" eb="22">
      <t>コウゲキ</t>
    </rPh>
    <rPh sb="22" eb="24">
      <t>コウドウヒンド</t>
    </rPh>
    <phoneticPr fontId="5"/>
  </si>
  <si>
    <t>[effect:enemy_message, val1:1.3, val2:1.2],[effect:fix_speed, target:myself, turn:1]</t>
    <phoneticPr fontId="5"/>
  </si>
  <si>
    <t>[effect:enemy_message, val1:1.6, val2:1.2],[effect:fix_speed, target:myself, turn:1]</t>
    <phoneticPr fontId="5"/>
  </si>
  <si>
    <t>[effect:enemy_message, val1:1.2, val2:1.2],[effect:tolerance, target:myself, turn:-1, count:-1, tolerance_effect:all, animation:enemy_tolerance],[effect:fix_speed, target:myself, turn:1]</t>
    <phoneticPr fontId="5"/>
  </si>
  <si>
    <t>[effect:enemy_message, val1:1.3, val2:1.3],[effect:break_attack_fix, target:unit_one, val:400, lowest_val:4500, count:-1, block01:block_heart, ignore01:crack_bomb, ignore02:color_break, ignore03:magnet]</t>
    <phoneticPr fontId="5"/>
  </si>
  <si>
    <t>[effect:enemy_message, val1:1.4, val2:1.2],[effect:tolerance, target:myself, turn:-1, count:-1, tolerance_effect:all, animation:enemy_tolerance],[effect:fix_speed, target:myself, turn:2]</t>
    <phoneticPr fontId="5"/>
  </si>
  <si>
    <t>[effect:enemy_message, val1:1.3, val2:1.2],[effect:damage_fix_absolute, target:unit_one, val:8000]</t>
    <phoneticPr fontId="5"/>
  </si>
  <si>
    <t>[effect:enemy_message, val1:1.3, val2:1.2],[effect:damage_fix_absolute, target:unit_one, val:5000]</t>
    <phoneticPr fontId="5"/>
  </si>
  <si>
    <t>[effect:enemy_message, val1:1.3, val2:1.2],[effect:critical, val:1.3]</t>
    <phoneticPr fontId="5"/>
  </si>
  <si>
    <t>[effect:enemy_message, val1:1.5, val2:2.0],[effect:tolerance, target:myself, turn:-1, count:-1, tolerance_effect:all, animation:enemy_tolerance],[effect:fix_speed, target:myself, turn:2],[effect:damage_gravity, val:0.5, animation:fevergauge_down]</t>
    <phoneticPr fontId="5"/>
  </si>
  <si>
    <t>[effect:enemy_message, val1:2.2, val2:1.8],[effect:enemy_counter, target:myself, invoke_condition:unit_all, counter_target:unit_all, turn:1, val:0.75, animation:enemy_counter],[effect:spread, val:0.26]</t>
    <phoneticPr fontId="5"/>
  </si>
  <si>
    <t xml:space="preserve">[effect:enemy_message, val1:1.8, val2:2.7],[effect:damage_gravity, val:0.8, animation:fevergauge_down],[effect:enemy_counter, target:myself, invoke_condition:unit_all, counter_target:unit_all, turn:2, val:0.7, animation:enemy_counter]    </t>
    <phoneticPr fontId="5"/>
  </si>
  <si>
    <t>[effect:enemy_message, val1:1.8, val2:1.7],[effect:virus, target:unit_all, turn:3, rate:1, val:0.5, animation:enemy_virus],[effect:spread, val:0.28]</t>
    <phoneticPr fontId="5"/>
  </si>
  <si>
    <t>[effect:enemy_message, val1:1.2, val2:2.5],[effect:enemy_counter, target:myself, invoke_condition:unit_all, counter_target:unit_all, turn:2, val:0.7, animation:enemy_counter],[effect:rush, val:1, count:1],[effect:freq_turn, target:enemy_all, turn:-1, val:1, animation:enemy_freq_turn]</t>
    <phoneticPr fontId="5"/>
  </si>
  <si>
    <t>[effect:enemy_message, val1:1.2, val2:1.2],[effect:spread, val:0.28]</t>
    <phoneticPr fontId="5"/>
  </si>
  <si>
    <t>あっはは！ようこそ、我が研究所へ！
さあ…どこから解剖しようか</t>
    <rPh sb="12" eb="15">
      <t>ケンキュウジョ</t>
    </rPh>
    <rPh sb="25" eb="27">
      <t>カイボウ</t>
    </rPh>
    <phoneticPr fontId="5"/>
  </si>
  <si>
    <t>[effect:enemy_message, val1:1.8, val2:2.5]</t>
    <phoneticPr fontId="5"/>
  </si>
  <si>
    <t>[effect:enemy_message, val1:1.7, val2:3.7]</t>
    <phoneticPr fontId="5"/>
  </si>
  <si>
    <t>[effect:enemy_message, val1:1.7, val2:4.6]</t>
    <phoneticPr fontId="5"/>
  </si>
  <si>
    <t>[effect:enemy_message, val1:1.6, val2:1.6],[effect:break_attack_fix, target:unit_one, val:400, lowest_val:5000, count:-1, block01:block_red, block02:block_blue, ignore01:crack_bomb, ignore02:color_break, ignore03:magnet]</t>
    <phoneticPr fontId="5"/>
  </si>
  <si>
    <t>5ターン全ユニットの攻撃力50%DOWN+
2ターン暗闇+2回連続攻撃</t>
    <phoneticPr fontId="5"/>
  </si>
  <si>
    <t>[effect:enemy_message, val1:1.8, val2:2.6],[effect:degrade_unit, target:unit_all, turn:3, status:action, val:1, calc:add, animation:enemy_tap_down],[effect:spread, val:0.27]</t>
    <phoneticPr fontId="5"/>
  </si>
  <si>
    <t>2回連続攻撃+
属性パネルをパネルプロテクト(最大7個)</t>
    <phoneticPr fontId="5"/>
  </si>
  <si>
    <t>2回連続攻撃+
属性パネルをパネルプロテクト(最大4個)</t>
    <phoneticPr fontId="5"/>
  </si>
  <si>
    <t>属性パネルを黄パネルに最大8個変換+全体攻撃</t>
    <rPh sb="11" eb="13">
      <t>サイダイ</t>
    </rPh>
    <rPh sb="15" eb="17">
      <t>ヘンカｎ</t>
    </rPh>
    <phoneticPr fontId="5"/>
  </si>
  <si>
    <t>[effect:enemy_message, val1:1.2, val2:2.7],[effect:panel_freeze, target:normal, count:7],[effect:rush, val:0.58, count:2]</t>
    <phoneticPr fontId="5"/>
  </si>
  <si>
    <t>[effect:enemy_message, val1:1.3, val2:3.4],[effect:dark, target:unit_all, turn:2, animation:enemy_dark],[effect:attack_break, target:unit_all, turn:5, val:0.5, calc:mul, animation:attack_break02],[effect:rush, val:0.53, count:2]</t>
    <phoneticPr fontId="5"/>
  </si>
  <si>
    <t>5ターン超強力なウィルス</t>
    <rPh sb="4" eb="7">
      <t>チョウキョウリョクナ</t>
    </rPh>
    <phoneticPr fontId="5"/>
  </si>
  <si>
    <t>属性パネルを赤パネルに最大13個変換+
6666固定ダメージ</t>
    <rPh sb="11" eb="13">
      <t>サイダイ</t>
    </rPh>
    <rPh sb="16" eb="18">
      <t>ヘンカン</t>
    </rPh>
    <phoneticPr fontId="5"/>
  </si>
  <si>
    <t>《データアウトプット》</t>
    <phoneticPr fontId="5"/>
  </si>
  <si>
    <t>なぜだ…
制御できない…！</t>
    <rPh sb="5" eb="7">
      <t>セイギョ</t>
    </rPh>
    <phoneticPr fontId="5"/>
  </si>
  <si>
    <t>ぅぅ…
戦いたく…ないのに…！</t>
    <rPh sb="4" eb="5">
      <t>タタカイタク</t>
    </rPh>
    <phoneticPr fontId="5"/>
  </si>
  <si>
    <t>どう…して…
体が勝手に…！</t>
    <rPh sb="7" eb="8">
      <t>カラダガ</t>
    </rPh>
    <rPh sb="9" eb="11">
      <t>カッテニ</t>
    </rPh>
    <phoneticPr fontId="5"/>
  </si>
  <si>
    <t>ダメ…！
避けて下さい…ッ！</t>
    <rPh sb="5" eb="6">
      <t>ヨケテ</t>
    </rPh>
    <rPh sb="8" eb="9">
      <t>クダサイ</t>
    </rPh>
    <phoneticPr fontId="5"/>
  </si>
  <si>
    <t>ぅぅ…ダメ…
にげなきゃ…！</t>
    <phoneticPr fontId="5"/>
  </si>
  <si>
    <t>あ…ア…にげて…
ニゲてクダサ…イ……</t>
    <phoneticPr fontId="5"/>
  </si>
  <si>
    <t>《--強制終了--》</t>
    <rPh sb="3" eb="5">
      <t>キョウセイ</t>
    </rPh>
    <rPh sb="5" eb="7">
      <t>シュウリョウ</t>
    </rPh>
    <phoneticPr fontId="5"/>
  </si>
  <si>
    <t xml:space="preserve">[effect:enemy_message, val1:1.4, val2:2.6],[effect:damage_gravity, val:0.3, animation:fevergauge_down],[effect:enemy_counter, target:myself, invoke_condition:unit_all, counter_target:unit_all, turn:2, val:0.32, animation:enemy_counter]    </t>
    <phoneticPr fontId="5"/>
  </si>
  <si>
    <t>2ターン強力なカウンター+残りHPの30%ダメージ！</t>
    <phoneticPr fontId="5"/>
  </si>
  <si>
    <t>[effect:enemy_message, val1:1.2, val2:2.7],[effect:panel_freeze, target:normal, count:4],[effect:rush, val:0.52, count:2]</t>
    <phoneticPr fontId="5"/>
  </si>
  <si>
    <t>3ターンウィルス</t>
    <phoneticPr fontId="5"/>
  </si>
  <si>
    <t>ぅ…ぅぅ…あ…アアアアッッッ！</t>
    <phoneticPr fontId="5"/>
  </si>
  <si>
    <t>[effect:enemy_message, val1:1.3, val2:1.3],[effect:break_attack_fix, target:unit_one, val:350, lowest_val:3000, count:-1, block01:block_heart, ignore01:crack_bomb, ignore02:color_break, ignore03:magnet]</t>
    <phoneticPr fontId="5"/>
  </si>
  <si>
    <t>[effect:enemy_message, val1:1.2, val2:1.8],[effect:panel_freeze, target:normal, color:block_heart, count:-1],[effect:rush, val:0.45, count:2]</t>
    <phoneticPr fontId="5"/>
  </si>
  <si>
    <t>[effect:enemy_message, val1:1.2, val2:2.5],[effect:attack_break, target:unit_all, turn:5, val:0.5, calc:mul, animation:attack_break02],[effect:spread, val:0.21]</t>
    <phoneticPr fontId="5"/>
  </si>
  <si>
    <t xml:space="preserve">[effect:enemy_message, val1:1.2, val2:1.6],[effect:panel_freeze, target:normal, color:block_red, count:-1],[effect:dark, target:unit_all, turn:2, animation:enemy_dark]    </t>
    <phoneticPr fontId="5"/>
  </si>
  <si>
    <t>[effect:enemy_message, val1:1.2, val2:2.2],[effect:force_change_block, new_block:block_yellow, target:normal, count:8, val:0, animation:change_block],[effect:spread, val:0.28]</t>
    <phoneticPr fontId="5"/>
  </si>
  <si>
    <t>《アップデート中…》</t>
    <phoneticPr fontId="5"/>
  </si>
  <si>
    <t xml:space="preserve">[effect:enemy_message, val1:1.3, val2:1.2],[effect:virus, target:unit_all, turn:5, rate:1, val:0.4, animation:enemy_virus]    </t>
    <phoneticPr fontId="5"/>
  </si>
  <si>
    <t xml:space="preserve">[effect:enemy_message, val1:1.3, val2:1.2],[effect:virus, target:unit_all, turn:3, rate:1, val:0.15, animation:enemy_virus]    </t>
    <phoneticPr fontId="5"/>
  </si>
  <si>
    <t>[effect:enemy_message, val1:2.6, val2:1.5],[effect:enemy_counter, target:myself, invoke_condition:unit_all, counter_target:unit_all, turn:-1, val:0.9, animation:enemy_counter]</t>
    <phoneticPr fontId="5"/>
  </si>
  <si>
    <t>[effect:enemy_message, val1:2.6, val2:1.3],[effect:enemy_counter, target:myself, invoke_condition:unit_all, counter_target:unit_all, turn:2, val:0.7, animation:enemy_counter]</t>
    <phoneticPr fontId="5"/>
  </si>
  <si>
    <t>[effect:enemy_message, val1:1.6, val2:1.6],[effect:break_attack_fix, target:unit_one, val:300, lowest_val:2500, count:-1, block01:block_red, block02:block_blue, ignore01:crack_bomb, ignore02:color_break, ignore03:magnet]</t>
    <phoneticPr fontId="5"/>
  </si>
  <si>
    <t>[effect:enemy_message, val1:1.2, val2:2.5],[effect:enemy_counter, target:myself, invoke_condition:unit_all, counter_target:unit_all, turn:2, val:0.45, animation:enemy_counter],[effect:rush, val:0.8, count:1],[effect:freq_turn, target:enemy_all, turn:-1, val:1, animation:enemy_freq_turn]</t>
    <phoneticPr fontId="5"/>
  </si>
  <si>
    <t>3ターンウィルス+全体攻撃</t>
    <phoneticPr fontId="5"/>
  </si>
  <si>
    <t>[effect:enemy_message, val1:1.8, val2:1.3],[effect:virus, target:unit_all, turn:3, rate:1, val:0.14, animation:enemy_virus],[effect:spread, val:0.24]</t>
    <phoneticPr fontId="5"/>
  </si>
  <si>
    <t xml:space="preserve">[effect:enemy_message, val1:1.8, val2:2.7],[effect:damage_gravity, val:0.5, animation:fevergauge_down],[effect:enemy_counter, target:myself, invoke_condition:unit_all, counter_target:unit_all, turn:2, val:0.4, animation:enemy_counter]    </t>
    <phoneticPr fontId="5"/>
  </si>
  <si>
    <t>2ターン超強力なカウンター+残りHPの50%ダメージ！</t>
    <phoneticPr fontId="5"/>
  </si>
  <si>
    <t>[effect:enemy_message, val1:1.2, val2:1.2],[effect:break_attack_fix, target:unit_one, val:350, lowest_val:4000, count:-1, block01:block_red, ignore01:crack_bomb, ignore02:color_break, ignore03:magnet]</t>
    <phoneticPr fontId="5"/>
  </si>
  <si>
    <t>[effect:enemy_message, val1:2.2, val2:1.8],[effect:enemy_counter, target:myself, invoke_condition:unit_all, counter_target:unit_all, turn:1, val:0.4, animation:enemy_counter],[effect:spread, val:0.21]</t>
    <phoneticPr fontId="5"/>
  </si>
  <si>
    <t xml:space="preserve">[effect:enemy_message, val1:1.5, val2:2.2],[effect:damage_anti_abnormal, target:unit_all, target_effect01:virus, val1:0.38, val2:0.12]    </t>
    <phoneticPr fontId="5"/>
  </si>
  <si>
    <t>[effect:enemy_message, val1:1.2, val2:1.8],[effect:damage_abnormal, target:unit_one, val:0.3, status:virus, turn:2, rate:1, val_abnormal:0.22, animation:enemy_virus],[effect:damage_abnormal, target:unit_one, val:0.3, status:virus, turn:2, rate:1, val_abnormal:0.22, animation:enemy_virus],[effect:damage_abnormal, target:unit_one, val:0.3, status:virus, turn:2, rate:1, val_abnormal:0.22, animation:enemy_virus]</t>
    <phoneticPr fontId="5"/>
  </si>
  <si>
    <t>2ターンウィルス+3回連続攻撃</t>
    <phoneticPr fontId="5"/>
  </si>
  <si>
    <t>[effect:enemy_message, val1:1.2, val2:1.5],[effect:damage_abnormal, target:unit_one, val:0.28, status:virus, turn:2, rate:1, val_abnormal:0.17, animation:enemy_virus],[effect:damage_abnormal, target:unit_one, val:0.28, status:virus, turn:2, rate:1, val_abnormal:0.17, animation:enemy_virus],[effect:damage_abnormal, target:unit_one, val:0.28, status:virus, turn:2, rate:1, val_abnormal:0.17, animation:enemy_virus]</t>
    <phoneticPr fontId="5"/>
  </si>
  <si>
    <t>[effect:enemy_message, val1:1.2, val2:1.6],[effect:break_attack_fix, target:unit_one, val:300, lowest_val:2200, count:-1, block01:block_red, block02:block_blue, ignore01:crack_bomb, ignore02:color_break, ignore03:magnet]</t>
    <phoneticPr fontId="5"/>
  </si>
  <si>
    <t>2ターン超強力なカウンター</t>
    <phoneticPr fontId="5"/>
  </si>
  <si>
    <t xml:space="preserve">[effect:enemy_message, val1:2.6, val2:1.7],[effect:tolerance, target:myself, turn:-1, count:-1, tolerance_effect:all, animation:enemy_tolerance],[effect:fix_speed, target:myself, turn:2],[effect:dis_panel, target:block_red, turn:3, animation:enemy_dis_red]    </t>
    <phoneticPr fontId="5"/>
  </si>
  <si>
    <t>[effect:enemy_message, val1:2.2, val2:1.4]</t>
    <phoneticPr fontId="5"/>
  </si>
  <si>
    <t>[effect:enemy_message, val1:2.2, val2:1.4],[effect:fix_speed, target:myself, turn:2]</t>
    <phoneticPr fontId="5"/>
  </si>
  <si>
    <t>[effect:enemy_message, val1:3.3, val2:1.2],[effect:damage_fix_absolute, target:unit_one, val:33333],[effect:damage_fix_absolute, target:unit_one, val:33333],[effect:fix_speed, target:myself, turn:1]</t>
    <phoneticPr fontId="5"/>
  </si>
  <si>
    <t>null</t>
    <phoneticPr fontId="5"/>
  </si>
  <si>
    <t xml:space="preserve">[effect:enemy_message, val1:1.3, val2:2.1],[effect:damage_anti_tribe, target:unit_all, tribe:machine, val1:1.7, val2:0.22]    </t>
    <phoneticPr fontId="5"/>
  </si>
  <si>
    <t>[effect:enemy_message, val1:1.2, val2:1.3],[effect:damage_abnormal, target:unit_one, val:0.8, status:virus, turn:2, val_abnormal:0.1, animation:enemy_virus]</t>
    <phoneticPr fontId="5"/>
  </si>
  <si>
    <t>[effect:enemy_message, val1:1.2, val2:1.3],[effect:damage_abnormal, target:unit_one, val:0.8, status:virus, turn:2, val_abnormal:0.18, animation:enemy_virus]</t>
    <phoneticPr fontId="5"/>
  </si>
  <si>
    <t>状態異常耐性+2ターンハートパネルドロップ率UP</t>
    <phoneticPr fontId="5"/>
  </si>
  <si>
    <t>[effect:enemy_message, val1:1.2, val2:2.4],[effect:tolerance, target:myself, turn:-1, count:-1, tolerance_effect:all, animation:enemy_tolerance],[effect:change_panel_ratio, turn:2, block_type:heal, val:0.45, animation:block_incidence04],[effect:fix_speed, target:myself, turn:2]</t>
    <phoneticPr fontId="5"/>
  </si>
  <si>
    <t>3ターン強力なウィルス+2回連続攻撃</t>
    <phoneticPr fontId="5"/>
  </si>
  <si>
    <t>[effect:enemy_message, val1:1.2, val2:1.8],[effect:damage_abnormal, target:unit_one, val:0.43, status:virus, turn:3, rate:1, val_abnormal:0.23, animation:enemy_virus],[effect:damage_abnormal, target:unit_one, val:0.43, status:virus, turn:3, rate:1, val_abnormal:0.23, animation:enemy_virus]</t>
    <phoneticPr fontId="5"/>
  </si>
  <si>
    <t>ノイズが…強く…！</t>
    <phoneticPr fontId="5"/>
  </si>
  <si>
    <t>2ターン強力なウィルス+単体攻撃</t>
    <rPh sb="4" eb="6">
      <t>キョウリョクナ</t>
    </rPh>
    <phoneticPr fontId="5"/>
  </si>
  <si>
    <t>2ターン強力なウィルス+単体攻撃</t>
    <phoneticPr fontId="5"/>
  </si>
  <si>
    <t>[effect:enemy_message, val1:1.3, val2:1.6],[effect:damage_abnormal, target:unit_one, val:1.5, status:virus, turn:2, val_abnormal:0.3, animation:enemy_virus]</t>
    <phoneticPr fontId="5"/>
  </si>
  <si>
    <t>[effect:enemy_message, val1:1.3, val2:1.6],[effect:damage_abnormal, target:unit_one, val:1, status:virus, turn:2, val_abnormal:0.2, animation:enemy_virus]</t>
    <phoneticPr fontId="5"/>
  </si>
  <si>
    <t>属性パネルを赤パネルに最大13個変換+
11666固定ダメージ</t>
    <rPh sb="11" eb="13">
      <t>サイダイ</t>
    </rPh>
    <rPh sb="16" eb="18">
      <t>ヘンカン</t>
    </rPh>
    <phoneticPr fontId="5"/>
  </si>
  <si>
    <t>[effect:enemy_message, val1:1.2, val2:2.9],[effect:force_change_block, new_block:block_red, target:normal, count:13, val:0, animation:change_block],[effect:damage_fix_absolute, target:unit_one, val:11666]</t>
    <phoneticPr fontId="5"/>
  </si>
  <si>
    <t>[effect:enemy_message, val1:1.2, val2:2.9],[effect:force_change_block, new_block:block_red, target:normal, count:13, val:0, animation:change_block],[effect:damage_fix_absolute, target:unit_one, val:6666]</t>
    <phoneticPr fontId="5"/>
  </si>
  <si>
    <t>[effect:enemy_message, val1:1.2, val2:1.2],[effect:critical, val:1.2]</t>
    <phoneticPr fontId="5"/>
  </si>
  <si>
    <t>[effect:enemy_message, val1:1.2, val2:1.2],[effect:critical, val:1.2]</t>
    <phoneticPr fontId="5"/>
  </si>
  <si>
    <t xml:space="preserve">[effect:enemy_message, val1:1.4, val2:2.1],[effect:damage_anti_tribe, target:unit_all, tribe:machine, val1:2, val2:0.21]    </t>
    <phoneticPr fontId="5"/>
  </si>
  <si>
    <t>[effect:enemy_message, val1:1.2, val2:2.5],[effect:attack_break, target:unit_all, turn:2, val:0.4, calc:mul, animation:attack_break02],[effect:rush, val:1, count:1]</t>
    <phoneticPr fontId="5"/>
  </si>
  <si>
    <t xml:space="preserve">[effect:enemy_message, val1:1.2, val2:1.9],[effect:damage_anti_color, target:unit_all, color:red, val1:1, val2:0.2]    </t>
    <phoneticPr fontId="5"/>
  </si>
  <si>
    <t>[effect:enemy_message, val1:1.2, val2:1.2],[effect:break_attack_fix, target:unit_one, val:550, lowest_val:6500, count:-1, block01:block_red, ignore01:crack_bomb, ignore02:color_break, ignore03:magnet]</t>
    <phoneticPr fontId="5"/>
  </si>
  <si>
    <t xml:space="preserve">[effect:enemy_message, val1:2.9, val2:2.1],[effect:damage_anti_tribe, target:unit_all, tribe:machine, val1:2.2, val2:0.2]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</si>
</sst>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1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2" fillId="7" borderId="7" xfId="0" applyFont="1" applyFill="1" applyBorder="1" applyAlignment="1">
      <alignment vertical="center"/>
    </xf>
    <xf numFmtId="176" fontId="4" fillId="0" borderId="7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33" borderId="7" xfId="0" applyFont="1" applyFill="1" applyBorder="1" applyAlignment="1">
      <alignment horizontal="center" vertical="center"/>
    </xf>
    <xf numFmtId="0" fontId="4" fillId="33" borderId="28" xfId="0" applyFont="1" applyFill="1" applyBorder="1" applyAlignment="1">
      <alignment vertical="center"/>
    </xf>
    <xf numFmtId="0" fontId="4" fillId="33" borderId="7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6" fillId="32" borderId="35" xfId="0" applyFont="1" applyFill="1" applyBorder="1" applyAlignment="1">
      <alignment vertical="center"/>
    </xf>
    <xf numFmtId="0" fontId="6" fillId="32" borderId="36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24" fillId="6" borderId="7" xfId="434" applyFill="1" applyBorder="1" applyAlignment="1"/>
    <xf numFmtId="0" fontId="6" fillId="0" borderId="36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1" fillId="6" borderId="7" xfId="0" applyFont="1" applyFill="1" applyBorder="1" applyAlignment="1">
      <alignment vertical="center"/>
    </xf>
    <xf numFmtId="0" fontId="11" fillId="0" borderId="12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30" xfId="0" applyFont="1" applyFill="1" applyBorder="1" applyAlignment="1">
      <alignment vertical="center"/>
    </xf>
    <xf numFmtId="0" fontId="6" fillId="32" borderId="7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4" fillId="33" borderId="28" xfId="0" applyFont="1" applyFill="1" applyBorder="1" applyAlignment="1">
      <alignment horizontal="center" vertical="center"/>
    </xf>
    <xf numFmtId="0" fontId="11" fillId="34" borderId="7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0" fillId="0" borderId="8" xfId="0" applyFill="1" applyBorder="1"/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177" fontId="8" fillId="0" borderId="36" xfId="0" applyNumberFormat="1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28" xfId="0" applyNumberFormat="1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6" fillId="32" borderId="23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 wrapText="1"/>
    </xf>
    <xf numFmtId="0" fontId="11" fillId="35" borderId="7" xfId="0" applyFont="1" applyFill="1" applyBorder="1" applyAlignment="1">
      <alignment vertical="center"/>
    </xf>
    <xf numFmtId="0" fontId="0" fillId="35" borderId="8" xfId="0" applyFill="1" applyBorder="1"/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1" fillId="35" borderId="4" xfId="0" applyFont="1" applyFill="1" applyBorder="1" applyAlignment="1">
      <alignment vertical="center"/>
    </xf>
    <xf numFmtId="0" fontId="16" fillId="34" borderId="0" xfId="0" applyFont="1" applyFill="1" applyAlignment="1">
      <alignment vertical="center"/>
    </xf>
    <xf numFmtId="0" fontId="6" fillId="37" borderId="3" xfId="0" applyFont="1" applyFill="1" applyBorder="1" applyAlignment="1">
      <alignment vertical="center"/>
    </xf>
    <xf numFmtId="0" fontId="11" fillId="35" borderId="12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1" fillId="33" borderId="7" xfId="0" applyFont="1" applyFill="1" applyBorder="1" applyAlignment="1">
      <alignment vertical="center"/>
    </xf>
    <xf numFmtId="0" fontId="0" fillId="33" borderId="8" xfId="0" applyFill="1" applyBorder="1"/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6" fillId="37" borderId="25" xfId="0" applyFont="1" applyFill="1" applyBorder="1" applyAlignment="1">
      <alignment vertical="center"/>
    </xf>
    <xf numFmtId="0" fontId="16" fillId="35" borderId="12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6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1" fillId="35" borderId="27" xfId="0" applyFont="1" applyFill="1" applyBorder="1" applyAlignment="1">
      <alignment vertical="center"/>
    </xf>
    <xf numFmtId="0" fontId="26" fillId="0" borderId="7" xfId="0" applyFont="1" applyBorder="1"/>
    <xf numFmtId="0" fontId="26" fillId="0" borderId="10" xfId="0" applyFont="1" applyBorder="1"/>
    <xf numFmtId="0" fontId="26" fillId="0" borderId="12" xfId="0" applyFont="1" applyBorder="1"/>
    <xf numFmtId="0" fontId="26" fillId="0" borderId="38" xfId="0" applyFont="1" applyBorder="1"/>
    <xf numFmtId="0" fontId="26" fillId="38" borderId="38" xfId="0" applyFont="1" applyFill="1" applyBorder="1"/>
    <xf numFmtId="0" fontId="26" fillId="39" borderId="12" xfId="0" applyFont="1" applyFill="1" applyBorder="1"/>
    <xf numFmtId="0" fontId="26" fillId="39" borderId="38" xfId="0" applyFont="1" applyFill="1" applyBorder="1"/>
    <xf numFmtId="0" fontId="26" fillId="40" borderId="38" xfId="0" applyFont="1" applyFill="1" applyBorder="1"/>
    <xf numFmtId="0" fontId="24" fillId="34" borderId="7" xfId="434" applyFill="1" applyBorder="1" applyAlignment="1"/>
    <xf numFmtId="0" fontId="30" fillId="0" borderId="7" xfId="0" applyFont="1" applyBorder="1"/>
    <xf numFmtId="0" fontId="30" fillId="13" borderId="7" xfId="0" applyFont="1" applyFill="1" applyBorder="1"/>
    <xf numFmtId="0" fontId="30" fillId="0" borderId="12" xfId="0" applyFont="1" applyBorder="1"/>
    <xf numFmtId="0" fontId="16" fillId="34" borderId="7" xfId="0" applyFont="1" applyFill="1" applyBorder="1" applyAlignment="1">
      <alignment horizontal="left" vertical="center" wrapText="1"/>
    </xf>
    <xf numFmtId="0" fontId="0" fillId="41" borderId="8" xfId="0" applyFill="1" applyBorder="1"/>
    <xf numFmtId="0" fontId="11" fillId="42" borderId="7" xfId="0" applyFont="1" applyFill="1" applyBorder="1" applyAlignment="1">
      <alignment vertical="center"/>
    </xf>
    <xf numFmtId="0" fontId="16" fillId="42" borderId="7" xfId="0" applyFont="1" applyFill="1" applyBorder="1" applyAlignment="1">
      <alignment vertical="center"/>
    </xf>
    <xf numFmtId="0" fontId="11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1" fillId="35" borderId="7" xfId="0" applyFont="1" applyFill="1" applyBorder="1" applyAlignment="1">
      <alignment vertical="center" wrapText="1"/>
    </xf>
  </cellXfs>
  <cellStyles count="71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19" sqref="D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238" t="s">
        <v>258</v>
      </c>
      <c r="B2" s="57" t="s">
        <v>106</v>
      </c>
      <c r="C2" s="62">
        <v>48502</v>
      </c>
      <c r="D2" s="57" t="s">
        <v>107</v>
      </c>
      <c r="E2" s="56" t="str">
        <f>B2&amp;C2&amp;D2</f>
        <v>floors_48502.tmp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238" t="s">
        <v>258</v>
      </c>
      <c r="B3" s="57" t="s">
        <v>109</v>
      </c>
      <c r="C3" s="62">
        <v>48502</v>
      </c>
      <c r="D3" s="57" t="s">
        <v>107</v>
      </c>
      <c r="E3" s="56" t="str">
        <f>B3&amp;C3&amp;D3</f>
        <v>enemy_habitats_48502.tmp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238" t="s">
        <v>258</v>
      </c>
      <c r="B4" s="57" t="s">
        <v>111</v>
      </c>
      <c r="C4" s="62">
        <v>48502</v>
      </c>
      <c r="D4" s="57" t="s">
        <v>107</v>
      </c>
      <c r="E4" s="56" t="str">
        <f>B4&amp;C4&amp;D4</f>
        <v>enemy_habitat_S_48502.tmp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238" t="s">
        <v>258</v>
      </c>
      <c r="B5" s="57" t="s">
        <v>113</v>
      </c>
      <c r="C5" s="62">
        <v>48502</v>
      </c>
      <c r="D5" s="57" t="s">
        <v>107</v>
      </c>
      <c r="E5" s="56" t="str">
        <f>B5&amp;C5&amp;D5</f>
        <v>enemy_skill_sets_48502.tmp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238" t="s">
        <v>258</v>
      </c>
      <c r="B6" s="57" t="s">
        <v>115</v>
      </c>
      <c r="C6" s="62">
        <v>48502</v>
      </c>
      <c r="D6" s="57" t="s">
        <v>116</v>
      </c>
      <c r="E6" s="56" t="str">
        <f t="shared" ref="E6:E10" si="0">B6&amp;C6&amp;D6</f>
        <v>enemy_skills_tmp_48502.tmp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238" t="s">
        <v>258</v>
      </c>
      <c r="B7" s="57" t="s">
        <v>117</v>
      </c>
      <c r="C7" s="62">
        <v>48502</v>
      </c>
      <c r="D7" s="57" t="s">
        <v>107</v>
      </c>
      <c r="E7" s="56" t="str">
        <f>B7&amp;C7&amp;D7</f>
        <v>enemy_skills_i18n_48502.tmp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238" t="s">
        <v>258</v>
      </c>
      <c r="B8" s="57" t="s">
        <v>119</v>
      </c>
      <c r="C8" s="62">
        <v>48502</v>
      </c>
      <c r="D8" s="57" t="s">
        <v>120</v>
      </c>
      <c r="E8" s="56" t="str">
        <f t="shared" si="0"/>
        <v>enemy_skill_triggers_48502.tmp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258</v>
      </c>
      <c r="B9" s="67" t="s">
        <v>177</v>
      </c>
      <c r="C9" s="62">
        <v>48502</v>
      </c>
      <c r="D9" s="67" t="s">
        <v>171</v>
      </c>
      <c r="E9" s="68" t="str">
        <f t="shared" si="0"/>
        <v>stage_bug_bonuses_48502.tmp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163" t="s">
        <v>187</v>
      </c>
      <c r="B10" s="67" t="s">
        <v>201</v>
      </c>
      <c r="C10" s="62">
        <v>48502</v>
      </c>
      <c r="D10" s="67" t="s">
        <v>180</v>
      </c>
      <c r="E10" s="68" t="str">
        <f t="shared" si="0"/>
        <v>stage_hints_data_c_48502.tmp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66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258</v>
      </c>
      <c r="B11" s="67" t="s">
        <v>202</v>
      </c>
      <c r="C11" s="62">
        <v>48502</v>
      </c>
      <c r="D11" s="67" t="s">
        <v>171</v>
      </c>
      <c r="E11" s="68" t="str">
        <f t="shared" ref="E11:E13" si="1">B11&amp;C11&amp;D11</f>
        <v>stage_hints_data_f_48502.tmp</v>
      </c>
      <c r="F11" s="67" t="s">
        <v>210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66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258</v>
      </c>
      <c r="B12" s="67" t="s">
        <v>203</v>
      </c>
      <c r="C12" s="62">
        <v>48502</v>
      </c>
      <c r="D12" s="67" t="s">
        <v>171</v>
      </c>
      <c r="E12" s="68" t="str">
        <f t="shared" si="1"/>
        <v>stage_hints_i18n_48502.tmp</v>
      </c>
      <c r="F12" s="67" t="s">
        <v>211</v>
      </c>
      <c r="G12" s="73" t="s">
        <v>204</v>
      </c>
      <c r="H12" s="92" t="s">
        <v>205</v>
      </c>
      <c r="I12" s="72" t="s">
        <v>206</v>
      </c>
      <c r="J12" s="100" t="s">
        <v>207</v>
      </c>
      <c r="K12" s="66" t="s">
        <v>208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258</v>
      </c>
      <c r="B13" s="67" t="s">
        <v>249</v>
      </c>
      <c r="C13" s="62">
        <v>48502</v>
      </c>
      <c r="D13" s="67" t="s">
        <v>230</v>
      </c>
      <c r="E13" s="68" t="str">
        <f t="shared" si="1"/>
        <v>stage_bonuses_48502.tmp</v>
      </c>
      <c r="F13" s="67" t="s">
        <v>229</v>
      </c>
      <c r="G13" s="72" t="s">
        <v>231</v>
      </c>
      <c r="H13" s="72" t="s">
        <v>232</v>
      </c>
      <c r="I13" s="72" t="s">
        <v>233</v>
      </c>
      <c r="J13" s="72" t="s">
        <v>234</v>
      </c>
      <c r="K13" s="72" t="s">
        <v>235</v>
      </c>
      <c r="L13" s="72" t="s">
        <v>236</v>
      </c>
      <c r="M13" s="72" t="s">
        <v>237</v>
      </c>
      <c r="N13" s="72" t="s">
        <v>238</v>
      </c>
      <c r="O13" s="72" t="s">
        <v>239</v>
      </c>
      <c r="P13" s="72" t="s">
        <v>240</v>
      </c>
      <c r="Q13" s="72" t="s">
        <v>241</v>
      </c>
      <c r="R13" s="72" t="s">
        <v>242</v>
      </c>
      <c r="S13" s="72" t="s">
        <v>243</v>
      </c>
      <c r="T13" s="72" t="s">
        <v>244</v>
      </c>
      <c r="U13" s="72" t="s">
        <v>245</v>
      </c>
      <c r="V13" s="72" t="s">
        <v>246</v>
      </c>
      <c r="W13" s="72" t="s">
        <v>247</v>
      </c>
      <c r="X13" s="72" t="s">
        <v>248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M9" sqref="M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5.1640625" style="3" customWidth="1" outlineLevel="1"/>
    <col min="5" max="5" width="17.33203125" style="3" customWidth="1" outlineLevel="1"/>
    <col min="6" max="6" width="7" style="3" bestFit="1" customWidth="1"/>
    <col min="7" max="7" width="8.83203125" style="19" customWidth="1" outlineLevel="1"/>
    <col min="8" max="8" width="24.8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48502_1-1</v>
      </c>
      <c r="B2" s="16" t="str">
        <f>IF(COUNTIF(enemy_habitats!$H:$H,A2),"OK","NG")</f>
        <v>OK</v>
      </c>
      <c r="C2" s="7">
        <v>48502</v>
      </c>
      <c r="D2" s="11" t="str">
        <f ca="1">VLOOKUP($C2,OFFSET([2]quests!$A$1,0,0,COUNTA([2]quests!$A:$A),MATCH(D$1,[2]quests!$1:$1,0)-MATCH($C$1,[2]quests!$1:$1,0)+1),MATCH(D$1,[2]quests!$1:$1,0)-MATCH($C$1,[2]quests!$1:$1,0)+1,FALSE)</f>
        <v>ヘルシング襲来！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グローバル版降臨2</v>
      </c>
      <c r="F2" s="21">
        <v>1</v>
      </c>
      <c r="G2" s="23" t="str">
        <f>C2&amp;"_"&amp;F2</f>
        <v>48502_1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【超絶級】ヘルシング襲来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9" si="0">G3&amp;"-"&amp;I3</f>
        <v>48502_1-2</v>
      </c>
      <c r="B3" s="16" t="str">
        <f>IF(COUNTIF(enemy_habitats!$H:$H,A3),"OK","NG")</f>
        <v>OK</v>
      </c>
      <c r="C3" s="7">
        <v>48502</v>
      </c>
      <c r="D3" s="11" t="str">
        <f ca="1">VLOOKUP($C3,OFFSET([2]quests!$A$1,0,0,COUNTA([2]quests!$A:$A),MATCH(D$1,[2]quests!$1:$1,0)-MATCH($C$1,[2]quests!$1:$1,0)+1),MATCH(D$1,[2]quests!$1:$1,0)-MATCH($C$1,[2]quests!$1:$1,0)+1,FALSE)</f>
        <v>ヘルシング襲来！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グローバル版降臨2</v>
      </c>
      <c r="F3" s="21">
        <v>1</v>
      </c>
      <c r="G3" s="23" t="str">
        <f t="shared" ref="G3:G9" si="1">C3&amp;"_"&amp;F3</f>
        <v>48502_1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【超絶級】ヘルシング襲来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48502_1-3</v>
      </c>
      <c r="B4" s="16" t="str">
        <f>IF(COUNTIF(enemy_habitats!$H:$H,A4),"OK","NG")</f>
        <v>OK</v>
      </c>
      <c r="C4" s="7">
        <v>48502</v>
      </c>
      <c r="D4" s="11" t="str">
        <f ca="1">VLOOKUP($C4,OFFSET([2]quests!$A$1,0,0,COUNTA([2]quests!$A:$A),MATCH(D$1,[2]quests!$1:$1,0)-MATCH($C$1,[2]quests!$1:$1,0)+1),MATCH(D$1,[2]quests!$1:$1,0)-MATCH($C$1,[2]quests!$1:$1,0)+1,FALSE)</f>
        <v>ヘルシング襲来！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グローバル版降臨2</v>
      </c>
      <c r="F4" s="21">
        <v>1</v>
      </c>
      <c r="G4" s="23" t="str">
        <f t="shared" si="1"/>
        <v>48502_1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【超絶級】ヘルシング襲来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6" t="str">
        <f t="shared" si="0"/>
        <v>48502_1-4</v>
      </c>
      <c r="B5" s="16" t="str">
        <f>IF(COUNTIF(enemy_habitats!$H:$H,A5),"OK","NG")</f>
        <v>OK</v>
      </c>
      <c r="C5" s="110">
        <v>48502</v>
      </c>
      <c r="D5" s="111" t="str">
        <f ca="1">VLOOKUP($C5,OFFSET([2]quests!$A$1,0,0,COUNTA([2]quests!$A:$A),MATCH(D$1,[2]quests!$1:$1,0)-MATCH($C$1,[2]quests!$1:$1,0)+1),MATCH(D$1,[2]quests!$1:$1,0)-MATCH($C$1,[2]quests!$1:$1,0)+1,FALSE)</f>
        <v>ヘルシング襲来！</v>
      </c>
      <c r="E5" s="111" t="str">
        <f ca="1">VLOOKUP($C5,OFFSET([2]quests!$A$1,0,0,COUNTA([2]quests!$A:$A),MATCH(E$1,[2]quests!$1:$1,0)-MATCH($C$1,[2]quests!$1:$1,0)+1),MATCH(E$1,[2]quests!$1:$1,0)-MATCH($C$1,[2]quests!$1:$1,0)+1,FALSE)</f>
        <v>グローバル版降臨2</v>
      </c>
      <c r="F5" s="112">
        <v>1</v>
      </c>
      <c r="G5" s="113" t="str">
        <f t="shared" si="1"/>
        <v>48502_1</v>
      </c>
      <c r="H5" s="114" t="str">
        <f ca="1">VLOOKUP($G5,OFFSET([2]stages!$A$1,0,0,COUNTA([2]stages!$A:$A),MATCH(H$1,[2]stages!$2:$2,0)-MATCH($G$1,[2]stages!$2:$2,0)+1),MATCH(H$1,[2]stages!$2:$2,0)-MATCH($G$1,[2]stages!$2:$2,0)+1,FALSE)</f>
        <v>【超絶級】ヘルシング襲来</v>
      </c>
      <c r="I5" s="112">
        <v>4</v>
      </c>
      <c r="J5" s="115">
        <v>60</v>
      </c>
      <c r="K5" s="115">
        <v>60</v>
      </c>
    </row>
    <row r="6" spans="1:11" ht="21" customHeight="1" thickTop="1" x14ac:dyDescent="0.15">
      <c r="A6" s="16" t="str">
        <f t="shared" si="0"/>
        <v>48502_2-1</v>
      </c>
      <c r="B6" s="16" t="str">
        <f>IF(COUNTIF(enemy_habitats!$H:$H,A6),"OK","NG")</f>
        <v>OK</v>
      </c>
      <c r="C6" s="104">
        <v>48502</v>
      </c>
      <c r="D6" s="105" t="str">
        <f ca="1">VLOOKUP($C6,OFFSET([2]quests!$A$1,0,0,COUNTA([2]quests!$A:$A),MATCH(D$1,[2]quests!$1:$1,0)-MATCH($C$1,[2]quests!$1:$1,0)+1),MATCH(D$1,[2]quests!$1:$1,0)-MATCH($C$1,[2]quests!$1:$1,0)+1,FALSE)</f>
        <v>ヘルシング襲来！</v>
      </c>
      <c r="E6" s="105" t="str">
        <f ca="1">VLOOKUP($C6,OFFSET([2]quests!$A$1,0,0,COUNTA([2]quests!$A:$A),MATCH(E$1,[2]quests!$1:$1,0)-MATCH($C$1,[2]quests!$1:$1,0)+1),MATCH(E$1,[2]quests!$1:$1,0)-MATCH($C$1,[2]quests!$1:$1,0)+1,FALSE)</f>
        <v>グローバル版降臨2</v>
      </c>
      <c r="F6" s="106">
        <v>2</v>
      </c>
      <c r="G6" s="107" t="str">
        <f t="shared" si="1"/>
        <v>48502_2</v>
      </c>
      <c r="H6" s="108" t="str">
        <f ca="1">VLOOKUP($G6,OFFSET([2]stages!$A$1,0,0,COUNTA([2]stages!$A:$A),MATCH(H$1,[2]stages!$2:$2,0)-MATCH($G$1,[2]stages!$2:$2,0)+1),MATCH(H$1,[2]stages!$2:$2,0)-MATCH($G$1,[2]stages!$2:$2,0)+1,FALSE)</f>
        <v>【ウィザード級】ヘルシング襲来</v>
      </c>
      <c r="I6" s="106">
        <v>1</v>
      </c>
      <c r="J6" s="109">
        <v>30</v>
      </c>
      <c r="K6" s="109">
        <v>30</v>
      </c>
    </row>
    <row r="7" spans="1:11" ht="21" customHeight="1" x14ac:dyDescent="0.15">
      <c r="A7" s="16" t="str">
        <f t="shared" si="0"/>
        <v>48502_2-2</v>
      </c>
      <c r="B7" s="16" t="str">
        <f>IF(COUNTIF(enemy_habitats!$H:$H,A7),"OK","NG")</f>
        <v>OK</v>
      </c>
      <c r="C7" s="7">
        <v>48502</v>
      </c>
      <c r="D7" s="11" t="str">
        <f ca="1">VLOOKUP($C7,OFFSET([2]quests!$A$1,0,0,COUNTA([2]quests!$A:$A),MATCH(D$1,[2]quests!$1:$1,0)-MATCH($C$1,[2]quests!$1:$1,0)+1),MATCH(D$1,[2]quests!$1:$1,0)-MATCH($C$1,[2]quests!$1:$1,0)+1,FALSE)</f>
        <v>ヘルシング襲来！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グローバル版降臨2</v>
      </c>
      <c r="F7" s="21">
        <v>2</v>
      </c>
      <c r="G7" s="23" t="str">
        <f t="shared" si="1"/>
        <v>48502_2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【ウィザード級】ヘルシング襲来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48502_2-3</v>
      </c>
      <c r="B8" s="16" t="str">
        <f>IF(COUNTIF(enemy_habitats!$H:$H,A8),"OK","NG")</f>
        <v>OK</v>
      </c>
      <c r="C8" s="7">
        <v>48502</v>
      </c>
      <c r="D8" s="11" t="str">
        <f ca="1">VLOOKUP($C8,OFFSET([2]quests!$A$1,0,0,COUNTA([2]quests!$A:$A),MATCH(D$1,[2]quests!$1:$1,0)-MATCH($C$1,[2]quests!$1:$1,0)+1),MATCH(D$1,[2]quests!$1:$1,0)-MATCH($C$1,[2]quests!$1:$1,0)+1,FALSE)</f>
        <v>ヘルシング襲来！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グローバル版降臨2</v>
      </c>
      <c r="F8" s="21">
        <v>2</v>
      </c>
      <c r="G8" s="23" t="str">
        <f t="shared" si="1"/>
        <v>48502_2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【ウィザード級】ヘルシング襲来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48502_2-4</v>
      </c>
      <c r="B9" s="16" t="str">
        <f>IF(COUNTIF(enemy_habitats!$H:$H,A9),"OK","NG")</f>
        <v>OK</v>
      </c>
      <c r="C9" s="7">
        <v>48502</v>
      </c>
      <c r="D9" s="11" t="str">
        <f ca="1">VLOOKUP($C9,OFFSET([2]quests!$A$1,0,0,COUNTA([2]quests!$A:$A),MATCH(D$1,[2]quests!$1:$1,0)-MATCH($C$1,[2]quests!$1:$1,0)+1),MATCH(D$1,[2]quests!$1:$1,0)-MATCH($C$1,[2]quests!$1:$1,0)+1,FALSE)</f>
        <v>ヘルシング襲来！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グローバル版降臨2</v>
      </c>
      <c r="F9" s="21">
        <v>2</v>
      </c>
      <c r="G9" s="23" t="str">
        <f t="shared" si="1"/>
        <v>48502_2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【ウィザード級】ヘルシング襲来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8" sqref="U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4.6640625" style="3" customWidth="1"/>
    <col min="22" max="22" width="17.5" style="3" customWidth="1"/>
    <col min="23" max="23" width="13.8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8.83203125" style="13" customWidth="1" outlineLevel="1"/>
    <col min="32" max="32" width="8" style="14" customWidth="1" outlineLevel="1"/>
    <col min="33" max="33" width="12" style="14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250</v>
      </c>
      <c r="U1" s="26" t="s">
        <v>50</v>
      </c>
      <c r="V1" s="101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48502_1-1/6&lt;lv60&gt;s2</v>
      </c>
      <c r="B2" s="22">
        <v>48502</v>
      </c>
      <c r="C2" s="21">
        <v>1</v>
      </c>
      <c r="D2" s="2" t="str">
        <f>B2&amp;"_"&amp;C2</f>
        <v>48502_1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ヘルシング襲来！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【超絶級】ヘルシング襲来</v>
      </c>
      <c r="G2" s="21">
        <v>1</v>
      </c>
      <c r="H2" s="15" t="str">
        <f>B2&amp;"_"&amp;C2&amp;"-"&amp;G2</f>
        <v>48502_1-1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259</v>
      </c>
      <c r="L2" s="20">
        <v>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パトドッグリーダー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5">
        <v>3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29520</v>
      </c>
      <c r="U2" s="155">
        <v>1.2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3385.2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アバター達の様子がおかしい…</v>
      </c>
      <c r="Y2" s="210">
        <v>48502102</v>
      </c>
      <c r="Z2" s="6">
        <v>1</v>
      </c>
      <c r="AA2" s="6">
        <v>100</v>
      </c>
      <c r="AB2" s="6">
        <v>0</v>
      </c>
      <c r="AC2" s="170">
        <v>2</v>
      </c>
      <c r="AD2" s="24">
        <f>L2</f>
        <v>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9" si="0">B3&amp;"_"&amp;C3&amp;"-"&amp;G3&amp;"/"&amp;L3&amp;"&lt;lv"&amp;R3&amp;"&gt;s"&amp;AC3</f>
        <v>48502_1-1/365&lt;lv60&gt;s2</v>
      </c>
      <c r="B3" s="22">
        <v>48502</v>
      </c>
      <c r="C3" s="21">
        <v>1</v>
      </c>
      <c r="D3" s="2" t="str">
        <f t="shared" ref="D3:D9" si="1">B3&amp;"_"&amp;C3</f>
        <v>48502_1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ヘルシング襲来！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【超絶級】ヘルシング襲来</v>
      </c>
      <c r="G3" s="21">
        <v>1</v>
      </c>
      <c r="H3" s="15" t="str">
        <f t="shared" ref="H3:H9" si="2">B3&amp;"_"&amp;C3&amp;"-"&amp;G3</f>
        <v>48502_1-1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259</v>
      </c>
      <c r="L3" s="20">
        <v>365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惨劇の人形 ノエル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3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36900</v>
      </c>
      <c r="U3" s="25">
        <v>0.7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3703.7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不気味な叫び声が聴こえる…</v>
      </c>
      <c r="Y3" s="210">
        <v>48502101</v>
      </c>
      <c r="Z3" s="6">
        <v>1</v>
      </c>
      <c r="AA3" s="6">
        <v>100</v>
      </c>
      <c r="AB3" s="6">
        <v>0</v>
      </c>
      <c r="AC3" s="170">
        <v>2</v>
      </c>
      <c r="AD3" s="24">
        <f t="shared" ref="AD3:AD9" si="3">L3</f>
        <v>365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惨劇の人形 ノエル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ref="AI3:AI9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48502_1-2/13&lt;lv40&gt;s2</v>
      </c>
      <c r="B4" s="22">
        <v>48502</v>
      </c>
      <c r="C4" s="21">
        <v>1</v>
      </c>
      <c r="D4" s="2" t="str">
        <f t="shared" si="1"/>
        <v>48502_1</v>
      </c>
      <c r="E4" s="4" t="str">
        <f ca="1">VLOOKUP($B4,OFFSET([2]quests!$A$1,0,0,COUNTA([2]quests!$A:$A),MATCH(E$1,[2]quests!$1:$1,0)-MATCH($B$1,[2]quests!$1:$1,0)+1),MATCH(E$1,[2]quests!$1:$1,0)-MATCH($B$1,[2]quests!$1:$1,0)+1,FALSE)</f>
        <v>ヘルシング襲来！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【超絶級】ヘルシング襲来</v>
      </c>
      <c r="G4" s="21">
        <v>2</v>
      </c>
      <c r="H4" s="15" t="str">
        <f t="shared" si="2"/>
        <v>48502_1-2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259</v>
      </c>
      <c r="L4" s="20">
        <v>13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40</v>
      </c>
      <c r="S4" s="25">
        <v>2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16268</v>
      </c>
      <c r="U4" s="25">
        <v>0.8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2943.2000000000003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200">
        <v>0</v>
      </c>
      <c r="Z4" s="6">
        <v>1</v>
      </c>
      <c r="AA4" s="6">
        <v>100</v>
      </c>
      <c r="AB4" s="6">
        <v>0</v>
      </c>
      <c r="AC4" s="170">
        <v>2</v>
      </c>
      <c r="AD4" s="24">
        <f t="shared" si="3"/>
        <v>13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ミミ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" s="7">
        <v>1</v>
      </c>
      <c r="AI4" s="24">
        <f t="shared" ca="1" si="4"/>
        <v>1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48502_1-2/23&lt;lv40&gt;s2</v>
      </c>
      <c r="B5" s="22">
        <v>48502</v>
      </c>
      <c r="C5" s="21">
        <v>1</v>
      </c>
      <c r="D5" s="2" t="str">
        <f t="shared" si="1"/>
        <v>48502_1</v>
      </c>
      <c r="E5" s="4" t="str">
        <f ca="1">VLOOKUP($B5,OFFSET([2]quests!$A$1,0,0,COUNTA([2]quests!$A:$A),MATCH(E$1,[2]quests!$1:$1,0)-MATCH($B$1,[2]quests!$1:$1,0)+1),MATCH(E$1,[2]quests!$1:$1,0)-MATCH($B$1,[2]quests!$1:$1,0)+1,FALSE)</f>
        <v>ヘルシング襲来！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【超絶級】ヘルシング襲来</v>
      </c>
      <c r="G5" s="21">
        <v>2</v>
      </c>
      <c r="H5" s="15" t="str">
        <f t="shared" si="2"/>
        <v>48502_1-2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259</v>
      </c>
      <c r="L5" s="20">
        <v>23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25">
        <v>1.6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19641.600000000002</v>
      </c>
      <c r="U5" s="25">
        <v>0.8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1825.6000000000001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200">
        <v>0</v>
      </c>
      <c r="Z5" s="6">
        <v>1</v>
      </c>
      <c r="AA5" s="6">
        <v>100</v>
      </c>
      <c r="AB5" s="6">
        <v>0</v>
      </c>
      <c r="AC5" s="170">
        <v>2</v>
      </c>
      <c r="AD5" s="24">
        <f t="shared" si="3"/>
        <v>23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1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48502_1-2/602&lt;lv60&gt;s1</v>
      </c>
      <c r="B6" s="22">
        <v>48502</v>
      </c>
      <c r="C6" s="21">
        <v>1</v>
      </c>
      <c r="D6" s="2" t="str">
        <f t="shared" si="1"/>
        <v>48502_1</v>
      </c>
      <c r="E6" s="4" t="str">
        <f ca="1">VLOOKUP($B6,OFFSET([2]quests!$A$1,0,0,COUNTA([2]quests!$A:$A),MATCH(E$1,[2]quests!$1:$1,0)-MATCH($B$1,[2]quests!$1:$1,0)+1),MATCH(E$1,[2]quests!$1:$1,0)-MATCH($B$1,[2]quests!$1:$1,0)+1,FALSE)</f>
        <v>ヘルシング襲来！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【超絶級】ヘルシング襲来</v>
      </c>
      <c r="G6" s="21">
        <v>2</v>
      </c>
      <c r="H6" s="15" t="str">
        <f t="shared" si="2"/>
        <v>48502_1-2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602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フレイヤ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v>2.1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134316</v>
      </c>
      <c r="U6" s="25">
        <v>0.8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4195.2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様子がおかしい…</v>
      </c>
      <c r="Y6" s="210">
        <v>48502103</v>
      </c>
      <c r="Z6" s="6">
        <v>1</v>
      </c>
      <c r="AA6" s="6">
        <v>100</v>
      </c>
      <c r="AB6" s="6">
        <v>1</v>
      </c>
      <c r="AC6" s="170">
        <v>1</v>
      </c>
      <c r="AD6" s="24">
        <f t="shared" si="3"/>
        <v>602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フレイヤ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48502_1-3/248&lt;lv60&gt;s2</v>
      </c>
      <c r="B7" s="22">
        <v>48502</v>
      </c>
      <c r="C7" s="21">
        <v>1</v>
      </c>
      <c r="D7" s="2" t="str">
        <f t="shared" si="1"/>
        <v>48502_1</v>
      </c>
      <c r="E7" s="4" t="str">
        <f ca="1">VLOOKUP($B7,OFFSET([2]quests!$A$1,0,0,COUNTA([2]quests!$A:$A),MATCH(E$1,[2]quests!$1:$1,0)-MATCH($B$1,[2]quests!$1:$1,0)+1),MATCH(E$1,[2]quests!$1:$1,0)-MATCH($B$1,[2]quests!$1:$1,0)+1,FALSE)</f>
        <v>ヘルシング襲来！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【超絶級】ヘルシング襲来</v>
      </c>
      <c r="G7" s="21">
        <v>3</v>
      </c>
      <c r="H7" s="15" t="str">
        <f t="shared" si="2"/>
        <v>48502_1-3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259</v>
      </c>
      <c r="L7" s="20">
        <v>248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彩電の天使 ミカエル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5">
        <v>2.8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219382.8</v>
      </c>
      <c r="U7" s="25">
        <v>1.1000000000000001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9214.7000000000007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7" s="210">
        <v>48502105</v>
      </c>
      <c r="Z7" s="6">
        <v>1</v>
      </c>
      <c r="AA7" s="6">
        <v>100</v>
      </c>
      <c r="AB7" s="6">
        <v>0</v>
      </c>
      <c r="AC7" s="170">
        <v>2</v>
      </c>
      <c r="AD7" s="24">
        <f t="shared" si="3"/>
        <v>248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彩電の天使 ミカエル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48502_1-3/245&lt;lv60&gt;s2</v>
      </c>
      <c r="B8" s="22">
        <v>48502</v>
      </c>
      <c r="C8" s="21">
        <v>1</v>
      </c>
      <c r="D8" s="2" t="str">
        <f t="shared" si="1"/>
        <v>48502_1</v>
      </c>
      <c r="E8" s="4" t="str">
        <f ca="1">VLOOKUP($B8,OFFSET([2]quests!$A$1,0,0,COUNTA([2]quests!$A:$A),MATCH(E$1,[2]quests!$1:$1,0)-MATCH($B$1,[2]quests!$1:$1,0)+1),MATCH(E$1,[2]quests!$1:$1,0)-MATCH($B$1,[2]quests!$1:$1,0)+1,FALSE)</f>
        <v>ヘルシング襲来！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【超絶級】ヘルシング襲来</v>
      </c>
      <c r="G8" s="21">
        <v>3</v>
      </c>
      <c r="H8" s="15" t="str">
        <f t="shared" si="2"/>
        <v>48502_1-3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259</v>
      </c>
      <c r="L8" s="133">
        <v>245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鎮癒の天使 ラファエル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136">
        <v>2.4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191880</v>
      </c>
      <c r="U8" s="136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6111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状態異常耐性+2ターンハートパネルドロップ率UP</v>
      </c>
      <c r="Y8" s="200">
        <v>48502006</v>
      </c>
      <c r="Z8" s="138">
        <v>1</v>
      </c>
      <c r="AA8" s="138">
        <v>100</v>
      </c>
      <c r="AB8" s="138">
        <v>0</v>
      </c>
      <c r="AC8" s="171">
        <v>2</v>
      </c>
      <c r="AD8" s="24">
        <f t="shared" si="3"/>
        <v>245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鎮癒の天使 ラファエル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thickBot="1" x14ac:dyDescent="0.2">
      <c r="A9" s="119" t="str">
        <f t="shared" si="0"/>
        <v>48502_1-4/5007&lt;lv75&gt;s2</v>
      </c>
      <c r="B9" s="120">
        <v>48502</v>
      </c>
      <c r="C9" s="112">
        <v>1</v>
      </c>
      <c r="D9" s="114" t="str">
        <f t="shared" si="1"/>
        <v>48502_1</v>
      </c>
      <c r="E9" s="121" t="str">
        <f ca="1">VLOOKUP($B9,OFFSET([2]quests!$A$1,0,0,COUNTA([2]quests!$A:$A),MATCH(E$1,[2]quests!$1:$1,0)-MATCH($B$1,[2]quests!$1:$1,0)+1),MATCH(E$1,[2]quests!$1:$1,0)-MATCH($B$1,[2]quests!$1:$1,0)+1,FALSE)</f>
        <v>ヘルシング襲来！</v>
      </c>
      <c r="F9" s="121" t="str">
        <f ca="1">VLOOKUP($D9,OFFSET([2]stages!$A$1,0,0,COUNTA([2]stages!$A:$A),MATCH(F$1,[2]stages!$2:$2,0)-MATCH($D$1,[2]stages!$2:$2,0)+1),MATCH(F$1,[2]stages!$2:$2,0)-MATCH($D$1,[2]stages!$2:$2,0)+1,FALSE)</f>
        <v>【超絶級】ヘルシング襲来</v>
      </c>
      <c r="G9" s="112">
        <v>4</v>
      </c>
      <c r="H9" s="114" t="str">
        <f t="shared" si="2"/>
        <v>48502_1-4</v>
      </c>
      <c r="I9" s="121">
        <f ca="1">VLOOKUP($H9,OFFSET(floors!$A$1,0,0,COUNTA(floors!$A:$A),MATCH(I$1,floors!$1:$1,0)-MATCH($H$1,floors!$1:$1,0)+1),MATCH(I$1,floors!$1:$1,0)-MATCH($H$1,floors!$1:$1,0)+1,FALSE)</f>
        <v>60</v>
      </c>
      <c r="J9" s="121">
        <f ca="1">VLOOKUP($H9,OFFSET(floors!$A$1,0,0,COUNTA(floors!$A:$A),MATCH(J$1,floors!$1:$1,0)-MATCH($H$1,floors!$1:$1,0)+1),MATCH(J$1,floors!$1:$1,0)-MATCH($H$1,floors!$1:$1,0)+1,FALSE)</f>
        <v>60</v>
      </c>
      <c r="K9" s="164">
        <v>2</v>
      </c>
      <c r="L9" s="174">
        <v>5007</v>
      </c>
      <c r="M9" s="123" t="str">
        <f ca="1">VLOOKUP($L9,OFFSET([3]enemies!$A$1,0,0,COUNTA([3]enemies!$A:$A),MATCH(M$1,[3]enemies!$1:$1,0)-MATCH($L$1,[3]enemies!$1:$1,0)+1),MATCH(M$1,[3]enemies!$1:$1,0)-MATCH($L$1,[3]enemies!$1:$1,0)+1,FALSE)</f>
        <v>ヘルシング</v>
      </c>
      <c r="N9" s="123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23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23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23">
        <f ca="1">VLOOKUP($L9,OFFSET([3]enemies!$A$1,0,0,COUNTA([3]enemies!$A:$A),MATCH(Q$1,[3]enemies!$1:$1,0)-MATCH($L$1,[3]enemies!$1:$1,0)+1),MATCH(Q$1,[3]enemies!$1:$1,0)-MATCH($L$1,[3]enemies!$1:$1,0)+1,FALSE)</f>
        <v>60</v>
      </c>
      <c r="R9" s="124">
        <v>75</v>
      </c>
      <c r="S9" s="196">
        <v>3.6</v>
      </c>
      <c r="T9" s="126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197">
        <v>1</v>
      </c>
      <c r="V9" s="1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124">
        <v>0</v>
      </c>
      <c r="X9" s="121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状態異常耐性+残りHPの50%ダメージ！</v>
      </c>
      <c r="Y9" s="229">
        <v>48502107</v>
      </c>
      <c r="Z9" s="202">
        <v>1</v>
      </c>
      <c r="AA9" s="128">
        <v>100</v>
      </c>
      <c r="AB9" s="128">
        <v>1</v>
      </c>
      <c r="AC9" s="203">
        <v>2</v>
      </c>
      <c r="AD9" s="127">
        <f t="shared" si="3"/>
        <v>5007</v>
      </c>
      <c r="AE9" s="121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ヘルシング</v>
      </c>
      <c r="AF9" s="121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121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110">
        <v>1</v>
      </c>
      <c r="AI9" s="127">
        <f t="shared" ca="1" si="4"/>
        <v>5</v>
      </c>
      <c r="AJ9" s="152">
        <v>15</v>
      </c>
      <c r="AK9" s="110">
        <v>0</v>
      </c>
      <c r="AL9" s="110">
        <v>0</v>
      </c>
      <c r="AM9" s="110">
        <v>0</v>
      </c>
      <c r="AN9" s="110">
        <v>0</v>
      </c>
      <c r="AO9" s="110">
        <v>1</v>
      </c>
      <c r="AP9" s="128">
        <v>1</v>
      </c>
    </row>
    <row r="10" spans="1:42" ht="21" customHeight="1" thickTop="1" x14ac:dyDescent="0.15">
      <c r="A10" s="16" t="str">
        <f>B10&amp;"_"&amp;C10&amp;"-"&amp;G10&amp;"/"&amp;L10&amp;"&lt;lv"&amp;R10&amp;"&gt;s"&amp;AC10</f>
        <v>48502_2-1/6&lt;lv80&gt;s2</v>
      </c>
      <c r="B10" s="22">
        <v>48502</v>
      </c>
      <c r="C10" s="21">
        <v>2</v>
      </c>
      <c r="D10" s="2" t="str">
        <f>B10&amp;"_"&amp;C10</f>
        <v>48502_2</v>
      </c>
      <c r="E10" s="4" t="str">
        <f ca="1">VLOOKUP($B10,OFFSET([2]quests!$A$1,0,0,COUNTA([2]quests!$A:$A),MATCH(E$1,[2]quests!$1:$1,0)-MATCH($B$1,[2]quests!$1:$1,0)+1),MATCH(E$1,[2]quests!$1:$1,0)-MATCH($B$1,[2]quests!$1:$1,0)+1,FALSE)</f>
        <v>ヘルシング襲来！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【ウィザード級】ヘルシング襲来</v>
      </c>
      <c r="G10" s="21">
        <v>1</v>
      </c>
      <c r="H10" s="15" t="str">
        <f>B10&amp;"_"&amp;C10&amp;"-"&amp;G10</f>
        <v>48502_2-1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109" t="s">
        <v>259</v>
      </c>
      <c r="L10" s="173">
        <v>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パトドッグリーダー ポチ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80</v>
      </c>
      <c r="S10" s="155">
        <v>6</v>
      </c>
      <c r="T10" s="156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78240</v>
      </c>
      <c r="U10" s="155">
        <v>1.7</v>
      </c>
      <c r="V10" s="156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6354.5999999999995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アバター達の様子がおかしい…</v>
      </c>
      <c r="Y10" s="199">
        <v>48502002</v>
      </c>
      <c r="Z10" s="201">
        <v>1</v>
      </c>
      <c r="AA10" s="201">
        <v>100</v>
      </c>
      <c r="AB10" s="201">
        <v>0</v>
      </c>
      <c r="AC10" s="170">
        <v>2</v>
      </c>
      <c r="AD10" s="24">
        <f>L10</f>
        <v>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" s="7">
        <v>1</v>
      </c>
      <c r="AI10" s="24">
        <f ca="1">AF10</f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ref="A11:A17" si="5">B11&amp;"_"&amp;C11&amp;"-"&amp;G11&amp;"/"&amp;L11&amp;"&lt;lv"&amp;R11&amp;"&gt;s"&amp;AC11</f>
        <v>48502_2-1/365&lt;lv80&gt;s2</v>
      </c>
      <c r="B11" s="22">
        <v>48502</v>
      </c>
      <c r="C11" s="21">
        <v>2</v>
      </c>
      <c r="D11" s="2" t="str">
        <f t="shared" ref="D11:D17" si="6">B11&amp;"_"&amp;C11</f>
        <v>48502_2</v>
      </c>
      <c r="E11" s="4" t="str">
        <f ca="1">VLOOKUP($B11,OFFSET([2]quests!$A$1,0,0,COUNTA([2]quests!$A:$A),MATCH(E$1,[2]quests!$1:$1,0)-MATCH($B$1,[2]quests!$1:$1,0)+1),MATCH(E$1,[2]quests!$1:$1,0)-MATCH($B$1,[2]quests!$1:$1,0)+1,FALSE)</f>
        <v>ヘルシング襲来！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【ウィザード級】ヘルシング襲来</v>
      </c>
      <c r="G11" s="21">
        <v>1</v>
      </c>
      <c r="H11" s="15" t="str">
        <f t="shared" ref="H11:H17" si="7">B11&amp;"_"&amp;C11&amp;"-"&amp;G11</f>
        <v>48502_2-1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 t="s">
        <v>259</v>
      </c>
      <c r="L11" s="20">
        <v>365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惨劇の人形 ノエル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80</v>
      </c>
      <c r="S11" s="25">
        <v>6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97800</v>
      </c>
      <c r="U11" s="25">
        <v>1.1000000000000001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7712.1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不気味な叫び声が聴こえる…</v>
      </c>
      <c r="Y11" s="118">
        <v>48502001</v>
      </c>
      <c r="Z11" s="6">
        <v>1</v>
      </c>
      <c r="AA11" s="6">
        <v>100</v>
      </c>
      <c r="AB11" s="6">
        <v>0</v>
      </c>
      <c r="AC11" s="170">
        <v>2</v>
      </c>
      <c r="AD11" s="24">
        <f t="shared" ref="AD11:AD17" si="8">L11</f>
        <v>365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惨劇の人形 ノエル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ref="AI11:AI17" ca="1" si="9">AF11</f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48502_2-2/13&lt;lv60&gt;s2</v>
      </c>
      <c r="B12" s="22">
        <v>48502</v>
      </c>
      <c r="C12" s="21">
        <v>2</v>
      </c>
      <c r="D12" s="2" t="str">
        <f t="shared" si="6"/>
        <v>48502_2</v>
      </c>
      <c r="E12" s="4" t="str">
        <f ca="1">VLOOKUP($B12,OFFSET([2]quests!$A$1,0,0,COUNTA([2]quests!$A:$A),MATCH(E$1,[2]quests!$1:$1,0)-MATCH($B$1,[2]quests!$1:$1,0)+1),MATCH(E$1,[2]quests!$1:$1,0)-MATCH($B$1,[2]quests!$1:$1,0)+1,FALSE)</f>
        <v>ヘルシング襲来！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【ウィザード級】ヘルシング襲来</v>
      </c>
      <c r="G12" s="21">
        <v>2</v>
      </c>
      <c r="H12" s="15" t="str">
        <f t="shared" si="7"/>
        <v>48502_2-2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259</v>
      </c>
      <c r="L12" s="20">
        <v>13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ミミ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5">
        <v>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60270</v>
      </c>
      <c r="U12" s="25">
        <v>1.2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6542.4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118">
        <v>0</v>
      </c>
      <c r="Z12" s="6">
        <v>1</v>
      </c>
      <c r="AA12" s="6">
        <v>100</v>
      </c>
      <c r="AB12" s="6">
        <v>0</v>
      </c>
      <c r="AC12" s="170">
        <v>2</v>
      </c>
      <c r="AD12" s="24">
        <f t="shared" si="8"/>
        <v>13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ミミ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7">
        <v>1</v>
      </c>
      <c r="AI12" s="24">
        <f t="shared" ca="1" si="9"/>
        <v>1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ref="A13" si="10">B13&amp;"_"&amp;C13&amp;"-"&amp;G13&amp;"/"&amp;L13&amp;"&lt;lv"&amp;R13&amp;"&gt;s"&amp;AC13</f>
        <v>48502_2-2/23&lt;lv60&gt;s2</v>
      </c>
      <c r="B13" s="22">
        <v>48502</v>
      </c>
      <c r="C13" s="21">
        <v>2</v>
      </c>
      <c r="D13" s="2" t="str">
        <f t="shared" ref="D13" si="11">B13&amp;"_"&amp;C13</f>
        <v>48502_2</v>
      </c>
      <c r="E13" s="4" t="str">
        <f ca="1">VLOOKUP($B13,OFFSET([2]quests!$A$1,0,0,COUNTA([2]quests!$A:$A),MATCH(E$1,[2]quests!$1:$1,0)-MATCH($B$1,[2]quests!$1:$1,0)+1),MATCH(E$1,[2]quests!$1:$1,0)-MATCH($B$1,[2]quests!$1:$1,0)+1,FALSE)</f>
        <v>ヘルシング襲来！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【ウィザード級】ヘルシング襲来</v>
      </c>
      <c r="G13" s="21">
        <v>2</v>
      </c>
      <c r="H13" s="15" t="str">
        <f t="shared" ref="H13" si="12">B13&amp;"_"&amp;C13&amp;"-"&amp;G13</f>
        <v>48502_2-2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259</v>
      </c>
      <c r="L13" s="20">
        <v>23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ミール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5">
        <v>5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90960</v>
      </c>
      <c r="U13" s="25">
        <v>1.5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5071.5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118">
        <v>0</v>
      </c>
      <c r="Z13" s="6">
        <v>1</v>
      </c>
      <c r="AA13" s="6">
        <v>100</v>
      </c>
      <c r="AB13" s="6">
        <v>0</v>
      </c>
      <c r="AC13" s="170">
        <v>2</v>
      </c>
      <c r="AD13" s="24">
        <f t="shared" ref="AD13" si="13">L13</f>
        <v>23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ref="AI13" ca="1" si="14">AF13</f>
        <v>1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5"/>
        <v>48502_2-2/602&lt;lv80&gt;s1</v>
      </c>
      <c r="B14" s="22">
        <v>48502</v>
      </c>
      <c r="C14" s="21">
        <v>2</v>
      </c>
      <c r="D14" s="2" t="str">
        <f t="shared" si="6"/>
        <v>48502_2</v>
      </c>
      <c r="E14" s="4" t="str">
        <f ca="1">VLOOKUP($B14,OFFSET([2]quests!$A$1,0,0,COUNTA([2]quests!$A:$A),MATCH(E$1,[2]quests!$1:$1,0)-MATCH($B$1,[2]quests!$1:$1,0)+1),MATCH(E$1,[2]quests!$1:$1,0)-MATCH($B$1,[2]quests!$1:$1,0)+1,FALSE)</f>
        <v>ヘルシング襲来！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【ウィザード級】ヘルシング襲来</v>
      </c>
      <c r="G14" s="21">
        <v>2</v>
      </c>
      <c r="H14" s="15" t="str">
        <f t="shared" si="7"/>
        <v>48502_2-2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3</v>
      </c>
      <c r="L14" s="20">
        <v>602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フレイヤ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80</v>
      </c>
      <c r="S14" s="25">
        <v>2.8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237327.99999999997</v>
      </c>
      <c r="U14" s="25">
        <v>1.5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10423.5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様子がおかしい…</v>
      </c>
      <c r="Y14" s="118">
        <v>48502003</v>
      </c>
      <c r="Z14" s="6">
        <v>1</v>
      </c>
      <c r="AA14" s="6">
        <v>100</v>
      </c>
      <c r="AB14" s="6">
        <v>1</v>
      </c>
      <c r="AC14" s="170">
        <v>1</v>
      </c>
      <c r="AD14" s="24">
        <f t="shared" si="8"/>
        <v>602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フレイヤ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4" s="7">
        <v>1</v>
      </c>
      <c r="AI14" s="24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5"/>
        <v>48502_2-3/248&lt;lv80&gt;s2</v>
      </c>
      <c r="B15" s="22">
        <v>48502</v>
      </c>
      <c r="C15" s="21">
        <v>2</v>
      </c>
      <c r="D15" s="2" t="str">
        <f t="shared" si="6"/>
        <v>48502_2</v>
      </c>
      <c r="E15" s="4" t="str">
        <f ca="1">VLOOKUP($B15,OFFSET([2]quests!$A$1,0,0,COUNTA([2]quests!$A:$A),MATCH(E$1,[2]quests!$1:$1,0)-MATCH($B$1,[2]quests!$1:$1,0)+1),MATCH(E$1,[2]quests!$1:$1,0)-MATCH($B$1,[2]quests!$1:$1,0)+1,FALSE)</f>
        <v>ヘルシング襲来！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【ウィザード級】ヘルシング襲来</v>
      </c>
      <c r="G15" s="21">
        <v>3</v>
      </c>
      <c r="H15" s="15" t="str">
        <f t="shared" si="7"/>
        <v>48502_2-3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259</v>
      </c>
      <c r="L15" s="20">
        <v>248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彩電の天使 ミカエル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80</v>
      </c>
      <c r="S15" s="25">
        <v>3.5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363408.5</v>
      </c>
      <c r="U15" s="25">
        <v>1.7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18871.7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5" s="118">
        <v>48502005</v>
      </c>
      <c r="Z15" s="6">
        <v>1</v>
      </c>
      <c r="AA15" s="6">
        <v>100</v>
      </c>
      <c r="AB15" s="6">
        <v>0</v>
      </c>
      <c r="AC15" s="170">
        <v>2</v>
      </c>
      <c r="AD15" s="24">
        <f t="shared" si="8"/>
        <v>248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彩電の天使 ミカエル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ca="1" si="9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5"/>
        <v>48502_2-3/245&lt;lv80&gt;s2</v>
      </c>
      <c r="B16" s="129">
        <v>48502</v>
      </c>
      <c r="C16" s="130">
        <v>2</v>
      </c>
      <c r="D16" s="131" t="str">
        <f t="shared" si="6"/>
        <v>48502_2</v>
      </c>
      <c r="E16" s="132" t="str">
        <f ca="1">VLOOKUP($B16,OFFSET([2]quests!$A$1,0,0,COUNTA([2]quests!$A:$A),MATCH(E$1,[2]quests!$1:$1,0)-MATCH($B$1,[2]quests!$1:$1,0)+1),MATCH(E$1,[2]quests!$1:$1,0)-MATCH($B$1,[2]quests!$1:$1,0)+1,FALSE)</f>
        <v>ヘルシング襲来！</v>
      </c>
      <c r="F16" s="132" t="str">
        <f ca="1">VLOOKUP($D16,OFFSET([2]stages!$A$1,0,0,COUNTA([2]stages!$A:$A),MATCH(F$1,[2]stages!$2:$2,0)-MATCH($D$1,[2]stages!$2:$2,0)+1),MATCH(F$1,[2]stages!$2:$2,0)-MATCH($D$1,[2]stages!$2:$2,0)+1,FALSE)</f>
        <v>【ウィザード級】ヘルシング襲来</v>
      </c>
      <c r="G16" s="130">
        <v>3</v>
      </c>
      <c r="H16" s="131" t="str">
        <f t="shared" si="7"/>
        <v>48502_2-3</v>
      </c>
      <c r="I16" s="132">
        <f ca="1">VLOOKUP($H16,OFFSET(floors!$A$1,0,0,COUNTA(floors!$A:$A),MATCH(I$1,floors!$1:$1,0)-MATCH($H$1,floors!$1:$1,0)+1),MATCH(I$1,floors!$1:$1,0)-MATCH($H$1,floors!$1:$1,0)+1,FALSE)</f>
        <v>60</v>
      </c>
      <c r="J16" s="132">
        <f ca="1">VLOOKUP($H16,OFFSET(floors!$A$1,0,0,COUNTA(floors!$A:$A),MATCH(J$1,floors!$1:$1,0)-MATCH($H$1,floors!$1:$1,0)+1),MATCH(J$1,floors!$1:$1,0)-MATCH($H$1,floors!$1:$1,0)+1,FALSE)</f>
        <v>60</v>
      </c>
      <c r="K16" s="38" t="s">
        <v>259</v>
      </c>
      <c r="L16" s="133">
        <v>245</v>
      </c>
      <c r="M16" s="134" t="str">
        <f ca="1">VLOOKUP($L16,OFFSET([3]enemies!$A$1,0,0,COUNTA([3]enemies!$A:$A),MATCH(M$1,[3]enemies!$1:$1,0)-MATCH($L$1,[3]enemies!$1:$1,0)+1),MATCH(M$1,[3]enemies!$1:$1,0)-MATCH($L$1,[3]enemies!$1:$1,0)+1,FALSE)</f>
        <v>鎮癒の天使 ラファエル</v>
      </c>
      <c r="N16" s="134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34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34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34">
        <f ca="1">VLOOKUP($L16,OFFSET([3]enemies!$A$1,0,0,COUNTA([3]enemies!$A:$A),MATCH(Q$1,[3]enemies!$1:$1,0)-MATCH($L$1,[3]enemies!$1:$1,0)+1),MATCH(Q$1,[3]enemies!$1:$1,0)-MATCH($L$1,[3]enemies!$1:$1,0)+1,FALSE)</f>
        <v>30</v>
      </c>
      <c r="R16" s="135">
        <v>80</v>
      </c>
      <c r="S16" s="136">
        <v>3</v>
      </c>
      <c r="T16" s="137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317850</v>
      </c>
      <c r="U16" s="136">
        <v>1.8</v>
      </c>
      <c r="V16" s="137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14578.2</v>
      </c>
      <c r="W16" s="135">
        <v>0</v>
      </c>
      <c r="X16" s="132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状態異常耐性+2ターンハートパネルドロップ率UP</v>
      </c>
      <c r="Y16" s="118">
        <v>48502006</v>
      </c>
      <c r="Z16" s="138">
        <v>1</v>
      </c>
      <c r="AA16" s="138">
        <v>100</v>
      </c>
      <c r="AB16" s="138">
        <v>0</v>
      </c>
      <c r="AC16" s="171">
        <v>2</v>
      </c>
      <c r="AD16" s="139">
        <f t="shared" si="8"/>
        <v>245</v>
      </c>
      <c r="AE16" s="132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鎮癒の天使 ラファエル</v>
      </c>
      <c r="AF16" s="132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132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140">
        <v>1</v>
      </c>
      <c r="AI16" s="139">
        <f t="shared" ca="1" si="9"/>
        <v>4</v>
      </c>
      <c r="AJ16" s="141">
        <v>0</v>
      </c>
      <c r="AK16" s="140">
        <v>0</v>
      </c>
      <c r="AL16" s="140">
        <v>0</v>
      </c>
      <c r="AM16" s="140">
        <v>0</v>
      </c>
      <c r="AN16" s="140">
        <v>0</v>
      </c>
      <c r="AO16" s="140">
        <v>1</v>
      </c>
      <c r="AP16" s="142">
        <v>1</v>
      </c>
    </row>
    <row r="17" spans="1:42" ht="21" customHeight="1" x14ac:dyDescent="0.15">
      <c r="A17" s="143" t="str">
        <f t="shared" si="5"/>
        <v>48502_2-4/5007&lt;lv95&gt;s2</v>
      </c>
      <c r="B17" s="144">
        <v>48502</v>
      </c>
      <c r="C17" s="145">
        <v>2</v>
      </c>
      <c r="D17" s="15" t="str">
        <f t="shared" si="6"/>
        <v>48502_2</v>
      </c>
      <c r="E17" s="18" t="str">
        <f ca="1">VLOOKUP($B17,OFFSET([2]quests!$A$1,0,0,COUNTA([2]quests!$A:$A),MATCH(E$1,[2]quests!$1:$1,0)-MATCH($B$1,[2]quests!$1:$1,0)+1),MATCH(E$1,[2]quests!$1:$1,0)-MATCH($B$1,[2]quests!$1:$1,0)+1,FALSE)</f>
        <v>ヘルシング襲来！</v>
      </c>
      <c r="F17" s="18" t="str">
        <f ca="1">VLOOKUP($D17,OFFSET([2]stages!$A$1,0,0,COUNTA([2]stages!$A:$A),MATCH(F$1,[2]stages!$2:$2,0)-MATCH($D$1,[2]stages!$2:$2,0)+1),MATCH(F$1,[2]stages!$2:$2,0)-MATCH($D$1,[2]stages!$2:$2,0)+1,FALSE)</f>
        <v>【ウィザード級】ヘルシング襲来</v>
      </c>
      <c r="G17" s="145">
        <v>4</v>
      </c>
      <c r="H17" s="15" t="str">
        <f t="shared" si="7"/>
        <v>48502_2-4</v>
      </c>
      <c r="I17" s="18">
        <f ca="1">VLOOKUP($H17,OFFSET(floors!$A$1,0,0,COUNTA(floors!$A:$A),MATCH(I$1,floors!$1:$1,0)-MATCH($H$1,floors!$1:$1,0)+1),MATCH(I$1,floors!$1:$1,0)-MATCH($H$1,floors!$1:$1,0)+1,FALSE)</f>
        <v>60</v>
      </c>
      <c r="J17" s="18">
        <f ca="1">VLOOKUP($H17,OFFSET(floors!$A$1,0,0,COUNTA(floors!$A:$A),MATCH(J$1,floors!$1:$1,0)-MATCH($H$1,floors!$1:$1,0)+1),MATCH(J$1,floors!$1:$1,0)-MATCH($H$1,floors!$1:$1,0)+1,FALSE)</f>
        <v>60</v>
      </c>
      <c r="K17" s="38">
        <v>4</v>
      </c>
      <c r="L17" s="151">
        <v>5007</v>
      </c>
      <c r="M17" s="18" t="str">
        <f ca="1">VLOOKUP($L17,OFFSET([3]enemies!$A$1,0,0,COUNTA([3]enemies!$A:$A),MATCH(M$1,[3]enemies!$1:$1,0)-MATCH($L$1,[3]enemies!$1:$1,0)+1),MATCH(M$1,[3]enemies!$1:$1,0)-MATCH($L$1,[3]enemies!$1:$1,0)+1,FALSE)</f>
        <v>ヘルシング</v>
      </c>
      <c r="N17" s="18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8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8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8">
        <f ca="1">VLOOKUP($L17,OFFSET([3]enemies!$A$1,0,0,COUNTA([3]enemies!$A:$A),MATCH(Q$1,[3]enemies!$1:$1,0)-MATCH($L$1,[3]enemies!$1:$1,0)+1),MATCH(Q$1,[3]enemies!$1:$1,0)-MATCH($L$1,[3]enemies!$1:$1,0)+1,FALSE)</f>
        <v>60</v>
      </c>
      <c r="R17" s="147">
        <v>95</v>
      </c>
      <c r="S17" s="148">
        <v>5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0</v>
      </c>
      <c r="U17" s="148">
        <v>1.6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0</v>
      </c>
      <c r="W17" s="147">
        <v>0</v>
      </c>
      <c r="X17" s="18" t="str">
        <f ca="1">VLOOKUP($Y17,OFFSET(enemy_skill_sets!$B$1,0,0,COUNTA(enemy_skill_sets!$B:$B),MATCH(M$1,enemy_skill_sets!$1:$1,0)-MATCH($Y$1,enemy_skill_sets!$1:$1,0)+2),MATCH(M$1,enemy_skill_sets!$1:$1,0)-MATCH($Y$1,enemy_skill_sets!$1:$1,0)+2,FALSE)</f>
        <v>状態異常耐性+残りHPの50%ダメージ！</v>
      </c>
      <c r="Y17" s="118">
        <v>48502007</v>
      </c>
      <c r="Z17" s="69">
        <v>1</v>
      </c>
      <c r="AA17" s="69">
        <v>100</v>
      </c>
      <c r="AB17" s="69">
        <v>1</v>
      </c>
      <c r="AC17" s="172">
        <v>2</v>
      </c>
      <c r="AD17" s="149">
        <f t="shared" si="8"/>
        <v>5007</v>
      </c>
      <c r="AE17" s="18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ヘルシング</v>
      </c>
      <c r="AF17" s="18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18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7" s="150">
        <v>1</v>
      </c>
      <c r="AI17" s="149">
        <f t="shared" ca="1" si="9"/>
        <v>5</v>
      </c>
      <c r="AJ17" s="153">
        <v>30</v>
      </c>
      <c r="AK17" s="150">
        <v>0</v>
      </c>
      <c r="AL17" s="150">
        <v>0</v>
      </c>
      <c r="AM17" s="150">
        <v>0</v>
      </c>
      <c r="AN17" s="150">
        <v>0</v>
      </c>
      <c r="AO17" s="150">
        <v>1</v>
      </c>
      <c r="AP17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tabSelected="1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11" sqref="V1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250</v>
      </c>
      <c r="V1" s="26" t="s">
        <v>50</v>
      </c>
      <c r="W1" s="101" t="s">
        <v>251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48502_1-2/602&lt;lv60&gt;sq1st2</v>
      </c>
      <c r="B2" s="22">
        <v>48502</v>
      </c>
      <c r="C2" s="21">
        <v>1</v>
      </c>
      <c r="D2" s="2" t="str">
        <f>B2&amp;"_"&amp;C2</f>
        <v>48502_1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ヘルシング襲来！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【超絶級】ヘルシング襲来</v>
      </c>
      <c r="G2" s="21">
        <v>2</v>
      </c>
      <c r="H2" s="15" t="str">
        <f>B2&amp;"_"&amp;C2&amp;"-"&amp;G2</f>
        <v>48502_1-2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602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フレイヤ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155">
        <v>2.4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153504</v>
      </c>
      <c r="V2" s="155">
        <v>0.9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4719.6000000000004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2" s="212">
        <v>48502104</v>
      </c>
      <c r="AA2" s="117">
        <v>1</v>
      </c>
    </row>
    <row r="3" spans="1:27" ht="21" customHeight="1" x14ac:dyDescent="0.15">
      <c r="A3" s="16" t="str">
        <f t="shared" ref="A3:A7" si="0">B3&amp;"_"&amp;C3&amp;"-"&amp;G3&amp;"/"&amp;M3&amp;"&lt;lv"&amp;S3&amp;"&gt;sq"&amp;K3&amp;"st"&amp;L3</f>
        <v>48502_1-4/5007&lt;lv70&gt;sq2st2</v>
      </c>
      <c r="B3" s="22">
        <v>48502</v>
      </c>
      <c r="C3" s="21">
        <v>1</v>
      </c>
      <c r="D3" s="2" t="str">
        <f t="shared" ref="D3:D7" si="1">B3&amp;"_"&amp;C3</f>
        <v>48502_1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ヘルシング襲来！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【超絶級】ヘルシング襲来</v>
      </c>
      <c r="G3" s="21">
        <v>4</v>
      </c>
      <c r="H3" s="15" t="str">
        <f t="shared" ref="H3:H7" si="2">B3&amp;"_"&amp;C3&amp;"-"&amp;G3</f>
        <v>48502_1-4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5007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ヘルシング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5">
        <v>4.0999999999999996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5">
        <v>0.9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状態異常耐性+3ターン赤パネル無効</v>
      </c>
      <c r="Z3" s="212">
        <v>48502108</v>
      </c>
      <c r="AA3" s="117">
        <v>2</v>
      </c>
    </row>
    <row r="4" spans="1:27" ht="21" customHeight="1" thickBot="1" x14ac:dyDescent="0.2">
      <c r="A4" s="119" t="str">
        <f t="shared" si="0"/>
        <v>48502_1-4/5008&lt;lv70&gt;sq2st3</v>
      </c>
      <c r="B4" s="120">
        <v>48502</v>
      </c>
      <c r="C4" s="112">
        <v>1</v>
      </c>
      <c r="D4" s="114" t="str">
        <f t="shared" si="1"/>
        <v>48502_1</v>
      </c>
      <c r="E4" s="121" t="str">
        <f ca="1">VLOOKUP($B4,OFFSET([2]quests!$A$1,0,0,COUNTA([2]quests!$A:$A),MATCH(E$1,[2]quests!$1:$1,0)-MATCH($B$1,[2]quests!$1:$1,0)+1),MATCH(E$1,[2]quests!$1:$1,0)-MATCH($B$1,[2]quests!$1:$1,0)+1,FALSE)</f>
        <v>ヘルシング襲来！</v>
      </c>
      <c r="F4" s="121" t="str">
        <f ca="1">VLOOKUP($D4,OFFSET([2]stages!$A$1,0,0,COUNTA([2]stages!$A:$A),MATCH(F$1,[2]stages!$2:$2,0)-MATCH($D$1,[2]stages!$2:$2,0)+1),MATCH(F$1,[2]stages!$2:$2,0)-MATCH($D$1,[2]stages!$2:$2,0)+1,FALSE)</f>
        <v>【超絶級】ヘルシング襲来</v>
      </c>
      <c r="G4" s="112">
        <v>4</v>
      </c>
      <c r="H4" s="114" t="str">
        <f t="shared" si="2"/>
        <v>48502_1-4</v>
      </c>
      <c r="I4" s="121">
        <f ca="1">VLOOKUP($H4,OFFSET(floors!$A$1,0,0,COUNTA(floors!$A:$A),MATCH(I$1,floors!$1:$1,0)-MATCH($H$1,floors!$1:$1,0)+1),MATCH(I$1,floors!$1:$1,0)-MATCH($H$1,floors!$1:$1,0)+1,FALSE)</f>
        <v>60</v>
      </c>
      <c r="J4" s="121">
        <f ca="1">VLOOKUP($H4,OFFSET(floors!$A$1,0,0,COUNTA(floors!$A:$A),MATCH(J$1,floors!$1:$1,0)-MATCH($H$1,floors!$1:$1,0)+1),MATCH(J$1,floors!$1:$1,0)-MATCH($H$1,floors!$1:$1,0)+1,FALSE)</f>
        <v>60</v>
      </c>
      <c r="K4" s="115">
        <v>2</v>
      </c>
      <c r="L4" s="115">
        <v>3</v>
      </c>
      <c r="M4" s="122">
        <v>5008</v>
      </c>
      <c r="N4" s="123" t="str">
        <f ca="1">VLOOKUP($M4,OFFSET([3]enemies!$A$1,0,0,COUNTA([3]enemies!$A:$A),MATCH(N$1,[3]enemies!$1:$1,0)-MATCH($M$1,[3]enemies!$1:$1,0)+1),MATCH(N$1,[3]enemies!$1:$1,0)-MATCH($M$1,[3]enemies!$1:$1,0)+1,FALSE)</f>
        <v>ヘルシング★６</v>
      </c>
      <c r="O4" s="123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23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3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23">
        <f ca="1">VLOOKUP($M4,OFFSET([3]enemies!$A$1,0,0,COUNTA([3]enemies!$A:$A),MATCH(R$1,[3]enemies!$1:$1,0)-MATCH($M$1,[3]enemies!$1:$1,0)+1),MATCH(R$1,[3]enemies!$1:$1,0)-MATCH($M$1,[3]enemies!$1:$1,0)+1,FALSE)</f>
        <v>60</v>
      </c>
      <c r="S4" s="124">
        <v>70</v>
      </c>
      <c r="T4" s="125">
        <v>2.9</v>
      </c>
      <c r="U4" s="12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125">
        <v>0.8</v>
      </c>
      <c r="W4" s="12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124">
        <v>0</v>
      </c>
      <c r="Y4" s="121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4" s="219">
        <v>48502109</v>
      </c>
      <c r="AA4" s="158">
        <v>1</v>
      </c>
    </row>
    <row r="5" spans="1:27" ht="21" customHeight="1" thickTop="1" x14ac:dyDescent="0.15">
      <c r="A5" s="16" t="str">
        <f t="shared" si="0"/>
        <v>48502_2-2/602&lt;lv80&gt;sq3st2</v>
      </c>
      <c r="B5" s="22">
        <v>48502</v>
      </c>
      <c r="C5" s="106">
        <v>2</v>
      </c>
      <c r="D5" s="108" t="str">
        <f t="shared" si="1"/>
        <v>48502_2</v>
      </c>
      <c r="E5" s="4" t="str">
        <f ca="1">VLOOKUP($B5,OFFSET([2]quests!$A$1,0,0,COUNTA([2]quests!$A:$A),MATCH(E$1,[2]quests!$1:$1,0)-MATCH($B$1,[2]quests!$1:$1,0)+1),MATCH(E$1,[2]quests!$1:$1,0)-MATCH($B$1,[2]quests!$1:$1,0)+1,FALSE)</f>
        <v>ヘルシング襲来！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【ウィザード級】ヘルシング襲来</v>
      </c>
      <c r="G5" s="106">
        <v>2</v>
      </c>
      <c r="H5" s="108" t="str">
        <f t="shared" si="2"/>
        <v>48502_2-2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09">
        <v>3</v>
      </c>
      <c r="L5" s="109">
        <v>2</v>
      </c>
      <c r="M5" s="20">
        <v>602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フレイヤ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154">
        <v>80</v>
      </c>
      <c r="T5" s="155">
        <v>3.4</v>
      </c>
      <c r="U5" s="156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288184</v>
      </c>
      <c r="V5" s="155">
        <v>1.4</v>
      </c>
      <c r="W5" s="156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9728.5999999999985</v>
      </c>
      <c r="X5" s="154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5" s="116">
        <v>48502004</v>
      </c>
      <c r="AA5" s="157">
        <v>1</v>
      </c>
    </row>
    <row r="6" spans="1:27" ht="21" customHeight="1" x14ac:dyDescent="0.15">
      <c r="A6" s="16" t="str">
        <f t="shared" si="0"/>
        <v>48502_2-4/5007&lt;lv90&gt;sq4st2</v>
      </c>
      <c r="B6" s="22">
        <v>48502</v>
      </c>
      <c r="C6" s="21">
        <v>2</v>
      </c>
      <c r="D6" s="2" t="str">
        <f t="shared" si="1"/>
        <v>48502_2</v>
      </c>
      <c r="E6" s="4" t="str">
        <f ca="1">VLOOKUP($B6,OFFSET([2]quests!$A$1,0,0,COUNTA([2]quests!$A:$A),MATCH(E$1,[2]quests!$1:$1,0)-MATCH($B$1,[2]quests!$1:$1,0)+1),MATCH(E$1,[2]quests!$1:$1,0)-MATCH($B$1,[2]quests!$1:$1,0)+1,FALSE)</f>
        <v>ヘルシング襲来！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【ウィザード級】ヘルシング襲来</v>
      </c>
      <c r="G6" s="21">
        <v>4</v>
      </c>
      <c r="H6" s="15" t="str">
        <f t="shared" si="2"/>
        <v>48502_2-4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5007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ヘルシング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90</v>
      </c>
      <c r="T6" s="25">
        <v>5.2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5">
        <v>1.6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状態異常耐性+3ターン赤パネル無効</v>
      </c>
      <c r="Z6" s="116">
        <v>48502008</v>
      </c>
      <c r="AA6" s="117">
        <v>2</v>
      </c>
    </row>
    <row r="7" spans="1:27" ht="21" customHeight="1" x14ac:dyDescent="0.15">
      <c r="A7" s="16" t="str">
        <f t="shared" si="0"/>
        <v>48502_2-4/5008&lt;lv90&gt;sq4st3</v>
      </c>
      <c r="B7" s="22">
        <v>48502</v>
      </c>
      <c r="C7" s="21">
        <v>2</v>
      </c>
      <c r="D7" s="2" t="str">
        <f t="shared" si="1"/>
        <v>48502_2</v>
      </c>
      <c r="E7" s="4" t="str">
        <f ca="1">VLOOKUP($B7,OFFSET([2]quests!$A$1,0,0,COUNTA([2]quests!$A:$A),MATCH(E$1,[2]quests!$1:$1,0)-MATCH($B$1,[2]quests!$1:$1,0)+1),MATCH(E$1,[2]quests!$1:$1,0)-MATCH($B$1,[2]quests!$1:$1,0)+1,FALSE)</f>
        <v>ヘルシング襲来！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【ウィザード級】ヘルシング襲来</v>
      </c>
      <c r="G7" s="21">
        <v>4</v>
      </c>
      <c r="H7" s="15" t="str">
        <f t="shared" si="2"/>
        <v>48502_2-4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146">
        <v>5008</v>
      </c>
      <c r="N7" s="159" t="str">
        <f ca="1">VLOOKUP($M7,OFFSET([3]enemies!$A$1,0,0,COUNTA([3]enemies!$A:$A),MATCH(N$1,[3]enemies!$1:$1,0)-MATCH($M$1,[3]enemies!$1:$1,0)+1),MATCH(N$1,[3]enemies!$1:$1,0)-MATCH($M$1,[3]enemies!$1:$1,0)+1,FALSE)</f>
        <v>ヘルシング★６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90</v>
      </c>
      <c r="T7" s="25">
        <v>5.3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25">
        <v>1.5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7" s="116">
        <v>48502009</v>
      </c>
      <c r="AA7" s="117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53" sqref="E5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5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60" si="0">B2&amp;"_"&amp;C2</f>
        <v>48502001_48502001</v>
      </c>
      <c r="B2" s="47">
        <v>48502001</v>
      </c>
      <c r="C2" s="161">
        <v>48502001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[表示しない]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不気味な叫び声が聴こえる…</v>
      </c>
      <c r="F2" s="47">
        <v>48502001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48502001_48502002</v>
      </c>
      <c r="B3" s="47">
        <v>48502001</v>
      </c>
      <c r="C3" s="161">
        <v>48502002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吸血鬼カーミラ…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" s="47">
        <v>48502002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1">B4&amp;"_"&amp;C4</f>
        <v>48502001_48502002</v>
      </c>
      <c r="B4" s="47">
        <v>48502001</v>
      </c>
      <c r="C4" s="161">
        <v>48502002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吸血鬼カーミラ…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161">
        <v>48502102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48502001_48502003</v>
      </c>
      <c r="B5" s="47">
        <v>48502001</v>
      </c>
      <c r="C5" s="161">
        <v>48502003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縫合痕・修復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青パネルを吸収して全体回復(最大10個)</v>
      </c>
      <c r="F5" s="47">
        <v>48502003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47"/>
      <c r="Q5" s="47"/>
      <c r="R5" s="47"/>
    </row>
    <row r="6" spans="1:18" ht="21" customHeight="1" x14ac:dyDescent="0.15">
      <c r="A6" s="39" t="str">
        <f t="shared" si="0"/>
        <v>48502001_48502004</v>
      </c>
      <c r="B6" s="47">
        <v>48502001</v>
      </c>
      <c r="C6" s="161">
        <v>48502004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暴走ステッチ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7">
        <v>48502004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0"/>
        <v>48502002_48502005</v>
      </c>
      <c r="B7" s="47">
        <v>48502002</v>
      </c>
      <c r="C7" s="47">
        <v>48502005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[表示しない]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アバター達の様子がおかしい…</v>
      </c>
      <c r="F7" s="47">
        <v>48502005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48502002_48502006</v>
      </c>
      <c r="B8" s="47">
        <v>48502002</v>
      </c>
      <c r="C8" s="47">
        <v>48502006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彼女達を助けに来たの…？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47">
        <v>48502006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2">B9&amp;"_"&amp;C9</f>
        <v>48502002_48502006</v>
      </c>
      <c r="B9" s="47">
        <v>48502002</v>
      </c>
      <c r="C9" s="47">
        <v>48502006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彼女達を助けに来たの…？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" s="161">
        <v>48502106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48502002_48502007</v>
      </c>
      <c r="B10" s="47">
        <v>48502002</v>
      </c>
      <c r="C10" s="47">
        <v>48502007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ウィルスファイル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10" s="47">
        <v>48502007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" s="47"/>
      <c r="Q10" s="47"/>
      <c r="R10" s="47"/>
    </row>
    <row r="11" spans="1:18" ht="21" customHeight="1" x14ac:dyDescent="0.15">
      <c r="A11" s="39" t="str">
        <f t="shared" si="0"/>
        <v>48502002_48502008</v>
      </c>
      <c r="B11" s="47">
        <v>48502002</v>
      </c>
      <c r="C11" s="47">
        <v>48502008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暴走コア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48502008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1" s="47"/>
      <c r="Q11" s="47"/>
      <c r="R11" s="47"/>
    </row>
    <row r="12" spans="1:18" ht="21" customHeight="1" x14ac:dyDescent="0.15">
      <c r="A12" s="39" t="str">
        <f t="shared" si="0"/>
        <v>48502003_48502009</v>
      </c>
      <c r="B12" s="47">
        <v>48502003</v>
      </c>
      <c r="C12" s="161">
        <v>48502009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ぁ…助け……う…ぅぅうぅ…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12" s="47">
        <v>48502009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48502003_48502010</v>
      </c>
      <c r="B13" s="47">
        <v>48502003</v>
      </c>
      <c r="C13" s="161">
        <v>48502010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ぁ…助けて…カーミラ…ぅぅうぅ…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13" s="47">
        <v>48502010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3">B14&amp;"_"&amp;C14</f>
        <v>48502003_48502010</v>
      </c>
      <c r="B14" s="47">
        <v>48502003</v>
      </c>
      <c r="C14" s="161">
        <v>48502010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ぁ…助けて…カーミラ…ぅぅうぅ…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14" s="161">
        <v>48502110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48502003_48502011</v>
      </c>
      <c r="B15" s="47">
        <v>48502003</v>
      </c>
      <c r="C15" s="161">
        <v>48502011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もう…もう注射はイヤ…なの…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15" s="47">
        <v>48502011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48502003_48502012</v>
      </c>
      <c r="B16" s="47">
        <v>48502003</v>
      </c>
      <c r="C16" s="161">
        <v>48502012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体が…いうコト…きかナイ！！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2ターン強力なカウンター+残りHPの40%ダメージ！</v>
      </c>
      <c r="F16" s="47">
        <v>48502012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48502003_48502013</v>
      </c>
      <c r="B17" s="47">
        <v>48502003</v>
      </c>
      <c r="C17" s="161">
        <v>48502013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…やだ…痛いのイヤ…！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2ターン全ユニットの攻撃力40%DOWN+単体攻撃</v>
      </c>
      <c r="F17" s="47">
        <v>48502013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48502003_48502014</v>
      </c>
      <c r="B18" s="47">
        <v>48502003</v>
      </c>
      <c r="C18" s="161">
        <v>48502014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《カプセル投与》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2回連続攻撃+_x000D_属性パネルをパネルプロテクト(最大7個)</v>
      </c>
      <c r="F18" s="47">
        <v>48502014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58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58</v>
      </c>
      <c r="P18" s="47"/>
      <c r="Q18" s="47"/>
      <c r="R18" s="47"/>
    </row>
    <row r="19" spans="1:18" ht="21" customHeight="1" x14ac:dyDescent="0.15">
      <c r="A19" s="39" t="str">
        <f t="shared" si="0"/>
        <v>48502003_48502015</v>
      </c>
      <c r="B19" s="47">
        <v>48502003</v>
      </c>
      <c r="C19" s="161">
        <v>48502015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教授ノ…実験…私…私ハ…！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19" s="47">
        <v>48502015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19" s="47"/>
      <c r="Q19" s="47"/>
      <c r="R19" s="47"/>
    </row>
    <row r="20" spans="1:18" ht="21" customHeight="1" x14ac:dyDescent="0.15">
      <c r="A20" s="39" t="str">
        <f t="shared" si="0"/>
        <v>48502004_48502016</v>
      </c>
      <c r="B20" s="47">
        <v>48502004</v>
      </c>
      <c r="C20" s="47">
        <v>48502016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ダ…め…逃ゲて…！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47">
        <v>48502016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48502004_48502017</v>
      </c>
      <c r="B21" s="47">
        <v>48502004</v>
      </c>
      <c r="C21" s="47">
        <v>48502017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《伝播性ウィルス拡散》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5ターン超強力なウィルス</v>
      </c>
      <c r="F21" s="47">
        <v>48502017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48502004_48502018</v>
      </c>
      <c r="B22" s="47">
        <v>48502004</v>
      </c>
      <c r="C22" s="47">
        <v>48502018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ア…なにこれ…意識…ガ…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22" s="47">
        <v>48502018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48502004_48502019</v>
      </c>
      <c r="B23" s="47">
        <v>48502004</v>
      </c>
      <c r="C23" s="47">
        <v>48502019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ぅ…ぅぅ…あ…アアアアッッッ！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23" s="47">
        <v>48502019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48502004_48502020</v>
      </c>
      <c r="B24" s="47">
        <v>48502004</v>
      </c>
      <c r="C24" s="47">
        <v>48502020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ァ…ネコ…最強ナ…ノ…ァァァ…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ハートパネルプロテクト+2回連続攻撃</v>
      </c>
      <c r="F24" s="47">
        <v>48502020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48502004_48502021</v>
      </c>
      <c r="B25" s="47">
        <v>48502004</v>
      </c>
      <c r="C25" s="47">
        <v>48502021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ぜんぶ…ゼンブホシいノ…！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25" s="47">
        <v>48502021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48502004_48502022</v>
      </c>
      <c r="B26" s="47">
        <v>48502004</v>
      </c>
      <c r="C26" s="47">
        <v>48502022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フフ…仲間ニシテアゲル！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2ターン強力なウィルス+3回連続攻撃</v>
      </c>
      <c r="F26" s="47">
        <v>48502022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0"/>
        <v>48502004_48502023</v>
      </c>
      <c r="B27" s="47">
        <v>48502004</v>
      </c>
      <c r="C27" s="47">
        <v>48502023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《トランキライザー投与》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ハートパネルプロテクト+2回連続攻撃</v>
      </c>
      <c r="F27" s="47">
        <v>48502023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27" s="47"/>
      <c r="Q27" s="47"/>
      <c r="R27" s="47"/>
    </row>
    <row r="28" spans="1:18" ht="21" customHeight="1" x14ac:dyDescent="0.15">
      <c r="A28" s="39" t="str">
        <f t="shared" si="0"/>
        <v>48502005_48502026</v>
      </c>
      <c r="B28" s="47">
        <v>48502005</v>
      </c>
      <c r="C28" s="161">
        <v>48502026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ぅぅ…_x000D_戦いたく…ないのに…！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7">
        <v>48502026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48502005_48502027</v>
      </c>
      <c r="B29" s="47">
        <v>48502005</v>
      </c>
      <c r="C29" s="161">
        <v>48502027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どう…して…_x000D_体が勝手に…！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29" s="47">
        <v>48502027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9" s="47"/>
      <c r="Q29" s="47"/>
      <c r="R29" s="47"/>
    </row>
    <row r="30" spans="1:18" ht="21" customHeight="1" x14ac:dyDescent="0.15">
      <c r="A30" s="39" t="str">
        <f t="shared" si="0"/>
        <v>48502005_48502028</v>
      </c>
      <c r="B30" s="47">
        <v>48502005</v>
      </c>
      <c r="C30" s="161">
        <v>48502028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《思考データ消去中》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30" s="47">
        <v>48502028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0" s="47"/>
      <c r="Q30" s="47"/>
      <c r="R30" s="47"/>
    </row>
    <row r="31" spans="1:18" ht="21" customHeight="1" x14ac:dyDescent="0.15">
      <c r="A31" s="39" t="str">
        <f t="shared" si="0"/>
        <v>48502005_48502029</v>
      </c>
      <c r="B31" s="47">
        <v>48502005</v>
      </c>
      <c r="C31" s="161">
        <v>48502029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ダメ…！_x000D_避けて下さい…ッ！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1" s="47">
        <v>48502029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31" s="47"/>
      <c r="Q31" s="47"/>
      <c r="R31" s="47"/>
    </row>
    <row r="32" spans="1:18" ht="21" customHeight="1" x14ac:dyDescent="0.15">
      <c r="A32" s="39" t="str">
        <f t="shared" si="0"/>
        <v>48502005_48502030</v>
      </c>
      <c r="B32" s="47">
        <v>48502005</v>
      </c>
      <c r="C32" s="161">
        <v>48502030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ぅぅ…ダメ…_x000D_にげなきゃ…！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32" s="47">
        <v>48502030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48502005_48502031</v>
      </c>
      <c r="B33" s="47">
        <v>48502005</v>
      </c>
      <c r="C33" s="161">
        <v>48502031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あ…ア…にげて…_x000D_ニゲてクダサ…イ……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　《思考データ消去完了》_x000D_【次のターンに激烈攻撃！】</v>
      </c>
      <c r="F33" s="47">
        <v>48502031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48502005_48502032</v>
      </c>
      <c r="B34" s="47">
        <v>48502005</v>
      </c>
      <c r="C34" s="161">
        <v>48502032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《--強制終了--》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激烈固定ダメージ！</v>
      </c>
      <c r="F34" s="47">
        <v>48502032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48502006_48502036</v>
      </c>
      <c r="B35" s="169">
        <v>48502006</v>
      </c>
      <c r="C35" s="169">
        <v>48502036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《アップデート中…》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状態異常耐性+2ターンハートパネルドロップ率UP</v>
      </c>
      <c r="F35" s="47">
        <v>48502036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48502006_48502037</v>
      </c>
      <c r="B36" s="47">
        <v>48502006</v>
      </c>
      <c r="C36" s="47">
        <v>48502037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なぜだ…_x000D_制御できない…！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5ターン全ユニットの攻撃力50%DOWN+全体攻撃</v>
      </c>
      <c r="F36" s="47">
        <v>48502037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0"/>
        <v>48502006_48502038</v>
      </c>
      <c r="B37" s="47">
        <v>48502006</v>
      </c>
      <c r="C37" s="47">
        <v>48502038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ノイズが…強く…！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2ターン暗闇+赤パネルプロテクト</v>
      </c>
      <c r="F37" s="47">
        <v>48502038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48502006_48502039</v>
      </c>
      <c r="B38" s="47">
        <v>48502006</v>
      </c>
      <c r="C38" s="47">
        <v>48502039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《思考データ上書き中》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38" s="47">
        <v>48502039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48502006_48502040</v>
      </c>
      <c r="B39" s="47">
        <v>48502006</v>
      </c>
      <c r="C39" s="47">
        <v>48502040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《データアウトプット》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3ターン強力なウィルス+2回連続攻撃</v>
      </c>
      <c r="F39" s="47">
        <v>48502040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48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48</v>
      </c>
      <c r="P39" s="47"/>
      <c r="Q39" s="47"/>
      <c r="R39" s="47"/>
    </row>
    <row r="40" spans="1:18" ht="21" customHeight="1" x14ac:dyDescent="0.15">
      <c r="A40" s="39" t="str">
        <f t="shared" si="0"/>
        <v>48502006_48502041</v>
      </c>
      <c r="B40" s="47">
        <v>48502006</v>
      </c>
      <c r="C40" s="47">
        <v>48502041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《放電モード》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属性パネルを黄パネルに最大8個変換+全体攻撃</v>
      </c>
      <c r="F40" s="47">
        <v>48502041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40" s="47"/>
      <c r="Q40" s="47"/>
      <c r="R40" s="47"/>
    </row>
    <row r="41" spans="1:18" ht="21" customHeight="1" x14ac:dyDescent="0.15">
      <c r="A41" s="39" t="str">
        <f t="shared" si="0"/>
        <v>48502007_48502045</v>
      </c>
      <c r="B41" s="169">
        <v>48502007</v>
      </c>
      <c r="C41" s="161">
        <v>48502045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ほう、珍しい！客人じゃないか！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状態異常耐性+残りHPの50%ダメージ！</v>
      </c>
      <c r="F41" s="47">
        <v>48502045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48502007_48502046</v>
      </c>
      <c r="B42" s="47">
        <v>48502007</v>
      </c>
      <c r="C42" s="161">
        <v>48502046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ああ、カーミラ！_x000D_まさかお前から来てくれるとはな！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さあ、俺に最高の真理をもたらしてくれ！_x000D_【状態異常耐性+残りHPの50%ダメージ！】</v>
      </c>
      <c r="F42" s="47">
        <v>48502046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4">B43&amp;"_"&amp;C43</f>
        <v>48502007_48502046</v>
      </c>
      <c r="B43" s="47">
        <v>48502007</v>
      </c>
      <c r="C43" s="161">
        <v>48502046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ああ、カーミラ！_x000D_まさかお前から来てくれるとはな！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さあ、俺に最高の真理をもたらしてくれ！_x000D_【状態異常耐性+残りHPの50%ダメージ！】</v>
      </c>
      <c r="F43" s="161">
        <v>48502146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48502007_48502048</v>
      </c>
      <c r="B44" s="169">
        <v>48502007</v>
      </c>
      <c r="C44" s="161">
        <v>48502048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見たかい、俺の天使達を！_x000D_素晴らしいカスタマイズだったろう！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44" s="47">
        <v>48502048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48502007_48502049</v>
      </c>
      <c r="B45" s="47">
        <v>48502007</v>
      </c>
      <c r="C45" s="161">
        <v>48502049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さあ、歓迎してやろう！_x000D_自動迎撃システム起動！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1ターン超強力なカウンター+全体攻撃</v>
      </c>
      <c r="F45" s="47">
        <v>48502049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48502007_48502050</v>
      </c>
      <c r="B46" s="47">
        <v>48502007</v>
      </c>
      <c r="C46" s="161">
        <v>48502050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どうだい？暗闇は怖いかい？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5ターン全ユニットの攻撃力50%DOWN+_x000D_2ターン暗闇+2回連続攻撃</v>
      </c>
      <c r="F46" s="47">
        <v>48502050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48502007_48502051</v>
      </c>
      <c r="B47" s="47">
        <v>48502007</v>
      </c>
      <c r="C47" s="161">
        <v>48502051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よし！お前もカスタマイズしてやろう！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3ターン全ユニットのタップ回数を1DOWN+全体攻撃</v>
      </c>
      <c r="F47" s="47">
        <v>48502051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48502007_48502052</v>
      </c>
      <c r="B48" s="47">
        <v>48502007</v>
      </c>
      <c r="C48" s="161">
        <v>48502052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ははは！その虚勢はどこまで続くかな？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2ターン超強力なカウンター+残りHPの80%ダメージ！</v>
      </c>
      <c r="F48" s="47">
        <v>48502052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48502008_48502053</v>
      </c>
      <c r="B49" s="47">
        <v>48502008</v>
      </c>
      <c r="C49" s="169">
        <v>48502053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へぇ、やるじゃないか！_x000D_ますます興味がわいてきたぞ…！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状態異常耐性+3ターン赤パネル無効</v>
      </c>
      <c r="F49" s="47">
        <v>48502053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48502008_48502054</v>
      </c>
      <c r="B50" s="47">
        <v>48502008</v>
      </c>
      <c r="C50" s="47">
        <v>48502054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伝播性ウィルス拡散！耐えられるかい？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3ターン超強力なウィルス+全体攻撃</v>
      </c>
      <c r="F50" s="47">
        <v>48502054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48502008_48502055</v>
      </c>
      <c r="B51" s="47">
        <v>48502008</v>
      </c>
      <c r="C51" s="47">
        <v>48502055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自動迎撃システム再起動！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2ターン超強力なカウンター+単体攻撃+_x000D_攻撃頻度UP</v>
      </c>
      <c r="F51" s="47">
        <v>48502055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48502008_48502056</v>
      </c>
      <c r="B52" s="47">
        <v>48502008</v>
      </c>
      <c r="C52" s="47">
        <v>48502056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ああ、ああ、お前は本当に強いな！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赤パネルと青パネルを吸収して攻撃</v>
      </c>
      <c r="F52" s="47">
        <v>48502056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48502008_48502057</v>
      </c>
      <c r="B53" s="47">
        <v>48502008</v>
      </c>
      <c r="C53" s="47">
        <v>48502057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ぜひとも解剖させてくれ！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属性パネルを赤パネルに最大13個変換+_x000D_11666固定ダメージ</v>
      </c>
      <c r="F53" s="47">
        <v>48502057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48502008_48502058</v>
      </c>
      <c r="B54" s="47">
        <v>48502008</v>
      </c>
      <c r="C54" s="47">
        <v>48502058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俺の実験台になりたくないかい？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赤パネルプロテクト+4回連続攻撃</v>
      </c>
      <c r="F54" s="47">
        <v>48502058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48502008_48502059</v>
      </c>
      <c r="B55" s="47">
        <v>48502008</v>
      </c>
      <c r="C55" s="47">
        <v>48502059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はははは！強情だなあ！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赤パネルと青パネルを吸収して攻撃</v>
      </c>
      <c r="F55" s="47">
        <v>48502059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48502008_48502060</v>
      </c>
      <c r="B56" s="47">
        <v>48502008</v>
      </c>
      <c r="C56" s="47">
        <v>48502060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いいさ…力尽くで奪うだけだ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2ターン強力なウィルス+単体攻撃</v>
      </c>
      <c r="F56" s="47">
        <v>48502060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0"/>
        <v>48502009_48502061</v>
      </c>
      <c r="B57" s="47">
        <v>48502009</v>
      </c>
      <c r="C57" s="161">
        <v>48502061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よし…！_x000D_ついにお前の戦闘データを完璧に解析したぞ！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7" s="47">
        <v>48502061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0"/>
        <v>48502009_48502062</v>
      </c>
      <c r="B58" s="47">
        <v>48502009</v>
      </c>
      <c r="C58" s="161">
        <v>48502062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わかるように言ってやろうか？_x000D_つまり…お前はここで負けるのさ！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ハートパネルプロテクト+単体攻撃</v>
      </c>
      <c r="F58" s="47">
        <v>48502062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48502009_48502063</v>
      </c>
      <c r="B59" s="47">
        <v>48502009</v>
      </c>
      <c r="C59" s="161">
        <v>48502063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お前の動きは全て予測可能！_x000D_全てを跳ね返してやろう！！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解除するまで超強力なカウンター</v>
      </c>
      <c r="F59" s="47">
        <v>48502063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0"/>
        <v>48502009_48502064</v>
      </c>
      <c r="B60" s="47">
        <v>48502009</v>
      </c>
      <c r="C60" s="161">
        <v>48502064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さあ、おとなしく屈服してみせろ！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60" s="47">
        <v>48502064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ref="A61:A119" si="5">B61&amp;"_"&amp;C61</f>
        <v>48502009_48502065</v>
      </c>
      <c r="B61" s="47">
        <v>48502009</v>
      </c>
      <c r="C61" s="161">
        <v>48502065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よし…いい子だ…_x000D_俺のモノになってくれるかい？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次のターン激烈固定ダメージ！</v>
      </c>
      <c r="F61" s="47">
        <v>48502065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5"/>
        <v>48502009_48502066</v>
      </c>
      <c r="B62" s="47">
        <v>48502009</v>
      </c>
      <c r="C62" s="161">
        <v>48502066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あっはは！ようこそ、我が研究所へ！_x000D_さあ…どこから解剖しようか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激烈固定ダメージ！</v>
      </c>
      <c r="F62" s="47">
        <v>48502066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5"/>
        <v>48502009_48502067</v>
      </c>
      <c r="B63" s="47">
        <v>48502009</v>
      </c>
      <c r="C63" s="161">
        <v>48502067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ぐっ…そんな…馬鹿な…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俺の解析結果を上回るとは…面白い…！_x000D_次こそは必ず…俺のモノに…！</v>
      </c>
      <c r="F63" s="47">
        <v>48502067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5"/>
        <v>48502009_48502068</v>
      </c>
      <c r="B64" s="47">
        <v>48502009</v>
      </c>
      <c r="C64" s="161">
        <v>48502068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はは…噂通りの強さだな…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伝説のアンデッド…吸血鬼カーミラ…！_x000D_お前は本当に素晴らしい存在だ…次こそは必ず…！</v>
      </c>
      <c r="F64" s="47">
        <v>48502068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710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" si="6">B65&amp;"_"&amp;C65</f>
        <v>48502009_48502068</v>
      </c>
      <c r="B65" s="47">
        <v>48502009</v>
      </c>
      <c r="C65" s="161">
        <v>48502068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はは…噂通りの強さだな…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伝説のアンデッド…吸血鬼カーミラ…！_x000D_お前は本当に素晴らしい存在だ…次こそは必ず…！</v>
      </c>
      <c r="F65" s="161">
        <v>48502168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720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thickBot="1" x14ac:dyDescent="0.2">
      <c r="A66" s="39" t="str">
        <f t="shared" si="5"/>
        <v>48502009_48502069</v>
      </c>
      <c r="B66" s="225">
        <v>48502009</v>
      </c>
      <c r="C66" s="226">
        <v>48502069</v>
      </c>
      <c r="D66" s="227" t="str">
        <f ca="1">VLOOKUP($C66,OFFSET(enemy_skills!$A$1,0,0,COUNTA(enemy_skills!$A:$A),MATCH(D$1,enemy_skills!$1:$1,0)-MATCH("enemy_skill_id",enemy_skills!$1:$1,0)+1),MATCH(D$1,enemy_skills!$1:$1,0)-MATCH("enemy_skill_id",enemy_skills!$1:$1,0)+1,FALSE)</f>
        <v>見せてくれよ！お前の全てを…！</v>
      </c>
      <c r="E66" s="227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単体攻撃</v>
      </c>
      <c r="F66" s="225">
        <v>48502069</v>
      </c>
      <c r="G66" s="22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228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22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22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22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22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22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22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22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thickTop="1" x14ac:dyDescent="0.15">
      <c r="A67" s="39" t="str">
        <f t="shared" si="5"/>
        <v>48502101_48502001</v>
      </c>
      <c r="B67" s="220">
        <v>48502101</v>
      </c>
      <c r="C67" s="221">
        <v>48502001</v>
      </c>
      <c r="D67" s="22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[表示しない]</v>
      </c>
      <c r="E67" s="22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不気味な叫び声が聴こえる…</v>
      </c>
      <c r="F67" s="223">
        <v>48502001</v>
      </c>
      <c r="G67" s="224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224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7" s="224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224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224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224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224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224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224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5"/>
        <v>48502101_48502002</v>
      </c>
      <c r="B68" s="208">
        <v>48502101</v>
      </c>
      <c r="C68" s="169">
        <v>48502002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吸血鬼カーミラ…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8" s="47">
        <v>48502002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" si="7">B69&amp;"_"&amp;C69</f>
        <v>48502101_48502002</v>
      </c>
      <c r="B69" s="208">
        <v>48502101</v>
      </c>
      <c r="C69" s="169">
        <v>48502002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吸血鬼カーミラ…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9" s="161">
        <v>48502102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5"/>
        <v>48502101_48502003</v>
      </c>
      <c r="B70" s="208">
        <v>48502101</v>
      </c>
      <c r="C70" s="169">
        <v>48502003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縫合痕・修復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青パネルを吸収して全体回復(最大10個)</v>
      </c>
      <c r="F70" s="47">
        <v>48502003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0" s="47"/>
      <c r="Q70" s="47"/>
      <c r="R70" s="47"/>
    </row>
    <row r="71" spans="1:18" ht="21" customHeight="1" x14ac:dyDescent="0.15">
      <c r="A71" s="39" t="str">
        <f t="shared" si="5"/>
        <v>48502101_48502104</v>
      </c>
      <c r="B71" s="208">
        <v>48502101</v>
      </c>
      <c r="C71" s="209">
        <v>48502104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暴走ステッチ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1" s="47">
        <v>48502004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1" s="47"/>
      <c r="Q71" s="47"/>
      <c r="R71" s="47"/>
    </row>
    <row r="72" spans="1:18" ht="21" customHeight="1" x14ac:dyDescent="0.15">
      <c r="A72" s="39" t="str">
        <f t="shared" si="5"/>
        <v>48502102_48502005</v>
      </c>
      <c r="B72" s="47">
        <v>48502102</v>
      </c>
      <c r="C72" s="47">
        <v>48502005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[表示しない]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アバター達の様子がおかしい…</v>
      </c>
      <c r="F72" s="47">
        <v>48502005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5"/>
        <v>48502102_48502006</v>
      </c>
      <c r="B73" s="47">
        <v>48502102</v>
      </c>
      <c r="C73" s="47">
        <v>48502006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彼女達を助けに来たの…？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" s="47">
        <v>48502006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ref="A74" si="8">B74&amp;"_"&amp;C74</f>
        <v>48502102_48502006</v>
      </c>
      <c r="B74" s="47">
        <v>48502102</v>
      </c>
      <c r="C74" s="47">
        <v>48502006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彼女達を助けに来たの…？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" s="161">
        <v>48502106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5"/>
        <v>48502102_48502107</v>
      </c>
      <c r="B75" s="47">
        <v>48502102</v>
      </c>
      <c r="C75" s="209">
        <v>48502107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ウィルスファイル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75" s="47">
        <v>48502007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5" s="47"/>
      <c r="Q75" s="47"/>
      <c r="R75" s="47"/>
    </row>
    <row r="76" spans="1:18" ht="21" customHeight="1" x14ac:dyDescent="0.15">
      <c r="A76" s="39" t="str">
        <f t="shared" si="5"/>
        <v>48502102_48502108</v>
      </c>
      <c r="B76" s="169">
        <v>48502102</v>
      </c>
      <c r="C76" s="209">
        <v>48502108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暴走コア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6" s="47">
        <v>48502008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6" s="47"/>
      <c r="Q76" s="47"/>
      <c r="R76" s="47"/>
    </row>
    <row r="77" spans="1:18" ht="21" customHeight="1" x14ac:dyDescent="0.15">
      <c r="A77" s="39" t="str">
        <f t="shared" si="5"/>
        <v>48502103_48502009</v>
      </c>
      <c r="B77" s="208">
        <v>48502103</v>
      </c>
      <c r="C77" s="169">
        <v>48502009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ぁ…助け……う…ぅぅうぅ…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77" s="47">
        <v>48502009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5"/>
        <v>48502103_48502010</v>
      </c>
      <c r="B78" s="208">
        <v>48502103</v>
      </c>
      <c r="C78" s="169">
        <v>48502010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ぁ…助けて…カーミラ…ぅぅうぅ…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78" s="47">
        <v>48502010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ref="A79" si="9">B79&amp;"_"&amp;C79</f>
        <v>48502103_48502010</v>
      </c>
      <c r="B79" s="208">
        <v>48502103</v>
      </c>
      <c r="C79" s="169">
        <v>48502010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ぁ…助けて…カーミラ…ぅぅうぅ…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様子がおかしい…</v>
      </c>
      <c r="F79" s="161">
        <v>48502110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5"/>
        <v>48502103_48502011</v>
      </c>
      <c r="B80" s="208">
        <v>48502103</v>
      </c>
      <c r="C80" s="169">
        <v>48502011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もう…もう注射はイヤ…なの…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80" s="47">
        <v>48502011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5"/>
        <v>48502103_48502112</v>
      </c>
      <c r="B81" s="208">
        <v>48502103</v>
      </c>
      <c r="C81" s="209">
        <v>48502112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体が…いうコト…きかナイ！！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2ターン強力なカウンター+残りHPの30%ダメージ！</v>
      </c>
      <c r="F81" s="47">
        <v>48502012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5"/>
        <v>48502103_48502013</v>
      </c>
      <c r="B82" s="208">
        <v>48502103</v>
      </c>
      <c r="C82" s="169">
        <v>48502013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…やだ…痛いのイヤ…！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2ターン全ユニットの攻撃力40%DOWN+単体攻撃</v>
      </c>
      <c r="F82" s="47">
        <v>48502013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5"/>
        <v>48502103_48502114</v>
      </c>
      <c r="B83" s="208">
        <v>48502103</v>
      </c>
      <c r="C83" s="209">
        <v>48502114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《カプセル投与》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2回連続攻撃+_x000D_属性パネルをパネルプロテクト(最大4個)</v>
      </c>
      <c r="F83" s="47">
        <v>48502014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58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58</v>
      </c>
      <c r="P83" s="47"/>
      <c r="Q83" s="47"/>
      <c r="R83" s="47"/>
    </row>
    <row r="84" spans="1:18" ht="21" customHeight="1" x14ac:dyDescent="0.15">
      <c r="A84" s="39" t="str">
        <f t="shared" si="5"/>
        <v>48502103_48502015</v>
      </c>
      <c r="B84" s="208">
        <v>48502103</v>
      </c>
      <c r="C84" s="169">
        <v>48502015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教授ノ…実験…私…私ハ…！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84" s="47">
        <v>48502015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84" s="47"/>
      <c r="Q84" s="47"/>
      <c r="R84" s="47"/>
    </row>
    <row r="85" spans="1:18" ht="21" customHeight="1" x14ac:dyDescent="0.15">
      <c r="A85" s="39" t="str">
        <f t="shared" si="5"/>
        <v>48502104_48502016</v>
      </c>
      <c r="B85" s="47">
        <v>48502104</v>
      </c>
      <c r="C85" s="47">
        <v>48502016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ダ…め…逃ゲて…！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5" s="47">
        <v>48502016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5"/>
        <v>48502104_48502117</v>
      </c>
      <c r="B86" s="47">
        <v>48502104</v>
      </c>
      <c r="C86" s="209">
        <v>48502117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《伝播性ウィルス拡散》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3ターンウィルス</v>
      </c>
      <c r="F86" s="47">
        <v>48502017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5"/>
        <v>48502104_48502018</v>
      </c>
      <c r="B87" s="47">
        <v>48502104</v>
      </c>
      <c r="C87" s="47">
        <v>48502018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ア…なにこれ…意識…ガ…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87" s="47">
        <v>48502018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5"/>
        <v>48502104_48502019</v>
      </c>
      <c r="B88" s="47">
        <v>48502104</v>
      </c>
      <c r="C88" s="47">
        <v>48502019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ぅ…ぅぅ…あ…アアアアッッッ！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88" s="47">
        <v>48502019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5"/>
        <v>48502104_48502020</v>
      </c>
      <c r="B89" s="47">
        <v>48502104</v>
      </c>
      <c r="C89" s="47">
        <v>48502020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ァ…ネコ…最強ナ…ノ…ァァァ…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ハートパネルプロテクト+2回連続攻撃</v>
      </c>
      <c r="F89" s="47">
        <v>48502020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5"/>
        <v>48502104_48502121</v>
      </c>
      <c r="B90" s="47">
        <v>48502104</v>
      </c>
      <c r="C90" s="209">
        <v>48502121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ぜんぶ…ゼンブホシいノ…！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90" s="47">
        <v>48502021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5"/>
        <v>48502104_48502122</v>
      </c>
      <c r="B91" s="47">
        <v>48502104</v>
      </c>
      <c r="C91" s="209">
        <v>48502122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フフ…仲間ニシテアゲル！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2ターンウィルス+3回連続攻撃</v>
      </c>
      <c r="F91" s="47">
        <v>48502022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 t="str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1" s="47"/>
      <c r="Q91" s="47"/>
      <c r="R91" s="47"/>
    </row>
    <row r="92" spans="1:18" ht="21" customHeight="1" x14ac:dyDescent="0.15">
      <c r="A92" s="39" t="str">
        <f t="shared" si="5"/>
        <v>48502104_48502023</v>
      </c>
      <c r="B92" s="47">
        <v>48502104</v>
      </c>
      <c r="C92" s="47">
        <v>48502023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《トランキライザー投与》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ハートパネルプロテクト+2回連続攻撃</v>
      </c>
      <c r="F92" s="47">
        <v>48502023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92" s="47"/>
      <c r="Q92" s="47"/>
      <c r="R92" s="47"/>
    </row>
    <row r="93" spans="1:18" ht="21" customHeight="1" x14ac:dyDescent="0.15">
      <c r="A93" s="39" t="str">
        <f t="shared" si="5"/>
        <v>48502105_48502026</v>
      </c>
      <c r="B93" s="208">
        <v>48502105</v>
      </c>
      <c r="C93" s="169">
        <v>48502026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ぅぅ…_x000D_戦いたく…ないのに…！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3" s="47">
        <v>48502026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5"/>
        <v>48502105_48502127</v>
      </c>
      <c r="B94" s="208">
        <v>48502105</v>
      </c>
      <c r="C94" s="209">
        <v>48502127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どう…して…_x000D_体が勝手に…！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5000固定ダメージ</v>
      </c>
      <c r="F94" s="47">
        <v>48502027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94" s="47"/>
      <c r="Q94" s="47"/>
      <c r="R94" s="47"/>
    </row>
    <row r="95" spans="1:18" ht="21" customHeight="1" x14ac:dyDescent="0.15">
      <c r="A95" s="39" t="str">
        <f t="shared" si="5"/>
        <v>48502105_48502128</v>
      </c>
      <c r="B95" s="208">
        <v>48502105</v>
      </c>
      <c r="C95" s="209">
        <v>48502128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《思考データ消去中》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95" s="47">
        <v>48502028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5" s="47"/>
      <c r="Q95" s="47"/>
      <c r="R95" s="47"/>
    </row>
    <row r="96" spans="1:18" ht="21" customHeight="1" x14ac:dyDescent="0.15">
      <c r="A96" s="39" t="str">
        <f t="shared" si="5"/>
        <v>48502105_48502029</v>
      </c>
      <c r="B96" s="208">
        <v>48502105</v>
      </c>
      <c r="C96" s="169">
        <v>48502029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ダメ…！_x000D_避けて下さい…ッ！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6" s="47">
        <v>48502029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96" s="47"/>
      <c r="Q96" s="47"/>
      <c r="R96" s="47"/>
    </row>
    <row r="97" spans="1:18" ht="21" customHeight="1" x14ac:dyDescent="0.15">
      <c r="A97" s="39" t="str">
        <f t="shared" si="5"/>
        <v>48502105_48502030</v>
      </c>
      <c r="B97" s="208">
        <v>48502105</v>
      </c>
      <c r="C97" s="169">
        <v>48502030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ぅぅ…ダメ…_x000D_にげなきゃ…！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97" s="47">
        <v>48502030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5"/>
        <v>48502105_48502031</v>
      </c>
      <c r="B98" s="208">
        <v>48502105</v>
      </c>
      <c r="C98" s="169">
        <v>48502031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あ…ア…にげて…_x000D_ニゲてクダサ…イ……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　《思考データ消去完了》_x000D_【次のターンに激烈攻撃！】</v>
      </c>
      <c r="F98" s="47">
        <v>48502031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5"/>
        <v>48502105_48502032</v>
      </c>
      <c r="B99" s="208">
        <v>48502105</v>
      </c>
      <c r="C99" s="169">
        <v>48502032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《--強制終了--》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激烈固定ダメージ！</v>
      </c>
      <c r="F99" s="47">
        <v>48502032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5"/>
        <v>48502107_48502045</v>
      </c>
      <c r="B100" s="169">
        <v>48502107</v>
      </c>
      <c r="C100" s="169">
        <v>48502045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ほう、珍しい！客人じゃないか！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状態異常耐性+残りHPの50%ダメージ！</v>
      </c>
      <c r="F100" s="47">
        <v>48502045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5"/>
        <v>48502107_48502046</v>
      </c>
      <c r="B101" s="169">
        <v>48502107</v>
      </c>
      <c r="C101" s="169">
        <v>48502046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ああ、カーミラ！_x000D_まさかお前から来てくれるとはな！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さあ、俺に最高の真理をもたらしてくれ！_x000D_【状態異常耐性+残りHPの50%ダメージ！】</v>
      </c>
      <c r="F101" s="47">
        <v>48502046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ref="A102" si="10">B102&amp;"_"&amp;C102</f>
        <v>48502107_48502046</v>
      </c>
      <c r="B102" s="169">
        <v>48502107</v>
      </c>
      <c r="C102" s="169">
        <v>48502046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ああ、カーミラ！_x000D_まさかお前から来てくれるとはな！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さあ、俺に最高の真理をもたらしてくれ！_x000D_【状態異常耐性+残りHPの50%ダメージ！】</v>
      </c>
      <c r="F102" s="161">
        <v>48502146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5"/>
        <v>48502107_48502048</v>
      </c>
      <c r="B103" s="169">
        <v>48502107</v>
      </c>
      <c r="C103" s="169">
        <v>48502048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見たかい、俺の天使達を！_x000D_素晴らしいカスタマイズだったろう！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103" s="47">
        <v>48502048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5"/>
        <v>48502107_48502149</v>
      </c>
      <c r="B104" s="169">
        <v>48502107</v>
      </c>
      <c r="C104" s="209">
        <v>48502149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さあ、歓迎してやろう！_x000D_自動迎撃システム起動！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1ターン超強力なカウンター+全体攻撃</v>
      </c>
      <c r="F104" s="47">
        <v>48502049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5"/>
        <v>48502107_48502050</v>
      </c>
      <c r="B105" s="169">
        <v>48502107</v>
      </c>
      <c r="C105" s="169">
        <v>48502050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どうだい？暗闇は怖いかい？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5ターン全ユニットの攻撃力50%DOWN+_x000D_2ターン暗闇+2回連続攻撃</v>
      </c>
      <c r="F105" s="47">
        <v>48502050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5"/>
        <v>48502107_48502051</v>
      </c>
      <c r="B106" s="169">
        <v>48502107</v>
      </c>
      <c r="C106" s="169">
        <v>48502051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よし！お前もカスタマイズしてやろう！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3ターン全ユニットのタップ回数を1DOWN+全体攻撃</v>
      </c>
      <c r="F106" s="47">
        <v>48502051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 t="str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5"/>
        <v>48502107_48502152</v>
      </c>
      <c r="B107" s="169">
        <v>48502107</v>
      </c>
      <c r="C107" s="209">
        <v>48502152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ははは！その虚勢はどこまで続くかな？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2ターン超強力なカウンター+残りHPの50%ダメージ！</v>
      </c>
      <c r="F107" s="47">
        <v>48502052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5"/>
        <v>48502108_48502053</v>
      </c>
      <c r="B108" s="208">
        <v>48502108</v>
      </c>
      <c r="C108" s="169">
        <v>48502053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へぇ、やるじゃないか！_x000D_ますます興味がわいてきたぞ…！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状態異常耐性+3ターン赤パネル無効</v>
      </c>
      <c r="F108" s="47">
        <v>48502053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5"/>
        <v>48502108_48502154</v>
      </c>
      <c r="B109" s="208">
        <v>48502108</v>
      </c>
      <c r="C109" s="209">
        <v>48502154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伝播性ウィルス拡散！耐えられるかい？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3ターンウィルス+全体攻撃</v>
      </c>
      <c r="F109" s="47">
        <v>48502054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5"/>
        <v>48502108_48502155</v>
      </c>
      <c r="B110" s="208">
        <v>48502108</v>
      </c>
      <c r="C110" s="209">
        <v>48502155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自動迎撃システム再起動！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2ターン超強力なカウンター+単体攻撃+_x000D_攻撃頻度UP</v>
      </c>
      <c r="F110" s="47">
        <v>48502055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5"/>
        <v>48502108_48502156</v>
      </c>
      <c r="B111" s="208">
        <v>48502108</v>
      </c>
      <c r="C111" s="209">
        <v>48502156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ああ、ああ、お前は本当に強いな！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赤パネルと青パネルを吸収して攻撃</v>
      </c>
      <c r="F111" s="47">
        <v>48502056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5"/>
        <v>48502108_48502157</v>
      </c>
      <c r="B112" s="208">
        <v>48502108</v>
      </c>
      <c r="C112" s="209">
        <v>48502157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ぜひとも解剖させてくれ！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属性パネルを赤パネルに最大13個変換+_x000D_6666固定ダメージ</v>
      </c>
      <c r="F112" s="47">
        <v>48502057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5"/>
        <v>48502108_48502058</v>
      </c>
      <c r="B113" s="208">
        <v>48502108</v>
      </c>
      <c r="C113" s="169">
        <v>48502058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俺の実験台になりたくないかい？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赤パネルプロテクト+4回連続攻撃</v>
      </c>
      <c r="F113" s="47">
        <v>48502058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5"/>
        <v>48502108_48502159</v>
      </c>
      <c r="B114" s="208">
        <v>48502108</v>
      </c>
      <c r="C114" s="209">
        <v>48502159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はははは！強情だなあ！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赤パネルと青パネルを吸収して攻撃</v>
      </c>
      <c r="F114" s="47">
        <v>48502059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5"/>
        <v>48502108_48502160</v>
      </c>
      <c r="B115" s="208">
        <v>48502108</v>
      </c>
      <c r="C115" s="209">
        <v>48502160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いいさ…力尽くで奪うだけだ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2ターン強力なウィルス+単体攻撃</v>
      </c>
      <c r="F115" s="47">
        <v>48502060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5"/>
        <v>48502109_48502061</v>
      </c>
      <c r="B116" s="47">
        <v>48502109</v>
      </c>
      <c r="C116" s="169">
        <v>48502061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よし…！_x000D_ついにお前の戦闘データを完璧に解析したぞ！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6" s="214">
        <v>48502070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5"/>
        <v>48502109_48502062</v>
      </c>
      <c r="B117" s="47">
        <v>48502109</v>
      </c>
      <c r="C117" s="169">
        <v>48502062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わかるように言ってやろうか？_x000D_つまり…お前はここで負けるのさ！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ハートパネルプロテクト+単体攻撃</v>
      </c>
      <c r="F117" s="214">
        <v>48502071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5"/>
        <v>48502109_48502163</v>
      </c>
      <c r="B118" s="47">
        <v>48502109</v>
      </c>
      <c r="C118" s="209">
        <v>48502163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お前の動きは全て予測可能！_x000D_全てを跳ね返してやろう！！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2ターン超強力なカウンター</v>
      </c>
      <c r="F118" s="214">
        <v>48502072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5"/>
        <v>48502109_48502070</v>
      </c>
      <c r="B119" s="47">
        <v>48502109</v>
      </c>
      <c r="C119" s="214">
        <v>48502070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はは！もうおしまいかい？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9" s="214">
        <v>48502073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ref="A120" si="11">B120&amp;"_"&amp;C120</f>
        <v>48502109_48502064</v>
      </c>
      <c r="B120" s="47">
        <v>48502109</v>
      </c>
      <c r="C120" s="169">
        <v>48502064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さあ、おとなしく屈服してみせろ！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120" s="214">
        <v>48502074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ref="A121:A126" si="12">B121&amp;"_"&amp;C121</f>
        <v>48502109_48502165</v>
      </c>
      <c r="B121" s="47">
        <v>48502109</v>
      </c>
      <c r="C121" s="209">
        <v>48502165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よし…いい子だ…_x000D_俺のモノになってくれるかい？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次のターン激烈固定ダメージ！</v>
      </c>
      <c r="F121" s="214">
        <v>48502075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2"/>
        <v>48502109_48502066</v>
      </c>
      <c r="B122" s="47">
        <v>48502109</v>
      </c>
      <c r="C122" s="169">
        <v>48502066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あっはは！ようこそ、我が研究所へ！_x000D_さあ…どこから解剖しようか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激烈固定ダメージ！</v>
      </c>
      <c r="F122" s="214">
        <v>48502076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2"/>
        <v>48502109_48502067</v>
      </c>
      <c r="B123" s="47">
        <v>48502109</v>
      </c>
      <c r="C123" s="169">
        <v>48502067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ぐっ…そんな…馬鹿な…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俺の解析結果を上回るとは…面白い…！_x000D_次こそは必ず…俺のモノに…！</v>
      </c>
      <c r="F123" s="214">
        <v>48502077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2"/>
        <v>48502109_48502068</v>
      </c>
      <c r="B124" s="47">
        <v>48502109</v>
      </c>
      <c r="C124" s="169">
        <v>48502068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はは…噂通りの強さだな…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伝説のアンデッド…吸血鬼カーミラ…！_x000D_お前は本当に素晴らしい存在だ…次こそは必ず…！</v>
      </c>
      <c r="F124" s="214">
        <v>48502078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710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5005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ref="A125" si="13">B125&amp;"_"&amp;C125</f>
        <v>48502109_48502068</v>
      </c>
      <c r="B125" s="47">
        <v>48502109</v>
      </c>
      <c r="C125" s="169">
        <v>48502068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はは…噂通りの強さだな…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伝説のアンデッド…吸血鬼カーミラ…！_x000D_お前は本当に素晴らしい存在だ…次こそは必ず…！</v>
      </c>
      <c r="F125" s="247">
        <v>48502178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720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5006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2"/>
        <v>48502109_48502069</v>
      </c>
      <c r="B126" s="47">
        <v>48502109</v>
      </c>
      <c r="C126" s="169">
        <v>48502069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見せてくれよ！お前の全てを…！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26" s="214">
        <v>48502079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 t="str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39" spans="5:5" ht="21" customHeight="1" x14ac:dyDescent="0.15">
      <c r="E139" s="211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2"/>
  <sheetViews>
    <sheetView showGridLines="0" workbookViewId="0">
      <pane ySplit="1" topLeftCell="A38" activePane="bottomLeft" state="frozenSplit"/>
      <selection pane="bottomLeft" activeCell="B51" sqref="B5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105.6640625" style="49" customWidth="1"/>
    <col min="3" max="3" width="5.6640625" style="49" customWidth="1"/>
    <col min="4" max="4" width="6.1640625" style="49" customWidth="1"/>
    <col min="5" max="5" width="41.332031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8">
        <v>48502001</v>
      </c>
      <c r="B2" s="177" t="s">
        <v>323</v>
      </c>
      <c r="C2" s="50">
        <v>1</v>
      </c>
      <c r="D2" s="50" t="s">
        <v>127</v>
      </c>
      <c r="E2" s="160" t="s">
        <v>270</v>
      </c>
      <c r="F2" s="160" t="s">
        <v>271</v>
      </c>
      <c r="G2" s="63" t="str">
        <f>IFERROR(LEFT(B2,FIND("],",B2)),B2)</f>
        <v>[effect:enemy_message, val1:0.0, val2:1.3]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>[effect:fix_speed, target:myself, turn:2]</v>
      </c>
      <c r="N2" s="48" t="str">
        <f>IFERROR(LEFT(M2,FIND("],",M2)+S15),M2)</f>
        <v>[effect:fix_speed, target:myself, turn:2]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118">
        <v>48502002</v>
      </c>
      <c r="B3" s="177" t="s">
        <v>324</v>
      </c>
      <c r="C3" s="50">
        <v>1</v>
      </c>
      <c r="D3" s="50" t="s">
        <v>127</v>
      </c>
      <c r="E3" s="160" t="s">
        <v>268</v>
      </c>
      <c r="F3" s="160" t="s">
        <v>270</v>
      </c>
      <c r="G3" s="63" t="str">
        <f t="shared" ref="G3:G77" si="0">IFERROR(LEFT(B3,FIND("],",B3)),B3)</f>
        <v>[effect:enemy_message, val1:1.2, val2:0.0]</v>
      </c>
      <c r="H3" s="63">
        <f t="shared" ref="H3:H77" si="1">FIND("effect:",G3)+7</f>
        <v>9</v>
      </c>
      <c r="I3" s="63">
        <f t="shared" ref="I3:I77" si="2">IFERROR(FIND(",",G3),LEN(G3))</f>
        <v>22</v>
      </c>
      <c r="J3" s="63" t="e">
        <f t="shared" ref="J3:J77" si="3">FIND("target:",G3)+7</f>
        <v>#VALUE!</v>
      </c>
      <c r="K3" s="63">
        <f t="shared" ref="K3:K77" si="4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:M77" si="5">IFERROR(RIGHT(B3,LEN(B3)-FIND("],",B3)-1),"none")</f>
        <v>[effect:fix_speed, target:myself, turn:2]</v>
      </c>
      <c r="N3" s="48" t="str">
        <f>IFERROR(LEFT(M3,FIND("],",M3)+S16),M3)</f>
        <v>[effect:fix_speed, target:myself, turn:2]</v>
      </c>
      <c r="O3" s="63">
        <f t="shared" ref="O3:O77" si="6">FIND("effect:",N3)+7</f>
        <v>9</v>
      </c>
      <c r="P3" s="63">
        <f t="shared" ref="P3:P77" si="7">IFERROR(FIND(",",N3),LEN(N3))</f>
        <v>18</v>
      </c>
      <c r="Q3" s="63">
        <f t="shared" ref="Q3:Q77" si="8">FIND("target:",N3)+7</f>
        <v>27</v>
      </c>
      <c r="R3" s="63">
        <f t="shared" ref="R3:R77" si="9">FIND(",",N3,P3+1)</f>
        <v>33</v>
      </c>
      <c r="S3" s="63" t="str">
        <f>IFERROR(VLOOKUP(MID(N3,Q3,R3-Q3),[5]skilldef!$C:$D,2,FALSE),"-") &amp; " / " &amp; IFERROR(VLOOKUP(MID(N3,O3,P3-O3),[5]skilldef!$A:$B,2,FALSE),"-")</f>
        <v>自分自身に / 行動値設定</v>
      </c>
      <c r="T3" s="48" t="str">
        <f t="shared" ref="T3:T77" si="10">IFERROR(RIGHT(M3,LEN(M3)-FIND("],",M3)-1),"none")</f>
        <v>none</v>
      </c>
      <c r="U3" s="63" t="e">
        <f t="shared" ref="U3:U77" si="11">FIND("effect:",T3)+7</f>
        <v>#VALUE!</v>
      </c>
      <c r="V3" s="63">
        <f t="shared" ref="V3:V77" si="12">IFERROR(FIND(",",T3),LEN(T3))</f>
        <v>4</v>
      </c>
      <c r="W3" s="63" t="e">
        <f t="shared" ref="W3:W77" si="13">FIND("target:",T3)+7</f>
        <v>#VALUE!</v>
      </c>
      <c r="X3" s="63" t="e">
        <f t="shared" ref="X3:X77" si="14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18">
        <v>48502003</v>
      </c>
      <c r="B4" s="177" t="s">
        <v>325</v>
      </c>
      <c r="C4" s="50">
        <v>1</v>
      </c>
      <c r="D4" s="50" t="s">
        <v>127</v>
      </c>
      <c r="E4" s="160" t="s">
        <v>265</v>
      </c>
      <c r="F4" s="160" t="s">
        <v>311</v>
      </c>
      <c r="G4" s="63" t="str">
        <f t="shared" si="0"/>
        <v>[effect:enemy_message, val1:1.2, val2:2.0]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 xml:space="preserve">[effect:break_heal_ratio, target:enemy_all, val:0.01, lowest_val:0, count:10, block_color:block_blue, block01:normal, animation:enemy_heal]    </v>
      </c>
      <c r="N4" s="48" t="str">
        <f>IFERROR(LEFT(M4,FIND("],",M4)+S18),M4)</f>
        <v xml:space="preserve">[effect:break_heal_ratio, target:enemy_all, val:0.01, lowest_val:0, count:10, block_color:block_blue, block01:normal, animation:enemy_heal]    </v>
      </c>
      <c r="O4" s="63">
        <f t="shared" si="6"/>
        <v>9</v>
      </c>
      <c r="P4" s="63">
        <f t="shared" si="7"/>
        <v>25</v>
      </c>
      <c r="Q4" s="63">
        <f t="shared" si="8"/>
        <v>34</v>
      </c>
      <c r="R4" s="63">
        <f t="shared" si="9"/>
        <v>43</v>
      </c>
      <c r="S4" s="63" t="str">
        <f>IFERROR(VLOOKUP(MID(N4,Q4,R4-Q4),[5]skilldef!$C:$D,2,FALSE),"-") &amp; " / " &amp; IFERROR(VLOOKUP(MID(N4,O4,P4-O4),[5]skilldef!$A:$B,2,FALSE),"-")</f>
        <v>敵全体に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118">
        <v>48502004</v>
      </c>
      <c r="B5" s="177" t="s">
        <v>491</v>
      </c>
      <c r="C5" s="50">
        <v>1</v>
      </c>
      <c r="D5" s="50" t="s">
        <v>127</v>
      </c>
      <c r="E5" s="160" t="s">
        <v>267</v>
      </c>
      <c r="F5" s="160" t="s">
        <v>312</v>
      </c>
      <c r="G5" s="63" t="str">
        <f t="shared" si="0"/>
        <v>[effect:enemy_message, val1:1.2,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[effect:critical, val:1.2]</v>
      </c>
      <c r="N5" s="48" t="str">
        <f>IFERROR(LEFT(M5,FIND("],",M5)+S19),M5)</f>
        <v>[effect:critical, val:1.2]</v>
      </c>
      <c r="O5" s="63">
        <f t="shared" si="6"/>
        <v>9</v>
      </c>
      <c r="P5" s="63">
        <f t="shared" si="7"/>
        <v>17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大攻撃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205">
        <v>48502104</v>
      </c>
      <c r="B6" s="206" t="s">
        <v>360</v>
      </c>
      <c r="C6" s="207">
        <v>1</v>
      </c>
      <c r="D6" s="207" t="s">
        <v>127</v>
      </c>
      <c r="E6" s="204" t="s">
        <v>267</v>
      </c>
      <c r="F6" s="204" t="s">
        <v>312</v>
      </c>
      <c r="G6" s="63" t="str">
        <f t="shared" ref="G6" si="15">IFERROR(LEFT(B6,FIND("],",B6)),B6)</f>
        <v>[effect:enemy_message, val1:1.2, val2:1.2]</v>
      </c>
      <c r="H6" s="63">
        <f t="shared" ref="H6" si="16">FIND("effect:",G6)+7</f>
        <v>9</v>
      </c>
      <c r="I6" s="63">
        <f t="shared" ref="I6" si="17">IFERROR(FIND(",",G6),LEN(G6))</f>
        <v>22</v>
      </c>
      <c r="J6" s="63" t="e">
        <f t="shared" ref="J6" si="18">FIND("target:",G6)+7</f>
        <v>#VALUE!</v>
      </c>
      <c r="K6" s="63">
        <f t="shared" ref="K6" si="19">FIND(",",G6,I6+1)</f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ref="M6" si="20">IFERROR(RIGHT(B6,LEN(B6)-FIND("],",B6)-1),"none")</f>
        <v>[effect:critical, val:1.18]</v>
      </c>
      <c r="N6" s="48" t="str">
        <f>IFERROR(LEFT(M6,FIND("],",M6)+S21),M6)</f>
        <v>[effect:critical, val:1.18]</v>
      </c>
      <c r="O6" s="63">
        <f t="shared" ref="O6" si="21">FIND("effect:",N6)+7</f>
        <v>9</v>
      </c>
      <c r="P6" s="63">
        <f t="shared" ref="P6" si="22">IFERROR(FIND(",",N6),LEN(N6))</f>
        <v>17</v>
      </c>
      <c r="Q6" s="63" t="e">
        <f t="shared" ref="Q6" si="23">FIND("target:",N6)+7</f>
        <v>#VALUE!</v>
      </c>
      <c r="R6" s="63" t="e">
        <f t="shared" ref="R6" si="24">FIND(",",N6,P6+1)</f>
        <v>#VALUE!</v>
      </c>
      <c r="S6" s="63" t="str">
        <f>IFERROR(VLOOKUP(MID(N6,Q6,R6-Q6),[5]skilldef!$C:$D,2,FALSE),"-") &amp; " / " &amp; IFERROR(VLOOKUP(MID(N6,O6,P6-O6),[5]skilldef!$A:$B,2,FALSE),"-")</f>
        <v>- / 大攻撃</v>
      </c>
      <c r="T6" s="48" t="str">
        <f t="shared" ref="T6" si="25">IFERROR(RIGHT(M6,LEN(M6)-FIND("],",M6)-1),"none")</f>
        <v>none</v>
      </c>
      <c r="U6" s="63" t="e">
        <f t="shared" ref="U6" si="26">FIND("effect:",T6)+7</f>
        <v>#VALUE!</v>
      </c>
      <c r="V6" s="63">
        <f t="shared" ref="V6" si="27">IFERROR(FIND(",",T6),LEN(T6))</f>
        <v>4</v>
      </c>
      <c r="W6" s="63" t="e">
        <f t="shared" ref="W6" si="28">FIND("target:",T6)+7</f>
        <v>#VALUE!</v>
      </c>
      <c r="X6" s="63" t="e">
        <f t="shared" ref="X6" si="29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118">
        <v>48502005</v>
      </c>
      <c r="B7" s="177" t="s">
        <v>326</v>
      </c>
      <c r="C7" s="50">
        <v>1</v>
      </c>
      <c r="D7" s="50" t="s">
        <v>127</v>
      </c>
      <c r="E7" s="51" t="s">
        <v>270</v>
      </c>
      <c r="F7" s="51" t="s">
        <v>269</v>
      </c>
      <c r="G7" s="63" t="str">
        <f t="shared" si="0"/>
        <v>[effect:enemy_message, val1:0.0, val2:1.4]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[effect:fix_speed, target:myself, turn:2]</v>
      </c>
      <c r="N7" s="48" t="str">
        <f>IFERROR(LEFT(M7,FIND("],",M7)+S21),M7)</f>
        <v>[effect:fix_speed, target:myself, turn:2]</v>
      </c>
      <c r="O7" s="63">
        <f t="shared" si="6"/>
        <v>9</v>
      </c>
      <c r="P7" s="63">
        <f t="shared" si="7"/>
        <v>18</v>
      </c>
      <c r="Q7" s="63">
        <f t="shared" si="8"/>
        <v>27</v>
      </c>
      <c r="R7" s="63">
        <f t="shared" si="9"/>
        <v>33</v>
      </c>
      <c r="S7" s="63" t="str">
        <f>IFERROR(VLOOKUP(MID(N7,Q7,R7-Q7),[5]skilldef!$C:$D,2,FALSE),"-") &amp; " / " &amp; IFERROR(VLOOKUP(MID(N7,O7,P7-O7),[5]skilldef!$A:$B,2,FALSE),"-")</f>
        <v>自分自身に / 行動値設定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18">
        <v>48502006</v>
      </c>
      <c r="B8" s="177" t="s">
        <v>324</v>
      </c>
      <c r="C8" s="50">
        <v>1</v>
      </c>
      <c r="D8" s="50" t="s">
        <v>127</v>
      </c>
      <c r="E8" s="51" t="s">
        <v>286</v>
      </c>
      <c r="F8" s="242" t="s">
        <v>270</v>
      </c>
      <c r="G8" s="63" t="str">
        <f t="shared" si="0"/>
        <v>[effect:enemy_message, val1:1.2, val2:0.0]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[effect:fix_speed, target:myself, turn:2]</v>
      </c>
      <c r="N8" s="48" t="str">
        <f>IFERROR(LEFT(M8,FIND("],",M8)+S22),M8)</f>
        <v>[effect:fix_speed, target:myself, turn:2]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IFERROR(VLOOKUP(MID(N8,Q8,R8-Q8),[5]skilldef!$C:$D,2,FALSE),"-") &amp; " / " &amp; IFERROR(VLOOKUP(MID(N8,O8,P8-O8),[5]skilldef!$A:$B,2,FALSE),"-")</f>
        <v>自分自身に / 行動値設定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118">
        <v>48502007</v>
      </c>
      <c r="B9" s="177" t="s">
        <v>478</v>
      </c>
      <c r="C9" s="50">
        <v>1</v>
      </c>
      <c r="D9" s="50" t="s">
        <v>127</v>
      </c>
      <c r="E9" s="51" t="s">
        <v>287</v>
      </c>
      <c r="F9" s="51" t="s">
        <v>294</v>
      </c>
      <c r="G9" s="63" t="str">
        <f t="shared" si="0"/>
        <v>[effect:enemy_message, val1:1.2, val2:1.3]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[effect:damage_abnormal, target:unit_one, val:0.8, status:virus, turn:2, val_abnormal:0.18, animation:enemy_virus]</v>
      </c>
      <c r="N9" s="48" t="str">
        <f>IFERROR(LEFT(M9,FIND("],",M9)+S23),M9)</f>
        <v>[effect:damage_abnormal, target:unit_one, val:0.8, status:virus, turn:2, val_abnormal:0.18, animation:enemy_virus]</v>
      </c>
      <c r="O9" s="63">
        <f t="shared" si="6"/>
        <v>9</v>
      </c>
      <c r="P9" s="63">
        <f t="shared" si="7"/>
        <v>24</v>
      </c>
      <c r="Q9" s="63">
        <f t="shared" si="8"/>
        <v>33</v>
      </c>
      <c r="R9" s="63">
        <f t="shared" si="9"/>
        <v>41</v>
      </c>
      <c r="S9" s="63" t="str">
        <f>IFERROR(VLOOKUP(MID(N9,Q9,R9-Q9),[5]skilldef!$C:$D,2,FALSE),"-") &amp; " / " &amp; IFERROR(VLOOKUP(MID(N9,O9,P9-O9),[5]skilldef!$A:$B,2,FALSE),"-")</f>
        <v>味方単体に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205">
        <v>48502107</v>
      </c>
      <c r="B10" s="206" t="s">
        <v>477</v>
      </c>
      <c r="C10" s="207">
        <v>1</v>
      </c>
      <c r="D10" s="207" t="s">
        <v>127</v>
      </c>
      <c r="E10" s="204" t="s">
        <v>287</v>
      </c>
      <c r="F10" s="204" t="s">
        <v>294</v>
      </c>
      <c r="G10" s="63" t="str">
        <f t="shared" ref="G10" si="30">IFERROR(LEFT(B10,FIND("],",B10)),B10)</f>
        <v>[effect:enemy_message, val1:1.2, val2:1.3]</v>
      </c>
      <c r="H10" s="63">
        <f t="shared" ref="H10" si="31">FIND("effect:",G10)+7</f>
        <v>9</v>
      </c>
      <c r="I10" s="63">
        <f t="shared" ref="I10" si="32">IFERROR(FIND(",",G10),LEN(G10))</f>
        <v>22</v>
      </c>
      <c r="J10" s="63" t="e">
        <f t="shared" ref="J10" si="33">FIND("target:",G10)+7</f>
        <v>#VALUE!</v>
      </c>
      <c r="K10" s="63">
        <f t="shared" ref="K10" si="34">FIND(",",G10,I10+1)</f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ref="M10" si="35">IFERROR(RIGHT(B10,LEN(B10)-FIND("],",B10)-1),"none")</f>
        <v>[effect:damage_abnormal, target:unit_one, val:0.8, status:virus, turn:2, val_abnormal:0.1, animation:enemy_virus]</v>
      </c>
      <c r="N10" s="48" t="str">
        <f>IFERROR(LEFT(M10,FIND("],",M10)+S25),M10)</f>
        <v>[effect:damage_abnormal, target:unit_one, val:0.8, status:virus, turn:2, val_abnormal:0.1, animation:enemy_virus]</v>
      </c>
      <c r="O10" s="63">
        <f t="shared" ref="O10" si="36">FIND("effect:",N10)+7</f>
        <v>9</v>
      </c>
      <c r="P10" s="63">
        <f t="shared" ref="P10" si="37">IFERROR(FIND(",",N10),LEN(N10))</f>
        <v>24</v>
      </c>
      <c r="Q10" s="63">
        <f t="shared" ref="Q10" si="38">FIND("target:",N10)+7</f>
        <v>33</v>
      </c>
      <c r="R10" s="63">
        <f t="shared" ref="R10" si="39">FIND(",",N10,P10+1)</f>
        <v>41</v>
      </c>
      <c r="S10" s="63" t="str">
        <f>IFERROR(VLOOKUP(MID(N10,Q10,R10-Q10),[5]skilldef!$C:$D,2,FALSE),"-") &amp; " / " &amp; IFERROR(VLOOKUP(MID(N10,O10,P10-O10),[5]skilldef!$A:$B,2,FALSE),"-")</f>
        <v>味方単体に / -</v>
      </c>
      <c r="T10" s="48" t="str">
        <f t="shared" ref="T10" si="40">IFERROR(RIGHT(M10,LEN(M10)-FIND("],",M10)-1),"none")</f>
        <v>none</v>
      </c>
      <c r="U10" s="63" t="e">
        <f t="shared" ref="U10" si="41">FIND("effect:",T10)+7</f>
        <v>#VALUE!</v>
      </c>
      <c r="V10" s="63">
        <f t="shared" ref="V10" si="42">IFERROR(FIND(",",T10),LEN(T10))</f>
        <v>4</v>
      </c>
      <c r="W10" s="63" t="e">
        <f t="shared" ref="W10" si="43">FIND("target:",T10)+7</f>
        <v>#VALUE!</v>
      </c>
      <c r="X10" s="63" t="e">
        <f t="shared" ref="X10" si="44">FIND(",",T10,V10+1)</f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118">
        <v>48502008</v>
      </c>
      <c r="B11" s="177" t="s">
        <v>492</v>
      </c>
      <c r="C11" s="50">
        <v>1</v>
      </c>
      <c r="D11" s="50" t="s">
        <v>127</v>
      </c>
      <c r="E11" s="51" t="s">
        <v>264</v>
      </c>
      <c r="F11" s="51" t="s">
        <v>312</v>
      </c>
      <c r="G11" s="63" t="str">
        <f t="shared" si="0"/>
        <v>[effect:enemy_message, val1:1.2, val2:1.2]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[effect:critical, val:1.2]</v>
      </c>
      <c r="N11" s="48" t="str">
        <f>IFERROR(LEFT(M11,FIND("],",M11)+S25),M11)</f>
        <v>[effect:critical, val:1.2]</v>
      </c>
      <c r="O11" s="63">
        <f t="shared" si="6"/>
        <v>9</v>
      </c>
      <c r="P11" s="63">
        <f t="shared" si="7"/>
        <v>17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IFERROR(VLOOKUP(MID(N11,Q11,R11-Q11),[5]skilldef!$C:$D,2,FALSE),"-") &amp; " / " &amp; IFERROR(VLOOKUP(MID(N11,O11,P11-O11),[5]skilldef!$A:$B,2,FALSE),"-")</f>
        <v>- / 大攻撃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205">
        <v>48502108</v>
      </c>
      <c r="B12" s="206" t="s">
        <v>361</v>
      </c>
      <c r="C12" s="207">
        <v>1</v>
      </c>
      <c r="D12" s="207" t="s">
        <v>127</v>
      </c>
      <c r="E12" s="204" t="s">
        <v>264</v>
      </c>
      <c r="F12" s="204" t="s">
        <v>312</v>
      </c>
      <c r="G12" s="63" t="str">
        <f t="shared" ref="G12" si="45">IFERROR(LEFT(B12,FIND("],",B12)),B12)</f>
        <v>[effect:enemy_message, val1:1.2, val2:1.2]</v>
      </c>
      <c r="H12" s="63">
        <f t="shared" ref="H12" si="46">FIND("effect:",G12)+7</f>
        <v>9</v>
      </c>
      <c r="I12" s="63">
        <f t="shared" ref="I12" si="47">IFERROR(FIND(",",G12),LEN(G12))</f>
        <v>22</v>
      </c>
      <c r="J12" s="63" t="e">
        <f t="shared" ref="J12" si="48">FIND("target:",G12)+7</f>
        <v>#VALUE!</v>
      </c>
      <c r="K12" s="63">
        <f t="shared" ref="K12" si="49">FIND(",",G12,I12+1)</f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ref="M12" si="50">IFERROR(RIGHT(B12,LEN(B12)-FIND("],",B12)-1),"none")</f>
        <v>[effect:critical, val:1.18]</v>
      </c>
      <c r="N12" s="48" t="str">
        <f>IFERROR(LEFT(M12,FIND("],",M12)+S26),M12)</f>
        <v>[effect:critical, val:1.18]</v>
      </c>
      <c r="O12" s="63">
        <f t="shared" ref="O12" si="51">FIND("effect:",N12)+7</f>
        <v>9</v>
      </c>
      <c r="P12" s="63">
        <f t="shared" ref="P12" si="52">IFERROR(FIND(",",N12),LEN(N12))</f>
        <v>17</v>
      </c>
      <c r="Q12" s="63" t="e">
        <f t="shared" ref="Q12" si="53">FIND("target:",N12)+7</f>
        <v>#VALUE!</v>
      </c>
      <c r="R12" s="63" t="e">
        <f t="shared" ref="R12" si="54">FIND(",",N12,P12+1)</f>
        <v>#VALUE!</v>
      </c>
      <c r="S12" s="63" t="str">
        <f>IFERROR(VLOOKUP(MID(N12,Q12,R12-Q12),[5]skilldef!$C:$D,2,FALSE),"-") &amp; " / " &amp; IFERROR(VLOOKUP(MID(N12,O12,P12-O12),[5]skilldef!$A:$B,2,FALSE),"-")</f>
        <v>- / 大攻撃</v>
      </c>
      <c r="T12" s="48" t="str">
        <f t="shared" ref="T12" si="55">IFERROR(RIGHT(M12,LEN(M12)-FIND("],",M12)-1),"none")</f>
        <v>none</v>
      </c>
      <c r="U12" s="63" t="e">
        <f t="shared" ref="U12" si="56">FIND("effect:",T12)+7</f>
        <v>#VALUE!</v>
      </c>
      <c r="V12" s="63">
        <f t="shared" ref="V12" si="57">IFERROR(FIND(",",T12),LEN(T12))</f>
        <v>4</v>
      </c>
      <c r="W12" s="63" t="e">
        <f t="shared" ref="W12" si="58">FIND("target:",T12)+7</f>
        <v>#VALUE!</v>
      </c>
      <c r="X12" s="63" t="e">
        <f t="shared" ref="X12" si="59">FIND(",",T12,V12+1)</f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118">
        <v>48502009</v>
      </c>
      <c r="B13" s="177" t="s">
        <v>406</v>
      </c>
      <c r="C13" s="50">
        <v>1</v>
      </c>
      <c r="D13" s="50" t="s">
        <v>127</v>
      </c>
      <c r="E13" s="160" t="s">
        <v>391</v>
      </c>
      <c r="F13" s="160" t="s">
        <v>260</v>
      </c>
      <c r="G13" s="63" t="str">
        <f t="shared" si="0"/>
        <v>[effect:enemy_message, val1:1.3,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[effect:fix_speed, target:myself, turn:1]</v>
      </c>
      <c r="N13" s="48" t="str">
        <f>IFERROR(LEFT(M13,FIND("],",M13)+S26),M13)</f>
        <v>[effect:fix_speed, target:myself, turn:1]</v>
      </c>
      <c r="O13" s="63">
        <f t="shared" si="6"/>
        <v>9</v>
      </c>
      <c r="P13" s="63">
        <f t="shared" si="7"/>
        <v>18</v>
      </c>
      <c r="Q13" s="63">
        <f t="shared" si="8"/>
        <v>27</v>
      </c>
      <c r="R13" s="63">
        <f t="shared" si="9"/>
        <v>33</v>
      </c>
      <c r="S13" s="63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18">
        <v>48502010</v>
      </c>
      <c r="B14" s="177" t="s">
        <v>407</v>
      </c>
      <c r="C14" s="50">
        <v>1</v>
      </c>
      <c r="D14" s="50" t="s">
        <v>127</v>
      </c>
      <c r="E14" s="161" t="s">
        <v>390</v>
      </c>
      <c r="F14" s="162" t="s">
        <v>261</v>
      </c>
      <c r="G14" s="63" t="str">
        <f t="shared" si="0"/>
        <v>[effect:enemy_message, val1:1.6,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[effect:fix_speed, target:myself, turn:1]</v>
      </c>
      <c r="N14" s="48" t="str">
        <f>IFERROR(LEFT(M14,FIND("],",M14)+S27),M14)</f>
        <v>[effect:fix_speed, target:myself, turn:1]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IFERROR(VLOOKUP(MID(N14,Q14,R14-Q14),[5]skilldef!$C:$D,2,FALSE),"-") &amp; " / " &amp; IFERROR(VLOOKUP(MID(N14,O14,P14-O14),[5]skilldef!$A:$B,2,FALSE),"-")</f>
        <v>自分自身に / 行動値設定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18">
        <v>48502011</v>
      </c>
      <c r="B15" s="177" t="s">
        <v>493</v>
      </c>
      <c r="C15" s="50">
        <v>1</v>
      </c>
      <c r="D15" s="50" t="s">
        <v>127</v>
      </c>
      <c r="E15" s="160" t="s">
        <v>392</v>
      </c>
      <c r="F15" s="160" t="s">
        <v>313</v>
      </c>
      <c r="G15" s="63" t="str">
        <f t="shared" si="0"/>
        <v>[effect:enemy_message, val1:1.4, val2:2.1]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 xml:space="preserve">[effect:damage_anti_tribe, target:unit_all, tribe:machine, val1:2, val2:0.21]    </v>
      </c>
      <c r="N15" s="48" t="str">
        <f>IFERROR(LEFT(M15,FIND("],",M15)+S28),M15)</f>
        <v xml:space="preserve">[effect:damage_anti_tribe, target:unit_all, tribe:machine, val1:2, val2:0.21]    </v>
      </c>
      <c r="O15" s="63">
        <f t="shared" si="6"/>
        <v>9</v>
      </c>
      <c r="P15" s="63">
        <f t="shared" si="7"/>
        <v>26</v>
      </c>
      <c r="Q15" s="63">
        <f t="shared" si="8"/>
        <v>35</v>
      </c>
      <c r="R15" s="63">
        <f t="shared" si="9"/>
        <v>43</v>
      </c>
      <c r="S15" s="63" t="str">
        <f>IFERROR(VLOOKUP(MID(N15,Q15,R15-Q15),[5]skilldef!$C:$D,2,FALSE),"-") &amp; " / " &amp; IFERROR(VLOOKUP(MID(N15,O15,P15-O15),[5]skilldef!$A:$B,2,FALSE),"-")</f>
        <v>味方全体に / 種族キラー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33" customHeight="1" x14ac:dyDescent="0.15">
      <c r="A16" s="118">
        <v>48502012</v>
      </c>
      <c r="B16" s="177" t="s">
        <v>382</v>
      </c>
      <c r="C16" s="50">
        <v>1</v>
      </c>
      <c r="D16" s="50" t="s">
        <v>127</v>
      </c>
      <c r="E16" s="160" t="s">
        <v>272</v>
      </c>
      <c r="F16" s="160" t="s">
        <v>404</v>
      </c>
      <c r="G16" s="63" t="str">
        <f t="shared" si="0"/>
        <v>[effect:enemy_message, val1:1.4, val2:2.6]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 xml:space="preserve">[effect:damage_gravity, val:0.4, animation:fevergauge_down],[effect:enemy_counter, target:myself, invoke_condition:unit_all, counter_target:unit_all, turn:2, val:0.48, animation:enemy_counter]    </v>
      </c>
      <c r="N16" s="48" t="str">
        <f>IFERROR(LEFT(M16,FIND("],",M16)+S30),M16)</f>
        <v xml:space="preserve">[effect:damage_gravity, val:0.4, animation:fevergauge_down],[effect:enemy_counter, target:myself, invoke_condition:unit_all, counter_target:unit_all, turn:2, val:0.48, animation:enemy_counter]    </v>
      </c>
      <c r="O16" s="63">
        <f t="shared" si="6"/>
        <v>9</v>
      </c>
      <c r="P16" s="63">
        <f t="shared" si="7"/>
        <v>23</v>
      </c>
      <c r="Q16" s="63">
        <f t="shared" si="8"/>
        <v>91</v>
      </c>
      <c r="R16" s="63">
        <f t="shared" si="9"/>
        <v>32</v>
      </c>
      <c r="S16" s="63" t="str">
        <f>IFERROR(VLOOKUP(MID(N16,Q16,R16-Q16),[5]skilldef!$C:$D,2,FALSE),"-") &amp; " / " &amp; IFERROR(VLOOKUP(MID(N16,O16,P16-O16),[5]skilldef!$A:$B,2,FALSE),"-")</f>
        <v>- / 割合ダメージ</v>
      </c>
      <c r="T16" s="48" t="str">
        <f t="shared" si="10"/>
        <v xml:space="preserve">[effect:enemy_counter, target:myself, invoke_condition:unit_all, counter_target:unit_all, turn:2, val:0.48, animation:enemy_counter]    </v>
      </c>
      <c r="U16" s="63">
        <f t="shared" si="11"/>
        <v>9</v>
      </c>
      <c r="V16" s="63">
        <f t="shared" si="12"/>
        <v>22</v>
      </c>
      <c r="W16" s="63">
        <f t="shared" si="13"/>
        <v>31</v>
      </c>
      <c r="X16" s="63">
        <f t="shared" si="14"/>
        <v>37</v>
      </c>
      <c r="Y16" s="63" t="str">
        <f>IFERROR(VLOOKUP(MID(T16,W16,X16-W16),[5]skilldef!$C:$D,2,FALSE),"-") &amp; " / " &amp; IFERROR(VLOOKUP(MID(T16,U16,V16-U16),[5]skilldef!$A:$B,2,FALSE),"-")</f>
        <v>自分自身に / カウンター</v>
      </c>
      <c r="Z16" s="50"/>
      <c r="AA16" s="52"/>
      <c r="AB16" s="50"/>
    </row>
    <row r="17" spans="1:28" ht="33" customHeight="1" x14ac:dyDescent="0.15">
      <c r="A17" s="205">
        <v>48502112</v>
      </c>
      <c r="B17" s="206" t="s">
        <v>442</v>
      </c>
      <c r="C17" s="207">
        <v>1</v>
      </c>
      <c r="D17" s="207" t="s">
        <v>127</v>
      </c>
      <c r="E17" s="204" t="s">
        <v>272</v>
      </c>
      <c r="F17" s="204" t="s">
        <v>443</v>
      </c>
      <c r="G17" s="63" t="str">
        <f t="shared" ref="G17" si="60">IFERROR(LEFT(B17,FIND("],",B17)),B17)</f>
        <v>[effect:enemy_message, val1:1.4, val2:2.6]</v>
      </c>
      <c r="H17" s="63">
        <f t="shared" ref="H17" si="61">FIND("effect:",G17)+7</f>
        <v>9</v>
      </c>
      <c r="I17" s="63">
        <f t="shared" ref="I17" si="62">IFERROR(FIND(",",G17),LEN(G17))</f>
        <v>22</v>
      </c>
      <c r="J17" s="63" t="e">
        <f t="shared" ref="J17" si="63">FIND("target:",G17)+7</f>
        <v>#VALUE!</v>
      </c>
      <c r="K17" s="63">
        <f t="shared" ref="K17" si="64">FIND(",",G17,I17+1)</f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ref="M17" si="65">IFERROR(RIGHT(B17,LEN(B17)-FIND("],",B17)-1),"none")</f>
        <v xml:space="preserve">[effect:damage_gravity, val:0.3, animation:fevergauge_down],[effect:enemy_counter, target:myself, invoke_condition:unit_all, counter_target:unit_all, turn:2, val:0.32, animation:enemy_counter]    </v>
      </c>
      <c r="N17" s="48" t="str">
        <f>IFERROR(LEFT(M17,FIND("],",M17)+S32),M17)</f>
        <v xml:space="preserve">[effect:damage_gravity, val:0.3, animation:fevergauge_down],[effect:enemy_counter, target:myself, invoke_condition:unit_all, counter_target:unit_all, turn:2, val:0.32, animation:enemy_counter]    </v>
      </c>
      <c r="O17" s="63">
        <f t="shared" ref="O17" si="66">FIND("effect:",N17)+7</f>
        <v>9</v>
      </c>
      <c r="P17" s="63">
        <f t="shared" ref="P17" si="67">IFERROR(FIND(",",N17),LEN(N17))</f>
        <v>23</v>
      </c>
      <c r="Q17" s="63">
        <f t="shared" ref="Q17" si="68">FIND("target:",N17)+7</f>
        <v>91</v>
      </c>
      <c r="R17" s="63">
        <f t="shared" ref="R17" si="69">FIND(",",N17,P17+1)</f>
        <v>32</v>
      </c>
      <c r="S17" s="63" t="str">
        <f>IFERROR(VLOOKUP(MID(N17,Q17,R17-Q17),[5]skilldef!$C:$D,2,FALSE),"-") &amp; " / " &amp; IFERROR(VLOOKUP(MID(N17,O17,P17-O17),[5]skilldef!$A:$B,2,FALSE),"-")</f>
        <v>- / 割合ダメージ</v>
      </c>
      <c r="T17" s="48" t="str">
        <f t="shared" ref="T17" si="70">IFERROR(RIGHT(M17,LEN(M17)-FIND("],",M17)-1),"none")</f>
        <v xml:space="preserve">[effect:enemy_counter, target:myself, invoke_condition:unit_all, counter_target:unit_all, turn:2, val:0.32, animation:enemy_counter]    </v>
      </c>
      <c r="U17" s="63">
        <f t="shared" ref="U17" si="71">FIND("effect:",T17)+7</f>
        <v>9</v>
      </c>
      <c r="V17" s="63">
        <f t="shared" ref="V17" si="72">IFERROR(FIND(",",T17),LEN(T17))</f>
        <v>22</v>
      </c>
      <c r="W17" s="63">
        <f t="shared" ref="W17" si="73">FIND("target:",T17)+7</f>
        <v>31</v>
      </c>
      <c r="X17" s="63">
        <f t="shared" ref="X17" si="74">FIND(",",T17,V17+1)</f>
        <v>37</v>
      </c>
      <c r="Y17" s="63" t="str">
        <f>IFERROR(VLOOKUP(MID(T17,W17,X17-W17),[5]skilldef!$C:$D,2,FALSE),"-") &amp; " / " &amp; IFERROR(VLOOKUP(MID(T17,U17,V17-U17),[5]skilldef!$A:$B,2,FALSE),"-")</f>
        <v>自分自身に / カウンター</v>
      </c>
      <c r="Z17" s="50"/>
      <c r="AA17" s="52"/>
      <c r="AB17" s="50"/>
    </row>
    <row r="18" spans="1:28" ht="21" customHeight="1" x14ac:dyDescent="0.15">
      <c r="A18" s="118">
        <v>48502013</v>
      </c>
      <c r="B18" s="243" t="s">
        <v>494</v>
      </c>
      <c r="C18" s="50">
        <v>1</v>
      </c>
      <c r="D18" s="50" t="s">
        <v>127</v>
      </c>
      <c r="E18" s="160" t="s">
        <v>254</v>
      </c>
      <c r="F18" s="160" t="s">
        <v>304</v>
      </c>
      <c r="G18" s="63" t="str">
        <f t="shared" si="0"/>
        <v>[effect:enemy_message, val1:1.2, val2:2.5]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[effect:attack_break, target:unit_all, turn:2, val:0.4, calc:mul, animation:attack_break02],[effect:rush, val:1, count:1]</v>
      </c>
      <c r="N18" s="48" t="str">
        <f>IFERROR(LEFT(M18,FIND("],",M18)+S32),M18)</f>
        <v>[effect:attack_break, target:unit_all, turn:2, val:0.4, calc:mul, animation:attack_break02],[effect:rush, val:1, count:1]</v>
      </c>
      <c r="O18" s="63">
        <f t="shared" si="6"/>
        <v>9</v>
      </c>
      <c r="P18" s="63">
        <f t="shared" si="7"/>
        <v>21</v>
      </c>
      <c r="Q18" s="63">
        <f t="shared" si="8"/>
        <v>30</v>
      </c>
      <c r="R18" s="63">
        <f t="shared" si="9"/>
        <v>38</v>
      </c>
      <c r="S18" s="63" t="str">
        <f>IFERROR(VLOOKUP(MID(N18,Q18,R18-Q18),[5]skilldef!$C:$D,2,FALSE),"-") &amp; " / " &amp; IFERROR(VLOOKUP(MID(N18,O18,P18-O18),[5]skilldef!$A:$B,2,FALSE),"-")</f>
        <v>味方全体に / -</v>
      </c>
      <c r="T18" s="48" t="str">
        <f t="shared" si="10"/>
        <v>[effect:rush, val:1, count:1]</v>
      </c>
      <c r="U18" s="63">
        <f t="shared" si="11"/>
        <v>9</v>
      </c>
      <c r="V18" s="63">
        <f t="shared" si="12"/>
        <v>13</v>
      </c>
      <c r="W18" s="63" t="e">
        <f t="shared" si="13"/>
        <v>#VALUE!</v>
      </c>
      <c r="X18" s="63">
        <f t="shared" si="14"/>
        <v>20</v>
      </c>
      <c r="Y18" s="63" t="str">
        <f>IFERROR(VLOOKUP(MID(T18,W18,X18-W18),[5]skilldef!$C:$D,2,FALSE),"-") &amp; " / " &amp; IFERROR(VLOOKUP(MID(T18,U18,V18-U18),[5]skilldef!$A:$B,2,FALSE),"-")</f>
        <v>- / 連続攻撃</v>
      </c>
      <c r="Z18" s="50"/>
      <c r="AA18" s="52"/>
      <c r="AB18" s="50"/>
    </row>
    <row r="19" spans="1:28" ht="32" customHeight="1" x14ac:dyDescent="0.15">
      <c r="A19" s="118">
        <v>48502014</v>
      </c>
      <c r="B19" s="177" t="s">
        <v>430</v>
      </c>
      <c r="C19" s="50">
        <v>1</v>
      </c>
      <c r="D19" s="50" t="s">
        <v>127</v>
      </c>
      <c r="E19" s="160" t="s">
        <v>365</v>
      </c>
      <c r="F19" s="160" t="s">
        <v>427</v>
      </c>
      <c r="G19" s="63" t="str">
        <f t="shared" si="0"/>
        <v>[effect:enemy_message, val1:1.2, val2:2.7]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[effect:panel_freeze, target:normal, count:7],[effect:rush, val:0.58, count:2]</v>
      </c>
      <c r="N19" s="48" t="str">
        <f>IFERROR(LEFT(M19,FIND("],",M19)+#REF!),M19)</f>
        <v>[effect:panel_freeze, target:normal, count:7],[effect:rush, val:0.58, count:2]</v>
      </c>
      <c r="O19" s="63">
        <f t="shared" si="6"/>
        <v>9</v>
      </c>
      <c r="P19" s="63">
        <f t="shared" si="7"/>
        <v>21</v>
      </c>
      <c r="Q19" s="63">
        <f t="shared" si="8"/>
        <v>30</v>
      </c>
      <c r="R19" s="63">
        <f t="shared" si="9"/>
        <v>36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[effect:rush, val:0.58, count:2]</v>
      </c>
      <c r="U19" s="63">
        <f t="shared" si="11"/>
        <v>9</v>
      </c>
      <c r="V19" s="63">
        <f t="shared" si="12"/>
        <v>13</v>
      </c>
      <c r="W19" s="63" t="e">
        <f t="shared" si="13"/>
        <v>#VALUE!</v>
      </c>
      <c r="X19" s="63">
        <f t="shared" si="14"/>
        <v>23</v>
      </c>
      <c r="Y19" s="63" t="str">
        <f>IFERROR(VLOOKUP(MID(T19,W19,X19-W19),[5]skilldef!$C:$D,2,FALSE),"-") &amp; " / " &amp; IFERROR(VLOOKUP(MID(T19,U19,V19-U19),[5]skilldef!$A:$B,2,FALSE),"-")</f>
        <v>- / 連続攻撃</v>
      </c>
      <c r="Z19" s="50"/>
      <c r="AA19" s="52"/>
      <c r="AB19" s="50"/>
    </row>
    <row r="20" spans="1:28" ht="32" customHeight="1" x14ac:dyDescent="0.15">
      <c r="A20" s="205">
        <v>48502114</v>
      </c>
      <c r="B20" s="206" t="s">
        <v>444</v>
      </c>
      <c r="C20" s="207">
        <v>1</v>
      </c>
      <c r="D20" s="207" t="s">
        <v>127</v>
      </c>
      <c r="E20" s="204" t="s">
        <v>365</v>
      </c>
      <c r="F20" s="204" t="s">
        <v>428</v>
      </c>
      <c r="G20" s="63" t="str">
        <f t="shared" ref="G20" si="75">IFERROR(LEFT(B20,FIND("],",B20)),B20)</f>
        <v>[effect:enemy_message, val1:1.2, val2:2.7]</v>
      </c>
      <c r="H20" s="63">
        <f t="shared" ref="H20" si="76">FIND("effect:",G20)+7</f>
        <v>9</v>
      </c>
      <c r="I20" s="63">
        <f t="shared" ref="I20" si="77">IFERROR(FIND(",",G20),LEN(G20))</f>
        <v>22</v>
      </c>
      <c r="J20" s="63" t="e">
        <f t="shared" ref="J20" si="78">FIND("target:",G20)+7</f>
        <v>#VALUE!</v>
      </c>
      <c r="K20" s="63">
        <f t="shared" ref="K20" si="79">FIND(",",G20,I20+1)</f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ref="M20" si="80">IFERROR(RIGHT(B20,LEN(B20)-FIND("],",B20)-1),"none")</f>
        <v>[effect:panel_freeze, target:normal, count:4],[effect:rush, val:0.52, count:2]</v>
      </c>
      <c r="N20" s="48" t="str">
        <f>IFERROR(LEFT(M20,FIND("],",M20)+#REF!),M20)</f>
        <v>[effect:panel_freeze, target:normal, count:4],[effect:rush, val:0.52, count:2]</v>
      </c>
      <c r="O20" s="63">
        <f t="shared" ref="O20" si="81">FIND("effect:",N20)+7</f>
        <v>9</v>
      </c>
      <c r="P20" s="63">
        <f t="shared" ref="P20" si="82">IFERROR(FIND(",",N20),LEN(N20))</f>
        <v>21</v>
      </c>
      <c r="Q20" s="63">
        <f t="shared" ref="Q20" si="83">FIND("target:",N20)+7</f>
        <v>30</v>
      </c>
      <c r="R20" s="63">
        <f t="shared" ref="R20" si="84">FIND(",",N20,P20+1)</f>
        <v>36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85">IFERROR(RIGHT(M20,LEN(M20)-FIND("],",M20)-1),"none")</f>
        <v>[effect:rush, val:0.52, count:2]</v>
      </c>
      <c r="U20" s="63">
        <f t="shared" ref="U20" si="86">FIND("effect:",T20)+7</f>
        <v>9</v>
      </c>
      <c r="V20" s="63">
        <f t="shared" ref="V20" si="87">IFERROR(FIND(",",T20),LEN(T20))</f>
        <v>13</v>
      </c>
      <c r="W20" s="63" t="e">
        <f t="shared" ref="W20" si="88">FIND("target:",T20)+7</f>
        <v>#VALUE!</v>
      </c>
      <c r="X20" s="63">
        <f t="shared" ref="X20" si="89">FIND(",",T20,V20+1)</f>
        <v>23</v>
      </c>
      <c r="Y20" s="63" t="str">
        <f>IFERROR(VLOOKUP(MID(T20,W20,X20-W20),[5]skilldef!$C:$D,2,FALSE),"-") &amp; " / " &amp; IFERROR(VLOOKUP(MID(T20,U20,V20-U20),[5]skilldef!$A:$B,2,FALSE),"-")</f>
        <v>- / 連続攻撃</v>
      </c>
      <c r="Z20" s="50"/>
      <c r="AA20" s="52"/>
      <c r="AB20" s="50"/>
    </row>
    <row r="21" spans="1:28" ht="21" customHeight="1" x14ac:dyDescent="0.15">
      <c r="A21" s="118">
        <v>48502015</v>
      </c>
      <c r="B21" s="177" t="s">
        <v>476</v>
      </c>
      <c r="C21" s="50">
        <v>1</v>
      </c>
      <c r="D21" s="50" t="s">
        <v>127</v>
      </c>
      <c r="E21" s="160" t="s">
        <v>359</v>
      </c>
      <c r="F21" s="160" t="s">
        <v>313</v>
      </c>
      <c r="G21" s="63" t="str">
        <f t="shared" si="0"/>
        <v>[effect:enemy_message, val1:1.3, val2:2.1]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 xml:space="preserve">[effect:damage_anti_tribe, target:unit_all, tribe:machine, val1:1.7, val2:0.22]    </v>
      </c>
      <c r="N21" s="48" t="str">
        <f>IFERROR(LEFT(M21,FIND("],",M21)+#REF!),M21)</f>
        <v xml:space="preserve">[effect:damage_anti_tribe, target:unit_all, tribe:machine, val1:1.7, val2:0.22]    </v>
      </c>
      <c r="O21" s="63">
        <f t="shared" si="6"/>
        <v>9</v>
      </c>
      <c r="P21" s="63">
        <f t="shared" si="7"/>
        <v>26</v>
      </c>
      <c r="Q21" s="63">
        <f t="shared" si="8"/>
        <v>35</v>
      </c>
      <c r="R21" s="63">
        <f t="shared" si="9"/>
        <v>43</v>
      </c>
      <c r="S21" s="63" t="str">
        <f>IFERROR(VLOOKUP(MID(N21,Q21,R21-Q21),[5]skilldef!$C:$D,2,FALSE),"-") &amp; " / " &amp; IFERROR(VLOOKUP(MID(N21,O21,P21-O21),[5]skilldef!$A:$B,2,FALSE),"-")</f>
        <v>味方全体に / 種族キラー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18">
        <v>48502016</v>
      </c>
      <c r="B22" s="177" t="s">
        <v>408</v>
      </c>
      <c r="C22" s="50">
        <v>1</v>
      </c>
      <c r="D22" s="50" t="s">
        <v>127</v>
      </c>
      <c r="E22" s="51" t="s">
        <v>255</v>
      </c>
      <c r="F22" s="51" t="s">
        <v>315</v>
      </c>
      <c r="G22" s="63" t="str">
        <f t="shared" si="0"/>
        <v>[effect:enemy_message, val1:1.2, val2:1.2]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[effect:tolerance, target:myself, turn:-1, count:-1, tolerance_effect:all, animation:enemy_tolerance],[effect:fix_speed, target:myself, turn:1]</v>
      </c>
      <c r="N22" s="48" t="str">
        <f>IFERROR(LEFT(M22,FIND("],",M22)+S33),M22)</f>
        <v>[effect:tolerance, target:myself, turn:-1, count:-1, tolerance_effect:all, animation:enemy_tolerance],[effect:fix_speed, target:myself, turn:1]</v>
      </c>
      <c r="O22" s="63">
        <f t="shared" si="6"/>
        <v>9</v>
      </c>
      <c r="P22" s="63">
        <f t="shared" si="7"/>
        <v>18</v>
      </c>
      <c r="Q22" s="63">
        <f t="shared" si="8"/>
        <v>27</v>
      </c>
      <c r="R22" s="63">
        <f t="shared" si="9"/>
        <v>33</v>
      </c>
      <c r="S22" s="63" t="str">
        <f>IFERROR(VLOOKUP(MID(N22,Q22,R22-Q22),[5]skilldef!$C:$D,2,FALSE),"-") &amp; " / " &amp; IFERROR(VLOOKUP(MID(N22,O22,P22-O22),[5]skilldef!$A:$B,2,FALSE),"-")</f>
        <v>自分自身に / 状態異常耐性</v>
      </c>
      <c r="T22" s="48" t="str">
        <f t="shared" si="10"/>
        <v>[effect:fix_speed, target:myself, turn:1]</v>
      </c>
      <c r="U22" s="63">
        <f t="shared" si="11"/>
        <v>9</v>
      </c>
      <c r="V22" s="63">
        <f t="shared" si="12"/>
        <v>18</v>
      </c>
      <c r="W22" s="63">
        <f t="shared" si="13"/>
        <v>27</v>
      </c>
      <c r="X22" s="63">
        <f t="shared" si="14"/>
        <v>33</v>
      </c>
      <c r="Y22" s="63" t="str">
        <f>IFERROR(VLOOKUP(MID(T22,W22,X22-W22),[5]skilldef!$C:$D,2,FALSE),"-") &amp; " / " &amp; IFERROR(VLOOKUP(MID(T22,U22,V22-U22),[5]skilldef!$A:$B,2,FALSE),"-")</f>
        <v>自分自身に / 行動値設定</v>
      </c>
      <c r="Z22" s="50"/>
      <c r="AA22" s="52"/>
      <c r="AB22" s="50"/>
    </row>
    <row r="23" spans="1:28" ht="21" customHeight="1" x14ac:dyDescent="0.15">
      <c r="A23" s="118">
        <v>48502017</v>
      </c>
      <c r="B23" s="177" t="s">
        <v>453</v>
      </c>
      <c r="C23" s="50">
        <v>1</v>
      </c>
      <c r="D23" s="50" t="s">
        <v>127</v>
      </c>
      <c r="E23" s="51" t="s">
        <v>367</v>
      </c>
      <c r="F23" s="51" t="s">
        <v>432</v>
      </c>
      <c r="G23" s="63" t="str">
        <f t="shared" si="0"/>
        <v>[effect:enemy_message, val1:1.3, val2:1.2]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 xml:space="preserve">[effect:virus, target:unit_all, turn:5, rate:1, val:0.4, animation:enemy_virus]    </v>
      </c>
      <c r="N23" s="48" t="str">
        <f>IFERROR(LEFT(M23,FIND("],",M23)+#REF!),M23)</f>
        <v xml:space="preserve">[effect:virus, target:unit_all, turn:5, rate:1, val:0.4, animation:enemy_virus]    </v>
      </c>
      <c r="O23" s="63">
        <f t="shared" si="6"/>
        <v>9</v>
      </c>
      <c r="P23" s="63">
        <f t="shared" si="7"/>
        <v>14</v>
      </c>
      <c r="Q23" s="63">
        <f t="shared" si="8"/>
        <v>23</v>
      </c>
      <c r="R23" s="63">
        <f t="shared" si="9"/>
        <v>31</v>
      </c>
      <c r="S23" s="63" t="str">
        <f>IFERROR(VLOOKUP(MID(N23,Q23,R23-Q23),[5]skilldef!$C:$D,2,FALSE),"-") &amp; " / " &amp; IFERROR(VLOOKUP(MID(N23,O23,P23-O23),[5]skilldef!$A:$B,2,FALSE),"-")</f>
        <v>味方全体に / ウィルス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205">
        <v>48502117</v>
      </c>
      <c r="B24" s="206" t="s">
        <v>454</v>
      </c>
      <c r="C24" s="207">
        <v>1</v>
      </c>
      <c r="D24" s="207" t="s">
        <v>127</v>
      </c>
      <c r="E24" s="204" t="s">
        <v>366</v>
      </c>
      <c r="F24" s="204" t="s">
        <v>445</v>
      </c>
      <c r="G24" s="63" t="str">
        <f t="shared" ref="G24" si="90">IFERROR(LEFT(B24,FIND("],",B24)),B24)</f>
        <v>[effect:enemy_message, val1:1.3, val2:1.2]</v>
      </c>
      <c r="H24" s="63">
        <f t="shared" ref="H24" si="91">FIND("effect:",G24)+7</f>
        <v>9</v>
      </c>
      <c r="I24" s="63">
        <f t="shared" ref="I24" si="92">IFERROR(FIND(",",G24),LEN(G24))</f>
        <v>22</v>
      </c>
      <c r="J24" s="63" t="e">
        <f t="shared" ref="J24" si="93">FIND("target:",G24)+7</f>
        <v>#VALUE!</v>
      </c>
      <c r="K24" s="63">
        <f t="shared" ref="K24" si="94">FIND(",",G24,I24+1)</f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ref="M24" si="95">IFERROR(RIGHT(B24,LEN(B24)-FIND("],",B24)-1),"none")</f>
        <v xml:space="preserve">[effect:virus, target:unit_all, turn:3, rate:1, val:0.15, animation:enemy_virus]    </v>
      </c>
      <c r="N24" s="48" t="str">
        <f>IFERROR(LEFT(M24,FIND("],",M24)+#REF!),M24)</f>
        <v xml:space="preserve">[effect:virus, target:unit_all, turn:3, rate:1, val:0.15, animation:enemy_virus]    </v>
      </c>
      <c r="O24" s="63">
        <f t="shared" ref="O24" si="96">FIND("effect:",N24)+7</f>
        <v>9</v>
      </c>
      <c r="P24" s="63">
        <f t="shared" ref="P24" si="97">IFERROR(FIND(",",N24),LEN(N24))</f>
        <v>14</v>
      </c>
      <c r="Q24" s="63">
        <f t="shared" ref="Q24" si="98">FIND("target:",N24)+7</f>
        <v>23</v>
      </c>
      <c r="R24" s="63">
        <f t="shared" ref="R24" si="99">FIND(",",N24,P24+1)</f>
        <v>31</v>
      </c>
      <c r="S24" s="63" t="str">
        <f>IFERROR(VLOOKUP(MID(N24,Q24,R24-Q24),[5]skilldef!$C:$D,2,FALSE),"-") &amp; " / " &amp; IFERROR(VLOOKUP(MID(N24,O24,P24-O24),[5]skilldef!$A:$B,2,FALSE),"-")</f>
        <v>味方全体に / ウィルス</v>
      </c>
      <c r="T24" s="48" t="str">
        <f t="shared" ref="T24" si="100">IFERROR(RIGHT(M24,LEN(M24)-FIND("],",M24)-1),"none")</f>
        <v>none</v>
      </c>
      <c r="U24" s="63" t="e">
        <f t="shared" ref="U24" si="101">FIND("effect:",T24)+7</f>
        <v>#VALUE!</v>
      </c>
      <c r="V24" s="63">
        <f t="shared" ref="V24" si="102">IFERROR(FIND(",",T24),LEN(T24))</f>
        <v>4</v>
      </c>
      <c r="W24" s="63" t="e">
        <f t="shared" ref="W24" si="103">FIND("target:",T24)+7</f>
        <v>#VALUE!</v>
      </c>
      <c r="X24" s="63" t="e">
        <f t="shared" ref="X24" si="104">FIND(",",T24,V24+1)</f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118">
        <v>48502018</v>
      </c>
      <c r="B25" s="177" t="s">
        <v>327</v>
      </c>
      <c r="C25" s="50">
        <v>1</v>
      </c>
      <c r="D25" s="50" t="s">
        <v>127</v>
      </c>
      <c r="E25" s="51" t="s">
        <v>266</v>
      </c>
      <c r="F25" s="51" t="s">
        <v>307</v>
      </c>
      <c r="G25" s="63" t="str">
        <f t="shared" si="0"/>
        <v>[effect:enemy_message, val1:1.2, val2:1.3]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>[effect:damage_gravity, val:0.4, animation:fevergauge_down]</v>
      </c>
      <c r="N25" s="48" t="str">
        <f>IFERROR(LEFT(M25,FIND("],",M25)+S39),M25)</f>
        <v>[effect:damage_gravity, val:0.4, animation:fevergauge_down]</v>
      </c>
      <c r="O25" s="63">
        <f t="shared" si="6"/>
        <v>9</v>
      </c>
      <c r="P25" s="63">
        <f t="shared" si="7"/>
        <v>23</v>
      </c>
      <c r="Q25" s="63" t="e">
        <f t="shared" si="8"/>
        <v>#VALUE!</v>
      </c>
      <c r="R25" s="63">
        <f t="shared" si="9"/>
        <v>32</v>
      </c>
      <c r="S25" s="63" t="str">
        <f>IFERROR(VLOOKUP(MID(N25,Q25,R25-Q25),[5]skilldef!$C:$D,2,FALSE),"-") &amp; " / " &amp; IFERROR(VLOOKUP(MID(N25,O25,P25-O25),[5]skilldef!$A:$B,2,FALSE),"-")</f>
        <v>- / 割合ダメージ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118">
        <v>48502019</v>
      </c>
      <c r="B26" s="177" t="s">
        <v>465</v>
      </c>
      <c r="C26" s="50">
        <v>1</v>
      </c>
      <c r="D26" s="50" t="s">
        <v>127</v>
      </c>
      <c r="E26" s="51" t="s">
        <v>446</v>
      </c>
      <c r="F26" s="51" t="s">
        <v>291</v>
      </c>
      <c r="G26" s="63" t="str">
        <f t="shared" si="0"/>
        <v>[effect:enemy_message, val1:1.5, val2:2.2]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 xml:space="preserve">[effect:damage_anti_abnormal, target:unit_all, target_effect01:virus, val1:0.38, val2:0.12]    </v>
      </c>
      <c r="N26" s="48" t="str">
        <f t="shared" ref="N26" si="105">IFERROR(LEFT(M26,FIND("],",M26)+S34),M26)</f>
        <v xml:space="preserve">[effect:damage_anti_abnormal, target:unit_all, target_effect01:virus, val1:0.38, val2:0.12]    </v>
      </c>
      <c r="O26" s="63">
        <f t="shared" si="6"/>
        <v>9</v>
      </c>
      <c r="P26" s="63">
        <f t="shared" si="7"/>
        <v>29</v>
      </c>
      <c r="Q26" s="63">
        <f t="shared" si="8"/>
        <v>38</v>
      </c>
      <c r="R26" s="63">
        <f t="shared" si="9"/>
        <v>46</v>
      </c>
      <c r="S26" s="63" t="str">
        <f>IFERROR(VLOOKUP(MID(N26,Q26,R26-Q26),[5]skilldef!$C:$D,2,FALSE),"-") &amp; " / " &amp; IFERROR(VLOOKUP(MID(N26,O26,P26-O26),[5]skilldef!$A:$B,2,FALSE),"-")</f>
        <v>味方全体に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18">
        <v>48502020</v>
      </c>
      <c r="B27" s="177" t="s">
        <v>363</v>
      </c>
      <c r="C27" s="50">
        <v>1</v>
      </c>
      <c r="D27" s="50" t="s">
        <v>127</v>
      </c>
      <c r="E27" s="51" t="s">
        <v>256</v>
      </c>
      <c r="F27" s="51" t="s">
        <v>362</v>
      </c>
      <c r="G27" s="63" t="str">
        <f t="shared" si="0"/>
        <v>[effect:enemy_message, val1:1.5, val2:1.8]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[effect:panel_freeze, target:normal, color:block_heart, count:-1],[effect:rush, val:0.48, count:2]</v>
      </c>
      <c r="N27" s="48" t="str">
        <f>IFERROR(LEFT(M27,FIND("],",M27)+S36),M27)</f>
        <v>[effect:panel_freeze, target:normal, color:block_heart, count:-1],[effect:rush, val:0.48, count:2]</v>
      </c>
      <c r="O27" s="63">
        <f t="shared" si="6"/>
        <v>9</v>
      </c>
      <c r="P27" s="63">
        <f t="shared" si="7"/>
        <v>21</v>
      </c>
      <c r="Q27" s="63">
        <f t="shared" si="8"/>
        <v>30</v>
      </c>
      <c r="R27" s="63">
        <f t="shared" si="9"/>
        <v>36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[effect:rush, val:0.48, count:2]</v>
      </c>
      <c r="U27" s="63">
        <f t="shared" si="11"/>
        <v>9</v>
      </c>
      <c r="V27" s="63">
        <f t="shared" si="12"/>
        <v>13</v>
      </c>
      <c r="W27" s="63" t="e">
        <f t="shared" si="13"/>
        <v>#VALUE!</v>
      </c>
      <c r="X27" s="63">
        <f t="shared" si="14"/>
        <v>23</v>
      </c>
      <c r="Y27" s="63" t="str">
        <f>IFERROR(VLOOKUP(MID(T27,W27,X27-W27),[5]skilldef!$C:$D,2,FALSE),"-") &amp; " / " &amp; IFERROR(VLOOKUP(MID(T27,U27,V27-U27),[5]skilldef!$A:$B,2,FALSE),"-")</f>
        <v>- / 連続攻撃</v>
      </c>
      <c r="Z27" s="50"/>
      <c r="AA27" s="52"/>
      <c r="AB27" s="50"/>
    </row>
    <row r="28" spans="1:28" ht="21" customHeight="1" x14ac:dyDescent="0.15">
      <c r="A28" s="118">
        <v>48502021</v>
      </c>
      <c r="B28" s="177" t="s">
        <v>409</v>
      </c>
      <c r="C28" s="50">
        <v>1</v>
      </c>
      <c r="D28" s="50" t="s">
        <v>127</v>
      </c>
      <c r="E28" s="51" t="s">
        <v>393</v>
      </c>
      <c r="F28" s="51" t="s">
        <v>292</v>
      </c>
      <c r="G28" s="63" t="str">
        <f t="shared" si="0"/>
        <v>[effect:enemy_message, val1:1.3, val2:1.3]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[effect:break_attack_fix, target:unit_one, val:400, lowest_val:4500, count:-1, block01:block_heart, ignore01:crack_bomb, ignore02:color_break, ignore03:magnet]</v>
      </c>
      <c r="N28" s="48" t="str">
        <f>IFERROR(LEFT(M28,FIND("],",M28)+S38),M28)</f>
        <v>[effect:break_attack_fix, target:unit_one, val:400, lowest_val:4500, count:-1, block01:block_heart, ignore01:crack_bomb, ignore02:color_break, ignore03:magnet]</v>
      </c>
      <c r="O28" s="63">
        <f t="shared" si="6"/>
        <v>9</v>
      </c>
      <c r="P28" s="63">
        <f t="shared" si="7"/>
        <v>25</v>
      </c>
      <c r="Q28" s="63">
        <f t="shared" si="8"/>
        <v>34</v>
      </c>
      <c r="R28" s="63">
        <f t="shared" si="9"/>
        <v>42</v>
      </c>
      <c r="S28" s="63" t="str">
        <f>IFERROR(VLOOKUP(MID(N28,Q28,R28-Q28),[5]skilldef!$C:$D,2,FALSE),"-") &amp; " / " &amp; IFERROR(VLOOKUP(MID(N28,O28,P28-O28),[5]skilldef!$A:$B,2,FALSE),"-")</f>
        <v>味方単体に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205">
        <v>48502121</v>
      </c>
      <c r="B29" s="206" t="s">
        <v>447</v>
      </c>
      <c r="C29" s="207">
        <v>1</v>
      </c>
      <c r="D29" s="207" t="s">
        <v>127</v>
      </c>
      <c r="E29" s="204" t="s">
        <v>394</v>
      </c>
      <c r="F29" s="204" t="s">
        <v>292</v>
      </c>
      <c r="G29" s="63" t="str">
        <f t="shared" ref="G29" si="106">IFERROR(LEFT(B29,FIND("],",B29)),B29)</f>
        <v>[effect:enemy_message, val1:1.3, val2:1.3]</v>
      </c>
      <c r="H29" s="63">
        <f t="shared" ref="H29" si="107">FIND("effect:",G29)+7</f>
        <v>9</v>
      </c>
      <c r="I29" s="63">
        <f t="shared" ref="I29" si="108">IFERROR(FIND(",",G29),LEN(G29))</f>
        <v>22</v>
      </c>
      <c r="J29" s="63" t="e">
        <f t="shared" ref="J29" si="109">FIND("target:",G29)+7</f>
        <v>#VALUE!</v>
      </c>
      <c r="K29" s="63">
        <f t="shared" ref="K29" si="110">FIND(",",G29,I29+1)</f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ref="M29" si="111">IFERROR(RIGHT(B29,LEN(B29)-FIND("],",B29)-1),"none")</f>
        <v>[effect:break_attack_fix, target:unit_one, val:350, lowest_val:3000, count:-1, block01:block_heart, ignore01:crack_bomb, ignore02:color_break, ignore03:magnet]</v>
      </c>
      <c r="N29" s="48" t="str">
        <f>IFERROR(LEFT(M29,FIND("],",M29)+S39),M29)</f>
        <v>[effect:break_attack_fix, target:unit_one, val:350, lowest_val:3000, count:-1, block01:block_heart, ignore01:crack_bomb, ignore02:color_break, ignore03:magnet]</v>
      </c>
      <c r="O29" s="63">
        <f t="shared" ref="O29" si="112">FIND("effect:",N29)+7</f>
        <v>9</v>
      </c>
      <c r="P29" s="63">
        <f t="shared" ref="P29" si="113">IFERROR(FIND(",",N29),LEN(N29))</f>
        <v>25</v>
      </c>
      <c r="Q29" s="63">
        <f t="shared" ref="Q29" si="114">FIND("target:",N29)+7</f>
        <v>34</v>
      </c>
      <c r="R29" s="63">
        <f t="shared" ref="R29" si="115">FIND(",",N29,P29+1)</f>
        <v>42</v>
      </c>
      <c r="S29" s="63" t="str">
        <f>IFERROR(VLOOKUP(MID(N29,Q29,R29-Q29),[5]skilldef!$C:$D,2,FALSE),"-") &amp; " / " &amp; IFERROR(VLOOKUP(MID(N29,O29,P29-O29),[5]skilldef!$A:$B,2,FALSE),"-")</f>
        <v>味方単体に / -</v>
      </c>
      <c r="T29" s="48" t="str">
        <f t="shared" ref="T29" si="116">IFERROR(RIGHT(M29,LEN(M29)-FIND("],",M29)-1),"none")</f>
        <v>none</v>
      </c>
      <c r="U29" s="63" t="e">
        <f t="shared" ref="U29" si="117">FIND("effect:",T29)+7</f>
        <v>#VALUE!</v>
      </c>
      <c r="V29" s="63">
        <f t="shared" ref="V29" si="118">IFERROR(FIND(",",T29),LEN(T29))</f>
        <v>4</v>
      </c>
      <c r="W29" s="63" t="e">
        <f t="shared" ref="W29" si="119">FIND("target:",T29)+7</f>
        <v>#VALUE!</v>
      </c>
      <c r="X29" s="63" t="e">
        <f t="shared" ref="X29" si="120">FIND(",",T29,V29+1)</f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118">
        <v>48502022</v>
      </c>
      <c r="B30" s="177" t="s">
        <v>466</v>
      </c>
      <c r="C30" s="50">
        <v>1</v>
      </c>
      <c r="D30" s="50" t="s">
        <v>127</v>
      </c>
      <c r="E30" s="51" t="s">
        <v>257</v>
      </c>
      <c r="F30" s="51" t="s">
        <v>344</v>
      </c>
      <c r="G30" s="63" t="str">
        <f t="shared" si="0"/>
        <v>[effect:enemy_message, val1:1.2, val2:1.8]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5"/>
        <v>[effect:damage_abnormal, target:unit_one, val:0.3, status:virus, turn:2, rate:1, val_abnormal:0.22, animation:enemy_virus],[effect:damage_abnormal, target:unit_one, val:0.3, status:virus, turn:2, rate:1, val_abnormal:0.22, animation:enemy_virus],[effect:damage_abnormal, target:unit_one, val:0.3, status:virus, turn:2, rate:1, val_abnormal:0.22, animation:enemy_virus]</v>
      </c>
      <c r="N30" s="48" t="str">
        <f>IFERROR(LEFT(M30,FIND("],",M30)+S40),M30)</f>
        <v>[effect:damage_abnormal, target:unit_one, val:0.3, status:virus, turn:2, rate:1, val_abnormal:0.22, animation:enemy_virus],[effect:damage_abnormal, target:unit_one, val:0.3, status:virus, turn:2, rate:1, val_abnormal:0.22, animation:enemy_virus],[effect:damage_abnormal, target:unit_one, val:0.3, status:virus, turn:2, rate:1, val_abnormal:0.22, animation:enemy_virus]</v>
      </c>
      <c r="O30" s="63">
        <f t="shared" si="6"/>
        <v>9</v>
      </c>
      <c r="P30" s="63">
        <f t="shared" si="7"/>
        <v>24</v>
      </c>
      <c r="Q30" s="63">
        <f t="shared" si="8"/>
        <v>33</v>
      </c>
      <c r="R30" s="63">
        <f t="shared" si="9"/>
        <v>41</v>
      </c>
      <c r="S30" s="63" t="str">
        <f>IFERROR(VLOOKUP(MID(N30,Q30,R30-Q30),[5]skilldef!$C:$D,2,FALSE),"-") &amp; " / " &amp; IFERROR(VLOOKUP(MID(N30,O30,P30-O30),[5]skilldef!$A:$B,2,FALSE),"-")</f>
        <v>味方単体に / -</v>
      </c>
      <c r="T30" s="48" t="str">
        <f t="shared" si="10"/>
        <v>[effect:damage_abnormal, target:unit_one, val:0.3, status:virus, turn:2, rate:1, val_abnormal:0.22, animation:enemy_virus],[effect:damage_abnormal, target:unit_one, val:0.3, status:virus, turn:2, rate:1, val_abnormal:0.22, animation:enemy_virus]</v>
      </c>
      <c r="U30" s="63">
        <f t="shared" si="11"/>
        <v>9</v>
      </c>
      <c r="V30" s="63">
        <f t="shared" si="12"/>
        <v>24</v>
      </c>
      <c r="W30" s="63">
        <f t="shared" si="13"/>
        <v>33</v>
      </c>
      <c r="X30" s="63">
        <f t="shared" si="14"/>
        <v>41</v>
      </c>
      <c r="Y30" s="63" t="str">
        <f>IFERROR(VLOOKUP(MID(T30,W30,X30-W30),[5]skilldef!$C:$D,2,FALSE),"-") &amp; " / " &amp; IFERROR(VLOOKUP(MID(T30,U30,V30-U30),[5]skilldef!$A:$B,2,FALSE),"-")</f>
        <v>味方単体に / -</v>
      </c>
      <c r="Z30" s="50"/>
      <c r="AA30" s="52"/>
      <c r="AB30" s="50"/>
    </row>
    <row r="31" spans="1:28" ht="21" customHeight="1" x14ac:dyDescent="0.15">
      <c r="A31" s="205">
        <v>48502122</v>
      </c>
      <c r="B31" s="206" t="s">
        <v>468</v>
      </c>
      <c r="C31" s="207">
        <v>1</v>
      </c>
      <c r="D31" s="207" t="s">
        <v>127</v>
      </c>
      <c r="E31" s="204" t="s">
        <v>257</v>
      </c>
      <c r="F31" s="204" t="s">
        <v>467</v>
      </c>
      <c r="G31" s="63" t="str">
        <f t="shared" ref="G31" si="121">IFERROR(LEFT(B31,FIND("],",B31)),B31)</f>
        <v>[effect:enemy_message, val1:1.2, val2:1.5]</v>
      </c>
      <c r="H31" s="63">
        <f t="shared" ref="H31" si="122">FIND("effect:",G31)+7</f>
        <v>9</v>
      </c>
      <c r="I31" s="63">
        <f t="shared" ref="I31" si="123">IFERROR(FIND(",",G31),LEN(G31))</f>
        <v>22</v>
      </c>
      <c r="J31" s="63" t="e">
        <f t="shared" ref="J31" si="124">FIND("target:",G31)+7</f>
        <v>#VALUE!</v>
      </c>
      <c r="K31" s="63">
        <f t="shared" ref="K31" si="125">FIND(",",G31,I31+1)</f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ref="M31" si="126">IFERROR(RIGHT(B31,LEN(B31)-FIND("],",B31)-1),"none")</f>
        <v>[effect:damage_abnormal, target:unit_one, val:0.28, status:virus, turn:2, rate:1, val_abnormal:0.17, animation:enemy_virus],[effect:damage_abnormal, target:unit_one, val:0.28, status:virus, turn:2, rate:1, val_abnormal:0.17, animation:enemy_virus],[effect:damage_abnormal, target:unit_one, val:0.28, status:virus, turn:2, rate:1, val_abnormal:0.17, animation:enemy_virus]</v>
      </c>
      <c r="N31" s="48" t="str">
        <f>IFERROR(LEFT(M31,FIND("],",M31)+S41),M31)</f>
        <v>[effect:damage_abnormal, target:unit_one, val:0.28, status:virus, turn:2, rate:1, val_abnormal:0.17, animation:enemy_virus],[effect:damage_abnormal, target:unit_one, val:0.28, status:virus, turn:2, rate:1, val_abnormal:0.17, animation:enemy_virus],[effect:damage_abnormal, target:unit_one, val:0.28, status:virus, turn:2, rate:1, val_abnormal:0.17, animation:enemy_virus]</v>
      </c>
      <c r="O31" s="63">
        <f t="shared" ref="O31" si="127">FIND("effect:",N31)+7</f>
        <v>9</v>
      </c>
      <c r="P31" s="63">
        <f t="shared" ref="P31" si="128">IFERROR(FIND(",",N31),LEN(N31))</f>
        <v>24</v>
      </c>
      <c r="Q31" s="63">
        <f t="shared" ref="Q31" si="129">FIND("target:",N31)+7</f>
        <v>33</v>
      </c>
      <c r="R31" s="63">
        <f t="shared" ref="R31" si="130">FIND(",",N31,P31+1)</f>
        <v>41</v>
      </c>
      <c r="S31" s="63" t="str">
        <f>IFERROR(VLOOKUP(MID(N31,Q31,R31-Q31),[5]skilldef!$C:$D,2,FALSE),"-") &amp; " / " &amp; IFERROR(VLOOKUP(MID(N31,O31,P31-O31),[5]skilldef!$A:$B,2,FALSE),"-")</f>
        <v>味方単体に / -</v>
      </c>
      <c r="T31" s="48" t="str">
        <f t="shared" ref="T31" si="131">IFERROR(RIGHT(M31,LEN(M31)-FIND("],",M31)-1),"none")</f>
        <v>[effect:damage_abnormal, target:unit_one, val:0.28, status:virus, turn:2, rate:1, val_abnormal:0.17, animation:enemy_virus],[effect:damage_abnormal, target:unit_one, val:0.28, status:virus, turn:2, rate:1, val_abnormal:0.17, animation:enemy_virus]</v>
      </c>
      <c r="U31" s="63">
        <f t="shared" ref="U31" si="132">FIND("effect:",T31)+7</f>
        <v>9</v>
      </c>
      <c r="V31" s="63">
        <f t="shared" ref="V31" si="133">IFERROR(FIND(",",T31),LEN(T31))</f>
        <v>24</v>
      </c>
      <c r="W31" s="63">
        <f t="shared" ref="W31" si="134">FIND("target:",T31)+7</f>
        <v>33</v>
      </c>
      <c r="X31" s="63">
        <f t="shared" ref="X31" si="135">FIND(",",T31,V31+1)</f>
        <v>41</v>
      </c>
      <c r="Y31" s="63" t="str">
        <f>IFERROR(VLOOKUP(MID(T31,W31,X31-W31),[5]skilldef!$C:$D,2,FALSE),"-") &amp; " / " &amp; IFERROR(VLOOKUP(MID(T31,U31,V31-U31),[5]skilldef!$A:$B,2,FALSE),"-")</f>
        <v>味方単体に / -</v>
      </c>
      <c r="Z31" s="50"/>
      <c r="AA31" s="52"/>
      <c r="AB31" s="50"/>
    </row>
    <row r="32" spans="1:28" ht="21" customHeight="1" x14ac:dyDescent="0.15">
      <c r="A32" s="118">
        <v>48502023</v>
      </c>
      <c r="B32" s="177" t="s">
        <v>448</v>
      </c>
      <c r="C32" s="50">
        <v>1</v>
      </c>
      <c r="D32" s="50" t="s">
        <v>127</v>
      </c>
      <c r="E32" s="51" t="s">
        <v>368</v>
      </c>
      <c r="F32" s="51" t="s">
        <v>293</v>
      </c>
      <c r="G32" s="63" t="str">
        <f t="shared" si="0"/>
        <v>[effect:enemy_message, val1:1.2, val2:1.8]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5"/>
        <v>[effect:panel_freeze, target:normal, color:block_heart, count:-1],[effect:rush, val:0.45, count:2]</v>
      </c>
      <c r="N32" s="48" t="str">
        <f>IFERROR(LEFT(M32,FIND("],",M32)+S41),M32)</f>
        <v>[effect:panel_freeze, target:normal, color:block_heart, count:-1],[effect:rush, val:0.45, count:2]</v>
      </c>
      <c r="O32" s="63">
        <f t="shared" si="6"/>
        <v>9</v>
      </c>
      <c r="P32" s="63">
        <f t="shared" si="7"/>
        <v>21</v>
      </c>
      <c r="Q32" s="63">
        <f t="shared" si="8"/>
        <v>30</v>
      </c>
      <c r="R32" s="63">
        <f t="shared" si="9"/>
        <v>36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10"/>
        <v>[effect:rush, val:0.45, count:2]</v>
      </c>
      <c r="U32" s="63">
        <f t="shared" si="11"/>
        <v>9</v>
      </c>
      <c r="V32" s="63">
        <f t="shared" si="12"/>
        <v>13</v>
      </c>
      <c r="W32" s="63" t="e">
        <f t="shared" si="13"/>
        <v>#VALUE!</v>
      </c>
      <c r="X32" s="63">
        <f t="shared" si="14"/>
        <v>23</v>
      </c>
      <c r="Y32" s="63" t="str">
        <f>IFERROR(VLOOKUP(MID(T32,W32,X32-W32),[5]skilldef!$C:$D,2,FALSE),"-") &amp; " / " &amp; IFERROR(VLOOKUP(MID(T32,U32,V32-U32),[5]skilldef!$A:$B,2,FALSE),"-")</f>
        <v>- / 連続攻撃</v>
      </c>
      <c r="Z32" s="50"/>
      <c r="AA32" s="52"/>
      <c r="AB32" s="50"/>
    </row>
    <row r="33" spans="1:28" ht="34" customHeight="1" x14ac:dyDescent="0.15">
      <c r="A33" s="118">
        <v>48502026</v>
      </c>
      <c r="B33" s="177" t="s">
        <v>410</v>
      </c>
      <c r="C33" s="50">
        <v>1</v>
      </c>
      <c r="D33" s="50" t="s">
        <v>127</v>
      </c>
      <c r="E33" s="160" t="s">
        <v>436</v>
      </c>
      <c r="F33" s="160" t="s">
        <v>315</v>
      </c>
      <c r="G33" s="63" t="str">
        <f t="shared" si="0"/>
        <v>[effect:enemy_message, val1:1.4, val2:1.2]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5"/>
        <v>[effect:tolerance, target:myself, turn:-1, count:-1, tolerance_effect:all, animation:enemy_tolerance],[effect:fix_speed, target:myself, turn:2]</v>
      </c>
      <c r="N33" s="48" t="str">
        <f>IFERROR(LEFT(M33,FIND("],",M33)+#REF!),M33)</f>
        <v>[effect:tolerance, target:myself, turn:-1, count:-1, tolerance_effect:all, animation:enemy_tolerance],[effect:fix_speed, target:myself, turn:2]</v>
      </c>
      <c r="O33" s="63">
        <f t="shared" si="6"/>
        <v>9</v>
      </c>
      <c r="P33" s="63">
        <f t="shared" si="7"/>
        <v>18</v>
      </c>
      <c r="Q33" s="63">
        <f t="shared" si="8"/>
        <v>27</v>
      </c>
      <c r="R33" s="63">
        <f t="shared" si="9"/>
        <v>33</v>
      </c>
      <c r="S33" s="63" t="str">
        <f>IFERROR(VLOOKUP(MID(N33,Q33,R33-Q33),[5]skilldef!$C:$D,2,FALSE),"-") &amp; " / " &amp; IFERROR(VLOOKUP(MID(N33,O33,P33-O33),[5]skilldef!$A:$B,2,FALSE),"-")</f>
        <v>自分自身に / 状態異常耐性</v>
      </c>
      <c r="T33" s="48" t="str">
        <f t="shared" si="10"/>
        <v>[effect:fix_speed, target:myself, turn:2]</v>
      </c>
      <c r="U33" s="63">
        <f t="shared" si="11"/>
        <v>9</v>
      </c>
      <c r="V33" s="63">
        <f t="shared" si="12"/>
        <v>18</v>
      </c>
      <c r="W33" s="63">
        <f t="shared" si="13"/>
        <v>27</v>
      </c>
      <c r="X33" s="63">
        <f t="shared" si="14"/>
        <v>33</v>
      </c>
      <c r="Y33" s="63" t="str">
        <f>IFERROR(VLOOKUP(MID(T33,W33,X33-W33),[5]skilldef!$C:$D,2,FALSE),"-") &amp; " / " &amp; IFERROR(VLOOKUP(MID(T33,U33,V33-U33),[5]skilldef!$A:$B,2,FALSE),"-")</f>
        <v>自分自身に / 行動値設定</v>
      </c>
      <c r="Z33" s="50"/>
      <c r="AA33" s="52"/>
      <c r="AB33" s="50"/>
    </row>
    <row r="34" spans="1:28" ht="30" customHeight="1" x14ac:dyDescent="0.15">
      <c r="A34" s="118">
        <v>48502027</v>
      </c>
      <c r="B34" s="177" t="s">
        <v>411</v>
      </c>
      <c r="C34" s="50">
        <v>1</v>
      </c>
      <c r="D34" s="50" t="s">
        <v>127</v>
      </c>
      <c r="E34" s="160" t="s">
        <v>437</v>
      </c>
      <c r="F34" s="160" t="s">
        <v>295</v>
      </c>
      <c r="G34" s="63" t="str">
        <f t="shared" si="0"/>
        <v>[effect:enemy_message, val1:1.3, val2:1.2]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5"/>
        <v>[effect:damage_fix_absolute, target:unit_one, val:8000]</v>
      </c>
      <c r="N34" s="48" t="str">
        <f>IFERROR(LEFT(M34,FIND("],",M34)+S44),M34)</f>
        <v>[effect:damage_fix_absolute, target:unit_one, val:8000]</v>
      </c>
      <c r="O34" s="63">
        <f t="shared" si="6"/>
        <v>9</v>
      </c>
      <c r="P34" s="63">
        <f t="shared" si="7"/>
        <v>28</v>
      </c>
      <c r="Q34" s="63">
        <f t="shared" si="8"/>
        <v>37</v>
      </c>
      <c r="R34" s="63">
        <f t="shared" si="9"/>
        <v>45</v>
      </c>
      <c r="S34" s="63" t="str">
        <f>IFERROR(VLOOKUP(MID(N34,Q34,R34-Q34),[5]skilldef!$C:$D,2,FALSE),"-") &amp; " / " &amp; IFERROR(VLOOKUP(MID(N34,O34,P34-O34),[5]skilldef!$A:$B,2,FALSE),"-")</f>
        <v>味方単体に / -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30" customHeight="1" x14ac:dyDescent="0.15">
      <c r="A35" s="205">
        <v>48502127</v>
      </c>
      <c r="B35" s="206" t="s">
        <v>412</v>
      </c>
      <c r="C35" s="207">
        <v>1</v>
      </c>
      <c r="D35" s="207" t="s">
        <v>127</v>
      </c>
      <c r="E35" s="204" t="s">
        <v>437</v>
      </c>
      <c r="F35" s="204" t="s">
        <v>364</v>
      </c>
      <c r="G35" s="63" t="str">
        <f t="shared" ref="G35" si="136">IFERROR(LEFT(B35,FIND("],",B35)),B35)</f>
        <v>[effect:enemy_message, val1:1.3, val2:1.2]</v>
      </c>
      <c r="H35" s="63">
        <f t="shared" ref="H35" si="137">FIND("effect:",G35)+7</f>
        <v>9</v>
      </c>
      <c r="I35" s="63">
        <f t="shared" ref="I35" si="138">IFERROR(FIND(",",G35),LEN(G35))</f>
        <v>22</v>
      </c>
      <c r="J35" s="63" t="e">
        <f t="shared" ref="J35" si="139">FIND("target:",G35)+7</f>
        <v>#VALUE!</v>
      </c>
      <c r="K35" s="63">
        <f t="shared" ref="K35" si="140">FIND(",",G35,I35+1)</f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ref="M35" si="141">IFERROR(RIGHT(B35,LEN(B35)-FIND("],",B35)-1),"none")</f>
        <v>[effect:damage_fix_absolute, target:unit_one, val:5000]</v>
      </c>
      <c r="N35" s="48" t="str">
        <f>IFERROR(LEFT(M35,FIND("],",M35)+S45),M35)</f>
        <v>[effect:damage_fix_absolute, target:unit_one, val:5000]</v>
      </c>
      <c r="O35" s="63">
        <f t="shared" ref="O35" si="142">FIND("effect:",N35)+7</f>
        <v>9</v>
      </c>
      <c r="P35" s="63">
        <f t="shared" ref="P35" si="143">IFERROR(FIND(",",N35),LEN(N35))</f>
        <v>28</v>
      </c>
      <c r="Q35" s="63">
        <f t="shared" ref="Q35" si="144">FIND("target:",N35)+7</f>
        <v>37</v>
      </c>
      <c r="R35" s="63">
        <f t="shared" ref="R35" si="145">FIND(",",N35,P35+1)</f>
        <v>45</v>
      </c>
      <c r="S35" s="63" t="str">
        <f>IFERROR(VLOOKUP(MID(N35,Q35,R35-Q35),[5]skilldef!$C:$D,2,FALSE),"-") &amp; " / " &amp; IFERROR(VLOOKUP(MID(N35,O35,P35-O35),[5]skilldef!$A:$B,2,FALSE),"-")</f>
        <v>味方単体に / -</v>
      </c>
      <c r="T35" s="48" t="str">
        <f t="shared" ref="T35" si="146">IFERROR(RIGHT(M35,LEN(M35)-FIND("],",M35)-1),"none")</f>
        <v>none</v>
      </c>
      <c r="U35" s="63" t="e">
        <f t="shared" ref="U35" si="147">FIND("effect:",T35)+7</f>
        <v>#VALUE!</v>
      </c>
      <c r="V35" s="63">
        <f t="shared" ref="V35" si="148">IFERROR(FIND(",",T35),LEN(T35))</f>
        <v>4</v>
      </c>
      <c r="W35" s="63" t="e">
        <f t="shared" ref="W35" si="149">FIND("target:",T35)+7</f>
        <v>#VALUE!</v>
      </c>
      <c r="X35" s="63" t="e">
        <f t="shared" ref="X35" si="150">FIND(",",T35,V35+1)</f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118">
        <v>48502028</v>
      </c>
      <c r="B36" s="177" t="s">
        <v>496</v>
      </c>
      <c r="C36" s="50">
        <v>1</v>
      </c>
      <c r="D36" s="50" t="s">
        <v>127</v>
      </c>
      <c r="E36" s="160" t="s">
        <v>369</v>
      </c>
      <c r="F36" s="160" t="s">
        <v>296</v>
      </c>
      <c r="G36" s="63" t="str">
        <f t="shared" si="0"/>
        <v>[effect:enemy_message, val1:1.2, val2:1.2]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5"/>
        <v>[effect:break_attack_fix, target:unit_one, val:550, lowest_val:6500, count:-1, block01:block_red, ignore01:crack_bomb, ignore02:color_break, ignore03:magnet]</v>
      </c>
      <c r="N36" s="48" t="str">
        <f>IFERROR(LEFT(M36,FIND("],",M36)+S45),M36)</f>
        <v>[effect:break_attack_fix, target:unit_one, val:550, lowest_val:6500, count:-1, block01:block_red, ignore01:crack_bomb, ignore02:color_break, ignore03:magnet]</v>
      </c>
      <c r="O36" s="63">
        <f t="shared" si="6"/>
        <v>9</v>
      </c>
      <c r="P36" s="63">
        <f t="shared" si="7"/>
        <v>25</v>
      </c>
      <c r="Q36" s="63">
        <f t="shared" si="8"/>
        <v>34</v>
      </c>
      <c r="R36" s="63">
        <f t="shared" si="9"/>
        <v>42</v>
      </c>
      <c r="S36" s="63" t="str">
        <f>IFERROR(VLOOKUP(MID(N36,Q36,R36-Q36),[5]skilldef!$C:$D,2,FALSE),"-") &amp; " / " &amp; IFERROR(VLOOKUP(MID(N36,O36,P36-O36),[5]skilldef!$A:$B,2,FALSE),"-")</f>
        <v>味方単体に / -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205">
        <v>48502128</v>
      </c>
      <c r="B37" s="206" t="s">
        <v>463</v>
      </c>
      <c r="C37" s="207">
        <v>1</v>
      </c>
      <c r="D37" s="207" t="s">
        <v>127</v>
      </c>
      <c r="E37" s="204" t="s">
        <v>369</v>
      </c>
      <c r="F37" s="204" t="s">
        <v>296</v>
      </c>
      <c r="G37" s="63" t="str">
        <f t="shared" ref="G37" si="151">IFERROR(LEFT(B37,FIND("],",B37)),B37)</f>
        <v>[effect:enemy_message, val1:1.2, val2:1.2]</v>
      </c>
      <c r="H37" s="63">
        <f t="shared" ref="H37" si="152">FIND("effect:",G37)+7</f>
        <v>9</v>
      </c>
      <c r="I37" s="63">
        <f t="shared" ref="I37" si="153">IFERROR(FIND(",",G37),LEN(G37))</f>
        <v>22</v>
      </c>
      <c r="J37" s="63" t="e">
        <f t="shared" ref="J37" si="154">FIND("target:",G37)+7</f>
        <v>#VALUE!</v>
      </c>
      <c r="K37" s="63">
        <f t="shared" ref="K37" si="155">FIND(",",G37,I37+1)</f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ref="M37" si="156">IFERROR(RIGHT(B37,LEN(B37)-FIND("],",B37)-1),"none")</f>
        <v>[effect:break_attack_fix, target:unit_one, val:350, lowest_val:4000, count:-1, block01:block_red, ignore01:crack_bomb, ignore02:color_break, ignore03:magnet]</v>
      </c>
      <c r="N37" s="48" t="str">
        <f>IFERROR(LEFT(M37,FIND("],",M37)+S46),M37)</f>
        <v>[effect:break_attack_fix, target:unit_one, val:350, lowest_val:4000, count:-1, block01:block_red, ignore01:crack_bomb, ignore02:color_break, ignore03:magnet]</v>
      </c>
      <c r="O37" s="63">
        <f t="shared" ref="O37" si="157">FIND("effect:",N37)+7</f>
        <v>9</v>
      </c>
      <c r="P37" s="63">
        <f t="shared" ref="P37" si="158">IFERROR(FIND(",",N37),LEN(N37))</f>
        <v>25</v>
      </c>
      <c r="Q37" s="63">
        <f t="shared" ref="Q37" si="159">FIND("target:",N37)+7</f>
        <v>34</v>
      </c>
      <c r="R37" s="63">
        <f t="shared" ref="R37" si="160">FIND(",",N37,P37+1)</f>
        <v>42</v>
      </c>
      <c r="S37" s="63" t="str">
        <f>IFERROR(VLOOKUP(MID(N37,Q37,R37-Q37),[5]skilldef!$C:$D,2,FALSE),"-") &amp; " / " &amp; IFERROR(VLOOKUP(MID(N37,O37,P37-O37),[5]skilldef!$A:$B,2,FALSE),"-")</f>
        <v>味方単体に / -</v>
      </c>
      <c r="T37" s="48" t="str">
        <f t="shared" ref="T37" si="161">IFERROR(RIGHT(M37,LEN(M37)-FIND("],",M37)-1),"none")</f>
        <v>none</v>
      </c>
      <c r="U37" s="63" t="e">
        <f t="shared" ref="U37" si="162">FIND("effect:",T37)+7</f>
        <v>#VALUE!</v>
      </c>
      <c r="V37" s="63">
        <f t="shared" ref="V37" si="163">IFERROR(FIND(",",T37),LEN(T37))</f>
        <v>4</v>
      </c>
      <c r="W37" s="63" t="e">
        <f t="shared" ref="W37" si="164">FIND("target:",T37)+7</f>
        <v>#VALUE!</v>
      </c>
      <c r="X37" s="63" t="e">
        <f t="shared" ref="X37" si="165">FIND(",",T37,V37+1)</f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33" customHeight="1" x14ac:dyDescent="0.15">
      <c r="A38" s="118">
        <v>48502029</v>
      </c>
      <c r="B38" s="177" t="s">
        <v>413</v>
      </c>
      <c r="C38" s="50">
        <v>1</v>
      </c>
      <c r="D38" s="50" t="s">
        <v>127</v>
      </c>
      <c r="E38" s="160" t="s">
        <v>438</v>
      </c>
      <c r="F38" s="160" t="s">
        <v>312</v>
      </c>
      <c r="G38" s="63" t="str">
        <f t="shared" si="0"/>
        <v>[effect:enemy_message, val1:1.3, val2:1.2]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5"/>
        <v>[effect:critical, val:1.3]</v>
      </c>
      <c r="N38" s="48" t="str">
        <f>IFERROR(LEFT(M38,FIND("],",M38)+S46),M38)</f>
        <v>[effect:critical, val:1.3]</v>
      </c>
      <c r="O38" s="63">
        <f t="shared" si="6"/>
        <v>9</v>
      </c>
      <c r="P38" s="63">
        <f t="shared" si="7"/>
        <v>17</v>
      </c>
      <c r="Q38" s="63" t="e">
        <f t="shared" si="8"/>
        <v>#VALUE!</v>
      </c>
      <c r="R38" s="63" t="e">
        <f t="shared" si="9"/>
        <v>#VALUE!</v>
      </c>
      <c r="S38" s="63" t="str">
        <f>IFERROR(VLOOKUP(MID(N38,Q38,R38-Q38),[5]skilldef!$C:$D,2,FALSE),"-") &amp; " / " &amp; IFERROR(VLOOKUP(MID(N38,O38,P38-O38),[5]skilldef!$A:$B,2,FALSE),"-")</f>
        <v>- / 大攻撃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8" customHeight="1" x14ac:dyDescent="0.15">
      <c r="A39" s="118">
        <v>48502030</v>
      </c>
      <c r="B39" s="177" t="s">
        <v>328</v>
      </c>
      <c r="C39" s="50">
        <v>1</v>
      </c>
      <c r="D39" s="50" t="s">
        <v>127</v>
      </c>
      <c r="E39" s="160" t="s">
        <v>439</v>
      </c>
      <c r="F39" s="160" t="s">
        <v>297</v>
      </c>
      <c r="G39" s="63" t="str">
        <f>IFERROR(LEFT(B39,FIND("],",B39)),B39)</f>
        <v>[effect:enemy_message, val1:1.3, val2:1.2]</v>
      </c>
      <c r="H39" s="63">
        <f>FIND("effect:",G39)+7</f>
        <v>9</v>
      </c>
      <c r="I39" s="63">
        <f>IFERROR(FIND(",",G39),LEN(G39))</f>
        <v>22</v>
      </c>
      <c r="J39" s="63" t="e">
        <f>FIND("target:",G39)+7</f>
        <v>#VALUE!</v>
      </c>
      <c r="K39" s="63">
        <f>FIND(",",G39,I39+1)</f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>IFERROR(RIGHT(B39,LEN(B39)-FIND("],",B39)-1),"none")</f>
        <v>[effect:freq_turn, target:myself, turn:-1, val:1, animation:enemy_freq_turn]</v>
      </c>
      <c r="N39" s="48" t="str">
        <f>IFERROR(LEFT(M39,FIND("],",M39)+S43),M39)</f>
        <v>[effect:freq_turn, target:myself, turn:-1, val:1, animation:enemy_freq_turn]</v>
      </c>
      <c r="O39" s="63">
        <f>FIND("effect:",N39)+7</f>
        <v>9</v>
      </c>
      <c r="P39" s="63">
        <f>IFERROR(FIND(",",N39),LEN(N39))</f>
        <v>18</v>
      </c>
      <c r="Q39" s="63">
        <f>FIND("target:",N39)+7</f>
        <v>27</v>
      </c>
      <c r="R39" s="63">
        <f>FIND(",",N39,P39+1)</f>
        <v>33</v>
      </c>
      <c r="S39" s="63" t="str">
        <f>IFERROR(VLOOKUP(MID(N39,Q39,R39-Q39),[5]skilldef!$C:$D,2,FALSE),"-") &amp; " / " &amp; IFERROR(VLOOKUP(MID(N39,O39,P39-O39),[5]skilldef!$A:$B,2,FALSE),"-")</f>
        <v>自分自身に / 攻撃頻度がUP</v>
      </c>
      <c r="T39" s="48" t="str">
        <f>IFERROR(RIGHT(M39,LEN(M39)-FIND("],",M39)-1),"none")</f>
        <v>none</v>
      </c>
      <c r="U39" s="63" t="e">
        <f>FIND("effect:",T39)+7</f>
        <v>#VALUE!</v>
      </c>
      <c r="V39" s="63">
        <f>IFERROR(FIND(",",T39),LEN(T39))</f>
        <v>4</v>
      </c>
      <c r="W39" s="63" t="e">
        <f>FIND("target:",T39)+7</f>
        <v>#VALUE!</v>
      </c>
      <c r="X39" s="63" t="e">
        <f>FIND(",",T39,V39+1)</f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7" customHeight="1" x14ac:dyDescent="0.15">
      <c r="A40" s="118">
        <v>48502031</v>
      </c>
      <c r="B40" s="177" t="s">
        <v>421</v>
      </c>
      <c r="C40" s="50">
        <v>1</v>
      </c>
      <c r="D40" s="50" t="s">
        <v>127</v>
      </c>
      <c r="E40" s="160" t="s">
        <v>440</v>
      </c>
      <c r="F40" s="160" t="s">
        <v>377</v>
      </c>
      <c r="G40" s="63" t="str">
        <f t="shared" si="0"/>
        <v>[effect:enemy_message, val1:1.8, val2:2.5]</v>
      </c>
      <c r="H40" s="63">
        <f t="shared" si="1"/>
        <v>9</v>
      </c>
      <c r="I40" s="63">
        <f t="shared" si="2"/>
        <v>22</v>
      </c>
      <c r="J40" s="63" t="e">
        <f t="shared" si="3"/>
        <v>#VALUE!</v>
      </c>
      <c r="K40" s="63">
        <f t="shared" si="4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5"/>
        <v>none</v>
      </c>
      <c r="N40" s="48" t="str">
        <f>IFERROR(LEFT(M40,FIND("],",M40)+S47),M40)</f>
        <v>none</v>
      </c>
      <c r="O40" s="63" t="e">
        <f t="shared" si="6"/>
        <v>#VALUE!</v>
      </c>
      <c r="P40" s="63">
        <f t="shared" si="7"/>
        <v>4</v>
      </c>
      <c r="Q40" s="63" t="e">
        <f t="shared" si="8"/>
        <v>#VALUE!</v>
      </c>
      <c r="R40" s="63" t="e">
        <f t="shared" si="9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118">
        <v>48502032</v>
      </c>
      <c r="B41" s="177" t="s">
        <v>329</v>
      </c>
      <c r="C41" s="50">
        <v>1</v>
      </c>
      <c r="D41" s="50" t="s">
        <v>127</v>
      </c>
      <c r="E41" s="160" t="s">
        <v>441</v>
      </c>
      <c r="F41" s="160" t="s">
        <v>338</v>
      </c>
      <c r="G41" s="63" t="str">
        <f t="shared" si="0"/>
        <v>[effect:enemy_message, val1:1.2, val2:1.2]</v>
      </c>
      <c r="H41" s="63">
        <f t="shared" si="1"/>
        <v>9</v>
      </c>
      <c r="I41" s="63">
        <f t="shared" si="2"/>
        <v>22</v>
      </c>
      <c r="J41" s="63" t="e">
        <f t="shared" si="3"/>
        <v>#VALUE!</v>
      </c>
      <c r="K41" s="63">
        <f t="shared" si="4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5"/>
        <v>[effect:damage_fix_absolute, target:unit_one, val:33333],[effect:damage_fix_absolute, target:unit_one, val:33333]</v>
      </c>
      <c r="N41" s="48" t="str">
        <f>IFERROR(LEFT(M41,FIND("],",M41)+#REF!),M41)</f>
        <v>[effect:damage_fix_absolute, target:unit_one, val:33333],[effect:damage_fix_absolute, target:unit_one, val:33333]</v>
      </c>
      <c r="O41" s="63">
        <f t="shared" si="6"/>
        <v>9</v>
      </c>
      <c r="P41" s="63">
        <f t="shared" si="7"/>
        <v>28</v>
      </c>
      <c r="Q41" s="63">
        <f t="shared" si="8"/>
        <v>37</v>
      </c>
      <c r="R41" s="63">
        <f t="shared" si="9"/>
        <v>45</v>
      </c>
      <c r="S41" s="63" t="str">
        <f>IFERROR(VLOOKUP(MID(N41,Q41,R41-Q41),[5]skilldef!$C:$D,2,FALSE),"-") &amp; " / " &amp; IFERROR(VLOOKUP(MID(N41,O41,P41-O41),[5]skilldef!$A:$B,2,FALSE),"-")</f>
        <v>味方単体に / -</v>
      </c>
      <c r="T41" s="48" t="str">
        <f t="shared" si="10"/>
        <v>[effect:damage_fix_absolute, target:unit_one, val:33333]</v>
      </c>
      <c r="U41" s="63">
        <f t="shared" si="11"/>
        <v>9</v>
      </c>
      <c r="V41" s="63">
        <f t="shared" si="12"/>
        <v>28</v>
      </c>
      <c r="W41" s="63">
        <f t="shared" si="13"/>
        <v>37</v>
      </c>
      <c r="X41" s="63">
        <f t="shared" si="14"/>
        <v>45</v>
      </c>
      <c r="Y41" s="63" t="str">
        <f>IFERROR(VLOOKUP(MID(T41,W41,X41-W41),[5]skilldef!$C:$D,2,FALSE),"-") &amp; " / " &amp; IFERROR(VLOOKUP(MID(T41,U41,V41-U41),[5]skilldef!$A:$B,2,FALSE),"-")</f>
        <v>味方単体に / -</v>
      </c>
      <c r="Z41" s="50"/>
      <c r="AA41" s="52"/>
      <c r="AB41" s="50"/>
    </row>
    <row r="42" spans="1:28" ht="21" customHeight="1" x14ac:dyDescent="0.15">
      <c r="A42" s="118">
        <v>48502036</v>
      </c>
      <c r="B42" s="177" t="s">
        <v>480</v>
      </c>
      <c r="C42" s="50">
        <v>1</v>
      </c>
      <c r="D42" s="50" t="s">
        <v>127</v>
      </c>
      <c r="E42" s="51" t="s">
        <v>452</v>
      </c>
      <c r="F42" s="51" t="s">
        <v>479</v>
      </c>
      <c r="G42" s="63" t="str">
        <f t="shared" si="0"/>
        <v>[effect:enemy_message, val1:1.2, val2:2.4]</v>
      </c>
      <c r="H42" s="63">
        <f t="shared" si="1"/>
        <v>9</v>
      </c>
      <c r="I42" s="63">
        <f t="shared" si="2"/>
        <v>22</v>
      </c>
      <c r="J42" s="63" t="e">
        <f t="shared" si="3"/>
        <v>#VALUE!</v>
      </c>
      <c r="K42" s="63">
        <f t="shared" si="4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5"/>
        <v>[effect:tolerance, target:myself, turn:-1, count:-1, tolerance_effect:all, animation:enemy_tolerance],[effect:change_panel_ratio, turn:2, block_type:heal, val:0.45, animation:block_incidence04],[effect:fix_speed, target:myself, turn:2]</v>
      </c>
      <c r="N42" s="48" t="str">
        <f>IFERROR(LEFT(M42,FIND("],",M42)+S49),M42)</f>
        <v>[effect:tolerance, target:myself, turn:-1, count:-1, tolerance_effect:all, animation:enemy_tolerance],[effect:change_panel_ratio, turn:2, block_type:heal, val:0.45, animation:block_incidence04],[effect:fix_speed, target:myself, turn:2]</v>
      </c>
      <c r="O42" s="63">
        <f t="shared" si="6"/>
        <v>9</v>
      </c>
      <c r="P42" s="63">
        <f t="shared" si="7"/>
        <v>18</v>
      </c>
      <c r="Q42" s="63">
        <f t="shared" si="8"/>
        <v>27</v>
      </c>
      <c r="R42" s="63">
        <f t="shared" si="9"/>
        <v>33</v>
      </c>
      <c r="S42" s="63" t="str">
        <f>IFERROR(VLOOKUP(MID(N42,Q42,R42-Q42),[5]skilldef!$C:$D,2,FALSE),"-") &amp; " / " &amp; IFERROR(VLOOKUP(MID(N42,O42,P42-O42),[5]skilldef!$A:$B,2,FALSE),"-")</f>
        <v>自分自身に / 状態異常耐性</v>
      </c>
      <c r="T42" s="48" t="str">
        <f t="shared" si="10"/>
        <v>[effect:change_panel_ratio, turn:2, block_type:heal, val:0.45, animation:block_incidence04],[effect:fix_speed, target:myself, turn:2]</v>
      </c>
      <c r="U42" s="63">
        <f t="shared" si="11"/>
        <v>9</v>
      </c>
      <c r="V42" s="63">
        <f t="shared" si="12"/>
        <v>27</v>
      </c>
      <c r="W42" s="63">
        <f t="shared" si="13"/>
        <v>119</v>
      </c>
      <c r="X42" s="63">
        <f t="shared" si="14"/>
        <v>35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32" customHeight="1" x14ac:dyDescent="0.15">
      <c r="A43" s="118">
        <v>48502037</v>
      </c>
      <c r="B43" s="243" t="s">
        <v>449</v>
      </c>
      <c r="C43" s="50">
        <v>1</v>
      </c>
      <c r="D43" s="50" t="s">
        <v>127</v>
      </c>
      <c r="E43" s="51" t="s">
        <v>435</v>
      </c>
      <c r="F43" s="51" t="s">
        <v>305</v>
      </c>
      <c r="G43" s="63" t="str">
        <f t="shared" si="0"/>
        <v>[effect:enemy_message, val1:1.2, val2:2.5]</v>
      </c>
      <c r="H43" s="63">
        <f t="shared" si="1"/>
        <v>9</v>
      </c>
      <c r="I43" s="63">
        <f t="shared" si="2"/>
        <v>22</v>
      </c>
      <c r="J43" s="63" t="e">
        <f t="shared" si="3"/>
        <v>#VALUE!</v>
      </c>
      <c r="K43" s="63">
        <f t="shared" si="4"/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5"/>
        <v>[effect:attack_break, target:unit_all, turn:5, val:0.5, calc:mul, animation:attack_break02],[effect:spread, val:0.21]</v>
      </c>
      <c r="N43" s="48" t="str">
        <f>IFERROR(LEFT(M43,FIND("],",M43)+#REF!),M43)</f>
        <v>[effect:attack_break, target:unit_all, turn:5, val:0.5, calc:mul, animation:attack_break02],[effect:spread, val:0.21]</v>
      </c>
      <c r="O43" s="63">
        <f t="shared" si="6"/>
        <v>9</v>
      </c>
      <c r="P43" s="63">
        <f t="shared" si="7"/>
        <v>21</v>
      </c>
      <c r="Q43" s="63">
        <f t="shared" si="8"/>
        <v>30</v>
      </c>
      <c r="R43" s="63">
        <f t="shared" si="9"/>
        <v>38</v>
      </c>
      <c r="S43" s="63" t="str">
        <f>IFERROR(VLOOKUP(MID(N43,Q43,R43-Q43),[5]skilldef!$C:$D,2,FALSE),"-") &amp; " / " &amp; IFERROR(VLOOKUP(MID(N43,O43,P43-O43),[5]skilldef!$A:$B,2,FALSE),"-")</f>
        <v>味方全体に / -</v>
      </c>
      <c r="T43" s="48" t="str">
        <f t="shared" si="10"/>
        <v>[effect:spread, val:0.21]</v>
      </c>
      <c r="U43" s="63">
        <f t="shared" si="11"/>
        <v>9</v>
      </c>
      <c r="V43" s="63">
        <f t="shared" si="12"/>
        <v>15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IFERROR(VLOOKUP(MID(T43,W43,X43-W43),[5]skilldef!$C:$D,2,FALSE),"-") &amp; " / " &amp; IFERROR(VLOOKUP(MID(T43,U43,V43-U43),[5]skilldef!$A:$B,2,FALSE),"-")</f>
        <v>- / 全体攻撃</v>
      </c>
      <c r="Z43" s="50"/>
      <c r="AA43" s="52"/>
      <c r="AB43" s="50"/>
    </row>
    <row r="44" spans="1:28" ht="21" customHeight="1" x14ac:dyDescent="0.15">
      <c r="A44" s="118">
        <v>48502038</v>
      </c>
      <c r="B44" s="177" t="s">
        <v>450</v>
      </c>
      <c r="C44" s="50">
        <v>1</v>
      </c>
      <c r="D44" s="50" t="s">
        <v>127</v>
      </c>
      <c r="E44" s="51" t="s">
        <v>483</v>
      </c>
      <c r="F44" s="51" t="s">
        <v>298</v>
      </c>
      <c r="G44" s="63" t="str">
        <f t="shared" si="0"/>
        <v>[effect:enemy_message, val1:1.2, val2:1.6]</v>
      </c>
      <c r="H44" s="63">
        <f t="shared" si="1"/>
        <v>9</v>
      </c>
      <c r="I44" s="63">
        <f t="shared" si="2"/>
        <v>22</v>
      </c>
      <c r="J44" s="63" t="e">
        <f t="shared" si="3"/>
        <v>#VALUE!</v>
      </c>
      <c r="K44" s="63">
        <f t="shared" si="4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5"/>
        <v xml:space="preserve">[effect:panel_freeze, target:normal, color:block_red, count:-1],[effect:dark, target:unit_all, turn:2, animation:enemy_dark]    </v>
      </c>
      <c r="N44" s="48" t="str">
        <f>IFERROR(LEFT(M44,FIND("],",M44)+S50),M44)</f>
        <v xml:space="preserve">[effect:panel_freeze, target:normal, color:block_red, count:-1],[effect:dark, target:unit_all, turn:2, animation:enemy_dark]    </v>
      </c>
      <c r="O44" s="63">
        <f t="shared" si="6"/>
        <v>9</v>
      </c>
      <c r="P44" s="63">
        <f t="shared" si="7"/>
        <v>21</v>
      </c>
      <c r="Q44" s="63">
        <f t="shared" si="8"/>
        <v>30</v>
      </c>
      <c r="R44" s="63">
        <f t="shared" si="9"/>
        <v>36</v>
      </c>
      <c r="S44" s="63" t="str">
        <f>IFERROR(VLOOKUP(MID(N44,Q44,R44-Q44),[5]skilldef!$C:$D,2,FALSE),"-") &amp; " / " &amp; IFERROR(VLOOKUP(MID(N44,O44,P44-O44),[5]skilldef!$A:$B,2,FALSE),"-")</f>
        <v>- / -</v>
      </c>
      <c r="T44" s="48" t="str">
        <f t="shared" si="10"/>
        <v xml:space="preserve">[effect:dark, target:unit_all, turn:2, animation:enemy_dark]    </v>
      </c>
      <c r="U44" s="63">
        <f t="shared" si="11"/>
        <v>9</v>
      </c>
      <c r="V44" s="63">
        <f t="shared" si="12"/>
        <v>13</v>
      </c>
      <c r="W44" s="63">
        <f t="shared" si="13"/>
        <v>22</v>
      </c>
      <c r="X44" s="63">
        <f t="shared" si="14"/>
        <v>30</v>
      </c>
      <c r="Y44" s="63" t="str">
        <f>IFERROR(VLOOKUP(MID(T44,W44,X44-W44),[5]skilldef!$C:$D,2,FALSE),"-") &amp; " / " &amp; IFERROR(VLOOKUP(MID(T44,U44,V44-U44),[5]skilldef!$A:$B,2,FALSE),"-")</f>
        <v>味方全体に / 暗黒</v>
      </c>
      <c r="Z44" s="50"/>
      <c r="AA44" s="52"/>
      <c r="AB44" s="50"/>
    </row>
    <row r="45" spans="1:28" ht="21" customHeight="1" x14ac:dyDescent="0.15">
      <c r="A45" s="118">
        <v>48502039</v>
      </c>
      <c r="B45" s="177" t="s">
        <v>495</v>
      </c>
      <c r="C45" s="50">
        <v>1</v>
      </c>
      <c r="D45" s="50" t="s">
        <v>127</v>
      </c>
      <c r="E45" s="51" t="s">
        <v>370</v>
      </c>
      <c r="F45" s="51" t="s">
        <v>342</v>
      </c>
      <c r="G45" s="63" t="str">
        <f t="shared" si="0"/>
        <v>[effect:enemy_message, val1:1.2, val2:1.9]</v>
      </c>
      <c r="H45" s="63">
        <f t="shared" si="1"/>
        <v>9</v>
      </c>
      <c r="I45" s="63">
        <f t="shared" si="2"/>
        <v>22</v>
      </c>
      <c r="J45" s="63" t="e">
        <f t="shared" si="3"/>
        <v>#VALUE!</v>
      </c>
      <c r="K45" s="63">
        <f t="shared" si="4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5"/>
        <v xml:space="preserve">[effect:damage_anti_color, target:unit_all, color:red, val1:1, val2:0.2]    </v>
      </c>
      <c r="N45" s="48" t="str">
        <f>IFERROR(LEFT(M45,FIND("],",M45)+S51),M45)</f>
        <v xml:space="preserve">[effect:damage_anti_color, target:unit_all, color:red, val1:1, val2:0.2]    </v>
      </c>
      <c r="O45" s="63">
        <f t="shared" si="6"/>
        <v>9</v>
      </c>
      <c r="P45" s="63">
        <f t="shared" si="7"/>
        <v>26</v>
      </c>
      <c r="Q45" s="63">
        <f t="shared" si="8"/>
        <v>35</v>
      </c>
      <c r="R45" s="63">
        <f t="shared" si="9"/>
        <v>43</v>
      </c>
      <c r="S45" s="63" t="str">
        <f>IFERROR(VLOOKUP(MID(N45,Q45,R45-Q45),[5]skilldef!$C:$D,2,FALSE),"-") &amp; " / " &amp; IFERROR(VLOOKUP(MID(N45,O45,P45-O45),[5]skilldef!$A:$B,2,FALSE),"-")</f>
        <v>味方全体に / 属性キラー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118">
        <v>48502040</v>
      </c>
      <c r="B46" s="177" t="s">
        <v>482</v>
      </c>
      <c r="C46" s="50">
        <v>1</v>
      </c>
      <c r="D46" s="50" t="s">
        <v>127</v>
      </c>
      <c r="E46" s="51" t="s">
        <v>434</v>
      </c>
      <c r="F46" s="51" t="s">
        <v>481</v>
      </c>
      <c r="G46" s="63" t="str">
        <f t="shared" si="0"/>
        <v>[effect:enemy_message, val1:1.2, val2:1.8]</v>
      </c>
      <c r="H46" s="63">
        <f t="shared" si="1"/>
        <v>9</v>
      </c>
      <c r="I46" s="63">
        <f t="shared" si="2"/>
        <v>22</v>
      </c>
      <c r="J46" s="63" t="e">
        <f t="shared" si="3"/>
        <v>#VALUE!</v>
      </c>
      <c r="K46" s="63">
        <f t="shared" si="4"/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5"/>
        <v>[effect:damage_abnormal, target:unit_one, val:0.43, status:virus, turn:3, rate:1, val_abnormal:0.23, animation:enemy_virus],[effect:damage_abnormal, target:unit_one, val:0.43, status:virus, turn:3, rate:1, val_abnormal:0.23, animation:enemy_virus]</v>
      </c>
      <c r="N46" s="48" t="str">
        <f>IFERROR(LEFT(M46,FIND("],",M46)+S53),M46)</f>
        <v>[effect:damage_abnormal, target:unit_one, val:0.43, status:virus, turn:3, rate:1, val_abnormal:0.23, animation:enemy_virus],[effect:damage_abnormal, target:unit_one, val:0.43, status:virus, turn:3, rate:1, val_abnormal:0.23, animation:enemy_virus]</v>
      </c>
      <c r="O46" s="63">
        <f t="shared" si="6"/>
        <v>9</v>
      </c>
      <c r="P46" s="63">
        <f t="shared" si="7"/>
        <v>24</v>
      </c>
      <c r="Q46" s="63">
        <f t="shared" si="8"/>
        <v>33</v>
      </c>
      <c r="R46" s="63">
        <f t="shared" si="9"/>
        <v>41</v>
      </c>
      <c r="S46" s="63" t="str">
        <f>IFERROR(VLOOKUP(MID(N46,Q46,R46-Q46),[5]skilldef!$C:$D,2,FALSE),"-") &amp; " / " &amp; IFERROR(VLOOKUP(MID(N46,O46,P46-O46),[5]skilldef!$A:$B,2,FALSE),"-")</f>
        <v>味方単体に / -</v>
      </c>
      <c r="T46" s="48" t="str">
        <f t="shared" si="10"/>
        <v>[effect:damage_abnormal, target:unit_one, val:0.43, status:virus, turn:3, rate:1, val_abnormal:0.23, animation:enemy_virus]</v>
      </c>
      <c r="U46" s="63">
        <f t="shared" si="11"/>
        <v>9</v>
      </c>
      <c r="V46" s="63">
        <f t="shared" si="12"/>
        <v>24</v>
      </c>
      <c r="W46" s="63">
        <f t="shared" si="13"/>
        <v>33</v>
      </c>
      <c r="X46" s="63">
        <f t="shared" si="14"/>
        <v>41</v>
      </c>
      <c r="Y46" s="63" t="str">
        <f>IFERROR(VLOOKUP(MID(T46,W46,X46-W46),[5]skilldef!$C:$D,2,FALSE),"-") &amp; " / " &amp; IFERROR(VLOOKUP(MID(T46,U46,V46-U46),[5]skilldef!$A:$B,2,FALSE),"-")</f>
        <v>味方単体に / -</v>
      </c>
      <c r="Z46" s="50"/>
      <c r="AA46" s="52"/>
      <c r="AB46" s="50"/>
    </row>
    <row r="47" spans="1:28" ht="21" customHeight="1" x14ac:dyDescent="0.15">
      <c r="A47" s="118">
        <v>48502041</v>
      </c>
      <c r="B47" s="177" t="s">
        <v>451</v>
      </c>
      <c r="C47" s="50">
        <v>1</v>
      </c>
      <c r="D47" s="50" t="s">
        <v>127</v>
      </c>
      <c r="E47" s="51" t="s">
        <v>371</v>
      </c>
      <c r="F47" s="51" t="s">
        <v>429</v>
      </c>
      <c r="G47" s="63" t="str">
        <f t="shared" si="0"/>
        <v>[effect:enemy_message, val1:1.2, val2:2.2]</v>
      </c>
      <c r="H47" s="63">
        <f t="shared" si="1"/>
        <v>9</v>
      </c>
      <c r="I47" s="63">
        <f t="shared" si="2"/>
        <v>22</v>
      </c>
      <c r="J47" s="63" t="e">
        <f t="shared" si="3"/>
        <v>#VALUE!</v>
      </c>
      <c r="K47" s="63">
        <f t="shared" si="4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5"/>
        <v>[effect:force_change_block, new_block:block_yellow, target:normal, count:8, val:0, animation:change_block],[effect:spread, val:0.28]</v>
      </c>
      <c r="N47" s="48" t="str">
        <f>IFERROR(LEFT(M47,FIND("],",M47)+S54),M47)</f>
        <v>[effect:force_change_block, new_block:block_yellow, target:normal, count:8, val:0, animation:change_block],[effect:spread, val:0.28]</v>
      </c>
      <c r="O47" s="63">
        <f t="shared" si="6"/>
        <v>9</v>
      </c>
      <c r="P47" s="63">
        <f t="shared" si="7"/>
        <v>27</v>
      </c>
      <c r="Q47" s="63">
        <f t="shared" si="8"/>
        <v>60</v>
      </c>
      <c r="R47" s="63">
        <f t="shared" si="9"/>
        <v>51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si="10"/>
        <v>[effect:spread, val:0.28]</v>
      </c>
      <c r="U47" s="63">
        <f t="shared" si="11"/>
        <v>9</v>
      </c>
      <c r="V47" s="63">
        <f t="shared" si="12"/>
        <v>15</v>
      </c>
      <c r="W47" s="63" t="e">
        <f t="shared" si="13"/>
        <v>#VALUE!</v>
      </c>
      <c r="X47" s="63" t="e">
        <f t="shared" si="14"/>
        <v>#VALUE!</v>
      </c>
      <c r="Y47" s="63" t="str">
        <f>IFERROR(VLOOKUP(MID(T47,W47,X47-W47),[5]skilldef!$C:$D,2,FALSE),"-") &amp; " / " &amp; IFERROR(VLOOKUP(MID(T47,U47,V47-U47),[5]skilldef!$A:$B,2,FALSE),"-")</f>
        <v>- / 全体攻撃</v>
      </c>
      <c r="Z47" s="50"/>
      <c r="AA47" s="52"/>
      <c r="AB47" s="50"/>
    </row>
    <row r="48" spans="1:28" ht="21" customHeight="1" x14ac:dyDescent="0.15">
      <c r="A48" s="118">
        <v>48502045</v>
      </c>
      <c r="B48" s="177" t="s">
        <v>414</v>
      </c>
      <c r="C48" s="50">
        <v>1</v>
      </c>
      <c r="D48" s="50" t="s">
        <v>127</v>
      </c>
      <c r="E48" s="160" t="s">
        <v>395</v>
      </c>
      <c r="F48" s="160" t="s">
        <v>302</v>
      </c>
      <c r="G48" s="63" t="str">
        <f t="shared" si="0"/>
        <v>[effect:enemy_message, val1:1.5, val2:2.0]</v>
      </c>
      <c r="H48" s="63">
        <f t="shared" si="1"/>
        <v>9</v>
      </c>
      <c r="I48" s="63">
        <f t="shared" si="2"/>
        <v>22</v>
      </c>
      <c r="J48" s="63" t="e">
        <f t="shared" si="3"/>
        <v>#VALUE!</v>
      </c>
      <c r="K48" s="63">
        <f t="shared" si="4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5"/>
        <v>[effect:tolerance, target:myself, turn:-1, count:-1, tolerance_effect:all, animation:enemy_tolerance],[effect:fix_speed, target:myself, turn:2],[effect:damage_gravity, val:0.5, animation:fevergauge_down]</v>
      </c>
      <c r="N48" s="48" t="str">
        <f>IFERROR(LEFT(M48,FIND("],",M48)+S60),M48)</f>
        <v>[effect:tolerance, target:myself, turn:-1, count:-1, tolerance_effect:all, animation:enemy_tolerance],[effect:fix_speed, target:myself, turn:2],[effect:damage_gravity, val:0.5, animation:fevergauge_down]</v>
      </c>
      <c r="O48" s="63">
        <f t="shared" si="6"/>
        <v>9</v>
      </c>
      <c r="P48" s="63">
        <f t="shared" si="7"/>
        <v>18</v>
      </c>
      <c r="Q48" s="63">
        <f t="shared" si="8"/>
        <v>27</v>
      </c>
      <c r="R48" s="63">
        <f t="shared" si="9"/>
        <v>33</v>
      </c>
      <c r="S48" s="63" t="str">
        <f>IFERROR(VLOOKUP(MID(N48,Q48,R48-Q48),[5]skilldef!$C:$D,2,FALSE),"-") &amp; " / " &amp; IFERROR(VLOOKUP(MID(N48,O48,P48-O48),[5]skilldef!$A:$B,2,FALSE),"-")</f>
        <v>自分自身に / 状態異常耐性</v>
      </c>
      <c r="T48" s="48" t="str">
        <f t="shared" si="10"/>
        <v>[effect:fix_speed, target:myself, turn:2],[effect:damage_gravity, val:0.5, animation:fevergauge_down]</v>
      </c>
      <c r="U48" s="63">
        <f t="shared" si="11"/>
        <v>9</v>
      </c>
      <c r="V48" s="63">
        <f t="shared" si="12"/>
        <v>18</v>
      </c>
      <c r="W48" s="63">
        <f t="shared" si="13"/>
        <v>27</v>
      </c>
      <c r="X48" s="63">
        <f t="shared" si="14"/>
        <v>33</v>
      </c>
      <c r="Y48" s="63" t="str">
        <f>IFERROR(VLOOKUP(MID(T48,W48,X48-W48),[5]skilldef!$C:$D,2,FALSE),"-") &amp; " / " &amp; IFERROR(VLOOKUP(MID(T48,U48,V48-U48),[5]skilldef!$A:$B,2,FALSE),"-")</f>
        <v>自分自身に / 行動値設定</v>
      </c>
      <c r="Z48" s="50"/>
      <c r="AA48" s="52"/>
      <c r="AB48" s="50"/>
    </row>
    <row r="49" spans="1:28" ht="34" customHeight="1" x14ac:dyDescent="0.15">
      <c r="A49" s="118">
        <v>48502046</v>
      </c>
      <c r="B49" s="177" t="s">
        <v>378</v>
      </c>
      <c r="C49" s="50">
        <v>1</v>
      </c>
      <c r="D49" s="50" t="s">
        <v>127</v>
      </c>
      <c r="E49" s="160" t="s">
        <v>396</v>
      </c>
      <c r="F49" s="160" t="s">
        <v>303</v>
      </c>
      <c r="G49" s="63" t="str">
        <f t="shared" si="0"/>
        <v>[effect:enemy_message, val1:2.4, val2:4.1]</v>
      </c>
      <c r="H49" s="63">
        <f t="shared" si="1"/>
        <v>9</v>
      </c>
      <c r="I49" s="63">
        <f t="shared" si="2"/>
        <v>22</v>
      </c>
      <c r="J49" s="63" t="e">
        <f t="shared" si="3"/>
        <v>#VALUE!</v>
      </c>
      <c r="K49" s="63">
        <f t="shared" si="4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5"/>
        <v>[effect:tolerance, target:myself, turn:-1, count:-1, tolerance_effect:all, animation:enemy_tolerance],[effect:fix_speed, target:myself, turn:2],[effect:damage_gravity, val:0.5, animation:fevergauge_down]</v>
      </c>
      <c r="N49" s="48" t="str">
        <f>IFERROR(LEFT(M49,FIND("],",M49)+S64),M49)</f>
        <v>[effect:tolerance, target:myself, turn:-1, count:-1, tolerance_effect:all, animation:enemy_tolerance],[effect:fix_speed, target:myself, turn:2],[effect:damage_gravity, val:0.5, animation:fevergauge_down]</v>
      </c>
      <c r="O49" s="63">
        <f t="shared" si="6"/>
        <v>9</v>
      </c>
      <c r="P49" s="63">
        <f t="shared" si="7"/>
        <v>18</v>
      </c>
      <c r="Q49" s="63">
        <f t="shared" si="8"/>
        <v>27</v>
      </c>
      <c r="R49" s="63">
        <f t="shared" si="9"/>
        <v>33</v>
      </c>
      <c r="S49" s="63" t="str">
        <f>IFERROR(VLOOKUP(MID(N49,Q49,R49-Q49),[5]skilldef!$C:$D,2,FALSE),"-") &amp; " / " &amp; IFERROR(VLOOKUP(MID(N49,O49,P49-O49),[5]skilldef!$A:$B,2,FALSE),"-")</f>
        <v>自分自身に / 状態異常耐性</v>
      </c>
      <c r="T49" s="48" t="str">
        <f t="shared" si="10"/>
        <v>[effect:fix_speed, target:myself, turn:2],[effect:damage_gravity, val:0.5, animation:fevergauge_down]</v>
      </c>
      <c r="U49" s="63">
        <f t="shared" si="11"/>
        <v>9</v>
      </c>
      <c r="V49" s="63">
        <f t="shared" si="12"/>
        <v>18</v>
      </c>
      <c r="W49" s="63">
        <f t="shared" si="13"/>
        <v>27</v>
      </c>
      <c r="X49" s="63">
        <f t="shared" si="14"/>
        <v>33</v>
      </c>
      <c r="Y49" s="63" t="str">
        <f>IFERROR(VLOOKUP(MID(T49,W49,X49-W49),[5]skilldef!$C:$D,2,FALSE),"-") &amp; " / " &amp; IFERROR(VLOOKUP(MID(T49,U49,V49-U49),[5]skilldef!$A:$B,2,FALSE),"-")</f>
        <v>自分自身に / 行動値設定</v>
      </c>
      <c r="Z49" s="50"/>
      <c r="AA49" s="52"/>
      <c r="AB49" s="50"/>
    </row>
    <row r="50" spans="1:28" ht="32" customHeight="1" x14ac:dyDescent="0.15">
      <c r="A50" s="118">
        <v>48502048</v>
      </c>
      <c r="B50" s="177" t="s">
        <v>497</v>
      </c>
      <c r="C50" s="50">
        <v>1</v>
      </c>
      <c r="D50" s="50" t="s">
        <v>127</v>
      </c>
      <c r="E50" s="160" t="s">
        <v>341</v>
      </c>
      <c r="F50" s="160" t="s">
        <v>313</v>
      </c>
      <c r="G50" s="63" t="str">
        <f t="shared" si="0"/>
        <v>[effect:enemy_message, val1:2.9, val2:2.1]</v>
      </c>
      <c r="H50" s="63">
        <f t="shared" si="1"/>
        <v>9</v>
      </c>
      <c r="I50" s="63">
        <f t="shared" si="2"/>
        <v>22</v>
      </c>
      <c r="J50" s="63" t="e">
        <f t="shared" si="3"/>
        <v>#VALUE!</v>
      </c>
      <c r="K50" s="63">
        <f t="shared" si="4"/>
        <v>32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5"/>
        <v xml:space="preserve">[effect:damage_anti_tribe, target:unit_all, tribe:machine, val1:2.2, val2:0.2]    </v>
      </c>
      <c r="N50" s="48" t="str">
        <f>IFERROR(LEFT(M50,FIND("],",M50)+S67),M50)</f>
        <v xml:space="preserve">[effect:damage_anti_tribe, target:unit_all, tribe:machine, val1:2.2, val2:0.2]    </v>
      </c>
      <c r="O50" s="63">
        <f t="shared" si="6"/>
        <v>9</v>
      </c>
      <c r="P50" s="63">
        <f t="shared" si="7"/>
        <v>26</v>
      </c>
      <c r="Q50" s="63">
        <f t="shared" si="8"/>
        <v>35</v>
      </c>
      <c r="R50" s="63">
        <f t="shared" si="9"/>
        <v>43</v>
      </c>
      <c r="S50" s="63" t="str">
        <f>IFERROR(VLOOKUP(MID(N50,Q50,R50-Q50),[5]skilldef!$C:$D,2,FALSE),"-") &amp; " / " &amp; IFERROR(VLOOKUP(MID(N50,O50,P50-O50),[5]skilldef!$A:$B,2,FALSE),"-")</f>
        <v>味方全体に / 種族キラー</v>
      </c>
      <c r="T50" s="48" t="str">
        <f t="shared" si="10"/>
        <v>none</v>
      </c>
      <c r="U50" s="63" t="e">
        <f t="shared" si="11"/>
        <v>#VALUE!</v>
      </c>
      <c r="V50" s="63">
        <f t="shared" si="12"/>
        <v>4</v>
      </c>
      <c r="W50" s="63" t="e">
        <f t="shared" si="13"/>
        <v>#VALUE!</v>
      </c>
      <c r="X50" s="63" t="e">
        <f t="shared" si="14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31" customHeight="1" x14ac:dyDescent="0.15">
      <c r="A51" s="118">
        <v>48502049</v>
      </c>
      <c r="B51" s="177" t="s">
        <v>415</v>
      </c>
      <c r="C51" s="50">
        <v>1</v>
      </c>
      <c r="D51" s="50" t="s">
        <v>127</v>
      </c>
      <c r="E51" s="160" t="s">
        <v>397</v>
      </c>
      <c r="F51" s="160" t="s">
        <v>379</v>
      </c>
      <c r="G51" s="63" t="str">
        <f t="shared" si="0"/>
        <v>[effect:enemy_message, val1:2.2, val2:1.8]</v>
      </c>
      <c r="H51" s="63">
        <f t="shared" si="1"/>
        <v>9</v>
      </c>
      <c r="I51" s="63">
        <f t="shared" si="2"/>
        <v>22</v>
      </c>
      <c r="J51" s="63" t="e">
        <f t="shared" si="3"/>
        <v>#VALUE!</v>
      </c>
      <c r="K51" s="63">
        <f t="shared" si="4"/>
        <v>32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5"/>
        <v>[effect:enemy_counter, target:myself, invoke_condition:unit_all, counter_target:unit_all, turn:1, val:0.75, animation:enemy_counter],[effect:spread, val:0.26]</v>
      </c>
      <c r="N51" s="48" t="str">
        <f t="shared" ref="N51:N57" si="166">IFERROR(LEFT(M51,FIND("],",M51)+S69),M51)</f>
        <v>[effect:enemy_counter, target:myself, invoke_condition:unit_all, counter_target:unit_all, turn:1, val:0.75, animation:enemy_counter],[effect:spread, val:0.26]</v>
      </c>
      <c r="O51" s="63">
        <f t="shared" si="6"/>
        <v>9</v>
      </c>
      <c r="P51" s="63">
        <f t="shared" si="7"/>
        <v>22</v>
      </c>
      <c r="Q51" s="63">
        <f t="shared" si="8"/>
        <v>31</v>
      </c>
      <c r="R51" s="63">
        <f t="shared" si="9"/>
        <v>37</v>
      </c>
      <c r="S51" s="63" t="str">
        <f>IFERROR(VLOOKUP(MID(N51,Q51,R51-Q51),[5]skilldef!$C:$D,2,FALSE),"-") &amp; " / " &amp; IFERROR(VLOOKUP(MID(N51,O51,P51-O51),[5]skilldef!$A:$B,2,FALSE),"-")</f>
        <v>自分自身に / カウンター</v>
      </c>
      <c r="T51" s="48" t="str">
        <f t="shared" si="10"/>
        <v>[effect:spread, val:0.26]</v>
      </c>
      <c r="U51" s="63">
        <f t="shared" si="11"/>
        <v>9</v>
      </c>
      <c r="V51" s="63">
        <f t="shared" si="12"/>
        <v>15</v>
      </c>
      <c r="W51" s="63" t="e">
        <f t="shared" si="13"/>
        <v>#VALUE!</v>
      </c>
      <c r="X51" s="63" t="e">
        <f t="shared" si="14"/>
        <v>#VALUE!</v>
      </c>
      <c r="Y51" s="63" t="str">
        <f>IFERROR(VLOOKUP(MID(T51,W51,X51-W51),[5]skilldef!$C:$D,2,FALSE),"-") &amp; " / " &amp; IFERROR(VLOOKUP(MID(T51,U51,V51-U51),[5]skilldef!$A:$B,2,FALSE),"-")</f>
        <v>- / 全体攻撃</v>
      </c>
      <c r="Z51" s="50"/>
      <c r="AA51" s="52"/>
      <c r="AB51" s="50"/>
    </row>
    <row r="52" spans="1:28" ht="31" customHeight="1" x14ac:dyDescent="0.15">
      <c r="A52" s="205">
        <v>48502149</v>
      </c>
      <c r="B52" s="206" t="s">
        <v>464</v>
      </c>
      <c r="C52" s="207">
        <v>1</v>
      </c>
      <c r="D52" s="207" t="s">
        <v>127</v>
      </c>
      <c r="E52" s="204" t="s">
        <v>397</v>
      </c>
      <c r="F52" s="204" t="s">
        <v>380</v>
      </c>
      <c r="G52" s="63" t="str">
        <f t="shared" ref="G52" si="167">IFERROR(LEFT(B52,FIND("],",B52)),B52)</f>
        <v>[effect:enemy_message, val1:2.2, val2:1.8]</v>
      </c>
      <c r="H52" s="63">
        <f t="shared" ref="H52" si="168">FIND("effect:",G52)+7</f>
        <v>9</v>
      </c>
      <c r="I52" s="63">
        <f t="shared" ref="I52" si="169">IFERROR(FIND(",",G52),LEN(G52))</f>
        <v>22</v>
      </c>
      <c r="J52" s="63" t="e">
        <f t="shared" ref="J52" si="170">FIND("target:",G52)+7</f>
        <v>#VALUE!</v>
      </c>
      <c r="K52" s="63">
        <f t="shared" ref="K52" si="171">FIND(",",G52,I52+1)</f>
        <v>32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ref="M52" si="172">IFERROR(RIGHT(B52,LEN(B52)-FIND("],",B52)-1),"none")</f>
        <v>[effect:enemy_counter, target:myself, invoke_condition:unit_all, counter_target:unit_all, turn:1, val:0.4, animation:enemy_counter],[effect:spread, val:0.21]</v>
      </c>
      <c r="N52" s="48" t="str">
        <f t="shared" si="166"/>
        <v>[effect:enemy_counter, target:myself, invoke_condition:unit_all, counter_target:unit_all, turn:1, val:0.4, animation:enemy_counter],[effect:spread, val:0.21]</v>
      </c>
      <c r="O52" s="63">
        <f t="shared" ref="O52" si="173">FIND("effect:",N52)+7</f>
        <v>9</v>
      </c>
      <c r="P52" s="63">
        <f t="shared" ref="P52" si="174">IFERROR(FIND(",",N52),LEN(N52))</f>
        <v>22</v>
      </c>
      <c r="Q52" s="63">
        <f t="shared" ref="Q52" si="175">FIND("target:",N52)+7</f>
        <v>31</v>
      </c>
      <c r="R52" s="63">
        <f t="shared" ref="R52" si="176">FIND(",",N52,P52+1)</f>
        <v>37</v>
      </c>
      <c r="S52" s="63" t="str">
        <f>IFERROR(VLOOKUP(MID(N52,Q52,R52-Q52),[5]skilldef!$C:$D,2,FALSE),"-") &amp; " / " &amp; IFERROR(VLOOKUP(MID(N52,O52,P52-O52),[5]skilldef!$A:$B,2,FALSE),"-")</f>
        <v>自分自身に / カウンター</v>
      </c>
      <c r="T52" s="48" t="str">
        <f t="shared" ref="T52" si="177">IFERROR(RIGHT(M52,LEN(M52)-FIND("],",M52)-1),"none")</f>
        <v>[effect:spread, val:0.21]</v>
      </c>
      <c r="U52" s="63">
        <f t="shared" ref="U52" si="178">FIND("effect:",T52)+7</f>
        <v>9</v>
      </c>
      <c r="V52" s="63">
        <f t="shared" ref="V52" si="179">IFERROR(FIND(",",T52),LEN(T52))</f>
        <v>15</v>
      </c>
      <c r="W52" s="63" t="e">
        <f t="shared" ref="W52" si="180">FIND("target:",T52)+7</f>
        <v>#VALUE!</v>
      </c>
      <c r="X52" s="63" t="e">
        <f t="shared" ref="X52" si="181">FIND(",",T52,V52+1)</f>
        <v>#VALUE!</v>
      </c>
      <c r="Y52" s="63" t="str">
        <f>IFERROR(VLOOKUP(MID(T52,W52,X52-W52),[5]skilldef!$C:$D,2,FALSE),"-") &amp; " / " &amp; IFERROR(VLOOKUP(MID(T52,U52,V52-U52),[5]skilldef!$A:$B,2,FALSE),"-")</f>
        <v>- / 全体攻撃</v>
      </c>
      <c r="Z52" s="50"/>
      <c r="AA52" s="52"/>
      <c r="AB52" s="50"/>
    </row>
    <row r="53" spans="1:28" ht="34" customHeight="1" x14ac:dyDescent="0.15">
      <c r="A53" s="118">
        <v>48502050</v>
      </c>
      <c r="B53" s="243" t="s">
        <v>431</v>
      </c>
      <c r="C53" s="50">
        <v>1</v>
      </c>
      <c r="D53" s="50" t="s">
        <v>127</v>
      </c>
      <c r="E53" s="160" t="s">
        <v>398</v>
      </c>
      <c r="F53" s="160" t="s">
        <v>425</v>
      </c>
      <c r="G53" s="63" t="str">
        <f t="shared" si="0"/>
        <v>[effect:enemy_message, val1:1.3, val2:3.4]</v>
      </c>
      <c r="H53" s="63">
        <f t="shared" si="1"/>
        <v>9</v>
      </c>
      <c r="I53" s="63">
        <f t="shared" si="2"/>
        <v>22</v>
      </c>
      <c r="J53" s="63" t="e">
        <f t="shared" si="3"/>
        <v>#VALUE!</v>
      </c>
      <c r="K53" s="63">
        <f t="shared" si="4"/>
        <v>32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5"/>
        <v>[effect:dark, target:unit_all, turn:2, animation:enemy_dark],[effect:attack_break, target:unit_all, turn:5, val:0.5, calc:mul, animation:attack_break02],[effect:rush, val:0.53, count:2]</v>
      </c>
      <c r="N53" s="48" t="str">
        <f t="shared" si="166"/>
        <v>[effect:dark, target:unit_all, turn:2, animation:enemy_dark],[effect:attack_break, target:unit_all, turn:5, val:0.5, calc:mul, animation:attack_break02],[effect:rush, val:0.53, count:2]</v>
      </c>
      <c r="O53" s="63">
        <f t="shared" si="6"/>
        <v>9</v>
      </c>
      <c r="P53" s="63">
        <f t="shared" si="7"/>
        <v>13</v>
      </c>
      <c r="Q53" s="63">
        <f t="shared" si="8"/>
        <v>22</v>
      </c>
      <c r="R53" s="63">
        <f t="shared" si="9"/>
        <v>30</v>
      </c>
      <c r="S53" s="63" t="str">
        <f>IFERROR(VLOOKUP(MID(N53,Q53,R53-Q53),[5]skilldef!$C:$D,2,FALSE),"-") &amp; " / " &amp; IFERROR(VLOOKUP(MID(N53,O53,P53-O53),[5]skilldef!$A:$B,2,FALSE),"-")</f>
        <v>味方全体に / 暗黒</v>
      </c>
      <c r="T53" s="48" t="str">
        <f t="shared" si="10"/>
        <v>[effect:attack_break, target:unit_all, turn:5, val:0.5, calc:mul, animation:attack_break02],[effect:rush, val:0.53, count:2]</v>
      </c>
      <c r="U53" s="63">
        <f t="shared" si="11"/>
        <v>9</v>
      </c>
      <c r="V53" s="63">
        <f t="shared" si="12"/>
        <v>21</v>
      </c>
      <c r="W53" s="63">
        <f t="shared" si="13"/>
        <v>30</v>
      </c>
      <c r="X53" s="63">
        <f t="shared" si="14"/>
        <v>38</v>
      </c>
      <c r="Y53" s="63" t="str">
        <f>IFERROR(VLOOKUP(MID(T53,W53,X53-W53),[5]skilldef!$C:$D,2,FALSE),"-") &amp; " / " &amp; IFERROR(VLOOKUP(MID(T53,U53,V53-U53),[5]skilldef!$A:$B,2,FALSE),"-")</f>
        <v>味方全体に / -</v>
      </c>
      <c r="Z53" s="50"/>
      <c r="AA53" s="52"/>
      <c r="AB53" s="50"/>
    </row>
    <row r="54" spans="1:28" ht="21" customHeight="1" x14ac:dyDescent="0.15">
      <c r="A54" s="118">
        <v>48502051</v>
      </c>
      <c r="B54" s="243" t="s">
        <v>426</v>
      </c>
      <c r="C54" s="50">
        <v>1</v>
      </c>
      <c r="D54" s="50" t="s">
        <v>127</v>
      </c>
      <c r="E54" s="160" t="s">
        <v>285</v>
      </c>
      <c r="F54" s="160" t="s">
        <v>301</v>
      </c>
      <c r="G54" s="63" t="str">
        <f t="shared" si="0"/>
        <v>[effect:enemy_message, val1:1.8, val2:2.6]</v>
      </c>
      <c r="H54" s="63">
        <f t="shared" si="1"/>
        <v>9</v>
      </c>
      <c r="I54" s="63">
        <f t="shared" si="2"/>
        <v>22</v>
      </c>
      <c r="J54" s="63" t="e">
        <f t="shared" si="3"/>
        <v>#VALUE!</v>
      </c>
      <c r="K54" s="63">
        <f t="shared" si="4"/>
        <v>32</v>
      </c>
      <c r="L54" s="63" t="str">
        <f>IFERROR(VLOOKUP(MID(G54,J54,K54-J54),[5]skilldef!$C:$D,2,FALSE),"-") &amp; " / " &amp; IFERROR(VLOOKUP(MID(G54,H54,I54-H54),[5]skilldef!$A:$B,2,FALSE),"-")</f>
        <v>- / -</v>
      </c>
      <c r="M54" s="63" t="str">
        <f t="shared" si="5"/>
        <v>[effect:degrade_unit, target:unit_all, turn:3, status:action, val:1, calc:add, animation:enemy_tap_down],[effect:spread, val:0.27]</v>
      </c>
      <c r="N54" s="48" t="str">
        <f t="shared" si="166"/>
        <v>[effect:degrade_unit, target:unit_all, turn:3, status:action, val:1, calc:add, animation:enemy_tap_down],[effect:spread, val:0.27]</v>
      </c>
      <c r="O54" s="63">
        <f t="shared" si="6"/>
        <v>9</v>
      </c>
      <c r="P54" s="63">
        <f t="shared" si="7"/>
        <v>21</v>
      </c>
      <c r="Q54" s="63">
        <f t="shared" si="8"/>
        <v>30</v>
      </c>
      <c r="R54" s="63">
        <f t="shared" si="9"/>
        <v>38</v>
      </c>
      <c r="S54" s="63" t="str">
        <f>IFERROR(VLOOKUP(MID(N54,Q54,R54-Q54),[5]skilldef!$C:$D,2,FALSE),"-") &amp; " / " &amp; IFERROR(VLOOKUP(MID(N54,O54,P54-O54),[5]skilldef!$A:$B,2,FALSE),"-")</f>
        <v>味方全体に / ステータスDOWN</v>
      </c>
      <c r="T54" s="48" t="str">
        <f t="shared" si="10"/>
        <v>[effect:spread, val:0.27]</v>
      </c>
      <c r="U54" s="63">
        <f t="shared" si="11"/>
        <v>9</v>
      </c>
      <c r="V54" s="63">
        <f t="shared" si="12"/>
        <v>15</v>
      </c>
      <c r="W54" s="63" t="e">
        <f t="shared" si="13"/>
        <v>#VALUE!</v>
      </c>
      <c r="X54" s="63" t="e">
        <f t="shared" si="14"/>
        <v>#VALUE!</v>
      </c>
      <c r="Y54" s="63" t="str">
        <f>IFERROR(VLOOKUP(MID(T54,W54,X54-W54),[5]skilldef!$C:$D,2,FALSE),"-") &amp; " / " &amp; IFERROR(VLOOKUP(MID(T54,U54,V54-U54),[5]skilldef!$A:$B,2,FALSE),"-")</f>
        <v>- / 全体攻撃</v>
      </c>
      <c r="Z54" s="50"/>
      <c r="AA54" s="52"/>
      <c r="AB54" s="50"/>
    </row>
    <row r="55" spans="1:28" ht="21" customHeight="1" x14ac:dyDescent="0.15">
      <c r="A55" s="118">
        <v>48502052</v>
      </c>
      <c r="B55" s="177" t="s">
        <v>416</v>
      </c>
      <c r="C55" s="50">
        <v>1</v>
      </c>
      <c r="D55" s="50" t="s">
        <v>127</v>
      </c>
      <c r="E55" s="160" t="s">
        <v>273</v>
      </c>
      <c r="F55" s="160" t="s">
        <v>381</v>
      </c>
      <c r="G55" s="63" t="str">
        <f t="shared" si="0"/>
        <v>[effect:enemy_message, val1:1.8, val2:2.7]</v>
      </c>
      <c r="H55" s="63">
        <f t="shared" si="1"/>
        <v>9</v>
      </c>
      <c r="I55" s="63">
        <f t="shared" si="2"/>
        <v>22</v>
      </c>
      <c r="J55" s="63" t="e">
        <f t="shared" si="3"/>
        <v>#VALUE!</v>
      </c>
      <c r="K55" s="63">
        <f t="shared" si="4"/>
        <v>32</v>
      </c>
      <c r="L55" s="63" t="str">
        <f>IFERROR(VLOOKUP(MID(G55,J55,K55-J55),[5]skilldef!$C:$D,2,FALSE),"-") &amp; " / " &amp; IFERROR(VLOOKUP(MID(G55,H55,I55-H55),[5]skilldef!$A:$B,2,FALSE),"-")</f>
        <v>- / -</v>
      </c>
      <c r="M55" s="63" t="str">
        <f t="shared" si="5"/>
        <v xml:space="preserve">[effect:damage_gravity, val:0.8, animation:fevergauge_down],[effect:enemy_counter, target:myself, invoke_condition:unit_all, counter_target:unit_all, turn:2, val:0.7, animation:enemy_counter]    </v>
      </c>
      <c r="N55" s="48" t="str">
        <f t="shared" si="166"/>
        <v xml:space="preserve">[effect:damage_gravity, val:0.8, animation:fevergauge_down],[effect:enemy_counter, target:myself, invoke_condition:unit_all, counter_target:unit_all, turn:2, val:0.7, animation:enemy_counter]    </v>
      </c>
      <c r="O55" s="63">
        <f t="shared" si="6"/>
        <v>9</v>
      </c>
      <c r="P55" s="63">
        <f t="shared" si="7"/>
        <v>23</v>
      </c>
      <c r="Q55" s="63">
        <f t="shared" si="8"/>
        <v>91</v>
      </c>
      <c r="R55" s="63">
        <f t="shared" si="9"/>
        <v>32</v>
      </c>
      <c r="S55" s="63" t="str">
        <f>IFERROR(VLOOKUP(MID(N55,Q55,R55-Q55),[5]skilldef!$C:$D,2,FALSE),"-") &amp; " / " &amp; IFERROR(VLOOKUP(MID(N55,O55,P55-O55),[5]skilldef!$A:$B,2,FALSE),"-")</f>
        <v>- / 割合ダメージ</v>
      </c>
      <c r="T55" s="48" t="str">
        <f t="shared" si="10"/>
        <v xml:space="preserve">[effect:enemy_counter, target:myself, invoke_condition:unit_all, counter_target:unit_all, turn:2, val:0.7, animation:enemy_counter]    </v>
      </c>
      <c r="U55" s="63">
        <f t="shared" si="11"/>
        <v>9</v>
      </c>
      <c r="V55" s="63">
        <f t="shared" si="12"/>
        <v>22</v>
      </c>
      <c r="W55" s="63">
        <f t="shared" si="13"/>
        <v>31</v>
      </c>
      <c r="X55" s="63">
        <f t="shared" si="14"/>
        <v>37</v>
      </c>
      <c r="Y55" s="63" t="str">
        <f>IFERROR(VLOOKUP(MID(T55,W55,X55-W55),[5]skilldef!$C:$D,2,FALSE),"-") &amp; " / " &amp; IFERROR(VLOOKUP(MID(T55,U55,V55-U55),[5]skilldef!$A:$B,2,FALSE),"-")</f>
        <v>自分自身に / カウンター</v>
      </c>
      <c r="Z55" s="50"/>
      <c r="AA55" s="52"/>
      <c r="AB55" s="50"/>
    </row>
    <row r="56" spans="1:28" ht="21" customHeight="1" x14ac:dyDescent="0.15">
      <c r="A56" s="205">
        <v>48502152</v>
      </c>
      <c r="B56" s="206" t="s">
        <v>461</v>
      </c>
      <c r="C56" s="207">
        <v>1</v>
      </c>
      <c r="D56" s="207" t="s">
        <v>127</v>
      </c>
      <c r="E56" s="204" t="s">
        <v>273</v>
      </c>
      <c r="F56" s="204" t="s">
        <v>462</v>
      </c>
      <c r="G56" s="63" t="str">
        <f t="shared" ref="G56" si="182">IFERROR(LEFT(B56,FIND("],",B56)),B56)</f>
        <v>[effect:enemy_message, val1:1.8, val2:2.7]</v>
      </c>
      <c r="H56" s="63">
        <f t="shared" ref="H56" si="183">FIND("effect:",G56)+7</f>
        <v>9</v>
      </c>
      <c r="I56" s="63">
        <f t="shared" ref="I56" si="184">IFERROR(FIND(",",G56),LEN(G56))</f>
        <v>22</v>
      </c>
      <c r="J56" s="63" t="e">
        <f t="shared" ref="J56" si="185">FIND("target:",G56)+7</f>
        <v>#VALUE!</v>
      </c>
      <c r="K56" s="63">
        <f t="shared" ref="K56" si="186">FIND(",",G56,I56+1)</f>
        <v>32</v>
      </c>
      <c r="L56" s="63" t="str">
        <f>IFERROR(VLOOKUP(MID(G56,J56,K56-J56),[5]skilldef!$C:$D,2,FALSE),"-") &amp; " / " &amp; IFERROR(VLOOKUP(MID(G56,H56,I56-H56),[5]skilldef!$A:$B,2,FALSE),"-")</f>
        <v>- / -</v>
      </c>
      <c r="M56" s="63" t="str">
        <f t="shared" ref="M56" si="187">IFERROR(RIGHT(B56,LEN(B56)-FIND("],",B56)-1),"none")</f>
        <v xml:space="preserve">[effect:damage_gravity, val:0.5, animation:fevergauge_down],[effect:enemy_counter, target:myself, invoke_condition:unit_all, counter_target:unit_all, turn:2, val:0.4, animation:enemy_counter]    </v>
      </c>
      <c r="N56" s="48" t="str">
        <f t="shared" si="166"/>
        <v xml:space="preserve">[effect:damage_gravity, val:0.5, animation:fevergauge_down],[effect:enemy_counter, target:myself, invoke_condition:unit_all, counter_target:unit_all, turn:2, val:0.4, animation:enemy_counter]    </v>
      </c>
      <c r="O56" s="63">
        <f t="shared" ref="O56" si="188">FIND("effect:",N56)+7</f>
        <v>9</v>
      </c>
      <c r="P56" s="63">
        <f t="shared" ref="P56" si="189">IFERROR(FIND(",",N56),LEN(N56))</f>
        <v>23</v>
      </c>
      <c r="Q56" s="63">
        <f t="shared" ref="Q56" si="190">FIND("target:",N56)+7</f>
        <v>91</v>
      </c>
      <c r="R56" s="63">
        <f t="shared" ref="R56" si="191">FIND(",",N56,P56+1)</f>
        <v>32</v>
      </c>
      <c r="S56" s="63" t="str">
        <f>IFERROR(VLOOKUP(MID(N56,Q56,R56-Q56),[5]skilldef!$C:$D,2,FALSE),"-") &amp; " / " &amp; IFERROR(VLOOKUP(MID(N56,O56,P56-O56),[5]skilldef!$A:$B,2,FALSE),"-")</f>
        <v>- / 割合ダメージ</v>
      </c>
      <c r="T56" s="48" t="str">
        <f t="shared" ref="T56" si="192">IFERROR(RIGHT(M56,LEN(M56)-FIND("],",M56)-1),"none")</f>
        <v xml:space="preserve">[effect:enemy_counter, target:myself, invoke_condition:unit_all, counter_target:unit_all, turn:2, val:0.4, animation:enemy_counter]    </v>
      </c>
      <c r="U56" s="63">
        <f t="shared" ref="U56" si="193">FIND("effect:",T56)+7</f>
        <v>9</v>
      </c>
      <c r="V56" s="63">
        <f t="shared" ref="V56" si="194">IFERROR(FIND(",",T56),LEN(T56))</f>
        <v>22</v>
      </c>
      <c r="W56" s="63">
        <f t="shared" ref="W56" si="195">FIND("target:",T56)+7</f>
        <v>31</v>
      </c>
      <c r="X56" s="63">
        <f t="shared" ref="X56" si="196">FIND(",",T56,V56+1)</f>
        <v>37</v>
      </c>
      <c r="Y56" s="63" t="str">
        <f>IFERROR(VLOOKUP(MID(T56,W56,X56-W56),[5]skilldef!$C:$D,2,FALSE),"-") &amp; " / " &amp; IFERROR(VLOOKUP(MID(T56,U56,V56-U56),[5]skilldef!$A:$B,2,FALSE),"-")</f>
        <v>自分自身に / カウンター</v>
      </c>
      <c r="Z56" s="50"/>
      <c r="AA56" s="52"/>
      <c r="AB56" s="50"/>
    </row>
    <row r="57" spans="1:28" ht="33" customHeight="1" x14ac:dyDescent="0.15">
      <c r="A57" s="118">
        <v>48502053</v>
      </c>
      <c r="B57" s="177" t="s">
        <v>471</v>
      </c>
      <c r="C57" s="50">
        <v>1</v>
      </c>
      <c r="D57" s="50" t="s">
        <v>127</v>
      </c>
      <c r="E57" s="51" t="s">
        <v>274</v>
      </c>
      <c r="F57" s="168" t="s">
        <v>299</v>
      </c>
      <c r="G57" s="63" t="str">
        <f t="shared" si="0"/>
        <v>[effect:enemy_message, val1:2.6, val2:1.7]</v>
      </c>
      <c r="H57" s="63">
        <f t="shared" si="1"/>
        <v>9</v>
      </c>
      <c r="I57" s="63">
        <f t="shared" si="2"/>
        <v>22</v>
      </c>
      <c r="J57" s="63" t="e">
        <f t="shared" si="3"/>
        <v>#VALUE!</v>
      </c>
      <c r="K57" s="63">
        <f t="shared" si="4"/>
        <v>32</v>
      </c>
      <c r="L57" s="63" t="str">
        <f>IFERROR(VLOOKUP(MID(G57,J57,K57-J57),[5]skilldef!$C:$D,2,FALSE),"-") &amp; " / " &amp; IFERROR(VLOOKUP(MID(G57,H57,I57-H57),[5]skilldef!$A:$B,2,FALSE),"-")</f>
        <v>- / -</v>
      </c>
      <c r="M57" s="63" t="str">
        <f t="shared" si="5"/>
        <v xml:space="preserve">[effect:tolerance, target:myself, turn:-1, count:-1, tolerance_effect:all, animation:enemy_tolerance],[effect:fix_speed, target:myself, turn:2],[effect:dis_panel, target:block_red, turn:3, animation:enemy_dis_red]    </v>
      </c>
      <c r="N57" s="48" t="str">
        <f t="shared" si="166"/>
        <v xml:space="preserve">[effect:tolerance, target:myself, turn:-1, count:-1, tolerance_effect:all, animation:enemy_tolerance],[effect:fix_speed, target:myself, turn:2],[effect:dis_panel, target:block_red, turn:3, animation:enemy_dis_red]    </v>
      </c>
      <c r="O57" s="63">
        <f t="shared" si="6"/>
        <v>9</v>
      </c>
      <c r="P57" s="63">
        <f t="shared" si="7"/>
        <v>18</v>
      </c>
      <c r="Q57" s="63">
        <f t="shared" si="8"/>
        <v>27</v>
      </c>
      <c r="R57" s="63">
        <f t="shared" si="9"/>
        <v>33</v>
      </c>
      <c r="S57" s="63" t="str">
        <f>IFERROR(VLOOKUP(MID(N57,Q57,R57-Q57),[5]skilldef!$C:$D,2,FALSE),"-") &amp; " / " &amp; IFERROR(VLOOKUP(MID(N57,O57,P57-O57),[5]skilldef!$A:$B,2,FALSE),"-")</f>
        <v>自分自身に / 状態異常耐性</v>
      </c>
      <c r="T57" s="48" t="str">
        <f t="shared" si="10"/>
        <v xml:space="preserve">[effect:fix_speed, target:myself, turn:2],[effect:dis_panel, target:block_red, turn:3, animation:enemy_dis_red]    </v>
      </c>
      <c r="U57" s="63">
        <f t="shared" si="11"/>
        <v>9</v>
      </c>
      <c r="V57" s="63">
        <f t="shared" si="12"/>
        <v>18</v>
      </c>
      <c r="W57" s="63">
        <f t="shared" si="13"/>
        <v>27</v>
      </c>
      <c r="X57" s="63">
        <f t="shared" si="14"/>
        <v>33</v>
      </c>
      <c r="Y57" s="63" t="str">
        <f>IFERROR(VLOOKUP(MID(T57,W57,X57-W57),[5]skilldef!$C:$D,2,FALSE),"-") &amp; " / " &amp; IFERROR(VLOOKUP(MID(T57,U57,V57-U57),[5]skilldef!$A:$B,2,FALSE),"-")</f>
        <v>自分自身に / 行動値設定</v>
      </c>
      <c r="Z57" s="50"/>
      <c r="AA57" s="52"/>
      <c r="AB57" s="50"/>
    </row>
    <row r="58" spans="1:28" ht="21" customHeight="1" x14ac:dyDescent="0.15">
      <c r="A58" s="118">
        <v>48502054</v>
      </c>
      <c r="B58" s="177" t="s">
        <v>417</v>
      </c>
      <c r="C58" s="50">
        <v>1</v>
      </c>
      <c r="D58" s="50" t="s">
        <v>127</v>
      </c>
      <c r="E58" s="51" t="s">
        <v>281</v>
      </c>
      <c r="F58" s="167" t="s">
        <v>345</v>
      </c>
      <c r="G58" s="63" t="str">
        <f t="shared" si="0"/>
        <v>[effect:enemy_message, val1:1.8, val2:1.7]</v>
      </c>
      <c r="H58" s="63">
        <f t="shared" si="1"/>
        <v>9</v>
      </c>
      <c r="I58" s="63">
        <f t="shared" si="2"/>
        <v>22</v>
      </c>
      <c r="J58" s="63" t="e">
        <f t="shared" si="3"/>
        <v>#VALUE!</v>
      </c>
      <c r="K58" s="63">
        <f t="shared" si="4"/>
        <v>32</v>
      </c>
      <c r="L58" s="63" t="str">
        <f>IFERROR(VLOOKUP(MID(G58,J58,K58-J58),[5]skilldef!$C:$D,2,FALSE),"-") &amp; " / " &amp; IFERROR(VLOOKUP(MID(G58,H58,I58-H58),[5]skilldef!$A:$B,2,FALSE),"-")</f>
        <v>- / -</v>
      </c>
      <c r="M58" s="63" t="str">
        <f t="shared" si="5"/>
        <v>[effect:virus, target:unit_all, turn:3, rate:1, val:0.5, animation:enemy_virus],[effect:spread, val:0.28]</v>
      </c>
      <c r="N58" s="48" t="str">
        <f>IFERROR(LEFT(M58,FIND("],",M58)+S77),M58)</f>
        <v>[effect:virus, target:unit_all, turn:3, rate:1, val:0.5, animation:enemy_virus],[effect:spread, val:0.28]</v>
      </c>
      <c r="O58" s="63">
        <f t="shared" si="6"/>
        <v>9</v>
      </c>
      <c r="P58" s="63">
        <f t="shared" si="7"/>
        <v>14</v>
      </c>
      <c r="Q58" s="63">
        <f t="shared" si="8"/>
        <v>23</v>
      </c>
      <c r="R58" s="63">
        <f t="shared" si="9"/>
        <v>31</v>
      </c>
      <c r="S58" s="63" t="str">
        <f>IFERROR(VLOOKUP(MID(N58,Q58,R58-Q58),[5]skilldef!$C:$D,2,FALSE),"-") &amp; " / " &amp; IFERROR(VLOOKUP(MID(N58,O58,P58-O58),[5]skilldef!$A:$B,2,FALSE),"-")</f>
        <v>味方全体に / ウィルス</v>
      </c>
      <c r="T58" s="48" t="str">
        <f t="shared" si="10"/>
        <v>[effect:spread, val:0.28]</v>
      </c>
      <c r="U58" s="63">
        <f t="shared" si="11"/>
        <v>9</v>
      </c>
      <c r="V58" s="63">
        <f t="shared" si="12"/>
        <v>15</v>
      </c>
      <c r="W58" s="63" t="e">
        <f t="shared" si="13"/>
        <v>#VALUE!</v>
      </c>
      <c r="X58" s="63" t="e">
        <f t="shared" si="14"/>
        <v>#VALUE!</v>
      </c>
      <c r="Y58" s="63" t="str">
        <f>IFERROR(VLOOKUP(MID(T58,W58,X58-W58),[5]skilldef!$C:$D,2,FALSE),"-") &amp; " / " &amp; IFERROR(VLOOKUP(MID(T58,U58,V58-U58),[5]skilldef!$A:$B,2,FALSE),"-")</f>
        <v>- / 全体攻撃</v>
      </c>
      <c r="Z58" s="50"/>
      <c r="AA58" s="52"/>
      <c r="AB58" s="50"/>
    </row>
    <row r="59" spans="1:28" ht="21" customHeight="1" x14ac:dyDescent="0.15">
      <c r="A59" s="205">
        <v>48502154</v>
      </c>
      <c r="B59" s="206" t="s">
        <v>460</v>
      </c>
      <c r="C59" s="207">
        <v>1</v>
      </c>
      <c r="D59" s="207" t="s">
        <v>127</v>
      </c>
      <c r="E59" s="204" t="s">
        <v>281</v>
      </c>
      <c r="F59" s="213" t="s">
        <v>459</v>
      </c>
      <c r="G59" s="63" t="str">
        <f t="shared" ref="G59" si="197">IFERROR(LEFT(B59,FIND("],",B59)),B59)</f>
        <v>[effect:enemy_message, val1:1.8, val2:1.3]</v>
      </c>
      <c r="H59" s="63">
        <f t="shared" ref="H59" si="198">FIND("effect:",G59)+7</f>
        <v>9</v>
      </c>
      <c r="I59" s="63">
        <f t="shared" ref="I59" si="199">IFERROR(FIND(",",G59),LEN(G59))</f>
        <v>22</v>
      </c>
      <c r="J59" s="63" t="e">
        <f t="shared" ref="J59" si="200">FIND("target:",G59)+7</f>
        <v>#VALUE!</v>
      </c>
      <c r="K59" s="63">
        <f t="shared" ref="K59" si="201">FIND(",",G59,I59+1)</f>
        <v>32</v>
      </c>
      <c r="L59" s="63" t="str">
        <f>IFERROR(VLOOKUP(MID(G59,J59,K59-J59),[5]skilldef!$C:$D,2,FALSE),"-") &amp; " / " &amp; IFERROR(VLOOKUP(MID(G59,H59,I59-H59),[5]skilldef!$A:$B,2,FALSE),"-")</f>
        <v>- / -</v>
      </c>
      <c r="M59" s="63" t="str">
        <f t="shared" ref="M59" si="202">IFERROR(RIGHT(B59,LEN(B59)-FIND("],",B59)-1),"none")</f>
        <v>[effect:virus, target:unit_all, turn:3, rate:1, val:0.14, animation:enemy_virus],[effect:spread, val:0.24]</v>
      </c>
      <c r="N59" s="48" t="str">
        <f>IFERROR(LEFT(M59,FIND("],",M59)+S78),M59)</f>
        <v>[effect:virus, target:unit_all, turn:3, rate:1, val:0.14, animation:enemy_virus],[effect:spread, val:0.24]</v>
      </c>
      <c r="O59" s="63">
        <f t="shared" ref="O59" si="203">FIND("effect:",N59)+7</f>
        <v>9</v>
      </c>
      <c r="P59" s="63">
        <f t="shared" ref="P59" si="204">IFERROR(FIND(",",N59),LEN(N59))</f>
        <v>14</v>
      </c>
      <c r="Q59" s="63">
        <f t="shared" ref="Q59" si="205">FIND("target:",N59)+7</f>
        <v>23</v>
      </c>
      <c r="R59" s="63">
        <f t="shared" ref="R59" si="206">FIND(",",N59,P59+1)</f>
        <v>31</v>
      </c>
      <c r="S59" s="63" t="str">
        <f>IFERROR(VLOOKUP(MID(N59,Q59,R59-Q59),[5]skilldef!$C:$D,2,FALSE),"-") &amp; " / " &amp; IFERROR(VLOOKUP(MID(N59,O59,P59-O59),[5]skilldef!$A:$B,2,FALSE),"-")</f>
        <v>味方全体に / ウィルス</v>
      </c>
      <c r="T59" s="48" t="str">
        <f t="shared" ref="T59" si="207">IFERROR(RIGHT(M59,LEN(M59)-FIND("],",M59)-1),"none")</f>
        <v>[effect:spread, val:0.24]</v>
      </c>
      <c r="U59" s="63">
        <f t="shared" ref="U59" si="208">FIND("effect:",T59)+7</f>
        <v>9</v>
      </c>
      <c r="V59" s="63">
        <f t="shared" ref="V59" si="209">IFERROR(FIND(",",T59),LEN(T59))</f>
        <v>15</v>
      </c>
      <c r="W59" s="63" t="e">
        <f t="shared" ref="W59" si="210">FIND("target:",T59)+7</f>
        <v>#VALUE!</v>
      </c>
      <c r="X59" s="63" t="e">
        <f t="shared" ref="X59" si="211">FIND(",",T59,V59+1)</f>
        <v>#VALUE!</v>
      </c>
      <c r="Y59" s="63" t="str">
        <f>IFERROR(VLOOKUP(MID(T59,W59,X59-W59),[5]skilldef!$C:$D,2,FALSE),"-") &amp; " / " &amp; IFERROR(VLOOKUP(MID(T59,U59,V59-U59),[5]skilldef!$A:$B,2,FALSE),"-")</f>
        <v>- / 全体攻撃</v>
      </c>
      <c r="Z59" s="50"/>
      <c r="AA59" s="52"/>
      <c r="AB59" s="50"/>
    </row>
    <row r="60" spans="1:28" ht="29" customHeight="1" x14ac:dyDescent="0.15">
      <c r="A60" s="118">
        <v>48502055</v>
      </c>
      <c r="B60" s="177" t="s">
        <v>418</v>
      </c>
      <c r="C60" s="50">
        <v>1</v>
      </c>
      <c r="D60" s="50" t="s">
        <v>127</v>
      </c>
      <c r="E60" s="51" t="s">
        <v>275</v>
      </c>
      <c r="F60" s="167" t="s">
        <v>405</v>
      </c>
      <c r="G60" s="63" t="str">
        <f t="shared" si="0"/>
        <v>[effect:enemy_message, val1:1.2, val2:2.5]</v>
      </c>
      <c r="H60" s="63">
        <f t="shared" si="1"/>
        <v>9</v>
      </c>
      <c r="I60" s="63">
        <f t="shared" si="2"/>
        <v>22</v>
      </c>
      <c r="J60" s="63" t="e">
        <f t="shared" si="3"/>
        <v>#VALUE!</v>
      </c>
      <c r="K60" s="63">
        <f t="shared" si="4"/>
        <v>32</v>
      </c>
      <c r="L60" s="63" t="str">
        <f>IFERROR(VLOOKUP(MID(G60,J60,K60-J60),[5]skilldef!$C:$D,2,FALSE),"-") &amp; " / " &amp; IFERROR(VLOOKUP(MID(G60,H60,I60-H60),[5]skilldef!$A:$B,2,FALSE),"-")</f>
        <v>- / -</v>
      </c>
      <c r="M60" s="63" t="str">
        <f t="shared" si="5"/>
        <v>[effect:enemy_counter, target:myself, invoke_condition:unit_all, counter_target:unit_all, turn:2, val:0.7, animation:enemy_counter],[effect:rush, val:1, count:1],[effect:freq_turn, target:enemy_all, turn:-1, val:1, animation:enemy_freq_turn]</v>
      </c>
      <c r="N60" s="48" t="str">
        <f>IFERROR(LEFT(M60,FIND("],",M60)+S78),M60)</f>
        <v>[effect:enemy_counter, target:myself, invoke_condition:unit_all, counter_target:unit_all, turn:2, val:0.7, animation:enemy_counter],[effect:rush, val:1, count:1],[effect:freq_turn, target:enemy_all, turn:-1, val:1, animation:enemy_freq_turn]</v>
      </c>
      <c r="O60" s="63">
        <f t="shared" si="6"/>
        <v>9</v>
      </c>
      <c r="P60" s="63">
        <f t="shared" si="7"/>
        <v>22</v>
      </c>
      <c r="Q60" s="63">
        <f t="shared" si="8"/>
        <v>31</v>
      </c>
      <c r="R60" s="63">
        <f t="shared" si="9"/>
        <v>37</v>
      </c>
      <c r="S60" s="63" t="str">
        <f>IFERROR(VLOOKUP(MID(N60,Q60,R60-Q60),[5]skilldef!$C:$D,2,FALSE),"-") &amp; " / " &amp; IFERROR(VLOOKUP(MID(N60,O60,P60-O60),[5]skilldef!$A:$B,2,FALSE),"-")</f>
        <v>自分自身に / カウンター</v>
      </c>
      <c r="T60" s="48" t="str">
        <f t="shared" si="10"/>
        <v>[effect:rush, val:1, count:1],[effect:freq_turn, target:enemy_all, turn:-1, val:1, animation:enemy_freq_turn]</v>
      </c>
      <c r="U60" s="63">
        <f t="shared" si="11"/>
        <v>9</v>
      </c>
      <c r="V60" s="63">
        <f t="shared" si="12"/>
        <v>13</v>
      </c>
      <c r="W60" s="63">
        <f t="shared" si="13"/>
        <v>57</v>
      </c>
      <c r="X60" s="63">
        <f t="shared" si="14"/>
        <v>20</v>
      </c>
      <c r="Y60" s="63" t="str">
        <f>IFERROR(VLOOKUP(MID(T60,W60,X60-W60),[5]skilldef!$C:$D,2,FALSE),"-") &amp; " / " &amp; IFERROR(VLOOKUP(MID(T60,U60,V60-U60),[5]skilldef!$A:$B,2,FALSE),"-")</f>
        <v>- / 連続攻撃</v>
      </c>
      <c r="Z60" s="50"/>
      <c r="AA60" s="52"/>
      <c r="AB60" s="50"/>
    </row>
    <row r="61" spans="1:28" ht="29" customHeight="1" x14ac:dyDescent="0.15">
      <c r="A61" s="205">
        <v>48502155</v>
      </c>
      <c r="B61" s="206" t="s">
        <v>458</v>
      </c>
      <c r="C61" s="207">
        <v>1</v>
      </c>
      <c r="D61" s="207" t="s">
        <v>127</v>
      </c>
      <c r="E61" s="204" t="s">
        <v>275</v>
      </c>
      <c r="F61" s="213" t="s">
        <v>405</v>
      </c>
      <c r="G61" s="63" t="str">
        <f t="shared" ref="G61" si="212">IFERROR(LEFT(B61,FIND("],",B61)),B61)</f>
        <v>[effect:enemy_message, val1:1.2, val2:2.5]</v>
      </c>
      <c r="H61" s="63">
        <f t="shared" ref="H61" si="213">FIND("effect:",G61)+7</f>
        <v>9</v>
      </c>
      <c r="I61" s="63">
        <f t="shared" ref="I61" si="214">IFERROR(FIND(",",G61),LEN(G61))</f>
        <v>22</v>
      </c>
      <c r="J61" s="63" t="e">
        <f t="shared" ref="J61" si="215">FIND("target:",G61)+7</f>
        <v>#VALUE!</v>
      </c>
      <c r="K61" s="63">
        <f t="shared" ref="K61" si="216">FIND(",",G61,I61+1)</f>
        <v>32</v>
      </c>
      <c r="L61" s="63" t="str">
        <f>IFERROR(VLOOKUP(MID(G61,J61,K61-J61),[5]skilldef!$C:$D,2,FALSE),"-") &amp; " / " &amp; IFERROR(VLOOKUP(MID(G61,H61,I61-H61),[5]skilldef!$A:$B,2,FALSE),"-")</f>
        <v>- / -</v>
      </c>
      <c r="M61" s="63" t="str">
        <f t="shared" ref="M61" si="217">IFERROR(RIGHT(B61,LEN(B61)-FIND("],",B61)-1),"none")</f>
        <v>[effect:enemy_counter, target:myself, invoke_condition:unit_all, counter_target:unit_all, turn:2, val:0.45, animation:enemy_counter],[effect:rush, val:0.8, count:1],[effect:freq_turn, target:enemy_all, turn:-1, val:1, animation:enemy_freq_turn]</v>
      </c>
      <c r="N61" s="48" t="str">
        <f>IFERROR(LEFT(M61,FIND("],",M61)+S79),M61)</f>
        <v>[effect:enemy_counter, target:myself, invoke_condition:unit_all, counter_target:unit_all, turn:2, val:0.45, animation:enemy_counter],[effect:rush, val:0.8, count:1],[effect:freq_turn, target:enemy_all, turn:-1, val:1, animation:enemy_freq_turn]</v>
      </c>
      <c r="O61" s="63">
        <f t="shared" ref="O61" si="218">FIND("effect:",N61)+7</f>
        <v>9</v>
      </c>
      <c r="P61" s="63">
        <f t="shared" ref="P61" si="219">IFERROR(FIND(",",N61),LEN(N61))</f>
        <v>22</v>
      </c>
      <c r="Q61" s="63">
        <f t="shared" ref="Q61" si="220">FIND("target:",N61)+7</f>
        <v>31</v>
      </c>
      <c r="R61" s="63">
        <f t="shared" ref="R61" si="221">FIND(",",N61,P61+1)</f>
        <v>37</v>
      </c>
      <c r="S61" s="63" t="str">
        <f>IFERROR(VLOOKUP(MID(N61,Q61,R61-Q61),[5]skilldef!$C:$D,2,FALSE),"-") &amp; " / " &amp; IFERROR(VLOOKUP(MID(N61,O61,P61-O61),[5]skilldef!$A:$B,2,FALSE),"-")</f>
        <v>自分自身に / カウンター</v>
      </c>
      <c r="T61" s="48" t="str">
        <f t="shared" ref="T61" si="222">IFERROR(RIGHT(M61,LEN(M61)-FIND("],",M61)-1),"none")</f>
        <v>[effect:rush, val:0.8, count:1],[effect:freq_turn, target:enemy_all, turn:-1, val:1, animation:enemy_freq_turn]</v>
      </c>
      <c r="U61" s="63">
        <f t="shared" ref="U61" si="223">FIND("effect:",T61)+7</f>
        <v>9</v>
      </c>
      <c r="V61" s="63">
        <f t="shared" ref="V61" si="224">IFERROR(FIND(",",T61),LEN(T61))</f>
        <v>13</v>
      </c>
      <c r="W61" s="63">
        <f t="shared" ref="W61" si="225">FIND("target:",T61)+7</f>
        <v>59</v>
      </c>
      <c r="X61" s="63">
        <f t="shared" ref="X61" si="226">FIND(",",T61,V61+1)</f>
        <v>22</v>
      </c>
      <c r="Y61" s="63" t="str">
        <f>IFERROR(VLOOKUP(MID(T61,W61,X61-W61),[5]skilldef!$C:$D,2,FALSE),"-") &amp; " / " &amp; IFERROR(VLOOKUP(MID(T61,U61,V61-U61),[5]skilldef!$A:$B,2,FALSE),"-")</f>
        <v>- / 連続攻撃</v>
      </c>
      <c r="Z61" s="50"/>
      <c r="AA61" s="52"/>
      <c r="AB61" s="50"/>
    </row>
    <row r="62" spans="1:28" ht="21" customHeight="1" x14ac:dyDescent="0.15">
      <c r="A62" s="118">
        <v>48502056</v>
      </c>
      <c r="B62" s="177" t="s">
        <v>424</v>
      </c>
      <c r="C62" s="50">
        <v>1</v>
      </c>
      <c r="D62" s="50" t="s">
        <v>127</v>
      </c>
      <c r="E62" s="51" t="s">
        <v>276</v>
      </c>
      <c r="F62" s="167" t="s">
        <v>310</v>
      </c>
      <c r="G62" s="63" t="str">
        <f>IFERROR(LEFT(B62,FIND("],",B62)),B62)</f>
        <v>[effect:enemy_message, val1:1.6, val2:1.6]</v>
      </c>
      <c r="H62" s="63">
        <f>FIND("effect:",G62)+7</f>
        <v>9</v>
      </c>
      <c r="I62" s="63">
        <f>IFERROR(FIND(",",G62),LEN(G62))</f>
        <v>22</v>
      </c>
      <c r="J62" s="63" t="e">
        <f>FIND("target:",G62)+7</f>
        <v>#VALUE!</v>
      </c>
      <c r="K62" s="63">
        <f>FIND(",",G62,I62+1)</f>
        <v>32</v>
      </c>
      <c r="L62" s="63" t="str">
        <f>IFERROR(VLOOKUP(MID(G62,J62,K62-J62),[5]skilldef!$C:$D,2,FALSE),"-") &amp; " / " &amp; IFERROR(VLOOKUP(MID(G62,H62,I62-H62),[5]skilldef!$A:$B,2,FALSE),"-")</f>
        <v>- / -</v>
      </c>
      <c r="M62" s="63" t="str">
        <f>IFERROR(RIGHT(B62,LEN(B62)-FIND("],",B62)-1),"none")</f>
        <v>[effect:break_attack_fix, target:unit_one, val:400, lowest_val:5000, count:-1, block01:block_red, block02:block_blue, ignore01:crack_bomb, ignore02:color_break, ignore03:magnet]</v>
      </c>
      <c r="N62" s="48" t="str">
        <f>IFERROR(LEFT(M62,FIND("],",M62)+S90),M62)</f>
        <v>[effect:break_attack_fix, target:unit_one, val:400, lowest_val:5000, count:-1, block01:block_red, block02:block_blue, ignore01:crack_bomb, ignore02:color_break, ignore03:magnet]</v>
      </c>
      <c r="O62" s="63">
        <f>FIND("effect:",N62)+7</f>
        <v>9</v>
      </c>
      <c r="P62" s="63">
        <f>IFERROR(FIND(",",N62),LEN(N62))</f>
        <v>25</v>
      </c>
      <c r="Q62" s="63">
        <f>FIND("target:",N62)+7</f>
        <v>34</v>
      </c>
      <c r="R62" s="63">
        <f>FIND(",",N62,P62+1)</f>
        <v>42</v>
      </c>
      <c r="S62" s="63" t="str">
        <f>IFERROR(VLOOKUP(MID(N62,Q62,R62-Q62),[5]skilldef!$C:$D,2,FALSE),"-") &amp; " / " &amp; IFERROR(VLOOKUP(MID(N62,O62,P62-O62),[5]skilldef!$A:$B,2,FALSE),"-")</f>
        <v>味方単体に / -</v>
      </c>
      <c r="T62" s="48" t="str">
        <f>IFERROR(RIGHT(M62,LEN(M62)-FIND("],",M62)-1),"none")</f>
        <v>none</v>
      </c>
      <c r="U62" s="63" t="e">
        <f>FIND("effect:",T62)+7</f>
        <v>#VALUE!</v>
      </c>
      <c r="V62" s="63">
        <f>IFERROR(FIND(",",T62),LEN(T62))</f>
        <v>4</v>
      </c>
      <c r="W62" s="63" t="e">
        <f>FIND("target:",T62)+7</f>
        <v>#VALUE!</v>
      </c>
      <c r="X62" s="63" t="e">
        <f>FIND(",",T62,V62+1)</f>
        <v>#VALUE!</v>
      </c>
      <c r="Y62" s="63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6" customHeight="1" x14ac:dyDescent="0.15">
      <c r="A63" s="205">
        <v>48502156</v>
      </c>
      <c r="B63" s="206" t="s">
        <v>457</v>
      </c>
      <c r="C63" s="207">
        <v>1</v>
      </c>
      <c r="D63" s="207" t="s">
        <v>127</v>
      </c>
      <c r="E63" s="204" t="s">
        <v>276</v>
      </c>
      <c r="F63" s="213" t="s">
        <v>310</v>
      </c>
      <c r="G63" s="63" t="str">
        <f>IFERROR(LEFT(B63,FIND("],",B63)),B63)</f>
        <v>[effect:enemy_message, val1:1.6, val2:1.6]</v>
      </c>
      <c r="H63" s="63">
        <f>FIND("effect:",G63)+7</f>
        <v>9</v>
      </c>
      <c r="I63" s="63">
        <f>IFERROR(FIND(",",G63),LEN(G63))</f>
        <v>22</v>
      </c>
      <c r="J63" s="63" t="e">
        <f>FIND("target:",G63)+7</f>
        <v>#VALUE!</v>
      </c>
      <c r="K63" s="63">
        <f>FIND(",",G63,I63+1)</f>
        <v>32</v>
      </c>
      <c r="L63" s="63" t="str">
        <f>IFERROR(VLOOKUP(MID(G63,J63,K63-J63),[5]skilldef!$C:$D,2,FALSE),"-") &amp; " / " &amp; IFERROR(VLOOKUP(MID(G63,H63,I63-H63),[5]skilldef!$A:$B,2,FALSE),"-")</f>
        <v>- / -</v>
      </c>
      <c r="M63" s="63" t="str">
        <f>IFERROR(RIGHT(B63,LEN(B63)-FIND("],",B63)-1),"none")</f>
        <v>[effect:break_attack_fix, target:unit_one, val:300, lowest_val:2500, count:-1, block01:block_red, block02:block_blue, ignore01:crack_bomb, ignore02:color_break, ignore03:magnet]</v>
      </c>
      <c r="N63" s="48" t="str">
        <f>IFERROR(LEFT(M63,FIND("],",M63)+S91),M63)</f>
        <v>[effect:break_attack_fix, target:unit_one, val:300, lowest_val:2500, count:-1, block01:block_red, block02:block_blue, ignore01:crack_bomb, ignore02:color_break, ignore03:magnet]</v>
      </c>
      <c r="O63" s="63">
        <f>FIND("effect:",N63)+7</f>
        <v>9</v>
      </c>
      <c r="P63" s="63">
        <f>IFERROR(FIND(",",N63),LEN(N63))</f>
        <v>25</v>
      </c>
      <c r="Q63" s="63">
        <f>FIND("target:",N63)+7</f>
        <v>34</v>
      </c>
      <c r="R63" s="63">
        <f>FIND(",",N63,P63+1)</f>
        <v>42</v>
      </c>
      <c r="S63" s="63" t="str">
        <f>IFERROR(VLOOKUP(MID(N63,Q63,R63-Q63),[5]skilldef!$C:$D,2,FALSE),"-") &amp; " / " &amp; IFERROR(VLOOKUP(MID(N63,O63,P63-O63),[5]skilldef!$A:$B,2,FALSE),"-")</f>
        <v>味方単体に / -</v>
      </c>
      <c r="T63" s="48" t="str">
        <f>IFERROR(RIGHT(M63,LEN(M63)-FIND("],",M63)-1),"none")</f>
        <v>none</v>
      </c>
      <c r="U63" s="63" t="e">
        <f>FIND("effect:",T63)+7</f>
        <v>#VALUE!</v>
      </c>
      <c r="V63" s="63">
        <f>IFERROR(FIND(",",T63),LEN(T63))</f>
        <v>4</v>
      </c>
      <c r="W63" s="63" t="e">
        <f>FIND("target:",T63)+7</f>
        <v>#VALUE!</v>
      </c>
      <c r="X63" s="63" t="e">
        <f>FIND(",",T63,V63+1)</f>
        <v>#VALUE!</v>
      </c>
      <c r="Y63" s="63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30" customHeight="1" x14ac:dyDescent="0.15">
      <c r="A64" s="118">
        <v>48502057</v>
      </c>
      <c r="B64" s="177" t="s">
        <v>489</v>
      </c>
      <c r="C64" s="50">
        <v>1</v>
      </c>
      <c r="D64" s="50" t="s">
        <v>127</v>
      </c>
      <c r="E64" s="51" t="s">
        <v>399</v>
      </c>
      <c r="F64" s="176" t="s">
        <v>488</v>
      </c>
      <c r="G64" s="63" t="str">
        <f t="shared" si="0"/>
        <v>[effect:enemy_message, val1:1.2, val2:2.9]</v>
      </c>
      <c r="H64" s="63">
        <f t="shared" si="1"/>
        <v>9</v>
      </c>
      <c r="I64" s="63">
        <f t="shared" si="2"/>
        <v>22</v>
      </c>
      <c r="J64" s="63" t="e">
        <f t="shared" si="3"/>
        <v>#VALUE!</v>
      </c>
      <c r="K64" s="63">
        <f t="shared" si="4"/>
        <v>32</v>
      </c>
      <c r="L64" s="63" t="str">
        <f>IFERROR(VLOOKUP(MID(G64,J64,K64-J64),[5]skilldef!$C:$D,2,FALSE),"-") &amp; " / " &amp; IFERROR(VLOOKUP(MID(G64,H64,I64-H64),[5]skilldef!$A:$B,2,FALSE),"-")</f>
        <v>- / -</v>
      </c>
      <c r="M64" s="63" t="str">
        <f t="shared" si="5"/>
        <v>[effect:force_change_block, new_block:block_red, target:normal, count:13, val:0, animation:change_block],[effect:damage_fix_absolute, target:unit_one, val:11666]</v>
      </c>
      <c r="N64" s="48" t="str">
        <f>IFERROR(LEFT(M64,FIND("],",M64)+S79),M64)</f>
        <v>[effect:force_change_block, new_block:block_red, target:normal, count:13, val:0, animation:change_block],[effect:damage_fix_absolute, target:unit_one, val:11666]</v>
      </c>
      <c r="O64" s="63">
        <f t="shared" si="6"/>
        <v>9</v>
      </c>
      <c r="P64" s="63">
        <f t="shared" si="7"/>
        <v>27</v>
      </c>
      <c r="Q64" s="63">
        <f t="shared" si="8"/>
        <v>57</v>
      </c>
      <c r="R64" s="63">
        <f t="shared" si="9"/>
        <v>48</v>
      </c>
      <c r="S64" s="63" t="str">
        <f>IFERROR(VLOOKUP(MID(N64,Q64,R64-Q64),[5]skilldef!$C:$D,2,FALSE),"-") &amp; " / " &amp; IFERROR(VLOOKUP(MID(N64,O64,P64-O64),[5]skilldef!$A:$B,2,FALSE),"-")</f>
        <v>- / -</v>
      </c>
      <c r="T64" s="48" t="str">
        <f t="shared" si="10"/>
        <v>[effect:damage_fix_absolute, target:unit_one, val:11666]</v>
      </c>
      <c r="U64" s="63">
        <f t="shared" si="11"/>
        <v>9</v>
      </c>
      <c r="V64" s="63">
        <f t="shared" si="12"/>
        <v>28</v>
      </c>
      <c r="W64" s="63">
        <f t="shared" si="13"/>
        <v>37</v>
      </c>
      <c r="X64" s="63">
        <f t="shared" si="14"/>
        <v>45</v>
      </c>
      <c r="Y64" s="63" t="str">
        <f>IFERROR(VLOOKUP(MID(T64,W64,X64-W64),[5]skilldef!$C:$D,2,FALSE),"-") &amp; " / " &amp; IFERROR(VLOOKUP(MID(T64,U64,V64-U64),[5]skilldef!$A:$B,2,FALSE),"-")</f>
        <v>味方単体に / -</v>
      </c>
      <c r="Z64" s="50"/>
      <c r="AA64" s="52"/>
      <c r="AB64" s="50"/>
    </row>
    <row r="65" spans="1:28" ht="30" customHeight="1" x14ac:dyDescent="0.15">
      <c r="A65" s="205">
        <v>48502157</v>
      </c>
      <c r="B65" s="206" t="s">
        <v>490</v>
      </c>
      <c r="C65" s="207">
        <v>1</v>
      </c>
      <c r="D65" s="207" t="s">
        <v>127</v>
      </c>
      <c r="E65" s="204" t="s">
        <v>399</v>
      </c>
      <c r="F65" s="248" t="s">
        <v>433</v>
      </c>
      <c r="G65" s="63" t="str">
        <f t="shared" ref="G65" si="227">IFERROR(LEFT(B65,FIND("],",B65)),B65)</f>
        <v>[effect:enemy_message, val1:1.2, val2:2.9]</v>
      </c>
      <c r="H65" s="63">
        <f t="shared" ref="H65" si="228">FIND("effect:",G65)+7</f>
        <v>9</v>
      </c>
      <c r="I65" s="63">
        <f t="shared" ref="I65" si="229">IFERROR(FIND(",",G65),LEN(G65))</f>
        <v>22</v>
      </c>
      <c r="J65" s="63" t="e">
        <f t="shared" ref="J65" si="230">FIND("target:",G65)+7</f>
        <v>#VALUE!</v>
      </c>
      <c r="K65" s="63">
        <f t="shared" ref="K65" si="231">FIND(",",G65,I65+1)</f>
        <v>32</v>
      </c>
      <c r="L65" s="63" t="str">
        <f>IFERROR(VLOOKUP(MID(G65,J65,K65-J65),[5]skilldef!$C:$D,2,FALSE),"-") &amp; " / " &amp; IFERROR(VLOOKUP(MID(G65,H65,I65-H65),[5]skilldef!$A:$B,2,FALSE),"-")</f>
        <v>- / -</v>
      </c>
      <c r="M65" s="63" t="str">
        <f t="shared" ref="M65" si="232">IFERROR(RIGHT(B65,LEN(B65)-FIND("],",B65)-1),"none")</f>
        <v>[effect:force_change_block, new_block:block_red, target:normal, count:13, val:0, animation:change_block],[effect:damage_fix_absolute, target:unit_one, val:6666]</v>
      </c>
      <c r="N65" s="48" t="str">
        <f>IFERROR(LEFT(M65,FIND("],",M65)+S80),M65)</f>
        <v>[effect:force_change_block, new_block:block_red, target:normal, count:13, val:0, animation:change_block],[effect:damage_fix_absolute, target:unit_one, val:6666]</v>
      </c>
      <c r="O65" s="63">
        <f t="shared" ref="O65" si="233">FIND("effect:",N65)+7</f>
        <v>9</v>
      </c>
      <c r="P65" s="63">
        <f t="shared" ref="P65" si="234">IFERROR(FIND(",",N65),LEN(N65))</f>
        <v>27</v>
      </c>
      <c r="Q65" s="63">
        <f t="shared" ref="Q65" si="235">FIND("target:",N65)+7</f>
        <v>57</v>
      </c>
      <c r="R65" s="63">
        <f t="shared" ref="R65" si="236">FIND(",",N65,P65+1)</f>
        <v>48</v>
      </c>
      <c r="S65" s="63" t="str">
        <f>IFERROR(VLOOKUP(MID(N65,Q65,R65-Q65),[5]skilldef!$C:$D,2,FALSE),"-") &amp; " / " &amp; IFERROR(VLOOKUP(MID(N65,O65,P65-O65),[5]skilldef!$A:$B,2,FALSE),"-")</f>
        <v>- / -</v>
      </c>
      <c r="T65" s="48" t="str">
        <f t="shared" ref="T65" si="237">IFERROR(RIGHT(M65,LEN(M65)-FIND("],",M65)-1),"none")</f>
        <v>[effect:damage_fix_absolute, target:unit_one, val:6666]</v>
      </c>
      <c r="U65" s="63">
        <f t="shared" ref="U65" si="238">FIND("effect:",T65)+7</f>
        <v>9</v>
      </c>
      <c r="V65" s="63">
        <f t="shared" ref="V65" si="239">IFERROR(FIND(",",T65),LEN(T65))</f>
        <v>28</v>
      </c>
      <c r="W65" s="63">
        <f t="shared" ref="W65" si="240">FIND("target:",T65)+7</f>
        <v>37</v>
      </c>
      <c r="X65" s="63">
        <f t="shared" ref="X65" si="241">FIND(",",T65,V65+1)</f>
        <v>45</v>
      </c>
      <c r="Y65" s="63" t="str">
        <f>IFERROR(VLOOKUP(MID(T65,W65,X65-W65),[5]skilldef!$C:$D,2,FALSE),"-") &amp; " / " &amp; IFERROR(VLOOKUP(MID(T65,U65,V65-U65),[5]skilldef!$A:$B,2,FALSE),"-")</f>
        <v>味方単体に / -</v>
      </c>
      <c r="Z65" s="50"/>
      <c r="AA65" s="52"/>
      <c r="AB65" s="50"/>
    </row>
    <row r="66" spans="1:28" ht="21" customHeight="1" x14ac:dyDescent="0.15">
      <c r="A66" s="118">
        <v>48502058</v>
      </c>
      <c r="B66" s="177" t="s">
        <v>330</v>
      </c>
      <c r="C66" s="50">
        <v>1</v>
      </c>
      <c r="D66" s="50" t="s">
        <v>127</v>
      </c>
      <c r="E66" s="51" t="s">
        <v>339</v>
      </c>
      <c r="F66" s="168" t="s">
        <v>300</v>
      </c>
      <c r="G66" s="63" t="str">
        <f t="shared" si="0"/>
        <v>[effect:enemy_message, val1:1.5, val2:1.6]</v>
      </c>
      <c r="H66" s="63">
        <f t="shared" si="1"/>
        <v>9</v>
      </c>
      <c r="I66" s="63">
        <f t="shared" si="2"/>
        <v>22</v>
      </c>
      <c r="J66" s="63" t="e">
        <f t="shared" si="3"/>
        <v>#VALUE!</v>
      </c>
      <c r="K66" s="63">
        <f t="shared" si="4"/>
        <v>32</v>
      </c>
      <c r="L66" s="63" t="str">
        <f>IFERROR(VLOOKUP(MID(G66,J66,K66-J66),[5]skilldef!$C:$D,2,FALSE),"-") &amp; " / " &amp; IFERROR(VLOOKUP(MID(G66,H66,I66-H66),[5]skilldef!$A:$B,2,FALSE),"-")</f>
        <v>- / -</v>
      </c>
      <c r="M66" s="63" t="str">
        <f t="shared" si="5"/>
        <v>[effect:panel_freeze, target:normal, color:block_red, count:-1],[effect:rush, val:0.32, count:4]</v>
      </c>
      <c r="N66" s="48" t="str">
        <f>IFERROR(LEFT(M66,FIND("],",M66)+S80),M66)</f>
        <v>[effect:panel_freeze, target:normal, color:block_red, count:-1],[effect:rush, val:0.32, count:4]</v>
      </c>
      <c r="O66" s="63">
        <f t="shared" si="6"/>
        <v>9</v>
      </c>
      <c r="P66" s="63">
        <f t="shared" si="7"/>
        <v>21</v>
      </c>
      <c r="Q66" s="63">
        <f t="shared" si="8"/>
        <v>30</v>
      </c>
      <c r="R66" s="63">
        <f t="shared" si="9"/>
        <v>36</v>
      </c>
      <c r="S66" s="63" t="str">
        <f>IFERROR(VLOOKUP(MID(N66,Q66,R66-Q66),[5]skilldef!$C:$D,2,FALSE),"-") &amp; " / " &amp; IFERROR(VLOOKUP(MID(N66,O66,P66-O66),[5]skilldef!$A:$B,2,FALSE),"-")</f>
        <v>- / -</v>
      </c>
      <c r="T66" s="48" t="str">
        <f t="shared" si="10"/>
        <v>[effect:rush, val:0.32, count:4]</v>
      </c>
      <c r="U66" s="63">
        <f t="shared" si="11"/>
        <v>9</v>
      </c>
      <c r="V66" s="63">
        <f t="shared" si="12"/>
        <v>13</v>
      </c>
      <c r="W66" s="63" t="e">
        <f t="shared" si="13"/>
        <v>#VALUE!</v>
      </c>
      <c r="X66" s="63">
        <f t="shared" si="14"/>
        <v>23</v>
      </c>
      <c r="Y66" s="63" t="str">
        <f>IFERROR(VLOOKUP(MID(T66,W66,X66-W66),[5]skilldef!$C:$D,2,FALSE),"-") &amp; " / " &amp; IFERROR(VLOOKUP(MID(T66,U66,V66-U66),[5]skilldef!$A:$B,2,FALSE),"-")</f>
        <v>- / 連続攻撃</v>
      </c>
      <c r="Z66" s="50"/>
      <c r="AA66" s="52"/>
      <c r="AB66" s="50"/>
    </row>
    <row r="67" spans="1:28" ht="21" customHeight="1" x14ac:dyDescent="0.15">
      <c r="A67" s="118">
        <v>48502059</v>
      </c>
      <c r="B67" s="177" t="s">
        <v>372</v>
      </c>
      <c r="C67" s="50">
        <v>1</v>
      </c>
      <c r="D67" s="50" t="s">
        <v>127</v>
      </c>
      <c r="E67" s="51" t="s">
        <v>279</v>
      </c>
      <c r="F67" s="167" t="s">
        <v>310</v>
      </c>
      <c r="G67" s="63" t="str">
        <f t="shared" si="0"/>
        <v>[effect:enemy_message, val1:1.2, val2:1.6]</v>
      </c>
      <c r="H67" s="63">
        <f t="shared" si="1"/>
        <v>9</v>
      </c>
      <c r="I67" s="63">
        <f t="shared" si="2"/>
        <v>22</v>
      </c>
      <c r="J67" s="63" t="e">
        <f t="shared" si="3"/>
        <v>#VALUE!</v>
      </c>
      <c r="K67" s="63">
        <f t="shared" si="4"/>
        <v>32</v>
      </c>
      <c r="L67" s="63" t="str">
        <f>IFERROR(VLOOKUP(MID(G67,J67,K67-J67),[5]skilldef!$C:$D,2,FALSE),"-") &amp; " / " &amp; IFERROR(VLOOKUP(MID(G67,H67,I67-H67),[5]skilldef!$A:$B,2,FALSE),"-")</f>
        <v>- / -</v>
      </c>
      <c r="M67" s="63" t="str">
        <f t="shared" si="5"/>
        <v>[effect:break_attack_fix, target:unit_one, val:400, lowest_val:5000, count:-1, block01:block_red, block02:block_blue, ignore01:crack_bomb, ignore02:color_break, ignore03:magnet]</v>
      </c>
      <c r="N67" s="48" t="str">
        <f>IFERROR(LEFT(M67,FIND("],",M67)+S81),M67)</f>
        <v>[effect:break_attack_fix, target:unit_one, val:400, lowest_val:5000, count:-1, block01:block_red, block02:block_blue, ignore01:crack_bomb, ignore02:color_break, ignore03:magnet]</v>
      </c>
      <c r="O67" s="63">
        <f t="shared" si="6"/>
        <v>9</v>
      </c>
      <c r="P67" s="63">
        <f t="shared" si="7"/>
        <v>25</v>
      </c>
      <c r="Q67" s="63">
        <f t="shared" si="8"/>
        <v>34</v>
      </c>
      <c r="R67" s="63">
        <f t="shared" si="9"/>
        <v>42</v>
      </c>
      <c r="S67" s="63" t="str">
        <f>IFERROR(VLOOKUP(MID(N67,Q67,R67-Q67),[5]skilldef!$C:$D,2,FALSE),"-") &amp; " / " &amp; IFERROR(VLOOKUP(MID(N67,O67,P67-O67),[5]skilldef!$A:$B,2,FALSE),"-")</f>
        <v>味方単体に / -</v>
      </c>
      <c r="T67" s="48" t="str">
        <f t="shared" si="10"/>
        <v>none</v>
      </c>
      <c r="U67" s="63" t="e">
        <f t="shared" si="11"/>
        <v>#VALUE!</v>
      </c>
      <c r="V67" s="63">
        <f t="shared" si="12"/>
        <v>4</v>
      </c>
      <c r="W67" s="63" t="e">
        <f t="shared" si="13"/>
        <v>#VALUE!</v>
      </c>
      <c r="X67" s="63" t="e">
        <f t="shared" si="14"/>
        <v>#VALUE!</v>
      </c>
      <c r="Y67" s="63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1" customHeight="1" x14ac:dyDescent="0.15">
      <c r="A68" s="205">
        <v>48502159</v>
      </c>
      <c r="B68" s="206" t="s">
        <v>469</v>
      </c>
      <c r="C68" s="207">
        <v>1</v>
      </c>
      <c r="D68" s="207" t="s">
        <v>127</v>
      </c>
      <c r="E68" s="204" t="s">
        <v>279</v>
      </c>
      <c r="F68" s="213" t="s">
        <v>310</v>
      </c>
      <c r="G68" s="63" t="str">
        <f t="shared" ref="G68" si="242">IFERROR(LEFT(B68,FIND("],",B68)),B68)</f>
        <v>[effect:enemy_message, val1:1.2, val2:1.6]</v>
      </c>
      <c r="H68" s="63">
        <f t="shared" ref="H68" si="243">FIND("effect:",G68)+7</f>
        <v>9</v>
      </c>
      <c r="I68" s="63">
        <f t="shared" ref="I68" si="244">IFERROR(FIND(",",G68),LEN(G68))</f>
        <v>22</v>
      </c>
      <c r="J68" s="63" t="e">
        <f t="shared" ref="J68" si="245">FIND("target:",G68)+7</f>
        <v>#VALUE!</v>
      </c>
      <c r="K68" s="63">
        <f t="shared" ref="K68" si="246">FIND(",",G68,I68+1)</f>
        <v>32</v>
      </c>
      <c r="L68" s="63" t="str">
        <f>IFERROR(VLOOKUP(MID(G68,J68,K68-J68),[5]skilldef!$C:$D,2,FALSE),"-") &amp; " / " &amp; IFERROR(VLOOKUP(MID(G68,H68,I68-H68),[5]skilldef!$A:$B,2,FALSE),"-")</f>
        <v>- / -</v>
      </c>
      <c r="M68" s="63" t="str">
        <f t="shared" ref="M68" si="247">IFERROR(RIGHT(B68,LEN(B68)-FIND("],",B68)-1),"none")</f>
        <v>[effect:break_attack_fix, target:unit_one, val:300, lowest_val:2200, count:-1, block01:block_red, block02:block_blue, ignore01:crack_bomb, ignore02:color_break, ignore03:magnet]</v>
      </c>
      <c r="N68" s="48" t="str">
        <f>IFERROR(LEFT(M68,FIND("],",M68)+S83),M68)</f>
        <v>[effect:break_attack_fix, target:unit_one, val:300, lowest_val:2200, count:-1, block01:block_red, block02:block_blue, ignore01:crack_bomb, ignore02:color_break, ignore03:magnet]</v>
      </c>
      <c r="O68" s="63">
        <f t="shared" ref="O68" si="248">FIND("effect:",N68)+7</f>
        <v>9</v>
      </c>
      <c r="P68" s="63">
        <f t="shared" ref="P68" si="249">IFERROR(FIND(",",N68),LEN(N68))</f>
        <v>25</v>
      </c>
      <c r="Q68" s="63">
        <f t="shared" ref="Q68" si="250">FIND("target:",N68)+7</f>
        <v>34</v>
      </c>
      <c r="R68" s="63">
        <f t="shared" ref="R68" si="251">FIND(",",N68,P68+1)</f>
        <v>42</v>
      </c>
      <c r="S68" s="63" t="str">
        <f>IFERROR(VLOOKUP(MID(N68,Q68,R68-Q68),[5]skilldef!$C:$D,2,FALSE),"-") &amp; " / " &amp; IFERROR(VLOOKUP(MID(N68,O68,P68-O68),[5]skilldef!$A:$B,2,FALSE),"-")</f>
        <v>味方単体に / -</v>
      </c>
      <c r="T68" s="48" t="str">
        <f t="shared" ref="T68" si="252">IFERROR(RIGHT(M68,LEN(M68)-FIND("],",M68)-1),"none")</f>
        <v>none</v>
      </c>
      <c r="U68" s="63" t="e">
        <f t="shared" ref="U68" si="253">FIND("effect:",T68)+7</f>
        <v>#VALUE!</v>
      </c>
      <c r="V68" s="63">
        <f t="shared" ref="V68" si="254">IFERROR(FIND(",",T68),LEN(T68))</f>
        <v>4</v>
      </c>
      <c r="W68" s="63" t="e">
        <f t="shared" ref="W68" si="255">FIND("target:",T68)+7</f>
        <v>#VALUE!</v>
      </c>
      <c r="X68" s="63" t="e">
        <f t="shared" ref="X68" si="256">FIND(",",T68,V68+1)</f>
        <v>#VALUE!</v>
      </c>
      <c r="Y68" s="63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21" customHeight="1" x14ac:dyDescent="0.15">
      <c r="A69" s="118">
        <v>48502060</v>
      </c>
      <c r="B69" s="177" t="s">
        <v>486</v>
      </c>
      <c r="C69" s="50">
        <v>1</v>
      </c>
      <c r="D69" s="50" t="s">
        <v>127</v>
      </c>
      <c r="E69" s="51" t="s">
        <v>280</v>
      </c>
      <c r="F69" s="167" t="s">
        <v>484</v>
      </c>
      <c r="G69" s="63" t="str">
        <f t="shared" si="0"/>
        <v>[effect:enemy_message, val1:1.3, val2:1.6]</v>
      </c>
      <c r="H69" s="63">
        <f t="shared" si="1"/>
        <v>9</v>
      </c>
      <c r="I69" s="63">
        <f t="shared" si="2"/>
        <v>22</v>
      </c>
      <c r="J69" s="63" t="e">
        <f t="shared" si="3"/>
        <v>#VALUE!</v>
      </c>
      <c r="K69" s="63">
        <f t="shared" si="4"/>
        <v>32</v>
      </c>
      <c r="L69" s="63" t="str">
        <f>IFERROR(VLOOKUP(MID(G69,J69,K69-J69),[5]skilldef!$C:$D,2,FALSE),"-") &amp; " / " &amp; IFERROR(VLOOKUP(MID(G69,H69,I69-H69),[5]skilldef!$A:$B,2,FALSE),"-")</f>
        <v>- / -</v>
      </c>
      <c r="M69" s="63" t="str">
        <f t="shared" si="5"/>
        <v>[effect:damage_abnormal, target:unit_one, val:1.5, status:virus, turn:2, val_abnormal:0.3, animation:enemy_virus]</v>
      </c>
      <c r="N69" s="48" t="str">
        <f>IFERROR(LEFT(M69,FIND("],",M69)+#REF!),M69)</f>
        <v>[effect:damage_abnormal, target:unit_one, val:1.5, status:virus, turn:2, val_abnormal:0.3, animation:enemy_virus]</v>
      </c>
      <c r="O69" s="63">
        <f t="shared" si="6"/>
        <v>9</v>
      </c>
      <c r="P69" s="63">
        <f t="shared" si="7"/>
        <v>24</v>
      </c>
      <c r="Q69" s="63">
        <f t="shared" si="8"/>
        <v>33</v>
      </c>
      <c r="R69" s="63">
        <f t="shared" si="9"/>
        <v>41</v>
      </c>
      <c r="S69" s="63" t="str">
        <f>IFERROR(VLOOKUP(MID(N69,Q69,R69-Q69),[5]skilldef!$C:$D,2,FALSE),"-") &amp; " / " &amp; IFERROR(VLOOKUP(MID(N69,O69,P69-O69),[5]skilldef!$A:$B,2,FALSE),"-")</f>
        <v>味方単体に / -</v>
      </c>
      <c r="T69" s="48" t="str">
        <f t="shared" si="10"/>
        <v>none</v>
      </c>
      <c r="U69" s="63" t="e">
        <f t="shared" si="11"/>
        <v>#VALUE!</v>
      </c>
      <c r="V69" s="63">
        <f t="shared" si="12"/>
        <v>4</v>
      </c>
      <c r="W69" s="63" t="e">
        <f t="shared" si="13"/>
        <v>#VALUE!</v>
      </c>
      <c r="X69" s="63" t="e">
        <f t="shared" si="14"/>
        <v>#VALUE!</v>
      </c>
      <c r="Y69" s="63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21" customHeight="1" x14ac:dyDescent="0.15">
      <c r="A70" s="205">
        <v>48502160</v>
      </c>
      <c r="B70" s="206" t="s">
        <v>487</v>
      </c>
      <c r="C70" s="207">
        <v>1</v>
      </c>
      <c r="D70" s="207" t="s">
        <v>127</v>
      </c>
      <c r="E70" s="204" t="s">
        <v>280</v>
      </c>
      <c r="F70" s="213" t="s">
        <v>485</v>
      </c>
      <c r="G70" s="63" t="str">
        <f t="shared" ref="G70" si="257">IFERROR(LEFT(B70,FIND("],",B70)),B70)</f>
        <v>[effect:enemy_message, val1:1.3, val2:1.6]</v>
      </c>
      <c r="H70" s="63">
        <f t="shared" ref="H70" si="258">FIND("effect:",G70)+7</f>
        <v>9</v>
      </c>
      <c r="I70" s="63">
        <f t="shared" ref="I70" si="259">IFERROR(FIND(",",G70),LEN(G70))</f>
        <v>22</v>
      </c>
      <c r="J70" s="63" t="e">
        <f t="shared" ref="J70" si="260">FIND("target:",G70)+7</f>
        <v>#VALUE!</v>
      </c>
      <c r="K70" s="63">
        <f t="shared" ref="K70" si="261">FIND(",",G70,I70+1)</f>
        <v>32</v>
      </c>
      <c r="L70" s="63" t="str">
        <f>IFERROR(VLOOKUP(MID(G70,J70,K70-J70),[5]skilldef!$C:$D,2,FALSE),"-") &amp; " / " &amp; IFERROR(VLOOKUP(MID(G70,H70,I70-H70),[5]skilldef!$A:$B,2,FALSE),"-")</f>
        <v>- / -</v>
      </c>
      <c r="M70" s="63" t="str">
        <f t="shared" ref="M70" si="262">IFERROR(RIGHT(B70,LEN(B70)-FIND("],",B70)-1),"none")</f>
        <v>[effect:damage_abnormal, target:unit_one, val:1, status:virus, turn:2, val_abnormal:0.2, animation:enemy_virus]</v>
      </c>
      <c r="N70" s="48" t="str">
        <f>IFERROR(LEFT(M70,FIND("],",M70)+#REF!),M70)</f>
        <v>[effect:damage_abnormal, target:unit_one, val:1, status:virus, turn:2, val_abnormal:0.2, animation:enemy_virus]</v>
      </c>
      <c r="O70" s="63">
        <f t="shared" ref="O70" si="263">FIND("effect:",N70)+7</f>
        <v>9</v>
      </c>
      <c r="P70" s="63">
        <f t="shared" ref="P70" si="264">IFERROR(FIND(",",N70),LEN(N70))</f>
        <v>24</v>
      </c>
      <c r="Q70" s="63">
        <f t="shared" ref="Q70" si="265">FIND("target:",N70)+7</f>
        <v>33</v>
      </c>
      <c r="R70" s="63">
        <f t="shared" ref="R70" si="266">FIND(",",N70,P70+1)</f>
        <v>41</v>
      </c>
      <c r="S70" s="63" t="str">
        <f>IFERROR(VLOOKUP(MID(N70,Q70,R70-Q70),[5]skilldef!$C:$D,2,FALSE),"-") &amp; " / " &amp; IFERROR(VLOOKUP(MID(N70,O70,P70-O70),[5]skilldef!$A:$B,2,FALSE),"-")</f>
        <v>味方単体に / -</v>
      </c>
      <c r="T70" s="48" t="str">
        <f t="shared" ref="T70" si="267">IFERROR(RIGHT(M70,LEN(M70)-FIND("],",M70)-1),"none")</f>
        <v>none</v>
      </c>
      <c r="U70" s="63" t="e">
        <f t="shared" ref="U70" si="268">FIND("effect:",T70)+7</f>
        <v>#VALUE!</v>
      </c>
      <c r="V70" s="63">
        <f t="shared" ref="V70" si="269">IFERROR(FIND(",",T70),LEN(T70))</f>
        <v>4</v>
      </c>
      <c r="W70" s="63" t="e">
        <f t="shared" ref="W70" si="270">FIND("target:",T70)+7</f>
        <v>#VALUE!</v>
      </c>
      <c r="X70" s="63" t="e">
        <f t="shared" ref="X70" si="271">FIND(",",T70,V70+1)</f>
        <v>#VALUE!</v>
      </c>
      <c r="Y70" s="63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35" customHeight="1" x14ac:dyDescent="0.15">
      <c r="A71" s="118">
        <v>48502061</v>
      </c>
      <c r="B71" s="177" t="s">
        <v>331</v>
      </c>
      <c r="C71" s="50">
        <v>1</v>
      </c>
      <c r="D71" s="50" t="s">
        <v>127</v>
      </c>
      <c r="E71" s="160" t="s">
        <v>288</v>
      </c>
      <c r="F71" s="160" t="s">
        <v>319</v>
      </c>
      <c r="G71" s="63" t="str">
        <f t="shared" si="0"/>
        <v>[effect:enemy_message, val1:2.5, val2:1.2]</v>
      </c>
      <c r="H71" s="63">
        <f t="shared" si="1"/>
        <v>9</v>
      </c>
      <c r="I71" s="63">
        <f t="shared" si="2"/>
        <v>22</v>
      </c>
      <c r="J71" s="63" t="e">
        <f t="shared" si="3"/>
        <v>#VALUE!</v>
      </c>
      <c r="K71" s="63">
        <f t="shared" si="4"/>
        <v>32</v>
      </c>
      <c r="L71" s="63" t="str">
        <f>IFERROR(VLOOKUP(MID(G71,J71,K71-J71),[5]skilldef!$C:$D,2,FALSE),"-") &amp; " / " &amp; IFERROR(VLOOKUP(MID(G71,H71,I71-H71),[5]skilldef!$A:$B,2,FALSE),"-")</f>
        <v>- / -</v>
      </c>
      <c r="M71" s="63" t="str">
        <f t="shared" si="5"/>
        <v>[effect:tolerance, target:myself, turn:-1, count:-1, tolerance_effect:all, animation:enemy_tolerance],[effect:fix_speed, target:myself, turn:1]</v>
      </c>
      <c r="N71" s="48" t="str">
        <f>IFERROR(LEFT(M71,FIND("],",M71)+#REF!),M71)</f>
        <v>[effect:tolerance, target:myself, turn:-1, count:-1, tolerance_effect:all, animation:enemy_tolerance],[effect:fix_speed, target:myself, turn:1]</v>
      </c>
      <c r="O71" s="63">
        <f t="shared" si="6"/>
        <v>9</v>
      </c>
      <c r="P71" s="63">
        <f t="shared" si="7"/>
        <v>18</v>
      </c>
      <c r="Q71" s="63">
        <f t="shared" si="8"/>
        <v>27</v>
      </c>
      <c r="R71" s="63">
        <f t="shared" si="9"/>
        <v>33</v>
      </c>
      <c r="S71" s="63" t="str">
        <f>IFERROR(VLOOKUP(MID(N71,Q71,R71-Q71),[5]skilldef!$C:$D,2,FALSE),"-") &amp; " / " &amp; IFERROR(VLOOKUP(MID(N71,O71,P71-O71),[5]skilldef!$A:$B,2,FALSE),"-")</f>
        <v>自分自身に / 状態異常耐性</v>
      </c>
      <c r="T71" s="48" t="str">
        <f t="shared" si="10"/>
        <v>[effect:fix_speed, target:myself, turn:1]</v>
      </c>
      <c r="U71" s="63">
        <f t="shared" si="11"/>
        <v>9</v>
      </c>
      <c r="V71" s="63">
        <f t="shared" si="12"/>
        <v>18</v>
      </c>
      <c r="W71" s="63">
        <f t="shared" si="13"/>
        <v>27</v>
      </c>
      <c r="X71" s="63">
        <f t="shared" si="14"/>
        <v>33</v>
      </c>
      <c r="Y71" s="63" t="str">
        <f>IFERROR(VLOOKUP(MID(T71,W71,X71-W71),[5]skilldef!$C:$D,2,FALSE),"-") &amp; " / " &amp; IFERROR(VLOOKUP(MID(T71,U71,V71-U71),[5]skilldef!$A:$B,2,FALSE),"-")</f>
        <v>自分自身に / 行動値設定</v>
      </c>
      <c r="Z71" s="50"/>
      <c r="AA71" s="52"/>
      <c r="AB71" s="50"/>
    </row>
    <row r="72" spans="1:28" ht="35" customHeight="1" x14ac:dyDescent="0.15">
      <c r="A72" s="118">
        <v>48502062</v>
      </c>
      <c r="B72" s="177" t="s">
        <v>332</v>
      </c>
      <c r="C72" s="50">
        <v>1</v>
      </c>
      <c r="D72" s="50" t="s">
        <v>127</v>
      </c>
      <c r="E72" s="160" t="s">
        <v>277</v>
      </c>
      <c r="F72" s="160" t="s">
        <v>320</v>
      </c>
      <c r="G72" s="63" t="str">
        <f t="shared" si="0"/>
        <v>[effect:enemy_message, val1:3.0, val2:1.6]</v>
      </c>
      <c r="H72" s="63">
        <f t="shared" si="1"/>
        <v>9</v>
      </c>
      <c r="I72" s="63">
        <f t="shared" si="2"/>
        <v>22</v>
      </c>
      <c r="J72" s="63" t="e">
        <f t="shared" si="3"/>
        <v>#VALUE!</v>
      </c>
      <c r="K72" s="63">
        <f t="shared" si="4"/>
        <v>32</v>
      </c>
      <c r="L72" s="63" t="str">
        <f>IFERROR(VLOOKUP(MID(G72,J72,K72-J72),[5]skilldef!$C:$D,2,FALSE),"-") &amp; " / " &amp; IFERROR(VLOOKUP(MID(G72,H72,I72-H72),[5]skilldef!$A:$B,2,FALSE),"-")</f>
        <v>- / -</v>
      </c>
      <c r="M72" s="63" t="str">
        <f t="shared" si="5"/>
        <v>[effect:panel_freeze, target:normal, color:block_heart, count:-1],[effect:rush, val:1.2, count:1]</v>
      </c>
      <c r="N72" s="48" t="str">
        <f>IFERROR(LEFT(M72,FIND("],",M72)+#REF!),M72)</f>
        <v>[effect:panel_freeze, target:normal, color:block_heart, count:-1],[effect:rush, val:1.2, count:1]</v>
      </c>
      <c r="O72" s="63">
        <f t="shared" si="6"/>
        <v>9</v>
      </c>
      <c r="P72" s="63">
        <f t="shared" si="7"/>
        <v>21</v>
      </c>
      <c r="Q72" s="63">
        <f t="shared" si="8"/>
        <v>30</v>
      </c>
      <c r="R72" s="63">
        <f t="shared" si="9"/>
        <v>36</v>
      </c>
      <c r="S72" s="63" t="str">
        <f>IFERROR(VLOOKUP(MID(N72,Q72,R72-Q72),[5]skilldef!$C:$D,2,FALSE),"-") &amp; " / " &amp; IFERROR(VLOOKUP(MID(N72,O72,P72-O72),[5]skilldef!$A:$B,2,FALSE),"-")</f>
        <v>- / -</v>
      </c>
      <c r="T72" s="48" t="str">
        <f t="shared" si="10"/>
        <v>[effect:rush, val:1.2, count:1]</v>
      </c>
      <c r="U72" s="63">
        <f t="shared" si="11"/>
        <v>9</v>
      </c>
      <c r="V72" s="63">
        <f t="shared" si="12"/>
        <v>13</v>
      </c>
      <c r="W72" s="63" t="e">
        <f t="shared" si="13"/>
        <v>#VALUE!</v>
      </c>
      <c r="X72" s="63">
        <f t="shared" si="14"/>
        <v>22</v>
      </c>
      <c r="Y72" s="63" t="str">
        <f>IFERROR(VLOOKUP(MID(T72,W72,X72-W72),[5]skilldef!$C:$D,2,FALSE),"-") &amp; " / " &amp; IFERROR(VLOOKUP(MID(T72,U72,V72-U72),[5]skilldef!$A:$B,2,FALSE),"-")</f>
        <v>- / 連続攻撃</v>
      </c>
      <c r="Z72" s="50"/>
      <c r="AA72" s="52"/>
      <c r="AB72" s="50"/>
    </row>
    <row r="73" spans="1:28" ht="36" customHeight="1" x14ac:dyDescent="0.15">
      <c r="A73" s="118">
        <v>48502063</v>
      </c>
      <c r="B73" s="177" t="s">
        <v>455</v>
      </c>
      <c r="C73" s="50">
        <v>1</v>
      </c>
      <c r="D73" s="50" t="s">
        <v>127</v>
      </c>
      <c r="E73" s="160" t="s">
        <v>403</v>
      </c>
      <c r="F73" s="160" t="s">
        <v>321</v>
      </c>
      <c r="G73" s="63" t="str">
        <f t="shared" si="0"/>
        <v>[effect:enemy_message, val1:2.6, val2:1.5]</v>
      </c>
      <c r="H73" s="63">
        <f t="shared" si="1"/>
        <v>9</v>
      </c>
      <c r="I73" s="63">
        <f t="shared" si="2"/>
        <v>22</v>
      </c>
      <c r="J73" s="63" t="e">
        <f t="shared" si="3"/>
        <v>#VALUE!</v>
      </c>
      <c r="K73" s="63">
        <f t="shared" si="4"/>
        <v>32</v>
      </c>
      <c r="L73" s="63" t="str">
        <f>IFERROR(VLOOKUP(MID(G73,J73,K73-J73),[5]skilldef!$C:$D,2,FALSE),"-") &amp; " / " &amp; IFERROR(VLOOKUP(MID(G73,H73,I73-H73),[5]skilldef!$A:$B,2,FALSE),"-")</f>
        <v>- / -</v>
      </c>
      <c r="M73" s="63" t="str">
        <f t="shared" si="5"/>
        <v>[effect:enemy_counter, target:myself, invoke_condition:unit_all, counter_target:unit_all, turn:-1, val:0.9, animation:enemy_counter]</v>
      </c>
      <c r="N73" s="48" t="str">
        <f>IFERROR(LEFT(M73,FIND("],",M73)+#REF!),M73)</f>
        <v>[effect:enemy_counter, target:myself, invoke_condition:unit_all, counter_target:unit_all, turn:-1, val:0.9, animation:enemy_counter]</v>
      </c>
      <c r="O73" s="63">
        <f t="shared" si="6"/>
        <v>9</v>
      </c>
      <c r="P73" s="63">
        <f t="shared" si="7"/>
        <v>22</v>
      </c>
      <c r="Q73" s="63">
        <f t="shared" si="8"/>
        <v>31</v>
      </c>
      <c r="R73" s="63">
        <f t="shared" si="9"/>
        <v>37</v>
      </c>
      <c r="S73" s="63" t="str">
        <f>IFERROR(VLOOKUP(MID(N73,Q73,R73-Q73),[5]skilldef!$C:$D,2,FALSE),"-") &amp; " / " &amp; IFERROR(VLOOKUP(MID(N73,O73,P73-O73),[5]skilldef!$A:$B,2,FALSE),"-")</f>
        <v>自分自身に / カウンター</v>
      </c>
      <c r="T73" s="48" t="str">
        <f t="shared" si="10"/>
        <v>none</v>
      </c>
      <c r="U73" s="63" t="e">
        <f t="shared" si="11"/>
        <v>#VALUE!</v>
      </c>
      <c r="V73" s="63">
        <f t="shared" si="12"/>
        <v>4</v>
      </c>
      <c r="W73" s="63" t="e">
        <f t="shared" si="13"/>
        <v>#VALUE!</v>
      </c>
      <c r="X73" s="63" t="e">
        <f t="shared" si="14"/>
        <v>#VALUE!</v>
      </c>
      <c r="Y73" s="63" t="str">
        <f>IFERROR(VLOOKUP(MID(T73,W73,X73-W73),[5]skilldef!$C:$D,2,FALSE),"-") &amp; " / " &amp; IFERROR(VLOOKUP(MID(T73,U73,V73-U73),[5]skilldef!$A:$B,2,FALSE),"-")</f>
        <v>- / -</v>
      </c>
      <c r="Z73" s="50"/>
      <c r="AA73" s="52"/>
      <c r="AB73" s="50"/>
    </row>
    <row r="74" spans="1:28" ht="36" customHeight="1" x14ac:dyDescent="0.15">
      <c r="A74" s="205">
        <v>48502163</v>
      </c>
      <c r="B74" s="206" t="s">
        <v>456</v>
      </c>
      <c r="C74" s="207">
        <v>1</v>
      </c>
      <c r="D74" s="207" t="s">
        <v>127</v>
      </c>
      <c r="E74" s="204" t="s">
        <v>403</v>
      </c>
      <c r="F74" s="204" t="s">
        <v>470</v>
      </c>
      <c r="G74" s="63" t="str">
        <f t="shared" ref="G74" si="272">IFERROR(LEFT(B74,FIND("],",B74)),B74)</f>
        <v>[effect:enemy_message, val1:2.6, val2:1.3]</v>
      </c>
      <c r="H74" s="63">
        <f t="shared" ref="H74" si="273">FIND("effect:",G74)+7</f>
        <v>9</v>
      </c>
      <c r="I74" s="63">
        <f t="shared" ref="I74" si="274">IFERROR(FIND(",",G74),LEN(G74))</f>
        <v>22</v>
      </c>
      <c r="J74" s="63" t="e">
        <f t="shared" ref="J74" si="275">FIND("target:",G74)+7</f>
        <v>#VALUE!</v>
      </c>
      <c r="K74" s="63">
        <f t="shared" ref="K74" si="276">FIND(",",G74,I74+1)</f>
        <v>32</v>
      </c>
      <c r="L74" s="63" t="str">
        <f>IFERROR(VLOOKUP(MID(G74,J74,K74-J74),[5]skilldef!$C:$D,2,FALSE),"-") &amp; " / " &amp; IFERROR(VLOOKUP(MID(G74,H74,I74-H74),[5]skilldef!$A:$B,2,FALSE),"-")</f>
        <v>- / -</v>
      </c>
      <c r="M74" s="63" t="str">
        <f t="shared" ref="M74" si="277">IFERROR(RIGHT(B74,LEN(B74)-FIND("],",B74)-1),"none")</f>
        <v>[effect:enemy_counter, target:myself, invoke_condition:unit_all, counter_target:unit_all, turn:2, val:0.7, animation:enemy_counter]</v>
      </c>
      <c r="N74" s="48" t="str">
        <f>IFERROR(LEFT(M74,FIND("],",M74)+#REF!),M74)</f>
        <v>[effect:enemy_counter, target:myself, invoke_condition:unit_all, counter_target:unit_all, turn:2, val:0.7, animation:enemy_counter]</v>
      </c>
      <c r="O74" s="63">
        <f t="shared" ref="O74" si="278">FIND("effect:",N74)+7</f>
        <v>9</v>
      </c>
      <c r="P74" s="63">
        <f t="shared" ref="P74" si="279">IFERROR(FIND(",",N74),LEN(N74))</f>
        <v>22</v>
      </c>
      <c r="Q74" s="63">
        <f t="shared" ref="Q74" si="280">FIND("target:",N74)+7</f>
        <v>31</v>
      </c>
      <c r="R74" s="63">
        <f t="shared" ref="R74" si="281">FIND(",",N74,P74+1)</f>
        <v>37</v>
      </c>
      <c r="S74" s="63" t="str">
        <f>IFERROR(VLOOKUP(MID(N74,Q74,R74-Q74),[5]skilldef!$C:$D,2,FALSE),"-") &amp; " / " &amp; IFERROR(VLOOKUP(MID(N74,O74,P74-O74),[5]skilldef!$A:$B,2,FALSE),"-")</f>
        <v>自分自身に / カウンター</v>
      </c>
      <c r="T74" s="48" t="str">
        <f t="shared" ref="T74" si="282">IFERROR(RIGHT(M74,LEN(M74)-FIND("],",M74)-1),"none")</f>
        <v>none</v>
      </c>
      <c r="U74" s="63" t="e">
        <f t="shared" ref="U74" si="283">FIND("effect:",T74)+7</f>
        <v>#VALUE!</v>
      </c>
      <c r="V74" s="63">
        <f t="shared" ref="V74" si="284">IFERROR(FIND(",",T74),LEN(T74))</f>
        <v>4</v>
      </c>
      <c r="W74" s="63" t="e">
        <f t="shared" ref="W74" si="285">FIND("target:",T74)+7</f>
        <v>#VALUE!</v>
      </c>
      <c r="X74" s="63" t="e">
        <f t="shared" ref="X74" si="286">FIND(",",T74,V74+1)</f>
        <v>#VALUE!</v>
      </c>
      <c r="Y74" s="63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118">
        <v>48502064</v>
      </c>
      <c r="B75" s="177" t="s">
        <v>333</v>
      </c>
      <c r="C75" s="50">
        <v>1</v>
      </c>
      <c r="D75" s="50" t="s">
        <v>127</v>
      </c>
      <c r="E75" s="160" t="s">
        <v>400</v>
      </c>
      <c r="F75" s="160" t="s">
        <v>322</v>
      </c>
      <c r="G75" s="63" t="str">
        <f t="shared" si="0"/>
        <v>[effect:enemy_message, val1:1.6, val2:1.2]</v>
      </c>
      <c r="H75" s="63">
        <f t="shared" si="1"/>
        <v>9</v>
      </c>
      <c r="I75" s="63">
        <f t="shared" si="2"/>
        <v>22</v>
      </c>
      <c r="J75" s="63" t="e">
        <f t="shared" si="3"/>
        <v>#VALUE!</v>
      </c>
      <c r="K75" s="63">
        <f t="shared" si="4"/>
        <v>32</v>
      </c>
      <c r="L75" s="63" t="str">
        <f>IFERROR(VLOOKUP(MID(G75,J75,K75-J75),[5]skilldef!$C:$D,2,FALSE),"-") &amp; " / " &amp; IFERROR(VLOOKUP(MID(G75,H75,I75-H75),[5]skilldef!$A:$B,2,FALSE),"-")</f>
        <v>- / -</v>
      </c>
      <c r="M75" s="63" t="str">
        <f t="shared" si="5"/>
        <v>[effect:spread, val:0.2],[effect:spread, val:0.2]</v>
      </c>
      <c r="N75" s="48" t="str">
        <f>IFERROR(LEFT(M75,FIND("],",M75)+S62),M75)</f>
        <v>[effect:spread, val:0.2],[effect:spread, val:0.2]</v>
      </c>
      <c r="O75" s="63">
        <f t="shared" si="6"/>
        <v>9</v>
      </c>
      <c r="P75" s="63">
        <f t="shared" si="7"/>
        <v>15</v>
      </c>
      <c r="Q75" s="63" t="e">
        <f t="shared" si="8"/>
        <v>#VALUE!</v>
      </c>
      <c r="R75" s="63">
        <f t="shared" si="9"/>
        <v>25</v>
      </c>
      <c r="S75" s="63" t="str">
        <f>IFERROR(VLOOKUP(MID(N75,Q75,R75-Q75),[5]skilldef!$C:$D,2,FALSE),"-") &amp; " / " &amp; IFERROR(VLOOKUP(MID(N75,O75,P75-O75),[5]skilldef!$A:$B,2,FALSE),"-")</f>
        <v>- / 全体攻撃</v>
      </c>
      <c r="T75" s="48" t="str">
        <f t="shared" si="10"/>
        <v>[effect:spread, val:0.2]</v>
      </c>
      <c r="U75" s="63">
        <f t="shared" si="11"/>
        <v>9</v>
      </c>
      <c r="V75" s="63">
        <f t="shared" si="12"/>
        <v>15</v>
      </c>
      <c r="W75" s="63" t="e">
        <f t="shared" si="13"/>
        <v>#VALUE!</v>
      </c>
      <c r="X75" s="63" t="e">
        <f t="shared" si="14"/>
        <v>#VALUE!</v>
      </c>
      <c r="Y75" s="63" t="str">
        <f>IFERROR(VLOOKUP(MID(T75,W75,X75-W75),[5]skilldef!$C:$D,2,FALSE),"-") &amp; " / " &amp; IFERROR(VLOOKUP(MID(T75,U75,V75-U75),[5]skilldef!$A:$B,2,FALSE),"-")</f>
        <v>- / 全体攻撃</v>
      </c>
      <c r="Z75" s="50"/>
      <c r="AA75" s="52"/>
      <c r="AB75" s="50"/>
    </row>
    <row r="76" spans="1:28" ht="34" customHeight="1" x14ac:dyDescent="0.15">
      <c r="A76" s="118">
        <v>48502065</v>
      </c>
      <c r="B76" s="177" t="s">
        <v>472</v>
      </c>
      <c r="C76" s="50">
        <v>1</v>
      </c>
      <c r="D76" s="50" t="s">
        <v>127</v>
      </c>
      <c r="E76" s="160" t="s">
        <v>401</v>
      </c>
      <c r="F76" s="160" t="s">
        <v>336</v>
      </c>
      <c r="G76" s="63" t="str">
        <f t="shared" ref="G76" si="287">IFERROR(LEFT(B76,FIND("],",B76)),B76)</f>
        <v>[effect:enemy_message, val1:2.2, val2:1.4]</v>
      </c>
      <c r="H76" s="63">
        <f t="shared" ref="H76" si="288">FIND("effect:",G76)+7</f>
        <v>9</v>
      </c>
      <c r="I76" s="63">
        <f t="shared" ref="I76" si="289">IFERROR(FIND(",",G76),LEN(G76))</f>
        <v>22</v>
      </c>
      <c r="J76" s="63" t="e">
        <f t="shared" ref="J76" si="290">FIND("target:",G76)+7</f>
        <v>#VALUE!</v>
      </c>
      <c r="K76" s="63">
        <f t="shared" ref="K76" si="291">FIND(",",G76,I76+1)</f>
        <v>32</v>
      </c>
      <c r="L76" s="63" t="str">
        <f>IFERROR(VLOOKUP(MID(G76,J76,K76-J76),[5]skilldef!$C:$D,2,FALSE),"-") &amp; " / " &amp; IFERROR(VLOOKUP(MID(G76,H76,I76-H76),[5]skilldef!$A:$B,2,FALSE),"-")</f>
        <v>- / -</v>
      </c>
      <c r="M76" s="63" t="str">
        <f t="shared" ref="M76" si="292">IFERROR(RIGHT(B76,LEN(B76)-FIND("],",B76)-1),"none")</f>
        <v>none</v>
      </c>
      <c r="N76" s="48" t="str">
        <f>IFERROR(LEFT(M76,FIND("],",M76)+#REF!),M76)</f>
        <v>none</v>
      </c>
      <c r="O76" s="63" t="e">
        <f t="shared" ref="O76" si="293">FIND("effect:",N76)+7</f>
        <v>#VALUE!</v>
      </c>
      <c r="P76" s="63">
        <f t="shared" ref="P76" si="294">IFERROR(FIND(",",N76),LEN(N76))</f>
        <v>4</v>
      </c>
      <c r="Q76" s="63" t="e">
        <f t="shared" ref="Q76" si="295">FIND("target:",N76)+7</f>
        <v>#VALUE!</v>
      </c>
      <c r="R76" s="63" t="e">
        <f t="shared" ref="R76" si="296">FIND(",",N76,P76+1)</f>
        <v>#VALUE!</v>
      </c>
      <c r="S76" s="63" t="str">
        <f>IFERROR(VLOOKUP(MID(N76,Q76,R76-Q76),[5]skilldef!$C:$D,2,FALSE),"-") &amp; " / " &amp; IFERROR(VLOOKUP(MID(N76,O76,P76-O76),[5]skilldef!$A:$B,2,FALSE),"-")</f>
        <v>- / -</v>
      </c>
      <c r="T76" s="48" t="str">
        <f t="shared" ref="T76" si="297">IFERROR(RIGHT(M76,LEN(M76)-FIND("],",M76)-1),"none")</f>
        <v>none</v>
      </c>
      <c r="U76" s="63" t="e">
        <f t="shared" ref="U76" si="298">FIND("effect:",T76)+7</f>
        <v>#VALUE!</v>
      </c>
      <c r="V76" s="63">
        <f t="shared" ref="V76" si="299">IFERROR(FIND(",",T76),LEN(T76))</f>
        <v>4</v>
      </c>
      <c r="W76" s="63" t="e">
        <f t="shared" ref="W76" si="300">FIND("target:",T76)+7</f>
        <v>#VALUE!</v>
      </c>
      <c r="X76" s="63" t="e">
        <f t="shared" ref="X76" si="301">FIND(",",T76,V76+1)</f>
        <v>#VALUE!</v>
      </c>
      <c r="Y76" s="63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34" customHeight="1" x14ac:dyDescent="0.15">
      <c r="A77" s="205">
        <v>48502165</v>
      </c>
      <c r="B77" s="206" t="s">
        <v>473</v>
      </c>
      <c r="C77" s="207">
        <v>1</v>
      </c>
      <c r="D77" s="207" t="s">
        <v>127</v>
      </c>
      <c r="E77" s="204" t="s">
        <v>401</v>
      </c>
      <c r="F77" s="204" t="s">
        <v>336</v>
      </c>
      <c r="G77" s="63" t="str">
        <f t="shared" si="0"/>
        <v>[effect:enemy_message, val1:2.2, val2:1.4]</v>
      </c>
      <c r="H77" s="63">
        <f t="shared" si="1"/>
        <v>9</v>
      </c>
      <c r="I77" s="63">
        <f t="shared" si="2"/>
        <v>22</v>
      </c>
      <c r="J77" s="63" t="e">
        <f t="shared" si="3"/>
        <v>#VALUE!</v>
      </c>
      <c r="K77" s="63">
        <f t="shared" si="4"/>
        <v>32</v>
      </c>
      <c r="L77" s="63" t="str">
        <f>IFERROR(VLOOKUP(MID(G77,J77,K77-J77),[5]skilldef!$C:$D,2,FALSE),"-") &amp; " / " &amp; IFERROR(VLOOKUP(MID(G77,H77,I77-H77),[5]skilldef!$A:$B,2,FALSE),"-")</f>
        <v>- / -</v>
      </c>
      <c r="M77" s="63" t="str">
        <f t="shared" si="5"/>
        <v>[effect:fix_speed, target:myself, turn:2]</v>
      </c>
      <c r="N77" s="48" t="str">
        <f>IFERROR(LEFT(M77,FIND("],",M77)+#REF!),M77)</f>
        <v>[effect:fix_speed, target:myself, turn:2]</v>
      </c>
      <c r="O77" s="63">
        <f t="shared" si="6"/>
        <v>9</v>
      </c>
      <c r="P77" s="63">
        <f t="shared" si="7"/>
        <v>18</v>
      </c>
      <c r="Q77" s="63">
        <f t="shared" si="8"/>
        <v>27</v>
      </c>
      <c r="R77" s="63">
        <f t="shared" si="9"/>
        <v>33</v>
      </c>
      <c r="S77" s="63" t="str">
        <f>IFERROR(VLOOKUP(MID(N77,Q77,R77-Q77),[5]skilldef!$C:$D,2,FALSE),"-") &amp; " / " &amp; IFERROR(VLOOKUP(MID(N77,O77,P77-O77),[5]skilldef!$A:$B,2,FALSE),"-")</f>
        <v>自分自身に / 行動値設定</v>
      </c>
      <c r="T77" s="48" t="str">
        <f t="shared" si="10"/>
        <v>none</v>
      </c>
      <c r="U77" s="63" t="e">
        <f t="shared" si="11"/>
        <v>#VALUE!</v>
      </c>
      <c r="V77" s="63">
        <f t="shared" si="12"/>
        <v>4</v>
      </c>
      <c r="W77" s="63" t="e">
        <f t="shared" si="13"/>
        <v>#VALUE!</v>
      </c>
      <c r="X77" s="63" t="e">
        <f t="shared" si="14"/>
        <v>#VALUE!</v>
      </c>
      <c r="Y77" s="63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ht="30" customHeight="1" x14ac:dyDescent="0.15">
      <c r="A78" s="118">
        <v>48502066</v>
      </c>
      <c r="B78" s="177" t="s">
        <v>474</v>
      </c>
      <c r="C78" s="50">
        <v>1</v>
      </c>
      <c r="D78" s="50" t="s">
        <v>127</v>
      </c>
      <c r="E78" s="160" t="s">
        <v>420</v>
      </c>
      <c r="F78" s="160" t="s">
        <v>337</v>
      </c>
      <c r="G78" s="63" t="str">
        <f t="shared" ref="G78:G82" si="302">IFERROR(LEFT(B78,FIND("],",B78)),B78)</f>
        <v>[effect:enemy_message, val1:3.3, val2:1.2]</v>
      </c>
      <c r="H78" s="63">
        <f t="shared" ref="H78:H82" si="303">FIND("effect:",G78)+7</f>
        <v>9</v>
      </c>
      <c r="I78" s="63">
        <f t="shared" ref="I78:I82" si="304">IFERROR(FIND(",",G78),LEN(G78))</f>
        <v>22</v>
      </c>
      <c r="J78" s="63" t="e">
        <f t="shared" ref="J78:J82" si="305">FIND("target:",G78)+7</f>
        <v>#VALUE!</v>
      </c>
      <c r="K78" s="63">
        <f t="shared" ref="K78:K82" si="306">FIND(",",G78,I78+1)</f>
        <v>32</v>
      </c>
      <c r="L78" s="63" t="str">
        <f>IFERROR(VLOOKUP(MID(G78,J78,K78-J78),[5]skilldef!$C:$D,2,FALSE),"-") &amp; " / " &amp; IFERROR(VLOOKUP(MID(G78,H78,I78-H78),[5]skilldef!$A:$B,2,FALSE),"-")</f>
        <v>- / -</v>
      </c>
      <c r="M78" s="63" t="str">
        <f t="shared" ref="M78:M82" si="307">IFERROR(RIGHT(B78,LEN(B78)-FIND("],",B78)-1),"none")</f>
        <v>[effect:damage_fix_absolute, target:unit_one, val:33333],[effect:damage_fix_absolute, target:unit_one, val:33333],[effect:fix_speed, target:myself, turn:1]</v>
      </c>
      <c r="N78" s="48" t="str">
        <f>IFERROR(LEFT(M78,FIND("],",M78)+#REF!),M78)</f>
        <v>[effect:damage_fix_absolute, target:unit_one, val:33333],[effect:damage_fix_absolute, target:unit_one, val:33333],[effect:fix_speed, target:myself, turn:1]</v>
      </c>
      <c r="O78" s="63">
        <f t="shared" ref="O78:O82" si="308">FIND("effect:",N78)+7</f>
        <v>9</v>
      </c>
      <c r="P78" s="63">
        <f t="shared" ref="P78:P82" si="309">IFERROR(FIND(",",N78),LEN(N78))</f>
        <v>28</v>
      </c>
      <c r="Q78" s="63">
        <f t="shared" ref="Q78:Q82" si="310">FIND("target:",N78)+7</f>
        <v>37</v>
      </c>
      <c r="R78" s="63">
        <f t="shared" ref="R78:R82" si="311">FIND(",",N78,P78+1)</f>
        <v>45</v>
      </c>
      <c r="S78" s="63" t="str">
        <f>IFERROR(VLOOKUP(MID(N78,Q78,R78-Q78),[5]skilldef!$C:$D,2,FALSE),"-") &amp; " / " &amp; IFERROR(VLOOKUP(MID(N78,O78,P78-O78),[5]skilldef!$A:$B,2,FALSE),"-")</f>
        <v>味方単体に / -</v>
      </c>
      <c r="T78" s="48" t="str">
        <f t="shared" ref="T78:T82" si="312">IFERROR(RIGHT(M78,LEN(M78)-FIND("],",M78)-1),"none")</f>
        <v>[effect:damage_fix_absolute, target:unit_one, val:33333],[effect:fix_speed, target:myself, turn:1]</v>
      </c>
      <c r="U78" s="63">
        <f t="shared" ref="U78:U82" si="313">FIND("effect:",T78)+7</f>
        <v>9</v>
      </c>
      <c r="V78" s="63">
        <f t="shared" ref="V78:V82" si="314">IFERROR(FIND(",",T78),LEN(T78))</f>
        <v>28</v>
      </c>
      <c r="W78" s="63">
        <f t="shared" ref="W78:W82" si="315">FIND("target:",T78)+7</f>
        <v>37</v>
      </c>
      <c r="X78" s="63">
        <f t="shared" ref="X78:X82" si="316">FIND(",",T78,V78+1)</f>
        <v>45</v>
      </c>
      <c r="Y78" s="63" t="str">
        <f>IFERROR(VLOOKUP(MID(T78,W78,X78-W78),[5]skilldef!$C:$D,2,FALSE),"-") &amp; " / " &amp; IFERROR(VLOOKUP(MID(T78,U78,V78-U78),[5]skilldef!$A:$B,2,FALSE),"-")</f>
        <v>味方単体に / -</v>
      </c>
      <c r="Z78" s="50"/>
      <c r="AA78" s="52"/>
      <c r="AB78" s="50"/>
    </row>
    <row r="79" spans="1:28" ht="32" customHeight="1" x14ac:dyDescent="0.15">
      <c r="A79" s="118">
        <v>48502067</v>
      </c>
      <c r="B79" s="177" t="s">
        <v>422</v>
      </c>
      <c r="C79" s="50">
        <v>1</v>
      </c>
      <c r="D79" s="50" t="s">
        <v>127</v>
      </c>
      <c r="E79" s="160" t="s">
        <v>283</v>
      </c>
      <c r="F79" s="160" t="s">
        <v>402</v>
      </c>
      <c r="G79" s="63" t="str">
        <f t="shared" si="302"/>
        <v>[effect:enemy_message, val1:1.7, val2:3.7]</v>
      </c>
      <c r="H79" s="63">
        <f t="shared" si="303"/>
        <v>9</v>
      </c>
      <c r="I79" s="63">
        <f t="shared" si="304"/>
        <v>22</v>
      </c>
      <c r="J79" s="63" t="e">
        <f t="shared" si="305"/>
        <v>#VALUE!</v>
      </c>
      <c r="K79" s="63">
        <f t="shared" si="306"/>
        <v>32</v>
      </c>
      <c r="L79" s="63" t="str">
        <f>IFERROR(VLOOKUP(MID(G79,J79,K79-J79),[5]skilldef!$C:$D,2,FALSE),"-") &amp; " / " &amp; IFERROR(VLOOKUP(MID(G79,H79,I79-H79),[5]skilldef!$A:$B,2,FALSE),"-")</f>
        <v>- / -</v>
      </c>
      <c r="M79" s="63" t="str">
        <f t="shared" si="307"/>
        <v>none</v>
      </c>
      <c r="N79" s="48" t="str">
        <f>IFERROR(LEFT(M79,FIND("],",M79)+S83),M79)</f>
        <v>none</v>
      </c>
      <c r="O79" s="63" t="e">
        <f t="shared" si="308"/>
        <v>#VALUE!</v>
      </c>
      <c r="P79" s="63">
        <f t="shared" si="309"/>
        <v>4</v>
      </c>
      <c r="Q79" s="63" t="e">
        <f t="shared" si="310"/>
        <v>#VALUE!</v>
      </c>
      <c r="R79" s="63" t="e">
        <f t="shared" si="311"/>
        <v>#VALUE!</v>
      </c>
      <c r="S79" s="63" t="str">
        <f>IFERROR(VLOOKUP(MID(N79,Q79,R79-Q79),[5]skilldef!$C:$D,2,FALSE),"-") &amp; " / " &amp; IFERROR(VLOOKUP(MID(N79,O79,P79-O79),[5]skilldef!$A:$B,2,FALSE),"-")</f>
        <v>- / -</v>
      </c>
      <c r="T79" s="48" t="str">
        <f t="shared" si="312"/>
        <v>none</v>
      </c>
      <c r="U79" s="63" t="e">
        <f t="shared" si="313"/>
        <v>#VALUE!</v>
      </c>
      <c r="V79" s="63">
        <f t="shared" si="314"/>
        <v>4</v>
      </c>
      <c r="W79" s="63" t="e">
        <f t="shared" si="315"/>
        <v>#VALUE!</v>
      </c>
      <c r="X79" s="63" t="e">
        <f t="shared" si="316"/>
        <v>#VALUE!</v>
      </c>
      <c r="Y79" s="63" t="str">
        <f>IFERROR(VLOOKUP(MID(T79,W79,X79-W79),[5]skilldef!$C:$D,2,FALSE),"-") &amp; " / " &amp; IFERROR(VLOOKUP(MID(T79,U79,V79-U79),[5]skilldef!$A:$B,2,FALSE),"-")</f>
        <v>- / -</v>
      </c>
      <c r="Z79" s="50"/>
      <c r="AA79" s="52"/>
      <c r="AB79" s="50"/>
    </row>
    <row r="80" spans="1:28" ht="34" customHeight="1" x14ac:dyDescent="0.15">
      <c r="A80" s="118">
        <v>48502068</v>
      </c>
      <c r="B80" s="177" t="s">
        <v>423</v>
      </c>
      <c r="C80" s="50">
        <v>1</v>
      </c>
      <c r="D80" s="50" t="s">
        <v>127</v>
      </c>
      <c r="E80" s="160" t="s">
        <v>278</v>
      </c>
      <c r="F80" s="160" t="s">
        <v>284</v>
      </c>
      <c r="G80" s="63" t="str">
        <f t="shared" si="302"/>
        <v>[effect:enemy_message, val1:1.7, val2:4.6]</v>
      </c>
      <c r="H80" s="63">
        <f t="shared" si="303"/>
        <v>9</v>
      </c>
      <c r="I80" s="63">
        <f t="shared" si="304"/>
        <v>22</v>
      </c>
      <c r="J80" s="63" t="e">
        <f t="shared" si="305"/>
        <v>#VALUE!</v>
      </c>
      <c r="K80" s="63">
        <f t="shared" si="306"/>
        <v>32</v>
      </c>
      <c r="L80" s="63" t="str">
        <f>IFERROR(VLOOKUP(MID(G80,J80,K80-J80),[5]skilldef!$C:$D,2,FALSE),"-") &amp; " / " &amp; IFERROR(VLOOKUP(MID(G80,H80,I80-H80),[5]skilldef!$A:$B,2,FALSE),"-")</f>
        <v>- / -</v>
      </c>
      <c r="M80" s="63" t="str">
        <f t="shared" si="307"/>
        <v>none</v>
      </c>
      <c r="N80" s="48" t="str">
        <f>IFERROR(LEFT(M80,FIND("],",M80)+S84),M80)</f>
        <v>none</v>
      </c>
      <c r="O80" s="63" t="e">
        <f t="shared" si="308"/>
        <v>#VALUE!</v>
      </c>
      <c r="P80" s="63">
        <f t="shared" si="309"/>
        <v>4</v>
      </c>
      <c r="Q80" s="63" t="e">
        <f t="shared" si="310"/>
        <v>#VALUE!</v>
      </c>
      <c r="R80" s="63" t="e">
        <f t="shared" si="311"/>
        <v>#VALUE!</v>
      </c>
      <c r="S80" s="63" t="str">
        <f>IFERROR(VLOOKUP(MID(N80,Q80,R80-Q80),[5]skilldef!$C:$D,2,FALSE),"-") &amp; " / " &amp; IFERROR(VLOOKUP(MID(N80,O80,P80-O80),[5]skilldef!$A:$B,2,FALSE),"-")</f>
        <v>- / -</v>
      </c>
      <c r="T80" s="48" t="str">
        <f t="shared" si="312"/>
        <v>none</v>
      </c>
      <c r="U80" s="63" t="e">
        <f t="shared" si="313"/>
        <v>#VALUE!</v>
      </c>
      <c r="V80" s="63">
        <f t="shared" si="314"/>
        <v>4</v>
      </c>
      <c r="W80" s="63" t="e">
        <f t="shared" si="315"/>
        <v>#VALUE!</v>
      </c>
      <c r="X80" s="63" t="e">
        <f t="shared" si="316"/>
        <v>#VALUE!</v>
      </c>
      <c r="Y80" s="63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21" customHeight="1" x14ac:dyDescent="0.15">
      <c r="A81" s="118">
        <v>48502069</v>
      </c>
      <c r="B81" s="177" t="s">
        <v>334</v>
      </c>
      <c r="C81" s="50">
        <v>1</v>
      </c>
      <c r="D81" s="50" t="s">
        <v>127</v>
      </c>
      <c r="E81" s="160" t="s">
        <v>289</v>
      </c>
      <c r="F81" s="160" t="s">
        <v>290</v>
      </c>
      <c r="G81" s="63" t="str">
        <f t="shared" si="302"/>
        <v>[effect:enemy_message, val1:1.5, val2:1.2]</v>
      </c>
      <c r="H81" s="63">
        <f t="shared" si="303"/>
        <v>9</v>
      </c>
      <c r="I81" s="63">
        <f t="shared" si="304"/>
        <v>22</v>
      </c>
      <c r="J81" s="63" t="e">
        <f t="shared" si="305"/>
        <v>#VALUE!</v>
      </c>
      <c r="K81" s="63">
        <f t="shared" si="306"/>
        <v>32</v>
      </c>
      <c r="L81" s="63" t="str">
        <f>IFERROR(VLOOKUP(MID(G81,J81,K81-J81),[5]skilldef!$C:$D,2,FALSE),"-") &amp; " / " &amp; IFERROR(VLOOKUP(MID(G81,H81,I81-H81),[5]skilldef!$A:$B,2,FALSE),"-")</f>
        <v>- / -</v>
      </c>
      <c r="M81" s="63" t="str">
        <f t="shared" si="307"/>
        <v>[effect:rush, val:1, count:1]</v>
      </c>
      <c r="N81" s="48" t="str">
        <f>IFERROR(LEFT(M81,FIND("],",M81)+S85),M81)</f>
        <v>[effect:rush, val:1, count:1]</v>
      </c>
      <c r="O81" s="63">
        <f t="shared" si="308"/>
        <v>9</v>
      </c>
      <c r="P81" s="63">
        <f t="shared" si="309"/>
        <v>13</v>
      </c>
      <c r="Q81" s="63" t="e">
        <f t="shared" si="310"/>
        <v>#VALUE!</v>
      </c>
      <c r="R81" s="63">
        <f t="shared" si="311"/>
        <v>20</v>
      </c>
      <c r="S81" s="63" t="str">
        <f>IFERROR(VLOOKUP(MID(N81,Q81,R81-Q81),[5]skilldef!$C:$D,2,FALSE),"-") &amp; " / " &amp; IFERROR(VLOOKUP(MID(N81,O81,P81-O81),[5]skilldef!$A:$B,2,FALSE),"-")</f>
        <v>- / 連続攻撃</v>
      </c>
      <c r="T81" s="48" t="str">
        <f t="shared" si="312"/>
        <v>none</v>
      </c>
      <c r="U81" s="63" t="e">
        <f t="shared" si="313"/>
        <v>#VALUE!</v>
      </c>
      <c r="V81" s="63">
        <f t="shared" si="314"/>
        <v>4</v>
      </c>
      <c r="W81" s="63" t="e">
        <f t="shared" si="315"/>
        <v>#VALUE!</v>
      </c>
      <c r="X81" s="63" t="e">
        <f t="shared" si="316"/>
        <v>#VALUE!</v>
      </c>
      <c r="Y81" s="63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21" customHeight="1" x14ac:dyDescent="0.15">
      <c r="A82" s="215">
        <v>48502070</v>
      </c>
      <c r="B82" s="216" t="s">
        <v>419</v>
      </c>
      <c r="C82" s="217">
        <v>1</v>
      </c>
      <c r="D82" s="217" t="s">
        <v>127</v>
      </c>
      <c r="E82" s="218" t="s">
        <v>376</v>
      </c>
      <c r="F82" s="218" t="s">
        <v>373</v>
      </c>
      <c r="G82" s="63" t="str">
        <f t="shared" si="302"/>
        <v>[effect:enemy_message, val1:1.2, val2:1.2]</v>
      </c>
      <c r="H82" s="63">
        <f t="shared" si="303"/>
        <v>9</v>
      </c>
      <c r="I82" s="63">
        <f t="shared" si="304"/>
        <v>22</v>
      </c>
      <c r="J82" s="63" t="e">
        <f t="shared" si="305"/>
        <v>#VALUE!</v>
      </c>
      <c r="K82" s="63">
        <f t="shared" si="306"/>
        <v>32</v>
      </c>
      <c r="L82" s="63" t="str">
        <f>IFERROR(VLOOKUP(MID(G82,J82,K82-J82),[5]skilldef!$C:$D,2,FALSE),"-") &amp; " / " &amp; IFERROR(VLOOKUP(MID(G82,H82,I82-H82),[5]skilldef!$A:$B,2,FALSE),"-")</f>
        <v>- / -</v>
      </c>
      <c r="M82" s="63" t="str">
        <f t="shared" si="307"/>
        <v>[effect:spread, val:0.28]</v>
      </c>
      <c r="N82" s="48" t="str">
        <f>IFERROR(LEFT(M82,FIND("],",M82)+S69),M82)</f>
        <v>[effect:spread, val:0.28]</v>
      </c>
      <c r="O82" s="63">
        <f t="shared" si="308"/>
        <v>9</v>
      </c>
      <c r="P82" s="63">
        <f t="shared" si="309"/>
        <v>15</v>
      </c>
      <c r="Q82" s="63" t="e">
        <f t="shared" si="310"/>
        <v>#VALUE!</v>
      </c>
      <c r="R82" s="63" t="e">
        <f t="shared" si="311"/>
        <v>#VALUE!</v>
      </c>
      <c r="S82" s="63" t="str">
        <f>IFERROR(VLOOKUP(MID(N82,Q82,R82-Q82),[5]skilldef!$C:$D,2,FALSE),"-") &amp; " / " &amp; IFERROR(VLOOKUP(MID(N82,O82,P82-O82),[5]skilldef!$A:$B,2,FALSE),"-")</f>
        <v>- / 全体攻撃</v>
      </c>
      <c r="T82" s="48" t="str">
        <f t="shared" si="312"/>
        <v>none</v>
      </c>
      <c r="U82" s="63" t="e">
        <f t="shared" si="313"/>
        <v>#VALUE!</v>
      </c>
      <c r="V82" s="63">
        <f t="shared" si="314"/>
        <v>4</v>
      </c>
      <c r="W82" s="63" t="e">
        <f t="shared" si="315"/>
        <v>#VALUE!</v>
      </c>
      <c r="X82" s="63" t="e">
        <f t="shared" si="316"/>
        <v>#VALUE!</v>
      </c>
      <c r="Y82" s="63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77"/>
  <sheetViews>
    <sheetView showGridLines="0" workbookViewId="0">
      <pane ySplit="1" topLeftCell="A2" activePane="bottomLeft" state="frozenSplit"/>
      <selection pane="bottomLeft" activeCell="E6" sqref="E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32.5" style="45" customWidth="1"/>
    <col min="13" max="16384" width="12.83203125" style="45"/>
  </cols>
  <sheetData>
    <row r="1" spans="1:12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2" ht="21" customHeight="1" x14ac:dyDescent="0.15">
      <c r="A2" s="166">
        <v>48502001</v>
      </c>
      <c r="B2" s="161">
        <v>1</v>
      </c>
      <c r="C2" s="161">
        <v>500</v>
      </c>
      <c r="D2" s="161">
        <v>100</v>
      </c>
      <c r="E2" s="161" t="s">
        <v>253</v>
      </c>
      <c r="F2" s="161" t="s">
        <v>89</v>
      </c>
      <c r="G2" s="161">
        <v>1</v>
      </c>
      <c r="H2" s="161" t="s">
        <v>89</v>
      </c>
      <c r="I2" s="161" t="s">
        <v>89</v>
      </c>
      <c r="J2" s="48">
        <f t="shared" ref="J2" si="0">D2</f>
        <v>100</v>
      </c>
      <c r="L2" s="160" t="s">
        <v>271</v>
      </c>
    </row>
    <row r="3" spans="1:12" ht="21" customHeight="1" x14ac:dyDescent="0.15">
      <c r="A3" s="166">
        <v>48502002</v>
      </c>
      <c r="B3" s="161">
        <v>1</v>
      </c>
      <c r="C3" s="161">
        <v>510</v>
      </c>
      <c r="D3" s="161">
        <v>100</v>
      </c>
      <c r="E3" s="161" t="s">
        <v>53</v>
      </c>
      <c r="F3" s="161" t="s">
        <v>89</v>
      </c>
      <c r="G3" s="161">
        <v>1</v>
      </c>
      <c r="H3" s="161" t="s">
        <v>89</v>
      </c>
      <c r="I3" s="161">
        <v>5005</v>
      </c>
      <c r="J3" s="48">
        <f t="shared" ref="J3:J61" si="1">D3</f>
        <v>100</v>
      </c>
      <c r="L3" s="160" t="s">
        <v>270</v>
      </c>
    </row>
    <row r="4" spans="1:12" ht="21" customHeight="1" x14ac:dyDescent="0.15">
      <c r="A4" s="244">
        <v>48502102</v>
      </c>
      <c r="B4" s="245">
        <v>1</v>
      </c>
      <c r="C4" s="245">
        <v>520</v>
      </c>
      <c r="D4" s="245">
        <v>100</v>
      </c>
      <c r="E4" s="245" t="s">
        <v>53</v>
      </c>
      <c r="F4" s="245" t="s">
        <v>53</v>
      </c>
      <c r="G4" s="245">
        <v>1</v>
      </c>
      <c r="H4" s="245" t="s">
        <v>53</v>
      </c>
      <c r="I4" s="245">
        <v>5006</v>
      </c>
      <c r="J4" s="48">
        <f t="shared" ref="J4" si="2">D4</f>
        <v>100</v>
      </c>
      <c r="L4" s="160" t="s">
        <v>270</v>
      </c>
    </row>
    <row r="5" spans="1:12" ht="21" customHeight="1" x14ac:dyDescent="0.15">
      <c r="A5" s="166">
        <v>48502003</v>
      </c>
      <c r="B5" s="161">
        <v>0</v>
      </c>
      <c r="C5" s="161">
        <v>100</v>
      </c>
      <c r="D5" s="161">
        <v>60</v>
      </c>
      <c r="E5" s="161" t="s">
        <v>53</v>
      </c>
      <c r="F5" s="161" t="s">
        <v>89</v>
      </c>
      <c r="G5" s="161" t="s">
        <v>53</v>
      </c>
      <c r="H5" s="161" t="s">
        <v>89</v>
      </c>
      <c r="I5" s="161" t="s">
        <v>89</v>
      </c>
      <c r="J5" s="48">
        <f t="shared" si="1"/>
        <v>60</v>
      </c>
      <c r="L5" s="160" t="s">
        <v>311</v>
      </c>
    </row>
    <row r="6" spans="1:12" ht="21" customHeight="1" x14ac:dyDescent="0.15">
      <c r="A6" s="166">
        <v>48502004</v>
      </c>
      <c r="B6" s="161">
        <v>0</v>
      </c>
      <c r="C6" s="161">
        <v>120</v>
      </c>
      <c r="D6" s="161">
        <v>50</v>
      </c>
      <c r="E6" s="161" t="s">
        <v>53</v>
      </c>
      <c r="F6" s="161" t="s">
        <v>89</v>
      </c>
      <c r="G6" s="161" t="s">
        <v>53</v>
      </c>
      <c r="H6" s="161" t="s">
        <v>89</v>
      </c>
      <c r="I6" s="161" t="s">
        <v>89</v>
      </c>
      <c r="J6" s="48">
        <f t="shared" si="1"/>
        <v>50</v>
      </c>
      <c r="L6" s="160" t="s">
        <v>312</v>
      </c>
    </row>
    <row r="7" spans="1:12" ht="21" customHeight="1" x14ac:dyDescent="0.15">
      <c r="A7" s="118">
        <v>48502005</v>
      </c>
      <c r="B7" s="169">
        <v>1</v>
      </c>
      <c r="C7" s="169">
        <v>500</v>
      </c>
      <c r="D7" s="169">
        <v>100</v>
      </c>
      <c r="E7" s="169" t="s">
        <v>53</v>
      </c>
      <c r="F7" s="169" t="s">
        <v>53</v>
      </c>
      <c r="G7" s="169">
        <v>1</v>
      </c>
      <c r="H7" s="169" t="s">
        <v>53</v>
      </c>
      <c r="I7" s="169" t="s">
        <v>53</v>
      </c>
      <c r="J7" s="48">
        <f t="shared" si="1"/>
        <v>100</v>
      </c>
      <c r="L7" s="51" t="s">
        <v>269</v>
      </c>
    </row>
    <row r="8" spans="1:12" ht="21" customHeight="1" x14ac:dyDescent="0.15">
      <c r="A8" s="118">
        <v>48502006</v>
      </c>
      <c r="B8" s="169">
        <v>1</v>
      </c>
      <c r="C8" s="169">
        <v>510</v>
      </c>
      <c r="D8" s="169">
        <v>100</v>
      </c>
      <c r="E8" s="169" t="s">
        <v>53</v>
      </c>
      <c r="F8" s="169" t="s">
        <v>53</v>
      </c>
      <c r="G8" s="169">
        <v>1</v>
      </c>
      <c r="H8" s="169" t="s">
        <v>53</v>
      </c>
      <c r="I8" s="169">
        <v>5005</v>
      </c>
      <c r="J8" s="48">
        <f t="shared" si="1"/>
        <v>100</v>
      </c>
      <c r="L8" s="160" t="s">
        <v>270</v>
      </c>
    </row>
    <row r="9" spans="1:12" ht="21" customHeight="1" x14ac:dyDescent="0.15">
      <c r="A9" s="244">
        <v>48502106</v>
      </c>
      <c r="B9" s="245">
        <v>1</v>
      </c>
      <c r="C9" s="245">
        <v>520</v>
      </c>
      <c r="D9" s="245">
        <v>100</v>
      </c>
      <c r="E9" s="245" t="s">
        <v>53</v>
      </c>
      <c r="F9" s="245" t="s">
        <v>53</v>
      </c>
      <c r="G9" s="245">
        <v>1</v>
      </c>
      <c r="H9" s="245" t="s">
        <v>53</v>
      </c>
      <c r="I9" s="245">
        <v>5006</v>
      </c>
      <c r="J9" s="48">
        <f t="shared" ref="J9" si="3">D9</f>
        <v>100</v>
      </c>
      <c r="L9" s="160" t="s">
        <v>270</v>
      </c>
    </row>
    <row r="10" spans="1:12" ht="21" customHeight="1" x14ac:dyDescent="0.15">
      <c r="A10" s="118">
        <v>48502007</v>
      </c>
      <c r="B10" s="169">
        <v>0</v>
      </c>
      <c r="C10" s="47">
        <v>100</v>
      </c>
      <c r="D10" s="47">
        <v>80</v>
      </c>
      <c r="E10" s="169" t="s">
        <v>53</v>
      </c>
      <c r="F10" s="169" t="s">
        <v>53</v>
      </c>
      <c r="G10" s="169" t="s">
        <v>53</v>
      </c>
      <c r="H10" s="169" t="s">
        <v>53</v>
      </c>
      <c r="I10" s="169" t="s">
        <v>53</v>
      </c>
      <c r="J10" s="48">
        <f t="shared" si="1"/>
        <v>80</v>
      </c>
      <c r="L10" s="51" t="s">
        <v>294</v>
      </c>
    </row>
    <row r="11" spans="1:12" ht="21" customHeight="1" x14ac:dyDescent="0.15">
      <c r="A11" s="118">
        <v>48502008</v>
      </c>
      <c r="B11" s="47">
        <v>0</v>
      </c>
      <c r="C11" s="47">
        <v>120</v>
      </c>
      <c r="D11" s="47">
        <v>35</v>
      </c>
      <c r="E11" s="47" t="s">
        <v>53</v>
      </c>
      <c r="F11" s="47" t="s">
        <v>89</v>
      </c>
      <c r="G11" s="47" t="s">
        <v>53</v>
      </c>
      <c r="H11" s="47" t="s">
        <v>89</v>
      </c>
      <c r="I11" s="47" t="s">
        <v>89</v>
      </c>
      <c r="J11" s="48">
        <f t="shared" si="1"/>
        <v>35</v>
      </c>
      <c r="L11" s="51" t="s">
        <v>312</v>
      </c>
    </row>
    <row r="12" spans="1:12" ht="21" customHeight="1" x14ac:dyDescent="0.15">
      <c r="A12" s="166">
        <v>48502009</v>
      </c>
      <c r="B12" s="161">
        <v>1</v>
      </c>
      <c r="C12" s="161">
        <v>500</v>
      </c>
      <c r="D12" s="161">
        <v>100</v>
      </c>
      <c r="E12" s="161" t="s">
        <v>53</v>
      </c>
      <c r="F12" s="161" t="s">
        <v>53</v>
      </c>
      <c r="G12" s="161">
        <v>1</v>
      </c>
      <c r="H12" s="161" t="s">
        <v>53</v>
      </c>
      <c r="I12" s="161" t="s">
        <v>53</v>
      </c>
      <c r="J12" s="48">
        <f t="shared" si="1"/>
        <v>100</v>
      </c>
      <c r="L12" s="160" t="s">
        <v>260</v>
      </c>
    </row>
    <row r="13" spans="1:12" ht="21" customHeight="1" x14ac:dyDescent="0.15">
      <c r="A13" s="166">
        <v>48502010</v>
      </c>
      <c r="B13" s="161">
        <v>1</v>
      </c>
      <c r="C13" s="161">
        <v>510</v>
      </c>
      <c r="D13" s="161">
        <v>100</v>
      </c>
      <c r="E13" s="161" t="s">
        <v>53</v>
      </c>
      <c r="F13" s="161" t="s">
        <v>53</v>
      </c>
      <c r="G13" s="161">
        <v>1</v>
      </c>
      <c r="H13" s="161" t="s">
        <v>53</v>
      </c>
      <c r="I13" s="161">
        <v>5005</v>
      </c>
      <c r="J13" s="48">
        <f t="shared" si="1"/>
        <v>100</v>
      </c>
      <c r="L13" s="162" t="s">
        <v>261</v>
      </c>
    </row>
    <row r="14" spans="1:12" ht="21" customHeight="1" x14ac:dyDescent="0.15">
      <c r="A14" s="244">
        <v>48502110</v>
      </c>
      <c r="B14" s="245">
        <v>1</v>
      </c>
      <c r="C14" s="245">
        <v>520</v>
      </c>
      <c r="D14" s="245">
        <v>100</v>
      </c>
      <c r="E14" s="245" t="s">
        <v>53</v>
      </c>
      <c r="F14" s="245" t="s">
        <v>53</v>
      </c>
      <c r="G14" s="245">
        <v>1</v>
      </c>
      <c r="H14" s="245" t="s">
        <v>53</v>
      </c>
      <c r="I14" s="245">
        <v>5006</v>
      </c>
      <c r="J14" s="48">
        <f t="shared" ref="J14" si="4">D14</f>
        <v>100</v>
      </c>
      <c r="L14" s="162" t="s">
        <v>261</v>
      </c>
    </row>
    <row r="15" spans="1:12" ht="21" customHeight="1" x14ac:dyDescent="0.15">
      <c r="A15" s="166">
        <v>48502011</v>
      </c>
      <c r="B15" s="161">
        <v>0</v>
      </c>
      <c r="C15" s="161">
        <v>220</v>
      </c>
      <c r="D15" s="161">
        <v>100</v>
      </c>
      <c r="E15" s="161" t="s">
        <v>53</v>
      </c>
      <c r="F15" s="161" t="s">
        <v>89</v>
      </c>
      <c r="G15" s="161">
        <v>1</v>
      </c>
      <c r="H15" s="161">
        <v>1</v>
      </c>
      <c r="I15" s="161" t="s">
        <v>89</v>
      </c>
      <c r="J15" s="48">
        <f t="shared" si="1"/>
        <v>100</v>
      </c>
      <c r="L15" s="160" t="s">
        <v>313</v>
      </c>
    </row>
    <row r="16" spans="1:12" ht="21" customHeight="1" x14ac:dyDescent="0.15">
      <c r="A16" s="166">
        <v>48502012</v>
      </c>
      <c r="B16" s="161">
        <v>0</v>
      </c>
      <c r="C16" s="161">
        <v>210</v>
      </c>
      <c r="D16" s="161">
        <v>100</v>
      </c>
      <c r="E16" s="161" t="s">
        <v>53</v>
      </c>
      <c r="F16" s="161" t="s">
        <v>89</v>
      </c>
      <c r="G16" s="161">
        <v>1</v>
      </c>
      <c r="H16" s="161">
        <v>2</v>
      </c>
      <c r="I16" s="161" t="s">
        <v>89</v>
      </c>
      <c r="J16" s="48">
        <f t="shared" si="1"/>
        <v>100</v>
      </c>
      <c r="L16" s="160" t="s">
        <v>358</v>
      </c>
    </row>
    <row r="17" spans="1:12" ht="21" customHeight="1" x14ac:dyDescent="0.15">
      <c r="A17" s="166">
        <v>48502013</v>
      </c>
      <c r="B17" s="161">
        <v>0</v>
      </c>
      <c r="C17" s="161">
        <v>200</v>
      </c>
      <c r="D17" s="161">
        <v>100</v>
      </c>
      <c r="E17" s="161" t="s">
        <v>53</v>
      </c>
      <c r="F17" s="161" t="s">
        <v>89</v>
      </c>
      <c r="G17" s="161">
        <v>1</v>
      </c>
      <c r="H17" s="161">
        <v>3</v>
      </c>
      <c r="I17" s="161" t="s">
        <v>89</v>
      </c>
      <c r="J17" s="48">
        <f t="shared" si="1"/>
        <v>100</v>
      </c>
      <c r="L17" s="160" t="s">
        <v>304</v>
      </c>
    </row>
    <row r="18" spans="1:12" ht="21" customHeight="1" x14ac:dyDescent="0.15">
      <c r="A18" s="166">
        <v>48502014</v>
      </c>
      <c r="B18" s="161">
        <v>0</v>
      </c>
      <c r="C18" s="161">
        <v>110</v>
      </c>
      <c r="D18" s="161">
        <v>58</v>
      </c>
      <c r="E18" s="161" t="s">
        <v>53</v>
      </c>
      <c r="F18" s="161" t="s">
        <v>89</v>
      </c>
      <c r="G18" s="161" t="s">
        <v>53</v>
      </c>
      <c r="H18" s="161" t="s">
        <v>89</v>
      </c>
      <c r="I18" s="161" t="s">
        <v>89</v>
      </c>
      <c r="J18" s="48">
        <f t="shared" si="1"/>
        <v>58</v>
      </c>
      <c r="L18" s="160" t="s">
        <v>314</v>
      </c>
    </row>
    <row r="19" spans="1:12" ht="21" customHeight="1" x14ac:dyDescent="0.15">
      <c r="A19" s="166">
        <v>48502015</v>
      </c>
      <c r="B19" s="161">
        <v>0</v>
      </c>
      <c r="C19" s="161">
        <v>100</v>
      </c>
      <c r="D19" s="161">
        <v>95</v>
      </c>
      <c r="E19" s="161" t="s">
        <v>53</v>
      </c>
      <c r="F19" s="161" t="s">
        <v>89</v>
      </c>
      <c r="G19" s="161" t="s">
        <v>53</v>
      </c>
      <c r="H19" s="161" t="s">
        <v>89</v>
      </c>
      <c r="I19" s="161" t="s">
        <v>89</v>
      </c>
      <c r="J19" s="48">
        <f t="shared" si="1"/>
        <v>95</v>
      </c>
      <c r="L19" s="160" t="s">
        <v>313</v>
      </c>
    </row>
    <row r="20" spans="1:12" ht="21" customHeight="1" x14ac:dyDescent="0.15">
      <c r="A20" s="118">
        <v>48502016</v>
      </c>
      <c r="B20" s="47">
        <v>1</v>
      </c>
      <c r="C20" s="47">
        <v>500</v>
      </c>
      <c r="D20" s="47">
        <v>100</v>
      </c>
      <c r="E20" s="47" t="s">
        <v>53</v>
      </c>
      <c r="F20" s="47" t="s">
        <v>89</v>
      </c>
      <c r="G20" s="47">
        <v>1</v>
      </c>
      <c r="H20" s="47" t="s">
        <v>89</v>
      </c>
      <c r="I20" s="47" t="s">
        <v>89</v>
      </c>
      <c r="J20" s="48">
        <f t="shared" si="1"/>
        <v>100</v>
      </c>
      <c r="L20" s="51" t="s">
        <v>315</v>
      </c>
    </row>
    <row r="21" spans="1:12" ht="21" customHeight="1" x14ac:dyDescent="0.15">
      <c r="A21" s="118">
        <v>48502017</v>
      </c>
      <c r="B21" s="47">
        <v>0</v>
      </c>
      <c r="C21" s="47">
        <v>240</v>
      </c>
      <c r="D21" s="47">
        <v>100</v>
      </c>
      <c r="E21" s="47" t="s">
        <v>53</v>
      </c>
      <c r="F21" s="47" t="s">
        <v>89</v>
      </c>
      <c r="G21" s="47">
        <v>1</v>
      </c>
      <c r="H21" s="47">
        <v>1</v>
      </c>
      <c r="I21" s="47" t="s">
        <v>89</v>
      </c>
      <c r="J21" s="48">
        <f t="shared" si="1"/>
        <v>100</v>
      </c>
      <c r="L21" s="51" t="s">
        <v>343</v>
      </c>
    </row>
    <row r="22" spans="1:12" ht="21" customHeight="1" x14ac:dyDescent="0.15">
      <c r="A22" s="118">
        <v>48502018</v>
      </c>
      <c r="B22" s="47">
        <v>0</v>
      </c>
      <c r="C22" s="47">
        <v>230</v>
      </c>
      <c r="D22" s="47">
        <v>100</v>
      </c>
      <c r="E22" s="47" t="s">
        <v>53</v>
      </c>
      <c r="F22" s="47" t="s">
        <v>89</v>
      </c>
      <c r="G22" s="47">
        <v>1</v>
      </c>
      <c r="H22" s="47">
        <v>2</v>
      </c>
      <c r="I22" s="47" t="s">
        <v>89</v>
      </c>
      <c r="J22" s="48">
        <f t="shared" si="1"/>
        <v>100</v>
      </c>
      <c r="L22" s="51" t="s">
        <v>307</v>
      </c>
    </row>
    <row r="23" spans="1:12" ht="21" customHeight="1" x14ac:dyDescent="0.15">
      <c r="A23" s="118">
        <v>48502019</v>
      </c>
      <c r="B23" s="47">
        <v>0</v>
      </c>
      <c r="C23" s="47">
        <v>220</v>
      </c>
      <c r="D23" s="47">
        <v>100</v>
      </c>
      <c r="E23" s="47" t="s">
        <v>53</v>
      </c>
      <c r="F23" s="47" t="s">
        <v>89</v>
      </c>
      <c r="G23" s="47">
        <v>1</v>
      </c>
      <c r="H23" s="47">
        <v>3</v>
      </c>
      <c r="I23" s="47" t="s">
        <v>89</v>
      </c>
      <c r="J23" s="48">
        <f t="shared" si="1"/>
        <v>100</v>
      </c>
      <c r="L23" s="51" t="s">
        <v>291</v>
      </c>
    </row>
    <row r="24" spans="1:12" ht="21" customHeight="1" x14ac:dyDescent="0.15">
      <c r="A24" s="118">
        <v>48502020</v>
      </c>
      <c r="B24" s="47">
        <v>0</v>
      </c>
      <c r="C24" s="47">
        <v>210</v>
      </c>
      <c r="D24" s="47">
        <v>100</v>
      </c>
      <c r="E24" s="47" t="s">
        <v>53</v>
      </c>
      <c r="F24" s="47" t="s">
        <v>89</v>
      </c>
      <c r="G24" s="47">
        <v>1</v>
      </c>
      <c r="H24" s="47">
        <v>4</v>
      </c>
      <c r="I24" s="47" t="s">
        <v>89</v>
      </c>
      <c r="J24" s="48">
        <f t="shared" si="1"/>
        <v>100</v>
      </c>
      <c r="L24" s="51" t="s">
        <v>293</v>
      </c>
    </row>
    <row r="25" spans="1:12" ht="21" customHeight="1" x14ac:dyDescent="0.15">
      <c r="A25" s="118">
        <v>48502021</v>
      </c>
      <c r="B25" s="47">
        <v>0</v>
      </c>
      <c r="C25" s="47">
        <v>200</v>
      </c>
      <c r="D25" s="47">
        <v>100</v>
      </c>
      <c r="E25" s="47" t="s">
        <v>53</v>
      </c>
      <c r="F25" s="47" t="s">
        <v>89</v>
      </c>
      <c r="G25" s="47">
        <v>1</v>
      </c>
      <c r="H25" s="47">
        <v>5</v>
      </c>
      <c r="I25" s="47" t="s">
        <v>89</v>
      </c>
      <c r="J25" s="48">
        <f t="shared" si="1"/>
        <v>100</v>
      </c>
      <c r="L25" s="51" t="s">
        <v>292</v>
      </c>
    </row>
    <row r="26" spans="1:12" ht="21" customHeight="1" x14ac:dyDescent="0.15">
      <c r="A26" s="118">
        <v>48502022</v>
      </c>
      <c r="B26" s="47">
        <v>0</v>
      </c>
      <c r="C26" s="47">
        <v>110</v>
      </c>
      <c r="D26" s="47">
        <v>50</v>
      </c>
      <c r="E26" s="47" t="s">
        <v>53</v>
      </c>
      <c r="F26" s="47" t="s">
        <v>89</v>
      </c>
      <c r="G26" s="47" t="s">
        <v>53</v>
      </c>
      <c r="H26" s="47" t="s">
        <v>89</v>
      </c>
      <c r="I26" s="47" t="s">
        <v>89</v>
      </c>
      <c r="J26" s="48">
        <f t="shared" si="1"/>
        <v>50</v>
      </c>
      <c r="L26" s="51" t="s">
        <v>344</v>
      </c>
    </row>
    <row r="27" spans="1:12" ht="21" customHeight="1" x14ac:dyDescent="0.15">
      <c r="A27" s="118">
        <v>48502023</v>
      </c>
      <c r="B27" s="47">
        <v>0</v>
      </c>
      <c r="C27" s="47">
        <v>100</v>
      </c>
      <c r="D27" s="47">
        <v>95</v>
      </c>
      <c r="E27" s="47" t="s">
        <v>53</v>
      </c>
      <c r="F27" s="47" t="s">
        <v>89</v>
      </c>
      <c r="G27" s="47" t="s">
        <v>53</v>
      </c>
      <c r="H27" s="47" t="s">
        <v>89</v>
      </c>
      <c r="I27" s="47" t="s">
        <v>89</v>
      </c>
      <c r="J27" s="48">
        <f t="shared" si="1"/>
        <v>95</v>
      </c>
      <c r="L27" s="51" t="s">
        <v>293</v>
      </c>
    </row>
    <row r="28" spans="1:12" ht="21" customHeight="1" x14ac:dyDescent="0.15">
      <c r="A28" s="166">
        <v>48502026</v>
      </c>
      <c r="B28" s="161">
        <v>1</v>
      </c>
      <c r="C28" s="161">
        <v>500</v>
      </c>
      <c r="D28" s="161">
        <v>100</v>
      </c>
      <c r="E28" s="161" t="s">
        <v>53</v>
      </c>
      <c r="F28" s="161" t="s">
        <v>89</v>
      </c>
      <c r="G28" s="161">
        <v>1</v>
      </c>
      <c r="H28" s="161" t="s">
        <v>89</v>
      </c>
      <c r="I28" s="161" t="s">
        <v>89</v>
      </c>
      <c r="J28" s="48">
        <f t="shared" si="1"/>
        <v>100</v>
      </c>
      <c r="L28" s="160" t="s">
        <v>315</v>
      </c>
    </row>
    <row r="29" spans="1:12" ht="21" customHeight="1" x14ac:dyDescent="0.15">
      <c r="A29" s="166">
        <v>48502027</v>
      </c>
      <c r="B29" s="161">
        <v>0</v>
      </c>
      <c r="C29" s="161">
        <v>120</v>
      </c>
      <c r="D29" s="161">
        <v>35</v>
      </c>
      <c r="E29" s="161" t="s">
        <v>262</v>
      </c>
      <c r="F29" s="161" t="s">
        <v>89</v>
      </c>
      <c r="G29" s="161" t="s">
        <v>263</v>
      </c>
      <c r="H29" s="161" t="s">
        <v>89</v>
      </c>
      <c r="I29" s="161" t="s">
        <v>89</v>
      </c>
      <c r="J29" s="48">
        <f t="shared" si="1"/>
        <v>35</v>
      </c>
      <c r="L29" s="160" t="s">
        <v>295</v>
      </c>
    </row>
    <row r="30" spans="1:12" ht="21" customHeight="1" x14ac:dyDescent="0.15">
      <c r="A30" s="166">
        <v>48502028</v>
      </c>
      <c r="B30" s="161">
        <v>0</v>
      </c>
      <c r="C30" s="161">
        <v>110</v>
      </c>
      <c r="D30" s="161">
        <v>60</v>
      </c>
      <c r="E30" s="161" t="s">
        <v>53</v>
      </c>
      <c r="F30" s="161" t="s">
        <v>89</v>
      </c>
      <c r="G30" s="161" t="s">
        <v>53</v>
      </c>
      <c r="H30" s="161" t="s">
        <v>89</v>
      </c>
      <c r="I30" s="161" t="s">
        <v>89</v>
      </c>
      <c r="J30" s="48">
        <f t="shared" si="1"/>
        <v>60</v>
      </c>
      <c r="L30" s="160" t="s">
        <v>296</v>
      </c>
    </row>
    <row r="31" spans="1:12" ht="21" customHeight="1" x14ac:dyDescent="0.15">
      <c r="A31" s="166">
        <v>48502029</v>
      </c>
      <c r="B31" s="161">
        <v>0</v>
      </c>
      <c r="C31" s="161">
        <v>100</v>
      </c>
      <c r="D31" s="161">
        <v>90</v>
      </c>
      <c r="E31" s="161" t="s">
        <v>53</v>
      </c>
      <c r="F31" s="161" t="s">
        <v>89</v>
      </c>
      <c r="G31" s="161" t="s">
        <v>53</v>
      </c>
      <c r="H31" s="161" t="s">
        <v>89</v>
      </c>
      <c r="I31" s="161" t="s">
        <v>89</v>
      </c>
      <c r="J31" s="48">
        <f t="shared" si="1"/>
        <v>90</v>
      </c>
      <c r="L31" s="160" t="s">
        <v>312</v>
      </c>
    </row>
    <row r="32" spans="1:12" ht="21" customHeight="1" x14ac:dyDescent="0.15">
      <c r="A32" s="166">
        <v>48502030</v>
      </c>
      <c r="B32" s="161">
        <v>0</v>
      </c>
      <c r="C32" s="161">
        <v>600</v>
      </c>
      <c r="D32" s="161">
        <v>100</v>
      </c>
      <c r="E32" s="161">
        <v>70</v>
      </c>
      <c r="F32" s="161" t="s">
        <v>89</v>
      </c>
      <c r="G32" s="161">
        <v>1</v>
      </c>
      <c r="H32" s="161" t="s">
        <v>89</v>
      </c>
      <c r="I32" s="161" t="s">
        <v>89</v>
      </c>
      <c r="J32" s="48">
        <f t="shared" si="1"/>
        <v>100</v>
      </c>
      <c r="L32" s="160" t="s">
        <v>297</v>
      </c>
    </row>
    <row r="33" spans="1:12" ht="21" customHeight="1" x14ac:dyDescent="0.15">
      <c r="A33" s="166">
        <v>48502031</v>
      </c>
      <c r="B33" s="161">
        <v>0</v>
      </c>
      <c r="C33" s="161">
        <v>620</v>
      </c>
      <c r="D33" s="161">
        <v>100</v>
      </c>
      <c r="E33" s="161">
        <v>40</v>
      </c>
      <c r="F33" s="161" t="s">
        <v>89</v>
      </c>
      <c r="G33" s="161">
        <v>1</v>
      </c>
      <c r="H33" s="161" t="s">
        <v>89</v>
      </c>
      <c r="I33" s="161" t="s">
        <v>89</v>
      </c>
      <c r="J33" s="48">
        <f t="shared" si="1"/>
        <v>100</v>
      </c>
      <c r="L33" s="160" t="s">
        <v>282</v>
      </c>
    </row>
    <row r="34" spans="1:12" ht="21" customHeight="1" x14ac:dyDescent="0.15">
      <c r="A34" s="166">
        <v>48502032</v>
      </c>
      <c r="B34" s="161">
        <v>0</v>
      </c>
      <c r="C34" s="161">
        <v>610</v>
      </c>
      <c r="D34" s="161">
        <v>100</v>
      </c>
      <c r="E34" s="161">
        <v>40</v>
      </c>
      <c r="F34" s="161" t="s">
        <v>89</v>
      </c>
      <c r="G34" s="161">
        <v>1</v>
      </c>
      <c r="H34" s="161" t="s">
        <v>89</v>
      </c>
      <c r="I34" s="161" t="s">
        <v>89</v>
      </c>
      <c r="J34" s="48">
        <f t="shared" si="1"/>
        <v>100</v>
      </c>
      <c r="L34" s="160" t="s">
        <v>338</v>
      </c>
    </row>
    <row r="35" spans="1:12" ht="21" customHeight="1" x14ac:dyDescent="0.15">
      <c r="A35" s="175">
        <v>48502036</v>
      </c>
      <c r="B35" s="47">
        <v>1</v>
      </c>
      <c r="C35" s="47">
        <v>500</v>
      </c>
      <c r="D35" s="47">
        <v>100</v>
      </c>
      <c r="E35" s="47" t="s">
        <v>53</v>
      </c>
      <c r="F35" s="47" t="s">
        <v>89</v>
      </c>
      <c r="G35" s="47">
        <v>1</v>
      </c>
      <c r="H35" s="47" t="s">
        <v>89</v>
      </c>
      <c r="I35" s="47" t="s">
        <v>89</v>
      </c>
      <c r="J35" s="48">
        <f t="shared" si="1"/>
        <v>100</v>
      </c>
      <c r="L35" s="51" t="s">
        <v>316</v>
      </c>
    </row>
    <row r="36" spans="1:12" ht="21" customHeight="1" x14ac:dyDescent="0.15">
      <c r="A36" s="175">
        <v>48502037</v>
      </c>
      <c r="B36" s="47">
        <v>0</v>
      </c>
      <c r="C36" s="47">
        <v>220</v>
      </c>
      <c r="D36" s="47">
        <v>100</v>
      </c>
      <c r="E36" s="47" t="s">
        <v>53</v>
      </c>
      <c r="F36" s="47" t="s">
        <v>89</v>
      </c>
      <c r="G36" s="47">
        <v>1</v>
      </c>
      <c r="H36" s="47">
        <v>1</v>
      </c>
      <c r="I36" s="47" t="s">
        <v>89</v>
      </c>
      <c r="J36" s="48">
        <f t="shared" si="1"/>
        <v>100</v>
      </c>
      <c r="L36" s="51" t="s">
        <v>305</v>
      </c>
    </row>
    <row r="37" spans="1:12" ht="21" customHeight="1" x14ac:dyDescent="0.15">
      <c r="A37" s="175">
        <v>48502038</v>
      </c>
      <c r="B37" s="47">
        <v>0</v>
      </c>
      <c r="C37" s="47">
        <v>210</v>
      </c>
      <c r="D37" s="47">
        <v>100</v>
      </c>
      <c r="E37" s="47" t="s">
        <v>53</v>
      </c>
      <c r="F37" s="47" t="s">
        <v>89</v>
      </c>
      <c r="G37" s="47">
        <v>1</v>
      </c>
      <c r="H37" s="47">
        <v>2</v>
      </c>
      <c r="I37" s="47" t="s">
        <v>89</v>
      </c>
      <c r="J37" s="48">
        <f t="shared" si="1"/>
        <v>100</v>
      </c>
      <c r="L37" s="51" t="s">
        <v>298</v>
      </c>
    </row>
    <row r="38" spans="1:12" ht="21" customHeight="1" x14ac:dyDescent="0.15">
      <c r="A38" s="175">
        <v>48502039</v>
      </c>
      <c r="B38" s="47">
        <v>0</v>
      </c>
      <c r="C38" s="47">
        <v>200</v>
      </c>
      <c r="D38" s="47">
        <v>100</v>
      </c>
      <c r="E38" s="47" t="s">
        <v>53</v>
      </c>
      <c r="F38" s="47" t="s">
        <v>89</v>
      </c>
      <c r="G38" s="47">
        <v>1</v>
      </c>
      <c r="H38" s="47">
        <v>3</v>
      </c>
      <c r="I38" s="47" t="s">
        <v>89</v>
      </c>
      <c r="J38" s="48">
        <f t="shared" si="1"/>
        <v>100</v>
      </c>
      <c r="L38" s="51" t="s">
        <v>342</v>
      </c>
    </row>
    <row r="39" spans="1:12" ht="21" customHeight="1" x14ac:dyDescent="0.15">
      <c r="A39" s="175">
        <v>48502040</v>
      </c>
      <c r="B39" s="47">
        <v>0</v>
      </c>
      <c r="C39" s="47">
        <v>110</v>
      </c>
      <c r="D39" s="47">
        <v>48</v>
      </c>
      <c r="E39" s="47" t="s">
        <v>53</v>
      </c>
      <c r="F39" s="47" t="s">
        <v>89</v>
      </c>
      <c r="G39" s="47" t="s">
        <v>53</v>
      </c>
      <c r="H39" s="47" t="s">
        <v>89</v>
      </c>
      <c r="I39" s="47" t="s">
        <v>89</v>
      </c>
      <c r="J39" s="48">
        <f t="shared" si="1"/>
        <v>48</v>
      </c>
      <c r="L39" s="51" t="s">
        <v>347</v>
      </c>
    </row>
    <row r="40" spans="1:12" ht="21" customHeight="1" x14ac:dyDescent="0.15">
      <c r="A40" s="175">
        <v>48502041</v>
      </c>
      <c r="B40" s="47">
        <v>0</v>
      </c>
      <c r="C40" s="47">
        <v>100</v>
      </c>
      <c r="D40" s="47">
        <v>95</v>
      </c>
      <c r="E40" s="47" t="s">
        <v>53</v>
      </c>
      <c r="F40" s="47" t="s">
        <v>89</v>
      </c>
      <c r="G40" s="47" t="s">
        <v>53</v>
      </c>
      <c r="H40" s="47" t="s">
        <v>89</v>
      </c>
      <c r="I40" s="47" t="s">
        <v>89</v>
      </c>
      <c r="J40" s="48">
        <f t="shared" si="1"/>
        <v>95</v>
      </c>
      <c r="L40" s="51" t="s">
        <v>317</v>
      </c>
    </row>
    <row r="41" spans="1:12" ht="21" customHeight="1" x14ac:dyDescent="0.15">
      <c r="A41" s="166">
        <v>48502045</v>
      </c>
      <c r="B41" s="161">
        <v>1</v>
      </c>
      <c r="C41" s="161">
        <v>500</v>
      </c>
      <c r="D41" s="161">
        <v>100</v>
      </c>
      <c r="E41" s="161" t="s">
        <v>53</v>
      </c>
      <c r="F41" s="161" t="s">
        <v>89</v>
      </c>
      <c r="G41" s="161">
        <v>1</v>
      </c>
      <c r="H41" s="161" t="s">
        <v>89</v>
      </c>
      <c r="I41" s="161" t="s">
        <v>89</v>
      </c>
      <c r="J41" s="48">
        <f t="shared" si="1"/>
        <v>100</v>
      </c>
      <c r="L41" s="160" t="s">
        <v>302</v>
      </c>
    </row>
    <row r="42" spans="1:12" ht="21" customHeight="1" x14ac:dyDescent="0.15">
      <c r="A42" s="166">
        <v>48502046</v>
      </c>
      <c r="B42" s="161">
        <v>1</v>
      </c>
      <c r="C42" s="161">
        <v>510</v>
      </c>
      <c r="D42" s="161">
        <v>100</v>
      </c>
      <c r="E42" s="161" t="s">
        <v>53</v>
      </c>
      <c r="F42" s="161" t="s">
        <v>89</v>
      </c>
      <c r="G42" s="161">
        <v>1</v>
      </c>
      <c r="H42" s="161" t="s">
        <v>89</v>
      </c>
      <c r="I42" s="161">
        <v>5005</v>
      </c>
      <c r="J42" s="48">
        <f t="shared" si="1"/>
        <v>100</v>
      </c>
      <c r="L42" s="160" t="s">
        <v>303</v>
      </c>
    </row>
    <row r="43" spans="1:12" ht="21" customHeight="1" x14ac:dyDescent="0.15">
      <c r="A43" s="244">
        <v>48502146</v>
      </c>
      <c r="B43" s="245">
        <v>1</v>
      </c>
      <c r="C43" s="245">
        <v>520</v>
      </c>
      <c r="D43" s="245">
        <v>100</v>
      </c>
      <c r="E43" s="245" t="s">
        <v>53</v>
      </c>
      <c r="F43" s="245" t="s">
        <v>53</v>
      </c>
      <c r="G43" s="245">
        <v>1</v>
      </c>
      <c r="H43" s="245" t="s">
        <v>53</v>
      </c>
      <c r="I43" s="245">
        <v>5006</v>
      </c>
      <c r="J43" s="48">
        <f t="shared" ref="J43" si="5">D43</f>
        <v>100</v>
      </c>
      <c r="L43" s="160" t="s">
        <v>303</v>
      </c>
    </row>
    <row r="44" spans="1:12" ht="21" customHeight="1" x14ac:dyDescent="0.15">
      <c r="A44" s="166">
        <v>48502048</v>
      </c>
      <c r="B44" s="161">
        <v>0</v>
      </c>
      <c r="C44" s="161">
        <v>100</v>
      </c>
      <c r="D44" s="161">
        <v>100</v>
      </c>
      <c r="E44" s="161" t="s">
        <v>53</v>
      </c>
      <c r="F44" s="161" t="s">
        <v>89</v>
      </c>
      <c r="G44" s="161" t="s">
        <v>53</v>
      </c>
      <c r="H44" s="161">
        <v>1</v>
      </c>
      <c r="I44" s="161" t="s">
        <v>475</v>
      </c>
      <c r="J44" s="48">
        <f t="shared" si="1"/>
        <v>100</v>
      </c>
      <c r="L44" s="160" t="s">
        <v>313</v>
      </c>
    </row>
    <row r="45" spans="1:12" ht="21" customHeight="1" x14ac:dyDescent="0.15">
      <c r="A45" s="166">
        <v>48502049</v>
      </c>
      <c r="B45" s="161">
        <v>0</v>
      </c>
      <c r="C45" s="161">
        <v>110</v>
      </c>
      <c r="D45" s="161">
        <v>100</v>
      </c>
      <c r="E45" s="161" t="s">
        <v>53</v>
      </c>
      <c r="F45" s="161" t="s">
        <v>89</v>
      </c>
      <c r="G45" s="161" t="s">
        <v>53</v>
      </c>
      <c r="H45" s="161">
        <v>2</v>
      </c>
      <c r="I45" s="161" t="s">
        <v>89</v>
      </c>
      <c r="J45" s="48">
        <f t="shared" si="1"/>
        <v>100</v>
      </c>
      <c r="L45" s="160" t="s">
        <v>318</v>
      </c>
    </row>
    <row r="46" spans="1:12" ht="21" customHeight="1" x14ac:dyDescent="0.15">
      <c r="A46" s="166">
        <v>48502050</v>
      </c>
      <c r="B46" s="161">
        <v>0</v>
      </c>
      <c r="C46" s="161">
        <v>120</v>
      </c>
      <c r="D46" s="161">
        <v>100</v>
      </c>
      <c r="E46" s="161" t="s">
        <v>53</v>
      </c>
      <c r="F46" s="161" t="s">
        <v>89</v>
      </c>
      <c r="G46" s="161" t="s">
        <v>53</v>
      </c>
      <c r="H46" s="161">
        <v>3</v>
      </c>
      <c r="I46" s="161" t="s">
        <v>89</v>
      </c>
      <c r="J46" s="48">
        <f t="shared" si="1"/>
        <v>100</v>
      </c>
      <c r="L46" s="160" t="s">
        <v>306</v>
      </c>
    </row>
    <row r="47" spans="1:12" ht="21" customHeight="1" x14ac:dyDescent="0.15">
      <c r="A47" s="166">
        <v>48502051</v>
      </c>
      <c r="B47" s="161">
        <v>0</v>
      </c>
      <c r="C47" s="161">
        <v>130</v>
      </c>
      <c r="D47" s="161">
        <v>100</v>
      </c>
      <c r="E47" s="161" t="s">
        <v>53</v>
      </c>
      <c r="F47" s="161" t="s">
        <v>89</v>
      </c>
      <c r="G47" s="161" t="s">
        <v>53</v>
      </c>
      <c r="H47" s="161">
        <v>4</v>
      </c>
      <c r="I47" s="161" t="s">
        <v>89</v>
      </c>
      <c r="J47" s="48">
        <f t="shared" si="1"/>
        <v>100</v>
      </c>
      <c r="L47" s="160" t="s">
        <v>301</v>
      </c>
    </row>
    <row r="48" spans="1:12" ht="21" customHeight="1" x14ac:dyDescent="0.15">
      <c r="A48" s="166">
        <v>48502052</v>
      </c>
      <c r="B48" s="161">
        <v>0</v>
      </c>
      <c r="C48" s="161">
        <v>600</v>
      </c>
      <c r="D48" s="161">
        <v>100</v>
      </c>
      <c r="E48" s="161">
        <v>50</v>
      </c>
      <c r="F48" s="161" t="s">
        <v>89</v>
      </c>
      <c r="G48" s="161">
        <v>1</v>
      </c>
      <c r="H48" s="161">
        <v>1</v>
      </c>
      <c r="I48" s="161" t="s">
        <v>89</v>
      </c>
      <c r="J48" s="48">
        <f t="shared" si="1"/>
        <v>100</v>
      </c>
      <c r="L48" s="160" t="s">
        <v>308</v>
      </c>
    </row>
    <row r="49" spans="1:12" ht="21" customHeight="1" x14ac:dyDescent="0.15">
      <c r="A49" s="175">
        <v>48502053</v>
      </c>
      <c r="B49" s="47">
        <v>1</v>
      </c>
      <c r="C49" s="47">
        <v>500</v>
      </c>
      <c r="D49" s="47">
        <v>100</v>
      </c>
      <c r="E49" s="47" t="s">
        <v>53</v>
      </c>
      <c r="F49" s="47" t="s">
        <v>89</v>
      </c>
      <c r="G49" s="47">
        <v>1</v>
      </c>
      <c r="H49" s="47" t="s">
        <v>89</v>
      </c>
      <c r="I49" s="47" t="s">
        <v>89</v>
      </c>
      <c r="J49" s="48">
        <f t="shared" si="1"/>
        <v>100</v>
      </c>
      <c r="L49" s="168" t="s">
        <v>299</v>
      </c>
    </row>
    <row r="50" spans="1:12" ht="21" customHeight="1" x14ac:dyDescent="0.15">
      <c r="A50" s="175">
        <v>48502054</v>
      </c>
      <c r="B50" s="47">
        <v>0</v>
      </c>
      <c r="C50" s="47">
        <v>100</v>
      </c>
      <c r="D50" s="47">
        <v>100</v>
      </c>
      <c r="E50" s="47" t="s">
        <v>53</v>
      </c>
      <c r="F50" s="47" t="s">
        <v>89</v>
      </c>
      <c r="G50" s="47" t="s">
        <v>53</v>
      </c>
      <c r="H50" s="47">
        <v>1</v>
      </c>
      <c r="I50" s="47" t="s">
        <v>89</v>
      </c>
      <c r="J50" s="48">
        <f t="shared" si="1"/>
        <v>100</v>
      </c>
      <c r="L50" s="167" t="s">
        <v>345</v>
      </c>
    </row>
    <row r="51" spans="1:12" ht="21" customHeight="1" x14ac:dyDescent="0.15">
      <c r="A51" s="175">
        <v>48502055</v>
      </c>
      <c r="B51" s="47">
        <v>0</v>
      </c>
      <c r="C51" s="47">
        <v>110</v>
      </c>
      <c r="D51" s="47">
        <v>100</v>
      </c>
      <c r="E51" s="47" t="s">
        <v>53</v>
      </c>
      <c r="F51" s="47" t="s">
        <v>89</v>
      </c>
      <c r="G51" s="47" t="s">
        <v>53</v>
      </c>
      <c r="H51" s="47">
        <v>2</v>
      </c>
      <c r="I51" s="47" t="s">
        <v>89</v>
      </c>
      <c r="J51" s="48">
        <f t="shared" si="1"/>
        <v>100</v>
      </c>
      <c r="L51" s="167" t="s">
        <v>309</v>
      </c>
    </row>
    <row r="52" spans="1:12" ht="21" customHeight="1" x14ac:dyDescent="0.15">
      <c r="A52" s="175">
        <v>48502056</v>
      </c>
      <c r="B52" s="169">
        <v>0</v>
      </c>
      <c r="C52" s="47">
        <v>120</v>
      </c>
      <c r="D52" s="169">
        <v>100</v>
      </c>
      <c r="E52" s="169" t="s">
        <v>53</v>
      </c>
      <c r="F52" s="169" t="s">
        <v>89</v>
      </c>
      <c r="G52" s="169" t="s">
        <v>53</v>
      </c>
      <c r="H52" s="169">
        <v>3</v>
      </c>
      <c r="I52" s="169" t="s">
        <v>89</v>
      </c>
      <c r="J52" s="48">
        <f>D52</f>
        <v>100</v>
      </c>
      <c r="L52" s="167" t="s">
        <v>310</v>
      </c>
    </row>
    <row r="53" spans="1:12" ht="21" customHeight="1" x14ac:dyDescent="0.15">
      <c r="A53" s="175">
        <v>48502057</v>
      </c>
      <c r="B53" s="47">
        <v>0</v>
      </c>
      <c r="C53" s="47">
        <v>130</v>
      </c>
      <c r="D53" s="47">
        <v>100</v>
      </c>
      <c r="E53" s="47" t="s">
        <v>53</v>
      </c>
      <c r="F53" s="47" t="s">
        <v>89</v>
      </c>
      <c r="G53" s="47" t="s">
        <v>53</v>
      </c>
      <c r="H53" s="47">
        <v>4</v>
      </c>
      <c r="I53" s="47" t="s">
        <v>89</v>
      </c>
      <c r="J53" s="48">
        <f t="shared" si="1"/>
        <v>100</v>
      </c>
      <c r="L53" s="176" t="s">
        <v>335</v>
      </c>
    </row>
    <row r="54" spans="1:12" ht="21" customHeight="1" x14ac:dyDescent="0.15">
      <c r="A54" s="175">
        <v>48502058</v>
      </c>
      <c r="B54" s="47">
        <v>0</v>
      </c>
      <c r="C54" s="47">
        <v>140</v>
      </c>
      <c r="D54" s="47">
        <v>100</v>
      </c>
      <c r="E54" s="47" t="s">
        <v>53</v>
      </c>
      <c r="F54" s="47" t="s">
        <v>89</v>
      </c>
      <c r="G54" s="47" t="s">
        <v>53</v>
      </c>
      <c r="H54" s="47">
        <v>5</v>
      </c>
      <c r="I54" s="47" t="s">
        <v>89</v>
      </c>
      <c r="J54" s="48">
        <f t="shared" si="1"/>
        <v>100</v>
      </c>
      <c r="L54" s="168" t="s">
        <v>300</v>
      </c>
    </row>
    <row r="55" spans="1:12" ht="21" customHeight="1" x14ac:dyDescent="0.15">
      <c r="A55" s="175">
        <v>48502059</v>
      </c>
      <c r="B55" s="47">
        <v>0</v>
      </c>
      <c r="C55" s="47">
        <v>150</v>
      </c>
      <c r="D55" s="47">
        <v>100</v>
      </c>
      <c r="E55" s="47" t="s">
        <v>53</v>
      </c>
      <c r="F55" s="47" t="s">
        <v>89</v>
      </c>
      <c r="G55" s="47" t="s">
        <v>53</v>
      </c>
      <c r="H55" s="47">
        <v>6</v>
      </c>
      <c r="I55" s="47" t="s">
        <v>89</v>
      </c>
      <c r="J55" s="48">
        <f t="shared" si="1"/>
        <v>100</v>
      </c>
      <c r="L55" s="167" t="s">
        <v>310</v>
      </c>
    </row>
    <row r="56" spans="1:12" ht="21" customHeight="1" thickBot="1" x14ac:dyDescent="0.2">
      <c r="A56" s="175">
        <v>48502060</v>
      </c>
      <c r="B56" s="47">
        <v>0</v>
      </c>
      <c r="C56" s="49">
        <v>160</v>
      </c>
      <c r="D56" s="47">
        <v>100</v>
      </c>
      <c r="E56" s="47" t="s">
        <v>53</v>
      </c>
      <c r="F56" s="47" t="s">
        <v>89</v>
      </c>
      <c r="G56" s="47" t="s">
        <v>53</v>
      </c>
      <c r="H56" s="49">
        <v>7</v>
      </c>
      <c r="I56" s="47" t="s">
        <v>89</v>
      </c>
      <c r="J56" s="48">
        <f t="shared" si="1"/>
        <v>100</v>
      </c>
      <c r="K56" s="165"/>
      <c r="L56" s="167" t="s">
        <v>346</v>
      </c>
    </row>
    <row r="57" spans="1:12" ht="21" customHeight="1" thickTop="1" x14ac:dyDescent="0.15">
      <c r="A57" s="166">
        <v>48502061</v>
      </c>
      <c r="B57" s="161">
        <v>1</v>
      </c>
      <c r="C57" s="161">
        <v>500</v>
      </c>
      <c r="D57" s="161">
        <v>100</v>
      </c>
      <c r="E57" s="161" t="s">
        <v>53</v>
      </c>
      <c r="F57" s="161" t="s">
        <v>89</v>
      </c>
      <c r="G57" s="161">
        <v>1</v>
      </c>
      <c r="H57" s="161" t="s">
        <v>89</v>
      </c>
      <c r="I57" s="161" t="s">
        <v>89</v>
      </c>
      <c r="J57" s="48">
        <f t="shared" si="1"/>
        <v>100</v>
      </c>
      <c r="L57" s="160" t="s">
        <v>319</v>
      </c>
    </row>
    <row r="58" spans="1:12" ht="21" customHeight="1" x14ac:dyDescent="0.15">
      <c r="A58" s="166">
        <v>48502062</v>
      </c>
      <c r="B58" s="161">
        <v>0</v>
      </c>
      <c r="C58" s="161">
        <v>140</v>
      </c>
      <c r="D58" s="161">
        <v>100</v>
      </c>
      <c r="E58" s="161" t="s">
        <v>53</v>
      </c>
      <c r="F58" s="161" t="s">
        <v>89</v>
      </c>
      <c r="G58" s="161">
        <v>1</v>
      </c>
      <c r="H58" s="161">
        <v>1</v>
      </c>
      <c r="I58" s="161" t="s">
        <v>89</v>
      </c>
      <c r="J58" s="48">
        <f t="shared" si="1"/>
        <v>100</v>
      </c>
      <c r="L58" s="160" t="s">
        <v>320</v>
      </c>
    </row>
    <row r="59" spans="1:12" ht="21" customHeight="1" x14ac:dyDescent="0.15">
      <c r="A59" s="166">
        <v>48502063</v>
      </c>
      <c r="B59" s="161">
        <v>0</v>
      </c>
      <c r="C59" s="161">
        <v>130</v>
      </c>
      <c r="D59" s="161">
        <v>100</v>
      </c>
      <c r="E59" s="161" t="s">
        <v>53</v>
      </c>
      <c r="F59" s="161" t="s">
        <v>89</v>
      </c>
      <c r="G59" s="161">
        <v>1</v>
      </c>
      <c r="H59" s="161">
        <v>2</v>
      </c>
      <c r="I59" s="161" t="s">
        <v>89</v>
      </c>
      <c r="J59" s="48">
        <f t="shared" si="1"/>
        <v>100</v>
      </c>
      <c r="L59" s="160" t="s">
        <v>321</v>
      </c>
    </row>
    <row r="60" spans="1:12" ht="21" customHeight="1" x14ac:dyDescent="0.15">
      <c r="A60" s="166">
        <v>48502064</v>
      </c>
      <c r="B60" s="161">
        <v>0</v>
      </c>
      <c r="C60" s="161">
        <v>120</v>
      </c>
      <c r="D60" s="161">
        <v>100</v>
      </c>
      <c r="E60" s="161" t="s">
        <v>53</v>
      </c>
      <c r="F60" s="161" t="s">
        <v>89</v>
      </c>
      <c r="G60" s="161">
        <v>1</v>
      </c>
      <c r="H60" s="161">
        <v>3</v>
      </c>
      <c r="I60" s="161" t="s">
        <v>89</v>
      </c>
      <c r="J60" s="48">
        <f t="shared" si="1"/>
        <v>100</v>
      </c>
      <c r="L60" s="160" t="s">
        <v>322</v>
      </c>
    </row>
    <row r="61" spans="1:12" ht="21" customHeight="1" x14ac:dyDescent="0.15">
      <c r="A61" s="166">
        <v>48502065</v>
      </c>
      <c r="B61" s="161">
        <v>0</v>
      </c>
      <c r="C61" s="161">
        <v>110</v>
      </c>
      <c r="D61" s="161">
        <v>100</v>
      </c>
      <c r="E61" s="161" t="s">
        <v>53</v>
      </c>
      <c r="F61" s="161" t="s">
        <v>89</v>
      </c>
      <c r="G61" s="161">
        <v>1</v>
      </c>
      <c r="H61" s="161">
        <v>4</v>
      </c>
      <c r="I61" s="161" t="s">
        <v>89</v>
      </c>
      <c r="J61" s="48">
        <f t="shared" si="1"/>
        <v>100</v>
      </c>
      <c r="L61" s="160" t="s">
        <v>336</v>
      </c>
    </row>
    <row r="62" spans="1:12" ht="21" customHeight="1" x14ac:dyDescent="0.15">
      <c r="A62" s="166">
        <v>48502066</v>
      </c>
      <c r="B62" s="161">
        <v>0</v>
      </c>
      <c r="C62" s="161">
        <v>100</v>
      </c>
      <c r="D62" s="161">
        <v>100</v>
      </c>
      <c r="E62" s="161" t="s">
        <v>53</v>
      </c>
      <c r="F62" s="161" t="s">
        <v>89</v>
      </c>
      <c r="G62" s="161">
        <v>1</v>
      </c>
      <c r="H62" s="161">
        <v>5</v>
      </c>
      <c r="I62" s="161" t="s">
        <v>89</v>
      </c>
      <c r="J62" s="48">
        <f t="shared" ref="J62:J71" si="6">D62</f>
        <v>100</v>
      </c>
      <c r="L62" s="160" t="s">
        <v>337</v>
      </c>
    </row>
    <row r="63" spans="1:12" ht="21" customHeight="1" x14ac:dyDescent="0.15">
      <c r="A63" s="166">
        <v>48502067</v>
      </c>
      <c r="B63" s="161">
        <v>0</v>
      </c>
      <c r="C63" s="161">
        <v>700</v>
      </c>
      <c r="D63" s="161">
        <v>100</v>
      </c>
      <c r="E63" s="161" t="s">
        <v>53</v>
      </c>
      <c r="F63" s="161" t="s">
        <v>89</v>
      </c>
      <c r="G63" s="161">
        <v>0</v>
      </c>
      <c r="H63" s="161" t="s">
        <v>89</v>
      </c>
      <c r="I63" s="161">
        <v>0</v>
      </c>
      <c r="J63" s="48">
        <f t="shared" si="6"/>
        <v>100</v>
      </c>
      <c r="L63" s="160" t="s">
        <v>340</v>
      </c>
    </row>
    <row r="64" spans="1:12" ht="21" customHeight="1" x14ac:dyDescent="0.15">
      <c r="A64" s="166">
        <v>48502068</v>
      </c>
      <c r="B64" s="161">
        <v>0</v>
      </c>
      <c r="C64" s="161">
        <v>710</v>
      </c>
      <c r="D64" s="161">
        <v>100</v>
      </c>
      <c r="E64" s="161" t="s">
        <v>53</v>
      </c>
      <c r="F64" s="161" t="s">
        <v>89</v>
      </c>
      <c r="G64" s="161">
        <v>0</v>
      </c>
      <c r="H64" s="161" t="s">
        <v>89</v>
      </c>
      <c r="I64" s="161">
        <v>5005</v>
      </c>
      <c r="J64" s="48">
        <f t="shared" si="6"/>
        <v>100</v>
      </c>
      <c r="L64" s="160" t="s">
        <v>284</v>
      </c>
    </row>
    <row r="65" spans="1:12" ht="21" customHeight="1" x14ac:dyDescent="0.15">
      <c r="A65" s="244">
        <v>48502168</v>
      </c>
      <c r="B65" s="245">
        <v>0</v>
      </c>
      <c r="C65" s="245">
        <v>720</v>
      </c>
      <c r="D65" s="245">
        <v>100</v>
      </c>
      <c r="E65" s="245" t="s">
        <v>53</v>
      </c>
      <c r="F65" s="245" t="s">
        <v>53</v>
      </c>
      <c r="G65" s="245">
        <v>0</v>
      </c>
      <c r="H65" s="245" t="s">
        <v>53</v>
      </c>
      <c r="I65" s="245">
        <v>5006</v>
      </c>
      <c r="J65" s="48">
        <f t="shared" ref="J65" si="7">D65</f>
        <v>100</v>
      </c>
      <c r="L65" s="160" t="s">
        <v>284</v>
      </c>
    </row>
    <row r="66" spans="1:12" ht="21" customHeight="1" x14ac:dyDescent="0.15">
      <c r="A66" s="166">
        <v>48502069</v>
      </c>
      <c r="B66" s="161">
        <v>0</v>
      </c>
      <c r="C66" s="161" t="s">
        <v>53</v>
      </c>
      <c r="D66" s="161">
        <v>100</v>
      </c>
      <c r="E66" s="161" t="s">
        <v>53</v>
      </c>
      <c r="F66" s="161" t="s">
        <v>89</v>
      </c>
      <c r="G66" s="161" t="s">
        <v>53</v>
      </c>
      <c r="H66" s="161" t="s">
        <v>89</v>
      </c>
      <c r="I66" s="161" t="s">
        <v>89</v>
      </c>
      <c r="J66" s="48">
        <f t="shared" si="6"/>
        <v>100</v>
      </c>
      <c r="L66" s="160" t="s">
        <v>290</v>
      </c>
    </row>
    <row r="67" spans="1:12" ht="21" customHeight="1" x14ac:dyDescent="0.15">
      <c r="A67" s="215">
        <v>48502070</v>
      </c>
      <c r="B67" s="214">
        <v>1</v>
      </c>
      <c r="C67" s="214">
        <v>500</v>
      </c>
      <c r="D67" s="214">
        <v>100</v>
      </c>
      <c r="E67" s="214" t="s">
        <v>53</v>
      </c>
      <c r="F67" s="214" t="s">
        <v>89</v>
      </c>
      <c r="G67" s="214">
        <v>1</v>
      </c>
      <c r="H67" s="214" t="s">
        <v>89</v>
      </c>
      <c r="I67" s="214" t="s">
        <v>89</v>
      </c>
      <c r="J67" s="48">
        <f t="shared" si="6"/>
        <v>100</v>
      </c>
      <c r="L67" s="160" t="s">
        <v>319</v>
      </c>
    </row>
    <row r="68" spans="1:12" ht="21" customHeight="1" x14ac:dyDescent="0.15">
      <c r="A68" s="215">
        <v>48502071</v>
      </c>
      <c r="B68" s="214">
        <v>0</v>
      </c>
      <c r="C68" s="214">
        <v>150</v>
      </c>
      <c r="D68" s="214">
        <v>100</v>
      </c>
      <c r="E68" s="214" t="s">
        <v>53</v>
      </c>
      <c r="F68" s="214" t="s">
        <v>89</v>
      </c>
      <c r="G68" s="214">
        <v>1</v>
      </c>
      <c r="H68" s="214">
        <v>1</v>
      </c>
      <c r="I68" s="214" t="s">
        <v>89</v>
      </c>
      <c r="J68" s="48">
        <f t="shared" si="6"/>
        <v>100</v>
      </c>
      <c r="L68" s="160" t="s">
        <v>320</v>
      </c>
    </row>
    <row r="69" spans="1:12" ht="21" customHeight="1" x14ac:dyDescent="0.15">
      <c r="A69" s="215">
        <v>48502072</v>
      </c>
      <c r="B69" s="214">
        <v>0</v>
      </c>
      <c r="C69" s="214">
        <v>140</v>
      </c>
      <c r="D69" s="214">
        <v>100</v>
      </c>
      <c r="E69" s="214" t="s">
        <v>53</v>
      </c>
      <c r="F69" s="214" t="s">
        <v>89</v>
      </c>
      <c r="G69" s="214">
        <v>1</v>
      </c>
      <c r="H69" s="214">
        <v>2</v>
      </c>
      <c r="I69" s="214" t="s">
        <v>89</v>
      </c>
      <c r="J69" s="48">
        <f t="shared" si="6"/>
        <v>100</v>
      </c>
      <c r="L69" s="160" t="s">
        <v>321</v>
      </c>
    </row>
    <row r="70" spans="1:12" ht="21" customHeight="1" x14ac:dyDescent="0.15">
      <c r="A70" s="215">
        <v>48502073</v>
      </c>
      <c r="B70" s="214">
        <v>0</v>
      </c>
      <c r="C70" s="214">
        <v>130</v>
      </c>
      <c r="D70" s="214">
        <v>100</v>
      </c>
      <c r="E70" s="214" t="s">
        <v>53</v>
      </c>
      <c r="F70" s="214" t="s">
        <v>89</v>
      </c>
      <c r="G70" s="214">
        <v>1</v>
      </c>
      <c r="H70" s="214">
        <v>3</v>
      </c>
      <c r="I70" s="214" t="s">
        <v>89</v>
      </c>
      <c r="J70" s="48">
        <f t="shared" si="6"/>
        <v>100</v>
      </c>
      <c r="L70" s="160" t="s">
        <v>375</v>
      </c>
    </row>
    <row r="71" spans="1:12" ht="21" customHeight="1" x14ac:dyDescent="0.15">
      <c r="A71" s="215">
        <v>48502074</v>
      </c>
      <c r="B71" s="214">
        <v>0</v>
      </c>
      <c r="C71" s="214">
        <v>120</v>
      </c>
      <c r="D71" s="214">
        <v>100</v>
      </c>
      <c r="E71" s="214" t="s">
        <v>53</v>
      </c>
      <c r="F71" s="214" t="s">
        <v>89</v>
      </c>
      <c r="G71" s="214">
        <v>1</v>
      </c>
      <c r="H71" s="214">
        <v>4</v>
      </c>
      <c r="I71" s="214" t="s">
        <v>89</v>
      </c>
      <c r="J71" s="48">
        <f t="shared" si="6"/>
        <v>100</v>
      </c>
      <c r="L71" s="160" t="s">
        <v>374</v>
      </c>
    </row>
    <row r="72" spans="1:12" ht="21" customHeight="1" x14ac:dyDescent="0.15">
      <c r="A72" s="215">
        <v>48502075</v>
      </c>
      <c r="B72" s="214">
        <v>0</v>
      </c>
      <c r="C72" s="214">
        <v>110</v>
      </c>
      <c r="D72" s="214">
        <v>100</v>
      </c>
      <c r="E72" s="214" t="s">
        <v>53</v>
      </c>
      <c r="F72" s="214" t="s">
        <v>89</v>
      </c>
      <c r="G72" s="214">
        <v>1</v>
      </c>
      <c r="H72" s="214">
        <v>5</v>
      </c>
      <c r="I72" s="214" t="s">
        <v>89</v>
      </c>
      <c r="J72" s="48">
        <f t="shared" ref="J72" si="8">D72</f>
        <v>100</v>
      </c>
      <c r="L72" s="160" t="s">
        <v>336</v>
      </c>
    </row>
    <row r="73" spans="1:12" ht="21" customHeight="1" x14ac:dyDescent="0.15">
      <c r="A73" s="215">
        <v>48502076</v>
      </c>
      <c r="B73" s="214">
        <v>0</v>
      </c>
      <c r="C73" s="214">
        <v>100</v>
      </c>
      <c r="D73" s="214">
        <v>100</v>
      </c>
      <c r="E73" s="214" t="s">
        <v>53</v>
      </c>
      <c r="F73" s="214" t="s">
        <v>89</v>
      </c>
      <c r="G73" s="214">
        <v>1</v>
      </c>
      <c r="H73" s="214">
        <v>6</v>
      </c>
      <c r="I73" s="214" t="s">
        <v>89</v>
      </c>
      <c r="J73" s="48">
        <f t="shared" ref="J73:J77" si="9">D73</f>
        <v>100</v>
      </c>
      <c r="L73" s="160" t="s">
        <v>337</v>
      </c>
    </row>
    <row r="74" spans="1:12" ht="21" customHeight="1" x14ac:dyDescent="0.15">
      <c r="A74" s="215">
        <v>48502077</v>
      </c>
      <c r="B74" s="214">
        <v>0</v>
      </c>
      <c r="C74" s="214">
        <v>700</v>
      </c>
      <c r="D74" s="214">
        <v>100</v>
      </c>
      <c r="E74" s="214" t="s">
        <v>53</v>
      </c>
      <c r="F74" s="214" t="s">
        <v>89</v>
      </c>
      <c r="G74" s="214">
        <v>0</v>
      </c>
      <c r="H74" s="214" t="s">
        <v>89</v>
      </c>
      <c r="I74" s="214">
        <v>0</v>
      </c>
      <c r="J74" s="48">
        <f t="shared" si="9"/>
        <v>100</v>
      </c>
      <c r="L74" s="160" t="s">
        <v>340</v>
      </c>
    </row>
    <row r="75" spans="1:12" ht="21" customHeight="1" x14ac:dyDescent="0.15">
      <c r="A75" s="215">
        <v>48502078</v>
      </c>
      <c r="B75" s="214">
        <v>0</v>
      </c>
      <c r="C75" s="214">
        <v>710</v>
      </c>
      <c r="D75" s="214">
        <v>100</v>
      </c>
      <c r="E75" s="214" t="s">
        <v>53</v>
      </c>
      <c r="F75" s="214" t="s">
        <v>89</v>
      </c>
      <c r="G75" s="214">
        <v>0</v>
      </c>
      <c r="H75" s="214" t="s">
        <v>89</v>
      </c>
      <c r="I75" s="214">
        <v>5005</v>
      </c>
      <c r="J75" s="48">
        <f t="shared" si="9"/>
        <v>100</v>
      </c>
      <c r="L75" s="160" t="s">
        <v>284</v>
      </c>
    </row>
    <row r="76" spans="1:12" ht="21" customHeight="1" x14ac:dyDescent="0.15">
      <c r="A76" s="246">
        <v>48502178</v>
      </c>
      <c r="B76" s="247">
        <v>0</v>
      </c>
      <c r="C76" s="247">
        <v>720</v>
      </c>
      <c r="D76" s="247">
        <v>100</v>
      </c>
      <c r="E76" s="247" t="s">
        <v>53</v>
      </c>
      <c r="F76" s="247" t="s">
        <v>53</v>
      </c>
      <c r="G76" s="247">
        <v>0</v>
      </c>
      <c r="H76" s="247" t="s">
        <v>53</v>
      </c>
      <c r="I76" s="247">
        <v>5006</v>
      </c>
      <c r="J76" s="48">
        <f t="shared" ref="J76" si="10">D76</f>
        <v>100</v>
      </c>
      <c r="L76" s="160" t="s">
        <v>284</v>
      </c>
    </row>
    <row r="77" spans="1:12" ht="21" customHeight="1" x14ac:dyDescent="0.15">
      <c r="A77" s="215">
        <v>48502079</v>
      </c>
      <c r="B77" s="214">
        <v>0</v>
      </c>
      <c r="C77" s="214" t="s">
        <v>53</v>
      </c>
      <c r="D77" s="214">
        <v>100</v>
      </c>
      <c r="E77" s="214" t="s">
        <v>53</v>
      </c>
      <c r="F77" s="214" t="s">
        <v>89</v>
      </c>
      <c r="G77" s="214" t="s">
        <v>53</v>
      </c>
      <c r="H77" s="214" t="s">
        <v>89</v>
      </c>
      <c r="I77" s="214" t="s">
        <v>89</v>
      </c>
      <c r="J77" s="48">
        <f t="shared" si="9"/>
        <v>100</v>
      </c>
      <c r="L77" s="160" t="s">
        <v>290</v>
      </c>
    </row>
  </sheetData>
  <autoFilter ref="A1:G1"/>
  <phoneticPr fontId="5"/>
  <conditionalFormatting sqref="K78:K1048576 K1:K3 K5:K8 K10:K13 K15:K42 K44:K64 K66">
    <cfRule type="duplicateValues" dxfId="8" priority="9"/>
  </conditionalFormatting>
  <conditionalFormatting sqref="K67:K71 K73:K75 K77">
    <cfRule type="duplicateValues" dxfId="7" priority="8"/>
  </conditionalFormatting>
  <conditionalFormatting sqref="K72">
    <cfRule type="duplicateValues" dxfId="6" priority="7"/>
  </conditionalFormatting>
  <conditionalFormatting sqref="K4">
    <cfRule type="duplicateValues" dxfId="5" priority="6"/>
  </conditionalFormatting>
  <conditionalFormatting sqref="K9">
    <cfRule type="duplicateValues" dxfId="4" priority="5"/>
  </conditionalFormatting>
  <conditionalFormatting sqref="K14">
    <cfRule type="duplicateValues" dxfId="3" priority="4"/>
  </conditionalFormatting>
  <conditionalFormatting sqref="K43">
    <cfRule type="duplicateValues" dxfId="2" priority="3"/>
  </conditionalFormatting>
  <conditionalFormatting sqref="K65">
    <cfRule type="duplicateValues" dxfId="1" priority="2"/>
  </conditionalFormatting>
  <conditionalFormatting sqref="K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J28" sqref="J2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48502</v>
      </c>
      <c r="B2" s="57">
        <v>1</v>
      </c>
      <c r="C2" s="70" t="str">
        <f>A2&amp; "_"&amp;B2</f>
        <v>48502_1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30">
        <v>1</v>
      </c>
      <c r="F2" s="231" t="s">
        <v>168</v>
      </c>
      <c r="G2" s="231">
        <v>40000</v>
      </c>
      <c r="H2" s="231" t="s">
        <v>259</v>
      </c>
      <c r="I2" s="231">
        <v>1</v>
      </c>
      <c r="J2" s="231">
        <v>1</v>
      </c>
      <c r="K2" s="231">
        <v>0</v>
      </c>
      <c r="L2" s="231">
        <v>0</v>
      </c>
      <c r="M2" s="231">
        <v>0</v>
      </c>
      <c r="N2" s="231">
        <v>0</v>
      </c>
      <c r="O2" s="231">
        <v>1</v>
      </c>
      <c r="P2" s="231">
        <v>150</v>
      </c>
      <c r="Q2" s="57" t="s">
        <v>169</v>
      </c>
      <c r="R2" s="57" t="s">
        <v>170</v>
      </c>
    </row>
    <row r="3" spans="1:18" x14ac:dyDescent="0.15">
      <c r="A3" s="57">
        <v>48502</v>
      </c>
      <c r="B3" s="57">
        <v>1</v>
      </c>
      <c r="C3" s="70" t="str">
        <f t="shared" ref="C3:C18" si="0">A3&amp; "_"&amp;B3</f>
        <v>48502_1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32">
        <v>2</v>
      </c>
      <c r="F3" s="233" t="s">
        <v>384</v>
      </c>
      <c r="G3" s="233">
        <v>30</v>
      </c>
      <c r="H3" s="233" t="s">
        <v>259</v>
      </c>
      <c r="I3" s="233">
        <v>1</v>
      </c>
      <c r="J3" s="233">
        <v>1</v>
      </c>
      <c r="K3" s="233">
        <v>0</v>
      </c>
      <c r="L3" s="233">
        <v>0</v>
      </c>
      <c r="M3" s="233">
        <v>0</v>
      </c>
      <c r="N3" s="233">
        <v>0</v>
      </c>
      <c r="O3" s="233">
        <v>1</v>
      </c>
      <c r="P3" s="233">
        <v>150</v>
      </c>
      <c r="Q3" s="57" t="s">
        <v>169</v>
      </c>
      <c r="R3" s="57" t="s">
        <v>170</v>
      </c>
    </row>
    <row r="4" spans="1:18" x14ac:dyDescent="0.15">
      <c r="A4" s="57">
        <v>48502</v>
      </c>
      <c r="B4" s="57">
        <v>1</v>
      </c>
      <c r="C4" s="70" t="str">
        <f t="shared" si="0"/>
        <v>48502_1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32">
        <v>3</v>
      </c>
      <c r="F4" s="233" t="s">
        <v>385</v>
      </c>
      <c r="G4" s="234">
        <v>5007</v>
      </c>
      <c r="H4" s="233">
        <v>1</v>
      </c>
      <c r="I4" s="233">
        <v>1</v>
      </c>
      <c r="J4" s="233">
        <v>1</v>
      </c>
      <c r="K4" s="233">
        <v>0</v>
      </c>
      <c r="L4" s="233">
        <v>0</v>
      </c>
      <c r="M4" s="233">
        <v>0</v>
      </c>
      <c r="N4" s="233">
        <v>0</v>
      </c>
      <c r="O4" s="233">
        <v>1</v>
      </c>
      <c r="P4" s="233">
        <v>100</v>
      </c>
      <c r="Q4" s="57" t="s">
        <v>169</v>
      </c>
      <c r="R4" s="57" t="s">
        <v>170</v>
      </c>
    </row>
    <row r="5" spans="1:18" x14ac:dyDescent="0.15">
      <c r="A5" s="57">
        <v>48502</v>
      </c>
      <c r="B5" s="57">
        <v>1</v>
      </c>
      <c r="C5" s="70" t="str">
        <f t="shared" si="0"/>
        <v>48502_1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32">
        <v>4</v>
      </c>
      <c r="F5" s="233" t="s">
        <v>385</v>
      </c>
      <c r="G5" s="233">
        <v>345</v>
      </c>
      <c r="H5" s="233">
        <v>1</v>
      </c>
      <c r="I5" s="233">
        <v>1</v>
      </c>
      <c r="J5" s="233">
        <v>1</v>
      </c>
      <c r="K5" s="233">
        <v>0</v>
      </c>
      <c r="L5" s="233">
        <v>0</v>
      </c>
      <c r="M5" s="233">
        <v>0</v>
      </c>
      <c r="N5" s="233">
        <v>0</v>
      </c>
      <c r="O5" s="233">
        <v>1</v>
      </c>
      <c r="P5" s="233">
        <v>28</v>
      </c>
      <c r="Q5" s="57" t="s">
        <v>169</v>
      </c>
      <c r="R5" s="57" t="s">
        <v>170</v>
      </c>
    </row>
    <row r="6" spans="1:18" x14ac:dyDescent="0.15">
      <c r="A6" s="57">
        <v>48502</v>
      </c>
      <c r="B6" s="57">
        <v>1</v>
      </c>
      <c r="C6" s="70" t="str">
        <f t="shared" si="0"/>
        <v>48502_1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32">
        <v>5</v>
      </c>
      <c r="F6" s="233" t="s">
        <v>385</v>
      </c>
      <c r="G6" s="233">
        <v>346</v>
      </c>
      <c r="H6" s="233">
        <v>1</v>
      </c>
      <c r="I6" s="233">
        <v>1</v>
      </c>
      <c r="J6" s="233">
        <v>1</v>
      </c>
      <c r="K6" s="233">
        <v>0</v>
      </c>
      <c r="L6" s="233">
        <v>0</v>
      </c>
      <c r="M6" s="233">
        <v>0</v>
      </c>
      <c r="N6" s="233">
        <v>0</v>
      </c>
      <c r="O6" s="233">
        <v>1</v>
      </c>
      <c r="P6" s="233">
        <v>112</v>
      </c>
      <c r="Q6" s="57" t="s">
        <v>169</v>
      </c>
      <c r="R6" s="57" t="s">
        <v>170</v>
      </c>
    </row>
    <row r="7" spans="1:18" x14ac:dyDescent="0.15">
      <c r="A7" s="57">
        <v>48502</v>
      </c>
      <c r="B7" s="57">
        <v>1</v>
      </c>
      <c r="C7" s="70" t="str">
        <f t="shared" si="0"/>
        <v>48502_1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32">
        <v>6</v>
      </c>
      <c r="F7" s="233" t="s">
        <v>385</v>
      </c>
      <c r="G7" s="233">
        <v>354</v>
      </c>
      <c r="H7" s="233">
        <v>1</v>
      </c>
      <c r="I7" s="233">
        <v>1</v>
      </c>
      <c r="J7" s="233">
        <v>1</v>
      </c>
      <c r="K7" s="233">
        <v>0</v>
      </c>
      <c r="L7" s="233">
        <v>0</v>
      </c>
      <c r="M7" s="233">
        <v>0</v>
      </c>
      <c r="N7" s="233">
        <v>0</v>
      </c>
      <c r="O7" s="233">
        <v>1</v>
      </c>
      <c r="P7" s="233">
        <v>150</v>
      </c>
      <c r="Q7" s="57" t="s">
        <v>169</v>
      </c>
      <c r="R7" s="57" t="s">
        <v>170</v>
      </c>
    </row>
    <row r="8" spans="1:18" x14ac:dyDescent="0.15">
      <c r="A8" s="57">
        <v>48502</v>
      </c>
      <c r="B8" s="57">
        <v>1</v>
      </c>
      <c r="C8" s="70" t="str">
        <f t="shared" si="0"/>
        <v>48502_1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32">
        <v>7</v>
      </c>
      <c r="F8" s="233" t="s">
        <v>385</v>
      </c>
      <c r="G8" s="233">
        <v>121</v>
      </c>
      <c r="H8" s="233">
        <v>1</v>
      </c>
      <c r="I8" s="233">
        <v>1</v>
      </c>
      <c r="J8" s="233">
        <v>1</v>
      </c>
      <c r="K8" s="233">
        <v>0</v>
      </c>
      <c r="L8" s="233">
        <v>0</v>
      </c>
      <c r="M8" s="233">
        <v>0</v>
      </c>
      <c r="N8" s="233">
        <v>0</v>
      </c>
      <c r="O8" s="233">
        <v>1</v>
      </c>
      <c r="P8" s="233">
        <v>100</v>
      </c>
      <c r="Q8" s="57" t="s">
        <v>169</v>
      </c>
      <c r="R8" s="57" t="s">
        <v>170</v>
      </c>
    </row>
    <row r="9" spans="1:18" x14ac:dyDescent="0.15">
      <c r="A9" s="57">
        <v>48502</v>
      </c>
      <c r="B9" s="57">
        <v>1</v>
      </c>
      <c r="C9" s="70" t="str">
        <f t="shared" si="0"/>
        <v>48502_1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32">
        <v>8</v>
      </c>
      <c r="F9" s="233" t="s">
        <v>385</v>
      </c>
      <c r="G9" s="233">
        <v>122</v>
      </c>
      <c r="H9" s="233">
        <v>1</v>
      </c>
      <c r="I9" s="233">
        <v>1</v>
      </c>
      <c r="J9" s="233">
        <v>1</v>
      </c>
      <c r="K9" s="233">
        <v>0</v>
      </c>
      <c r="L9" s="233">
        <v>0</v>
      </c>
      <c r="M9" s="233">
        <v>0</v>
      </c>
      <c r="N9" s="233">
        <v>0</v>
      </c>
      <c r="O9" s="233">
        <v>1</v>
      </c>
      <c r="P9" s="233">
        <v>100</v>
      </c>
      <c r="Q9" s="57" t="s">
        <v>169</v>
      </c>
      <c r="R9" s="57" t="s">
        <v>170</v>
      </c>
    </row>
    <row r="10" spans="1:18" x14ac:dyDescent="0.15">
      <c r="A10" s="57">
        <v>48502</v>
      </c>
      <c r="B10" s="57">
        <v>1</v>
      </c>
      <c r="C10" s="70" t="str">
        <f t="shared" si="0"/>
        <v>48502_1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32">
        <v>9</v>
      </c>
      <c r="F10" s="233" t="s">
        <v>385</v>
      </c>
      <c r="G10" s="233">
        <v>123</v>
      </c>
      <c r="H10" s="233">
        <v>1</v>
      </c>
      <c r="I10" s="233">
        <v>1</v>
      </c>
      <c r="J10" s="233">
        <v>1</v>
      </c>
      <c r="K10" s="233">
        <v>0</v>
      </c>
      <c r="L10" s="233">
        <v>0</v>
      </c>
      <c r="M10" s="233">
        <v>0</v>
      </c>
      <c r="N10" s="233">
        <v>0</v>
      </c>
      <c r="O10" s="233">
        <v>1</v>
      </c>
      <c r="P10" s="233">
        <v>100</v>
      </c>
      <c r="Q10" s="57" t="s">
        <v>169</v>
      </c>
      <c r="R10" s="57" t="s">
        <v>170</v>
      </c>
    </row>
    <row r="11" spans="1:18" x14ac:dyDescent="0.15">
      <c r="A11" s="57">
        <v>48502</v>
      </c>
      <c r="B11" s="57">
        <v>1</v>
      </c>
      <c r="C11" s="70" t="str">
        <f t="shared" si="0"/>
        <v>48502_1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32">
        <v>10</v>
      </c>
      <c r="F11" s="233" t="s">
        <v>385</v>
      </c>
      <c r="G11" s="233">
        <v>125</v>
      </c>
      <c r="H11" s="233">
        <v>1</v>
      </c>
      <c r="I11" s="233">
        <v>1</v>
      </c>
      <c r="J11" s="233">
        <v>1</v>
      </c>
      <c r="K11" s="233">
        <v>0</v>
      </c>
      <c r="L11" s="233">
        <v>0</v>
      </c>
      <c r="M11" s="233">
        <v>0</v>
      </c>
      <c r="N11" s="233">
        <v>0</v>
      </c>
      <c r="O11" s="233">
        <v>1</v>
      </c>
      <c r="P11" s="233">
        <v>10</v>
      </c>
      <c r="Q11" s="57" t="s">
        <v>169</v>
      </c>
      <c r="R11" s="57" t="s">
        <v>170</v>
      </c>
    </row>
    <row r="12" spans="1:18" x14ac:dyDescent="0.15">
      <c r="A12" s="58">
        <v>48502</v>
      </c>
      <c r="B12" s="58">
        <v>2</v>
      </c>
      <c r="C12" s="70" t="str">
        <f t="shared" si="0"/>
        <v>48502_2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35">
        <v>11</v>
      </c>
      <c r="F12" s="236" t="s">
        <v>385</v>
      </c>
      <c r="G12" s="237">
        <v>5007</v>
      </c>
      <c r="H12" s="236">
        <v>1</v>
      </c>
      <c r="I12" s="236">
        <v>1</v>
      </c>
      <c r="J12" s="236">
        <v>1</v>
      </c>
      <c r="K12" s="236">
        <v>0</v>
      </c>
      <c r="L12" s="236">
        <v>0</v>
      </c>
      <c r="M12" s="236">
        <v>0</v>
      </c>
      <c r="N12" s="236">
        <v>0</v>
      </c>
      <c r="O12" s="236">
        <v>1</v>
      </c>
      <c r="P12" s="236">
        <v>500</v>
      </c>
      <c r="Q12" s="58" t="s">
        <v>169</v>
      </c>
      <c r="R12" s="58" t="s">
        <v>170</v>
      </c>
    </row>
    <row r="13" spans="1:18" x14ac:dyDescent="0.15">
      <c r="A13" s="58">
        <v>48502</v>
      </c>
      <c r="B13" s="58">
        <v>2</v>
      </c>
      <c r="C13" s="70" t="str">
        <f t="shared" si="0"/>
        <v>48502_2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35">
        <v>12</v>
      </c>
      <c r="F13" s="236" t="s">
        <v>385</v>
      </c>
      <c r="G13" s="236">
        <v>346</v>
      </c>
      <c r="H13" s="236">
        <v>1</v>
      </c>
      <c r="I13" s="236">
        <v>1</v>
      </c>
      <c r="J13" s="236">
        <v>1</v>
      </c>
      <c r="K13" s="236">
        <v>0</v>
      </c>
      <c r="L13" s="236">
        <v>0</v>
      </c>
      <c r="M13" s="236">
        <v>0</v>
      </c>
      <c r="N13" s="236">
        <v>0</v>
      </c>
      <c r="O13" s="236">
        <v>1</v>
      </c>
      <c r="P13" s="236">
        <v>50</v>
      </c>
      <c r="Q13" s="58" t="s">
        <v>169</v>
      </c>
      <c r="R13" s="58" t="s">
        <v>170</v>
      </c>
    </row>
    <row r="14" spans="1:18" x14ac:dyDescent="0.15">
      <c r="A14" s="58">
        <v>48502</v>
      </c>
      <c r="B14" s="58">
        <v>2</v>
      </c>
      <c r="C14" s="70" t="str">
        <f t="shared" si="0"/>
        <v>48502_2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35">
        <v>13</v>
      </c>
      <c r="F14" s="236" t="s">
        <v>385</v>
      </c>
      <c r="G14" s="236">
        <v>354</v>
      </c>
      <c r="H14" s="236">
        <v>1</v>
      </c>
      <c r="I14" s="236">
        <v>1</v>
      </c>
      <c r="J14" s="236">
        <v>1</v>
      </c>
      <c r="K14" s="236">
        <v>0</v>
      </c>
      <c r="L14" s="236">
        <v>0</v>
      </c>
      <c r="M14" s="236">
        <v>0</v>
      </c>
      <c r="N14" s="236">
        <v>0</v>
      </c>
      <c r="O14" s="236">
        <v>1</v>
      </c>
      <c r="P14" s="236">
        <v>120</v>
      </c>
      <c r="Q14" s="58" t="s">
        <v>169</v>
      </c>
      <c r="R14" s="58" t="s">
        <v>170</v>
      </c>
    </row>
    <row r="15" spans="1:18" x14ac:dyDescent="0.15">
      <c r="A15" s="58">
        <v>48502</v>
      </c>
      <c r="B15" s="58">
        <v>2</v>
      </c>
      <c r="C15" s="70" t="str">
        <f t="shared" si="0"/>
        <v>48502_2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35">
        <v>14</v>
      </c>
      <c r="F15" s="236" t="s">
        <v>385</v>
      </c>
      <c r="G15" s="236">
        <v>607</v>
      </c>
      <c r="H15" s="236">
        <v>1</v>
      </c>
      <c r="I15" s="236">
        <v>1</v>
      </c>
      <c r="J15" s="236">
        <v>1</v>
      </c>
      <c r="K15" s="236">
        <v>0</v>
      </c>
      <c r="L15" s="236">
        <v>0</v>
      </c>
      <c r="M15" s="236">
        <v>0</v>
      </c>
      <c r="N15" s="236">
        <v>0</v>
      </c>
      <c r="O15" s="236">
        <v>1</v>
      </c>
      <c r="P15" s="236">
        <v>100</v>
      </c>
      <c r="Q15" s="58" t="s">
        <v>169</v>
      </c>
      <c r="R15" s="58" t="s">
        <v>170</v>
      </c>
    </row>
    <row r="16" spans="1:18" x14ac:dyDescent="0.15">
      <c r="A16" s="58">
        <v>48502</v>
      </c>
      <c r="B16" s="58">
        <v>2</v>
      </c>
      <c r="C16" s="70" t="str">
        <f t="shared" si="0"/>
        <v>48502_2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35">
        <v>15</v>
      </c>
      <c r="F16" s="236" t="s">
        <v>385</v>
      </c>
      <c r="G16" s="236">
        <v>608</v>
      </c>
      <c r="H16" s="236">
        <v>1</v>
      </c>
      <c r="I16" s="236">
        <v>1</v>
      </c>
      <c r="J16" s="236">
        <v>1</v>
      </c>
      <c r="K16" s="236">
        <v>0</v>
      </c>
      <c r="L16" s="236">
        <v>0</v>
      </c>
      <c r="M16" s="236">
        <v>0</v>
      </c>
      <c r="N16" s="236">
        <v>0</v>
      </c>
      <c r="O16" s="236">
        <v>1</v>
      </c>
      <c r="P16" s="236">
        <v>100</v>
      </c>
      <c r="Q16" s="58" t="s">
        <v>169</v>
      </c>
      <c r="R16" s="58" t="s">
        <v>170</v>
      </c>
    </row>
    <row r="17" spans="1:18" x14ac:dyDescent="0.15">
      <c r="A17" s="58">
        <v>48502</v>
      </c>
      <c r="B17" s="58">
        <v>2</v>
      </c>
      <c r="C17" s="70" t="str">
        <f t="shared" si="0"/>
        <v>48502_2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35">
        <v>16</v>
      </c>
      <c r="F17" s="236" t="s">
        <v>385</v>
      </c>
      <c r="G17" s="236">
        <v>609</v>
      </c>
      <c r="H17" s="236">
        <v>1</v>
      </c>
      <c r="I17" s="236">
        <v>1</v>
      </c>
      <c r="J17" s="236">
        <v>1</v>
      </c>
      <c r="K17" s="236">
        <v>0</v>
      </c>
      <c r="L17" s="236">
        <v>0</v>
      </c>
      <c r="M17" s="236">
        <v>0</v>
      </c>
      <c r="N17" s="236">
        <v>0</v>
      </c>
      <c r="O17" s="236">
        <v>1</v>
      </c>
      <c r="P17" s="236">
        <v>100</v>
      </c>
      <c r="Q17" s="58" t="s">
        <v>169</v>
      </c>
      <c r="R17" s="58" t="s">
        <v>170</v>
      </c>
    </row>
    <row r="18" spans="1:18" x14ac:dyDescent="0.15">
      <c r="A18" s="58">
        <v>48502</v>
      </c>
      <c r="B18" s="58">
        <v>2</v>
      </c>
      <c r="C18" s="70" t="str">
        <f t="shared" si="0"/>
        <v>48502_2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35">
        <v>17</v>
      </c>
      <c r="F18" s="236" t="s">
        <v>385</v>
      </c>
      <c r="G18" s="236">
        <v>125</v>
      </c>
      <c r="H18" s="236">
        <v>1</v>
      </c>
      <c r="I18" s="236">
        <v>1</v>
      </c>
      <c r="J18" s="236">
        <v>1</v>
      </c>
      <c r="K18" s="236">
        <v>0</v>
      </c>
      <c r="L18" s="236">
        <v>0</v>
      </c>
      <c r="M18" s="236">
        <v>0</v>
      </c>
      <c r="N18" s="236">
        <v>0</v>
      </c>
      <c r="O18" s="236">
        <v>1</v>
      </c>
      <c r="P18" s="236">
        <v>30</v>
      </c>
      <c r="Q18" s="58" t="s">
        <v>169</v>
      </c>
      <c r="R18" s="58" t="s">
        <v>170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32" sqref="E3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126</v>
      </c>
      <c r="K1" s="77" t="s">
        <v>186</v>
      </c>
      <c r="L1" s="91" t="s">
        <v>185</v>
      </c>
      <c r="M1" s="79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6.33203125" customWidth="1"/>
    <col min="13" max="13" width="42.6640625" customWidth="1"/>
  </cols>
  <sheetData>
    <row r="1" spans="1:14" x14ac:dyDescent="0.15">
      <c r="A1" s="75" t="s">
        <v>188</v>
      </c>
      <c r="B1" s="72" t="s">
        <v>150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126</v>
      </c>
      <c r="L1" s="77" t="s">
        <v>186</v>
      </c>
      <c r="M1" s="91" t="s">
        <v>185</v>
      </c>
      <c r="N1" s="79" t="s">
        <v>196</v>
      </c>
    </row>
    <row r="2" spans="1:14" ht="42" x14ac:dyDescent="0.15">
      <c r="A2" s="80" t="s">
        <v>197</v>
      </c>
      <c r="B2" s="81">
        <f>floors!$C$2</f>
        <v>48502</v>
      </c>
      <c r="C2" s="82" t="str">
        <f ca="1">VLOOKUP($B2,OFFSET([2]quests!$A$1,0,0,COUNTA([2]quests!$A:$A),MATCH(C$1,[2]quests!$1:$1,0)-MATCH($B$1,[2]quests!$1:$1,0)+1),MATCH(C$1,[2]quests!$1:$1,0)-MATCH($B$1,[2]quests!$1:$1,0)+1,FALSE)</f>
        <v>ヘルシング襲来！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グローバル版降臨2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【超絶級】ヘルシング襲来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グローバル版降臨2</v>
      </c>
      <c r="H2" s="84">
        <v>1</v>
      </c>
      <c r="I2" s="89">
        <f>ROW()-1</f>
        <v>1</v>
      </c>
      <c r="J2" s="85" t="str">
        <f>B2&amp;TEXT(I2,"00")</f>
        <v>4850201</v>
      </c>
      <c r="K2" s="83" t="s">
        <v>198</v>
      </c>
      <c r="L2" s="86" t="s">
        <v>252</v>
      </c>
      <c r="M2" s="178" t="s">
        <v>383</v>
      </c>
      <c r="N2" s="57" t="s">
        <v>199</v>
      </c>
    </row>
    <row r="3" spans="1:14" ht="42" x14ac:dyDescent="0.15">
      <c r="A3" s="80" t="s">
        <v>197</v>
      </c>
      <c r="B3" s="81">
        <f>floors!$C$2</f>
        <v>48502</v>
      </c>
      <c r="C3" s="82" t="str">
        <f ca="1">VLOOKUP($B3,OFFSET([2]quests!$A$1,0,0,COUNTA([2]quests!$A:$A),MATCH(C$1,[2]quests!$1:$1,0)-MATCH($B$1,[2]quests!$1:$1,0)+1),MATCH(C$1,[2]quests!$1:$1,0)-MATCH($B$1,[2]quests!$1:$1,0)+1,FALSE)</f>
        <v>ヘルシング襲来！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グローバル版降臨2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【超絶級】ヘルシング襲来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グローバル版降臨2</v>
      </c>
      <c r="H3" s="84">
        <v>2</v>
      </c>
      <c r="I3" s="89">
        <f t="shared" ref="I3:I17" si="0">ROW()-1</f>
        <v>2</v>
      </c>
      <c r="J3" s="85" t="str">
        <f t="shared" ref="J3:J9" si="1">B3&amp;TEXT(I3,"00")</f>
        <v>4850202</v>
      </c>
      <c r="K3" s="83" t="s">
        <v>127</v>
      </c>
      <c r="L3" s="86" t="s">
        <v>252</v>
      </c>
      <c r="M3" s="178" t="s">
        <v>348</v>
      </c>
      <c r="N3" s="57" t="s">
        <v>199</v>
      </c>
    </row>
    <row r="4" spans="1:14" ht="28" x14ac:dyDescent="0.15">
      <c r="A4" s="80" t="s">
        <v>197</v>
      </c>
      <c r="B4" s="81">
        <f>floors!$C$2</f>
        <v>48502</v>
      </c>
      <c r="C4" s="82" t="str">
        <f ca="1">VLOOKUP($B4,OFFSET([2]quests!$A$1,0,0,COUNTA([2]quests!$A:$A),MATCH(C$1,[2]quests!$1:$1,0)-MATCH($B$1,[2]quests!$1:$1,0)+1),MATCH(C$1,[2]quests!$1:$1,0)-MATCH($B$1,[2]quests!$1:$1,0)+1,FALSE)</f>
        <v>ヘルシング襲来！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グローバル版降臨2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【超絶級】ヘルシング襲来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グローバル版降臨2</v>
      </c>
      <c r="H4" s="84">
        <v>3</v>
      </c>
      <c r="I4" s="89">
        <f t="shared" si="0"/>
        <v>3</v>
      </c>
      <c r="J4" s="85" t="str">
        <f t="shared" si="1"/>
        <v>4850203</v>
      </c>
      <c r="K4" s="83" t="s">
        <v>127</v>
      </c>
      <c r="L4" s="86" t="s">
        <v>252</v>
      </c>
      <c r="M4" s="178" t="s">
        <v>349</v>
      </c>
      <c r="N4" s="57" t="s">
        <v>199</v>
      </c>
    </row>
    <row r="5" spans="1:14" ht="42" x14ac:dyDescent="0.15">
      <c r="A5" s="80" t="s">
        <v>197</v>
      </c>
      <c r="B5" s="81">
        <f>floors!$C$2</f>
        <v>48502</v>
      </c>
      <c r="C5" s="82" t="str">
        <f ca="1">VLOOKUP($B5,OFFSET([2]quests!$A$1,0,0,COUNTA([2]quests!$A:$A),MATCH(C$1,[2]quests!$1:$1,0)-MATCH($B$1,[2]quests!$1:$1,0)+1),MATCH(C$1,[2]quests!$1:$1,0)-MATCH($B$1,[2]quests!$1:$1,0)+1,FALSE)</f>
        <v>ヘルシング襲来！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グローバル版降臨2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【超絶級】ヘルシング襲来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グローバル版降臨2</v>
      </c>
      <c r="H5" s="84">
        <v>4</v>
      </c>
      <c r="I5" s="89">
        <f t="shared" si="0"/>
        <v>4</v>
      </c>
      <c r="J5" s="85" t="str">
        <f t="shared" si="1"/>
        <v>4850204</v>
      </c>
      <c r="K5" s="83" t="s">
        <v>127</v>
      </c>
      <c r="L5" s="86" t="s">
        <v>252</v>
      </c>
      <c r="M5" s="178" t="s">
        <v>350</v>
      </c>
      <c r="N5" s="57" t="s">
        <v>199</v>
      </c>
    </row>
    <row r="6" spans="1:14" ht="42" x14ac:dyDescent="0.15">
      <c r="A6" s="80" t="s">
        <v>197</v>
      </c>
      <c r="B6" s="81">
        <f>floors!$C$2</f>
        <v>48502</v>
      </c>
      <c r="C6" s="82" t="str">
        <f ca="1">VLOOKUP($B6,OFFSET([2]quests!$A$1,0,0,COUNTA([2]quests!$A:$A),MATCH(C$1,[2]quests!$1:$1,0)-MATCH($B$1,[2]quests!$1:$1,0)+1),MATCH(C$1,[2]quests!$1:$1,0)-MATCH($B$1,[2]quests!$1:$1,0)+1,FALSE)</f>
        <v>ヘルシング襲来！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グローバル版降臨2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【超絶級】ヘルシング襲来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グローバル版降臨2</v>
      </c>
      <c r="H6" s="84">
        <v>4</v>
      </c>
      <c r="I6" s="89">
        <f t="shared" si="0"/>
        <v>5</v>
      </c>
      <c r="J6" s="85" t="str">
        <f t="shared" si="1"/>
        <v>4850205</v>
      </c>
      <c r="K6" s="83" t="s">
        <v>127</v>
      </c>
      <c r="L6" s="86" t="s">
        <v>252</v>
      </c>
      <c r="M6" s="178" t="s">
        <v>351</v>
      </c>
      <c r="N6" s="57" t="s">
        <v>199</v>
      </c>
    </row>
    <row r="7" spans="1:14" ht="42" x14ac:dyDescent="0.15">
      <c r="A7" s="80" t="s">
        <v>200</v>
      </c>
      <c r="B7" s="81">
        <f>floors!$C$2</f>
        <v>48502</v>
      </c>
      <c r="C7" s="82" t="str">
        <f ca="1">VLOOKUP($B7,OFFSET([2]quests!$A$1,0,0,COUNTA([2]quests!$A:$A),MATCH(C$1,[2]quests!$1:$1,0)-MATCH($B$1,[2]quests!$1:$1,0)+1),MATCH(C$1,[2]quests!$1:$1,0)-MATCH($B$1,[2]quests!$1:$1,0)+1,FALSE)</f>
        <v>ヘルシング襲来！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グローバル版降臨2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【超絶級】ヘルシング襲来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グローバル版降臨2</v>
      </c>
      <c r="H7" s="84">
        <v>0</v>
      </c>
      <c r="I7" s="89">
        <f t="shared" si="0"/>
        <v>6</v>
      </c>
      <c r="J7" s="85" t="str">
        <f t="shared" si="1"/>
        <v>4850206</v>
      </c>
      <c r="K7" s="83" t="s">
        <v>127</v>
      </c>
      <c r="L7" s="86" t="s">
        <v>353</v>
      </c>
      <c r="M7" s="178" t="s">
        <v>352</v>
      </c>
      <c r="N7" s="57" t="s">
        <v>199</v>
      </c>
    </row>
    <row r="8" spans="1:14" ht="42" x14ac:dyDescent="0.15">
      <c r="A8" s="80" t="s">
        <v>200</v>
      </c>
      <c r="B8" s="81">
        <f>floors!$C$2</f>
        <v>48502</v>
      </c>
      <c r="C8" s="82" t="str">
        <f ca="1">VLOOKUP($B8,OFFSET([2]quests!$A$1,0,0,COUNTA([2]quests!$A:$A),MATCH(C$1,[2]quests!$1:$1,0)-MATCH($B$1,[2]quests!$1:$1,0)+1),MATCH(C$1,[2]quests!$1:$1,0)-MATCH($B$1,[2]quests!$1:$1,0)+1,FALSE)</f>
        <v>ヘルシング襲来！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グローバル版降臨2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【超絶級】ヘルシング襲来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グローバル版降臨2</v>
      </c>
      <c r="H8" s="84">
        <v>0</v>
      </c>
      <c r="I8" s="89">
        <f t="shared" si="0"/>
        <v>7</v>
      </c>
      <c r="J8" s="85" t="str">
        <f t="shared" si="1"/>
        <v>4850207</v>
      </c>
      <c r="K8" s="83" t="s">
        <v>127</v>
      </c>
      <c r="L8" s="86" t="s">
        <v>354</v>
      </c>
      <c r="M8" s="178" t="s">
        <v>355</v>
      </c>
      <c r="N8" s="57" t="s">
        <v>199</v>
      </c>
    </row>
    <row r="9" spans="1:14" ht="43" thickBot="1" x14ac:dyDescent="0.2">
      <c r="A9" s="186" t="s">
        <v>200</v>
      </c>
      <c r="B9" s="187">
        <f>floors!$C$2</f>
        <v>48502</v>
      </c>
      <c r="C9" s="188" t="str">
        <f ca="1">VLOOKUP($B9,OFFSET([2]quests!$A$1,0,0,COUNTA([2]quests!$A:$A),MATCH(C$1,[2]quests!$1:$1,0)-MATCH($B$1,[2]quests!$1:$1,0)+1),MATCH(C$1,[2]quests!$1:$1,0)-MATCH($B$1,[2]quests!$1:$1,0)+1,FALSE)</f>
        <v>ヘルシング襲来！</v>
      </c>
      <c r="D9" s="188" t="str">
        <f ca="1">VLOOKUP($B9,OFFSET([2]quests!$A$1,0,0,COUNTA([2]quests!$A:$A),MATCH(D$1,[2]quests!$1:$1,0)-MATCH($B$1,[2]quests!$1:$1,0)+1),MATCH(D$1,[2]quests!$1:$1,0)-MATCH($B$1,[2]quests!$1:$1,0)+1,FALSE)</f>
        <v>グローバル版降臨2</v>
      </c>
      <c r="E9" s="189">
        <v>1</v>
      </c>
      <c r="F9" s="188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【超絶級】ヘルシング襲来</v>
      </c>
      <c r="G9" s="188" t="str">
        <f ca="1">VLOOKUP($B9&amp;"_"&amp;$E9,OFFSET([2]stages!$A$1,0,0,COUNTA([2]stages!$A:$A),MATCH(G$1,[2]stages!$2:$2,0)-MATCH("temp_stage",[2]stages!$2:$2,0)+1),MATCH(G$1,[2]stages!$2:$2,0)-MATCH("temp_stage",[2]stages!$2:$2,0)+1,FALSE)</f>
        <v>グローバル版降臨2</v>
      </c>
      <c r="H9" s="190">
        <v>0</v>
      </c>
      <c r="I9" s="191">
        <f t="shared" si="0"/>
        <v>8</v>
      </c>
      <c r="J9" s="192" t="str">
        <f t="shared" si="1"/>
        <v>4850208</v>
      </c>
      <c r="K9" s="189" t="s">
        <v>127</v>
      </c>
      <c r="L9" s="193" t="s">
        <v>357</v>
      </c>
      <c r="M9" s="194" t="s">
        <v>356</v>
      </c>
      <c r="N9" s="195" t="s">
        <v>199</v>
      </c>
    </row>
    <row r="10" spans="1:14" ht="43" thickTop="1" x14ac:dyDescent="0.15">
      <c r="A10" s="179" t="s">
        <v>197</v>
      </c>
      <c r="B10" s="180">
        <f>floors!$C$2</f>
        <v>48502</v>
      </c>
      <c r="C10" s="82" t="str">
        <f ca="1">VLOOKUP($B10,OFFSET([2]quests!$A$1,0,0,COUNTA([2]quests!$A:$A),MATCH(C$1,[2]quests!$1:$1,0)-MATCH($B$1,[2]quests!$1:$1,0)+1),MATCH(C$1,[2]quests!$1:$1,0)-MATCH($B$1,[2]quests!$1:$1,0)+1,FALSE)</f>
        <v>ヘルシング襲来！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グローバル版降臨2</v>
      </c>
      <c r="E10" s="181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グローバル版降臨2</v>
      </c>
      <c r="H10" s="84">
        <v>1</v>
      </c>
      <c r="I10" s="182">
        <f>ROW()-1</f>
        <v>9</v>
      </c>
      <c r="J10" s="183" t="str">
        <f>B10&amp;TEXT(I10,"00")</f>
        <v>4850209</v>
      </c>
      <c r="K10" s="181" t="s">
        <v>127</v>
      </c>
      <c r="L10" s="184" t="s">
        <v>252</v>
      </c>
      <c r="M10" s="178" t="s">
        <v>383</v>
      </c>
      <c r="N10" s="185" t="s">
        <v>199</v>
      </c>
    </row>
    <row r="11" spans="1:14" ht="42" x14ac:dyDescent="0.15">
      <c r="A11" s="80" t="s">
        <v>197</v>
      </c>
      <c r="B11" s="81">
        <f>floors!$C$2</f>
        <v>48502</v>
      </c>
      <c r="C11" s="82" t="str">
        <f ca="1">VLOOKUP($B11,OFFSET([2]quests!$A$1,0,0,COUNTA([2]quests!$A:$A),MATCH(C$1,[2]quests!$1:$1,0)-MATCH($B$1,[2]quests!$1:$1,0)+1),MATCH(C$1,[2]quests!$1:$1,0)-MATCH($B$1,[2]quests!$1:$1,0)+1,FALSE)</f>
        <v>ヘルシング襲来！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グローバル版降臨2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グローバル版降臨2</v>
      </c>
      <c r="H11" s="84">
        <v>2</v>
      </c>
      <c r="I11" s="89">
        <f t="shared" si="0"/>
        <v>10</v>
      </c>
      <c r="J11" s="85" t="str">
        <f t="shared" ref="J11:J17" si="2">B11&amp;TEXT(I11,"00")</f>
        <v>4850210</v>
      </c>
      <c r="K11" s="83" t="s">
        <v>127</v>
      </c>
      <c r="L11" s="86" t="s">
        <v>252</v>
      </c>
      <c r="M11" s="178" t="s">
        <v>348</v>
      </c>
      <c r="N11" s="57" t="s">
        <v>199</v>
      </c>
    </row>
    <row r="12" spans="1:14" ht="28" x14ac:dyDescent="0.15">
      <c r="A12" s="80" t="s">
        <v>197</v>
      </c>
      <c r="B12" s="81">
        <f>floors!$C$2</f>
        <v>48502</v>
      </c>
      <c r="C12" s="82" t="str">
        <f ca="1">VLOOKUP($B12,OFFSET([2]quests!$A$1,0,0,COUNTA([2]quests!$A:$A),MATCH(C$1,[2]quests!$1:$1,0)-MATCH($B$1,[2]quests!$1:$1,0)+1),MATCH(C$1,[2]quests!$1:$1,0)-MATCH($B$1,[2]quests!$1:$1,0)+1,FALSE)</f>
        <v>ヘルシング襲来！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グローバル版降臨2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グローバル版降臨2</v>
      </c>
      <c r="H12" s="84">
        <v>3</v>
      </c>
      <c r="I12" s="89">
        <f t="shared" si="0"/>
        <v>11</v>
      </c>
      <c r="J12" s="85" t="str">
        <f t="shared" si="2"/>
        <v>4850211</v>
      </c>
      <c r="K12" s="83" t="s">
        <v>127</v>
      </c>
      <c r="L12" s="86" t="s">
        <v>252</v>
      </c>
      <c r="M12" s="178" t="s">
        <v>349</v>
      </c>
      <c r="N12" s="57" t="s">
        <v>199</v>
      </c>
    </row>
    <row r="13" spans="1:14" ht="42" x14ac:dyDescent="0.15">
      <c r="A13" s="80" t="s">
        <v>197</v>
      </c>
      <c r="B13" s="81">
        <f>floors!$C$2</f>
        <v>48502</v>
      </c>
      <c r="C13" s="82" t="str">
        <f ca="1">VLOOKUP($B13,OFFSET([2]quests!$A$1,0,0,COUNTA([2]quests!$A:$A),MATCH(C$1,[2]quests!$1:$1,0)-MATCH($B$1,[2]quests!$1:$1,0)+1),MATCH(C$1,[2]quests!$1:$1,0)-MATCH($B$1,[2]quests!$1:$1,0)+1,FALSE)</f>
        <v>ヘルシング襲来！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グローバル版降臨2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グローバル版降臨2</v>
      </c>
      <c r="H13" s="84">
        <v>4</v>
      </c>
      <c r="I13" s="89">
        <f t="shared" si="0"/>
        <v>12</v>
      </c>
      <c r="J13" s="85" t="str">
        <f t="shared" si="2"/>
        <v>4850212</v>
      </c>
      <c r="K13" s="83" t="s">
        <v>127</v>
      </c>
      <c r="L13" s="86" t="s">
        <v>252</v>
      </c>
      <c r="M13" s="178" t="s">
        <v>350</v>
      </c>
      <c r="N13" s="57" t="s">
        <v>199</v>
      </c>
    </row>
    <row r="14" spans="1:14" ht="42" x14ac:dyDescent="0.15">
      <c r="A14" s="80" t="s">
        <v>197</v>
      </c>
      <c r="B14" s="81">
        <f>floors!$C$2</f>
        <v>48502</v>
      </c>
      <c r="C14" s="82" t="str">
        <f ca="1">VLOOKUP($B14,OFFSET([2]quests!$A$1,0,0,COUNTA([2]quests!$A:$A),MATCH(C$1,[2]quests!$1:$1,0)-MATCH($B$1,[2]quests!$1:$1,0)+1),MATCH(C$1,[2]quests!$1:$1,0)-MATCH($B$1,[2]quests!$1:$1,0)+1,FALSE)</f>
        <v>ヘルシング襲来！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グローバル版降臨2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グローバル版降臨2</v>
      </c>
      <c r="H14" s="84">
        <v>4</v>
      </c>
      <c r="I14" s="89">
        <f t="shared" si="0"/>
        <v>13</v>
      </c>
      <c r="J14" s="85" t="str">
        <f t="shared" si="2"/>
        <v>4850213</v>
      </c>
      <c r="K14" s="83" t="s">
        <v>127</v>
      </c>
      <c r="L14" s="86" t="s">
        <v>252</v>
      </c>
      <c r="M14" s="178" t="s">
        <v>351</v>
      </c>
      <c r="N14" s="57" t="s">
        <v>199</v>
      </c>
    </row>
    <row r="15" spans="1:14" ht="42" x14ac:dyDescent="0.15">
      <c r="A15" s="80" t="s">
        <v>200</v>
      </c>
      <c r="B15" s="81">
        <f>floors!$C$2</f>
        <v>48502</v>
      </c>
      <c r="C15" s="82" t="str">
        <f ca="1">VLOOKUP($B15,OFFSET([2]quests!$A$1,0,0,COUNTA([2]quests!$A:$A),MATCH(C$1,[2]quests!$1:$1,0)-MATCH($B$1,[2]quests!$1:$1,0)+1),MATCH(C$1,[2]quests!$1:$1,0)-MATCH($B$1,[2]quests!$1:$1,0)+1,FALSE)</f>
        <v>ヘルシング襲来！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グローバル版降臨2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グローバル版降臨2</v>
      </c>
      <c r="H15" s="84">
        <v>0</v>
      </c>
      <c r="I15" s="89">
        <f t="shared" si="0"/>
        <v>14</v>
      </c>
      <c r="J15" s="85" t="str">
        <f t="shared" si="2"/>
        <v>4850214</v>
      </c>
      <c r="K15" s="83" t="s">
        <v>127</v>
      </c>
      <c r="L15" s="86" t="s">
        <v>353</v>
      </c>
      <c r="M15" s="178" t="s">
        <v>352</v>
      </c>
      <c r="N15" s="57" t="s">
        <v>199</v>
      </c>
    </row>
    <row r="16" spans="1:14" ht="42" x14ac:dyDescent="0.15">
      <c r="A16" s="80" t="s">
        <v>200</v>
      </c>
      <c r="B16" s="81">
        <f>floors!$C$2</f>
        <v>48502</v>
      </c>
      <c r="C16" s="82" t="str">
        <f ca="1">VLOOKUP($B16,OFFSET([2]quests!$A$1,0,0,COUNTA([2]quests!$A:$A),MATCH(C$1,[2]quests!$1:$1,0)-MATCH($B$1,[2]quests!$1:$1,0)+1),MATCH(C$1,[2]quests!$1:$1,0)-MATCH($B$1,[2]quests!$1:$1,0)+1,FALSE)</f>
        <v>ヘルシング襲来！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グローバル版降臨2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グローバル版降臨2</v>
      </c>
      <c r="H16" s="84">
        <v>0</v>
      </c>
      <c r="I16" s="89">
        <f t="shared" si="0"/>
        <v>15</v>
      </c>
      <c r="J16" s="85" t="str">
        <f t="shared" si="2"/>
        <v>4850215</v>
      </c>
      <c r="K16" s="83" t="s">
        <v>127</v>
      </c>
      <c r="L16" s="86" t="s">
        <v>354</v>
      </c>
      <c r="M16" s="178" t="s">
        <v>355</v>
      </c>
      <c r="N16" s="57" t="s">
        <v>199</v>
      </c>
    </row>
    <row r="17" spans="1:14" ht="42" x14ac:dyDescent="0.15">
      <c r="A17" s="80" t="s">
        <v>200</v>
      </c>
      <c r="B17" s="81">
        <f>floors!$C$2</f>
        <v>48502</v>
      </c>
      <c r="C17" s="82" t="str">
        <f ca="1">VLOOKUP($B17,OFFSET([2]quests!$A$1,0,0,COUNTA([2]quests!$A:$A),MATCH(C$1,[2]quests!$1:$1,0)-MATCH($B$1,[2]quests!$1:$1,0)+1),MATCH(C$1,[2]quests!$1:$1,0)-MATCH($B$1,[2]quests!$1:$1,0)+1,FALSE)</f>
        <v>ヘルシング襲来！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グローバル版降臨2</v>
      </c>
      <c r="E17" s="83">
        <v>2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グローバル版降臨2</v>
      </c>
      <c r="H17" s="84">
        <v>0</v>
      </c>
      <c r="I17" s="89">
        <f t="shared" si="0"/>
        <v>16</v>
      </c>
      <c r="J17" s="85" t="str">
        <f t="shared" si="2"/>
        <v>4850216</v>
      </c>
      <c r="K17" s="83" t="s">
        <v>127</v>
      </c>
      <c r="L17" s="86" t="s">
        <v>357</v>
      </c>
      <c r="M17" s="178" t="s">
        <v>356</v>
      </c>
      <c r="N17" s="57" t="s">
        <v>199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pane="bottomLeft" activeCell="N8" sqref="N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6" t="s">
        <v>214</v>
      </c>
      <c r="D1" s="76" t="s">
        <v>33</v>
      </c>
      <c r="E1" s="94" t="s">
        <v>215</v>
      </c>
      <c r="F1" s="76" t="s">
        <v>216</v>
      </c>
      <c r="G1" s="76" t="s">
        <v>33</v>
      </c>
      <c r="H1" s="94" t="s">
        <v>217</v>
      </c>
      <c r="I1" s="94" t="s">
        <v>218</v>
      </c>
      <c r="J1" s="94" t="s">
        <v>219</v>
      </c>
      <c r="K1" s="72" t="s">
        <v>220</v>
      </c>
      <c r="L1" s="72" t="s">
        <v>221</v>
      </c>
      <c r="M1" s="72" t="s">
        <v>156</v>
      </c>
      <c r="N1" s="76" t="s">
        <v>16</v>
      </c>
      <c r="O1" s="72" t="s">
        <v>222</v>
      </c>
      <c r="P1" s="72" t="s">
        <v>57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  <row r="2" spans="1:24" x14ac:dyDescent="0.15">
      <c r="A2" s="95" t="str">
        <f>B2&amp;"_"&amp;E2&amp;"_"&amp;H2&amp;"_"&amp;I2&amp;"_"&amp;J2</f>
        <v>48502_2_everyone_no_continue_1</v>
      </c>
      <c r="B2" s="81">
        <v>48502</v>
      </c>
      <c r="C2" s="82" t="str">
        <f ca="1">VLOOKUP($B2,OFFSET([2]quests!$A$1,0,0,COUNTA([2]quests!$A:$A),MATCH(C$1,[2]quests!$1:$1,0)-MATCH($B$1,[2]quests!$1:$1,0)+1),MATCH(C$1,[2]quests!$1:$1,0)-MATCH($B$1,[2]quests!$1:$1,0)+1,FALSE)</f>
        <v>ヘルシング襲来！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グローバル版降臨2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グローバル版降臨2</v>
      </c>
      <c r="H2" s="84" t="s">
        <v>226</v>
      </c>
      <c r="I2" s="239" t="s">
        <v>386</v>
      </c>
      <c r="J2" s="83">
        <v>1</v>
      </c>
      <c r="K2" s="83">
        <v>1000</v>
      </c>
      <c r="L2" s="83" t="s">
        <v>387</v>
      </c>
      <c r="M2" s="240">
        <v>5007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ヘルシング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227</v>
      </c>
      <c r="X2" s="98" t="s">
        <v>228</v>
      </c>
    </row>
    <row r="3" spans="1:24" x14ac:dyDescent="0.15">
      <c r="A3" s="95" t="str">
        <f>B3&amp;"_"&amp;E3&amp;"_"&amp;H3&amp;"_"&amp;I3&amp;"_"&amp;J3</f>
        <v>48502_2_everyone_full_member_2</v>
      </c>
      <c r="B3" s="81">
        <v>48502</v>
      </c>
      <c r="C3" s="82" t="str">
        <f ca="1">VLOOKUP($B3,OFFSET([2]quests!$A$1,0,0,COUNTA([2]quests!$A:$A),MATCH(C$1,[2]quests!$1:$1,0)-MATCH($B$1,[2]quests!$1:$1,0)+1),MATCH(C$1,[2]quests!$1:$1,0)-MATCH($B$1,[2]quests!$1:$1,0)+1,FALSE)</f>
        <v>ヘルシング襲来！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グローバル版降臨2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【ウィザード級】ヘルシング襲来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グローバル版降臨2</v>
      </c>
      <c r="H3" s="84" t="s">
        <v>226</v>
      </c>
      <c r="I3" s="241" t="s">
        <v>388</v>
      </c>
      <c r="J3" s="83">
        <v>2</v>
      </c>
      <c r="K3" s="83">
        <v>1000</v>
      </c>
      <c r="L3" s="83" t="s">
        <v>389</v>
      </c>
      <c r="M3" s="240">
        <v>5007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ヘルシング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227</v>
      </c>
      <c r="X3" s="98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2017-03-14T01:54:03Z</dcterms:modified>
</cp:coreProperties>
</file>