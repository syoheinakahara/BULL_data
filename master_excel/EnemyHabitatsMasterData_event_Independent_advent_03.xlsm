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460" windowWidth="38400" windowHeight="202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2" l="1"/>
  <c r="C3" i="22"/>
  <c r="D3" i="22"/>
  <c r="F3" i="22"/>
  <c r="G3" i="22"/>
  <c r="N3" i="22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J29" i="11"/>
  <c r="O63" i="9"/>
  <c r="N63" i="9"/>
  <c r="M63" i="9"/>
  <c r="L63" i="9"/>
  <c r="K63" i="9"/>
  <c r="J63" i="9"/>
  <c r="I63" i="9"/>
  <c r="H63" i="9"/>
  <c r="G63" i="9"/>
  <c r="E63" i="9"/>
  <c r="D63" i="9"/>
  <c r="A63" i="9"/>
  <c r="J28" i="11"/>
  <c r="O62" i="9"/>
  <c r="N62" i="9"/>
  <c r="M62" i="9"/>
  <c r="L62" i="9"/>
  <c r="K62" i="9"/>
  <c r="J62" i="9"/>
  <c r="I62" i="9"/>
  <c r="H62" i="9"/>
  <c r="G62" i="9"/>
  <c r="E62" i="9"/>
  <c r="D62" i="9"/>
  <c r="A62" i="9"/>
  <c r="J27" i="11"/>
  <c r="O61" i="9"/>
  <c r="N61" i="9"/>
  <c r="M61" i="9"/>
  <c r="L61" i="9"/>
  <c r="K61" i="9"/>
  <c r="J61" i="9"/>
  <c r="I61" i="9"/>
  <c r="H61" i="9"/>
  <c r="G61" i="9"/>
  <c r="E61" i="9"/>
  <c r="D61" i="9"/>
  <c r="A61" i="9"/>
  <c r="J26" i="11"/>
  <c r="O60" i="9"/>
  <c r="N60" i="9"/>
  <c r="M60" i="9"/>
  <c r="L60" i="9"/>
  <c r="K60" i="9"/>
  <c r="J60" i="9"/>
  <c r="I60" i="9"/>
  <c r="H60" i="9"/>
  <c r="G60" i="9"/>
  <c r="E60" i="9"/>
  <c r="D60" i="9"/>
  <c r="A60" i="9"/>
  <c r="J25" i="11"/>
  <c r="O59" i="9"/>
  <c r="N59" i="9"/>
  <c r="M59" i="9"/>
  <c r="L59" i="9"/>
  <c r="K59" i="9"/>
  <c r="J59" i="9"/>
  <c r="I59" i="9"/>
  <c r="H59" i="9"/>
  <c r="G59" i="9"/>
  <c r="E59" i="9"/>
  <c r="D59" i="9"/>
  <c r="A59" i="9"/>
  <c r="J24" i="11"/>
  <c r="O58" i="9"/>
  <c r="N58" i="9"/>
  <c r="M58" i="9"/>
  <c r="L58" i="9"/>
  <c r="K58" i="9"/>
  <c r="J58" i="9"/>
  <c r="I58" i="9"/>
  <c r="H58" i="9"/>
  <c r="G58" i="9"/>
  <c r="E58" i="9"/>
  <c r="D58" i="9"/>
  <c r="A58" i="9"/>
  <c r="J23" i="11"/>
  <c r="O57" i="9"/>
  <c r="N57" i="9"/>
  <c r="M57" i="9"/>
  <c r="L57" i="9"/>
  <c r="K57" i="9"/>
  <c r="J57" i="9"/>
  <c r="I57" i="9"/>
  <c r="H57" i="9"/>
  <c r="G57" i="9"/>
  <c r="E57" i="9"/>
  <c r="D57" i="9"/>
  <c r="A57" i="9"/>
  <c r="J22" i="11"/>
  <c r="O56" i="9"/>
  <c r="N56" i="9"/>
  <c r="M56" i="9"/>
  <c r="L56" i="9"/>
  <c r="K56" i="9"/>
  <c r="J56" i="9"/>
  <c r="I56" i="9"/>
  <c r="H56" i="9"/>
  <c r="G56" i="9"/>
  <c r="E56" i="9"/>
  <c r="D56" i="9"/>
  <c r="A56" i="9"/>
  <c r="J21" i="11"/>
  <c r="O55" i="9"/>
  <c r="N55" i="9"/>
  <c r="M55" i="9"/>
  <c r="L55" i="9"/>
  <c r="K55" i="9"/>
  <c r="J55" i="9"/>
  <c r="I55" i="9"/>
  <c r="H55" i="9"/>
  <c r="G55" i="9"/>
  <c r="E55" i="9"/>
  <c r="D55" i="9"/>
  <c r="A55" i="9"/>
  <c r="J32" i="11"/>
  <c r="O54" i="9"/>
  <c r="N54" i="9"/>
  <c r="M54" i="9"/>
  <c r="L54" i="9"/>
  <c r="K54" i="9"/>
  <c r="J54" i="9"/>
  <c r="I54" i="9"/>
  <c r="H54" i="9"/>
  <c r="G54" i="9"/>
  <c r="E54" i="9"/>
  <c r="D54" i="9"/>
  <c r="A54" i="9"/>
  <c r="J20" i="11"/>
  <c r="O53" i="9"/>
  <c r="N53" i="9"/>
  <c r="M53" i="9"/>
  <c r="L53" i="9"/>
  <c r="K53" i="9"/>
  <c r="J53" i="9"/>
  <c r="I53" i="9"/>
  <c r="H53" i="9"/>
  <c r="G53" i="9"/>
  <c r="E53" i="9"/>
  <c r="D53" i="9"/>
  <c r="A53" i="9"/>
  <c r="J19" i="11"/>
  <c r="O52" i="9"/>
  <c r="N52" i="9"/>
  <c r="M52" i="9"/>
  <c r="L52" i="9"/>
  <c r="K52" i="9"/>
  <c r="J52" i="9"/>
  <c r="I52" i="9"/>
  <c r="H52" i="9"/>
  <c r="G52" i="9"/>
  <c r="E52" i="9"/>
  <c r="D52" i="9"/>
  <c r="A52" i="9"/>
  <c r="J18" i="11"/>
  <c r="O51" i="9"/>
  <c r="N51" i="9"/>
  <c r="M51" i="9"/>
  <c r="L51" i="9"/>
  <c r="K51" i="9"/>
  <c r="J51" i="9"/>
  <c r="I51" i="9"/>
  <c r="H51" i="9"/>
  <c r="G51" i="9"/>
  <c r="E51" i="9"/>
  <c r="D51" i="9"/>
  <c r="A51" i="9"/>
  <c r="J31" i="11"/>
  <c r="O50" i="9"/>
  <c r="N50" i="9"/>
  <c r="M50" i="9"/>
  <c r="L50" i="9"/>
  <c r="K50" i="9"/>
  <c r="J50" i="9"/>
  <c r="I50" i="9"/>
  <c r="H50" i="9"/>
  <c r="G50" i="9"/>
  <c r="E50" i="9"/>
  <c r="D50" i="9"/>
  <c r="A50" i="9"/>
  <c r="J17" i="11"/>
  <c r="O49" i="9"/>
  <c r="N49" i="9"/>
  <c r="M49" i="9"/>
  <c r="L49" i="9"/>
  <c r="K49" i="9"/>
  <c r="J49" i="9"/>
  <c r="I49" i="9"/>
  <c r="H49" i="9"/>
  <c r="G49" i="9"/>
  <c r="E49" i="9"/>
  <c r="D49" i="9"/>
  <c r="A49" i="9"/>
  <c r="J16" i="11"/>
  <c r="O48" i="9"/>
  <c r="N48" i="9"/>
  <c r="M48" i="9"/>
  <c r="L48" i="9"/>
  <c r="K48" i="9"/>
  <c r="J48" i="9"/>
  <c r="I48" i="9"/>
  <c r="H48" i="9"/>
  <c r="G48" i="9"/>
  <c r="E48" i="9"/>
  <c r="D48" i="9"/>
  <c r="A48" i="9"/>
  <c r="J15" i="11"/>
  <c r="O47" i="9"/>
  <c r="N47" i="9"/>
  <c r="M47" i="9"/>
  <c r="L47" i="9"/>
  <c r="K47" i="9"/>
  <c r="J47" i="9"/>
  <c r="I47" i="9"/>
  <c r="H47" i="9"/>
  <c r="G47" i="9"/>
  <c r="E47" i="9"/>
  <c r="D47" i="9"/>
  <c r="A47" i="9"/>
  <c r="J30" i="11"/>
  <c r="O46" i="9"/>
  <c r="N46" i="9"/>
  <c r="M46" i="9"/>
  <c r="L46" i="9"/>
  <c r="K46" i="9"/>
  <c r="J46" i="9"/>
  <c r="I46" i="9"/>
  <c r="H46" i="9"/>
  <c r="G46" i="9"/>
  <c r="E46" i="9"/>
  <c r="D46" i="9"/>
  <c r="A46" i="9"/>
  <c r="J14" i="11"/>
  <c r="O45" i="9"/>
  <c r="N45" i="9"/>
  <c r="M45" i="9"/>
  <c r="L45" i="9"/>
  <c r="K45" i="9"/>
  <c r="J45" i="9"/>
  <c r="I45" i="9"/>
  <c r="H45" i="9"/>
  <c r="G45" i="9"/>
  <c r="E45" i="9"/>
  <c r="D45" i="9"/>
  <c r="A45" i="9"/>
  <c r="J13" i="11"/>
  <c r="O44" i="9"/>
  <c r="N44" i="9"/>
  <c r="M44" i="9"/>
  <c r="L44" i="9"/>
  <c r="K44" i="9"/>
  <c r="J44" i="9"/>
  <c r="I44" i="9"/>
  <c r="H44" i="9"/>
  <c r="G44" i="9"/>
  <c r="E44" i="9"/>
  <c r="D44" i="9"/>
  <c r="A44" i="9"/>
  <c r="J12" i="11"/>
  <c r="O43" i="9"/>
  <c r="N43" i="9"/>
  <c r="M43" i="9"/>
  <c r="L43" i="9"/>
  <c r="K43" i="9"/>
  <c r="J43" i="9"/>
  <c r="I43" i="9"/>
  <c r="H43" i="9"/>
  <c r="G43" i="9"/>
  <c r="E43" i="9"/>
  <c r="D43" i="9"/>
  <c r="A43" i="9"/>
  <c r="J11" i="11"/>
  <c r="O42" i="9"/>
  <c r="N42" i="9"/>
  <c r="M42" i="9"/>
  <c r="L42" i="9"/>
  <c r="K42" i="9"/>
  <c r="J42" i="9"/>
  <c r="I42" i="9"/>
  <c r="H42" i="9"/>
  <c r="G42" i="9"/>
  <c r="E42" i="9"/>
  <c r="D42" i="9"/>
  <c r="A42" i="9"/>
  <c r="J10" i="11"/>
  <c r="O41" i="9"/>
  <c r="N41" i="9"/>
  <c r="M41" i="9"/>
  <c r="L41" i="9"/>
  <c r="K41" i="9"/>
  <c r="J41" i="9"/>
  <c r="I41" i="9"/>
  <c r="H41" i="9"/>
  <c r="G41" i="9"/>
  <c r="E41" i="9"/>
  <c r="D41" i="9"/>
  <c r="A41" i="9"/>
  <c r="J9" i="11"/>
  <c r="O40" i="9"/>
  <c r="N40" i="9"/>
  <c r="M40" i="9"/>
  <c r="L40" i="9"/>
  <c r="K40" i="9"/>
  <c r="J40" i="9"/>
  <c r="I40" i="9"/>
  <c r="H40" i="9"/>
  <c r="G40" i="9"/>
  <c r="E40" i="9"/>
  <c r="D40" i="9"/>
  <c r="A40" i="9"/>
  <c r="J8" i="11"/>
  <c r="O39" i="9"/>
  <c r="N39" i="9"/>
  <c r="M39" i="9"/>
  <c r="L39" i="9"/>
  <c r="K39" i="9"/>
  <c r="J39" i="9"/>
  <c r="I39" i="9"/>
  <c r="H39" i="9"/>
  <c r="G39" i="9"/>
  <c r="E39" i="9"/>
  <c r="D39" i="9"/>
  <c r="A39" i="9"/>
  <c r="J7" i="11"/>
  <c r="O38" i="9"/>
  <c r="N38" i="9"/>
  <c r="M38" i="9"/>
  <c r="L38" i="9"/>
  <c r="K38" i="9"/>
  <c r="J38" i="9"/>
  <c r="I38" i="9"/>
  <c r="H38" i="9"/>
  <c r="G38" i="9"/>
  <c r="E38" i="9"/>
  <c r="D38" i="9"/>
  <c r="A38" i="9"/>
  <c r="J6" i="11"/>
  <c r="O37" i="9"/>
  <c r="N37" i="9"/>
  <c r="M37" i="9"/>
  <c r="L37" i="9"/>
  <c r="K37" i="9"/>
  <c r="J37" i="9"/>
  <c r="I37" i="9"/>
  <c r="H37" i="9"/>
  <c r="G37" i="9"/>
  <c r="E37" i="9"/>
  <c r="D37" i="9"/>
  <c r="A37" i="9"/>
  <c r="J5" i="11"/>
  <c r="O36" i="9"/>
  <c r="N36" i="9"/>
  <c r="M36" i="9"/>
  <c r="L36" i="9"/>
  <c r="K36" i="9"/>
  <c r="J36" i="9"/>
  <c r="I36" i="9"/>
  <c r="H36" i="9"/>
  <c r="G36" i="9"/>
  <c r="E36" i="9"/>
  <c r="D36" i="9"/>
  <c r="A36" i="9"/>
  <c r="J4" i="11"/>
  <c r="O35" i="9"/>
  <c r="N35" i="9"/>
  <c r="M35" i="9"/>
  <c r="L35" i="9"/>
  <c r="K35" i="9"/>
  <c r="J35" i="9"/>
  <c r="I35" i="9"/>
  <c r="H35" i="9"/>
  <c r="G35" i="9"/>
  <c r="E35" i="9"/>
  <c r="D35" i="9"/>
  <c r="A35" i="9"/>
  <c r="J3" i="11"/>
  <c r="O34" i="9"/>
  <c r="N34" i="9"/>
  <c r="M34" i="9"/>
  <c r="L34" i="9"/>
  <c r="K34" i="9"/>
  <c r="J34" i="9"/>
  <c r="I34" i="9"/>
  <c r="H34" i="9"/>
  <c r="G34" i="9"/>
  <c r="E34" i="9"/>
  <c r="D34" i="9"/>
  <c r="A34" i="9"/>
  <c r="J2" i="11"/>
  <c r="O33" i="9"/>
  <c r="N33" i="9"/>
  <c r="M33" i="9"/>
  <c r="L33" i="9"/>
  <c r="K33" i="9"/>
  <c r="J33" i="9"/>
  <c r="I33" i="9"/>
  <c r="H33" i="9"/>
  <c r="G33" i="9"/>
  <c r="E33" i="9"/>
  <c r="D33" i="9"/>
  <c r="A33" i="9"/>
  <c r="O23" i="9"/>
  <c r="N23" i="9"/>
  <c r="M23" i="9"/>
  <c r="L23" i="9"/>
  <c r="K23" i="9"/>
  <c r="J23" i="9"/>
  <c r="I23" i="9"/>
  <c r="H23" i="9"/>
  <c r="G23" i="9"/>
  <c r="O19" i="9"/>
  <c r="N19" i="9"/>
  <c r="M19" i="9"/>
  <c r="L19" i="9"/>
  <c r="K19" i="9"/>
  <c r="J19" i="9"/>
  <c r="I19" i="9"/>
  <c r="H19" i="9"/>
  <c r="G19" i="9"/>
  <c r="G15" i="9"/>
  <c r="H15" i="9"/>
  <c r="I15" i="9"/>
  <c r="J15" i="9"/>
  <c r="K15" i="9"/>
  <c r="L15" i="9"/>
  <c r="M15" i="9"/>
  <c r="N15" i="9"/>
  <c r="O15" i="9"/>
  <c r="D23" i="9"/>
  <c r="E23" i="9"/>
  <c r="D19" i="9"/>
  <c r="E19" i="9"/>
  <c r="D15" i="9"/>
  <c r="E15" i="9"/>
  <c r="A23" i="9"/>
  <c r="A19" i="9"/>
  <c r="A15" i="9"/>
  <c r="A16" i="9"/>
  <c r="D16" i="9"/>
  <c r="E16" i="9"/>
  <c r="G16" i="9"/>
  <c r="H16" i="9"/>
  <c r="I16" i="9"/>
  <c r="J16" i="9"/>
  <c r="K16" i="9"/>
  <c r="L16" i="9"/>
  <c r="M16" i="9"/>
  <c r="N16" i="9"/>
  <c r="O16" i="9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G18" i="10"/>
  <c r="H18" i="10"/>
  <c r="I18" i="10"/>
  <c r="J18" i="10"/>
  <c r="K18" i="10"/>
  <c r="L18" i="10"/>
  <c r="M18" i="10"/>
  <c r="M29" i="10"/>
  <c r="N29" i="10"/>
  <c r="Q29" i="10"/>
  <c r="P29" i="10"/>
  <c r="R29" i="10"/>
  <c r="O29" i="10"/>
  <c r="S29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AF3" i="1"/>
  <c r="AI3" i="1"/>
  <c r="AD4" i="1"/>
  <c r="AF4" i="1"/>
  <c r="AI4" i="1"/>
  <c r="AD5" i="1"/>
  <c r="AF5" i="1"/>
  <c r="AI5" i="1"/>
  <c r="AD6" i="1"/>
  <c r="AF6" i="1"/>
  <c r="AI6" i="1"/>
  <c r="AF7" i="1"/>
  <c r="AI7" i="1"/>
  <c r="AF8" i="1"/>
  <c r="AI8" i="1"/>
  <c r="AD9" i="1"/>
  <c r="AF9" i="1"/>
  <c r="AI9" i="1"/>
  <c r="AD10" i="1"/>
  <c r="AF10" i="1"/>
  <c r="AI10" i="1"/>
  <c r="AD11" i="1"/>
  <c r="AF11" i="1"/>
  <c r="AI11" i="1"/>
  <c r="S13" i="18"/>
  <c r="S14" i="18"/>
  <c r="S15" i="18"/>
  <c r="S16" i="18"/>
  <c r="S17" i="18"/>
  <c r="S18" i="18"/>
  <c r="S12" i="18"/>
  <c r="S3" i="18"/>
  <c r="S4" i="18"/>
  <c r="S5" i="18"/>
  <c r="S6" i="18"/>
  <c r="S7" i="18"/>
  <c r="S8" i="18"/>
  <c r="S9" i="18"/>
  <c r="S10" i="18"/>
  <c r="S11" i="18"/>
  <c r="S2" i="18"/>
  <c r="A8" i="7"/>
  <c r="D8" i="7"/>
  <c r="E8" i="7"/>
  <c r="F8" i="7"/>
  <c r="H8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I8" i="7"/>
  <c r="J8" i="7"/>
  <c r="N8" i="7"/>
  <c r="O8" i="7"/>
  <c r="P8" i="7"/>
  <c r="Q8" i="7"/>
  <c r="R8" i="7"/>
  <c r="U8" i="7"/>
  <c r="W8" i="7"/>
  <c r="Y8" i="7"/>
  <c r="A4" i="7"/>
  <c r="D4" i="7"/>
  <c r="E4" i="7"/>
  <c r="F4" i="7"/>
  <c r="H4" i="7"/>
  <c r="I4" i="7"/>
  <c r="J4" i="7"/>
  <c r="N4" i="7"/>
  <c r="O4" i="7"/>
  <c r="P4" i="7"/>
  <c r="Q4" i="7"/>
  <c r="R4" i="7"/>
  <c r="U4" i="7"/>
  <c r="W4" i="7"/>
  <c r="Y4" i="7"/>
  <c r="A18" i="18"/>
  <c r="C18" i="18"/>
  <c r="D18" i="18"/>
  <c r="A17" i="18"/>
  <c r="C17" i="18"/>
  <c r="D17" i="18"/>
  <c r="A16" i="18"/>
  <c r="C16" i="18"/>
  <c r="D16" i="18"/>
  <c r="A15" i="18"/>
  <c r="C15" i="18"/>
  <c r="D15" i="18"/>
  <c r="A14" i="18"/>
  <c r="C14" i="18"/>
  <c r="D14" i="18"/>
  <c r="A13" i="18"/>
  <c r="C13" i="18"/>
  <c r="D13" i="18"/>
  <c r="A12" i="18"/>
  <c r="C12" i="18"/>
  <c r="D12" i="18"/>
  <c r="A11" i="18"/>
  <c r="C11" i="18"/>
  <c r="D11" i="18"/>
  <c r="A10" i="18"/>
  <c r="C10" i="18"/>
  <c r="D10" i="18"/>
  <c r="A9" i="18"/>
  <c r="C9" i="18"/>
  <c r="D9" i="18"/>
  <c r="A8" i="18"/>
  <c r="C8" i="18"/>
  <c r="D8" i="18"/>
  <c r="A7" i="18"/>
  <c r="C7" i="18"/>
  <c r="D7" i="18"/>
  <c r="A6" i="18"/>
  <c r="C6" i="18"/>
  <c r="D6" i="18"/>
  <c r="A5" i="18"/>
  <c r="C5" i="18"/>
  <c r="D5" i="18"/>
  <c r="A4" i="18"/>
  <c r="C4" i="18"/>
  <c r="D4" i="18"/>
  <c r="A3" i="18"/>
  <c r="C3" i="18"/>
  <c r="D3" i="18"/>
  <c r="A2" i="18"/>
  <c r="C2" i="18"/>
  <c r="D2" i="18"/>
  <c r="T29" i="10"/>
  <c r="W29" i="10"/>
  <c r="V29" i="10"/>
  <c r="X29" i="10"/>
  <c r="U29" i="10"/>
  <c r="Y29" i="10"/>
  <c r="M28" i="10"/>
  <c r="T28" i="10"/>
  <c r="W28" i="10"/>
  <c r="V28" i="10"/>
  <c r="X28" i="10"/>
  <c r="U28" i="10"/>
  <c r="Y28" i="10"/>
  <c r="M27" i="10"/>
  <c r="T27" i="10"/>
  <c r="W27" i="10"/>
  <c r="V27" i="10"/>
  <c r="X27" i="10"/>
  <c r="U27" i="10"/>
  <c r="Y27" i="10"/>
  <c r="M26" i="10"/>
  <c r="T26" i="10"/>
  <c r="W26" i="10"/>
  <c r="V26" i="10"/>
  <c r="X26" i="10"/>
  <c r="U26" i="10"/>
  <c r="Y26" i="10"/>
  <c r="M25" i="10"/>
  <c r="T25" i="10"/>
  <c r="W25" i="10"/>
  <c r="V25" i="10"/>
  <c r="X25" i="10"/>
  <c r="U25" i="10"/>
  <c r="Y25" i="10"/>
  <c r="M24" i="10"/>
  <c r="T24" i="10"/>
  <c r="W24" i="10"/>
  <c r="V24" i="10"/>
  <c r="X24" i="10"/>
  <c r="U24" i="10"/>
  <c r="Y24" i="10"/>
  <c r="M23" i="10"/>
  <c r="T23" i="10"/>
  <c r="W23" i="10"/>
  <c r="V23" i="10"/>
  <c r="X23" i="10"/>
  <c r="U23" i="10"/>
  <c r="Y23" i="10"/>
  <c r="M22" i="10"/>
  <c r="T22" i="10"/>
  <c r="W22" i="10"/>
  <c r="V22" i="10"/>
  <c r="X22" i="10"/>
  <c r="U22" i="10"/>
  <c r="Y22" i="10"/>
  <c r="M21" i="10"/>
  <c r="T21" i="10"/>
  <c r="W21" i="10"/>
  <c r="V21" i="10"/>
  <c r="X21" i="10"/>
  <c r="U21" i="10"/>
  <c r="Y21" i="10"/>
  <c r="M20" i="10"/>
  <c r="T20" i="10"/>
  <c r="W20" i="10"/>
  <c r="V20" i="10"/>
  <c r="X20" i="10"/>
  <c r="U20" i="10"/>
  <c r="Y20" i="10"/>
  <c r="M19" i="10"/>
  <c r="T19" i="10"/>
  <c r="W19" i="10"/>
  <c r="V19" i="10"/>
  <c r="X19" i="10"/>
  <c r="U19" i="10"/>
  <c r="Y19" i="10"/>
  <c r="M17" i="10"/>
  <c r="T17" i="10"/>
  <c r="W17" i="10"/>
  <c r="V17" i="10"/>
  <c r="X17" i="10"/>
  <c r="U17" i="10"/>
  <c r="Y17" i="10"/>
  <c r="M16" i="10"/>
  <c r="T16" i="10"/>
  <c r="W16" i="10"/>
  <c r="V16" i="10"/>
  <c r="X16" i="10"/>
  <c r="U16" i="10"/>
  <c r="Y16" i="10"/>
  <c r="M15" i="10"/>
  <c r="T15" i="10"/>
  <c r="W15" i="10"/>
  <c r="V15" i="10"/>
  <c r="X15" i="10"/>
  <c r="U15" i="10"/>
  <c r="Y15" i="10"/>
  <c r="M14" i="10"/>
  <c r="T14" i="10"/>
  <c r="W14" i="10"/>
  <c r="V14" i="10"/>
  <c r="X14" i="10"/>
  <c r="U14" i="10"/>
  <c r="Y14" i="10"/>
  <c r="M13" i="10"/>
  <c r="T13" i="10"/>
  <c r="W13" i="10"/>
  <c r="V13" i="10"/>
  <c r="X13" i="10"/>
  <c r="U13" i="10"/>
  <c r="Y13" i="10"/>
  <c r="M12" i="10"/>
  <c r="T12" i="10"/>
  <c r="W12" i="10"/>
  <c r="V12" i="10"/>
  <c r="X12" i="10"/>
  <c r="U12" i="10"/>
  <c r="Y12" i="10"/>
  <c r="M11" i="10"/>
  <c r="T11" i="10"/>
  <c r="W11" i="10"/>
  <c r="V11" i="10"/>
  <c r="X11" i="10"/>
  <c r="U11" i="10"/>
  <c r="Y11" i="10"/>
  <c r="M10" i="10"/>
  <c r="T10" i="10"/>
  <c r="W10" i="10"/>
  <c r="V10" i="10"/>
  <c r="X10" i="10"/>
  <c r="U10" i="10"/>
  <c r="Y10" i="10"/>
  <c r="M9" i="10"/>
  <c r="T9" i="10"/>
  <c r="W9" i="10"/>
  <c r="V9" i="10"/>
  <c r="X9" i="10"/>
  <c r="U9" i="10"/>
  <c r="Y9" i="10"/>
  <c r="M8" i="10"/>
  <c r="T8" i="10"/>
  <c r="W8" i="10"/>
  <c r="V8" i="10"/>
  <c r="X8" i="10"/>
  <c r="U8" i="10"/>
  <c r="Y8" i="10"/>
  <c r="M7" i="10"/>
  <c r="T7" i="10"/>
  <c r="W7" i="10"/>
  <c r="V7" i="10"/>
  <c r="X7" i="10"/>
  <c r="U7" i="10"/>
  <c r="Y7" i="10"/>
  <c r="M6" i="10"/>
  <c r="T6" i="10"/>
  <c r="W6" i="10"/>
  <c r="V6" i="10"/>
  <c r="X6" i="10"/>
  <c r="U6" i="10"/>
  <c r="Y6" i="10"/>
  <c r="M5" i="10"/>
  <c r="T5" i="10"/>
  <c r="W5" i="10"/>
  <c r="V5" i="10"/>
  <c r="X5" i="10"/>
  <c r="U5" i="10"/>
  <c r="Y5" i="10"/>
  <c r="M4" i="10"/>
  <c r="T4" i="10"/>
  <c r="W4" i="10"/>
  <c r="V4" i="10"/>
  <c r="X4" i="10"/>
  <c r="U4" i="10"/>
  <c r="Y4" i="10"/>
  <c r="M3" i="10"/>
  <c r="T3" i="10"/>
  <c r="W3" i="10"/>
  <c r="V3" i="10"/>
  <c r="X3" i="10"/>
  <c r="U3" i="10"/>
  <c r="Y3" i="10"/>
  <c r="M2" i="10"/>
  <c r="T2" i="10"/>
  <c r="W2" i="10"/>
  <c r="V2" i="10"/>
  <c r="X2" i="10"/>
  <c r="U2" i="10"/>
  <c r="Y2" i="10"/>
  <c r="N28" i="10"/>
  <c r="Q28" i="10"/>
  <c r="P28" i="10"/>
  <c r="R28" i="10"/>
  <c r="O28" i="10"/>
  <c r="S28" i="10"/>
  <c r="N27" i="10"/>
  <c r="Q27" i="10"/>
  <c r="P27" i="10"/>
  <c r="R27" i="10"/>
  <c r="O27" i="10"/>
  <c r="S27" i="10"/>
  <c r="N26" i="10"/>
  <c r="Q26" i="10"/>
  <c r="P26" i="10"/>
  <c r="R26" i="10"/>
  <c r="O26" i="10"/>
  <c r="S26" i="10"/>
  <c r="N25" i="10"/>
  <c r="Q25" i="10"/>
  <c r="P25" i="10"/>
  <c r="R25" i="10"/>
  <c r="O25" i="10"/>
  <c r="S25" i="10"/>
  <c r="N24" i="10"/>
  <c r="Q24" i="10"/>
  <c r="P24" i="10"/>
  <c r="R24" i="10"/>
  <c r="O24" i="10"/>
  <c r="S24" i="10"/>
  <c r="N23" i="10"/>
  <c r="Q23" i="10"/>
  <c r="P23" i="10"/>
  <c r="R23" i="10"/>
  <c r="O23" i="10"/>
  <c r="S23" i="10"/>
  <c r="N22" i="10"/>
  <c r="Q22" i="10"/>
  <c r="P22" i="10"/>
  <c r="R22" i="10"/>
  <c r="O22" i="10"/>
  <c r="S22" i="10"/>
  <c r="N21" i="10"/>
  <c r="Q21" i="10"/>
  <c r="P21" i="10"/>
  <c r="R21" i="10"/>
  <c r="O21" i="10"/>
  <c r="S21" i="10"/>
  <c r="N20" i="10"/>
  <c r="Q20" i="10"/>
  <c r="P20" i="10"/>
  <c r="R20" i="10"/>
  <c r="O20" i="10"/>
  <c r="S20" i="10"/>
  <c r="N19" i="10"/>
  <c r="Q19" i="10"/>
  <c r="P19" i="10"/>
  <c r="R19" i="10"/>
  <c r="O19" i="10"/>
  <c r="S19" i="10"/>
  <c r="N17" i="10"/>
  <c r="Q17" i="10"/>
  <c r="P17" i="10"/>
  <c r="R17" i="10"/>
  <c r="O17" i="10"/>
  <c r="S17" i="10"/>
  <c r="N16" i="10"/>
  <c r="Q16" i="10"/>
  <c r="P16" i="10"/>
  <c r="R16" i="10"/>
  <c r="O16" i="10"/>
  <c r="S16" i="10"/>
  <c r="N15" i="10"/>
  <c r="Q15" i="10"/>
  <c r="P15" i="10"/>
  <c r="R15" i="10"/>
  <c r="O15" i="10"/>
  <c r="S15" i="10"/>
  <c r="N14" i="10"/>
  <c r="Q14" i="10"/>
  <c r="P14" i="10"/>
  <c r="R14" i="10"/>
  <c r="O14" i="10"/>
  <c r="S14" i="10"/>
  <c r="N13" i="10"/>
  <c r="Q13" i="10"/>
  <c r="P13" i="10"/>
  <c r="R13" i="10"/>
  <c r="O13" i="10"/>
  <c r="S13" i="10"/>
  <c r="N12" i="10"/>
  <c r="Q12" i="10"/>
  <c r="P12" i="10"/>
  <c r="R12" i="10"/>
  <c r="O12" i="10"/>
  <c r="S12" i="10"/>
  <c r="N11" i="10"/>
  <c r="Q11" i="10"/>
  <c r="P11" i="10"/>
  <c r="R11" i="10"/>
  <c r="O11" i="10"/>
  <c r="S11" i="10"/>
  <c r="N10" i="10"/>
  <c r="Q10" i="10"/>
  <c r="P10" i="10"/>
  <c r="R10" i="10"/>
  <c r="O10" i="10"/>
  <c r="S10" i="10"/>
  <c r="N9" i="10"/>
  <c r="Q9" i="10"/>
  <c r="P9" i="10"/>
  <c r="R9" i="10"/>
  <c r="O9" i="10"/>
  <c r="S9" i="10"/>
  <c r="N8" i="10"/>
  <c r="Q8" i="10"/>
  <c r="P8" i="10"/>
  <c r="R8" i="10"/>
  <c r="O8" i="10"/>
  <c r="S8" i="10"/>
  <c r="N7" i="10"/>
  <c r="Q7" i="10"/>
  <c r="P7" i="10"/>
  <c r="R7" i="10"/>
  <c r="O7" i="10"/>
  <c r="S7" i="10"/>
  <c r="N6" i="10"/>
  <c r="Q6" i="10"/>
  <c r="P6" i="10"/>
  <c r="R6" i="10"/>
  <c r="O6" i="10"/>
  <c r="S6" i="10"/>
  <c r="N5" i="10"/>
  <c r="Q5" i="10"/>
  <c r="P5" i="10"/>
  <c r="R5" i="10"/>
  <c r="O5" i="10"/>
  <c r="S5" i="10"/>
  <c r="N4" i="10"/>
  <c r="Q4" i="10"/>
  <c r="P4" i="10"/>
  <c r="R4" i="10"/>
  <c r="O4" i="10"/>
  <c r="S4" i="10"/>
  <c r="N3" i="10"/>
  <c r="Q3" i="10"/>
  <c r="P3" i="10"/>
  <c r="R3" i="10"/>
  <c r="O3" i="10"/>
  <c r="S3" i="10"/>
  <c r="N2" i="10"/>
  <c r="Q2" i="10"/>
  <c r="P2" i="10"/>
  <c r="R2" i="10"/>
  <c r="O2" i="10"/>
  <c r="S2" i="10"/>
  <c r="G29" i="10"/>
  <c r="J29" i="10"/>
  <c r="I29" i="10"/>
  <c r="K29" i="10"/>
  <c r="H29" i="10"/>
  <c r="L29" i="10"/>
  <c r="G28" i="10"/>
  <c r="J28" i="10"/>
  <c r="I28" i="10"/>
  <c r="K28" i="10"/>
  <c r="H28" i="10"/>
  <c r="L28" i="10"/>
  <c r="G27" i="10"/>
  <c r="J27" i="10"/>
  <c r="I27" i="10"/>
  <c r="K27" i="10"/>
  <c r="H27" i="10"/>
  <c r="L27" i="10"/>
  <c r="G26" i="10"/>
  <c r="J26" i="10"/>
  <c r="I26" i="10"/>
  <c r="K26" i="10"/>
  <c r="H26" i="10"/>
  <c r="L26" i="10"/>
  <c r="G25" i="10"/>
  <c r="J25" i="10"/>
  <c r="I25" i="10"/>
  <c r="K25" i="10"/>
  <c r="H25" i="10"/>
  <c r="L25" i="10"/>
  <c r="G24" i="10"/>
  <c r="J24" i="10"/>
  <c r="I24" i="10"/>
  <c r="K24" i="10"/>
  <c r="H24" i="10"/>
  <c r="L24" i="10"/>
  <c r="G23" i="10"/>
  <c r="J23" i="10"/>
  <c r="I23" i="10"/>
  <c r="K23" i="10"/>
  <c r="H23" i="10"/>
  <c r="L23" i="10"/>
  <c r="G22" i="10"/>
  <c r="J22" i="10"/>
  <c r="I22" i="10"/>
  <c r="K22" i="10"/>
  <c r="H22" i="10"/>
  <c r="L22" i="10"/>
  <c r="G21" i="10"/>
  <c r="J21" i="10"/>
  <c r="I21" i="10"/>
  <c r="K21" i="10"/>
  <c r="H21" i="10"/>
  <c r="L21" i="10"/>
  <c r="G20" i="10"/>
  <c r="J20" i="10"/>
  <c r="I20" i="10"/>
  <c r="K20" i="10"/>
  <c r="H20" i="10"/>
  <c r="L20" i="10"/>
  <c r="G19" i="10"/>
  <c r="J19" i="10"/>
  <c r="I19" i="10"/>
  <c r="K19" i="10"/>
  <c r="H19" i="10"/>
  <c r="L19" i="10"/>
  <c r="G17" i="10"/>
  <c r="J17" i="10"/>
  <c r="I17" i="10"/>
  <c r="K17" i="10"/>
  <c r="H17" i="10"/>
  <c r="L17" i="10"/>
  <c r="G16" i="10"/>
  <c r="J16" i="10"/>
  <c r="I16" i="10"/>
  <c r="K16" i="10"/>
  <c r="H16" i="10"/>
  <c r="L16" i="10"/>
  <c r="G15" i="10"/>
  <c r="J15" i="10"/>
  <c r="I15" i="10"/>
  <c r="K15" i="10"/>
  <c r="H15" i="10"/>
  <c r="L15" i="10"/>
  <c r="G14" i="10"/>
  <c r="J14" i="10"/>
  <c r="I14" i="10"/>
  <c r="K14" i="10"/>
  <c r="H14" i="10"/>
  <c r="L14" i="10"/>
  <c r="G13" i="10"/>
  <c r="J13" i="10"/>
  <c r="I13" i="10"/>
  <c r="K13" i="10"/>
  <c r="H13" i="10"/>
  <c r="L13" i="10"/>
  <c r="G12" i="10"/>
  <c r="J12" i="10"/>
  <c r="I12" i="10"/>
  <c r="K12" i="10"/>
  <c r="H12" i="10"/>
  <c r="L12" i="10"/>
  <c r="G11" i="10"/>
  <c r="J11" i="10"/>
  <c r="I11" i="10"/>
  <c r="K11" i="10"/>
  <c r="H11" i="10"/>
  <c r="L11" i="10"/>
  <c r="G10" i="10"/>
  <c r="J10" i="10"/>
  <c r="I10" i="10"/>
  <c r="K10" i="10"/>
  <c r="H10" i="10"/>
  <c r="L10" i="10"/>
  <c r="G9" i="10"/>
  <c r="J9" i="10"/>
  <c r="I9" i="10"/>
  <c r="K9" i="10"/>
  <c r="H9" i="10"/>
  <c r="L9" i="10"/>
  <c r="G8" i="10"/>
  <c r="J8" i="10"/>
  <c r="I8" i="10"/>
  <c r="K8" i="10"/>
  <c r="H8" i="10"/>
  <c r="L8" i="10"/>
  <c r="G7" i="10"/>
  <c r="J7" i="10"/>
  <c r="I7" i="10"/>
  <c r="K7" i="10"/>
  <c r="H7" i="10"/>
  <c r="L7" i="10"/>
  <c r="G6" i="10"/>
  <c r="J6" i="10"/>
  <c r="I6" i="10"/>
  <c r="K6" i="10"/>
  <c r="H6" i="10"/>
  <c r="L6" i="10"/>
  <c r="G5" i="10"/>
  <c r="J5" i="10"/>
  <c r="I5" i="10"/>
  <c r="K5" i="10"/>
  <c r="H5" i="10"/>
  <c r="L5" i="10"/>
  <c r="G4" i="10"/>
  <c r="J4" i="10"/>
  <c r="I4" i="10"/>
  <c r="K4" i="10"/>
  <c r="H4" i="10"/>
  <c r="L4" i="10"/>
  <c r="G3" i="10"/>
  <c r="J3" i="10"/>
  <c r="I3" i="10"/>
  <c r="K3" i="10"/>
  <c r="H3" i="10"/>
  <c r="L3" i="10"/>
  <c r="G2" i="10"/>
  <c r="J2" i="10"/>
  <c r="I2" i="10"/>
  <c r="K2" i="10"/>
  <c r="H2" i="10"/>
  <c r="L2" i="10"/>
  <c r="Y9" i="7"/>
  <c r="Y7" i="7"/>
  <c r="Y6" i="7"/>
  <c r="Y5" i="7"/>
  <c r="Y3" i="7"/>
  <c r="Y2" i="7"/>
  <c r="X11" i="1"/>
  <c r="X10" i="1"/>
  <c r="X9" i="1"/>
  <c r="X8" i="1"/>
  <c r="X7" i="1"/>
  <c r="X6" i="1"/>
  <c r="X5" i="1"/>
  <c r="X4" i="1"/>
  <c r="X3" i="1"/>
  <c r="X2" i="1"/>
  <c r="W9" i="7"/>
  <c r="U9" i="7"/>
  <c r="W7" i="7"/>
  <c r="U7" i="7"/>
  <c r="W6" i="7"/>
  <c r="U6" i="7"/>
  <c r="W5" i="7"/>
  <c r="U5" i="7"/>
  <c r="W3" i="7"/>
  <c r="U3" i="7"/>
  <c r="W2" i="7"/>
  <c r="U2" i="7"/>
  <c r="V11" i="1"/>
  <c r="T11" i="1"/>
  <c r="V10" i="1"/>
  <c r="T10" i="1"/>
  <c r="V9" i="1"/>
  <c r="T9" i="1"/>
  <c r="V8" i="1"/>
  <c r="T8" i="1"/>
  <c r="V7" i="1"/>
  <c r="T7" i="1"/>
  <c r="V6" i="1"/>
  <c r="T6" i="1"/>
  <c r="V5" i="1"/>
  <c r="T5" i="1"/>
  <c r="V4" i="1"/>
  <c r="T4" i="1"/>
  <c r="V3" i="1"/>
  <c r="T3" i="1"/>
  <c r="V2" i="1"/>
  <c r="T2" i="1"/>
  <c r="N2" i="22"/>
  <c r="P9" i="7"/>
  <c r="P7" i="7"/>
  <c r="P6" i="7"/>
  <c r="P5" i="7"/>
  <c r="P3" i="7"/>
  <c r="P2" i="7"/>
  <c r="AG11" i="1"/>
  <c r="AE11" i="1"/>
  <c r="AG10" i="1"/>
  <c r="AE10" i="1"/>
  <c r="AG9" i="1"/>
  <c r="AE9" i="1"/>
  <c r="AG8" i="1"/>
  <c r="AE8" i="1"/>
  <c r="AG7" i="1"/>
  <c r="AE7" i="1"/>
  <c r="AG6" i="1"/>
  <c r="AE6" i="1"/>
  <c r="AG5" i="1"/>
  <c r="AE5" i="1"/>
  <c r="AG4" i="1"/>
  <c r="AE4" i="1"/>
  <c r="AG3" i="1"/>
  <c r="AE3" i="1"/>
  <c r="AG2" i="1"/>
  <c r="AF2" i="1"/>
  <c r="AE2" i="1"/>
  <c r="O11" i="1"/>
  <c r="O10" i="1"/>
  <c r="O9" i="1"/>
  <c r="O8" i="1"/>
  <c r="O7" i="1"/>
  <c r="O6" i="1"/>
  <c r="O5" i="1"/>
  <c r="O4" i="1"/>
  <c r="O3" i="1"/>
  <c r="O2" i="1"/>
  <c r="R9" i="7"/>
  <c r="Q9" i="7"/>
  <c r="O9" i="7"/>
  <c r="N9" i="7"/>
  <c r="R7" i="7"/>
  <c r="Q7" i="7"/>
  <c r="O7" i="7"/>
  <c r="N7" i="7"/>
  <c r="R6" i="7"/>
  <c r="Q6" i="7"/>
  <c r="O6" i="7"/>
  <c r="N6" i="7"/>
  <c r="R5" i="7"/>
  <c r="Q5" i="7"/>
  <c r="O5" i="7"/>
  <c r="N5" i="7"/>
  <c r="R3" i="7"/>
  <c r="Q3" i="7"/>
  <c r="O3" i="7"/>
  <c r="N3" i="7"/>
  <c r="R2" i="7"/>
  <c r="Q2" i="7"/>
  <c r="O2" i="7"/>
  <c r="N2" i="7"/>
  <c r="Q11" i="1"/>
  <c r="P11" i="1"/>
  <c r="N11" i="1"/>
  <c r="M11" i="1"/>
  <c r="Q10" i="1"/>
  <c r="P10" i="1"/>
  <c r="N10" i="1"/>
  <c r="M10" i="1"/>
  <c r="Q9" i="1"/>
  <c r="P9" i="1"/>
  <c r="N9" i="1"/>
  <c r="M9" i="1"/>
  <c r="Q8" i="1"/>
  <c r="P8" i="1"/>
  <c r="N8" i="1"/>
  <c r="M8" i="1"/>
  <c r="Q7" i="1"/>
  <c r="P7" i="1"/>
  <c r="N7" i="1"/>
  <c r="M7" i="1"/>
  <c r="Q6" i="1"/>
  <c r="P6" i="1"/>
  <c r="N6" i="1"/>
  <c r="M6" i="1"/>
  <c r="Q5" i="1"/>
  <c r="P5" i="1"/>
  <c r="N5" i="1"/>
  <c r="M5" i="1"/>
  <c r="Q4" i="1"/>
  <c r="P4" i="1"/>
  <c r="N4" i="1"/>
  <c r="M4" i="1"/>
  <c r="Q3" i="1"/>
  <c r="P3" i="1"/>
  <c r="N3" i="1"/>
  <c r="M3" i="1"/>
  <c r="Q2" i="1"/>
  <c r="P2" i="1"/>
  <c r="N2" i="1"/>
  <c r="M2" i="1"/>
  <c r="G2" i="22"/>
  <c r="F2" i="22"/>
  <c r="B9" i="21"/>
  <c r="G9" i="21"/>
  <c r="F9" i="21"/>
  <c r="B8" i="21"/>
  <c r="G8" i="21"/>
  <c r="F8" i="21"/>
  <c r="B7" i="21"/>
  <c r="G7" i="21"/>
  <c r="F7" i="21"/>
  <c r="B6" i="21"/>
  <c r="G6" i="21"/>
  <c r="F6" i="21"/>
  <c r="B5" i="21"/>
  <c r="G5" i="21"/>
  <c r="F5" i="21"/>
  <c r="B4" i="21"/>
  <c r="G4" i="21"/>
  <c r="F4" i="21"/>
  <c r="B3" i="21"/>
  <c r="G3" i="21"/>
  <c r="F3" i="21"/>
  <c r="B2" i="21"/>
  <c r="G2" i="21"/>
  <c r="F2" i="21"/>
  <c r="D9" i="7"/>
  <c r="F9" i="7"/>
  <c r="D7" i="7"/>
  <c r="F7" i="7"/>
  <c r="D6" i="7"/>
  <c r="F6" i="7"/>
  <c r="D5" i="7"/>
  <c r="F5" i="7"/>
  <c r="D3" i="7"/>
  <c r="F3" i="7"/>
  <c r="D2" i="7"/>
  <c r="F2" i="7"/>
  <c r="D11" i="1"/>
  <c r="F11" i="1"/>
  <c r="D10" i="1"/>
  <c r="F10" i="1"/>
  <c r="D9" i="1"/>
  <c r="F9" i="1"/>
  <c r="D8" i="1"/>
  <c r="F8" i="1"/>
  <c r="D7" i="1"/>
  <c r="F7" i="1"/>
  <c r="D6" i="1"/>
  <c r="F6" i="1"/>
  <c r="D5" i="1"/>
  <c r="F5" i="1"/>
  <c r="D4" i="1"/>
  <c r="F4" i="1"/>
  <c r="D3" i="1"/>
  <c r="F3" i="1"/>
  <c r="D2" i="1"/>
  <c r="F2" i="1"/>
  <c r="H9" i="2"/>
  <c r="H8" i="2"/>
  <c r="H7" i="2"/>
  <c r="H6" i="2"/>
  <c r="H5" i="2"/>
  <c r="H4" i="2"/>
  <c r="H3" i="2"/>
  <c r="H2" i="2"/>
  <c r="D2" i="22"/>
  <c r="C2" i="22"/>
  <c r="D9" i="21"/>
  <c r="C9" i="21"/>
  <c r="D8" i="21"/>
  <c r="C8" i="21"/>
  <c r="D7" i="21"/>
  <c r="C7" i="21"/>
  <c r="D6" i="21"/>
  <c r="C6" i="21"/>
  <c r="D5" i="21"/>
  <c r="C5" i="21"/>
  <c r="D4" i="21"/>
  <c r="C4" i="21"/>
  <c r="D3" i="21"/>
  <c r="C3" i="21"/>
  <c r="D2" i="21"/>
  <c r="C2" i="21"/>
  <c r="E9" i="7"/>
  <c r="E7" i="7"/>
  <c r="E6" i="7"/>
  <c r="E5" i="7"/>
  <c r="E3" i="7"/>
  <c r="E2" i="7"/>
  <c r="E11" i="1"/>
  <c r="E10" i="1"/>
  <c r="E9" i="1"/>
  <c r="E8" i="1"/>
  <c r="E7" i="1"/>
  <c r="E6" i="1"/>
  <c r="E5" i="1"/>
  <c r="E4" i="1"/>
  <c r="E3" i="1"/>
  <c r="E2" i="1"/>
  <c r="E9" i="2"/>
  <c r="D9" i="2"/>
  <c r="E8" i="2"/>
  <c r="D8" i="2"/>
  <c r="E7" i="2"/>
  <c r="D7" i="2"/>
  <c r="E6" i="2"/>
  <c r="D6" i="2"/>
  <c r="E5" i="2"/>
  <c r="D5" i="2"/>
  <c r="E4" i="2"/>
  <c r="D4" i="2"/>
  <c r="E3" i="2"/>
  <c r="D3" i="2"/>
  <c r="E2" i="2"/>
  <c r="D2" i="2"/>
  <c r="H9" i="7"/>
  <c r="J9" i="7"/>
  <c r="I9" i="7"/>
  <c r="A9" i="7"/>
  <c r="H7" i="7"/>
  <c r="J7" i="7"/>
  <c r="I7" i="7"/>
  <c r="A7" i="7"/>
  <c r="H6" i="7"/>
  <c r="J6" i="7"/>
  <c r="I6" i="7"/>
  <c r="A6" i="7"/>
  <c r="A5" i="7"/>
  <c r="H5" i="7"/>
  <c r="I5" i="7"/>
  <c r="J5" i="7"/>
  <c r="H11" i="1"/>
  <c r="J11" i="1"/>
  <c r="I11" i="1"/>
  <c r="H10" i="1"/>
  <c r="J10" i="1"/>
  <c r="I10" i="1"/>
  <c r="H9" i="1"/>
  <c r="J9" i="1"/>
  <c r="I9" i="1"/>
  <c r="H8" i="1"/>
  <c r="J8" i="1"/>
  <c r="I8" i="1"/>
  <c r="H7" i="1"/>
  <c r="J7" i="1"/>
  <c r="I7" i="1"/>
  <c r="O15" i="21"/>
  <c r="B15" i="21"/>
  <c r="I15" i="21"/>
  <c r="J15" i="21"/>
  <c r="O14" i="21"/>
  <c r="B14" i="21"/>
  <c r="I14" i="21"/>
  <c r="J14" i="21"/>
  <c r="B11" i="21"/>
  <c r="I11" i="21"/>
  <c r="J11" i="21"/>
  <c r="O11" i="21"/>
  <c r="B12" i="21"/>
  <c r="I12" i="21"/>
  <c r="J12" i="21"/>
  <c r="O12" i="21"/>
  <c r="B13" i="21"/>
  <c r="I13" i="21"/>
  <c r="J13" i="21"/>
  <c r="O13" i="21"/>
  <c r="I10" i="21"/>
  <c r="B10" i="21"/>
  <c r="J10" i="21"/>
  <c r="O10" i="21"/>
  <c r="A3" i="9"/>
  <c r="A4" i="9"/>
  <c r="A5" i="9"/>
  <c r="A6" i="9"/>
  <c r="A7" i="9"/>
  <c r="A8" i="9"/>
  <c r="A9" i="9"/>
  <c r="A10" i="9"/>
  <c r="A11" i="9"/>
  <c r="A12" i="9"/>
  <c r="A13" i="9"/>
  <c r="A14" i="9"/>
  <c r="A17" i="9"/>
  <c r="A18" i="9"/>
  <c r="A20" i="9"/>
  <c r="A21" i="9"/>
  <c r="A22" i="9"/>
  <c r="A24" i="9"/>
  <c r="A25" i="9"/>
  <c r="A26" i="9"/>
  <c r="A27" i="9"/>
  <c r="A28" i="9"/>
  <c r="A29" i="9"/>
  <c r="A30" i="9"/>
  <c r="A31" i="9"/>
  <c r="A32" i="9"/>
  <c r="O4" i="21"/>
  <c r="O5" i="21"/>
  <c r="O6" i="21"/>
  <c r="O7" i="21"/>
  <c r="O8" i="21"/>
  <c r="O9" i="21"/>
  <c r="I4" i="21"/>
  <c r="J4" i="21"/>
  <c r="I5" i="21"/>
  <c r="J5" i="21"/>
  <c r="I6" i="21"/>
  <c r="J6" i="21"/>
  <c r="I7" i="21"/>
  <c r="J7" i="21"/>
  <c r="I8" i="21"/>
  <c r="J8" i="21"/>
  <c r="I9" i="21"/>
  <c r="J9" i="21"/>
  <c r="I3" i="21"/>
  <c r="O3" i="21"/>
  <c r="O2" i="21"/>
  <c r="D3" i="9"/>
  <c r="E3" i="9"/>
  <c r="G3" i="9"/>
  <c r="H3" i="9"/>
  <c r="I3" i="9"/>
  <c r="J3" i="9"/>
  <c r="K3" i="9"/>
  <c r="L3" i="9"/>
  <c r="M3" i="9"/>
  <c r="N3" i="9"/>
  <c r="O3" i="9"/>
  <c r="D4" i="9"/>
  <c r="E4" i="9"/>
  <c r="G4" i="9"/>
  <c r="H4" i="9"/>
  <c r="I4" i="9"/>
  <c r="J4" i="9"/>
  <c r="K4" i="9"/>
  <c r="L4" i="9"/>
  <c r="M4" i="9"/>
  <c r="N4" i="9"/>
  <c r="O4" i="9"/>
  <c r="D5" i="9"/>
  <c r="E5" i="9"/>
  <c r="G5" i="9"/>
  <c r="H5" i="9"/>
  <c r="I5" i="9"/>
  <c r="J5" i="9"/>
  <c r="K5" i="9"/>
  <c r="L5" i="9"/>
  <c r="M5" i="9"/>
  <c r="N5" i="9"/>
  <c r="O5" i="9"/>
  <c r="D6" i="9"/>
  <c r="E6" i="9"/>
  <c r="G6" i="9"/>
  <c r="H6" i="9"/>
  <c r="I6" i="9"/>
  <c r="J6" i="9"/>
  <c r="K6" i="9"/>
  <c r="L6" i="9"/>
  <c r="M6" i="9"/>
  <c r="N6" i="9"/>
  <c r="O6" i="9"/>
  <c r="D7" i="9"/>
  <c r="E7" i="9"/>
  <c r="G7" i="9"/>
  <c r="H7" i="9"/>
  <c r="I7" i="9"/>
  <c r="J7" i="9"/>
  <c r="K7" i="9"/>
  <c r="L7" i="9"/>
  <c r="M7" i="9"/>
  <c r="N7" i="9"/>
  <c r="O7" i="9"/>
  <c r="D8" i="9"/>
  <c r="E8" i="9"/>
  <c r="G8" i="9"/>
  <c r="H8" i="9"/>
  <c r="I8" i="9"/>
  <c r="J8" i="9"/>
  <c r="K8" i="9"/>
  <c r="L8" i="9"/>
  <c r="M8" i="9"/>
  <c r="N8" i="9"/>
  <c r="O8" i="9"/>
  <c r="D9" i="9"/>
  <c r="E9" i="9"/>
  <c r="G9" i="9"/>
  <c r="H9" i="9"/>
  <c r="I9" i="9"/>
  <c r="J9" i="9"/>
  <c r="K9" i="9"/>
  <c r="L9" i="9"/>
  <c r="M9" i="9"/>
  <c r="N9" i="9"/>
  <c r="O9" i="9"/>
  <c r="D10" i="9"/>
  <c r="E10" i="9"/>
  <c r="G10" i="9"/>
  <c r="H10" i="9"/>
  <c r="I10" i="9"/>
  <c r="J10" i="9"/>
  <c r="K10" i="9"/>
  <c r="L10" i="9"/>
  <c r="M10" i="9"/>
  <c r="N10" i="9"/>
  <c r="O10" i="9"/>
  <c r="D11" i="9"/>
  <c r="E11" i="9"/>
  <c r="G11" i="9"/>
  <c r="H11" i="9"/>
  <c r="I11" i="9"/>
  <c r="J11" i="9"/>
  <c r="K11" i="9"/>
  <c r="L11" i="9"/>
  <c r="M11" i="9"/>
  <c r="N11" i="9"/>
  <c r="O11" i="9"/>
  <c r="D12" i="9"/>
  <c r="E12" i="9"/>
  <c r="G12" i="9"/>
  <c r="H12" i="9"/>
  <c r="I12" i="9"/>
  <c r="J12" i="9"/>
  <c r="K12" i="9"/>
  <c r="L12" i="9"/>
  <c r="M12" i="9"/>
  <c r="N12" i="9"/>
  <c r="O12" i="9"/>
  <c r="D13" i="9"/>
  <c r="E13" i="9"/>
  <c r="G13" i="9"/>
  <c r="H13" i="9"/>
  <c r="I13" i="9"/>
  <c r="J13" i="9"/>
  <c r="K13" i="9"/>
  <c r="L13" i="9"/>
  <c r="M13" i="9"/>
  <c r="N13" i="9"/>
  <c r="O13" i="9"/>
  <c r="D14" i="9"/>
  <c r="E14" i="9"/>
  <c r="G14" i="9"/>
  <c r="H14" i="9"/>
  <c r="I14" i="9"/>
  <c r="J14" i="9"/>
  <c r="K14" i="9"/>
  <c r="L14" i="9"/>
  <c r="M14" i="9"/>
  <c r="N14" i="9"/>
  <c r="O14" i="9"/>
  <c r="D17" i="9"/>
  <c r="E17" i="9"/>
  <c r="G17" i="9"/>
  <c r="H17" i="9"/>
  <c r="I17" i="9"/>
  <c r="J17" i="9"/>
  <c r="K17" i="9"/>
  <c r="L17" i="9"/>
  <c r="M17" i="9"/>
  <c r="N17" i="9"/>
  <c r="O17" i="9"/>
  <c r="D18" i="9"/>
  <c r="E18" i="9"/>
  <c r="G18" i="9"/>
  <c r="H18" i="9"/>
  <c r="I18" i="9"/>
  <c r="J18" i="9"/>
  <c r="K18" i="9"/>
  <c r="L18" i="9"/>
  <c r="M18" i="9"/>
  <c r="N18" i="9"/>
  <c r="O18" i="9"/>
  <c r="D20" i="9"/>
  <c r="E20" i="9"/>
  <c r="G20" i="9"/>
  <c r="H20" i="9"/>
  <c r="I20" i="9"/>
  <c r="J20" i="9"/>
  <c r="K20" i="9"/>
  <c r="L20" i="9"/>
  <c r="M20" i="9"/>
  <c r="N20" i="9"/>
  <c r="O20" i="9"/>
  <c r="D21" i="9"/>
  <c r="E21" i="9"/>
  <c r="G21" i="9"/>
  <c r="H21" i="9"/>
  <c r="I21" i="9"/>
  <c r="J21" i="9"/>
  <c r="K21" i="9"/>
  <c r="L21" i="9"/>
  <c r="M21" i="9"/>
  <c r="N21" i="9"/>
  <c r="O21" i="9"/>
  <c r="D22" i="9"/>
  <c r="E22" i="9"/>
  <c r="G22" i="9"/>
  <c r="H22" i="9"/>
  <c r="I22" i="9"/>
  <c r="J22" i="9"/>
  <c r="K22" i="9"/>
  <c r="L22" i="9"/>
  <c r="M22" i="9"/>
  <c r="N22" i="9"/>
  <c r="O22" i="9"/>
  <c r="D24" i="9"/>
  <c r="E24" i="9"/>
  <c r="G24" i="9"/>
  <c r="H24" i="9"/>
  <c r="I24" i="9"/>
  <c r="J24" i="9"/>
  <c r="K24" i="9"/>
  <c r="L24" i="9"/>
  <c r="M24" i="9"/>
  <c r="N24" i="9"/>
  <c r="O24" i="9"/>
  <c r="D25" i="9"/>
  <c r="E25" i="9"/>
  <c r="G25" i="9"/>
  <c r="H25" i="9"/>
  <c r="I25" i="9"/>
  <c r="J25" i="9"/>
  <c r="K25" i="9"/>
  <c r="L25" i="9"/>
  <c r="M25" i="9"/>
  <c r="N25" i="9"/>
  <c r="O25" i="9"/>
  <c r="D26" i="9"/>
  <c r="E26" i="9"/>
  <c r="G26" i="9"/>
  <c r="H26" i="9"/>
  <c r="I26" i="9"/>
  <c r="J26" i="9"/>
  <c r="K26" i="9"/>
  <c r="L26" i="9"/>
  <c r="M26" i="9"/>
  <c r="N26" i="9"/>
  <c r="O26" i="9"/>
  <c r="D27" i="9"/>
  <c r="E27" i="9"/>
  <c r="G27" i="9"/>
  <c r="H27" i="9"/>
  <c r="I27" i="9"/>
  <c r="J27" i="9"/>
  <c r="K27" i="9"/>
  <c r="L27" i="9"/>
  <c r="M27" i="9"/>
  <c r="N27" i="9"/>
  <c r="O27" i="9"/>
  <c r="D28" i="9"/>
  <c r="E28" i="9"/>
  <c r="G28" i="9"/>
  <c r="H28" i="9"/>
  <c r="I28" i="9"/>
  <c r="J28" i="9"/>
  <c r="K28" i="9"/>
  <c r="L28" i="9"/>
  <c r="M28" i="9"/>
  <c r="N28" i="9"/>
  <c r="O28" i="9"/>
  <c r="D29" i="9"/>
  <c r="E29" i="9"/>
  <c r="G29" i="9"/>
  <c r="H29" i="9"/>
  <c r="I29" i="9"/>
  <c r="J29" i="9"/>
  <c r="K29" i="9"/>
  <c r="L29" i="9"/>
  <c r="M29" i="9"/>
  <c r="N29" i="9"/>
  <c r="O29" i="9"/>
  <c r="D30" i="9"/>
  <c r="E30" i="9"/>
  <c r="G30" i="9"/>
  <c r="H30" i="9"/>
  <c r="I30" i="9"/>
  <c r="J30" i="9"/>
  <c r="K30" i="9"/>
  <c r="L30" i="9"/>
  <c r="M30" i="9"/>
  <c r="N30" i="9"/>
  <c r="O30" i="9"/>
  <c r="D31" i="9"/>
  <c r="E31" i="9"/>
  <c r="G31" i="9"/>
  <c r="H31" i="9"/>
  <c r="I31" i="9"/>
  <c r="J31" i="9"/>
  <c r="K31" i="9"/>
  <c r="L31" i="9"/>
  <c r="M31" i="9"/>
  <c r="N31" i="9"/>
  <c r="O31" i="9"/>
  <c r="D32" i="9"/>
  <c r="E32" i="9"/>
  <c r="G32" i="9"/>
  <c r="H32" i="9"/>
  <c r="I32" i="9"/>
  <c r="J32" i="9"/>
  <c r="K32" i="9"/>
  <c r="L32" i="9"/>
  <c r="M32" i="9"/>
  <c r="N32" i="9"/>
  <c r="O32" i="9"/>
  <c r="J3" i="21"/>
  <c r="A3" i="7"/>
  <c r="H3" i="7"/>
  <c r="I3" i="7"/>
  <c r="J3" i="7"/>
  <c r="A3" i="1"/>
  <c r="H3" i="1"/>
  <c r="I3" i="1"/>
  <c r="J3" i="1"/>
  <c r="A4" i="1"/>
  <c r="H4" i="1"/>
  <c r="I4" i="1"/>
  <c r="J4" i="1"/>
  <c r="A5" i="1"/>
  <c r="H5" i="1"/>
  <c r="I5" i="1"/>
  <c r="J5" i="1"/>
  <c r="A6" i="1"/>
  <c r="H6" i="1"/>
  <c r="I6" i="1"/>
  <c r="J6" i="1"/>
  <c r="A7" i="1"/>
  <c r="A8" i="1"/>
  <c r="A9" i="1"/>
  <c r="A10" i="1"/>
  <c r="A11" i="1"/>
  <c r="H2" i="1"/>
  <c r="B3" i="2"/>
  <c r="B4" i="2"/>
  <c r="B5" i="2"/>
  <c r="B6" i="2"/>
  <c r="B7" i="2"/>
  <c r="B8" i="2"/>
  <c r="B9" i="2"/>
  <c r="A2" i="22"/>
  <c r="E13" i="16"/>
  <c r="I2" i="21"/>
  <c r="J2" i="21"/>
  <c r="E12" i="16"/>
  <c r="E11" i="16"/>
  <c r="E10" i="16"/>
  <c r="O2" i="9"/>
  <c r="N2" i="9"/>
  <c r="M2" i="9"/>
  <c r="L2" i="9"/>
  <c r="K2" i="9"/>
  <c r="J2" i="9"/>
  <c r="I2" i="9"/>
  <c r="H2" i="9"/>
  <c r="G2" i="9"/>
  <c r="E2" i="9"/>
  <c r="D2" i="9"/>
  <c r="E9" i="16"/>
  <c r="AI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J2" i="1"/>
  <c r="I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<sst xmlns="http://schemas.openxmlformats.org/spreadsheetml/2006/main" count="1062" uniqueCount="405">
  <si>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</si>
  <si>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</si>
  <si>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</si>
  <si>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</si>
  <si>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</si>
  <si>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</si>
  <si>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</si>
  <si>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</si>
  <si>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</si>
  <si>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</si>
  <si>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</si>
  <si>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</si>
  <si>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</si>
  <si>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</si>
  <si>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</si>
  <si>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</si>
  <si>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</si>
  <si>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</si>
  <si>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</si>
  <si>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</si>
  <si>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</si>
  <si>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</si>
  <si>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</si>
  <si>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</si>
  <si>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</si>
  <si>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</si>
  <si>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</si>
  <si>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</si>
  <si>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</si>
  <si>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</si>
  <si>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</si>
  <si>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</si>
  <si>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</si>
  <si>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</si>
  <si>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</si>
  <si>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</si>
  <si>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</si>
  <si>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</si>
  <si>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</si>
  <si>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</si>
  <si>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</si>
  <si>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</si>
  <si>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</si>
  <si>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</si>
  <si>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</si>
  <si>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</si>
  <si>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</si>
  <si>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</si>
  <si>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</si>
  <si>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</si>
  <si>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</si>
  <si>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</si>
  <si>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</si>
  <si>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</si>
  <si>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</si>
  <si>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</si>
  <si>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</si>
  <si>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</si>
  <si>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</si>
  <si>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</si>
  <si>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</si>
  <si>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</si>
  <si>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</si>
  <si>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</si>
  <si>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</si>
  <si>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</si>
  <si>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</si>
  <si>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</si>
  <si>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</si>
  <si>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</si>
  <si>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</si>
  <si>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</si>
  <si>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</si>
  <si>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</si>
  <si>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</si>
  <si>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</si>
  <si>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</si>
  <si>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</si>
  <si>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</si>
  <si>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</si>
  <si>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</si>
  <si>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</si>
  <si>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</si>
  <si>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</si>
  <si>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</si>
  <si>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</si>
  <si>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</si>
  <si>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</si>
  <si>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</si>
  <si>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</si>
  <si>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</si>
  <si>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</si>
  <si>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</si>
  <si>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</si>
  <si>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</si>
  <si>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</si>
  <si>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</si>
  <si>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</si>
  <si>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</si>
  <si>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</si>
  <si>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</si>
  <si>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</si>
  <si>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</si>
  <si>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</si>
  <si>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</si>
  <si>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</si>
  <si>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</si>
  <si>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</si>
  <si>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</si>
  <si>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</si>
  <si>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</si>
  <si>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</si>
  <si>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</si>
  <si>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</si>
  <si>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</si>
  <si>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</si>
  <si>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</si>
  <si>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</si>
  <si>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</si>
  <si>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</si>
  <si>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</si>
  <si>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</si>
  <si>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</si>
  <si>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</si>
  <si>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</si>
  <si>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</si>
  <si>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</si>
  <si>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</si>
  <si>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</si>
  <si>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</si>
  <si>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</si>
  <si>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</si>
  <si>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</si>
  <si>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</si>
  <si>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</si>
  <si>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</si>
  <si>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</si>
  <si>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</si>
  <si>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</si>
  <si>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</si>
  <si>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</si>
  <si>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</si>
  <si>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</si>
  <si>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</si>
  <si>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</si>
  <si>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</si>
  <si>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</si>
  <si>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</si>
  <si>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</si>
  <si>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</si>
  <si>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</si>
  <si>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</si>
  <si>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</si>
  <si>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</si>
  <si>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</si>
  <si>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</si>
  <si>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</si>
  <si>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</si>
  <si>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</si>
  <si>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</si>
  <si>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</si>
  <si>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</si>
  <si>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</si>
  <si>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</si>
  <si>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</si>
  <si>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</si>
  <si>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</si>
  <si>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</si>
  <si>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</si>
  <si>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</si>
  <si>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</si>
  <si>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</si>
  <si>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</si>
  <si>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</si>
  <si>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</si>
  <si>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</si>
  <si>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</si>
  <si>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</si>
  <si>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</si>
  <si>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</si>
  <si>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</si>
  <si>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</si>
  <si>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</si>
  <si>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</si>
  <si>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</si>
  <si>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</si>
  <si>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</si>
  <si>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</si>
  <si>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</si>
  <si>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</si>
  <si>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</si>
  <si>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</si>
  <si>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</si>
  <si>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</si>
  <si>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</si>
  <si>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</si>
  <si>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</si>
  <si>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</si>
  <si>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</si>
  <si>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</si>
  <si>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</si>
  <si>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</si>
  <si>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</si>
  <si>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</si>
  <si>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</si>
  <si>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</si>
  <si>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</si>
  <si>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</si>
  <si>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</si>
  <si>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</si>
  <si>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</si>
  <si>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</si>
  <si>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</si>
  <si>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</si>
  <si>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</si>
  <si>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</si>
  <si>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</si>
  <si>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</si>
  <si>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</si>
  <si>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</si>
  <si>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</si>
  <si>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</si>
  <si>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</si>
  <si>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</si>
  <si>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</si>
  <si>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</si>
  <si>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</si>
  <si>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</si>
  <si>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</si>
  <si>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</si>
  <si>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</si>
  <si>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</si>
  <si>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</si>
  <si>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</si>
  <si>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</si>
  <si>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</si>
  <si>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</si>
  <si>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</si>
  <si>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</si>
  <si>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</si>
  <si>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</si>
  <si>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</si>
  <si>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</si>
  <si>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</si>
  <si>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</si>
  <si>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</si>
  <si>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</si>
  <si>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</si>
  <si>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</si>
  <si>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</si>
  <si>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</si>
  <si>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</si>
  <si>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</si>
  <si>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</si>
  <si>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</si>
  <si>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</si>
  <si>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LB小原</t>
    <rPh sb="2" eb="4">
      <t>オバラ</t>
    </rPh>
    <phoneticPr fontId="5"/>
  </si>
  <si>
    <t>null</t>
    <phoneticPr fontId="5"/>
  </si>
  <si>
    <t>link</t>
  </si>
  <si>
    <t>unit</t>
  </si>
  <si>
    <t>ja</t>
    <phoneticPr fontId="5"/>
  </si>
  <si>
    <t>null</t>
    <phoneticPr fontId="5"/>
  </si>
  <si>
    <t>null</t>
    <phoneticPr fontId="5"/>
  </si>
  <si>
    <t>rate(%)</t>
    <phoneticPr fontId="5"/>
  </si>
  <si>
    <t>30％くらいの確率で1ターンウィルス＋攻撃（回数制限あり）</t>
    <rPh sb="7" eb="9">
      <t>カクリツ</t>
    </rPh>
    <rPh sb="19" eb="21">
      <t>コウゲキ</t>
    </rPh>
    <rPh sb="22" eb="26">
      <t>カイスウセイゲｎ</t>
    </rPh>
    <phoneticPr fontId="5"/>
  </si>
  <si>
    <t>50％くらいでやや威力高めの連続攻撃</t>
    <rPh sb="9" eb="12">
      <t>イリョクタカメ</t>
    </rPh>
    <rPh sb="14" eb="18">
      <t>レンゾクコウゲキ</t>
    </rPh>
    <phoneticPr fontId="5"/>
  </si>
  <si>
    <t>30％くらいの確率で1ターンウィルス＋攻撃（回数制限あり）</t>
    <rPh sb="7" eb="9">
      <t>カクリツ</t>
    </rPh>
    <rPh sb="19" eb="21">
      <t>コウゲキ</t>
    </rPh>
    <rPh sb="22" eb="24">
      <t>カイスウ</t>
    </rPh>
    <rPh sb="24" eb="26">
      <t>セイゲｎ</t>
    </rPh>
    <phoneticPr fontId="5"/>
  </si>
  <si>
    <t>50％くらいでやや威力高めの連続攻撃</t>
    <phoneticPr fontId="5"/>
  </si>
  <si>
    <t>HP一定以下で一度だけ強力な攻撃</t>
    <rPh sb="2" eb="4">
      <t>イッテイ</t>
    </rPh>
    <rPh sb="4" eb="6">
      <t>イカ</t>
    </rPh>
    <rPh sb="7" eb="9">
      <t>イチドダケ</t>
    </rPh>
    <rPh sb="11" eb="13">
      <t>キョウリョクナコウゲキ</t>
    </rPh>
    <phoneticPr fontId="5"/>
  </si>
  <si>
    <t>開幕時限式ダメージｊパネル（5ターン）</t>
    <rPh sb="0" eb="2">
      <t>カイマク</t>
    </rPh>
    <rPh sb="2" eb="5">
      <t>ジゲンシキダメージ</t>
    </rPh>
    <phoneticPr fontId="5"/>
  </si>
  <si>
    <t>適当なトリガーで自爆＋永続ウィルス（威力極小）</t>
    <rPh sb="0" eb="2">
      <t>テキトウナトリガー</t>
    </rPh>
    <rPh sb="8" eb="10">
      <t>ジバク</t>
    </rPh>
    <rPh sb="11" eb="13">
      <t>エイゾク</t>
    </rPh>
    <rPh sb="18" eb="20">
      <t>イリョク</t>
    </rPh>
    <rPh sb="20" eb="22">
      <t>キョクショウ</t>
    </rPh>
    <phoneticPr fontId="5"/>
  </si>
  <si>
    <t>30％くらいの確率で全体攻撃</t>
    <rPh sb="7" eb="9">
      <t>カクリツ</t>
    </rPh>
    <rPh sb="10" eb="14">
      <t>ゼンタイコウゲキ</t>
    </rPh>
    <phoneticPr fontId="5"/>
  </si>
  <si>
    <t>30％くらいの確率で3ターン行動頻度UP&amp;攻撃力UP</t>
    <rPh sb="14" eb="18">
      <t>コウドウヒンド</t>
    </rPh>
    <rPh sb="21" eb="24">
      <t>コウゲキリョク</t>
    </rPh>
    <phoneticPr fontId="5"/>
  </si>
  <si>
    <t>３０％くらいの確率で全体攻撃</t>
    <phoneticPr fontId="5"/>
  </si>
  <si>
    <t>HP50%以下で行動頻度１にUP＆攻撃力UP</t>
    <rPh sb="5" eb="7">
      <t>イカ</t>
    </rPh>
    <rPh sb="8" eb="12">
      <t>コウドウヒンド</t>
    </rPh>
    <rPh sb="17" eb="20">
      <t>コウゲキリョク</t>
    </rPh>
    <phoneticPr fontId="5"/>
  </si>
  <si>
    <t>HP50%以下で５０％程度の確率で連続攻撃</t>
    <rPh sb="5" eb="7">
      <t>イカ</t>
    </rPh>
    <rPh sb="11" eb="13">
      <t>テイド</t>
    </rPh>
    <rPh sb="14" eb="16">
      <t>カクリツ</t>
    </rPh>
    <rPh sb="17" eb="21">
      <t>レンゾクコウゲキ</t>
    </rPh>
    <phoneticPr fontId="5"/>
  </si>
  <si>
    <t>死亡時エリスとの関係を示唆するセリフ</t>
    <rPh sb="0" eb="3">
      <t>シボウジ</t>
    </rPh>
    <rPh sb="8" eb="10">
      <t>カンケイ</t>
    </rPh>
    <rPh sb="11" eb="13">
      <t>シサスル</t>
    </rPh>
    <phoneticPr fontId="5"/>
  </si>
  <si>
    <t>開幕状態異常無効</t>
    <rPh sb="0" eb="2">
      <t>カイマク</t>
    </rPh>
    <rPh sb="2" eb="8">
      <t>ジョウタイイジョウムコウ</t>
    </rPh>
    <phoneticPr fontId="5"/>
  </si>
  <si>
    <t>初手青パネルを時限式ダメージパネルに変換してドロップ（永続、70％、カウント3-5、威力10％）</t>
    <rPh sb="0" eb="2">
      <t>ショテ</t>
    </rPh>
    <rPh sb="2" eb="3">
      <t>アオパネル</t>
    </rPh>
    <rPh sb="7" eb="10">
      <t>ジゲンシキ</t>
    </rPh>
    <rPh sb="18" eb="20">
      <t>ヘンカｎ</t>
    </rPh>
    <rPh sb="27" eb="29">
      <t>エイゾク</t>
    </rPh>
    <rPh sb="42" eb="44">
      <t>イリョク</t>
    </rPh>
    <phoneticPr fontId="5"/>
  </si>
  <si>
    <t>40％くらいの確率で単体に1ターンウィルス＋クリティカル</t>
    <rPh sb="10" eb="12">
      <t>タンタイ</t>
    </rPh>
    <phoneticPr fontId="5"/>
  </si>
  <si>
    <t>開幕状態異常無効＋攻撃力永続UP</t>
    <rPh sb="0" eb="6">
      <t>カイマクジョウタイイジョウ</t>
    </rPh>
    <rPh sb="6" eb="8">
      <t>ムコウ</t>
    </rPh>
    <rPh sb="9" eb="12">
      <t>コウゲキリョク</t>
    </rPh>
    <rPh sb="12" eb="14">
      <t>エイゾク</t>
    </rPh>
    <phoneticPr fontId="5"/>
  </si>
  <si>
    <t>HP５０％以下で攻撃力永続UP（開幕より強力）</t>
    <rPh sb="5" eb="7">
      <t>イカ</t>
    </rPh>
    <rPh sb="8" eb="11">
      <t>コウゲキリョク</t>
    </rPh>
    <rPh sb="11" eb="13">
      <t>エイゾク</t>
    </rPh>
    <rPh sb="16" eb="18">
      <t>カイマクヨリ</t>
    </rPh>
    <rPh sb="20" eb="22">
      <t>キョウリョク</t>
    </rPh>
    <phoneticPr fontId="5"/>
  </si>
  <si>
    <t>HP30%以下でターンごとに強力になる攻撃1/5</t>
    <rPh sb="5" eb="7">
      <t>イカ</t>
    </rPh>
    <rPh sb="14" eb="16">
      <t>キョウリョクニナル</t>
    </rPh>
    <rPh sb="19" eb="21">
      <t>コウゲキ</t>
    </rPh>
    <phoneticPr fontId="5"/>
  </si>
  <si>
    <t>HP30%以下でターンごとに強力になる攻撃2/5</t>
    <rPh sb="5" eb="7">
      <t>イカ</t>
    </rPh>
    <rPh sb="14" eb="16">
      <t>キョウリョクニナル</t>
    </rPh>
    <rPh sb="19" eb="21">
      <t>コウゲキ</t>
    </rPh>
    <phoneticPr fontId="5"/>
  </si>
  <si>
    <t>HP30%以下でターンごとに強力になる攻撃3/5</t>
    <rPh sb="5" eb="7">
      <t>イカ</t>
    </rPh>
    <rPh sb="14" eb="16">
      <t>キョウリョクニナル</t>
    </rPh>
    <rPh sb="19" eb="21">
      <t>コウゲキ</t>
    </rPh>
    <phoneticPr fontId="5"/>
  </si>
  <si>
    <t>HP30%以下でターンごとに強力になる攻撃4/5</t>
    <rPh sb="5" eb="7">
      <t>イカ</t>
    </rPh>
    <rPh sb="14" eb="16">
      <t>キョウリョクニナル</t>
    </rPh>
    <rPh sb="19" eb="21">
      <t>コウゲキ</t>
    </rPh>
    <phoneticPr fontId="5"/>
  </si>
  <si>
    <t>HP30%以下でターンごとに強力になる攻撃5/5</t>
    <rPh sb="5" eb="7">
      <t>イカ</t>
    </rPh>
    <rPh sb="14" eb="16">
      <t>キョウリョクニナル</t>
    </rPh>
    <rPh sb="19" eb="21">
      <t>コウゲキ</t>
    </rPh>
    <phoneticPr fontId="5"/>
  </si>
  <si>
    <t>開幕時限式ダメージパネル（5ターン）</t>
    <rPh sb="0" eb="2">
      <t>カイマク</t>
    </rPh>
    <rPh sb="2" eb="5">
      <t>ジゲンシキダメージ</t>
    </rPh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</si>
  <si>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</si>
  <si>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</si>
  <si>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</si>
  <si>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</si>
  <si>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Len</t>
    <phoneticPr fontId="5"/>
  </si>
  <si>
    <t>1ターンウィルス＋単体攻撃</t>
    <rPh sb="9" eb="13">
      <t>タンタイコウゲキ</t>
    </rPh>
    <phoneticPr fontId="5"/>
  </si>
  <si>
    <t xml:space="preserve">[effect:rush, count:2, val:0.6]    </t>
    <phoneticPr fontId="5"/>
  </si>
  <si>
    <t>クリティカル！</t>
    <phoneticPr fontId="5"/>
  </si>
  <si>
    <t>自爆攻撃＋解除するまでウィルス</t>
    <rPh sb="5" eb="7">
      <t>カイジョスルマデ</t>
    </rPh>
    <phoneticPr fontId="5"/>
  </si>
  <si>
    <t xml:space="preserve">[effect:force_change_block, new_block:time_bomb, target:block_red, count:0, val:0.1, min_time_count:5, max_time_count:5, animation:change_block]    </t>
    <phoneticPr fontId="5"/>
  </si>
  <si>
    <t>全体攻撃</t>
    <rPh sb="0" eb="4">
      <t>ゼンタイコウゲキ</t>
    </rPh>
    <phoneticPr fontId="5"/>
  </si>
  <si>
    <t>3ターン行動頻度UP＆攻撃力UP</t>
    <rPh sb="4" eb="8">
      <t>コウドウヒンド</t>
    </rPh>
    <rPh sb="11" eb="14">
      <t>コウゲキリョク</t>
    </rPh>
    <phoneticPr fontId="5"/>
  </si>
  <si>
    <t xml:space="preserve">[effect:tolerance, target:myself, turn:-1, count:-1, tolerance_effect:all, animation:enemy_tolerance]    </t>
    <phoneticPr fontId="5"/>
  </si>
  <si>
    <t xml:space="preserve">[effect:drop_block, block_type:time_bomb, block_color:block_red, color:block_blue, val:0.1, rate:0.7, turn:-1, min_time_count:3, max_time_count:5, animation:time_bomb_influence04]    </t>
    <phoneticPr fontId="5"/>
  </si>
  <si>
    <t xml:space="preserve">[effect:drop_block, block_type:time_bomb, block_color:block_red, color:block_blue, val:0.1, rate:0.7, turn:-1, min_time_count:3, max_time_count:5, animation:time_bomb_influence04]    </t>
    <phoneticPr fontId="5"/>
  </si>
  <si>
    <t xml:space="preserve">[effect:spread, val:0.1],[effect:rush, count:4, val:0.15] </t>
    <phoneticPr fontId="5"/>
  </si>
  <si>
    <t>状態異常無効</t>
    <rPh sb="0" eb="4">
      <t>ジョウタイイジョウ</t>
    </rPh>
    <rPh sb="4" eb="6">
      <t>ムコウ</t>
    </rPh>
    <phoneticPr fontId="5"/>
  </si>
  <si>
    <t>状態異常無効＋攻撃力UP</t>
    <rPh sb="0" eb="4">
      <t>ジョウタイイジョウ</t>
    </rPh>
    <rPh sb="4" eb="6">
      <t>ムコウ</t>
    </rPh>
    <rPh sb="7" eb="10">
      <t>コウゲキリョク</t>
    </rPh>
    <phoneticPr fontId="5"/>
  </si>
  <si>
    <t>1ターンウィルス
＋クリティカル！</t>
    <phoneticPr fontId="5"/>
  </si>
  <si>
    <t>1ターンウィルス＋クリティカル！</t>
    <phoneticPr fontId="5"/>
  </si>
  <si>
    <t>攻撃力UP</t>
    <rPh sb="0" eb="3">
      <t>コウゲキリョク</t>
    </rPh>
    <phoneticPr fontId="5"/>
  </si>
  <si>
    <t>ターン毎に強力になる攻撃！</t>
    <rPh sb="3" eb="4">
      <t>ゴト</t>
    </rPh>
    <rPh sb="5" eb="7">
      <t>キョウリョクニ</t>
    </rPh>
    <rPh sb="10" eb="12">
      <t>コウゲキ</t>
    </rPh>
    <phoneticPr fontId="5"/>
  </si>
  <si>
    <t>アレス兄を撃破したというの？</t>
    <rPh sb="5" eb="7">
      <t>ゲキハ</t>
    </rPh>
    <phoneticPr fontId="5"/>
  </si>
  <si>
    <t>もっと…！もっとよ！！</t>
    <phoneticPr fontId="5"/>
  </si>
  <si>
    <t>1ターンウィルス
＋クリティカル！</t>
    <phoneticPr fontId="5"/>
  </si>
  <si>
    <t>吹き飛べッ！！</t>
    <rPh sb="0" eb="1">
      <t>フキトベ</t>
    </rPh>
    <phoneticPr fontId="5"/>
  </si>
  <si>
    <t>燃えろッ！！燃え尽きろッ！！</t>
    <rPh sb="0" eb="1">
      <t>モエロ</t>
    </rPh>
    <rPh sb="8" eb="9">
      <t>ツキ</t>
    </rPh>
    <phoneticPr fontId="5"/>
  </si>
  <si>
    <t>燃えろッ！！燃え尽きろッ！！</t>
    <phoneticPr fontId="5"/>
  </si>
  <si>
    <t>これは楽しみね</t>
    <rPh sb="3" eb="4">
      <t>タノシミ</t>
    </rPh>
    <phoneticPr fontId="5"/>
  </si>
  <si>
    <t>うふふ、これでどうかしら</t>
    <phoneticPr fontId="5"/>
  </si>
  <si>
    <t>ハルマゲドンモード</t>
    <phoneticPr fontId="5"/>
  </si>
  <si>
    <t>２連射</t>
    <phoneticPr fontId="5"/>
  </si>
  <si>
    <t>アポカリプスモード</t>
    <phoneticPr fontId="5"/>
  </si>
  <si>
    <t>フルオートマシンキャノン</t>
    <phoneticPr fontId="5"/>
  </si>
  <si>
    <t>old</t>
  </si>
  <si>
    <t>エリス</t>
    <phoneticPr fontId="5"/>
  </si>
  <si>
    <t>エリス</t>
    <phoneticPr fontId="5"/>
  </si>
  <si>
    <t>エリスは背部に装備したロケットブースター
による超高速飛行からの爆撃が得意技です</t>
    <rPh sb="4" eb="6">
      <t>ハイブ</t>
    </rPh>
    <rPh sb="7" eb="9">
      <t>ソウビ</t>
    </rPh>
    <rPh sb="24" eb="27">
      <t>チョウコウソク</t>
    </rPh>
    <rPh sb="27" eb="29">
      <t>ヒコウ</t>
    </rPh>
    <rPh sb="32" eb="34">
      <t>コウクウバクゲキ</t>
    </rPh>
    <rPh sb="35" eb="37">
      <t>トクイトスル</t>
    </rPh>
    <rPh sb="37" eb="38">
      <t>ワザ</t>
    </rPh>
    <phoneticPr fontId="5"/>
  </si>
  <si>
    <t>爆炎に沈むがいいッ！！</t>
    <rPh sb="0" eb="2">
      <t>バクエン</t>
    </rPh>
    <rPh sb="3" eb="4">
      <t>シズメ</t>
    </rPh>
    <phoneticPr fontId="5"/>
  </si>
  <si>
    <t>ヒュウガ・レアルは追い詰められると
一度だけ強力な一撃を放ちます
油断せず体力を高めに保ちましょう</t>
    <rPh sb="9" eb="10">
      <t>オイツメラレルト</t>
    </rPh>
    <rPh sb="18" eb="20">
      <t>イチドダケ</t>
    </rPh>
    <rPh sb="22" eb="24">
      <t>kyouryoku</t>
    </rPh>
    <rPh sb="25" eb="27">
      <t>イチゲキ</t>
    </rPh>
    <rPh sb="28" eb="29">
      <t>ハナチマス</t>
    </rPh>
    <rPh sb="33" eb="35">
      <t>ユダｎ</t>
    </rPh>
    <rPh sb="37" eb="39">
      <t>タイリョク</t>
    </rPh>
    <rPh sb="40" eb="41">
      <t>タカメ</t>
    </rPh>
    <rPh sb="43" eb="44">
      <t>タモチマショウ</t>
    </rPh>
    <phoneticPr fontId="5"/>
  </si>
  <si>
    <t>アレスは追い込まれても
回復より攻撃を選択する性格です
油断せず一気に倒しましょう</t>
    <rPh sb="4" eb="5">
      <t>オイコマレテモ</t>
    </rPh>
    <rPh sb="12" eb="14">
      <t>カイフク</t>
    </rPh>
    <rPh sb="16" eb="18">
      <t>コウゲキ</t>
    </rPh>
    <rPh sb="19" eb="21">
      <t>センタク</t>
    </rPh>
    <rPh sb="23" eb="25">
      <t>セイカク</t>
    </rPh>
    <rPh sb="28" eb="30">
      <t>ユダｎ</t>
    </rPh>
    <rPh sb="32" eb="34">
      <t>イッキニ</t>
    </rPh>
    <rPh sb="35" eb="36">
      <t>タオシマショウ</t>
    </rPh>
    <phoneticPr fontId="5"/>
  </si>
  <si>
    <t>サキはある程度追い詰められると
自爆攻撃を選択します
次フロアに向けての対策よりも
一気に倒しきるほうが良いでしょう</t>
    <rPh sb="7" eb="8">
      <t>オイツメラレルト</t>
    </rPh>
    <rPh sb="16" eb="20">
      <t>ジバクコウゲキ</t>
    </rPh>
    <rPh sb="21" eb="23">
      <t>センタク</t>
    </rPh>
    <rPh sb="27" eb="28">
      <t>ツギ</t>
    </rPh>
    <rPh sb="32" eb="33">
      <t>ムケテ</t>
    </rPh>
    <rPh sb="36" eb="38">
      <t>タイサク</t>
    </rPh>
    <rPh sb="42" eb="44">
      <t>イッキニ</t>
    </rPh>
    <rPh sb="45" eb="46">
      <t>タオシキルホウガ</t>
    </rPh>
    <rPh sb="52" eb="53">
      <t>ヨイ</t>
    </rPh>
    <phoneticPr fontId="5"/>
  </si>
  <si>
    <t>エリスが仲間に配布したのは
即効性ウィルスを使用した弾薬です
ウィルス耐性があれば比較的に
楽に戦えるかもしれません</t>
    <rPh sb="4" eb="6">
      <t>ナカマ</t>
    </rPh>
    <rPh sb="7" eb="9">
      <t>ハイフ</t>
    </rPh>
    <rPh sb="14" eb="17">
      <t>ソッコウセイ</t>
    </rPh>
    <rPh sb="22" eb="24">
      <t>シヨウ</t>
    </rPh>
    <rPh sb="26" eb="27">
      <t>ダン</t>
    </rPh>
    <rPh sb="27" eb="28">
      <t>カヤク</t>
    </rPh>
    <rPh sb="35" eb="37">
      <t>taisei</t>
    </rPh>
    <rPh sb="41" eb="44">
      <t>ヒカクテキ</t>
    </rPh>
    <rPh sb="46" eb="47">
      <t>ラクニタタカエル</t>
    </rPh>
    <phoneticPr fontId="5"/>
  </si>
  <si>
    <t xml:space="preserve">[effect:critical, val:1.95, animation:enemy_critical]    </t>
    <phoneticPr fontId="5"/>
  </si>
  <si>
    <t>ここは通さぬッ…</t>
    <rPh sb="3" eb="4">
      <t>トオサヌ</t>
    </rPh>
    <phoneticPr fontId="5"/>
  </si>
  <si>
    <t xml:space="preserve">[effect:tolerance, target:myself, turn:-1, count:-1, tolerance_effect:all, animation:enemy_tolerance],[effect:enhance_enemy, target:myself, turn:3, status:attack, val:0.1, calc:mul, animation:enemy_enhance_attack]    </t>
    <phoneticPr fontId="5"/>
  </si>
  <si>
    <t xml:space="preserve">[effect:tolerance, target:myself, turn:-1, count:-1, tolerance_effect:all, animation:enemy_tolerance],[effect:enhance_enemy, target:myself, turn:3, status:attack, val:0.15, calc:mul, animation:enemy_enhance_attack]    </t>
    <phoneticPr fontId="5"/>
  </si>
  <si>
    <t xml:space="preserve">[effect:enhance_enemy, target:myself, turn:-1, status:attack, val:0.3, calc:mul, animation:enemy_enhance_attack]    </t>
    <phoneticPr fontId="5"/>
  </si>
  <si>
    <t xml:space="preserve">[effect:spread, val:0.12],[effect:rush, count:4, val:0.2] </t>
    <phoneticPr fontId="5"/>
  </si>
  <si>
    <t xml:space="preserve">[effect:spread, val:0.24],[effect:rush, count:4, val:0.3] </t>
    <phoneticPr fontId="5"/>
  </si>
  <si>
    <t xml:space="preserve">[effect:spread, val:0.3],[effect:rush, count:4, val:0.4] </t>
    <phoneticPr fontId="5"/>
  </si>
  <si>
    <t xml:space="preserve">[effect:spread, val:0.45]    </t>
    <phoneticPr fontId="5"/>
  </si>
  <si>
    <t xml:space="preserve">[effect:spread, val:0.4]    </t>
    <phoneticPr fontId="5"/>
  </si>
  <si>
    <t xml:space="preserve">[effect:rush, count:2, val:0.8] </t>
    <phoneticPr fontId="5"/>
  </si>
  <si>
    <t>エリスのターン毎に強力になる攻撃は
最終段階まで受け切ることは難しいため
早期に決戦を挑むのが良いでしょう</t>
    <rPh sb="7" eb="8">
      <t>ゴトニ</t>
    </rPh>
    <rPh sb="9" eb="11">
      <t>キョウリョクニナル</t>
    </rPh>
    <rPh sb="14" eb="16">
      <t>コウゲキ</t>
    </rPh>
    <rPh sb="18" eb="20">
      <t>サイシュウ</t>
    </rPh>
    <rPh sb="20" eb="22">
      <t>ダンカイ</t>
    </rPh>
    <rPh sb="24" eb="25">
      <t>ウケキル</t>
    </rPh>
    <rPh sb="31" eb="32">
      <t>ムズカシイ</t>
    </rPh>
    <rPh sb="37" eb="39">
      <t>ソウキ</t>
    </rPh>
    <rPh sb="40" eb="42">
      <t>ケッセンヲイドムノガヨイデショウ</t>
    </rPh>
    <phoneticPr fontId="5"/>
  </si>
  <si>
    <t xml:space="preserve">[effect:freq_turn, target:myself, turn:3, val:1, animation:enemy_freq_turn],[effect:enhance_enemy, target:myself, turn:3, status:attack, val:0.4, calc:mul, animation:enemy_enhance_attack]    </t>
    <phoneticPr fontId="5"/>
  </si>
  <si>
    <t>[effect:enemy_message, val1:4, val2:4]</t>
    <phoneticPr fontId="5"/>
  </si>
  <si>
    <t>全弾発射</t>
    <rPh sb="0" eb="4">
      <t>ゼンダンハッシャ</t>
    </rPh>
    <phoneticPr fontId="5"/>
  </si>
  <si>
    <t>エリス…油断するなよ…</t>
    <rPh sb="4" eb="6">
      <t>ユダン</t>
    </rPh>
    <phoneticPr fontId="5"/>
  </si>
  <si>
    <t>侮っていると足元を掬われるぞ…</t>
    <rPh sb="0" eb="1">
      <t>アナドッテイルト</t>
    </rPh>
    <rPh sb="6" eb="8">
      <t>アシモトヲ</t>
    </rPh>
    <rPh sb="9" eb="10">
      <t>スクワレルゾ</t>
    </rPh>
    <phoneticPr fontId="5"/>
  </si>
  <si>
    <t>うふふ、負荷をかけてあげる</t>
    <rPh sb="4" eb="6">
      <t>フカ</t>
    </rPh>
    <phoneticPr fontId="5"/>
  </si>
  <si>
    <t>時限起爆コード送信</t>
    <rPh sb="0" eb="2">
      <t>jigenn</t>
    </rPh>
    <rPh sb="2" eb="4">
      <t>キバク</t>
    </rPh>
    <rPh sb="7" eb="9">
      <t>ソウシｎ</t>
    </rPh>
    <phoneticPr fontId="5"/>
  </si>
  <si>
    <t>即効性の負荷爆弾よ！</t>
    <rPh sb="0" eb="3">
      <t>ソッコウセイ</t>
    </rPh>
    <rPh sb="4" eb="8">
      <t>フカバクダン</t>
    </rPh>
    <phoneticPr fontId="5"/>
  </si>
  <si>
    <t>あーもうっ！しつこいわね！</t>
    <phoneticPr fontId="5"/>
  </si>
  <si>
    <t>うふふ…本気になっちゃった</t>
    <rPh sb="4" eb="6">
      <t>ホンキ</t>
    </rPh>
    <phoneticPr fontId="5"/>
  </si>
  <si>
    <t>それそれそれー！</t>
    <phoneticPr fontId="5"/>
  </si>
  <si>
    <t>もっと！もっとよ！！！</t>
    <phoneticPr fontId="5"/>
  </si>
  <si>
    <t>さ、逆恨みじゃないわよ！</t>
    <rPh sb="2" eb="4">
      <t>サカウラミ</t>
    </rPh>
    <phoneticPr fontId="5"/>
  </si>
  <si>
    <t>開幕状態異常無効
テティスR6がいるとき</t>
    <rPh sb="0" eb="2">
      <t>カイマク</t>
    </rPh>
    <rPh sb="2" eb="8">
      <t>ジョウタイイジョウムコウ</t>
    </rPh>
    <phoneticPr fontId="5"/>
  </si>
  <si>
    <t>なんで同じ仕事してるのに
アンタばっかり褒められるのよ！</t>
    <rPh sb="3" eb="4">
      <t>オナジ</t>
    </rPh>
    <rPh sb="5" eb="7">
      <t>シゴト</t>
    </rPh>
    <rPh sb="20" eb="21">
      <t>ホメラレル</t>
    </rPh>
    <phoneticPr fontId="5"/>
  </si>
  <si>
    <t>アンタに割くリソースはカットよ！</t>
    <rPh sb="4" eb="5">
      <t>サク</t>
    </rPh>
    <phoneticPr fontId="5"/>
  </si>
  <si>
    <t>もういい加減に落ちて！</t>
    <rPh sb="4" eb="5">
      <t>カ</t>
    </rPh>
    <rPh sb="5" eb="6">
      <t>カゲｎ</t>
    </rPh>
    <rPh sb="7" eb="8">
      <t>オチチャエ</t>
    </rPh>
    <phoneticPr fontId="5"/>
  </si>
  <si>
    <t>どこまで耐えられるかしら？</t>
    <rPh sb="4" eb="5">
      <t>タエラレル</t>
    </rPh>
    <phoneticPr fontId="5"/>
  </si>
  <si>
    <t>開幕状態異常無効テティスR6存在時</t>
    <rPh sb="14" eb="17">
      <t>ソンザイジ</t>
    </rPh>
    <phoneticPr fontId="5"/>
  </si>
  <si>
    <t>開幕状態異常無効＋攻撃力永続UPテティスR6存在時</t>
    <rPh sb="22" eb="24">
      <t>ソンザイ</t>
    </rPh>
    <rPh sb="24" eb="25">
      <t>ジ</t>
    </rPh>
    <phoneticPr fontId="5"/>
  </si>
  <si>
    <t>エリスとテティス</t>
    <phoneticPr fontId="5"/>
  </si>
  <si>
    <t>システムリソース配分担当AIです
交渉によるリソース回収はテティス
リソース強制確保の速さはエリスが
それぞれ得意分野です</t>
    <rPh sb="8" eb="10">
      <t>ハイブｎ</t>
    </rPh>
    <rPh sb="10" eb="12">
      <t>タントウ</t>
    </rPh>
    <rPh sb="17" eb="19">
      <t>コウショウ</t>
    </rPh>
    <rPh sb="26" eb="28">
      <t>カイシュウ</t>
    </rPh>
    <rPh sb="40" eb="42">
      <t>カクホ</t>
    </rPh>
    <rPh sb="43" eb="44">
      <t>ハヤサ</t>
    </rPh>
    <rPh sb="55" eb="57">
      <t>トクイ</t>
    </rPh>
    <rPh sb="57" eb="59">
      <t>ブンヤ</t>
    </rPh>
    <phoneticPr fontId="5"/>
  </si>
  <si>
    <t>テティス！アンタは！
皆に媚び過ぎなのよ！</t>
    <rPh sb="11" eb="12">
      <t>ミンナ</t>
    </rPh>
    <rPh sb="13" eb="14">
      <t>コビル</t>
    </rPh>
    <rPh sb="15" eb="16">
      <t>スギ</t>
    </rPh>
    <phoneticPr fontId="5"/>
  </si>
  <si>
    <t>あああーっ！テティスぅー！！
ノコノコと現れたわね！！！</t>
    <rPh sb="20" eb="21">
      <t>アラワレタ</t>
    </rPh>
    <phoneticPr fontId="5"/>
  </si>
  <si>
    <t>アレス兄はまた色仕掛けでも
食らったのかしらね？</t>
    <rPh sb="7" eb="10">
      <t>イロジカケ</t>
    </rPh>
    <rPh sb="14" eb="15">
      <t>クラッタ</t>
    </rPh>
    <phoneticPr fontId="5"/>
  </si>
  <si>
    <t>た、確かに実力はあるようね
でもまだまだここからよ！！</t>
    <rPh sb="2" eb="3">
      <t>タシカニ</t>
    </rPh>
    <rPh sb="5" eb="7">
      <t>ジツリョク</t>
    </rPh>
    <phoneticPr fontId="5"/>
  </si>
  <si>
    <t>赤パネルを時限式ダメージパネルに変換</t>
    <rPh sb="0" eb="1">
      <t>アカ</t>
    </rPh>
    <rPh sb="5" eb="8">
      <t>ジゲンシキ</t>
    </rPh>
    <rPh sb="16" eb="18">
      <t>ヘンカｎ</t>
    </rPh>
    <phoneticPr fontId="5"/>
  </si>
  <si>
    <t>2回連続攻撃</t>
    <rPh sb="1" eb="2">
      <t>カイ</t>
    </rPh>
    <rPh sb="2" eb="6">
      <t>レンゾクコウゲキ</t>
    </rPh>
    <phoneticPr fontId="5"/>
  </si>
  <si>
    <t>行動頻度UP＋攻撃力UP</t>
    <rPh sb="0" eb="4">
      <t>コウドウヒンド</t>
    </rPh>
    <rPh sb="7" eb="10">
      <t>コウゲキリョク</t>
    </rPh>
    <phoneticPr fontId="5"/>
  </si>
  <si>
    <t xml:space="preserve">[effect:drop_block, block_type:time_bomb, block_color:block_red, color:block_blue, val:0.1, rate:0.5, turn:-1, min_time_count:3, max_time_count:5, animation:time_bomb_influence04]    </t>
    <phoneticPr fontId="5"/>
  </si>
  <si>
    <t xml:space="preserve">[effect:tolerance, target:myself, turn:-1, count:-1, tolerance_effect:all, animation:enemy_tolerance],[effect:enhance_enemy, target:myself, turn:3, status:attack, val:0.1, calc:mul, animation:enemy_enhance_attack]    </t>
    <phoneticPr fontId="5"/>
  </si>
  <si>
    <t xml:space="preserve">[effect:enhance_enemy, target:myself, turn:-1, status:attack, val:0.2, calc:mul, animation:enemy_enhance_attack]    </t>
    <phoneticPr fontId="5"/>
  </si>
  <si>
    <t xml:space="preserve">[effect:spread, val:0.2],[effect:rush, count:4, val:0.25] </t>
    <phoneticPr fontId="5"/>
  </si>
  <si>
    <t xml:space="preserve">[effect:spread, val:0.27],[effect:rush, count:4, val:0.35] </t>
    <phoneticPr fontId="5"/>
  </si>
  <si>
    <t xml:space="preserve">[effect:drop_block, block_type:time_bomb, block_color:block_red, color:block_blue, val:0.1, rate:0.5, turn:-1, min_time_count:3, max_time_count:5, animation:time_bomb_influence04]    </t>
    <phoneticPr fontId="5"/>
  </si>
  <si>
    <t>[effect:enemy_message, val1:3, val2:4]</t>
    <phoneticPr fontId="5"/>
  </si>
  <si>
    <t xml:space="preserve">[effect:rush, count:2, val:0.7] </t>
    <phoneticPr fontId="5"/>
  </si>
  <si>
    <t xml:space="preserve">[effect:fix_speed, target:myself, turn:1],[effect:enhance_enemy, target:myself, turn:-1, status:attack, val:0.35, calc:mul, animation:enemy_enhance_attack]  </t>
    <phoneticPr fontId="5"/>
  </si>
  <si>
    <t xml:space="preserve">[effect:spread, val:0.4]    </t>
    <phoneticPr fontId="5"/>
  </si>
  <si>
    <t xml:space="preserve">[effect:critical, val:1.75, animation:enemy_critical]    </t>
    <phoneticPr fontId="5"/>
  </si>
  <si>
    <t>[effect:kamikaze, val:1.2],[effect:virus, target:unit_all, turn:-1, rate:1, val:0.1, animation:enemy_virus]</t>
    <phoneticPr fontId="5"/>
  </si>
  <si>
    <t xml:space="preserve">[effect:fix_speed, target:myself, turn:1],[effect:enhance_enemy, target:myself, turn:-1, status:attack, val:0.4, calc:mul, animation:enemy_enhance_attack]  </t>
    <phoneticPr fontId="5"/>
  </si>
  <si>
    <t>[effect:kamikaze, val:1.3],[effect:virus, target:unit_all, turn:-1, rate:1, val:0.1, animation:enemy_virus]</t>
    <phoneticPr fontId="5"/>
  </si>
  <si>
    <t>full_member</t>
    <phoneticPr fontId="5"/>
  </si>
  <si>
    <t xml:space="preserve">[effect:tolerance, target:myself, turn:-1, count:-1, tolerance_effect:all, animation:enemy_tolerance],[effect:enhance_enemy, target:myself, turn:3, status:attack, val:0.15, calc:mul, animation:enemy_enhance_attack]    </t>
    <phoneticPr fontId="5"/>
  </si>
  <si>
    <t xml:space="preserve">[effect:spread, val:0.4],[effect:rush, count:4, val:0.5],[effect:enhance_enemy, target:myself, turn:3, status:attack, val:0.15, calc:mul, animation:enemy_enhance_attack] </t>
    <phoneticPr fontId="5"/>
  </si>
  <si>
    <t xml:space="preserve">[effect:spread, val:0.4],[effect:rush, count:4, val:0.5],[effect:enhance_enemy, target:myself, turn:3, status:attack, val:0.15, calc:mul, animation:enemy_enhance_attack] </t>
    <phoneticPr fontId="5"/>
  </si>
  <si>
    <t xml:space="preserve">[effect:damage_abnormal, target:unit_one, val:1.2, status:virus, turn:1, rate:1, val_abnormal:0.45, animation:enemy_virus]    </t>
    <phoneticPr fontId="5"/>
  </si>
  <si>
    <t xml:space="preserve">[effect:damage_abnormal, target:unit_one, val:1.2, status:virus, turn:1, rate:1, val_abnormal:0.4, animation:enemy_virus]    </t>
    <phoneticPr fontId="5"/>
  </si>
  <si>
    <t xml:space="preserve">[effect:damage_abnormal, target:unit_one, val:1.1, status:virus, turn:1, rate:1, val_abnormal:0.35, animation:enemy_virus]    </t>
    <phoneticPr fontId="5"/>
  </si>
  <si>
    <t xml:space="preserve">[effect:damage_abnormal, target:unit_one, val:0.6, status:virus, turn:1, rate:1, val_abnormal:0.45, animation:enemy_virus]    </t>
    <phoneticPr fontId="5"/>
  </si>
  <si>
    <t xml:space="preserve">[effect:tolerance, target:myself, turn:-1, count:-1, tolerance_effect:all, animation:enemy_tolerance],[effect:enhance_enemy, target:myself, turn:3, status:attack, val:0.15, calc:mul, animation:enemy_enhance_attack],[effect:enemy_message, val1:2.4, val2:1.8]        </t>
    <phoneticPr fontId="5"/>
  </si>
  <si>
    <t xml:space="preserve">[effect:damage_abnormal, target:unit_one, val:0.6, status:virus, turn:1, rate:1, val_abnormal:0.3, animation:enemy_virus]    </t>
    <phoneticPr fontId="5"/>
  </si>
  <si>
    <t xml:space="preserve">[effect:damage_abnormal, target:unit_one, val:1.2, status:virus, turn:1, rate:1, val_abnormal:0.55, animation:enemy_virus]      </t>
    <phoneticPr fontId="5"/>
  </si>
  <si>
    <t xml:space="preserve">[effect:damage_abnormal, target:unit_one, val:1.2, status:virus, turn:1, rate:1, val_abnormal:0.5, animation:enemy_virus]    </t>
    <phoneticPr fontId="5"/>
  </si>
  <si>
    <t xml:space="preserve">[effect:damage_abnormal, target:unit_one, val:1.1, status:virus, turn:1, rate:1, val_abnormal:0.45, animation:enemy_virus]    </t>
    <phoneticPr fontId="5"/>
  </si>
  <si>
    <t xml:space="preserve">[effect:damage_abnormal, target:unit_one, val:0.6, status:virus, turn:1, rate:1, val_abnormal:0.45, animation:enemy_virus]    </t>
    <phoneticPr fontId="5"/>
  </si>
  <si>
    <t xml:space="preserve">[effect:damage_abnormal, target:unit_one, val:0.6, status:virus, turn:1, rate:1, val_abnormal:0.4, animation:enemy_virus]    </t>
    <phoneticPr fontId="5"/>
  </si>
  <si>
    <t xml:space="preserve">[effect:tolerance, target:myself, turn:-1, count:-1, tolerance_effect:all, animation:enemy_tolerance],[effect:enemy_message, val1:2.4, val2:1.8]    </t>
    <phoneticPr fontId="5"/>
  </si>
  <si>
    <t xml:space="preserve">[effect:tolerance, target:myself, turn:-1, count:-1, tolerance_effect:all, animation:enemy_tolerance],[effect:enemy_message, val1:2.4, val2:1.8]    </t>
    <phoneticPr fontId="5"/>
  </si>
  <si>
    <t>青パネルが一定確率で
赤の時限式ダメージパネルとしてドロップ</t>
    <phoneticPr fontId="5"/>
  </si>
  <si>
    <t>青パネルが一定確率で
赤の時限式ダメージパネルとしてドロップ</t>
    <rPh sb="0" eb="1">
      <t>アオ</t>
    </rPh>
    <rPh sb="5" eb="9">
      <t>イッテイカクリツ</t>
    </rPh>
    <rPh sb="11" eb="12">
      <t>アカ</t>
    </rPh>
    <rPh sb="13" eb="16">
      <t>ジゲンシキ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</si>
</sst>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2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2"/>
      <color theme="1"/>
      <name val="メイリオ"/>
      <family val="3"/>
      <charset val="128"/>
    </font>
    <font>
      <sz val="10"/>
      <color rgb="FF000000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9.6"/>
      <color rgb="FF000000"/>
      <name val="メイリオ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slantDashDot">
        <color rgb="FFFF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slantDashDot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slantDashDot">
        <color rgb="FFFF000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rgb="FFFF0000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rgb="FFFF0000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1" fillId="16" borderId="13" applyNumberFormat="0" applyAlignment="0" applyProtection="0"/>
    <xf numFmtId="0" fontId="32" fillId="17" borderId="0" applyNumberFormat="0" applyBorder="0" applyAlignment="0" applyProtection="0"/>
    <xf numFmtId="0" fontId="33" fillId="18" borderId="14" applyNumberFormat="0" applyAlignment="0" applyProtection="0"/>
    <xf numFmtId="0" fontId="34" fillId="0" borderId="0" applyNumberFormat="0" applyFill="0" applyBorder="0" applyAlignment="0" applyProtection="0"/>
    <xf numFmtId="0" fontId="35" fillId="19" borderId="0" applyNumberFormat="0" applyBorder="0" applyAlignment="0" applyProtection="0"/>
    <xf numFmtId="0" fontId="36" fillId="20" borderId="15" applyNumberFormat="0" applyAlignment="0" applyProtection="0"/>
    <xf numFmtId="0" fontId="37" fillId="0" borderId="0" applyNumberFormat="0" applyFill="0" applyBorder="0" applyAlignment="0" applyProtection="0"/>
    <xf numFmtId="0" fontId="38" fillId="0" borderId="16" applyNumberFormat="0" applyFill="0" applyAlignment="0" applyProtection="0"/>
    <xf numFmtId="0" fontId="39" fillId="0" borderId="17" applyNumberFormat="0" applyFill="0" applyAlignment="0" applyProtection="0"/>
    <xf numFmtId="0" fontId="40" fillId="0" borderId="18" applyNumberFormat="0" applyFill="0" applyAlignment="0" applyProtection="0"/>
    <xf numFmtId="0" fontId="40" fillId="0" borderId="0" applyNumberFormat="0" applyFill="0" applyBorder="0" applyAlignment="0" applyProtection="0"/>
    <xf numFmtId="0" fontId="41" fillId="18" borderId="0" applyNumberFormat="0" applyBorder="0" applyAlignment="0" applyProtection="0"/>
    <xf numFmtId="0" fontId="41" fillId="17" borderId="0" applyNumberFormat="0" applyBorder="0" applyAlignment="0" applyProtection="0"/>
    <xf numFmtId="0" fontId="41" fillId="21" borderId="0" applyNumberFormat="0" applyBorder="0" applyAlignment="0" applyProtection="0"/>
    <xf numFmtId="0" fontId="41" fillId="18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8" borderId="0" applyNumberFormat="0" applyBorder="0" applyAlignment="0" applyProtection="0"/>
    <xf numFmtId="0" fontId="41" fillId="23" borderId="0" applyNumberFormat="0" applyBorder="0" applyAlignment="0" applyProtection="0"/>
    <xf numFmtId="0" fontId="41" fillId="21" borderId="0" applyNumberFormat="0" applyBorder="0" applyAlignment="0" applyProtection="0"/>
    <xf numFmtId="0" fontId="41" fillId="18" borderId="0" applyNumberFormat="0" applyBorder="0" applyAlignment="0" applyProtection="0"/>
    <xf numFmtId="0" fontId="41" fillId="24" borderId="0" applyNumberFormat="0" applyBorder="0" applyAlignment="0" applyProtection="0"/>
    <xf numFmtId="0" fontId="41" fillId="17" borderId="0" applyNumberFormat="0" applyBorder="0" applyAlignment="0" applyProtection="0"/>
    <xf numFmtId="0" fontId="42" fillId="25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5" borderId="0" applyNumberFormat="0" applyBorder="0" applyAlignment="0" applyProtection="0"/>
    <xf numFmtId="0" fontId="42" fillId="17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25" borderId="0" applyNumberFormat="0" applyBorder="0" applyAlignment="0" applyProtection="0"/>
    <xf numFmtId="0" fontId="42" fillId="26" borderId="0" applyNumberFormat="0" applyBorder="0" applyAlignment="0" applyProtection="0"/>
    <xf numFmtId="0" fontId="42" fillId="21" borderId="0" applyNumberFormat="0" applyBorder="0" applyAlignment="0" applyProtection="0"/>
    <xf numFmtId="0" fontId="42" fillId="27" borderId="0" applyNumberFormat="0" applyBorder="0" applyAlignment="0" applyProtection="0"/>
    <xf numFmtId="0" fontId="42" fillId="25" borderId="0" applyNumberFormat="0" applyBorder="0" applyAlignment="0" applyProtection="0"/>
    <xf numFmtId="0" fontId="42" fillId="23" borderId="0" applyNumberFormat="0" applyBorder="0" applyAlignment="0" applyProtection="0"/>
    <xf numFmtId="0" fontId="43" fillId="28" borderId="0" applyNumberFormat="0" applyBorder="0" applyAlignment="0" applyProtection="0"/>
    <xf numFmtId="0" fontId="32" fillId="17" borderId="0" applyNumberFormat="0" applyBorder="0" applyAlignment="0" applyProtection="0"/>
    <xf numFmtId="0" fontId="44" fillId="0" borderId="19" applyNumberFormat="0" applyFill="0" applyAlignment="0" applyProtection="0"/>
    <xf numFmtId="0" fontId="45" fillId="18" borderId="20" applyNumberFormat="0" applyAlignment="0" applyProtection="0"/>
    <xf numFmtId="0" fontId="45" fillId="29" borderId="20" applyNumberFormat="0" applyAlignment="0" applyProtection="0"/>
    <xf numFmtId="0" fontId="33" fillId="17" borderId="14" applyNumberFormat="0" applyAlignment="0" applyProtection="0"/>
    <xf numFmtId="0" fontId="46" fillId="0" borderId="21" applyNumberFormat="0" applyFill="0" applyAlignment="0" applyProtection="0"/>
    <xf numFmtId="0" fontId="47" fillId="29" borderId="14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3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27" fillId="0" borderId="0" xfId="0" applyFont="1" applyFill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0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1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3" borderId="24" xfId="0" applyFont="1" applyFill="1" applyBorder="1" applyAlignment="1">
      <alignment horizontal="left" vertical="center"/>
    </xf>
    <xf numFmtId="0" fontId="16" fillId="3" borderId="24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6" xfId="0" applyFont="1" applyBorder="1" applyAlignment="1">
      <alignment vertical="center"/>
    </xf>
    <xf numFmtId="177" fontId="8" fillId="0" borderId="26" xfId="0" applyNumberFormat="1" applyFont="1" applyBorder="1" applyAlignment="1">
      <alignment vertical="center"/>
    </xf>
    <xf numFmtId="1" fontId="31" fillId="31" borderId="12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12" fillId="7" borderId="23" xfId="0" applyFont="1" applyFill="1" applyBorder="1" applyAlignment="1">
      <alignment vertical="center"/>
    </xf>
    <xf numFmtId="0" fontId="4" fillId="0" borderId="24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6" fillId="0" borderId="24" xfId="0" applyFont="1" applyFill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6" fillId="5" borderId="29" xfId="0" applyFont="1" applyFill="1" applyBorder="1" applyAlignment="1">
      <alignment vertical="center"/>
    </xf>
    <xf numFmtId="0" fontId="8" fillId="0" borderId="30" xfId="0" applyFont="1" applyBorder="1" applyAlignment="1">
      <alignment vertical="center"/>
    </xf>
    <xf numFmtId="1" fontId="31" fillId="31" borderId="24" xfId="0" applyNumberFormat="1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3" borderId="24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6" fillId="5" borderId="33" xfId="0" applyFont="1" applyFill="1" applyBorder="1" applyAlignment="1">
      <alignment vertical="center"/>
    </xf>
    <xf numFmtId="0" fontId="6" fillId="5" borderId="34" xfId="0" applyFont="1" applyFill="1" applyBorder="1" applyAlignment="1">
      <alignment vertical="center"/>
    </xf>
    <xf numFmtId="0" fontId="16" fillId="0" borderId="24" xfId="0" applyFont="1" applyFill="1" applyBorder="1" applyAlignment="1">
      <alignment horizontal="left" vertical="center" wrapText="1"/>
    </xf>
    <xf numFmtId="0" fontId="14" fillId="7" borderId="0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4" fillId="7" borderId="2" xfId="0" applyFont="1" applyFill="1" applyBorder="1" applyAlignment="1">
      <alignment vertical="center"/>
    </xf>
    <xf numFmtId="0" fontId="14" fillId="7" borderId="35" xfId="0" applyFont="1" applyFill="1" applyBorder="1" applyAlignment="1">
      <alignment vertical="center"/>
    </xf>
    <xf numFmtId="0" fontId="16" fillId="0" borderId="36" xfId="0" applyFont="1" applyFill="1" applyBorder="1" applyAlignment="1">
      <alignment vertical="center"/>
    </xf>
    <xf numFmtId="0" fontId="16" fillId="3" borderId="36" xfId="0" applyFont="1" applyFill="1" applyBorder="1" applyAlignment="1">
      <alignment horizontal="left" vertical="center"/>
    </xf>
    <xf numFmtId="0" fontId="16" fillId="3" borderId="36" xfId="0" applyFont="1" applyFill="1" applyBorder="1" applyAlignment="1">
      <alignment vertical="center"/>
    </xf>
    <xf numFmtId="0" fontId="16" fillId="0" borderId="37" xfId="0" applyFont="1" applyFill="1" applyBorder="1" applyAlignment="1">
      <alignment horizontal="left" vertical="center" wrapText="1"/>
    </xf>
    <xf numFmtId="0" fontId="14" fillId="7" borderId="38" xfId="0" applyFont="1" applyFill="1" applyBorder="1" applyAlignment="1">
      <alignment vertical="center"/>
    </xf>
    <xf numFmtId="0" fontId="16" fillId="0" borderId="39" xfId="0" applyFont="1" applyFill="1" applyBorder="1" applyAlignment="1">
      <alignment horizontal="left" vertical="center" wrapText="1"/>
    </xf>
    <xf numFmtId="0" fontId="14" fillId="7" borderId="40" xfId="0" applyFont="1" applyFill="1" applyBorder="1" applyAlignment="1">
      <alignment vertical="center"/>
    </xf>
    <xf numFmtId="0" fontId="16" fillId="0" borderId="41" xfId="0" applyFont="1" applyFill="1" applyBorder="1" applyAlignment="1">
      <alignment horizontal="left" vertical="center" wrapText="1"/>
    </xf>
    <xf numFmtId="0" fontId="16" fillId="6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0" fillId="0" borderId="35" xfId="0" applyBorder="1"/>
    <xf numFmtId="0" fontId="0" fillId="0" borderId="36" xfId="0" applyBorder="1"/>
    <xf numFmtId="0" fontId="0" fillId="3" borderId="36" xfId="0" applyFill="1" applyBorder="1"/>
    <xf numFmtId="0" fontId="6" fillId="5" borderId="36" xfId="0" applyFont="1" applyFill="1" applyBorder="1" applyAlignment="1">
      <alignment vertical="center"/>
    </xf>
    <xf numFmtId="0" fontId="0" fillId="0" borderId="38" xfId="0" applyBorder="1"/>
    <xf numFmtId="0" fontId="0" fillId="0" borderId="40" xfId="0" applyBorder="1"/>
    <xf numFmtId="0" fontId="0" fillId="0" borderId="24" xfId="0" applyBorder="1"/>
    <xf numFmtId="0" fontId="0" fillId="3" borderId="24" xfId="0" applyFill="1" applyBorder="1"/>
    <xf numFmtId="0" fontId="6" fillId="5" borderId="24" xfId="0" applyFont="1" applyFill="1" applyBorder="1" applyAlignment="1">
      <alignment vertical="center"/>
    </xf>
    <xf numFmtId="0" fontId="16" fillId="6" borderId="2" xfId="614" applyFont="1" applyFill="1" applyBorder="1" applyAlignment="1">
      <alignment horizontal="left"/>
    </xf>
    <xf numFmtId="0" fontId="16" fillId="3" borderId="2" xfId="614" applyFont="1" applyFill="1" applyBorder="1" applyAlignment="1">
      <alignment horizontal="left"/>
    </xf>
    <xf numFmtId="0" fontId="0" fillId="6" borderId="2" xfId="615" applyFont="1" applyFill="1" applyBorder="1"/>
    <xf numFmtId="0" fontId="0" fillId="0" borderId="42" xfId="0" applyBorder="1"/>
    <xf numFmtId="0" fontId="0" fillId="0" borderId="8" xfId="0" applyBorder="1"/>
    <xf numFmtId="0" fontId="0" fillId="0" borderId="43" xfId="0" applyBorder="1"/>
    <xf numFmtId="0" fontId="16" fillId="6" borderId="25" xfId="614" applyFont="1" applyFill="1" applyBorder="1" applyAlignment="1">
      <alignment horizontal="left"/>
    </xf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13" borderId="45" xfId="0" applyFill="1" applyBorder="1"/>
    <xf numFmtId="0" fontId="0" fillId="13" borderId="47" xfId="0" applyFill="1" applyBorder="1"/>
    <xf numFmtId="0" fontId="14" fillId="7" borderId="48" xfId="0" applyFont="1" applyFill="1" applyBorder="1" applyAlignment="1">
      <alignment vertical="center"/>
    </xf>
    <xf numFmtId="0" fontId="16" fillId="0" borderId="49" xfId="0" applyFont="1" applyFill="1" applyBorder="1" applyAlignment="1">
      <alignment horizontal="left" vertical="center" wrapText="1"/>
    </xf>
    <xf numFmtId="0" fontId="16" fillId="0" borderId="50" xfId="0" applyFont="1" applyFill="1" applyBorder="1" applyAlignment="1">
      <alignment horizontal="left" vertical="center" wrapText="1"/>
    </xf>
    <xf numFmtId="0" fontId="14" fillId="7" borderId="51" xfId="0" applyFont="1" applyFill="1" applyBorder="1" applyAlignment="1">
      <alignment vertical="center"/>
    </xf>
    <xf numFmtId="0" fontId="16" fillId="0" borderId="25" xfId="0" applyFont="1" applyFill="1" applyBorder="1" applyAlignment="1">
      <alignment vertical="center"/>
    </xf>
    <xf numFmtId="0" fontId="16" fillId="3" borderId="25" xfId="0" applyFont="1" applyFill="1" applyBorder="1" applyAlignment="1">
      <alignment horizontal="left" vertical="center"/>
    </xf>
    <xf numFmtId="0" fontId="16" fillId="3" borderId="25" xfId="0" applyFont="1" applyFill="1" applyBorder="1" applyAlignment="1">
      <alignment vertical="center"/>
    </xf>
    <xf numFmtId="0" fontId="16" fillId="0" borderId="52" xfId="0" applyFont="1" applyFill="1" applyBorder="1" applyAlignment="1">
      <alignment horizontal="left" vertical="center" wrapText="1"/>
    </xf>
    <xf numFmtId="0" fontId="16" fillId="0" borderId="35" xfId="0" applyFont="1" applyFill="1" applyBorder="1" applyAlignment="1">
      <alignment vertical="center"/>
    </xf>
    <xf numFmtId="0" fontId="16" fillId="0" borderId="36" xfId="0" applyFont="1" applyFill="1" applyBorder="1" applyAlignment="1">
      <alignment horizontal="left" vertical="center"/>
    </xf>
    <xf numFmtId="0" fontId="16" fillId="0" borderId="36" xfId="0" applyFont="1" applyFill="1" applyBorder="1" applyAlignment="1">
      <alignment horizontal="left" vertical="center" wrapText="1"/>
    </xf>
    <xf numFmtId="0" fontId="16" fillId="3" borderId="36" xfId="0" applyFont="1" applyFill="1" applyBorder="1" applyAlignment="1">
      <alignment horizontal="left" vertical="center" wrapText="1"/>
    </xf>
    <xf numFmtId="14" fontId="16" fillId="0" borderId="36" xfId="0" applyNumberFormat="1" applyFont="1" applyFill="1" applyBorder="1" applyAlignment="1">
      <alignment horizontal="left" vertical="center"/>
    </xf>
    <xf numFmtId="0" fontId="16" fillId="0" borderId="40" xfId="0" applyFont="1" applyFill="1" applyBorder="1" applyAlignment="1">
      <alignment vertical="center"/>
    </xf>
    <xf numFmtId="0" fontId="16" fillId="0" borderId="24" xfId="0" applyFont="1" applyFill="1" applyBorder="1" applyAlignment="1">
      <alignment horizontal="left" vertical="center"/>
    </xf>
    <xf numFmtId="0" fontId="16" fillId="3" borderId="24" xfId="0" applyFont="1" applyFill="1" applyBorder="1" applyAlignment="1">
      <alignment horizontal="left" vertical="center" wrapText="1"/>
    </xf>
    <xf numFmtId="14" fontId="16" fillId="0" borderId="24" xfId="0" applyNumberFormat="1" applyFont="1" applyFill="1" applyBorder="1" applyAlignment="1">
      <alignment horizontal="left" vertical="center"/>
    </xf>
    <xf numFmtId="0" fontId="16" fillId="0" borderId="38" xfId="0" applyFont="1" applyFill="1" applyBorder="1" applyAlignment="1">
      <alignment vertical="center"/>
    </xf>
    <xf numFmtId="0" fontId="16" fillId="0" borderId="53" xfId="0" applyFont="1" applyFill="1" applyBorder="1" applyAlignment="1">
      <alignment horizontal="left" vertical="center" wrapText="1"/>
    </xf>
    <xf numFmtId="0" fontId="14" fillId="7" borderId="7" xfId="0" applyFont="1" applyFill="1" applyBorder="1" applyAlignment="1">
      <alignment vertical="center"/>
    </xf>
    <xf numFmtId="0" fontId="14" fillId="7" borderId="2" xfId="0" applyFont="1" applyFill="1" applyBorder="1" applyAlignment="1">
      <alignment horizontal="center" vertical="center"/>
    </xf>
    <xf numFmtId="0" fontId="14" fillId="7" borderId="36" xfId="0" applyFont="1" applyFill="1" applyBorder="1" applyAlignment="1">
      <alignment vertical="center"/>
    </xf>
    <xf numFmtId="0" fontId="14" fillId="7" borderId="24" xfId="0" applyFont="1" applyFill="1" applyBorder="1" applyAlignment="1">
      <alignment vertical="center"/>
    </xf>
    <xf numFmtId="0" fontId="51" fillId="6" borderId="7" xfId="0" applyFont="1" applyFill="1" applyBorder="1" applyAlignment="1">
      <alignment horizontal="center"/>
    </xf>
    <xf numFmtId="0" fontId="52" fillId="6" borderId="7" xfId="0" applyFont="1" applyFill="1" applyBorder="1" applyAlignment="1">
      <alignment horizontal="center"/>
    </xf>
    <xf numFmtId="0" fontId="52" fillId="3" borderId="7" xfId="0" applyFont="1" applyFill="1" applyBorder="1" applyAlignment="1">
      <alignment horizontal="center"/>
    </xf>
    <xf numFmtId="0" fontId="52" fillId="30" borderId="7" xfId="0" applyFont="1" applyFill="1" applyBorder="1" applyAlignment="1">
      <alignment horizontal="center"/>
    </xf>
    <xf numFmtId="0" fontId="52" fillId="13" borderId="7" xfId="0" applyFont="1" applyFill="1" applyBorder="1" applyAlignment="1">
      <alignment horizontal="center"/>
    </xf>
    <xf numFmtId="0" fontId="52" fillId="15" borderId="7" xfId="0" applyFont="1" applyFill="1" applyBorder="1" applyAlignment="1">
      <alignment horizontal="center"/>
    </xf>
    <xf numFmtId="0" fontId="52" fillId="14" borderId="7" xfId="0" applyFont="1" applyFill="1" applyBorder="1" applyAlignment="1">
      <alignment horizontal="center"/>
    </xf>
    <xf numFmtId="56" fontId="52" fillId="14" borderId="7" xfId="0" applyNumberFormat="1" applyFont="1" applyFill="1" applyBorder="1" applyAlignment="1">
      <alignment horizontal="center"/>
    </xf>
    <xf numFmtId="0" fontId="53" fillId="15" borderId="7" xfId="0" applyFont="1" applyFill="1" applyBorder="1"/>
    <xf numFmtId="0" fontId="53" fillId="0" borderId="0" xfId="0" applyFont="1"/>
    <xf numFmtId="0" fontId="51" fillId="0" borderId="7" xfId="0" applyFont="1" applyFill="1" applyBorder="1"/>
    <xf numFmtId="0" fontId="54" fillId="0" borderId="7" xfId="0" applyFont="1" applyFill="1" applyBorder="1"/>
    <xf numFmtId="0" fontId="55" fillId="3" borderId="12" xfId="0" applyFont="1" applyFill="1" applyBorder="1" applyAlignment="1">
      <alignment vertical="center"/>
    </xf>
    <xf numFmtId="0" fontId="56" fillId="0" borderId="7" xfId="0" applyFont="1" applyFill="1" applyBorder="1"/>
    <xf numFmtId="0" fontId="55" fillId="0" borderId="12" xfId="0" applyFont="1" applyFill="1" applyBorder="1" applyAlignment="1">
      <alignment vertical="center"/>
    </xf>
    <xf numFmtId="0" fontId="56" fillId="30" borderId="7" xfId="0" applyFont="1" applyFill="1" applyBorder="1"/>
    <xf numFmtId="0" fontId="56" fillId="14" borderId="7" xfId="0" applyFont="1" applyFill="1" applyBorder="1"/>
    <xf numFmtId="38" fontId="52" fillId="0" borderId="7" xfId="628" applyFont="1" applyFill="1" applyBorder="1" applyAlignment="1">
      <alignment wrapText="1"/>
    </xf>
    <xf numFmtId="0" fontId="53" fillId="0" borderId="7" xfId="0" applyFont="1" applyBorder="1"/>
    <xf numFmtId="0" fontId="56" fillId="0" borderId="25" xfId="0" applyFont="1" applyFill="1" applyBorder="1"/>
    <xf numFmtId="0" fontId="55" fillId="0" borderId="25" xfId="0" applyFont="1" applyFill="1" applyBorder="1" applyAlignment="1">
      <alignment vertical="center"/>
    </xf>
    <xf numFmtId="0" fontId="51" fillId="0" borderId="0" xfId="0" applyFont="1" applyFill="1"/>
    <xf numFmtId="0" fontId="16" fillId="0" borderId="2" xfId="0" applyFont="1" applyFill="1" applyBorder="1" applyAlignment="1">
      <alignment vertical="center"/>
    </xf>
    <xf numFmtId="0" fontId="16" fillId="0" borderId="54" xfId="0" applyFont="1" applyFill="1" applyBorder="1" applyAlignment="1">
      <alignment horizontal="left" vertical="center" wrapText="1"/>
    </xf>
    <xf numFmtId="0" fontId="14" fillId="7" borderId="55" xfId="0" applyFont="1" applyFill="1" applyBorder="1" applyAlignment="1">
      <alignment vertical="center"/>
    </xf>
    <xf numFmtId="0" fontId="16" fillId="0" borderId="56" xfId="0" applyFont="1" applyFill="1" applyBorder="1" applyAlignment="1">
      <alignment vertical="center"/>
    </xf>
    <xf numFmtId="0" fontId="16" fillId="3" borderId="56" xfId="0" applyFont="1" applyFill="1" applyBorder="1" applyAlignment="1">
      <alignment horizontal="left" vertical="center"/>
    </xf>
    <xf numFmtId="0" fontId="16" fillId="3" borderId="56" xfId="0" applyFont="1" applyFill="1" applyBorder="1" applyAlignment="1">
      <alignment vertical="center"/>
    </xf>
    <xf numFmtId="0" fontId="16" fillId="0" borderId="48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 wrapText="1"/>
    </xf>
    <xf numFmtId="14" fontId="16" fillId="0" borderId="12" xfId="0" applyNumberFormat="1" applyFont="1" applyFill="1" applyBorder="1" applyAlignment="1">
      <alignment horizontal="left" vertical="center"/>
    </xf>
    <xf numFmtId="0" fontId="16" fillId="0" borderId="57" xfId="0" applyFont="1" applyFill="1" applyBorder="1" applyAlignment="1">
      <alignment vertical="center"/>
    </xf>
    <xf numFmtId="0" fontId="16" fillId="0" borderId="58" xfId="0" applyFont="1" applyFill="1" applyBorder="1" applyAlignment="1">
      <alignment vertical="center"/>
    </xf>
    <xf numFmtId="0" fontId="16" fillId="0" borderId="58" xfId="0" applyFont="1" applyFill="1" applyBorder="1" applyAlignment="1">
      <alignment horizontal="left" vertical="center"/>
    </xf>
    <xf numFmtId="0" fontId="16" fillId="0" borderId="58" xfId="0" applyFont="1" applyFill="1" applyBorder="1" applyAlignment="1">
      <alignment horizontal="left" vertical="center" wrapText="1"/>
    </xf>
    <xf numFmtId="0" fontId="16" fillId="3" borderId="58" xfId="0" applyFont="1" applyFill="1" applyBorder="1" applyAlignment="1">
      <alignment horizontal="left" vertical="center" wrapText="1"/>
    </xf>
    <xf numFmtId="0" fontId="16" fillId="3" borderId="58" xfId="0" applyFont="1" applyFill="1" applyBorder="1" applyAlignment="1">
      <alignment vertical="center"/>
    </xf>
    <xf numFmtId="14" fontId="16" fillId="0" borderId="58" xfId="0" applyNumberFormat="1" applyFont="1" applyFill="1" applyBorder="1" applyAlignment="1">
      <alignment horizontal="left" vertical="center"/>
    </xf>
    <xf numFmtId="0" fontId="16" fillId="0" borderId="59" xfId="0" applyFont="1" applyFill="1" applyBorder="1" applyAlignment="1">
      <alignment horizontal="left" vertical="center" wrapText="1"/>
    </xf>
    <xf numFmtId="0" fontId="14" fillId="7" borderId="60" xfId="0" applyFont="1" applyFill="1" applyBorder="1" applyAlignment="1">
      <alignment vertical="center"/>
    </xf>
    <xf numFmtId="0" fontId="14" fillId="7" borderId="61" xfId="0" applyFont="1" applyFill="1" applyBorder="1" applyAlignment="1">
      <alignment vertical="center"/>
    </xf>
    <xf numFmtId="0" fontId="14" fillId="7" borderId="62" xfId="0" applyFont="1" applyFill="1" applyBorder="1" applyAlignment="1">
      <alignment vertical="center"/>
    </xf>
    <xf numFmtId="0" fontId="16" fillId="0" borderId="10" xfId="0" applyFont="1" applyFill="1" applyBorder="1" applyAlignment="1">
      <alignment vertical="center"/>
    </xf>
    <xf numFmtId="0" fontId="14" fillId="7" borderId="64" xfId="0" applyFont="1" applyFill="1" applyBorder="1" applyAlignment="1">
      <alignment vertical="center"/>
    </xf>
    <xf numFmtId="0" fontId="16" fillId="0" borderId="63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14001</v>
          </cell>
        </row>
        <row r="94">
          <cell r="A94">
            <v>14002</v>
          </cell>
        </row>
        <row r="95">
          <cell r="A95">
            <v>14003</v>
          </cell>
        </row>
        <row r="96">
          <cell r="A96">
            <v>14004</v>
          </cell>
        </row>
        <row r="97">
          <cell r="A97">
            <v>14005</v>
          </cell>
        </row>
        <row r="98">
          <cell r="A98">
            <v>14006</v>
          </cell>
        </row>
        <row r="99">
          <cell r="A99">
            <v>15027</v>
          </cell>
        </row>
        <row r="100">
          <cell r="A100">
            <v>15028</v>
          </cell>
        </row>
        <row r="101">
          <cell r="A101">
            <v>15029</v>
          </cell>
        </row>
        <row r="102">
          <cell r="A102">
            <v>15030</v>
          </cell>
        </row>
        <row r="103">
          <cell r="A103">
            <v>15031</v>
          </cell>
        </row>
        <row r="104">
          <cell r="A104">
            <v>20001</v>
          </cell>
        </row>
        <row r="105">
          <cell r="A105">
            <v>20002</v>
          </cell>
        </row>
        <row r="106">
          <cell r="A106">
            <v>20003</v>
          </cell>
        </row>
        <row r="107">
          <cell r="A107">
            <v>20004</v>
          </cell>
        </row>
        <row r="108">
          <cell r="A108">
            <v>20005</v>
          </cell>
        </row>
        <row r="109">
          <cell r="A109">
            <v>20006</v>
          </cell>
        </row>
        <row r="110">
          <cell r="A110">
            <v>20007</v>
          </cell>
        </row>
        <row r="111">
          <cell r="A111">
            <v>20008</v>
          </cell>
        </row>
        <row r="112">
          <cell r="A112">
            <v>20009</v>
          </cell>
        </row>
        <row r="113">
          <cell r="A113">
            <v>20010</v>
          </cell>
        </row>
        <row r="114">
          <cell r="A114">
            <v>20011</v>
          </cell>
        </row>
        <row r="115">
          <cell r="A115">
            <v>20012</v>
          </cell>
        </row>
        <row r="116">
          <cell r="A116">
            <v>20013</v>
          </cell>
        </row>
        <row r="117">
          <cell r="A117">
            <v>20014</v>
          </cell>
        </row>
        <row r="118">
          <cell r="A118">
            <v>20015</v>
          </cell>
        </row>
        <row r="119">
          <cell r="A119">
            <v>20016</v>
          </cell>
        </row>
        <row r="120">
          <cell r="A120">
            <v>20017</v>
          </cell>
        </row>
        <row r="121">
          <cell r="A121">
            <v>20018</v>
          </cell>
        </row>
        <row r="122">
          <cell r="A122">
            <v>20019</v>
          </cell>
        </row>
        <row r="123">
          <cell r="A123">
            <v>20020</v>
          </cell>
        </row>
        <row r="124">
          <cell r="A124">
            <v>20021</v>
          </cell>
        </row>
        <row r="125">
          <cell r="A125">
            <v>30001</v>
          </cell>
        </row>
        <row r="126">
          <cell r="A126">
            <v>30002</v>
          </cell>
        </row>
        <row r="127">
          <cell r="A127">
            <v>30003</v>
          </cell>
        </row>
        <row r="128">
          <cell r="A128">
            <v>30004</v>
          </cell>
        </row>
        <row r="129">
          <cell r="A129">
            <v>30005</v>
          </cell>
        </row>
        <row r="130">
          <cell r="A130">
            <v>30006</v>
          </cell>
        </row>
        <row r="131">
          <cell r="A131">
            <v>30007</v>
          </cell>
        </row>
        <row r="132">
          <cell r="A132">
            <v>30008</v>
          </cell>
        </row>
        <row r="133">
          <cell r="A133">
            <v>30009</v>
          </cell>
        </row>
        <row r="134">
          <cell r="A134">
            <v>30010</v>
          </cell>
        </row>
        <row r="135">
          <cell r="A135">
            <v>30011</v>
          </cell>
        </row>
        <row r="136">
          <cell r="A136">
            <v>30012</v>
          </cell>
        </row>
        <row r="137">
          <cell r="A137">
            <v>30013</v>
          </cell>
        </row>
        <row r="138">
          <cell r="A138">
            <v>30014</v>
          </cell>
        </row>
        <row r="139">
          <cell r="A139">
            <v>30015</v>
          </cell>
        </row>
        <row r="140">
          <cell r="A140">
            <v>30016</v>
          </cell>
        </row>
        <row r="141">
          <cell r="A141">
            <v>30017</v>
          </cell>
        </row>
        <row r="142">
          <cell r="A142">
            <v>30018</v>
          </cell>
        </row>
        <row r="143">
          <cell r="A143">
            <v>30019</v>
          </cell>
        </row>
        <row r="144">
          <cell r="A144">
            <v>30020</v>
          </cell>
        </row>
        <row r="145">
          <cell r="A145">
            <v>30021</v>
          </cell>
        </row>
        <row r="146">
          <cell r="A146">
            <v>30022</v>
          </cell>
        </row>
        <row r="147">
          <cell r="A147">
            <v>30023</v>
          </cell>
        </row>
        <row r="148">
          <cell r="A148">
            <v>30024</v>
          </cell>
        </row>
        <row r="149">
          <cell r="A149">
            <v>30025</v>
          </cell>
        </row>
        <row r="150">
          <cell r="A150">
            <v>30026</v>
          </cell>
        </row>
        <row r="151">
          <cell r="A151">
            <v>30027</v>
          </cell>
        </row>
        <row r="152">
          <cell r="A152">
            <v>30028</v>
          </cell>
        </row>
        <row r="153">
          <cell r="A153">
            <v>30029</v>
          </cell>
        </row>
        <row r="154">
          <cell r="A154">
            <v>30030</v>
          </cell>
        </row>
        <row r="155">
          <cell r="A155">
            <v>30031</v>
          </cell>
        </row>
        <row r="156">
          <cell r="A156">
            <v>30032</v>
          </cell>
        </row>
        <row r="157">
          <cell r="A157">
            <v>30033</v>
          </cell>
        </row>
        <row r="158">
          <cell r="A158">
            <v>30034</v>
          </cell>
        </row>
        <row r="159">
          <cell r="A159">
            <v>30035</v>
          </cell>
        </row>
        <row r="160">
          <cell r="A160">
            <v>30036</v>
          </cell>
        </row>
        <row r="161">
          <cell r="A161">
            <v>30037</v>
          </cell>
        </row>
        <row r="162">
          <cell r="A162">
            <v>30038</v>
          </cell>
        </row>
        <row r="163">
          <cell r="A163">
            <v>30039</v>
          </cell>
        </row>
        <row r="164">
          <cell r="A164">
            <v>30040</v>
          </cell>
        </row>
        <row r="165">
          <cell r="A165">
            <v>30041</v>
          </cell>
        </row>
        <row r="166">
          <cell r="A166">
            <v>30042</v>
          </cell>
        </row>
        <row r="167">
          <cell r="A167">
            <v>39001</v>
          </cell>
        </row>
        <row r="168">
          <cell r="A168">
            <v>39002</v>
          </cell>
        </row>
        <row r="169">
          <cell r="A169">
            <v>39003</v>
          </cell>
        </row>
        <row r="170">
          <cell r="A170">
            <v>39004</v>
          </cell>
        </row>
        <row r="171">
          <cell r="A171">
            <v>39005</v>
          </cell>
        </row>
        <row r="172">
          <cell r="A172">
            <v>39006</v>
          </cell>
        </row>
        <row r="173">
          <cell r="A173">
            <v>39007</v>
          </cell>
        </row>
        <row r="174">
          <cell r="A174">
            <v>40001</v>
          </cell>
        </row>
        <row r="175">
          <cell r="A175">
            <v>40002</v>
          </cell>
        </row>
        <row r="176">
          <cell r="A176">
            <v>40003</v>
          </cell>
        </row>
        <row r="177">
          <cell r="A177">
            <v>40004</v>
          </cell>
        </row>
        <row r="178">
          <cell r="A178">
            <v>40005</v>
          </cell>
        </row>
        <row r="179">
          <cell r="A179">
            <v>40006</v>
          </cell>
        </row>
        <row r="180">
          <cell r="A180">
            <v>40007</v>
          </cell>
        </row>
        <row r="181">
          <cell r="A181">
            <v>40008</v>
          </cell>
        </row>
        <row r="182">
          <cell r="A182">
            <v>40009</v>
          </cell>
        </row>
        <row r="183">
          <cell r="A183">
            <v>40010</v>
          </cell>
        </row>
        <row r="184">
          <cell r="A184">
            <v>40011</v>
          </cell>
        </row>
        <row r="185">
          <cell r="A185">
            <v>40012</v>
          </cell>
        </row>
        <row r="186">
          <cell r="A186">
            <v>40013</v>
          </cell>
        </row>
        <row r="187">
          <cell r="A187">
            <v>40014</v>
          </cell>
        </row>
        <row r="188">
          <cell r="A188">
            <v>40015</v>
          </cell>
        </row>
        <row r="189">
          <cell r="A189">
            <v>40016</v>
          </cell>
        </row>
        <row r="190">
          <cell r="A190">
            <v>40017</v>
          </cell>
        </row>
        <row r="191">
          <cell r="A191">
            <v>40018</v>
          </cell>
        </row>
        <row r="192">
          <cell r="A192">
            <v>40019</v>
          </cell>
        </row>
        <row r="193">
          <cell r="A193">
            <v>40021</v>
          </cell>
        </row>
        <row r="194">
          <cell r="A194">
            <v>40022</v>
          </cell>
        </row>
        <row r="195">
          <cell r="A195">
            <v>40023</v>
          </cell>
        </row>
        <row r="196">
          <cell r="A196">
            <v>40024</v>
          </cell>
        </row>
        <row r="197">
          <cell r="A197">
            <v>40025</v>
          </cell>
        </row>
        <row r="198">
          <cell r="A198">
            <v>40026</v>
          </cell>
        </row>
        <row r="199">
          <cell r="A199">
            <v>40027</v>
          </cell>
        </row>
        <row r="200">
          <cell r="A200">
            <v>40028</v>
          </cell>
        </row>
        <row r="201">
          <cell r="A201">
            <v>40029</v>
          </cell>
        </row>
        <row r="202">
          <cell r="A202">
            <v>40030</v>
          </cell>
        </row>
        <row r="203">
          <cell r="A203">
            <v>40031</v>
          </cell>
        </row>
        <row r="204">
          <cell r="A204">
            <v>40032</v>
          </cell>
        </row>
        <row r="205">
          <cell r="A205">
            <v>40033</v>
          </cell>
        </row>
        <row r="206">
          <cell r="A206">
            <v>48001</v>
          </cell>
        </row>
        <row r="207">
          <cell r="A207">
            <v>48002</v>
          </cell>
        </row>
        <row r="208">
          <cell r="A208">
            <v>48003</v>
          </cell>
        </row>
        <row r="209">
          <cell r="A209">
            <v>48004</v>
          </cell>
        </row>
        <row r="210">
          <cell r="A210">
            <v>48005</v>
          </cell>
        </row>
        <row r="211">
          <cell r="A211">
            <v>48006</v>
          </cell>
        </row>
        <row r="212">
          <cell r="A212">
            <v>41001</v>
          </cell>
        </row>
        <row r="213">
          <cell r="A213">
            <v>41002</v>
          </cell>
        </row>
        <row r="214">
          <cell r="A214">
            <v>41003</v>
          </cell>
        </row>
        <row r="215">
          <cell r="A215">
            <v>41004</v>
          </cell>
        </row>
        <row r="216">
          <cell r="A216">
            <v>41005</v>
          </cell>
        </row>
        <row r="217">
          <cell r="A217">
            <v>41006</v>
          </cell>
        </row>
        <row r="218">
          <cell r="A218">
            <v>41007</v>
          </cell>
        </row>
        <row r="219">
          <cell r="A219">
            <v>41008</v>
          </cell>
        </row>
        <row r="220">
          <cell r="A220">
            <v>41009</v>
          </cell>
        </row>
        <row r="221">
          <cell r="A221">
            <v>41010</v>
          </cell>
        </row>
        <row r="222">
          <cell r="A222">
            <v>41011</v>
          </cell>
        </row>
        <row r="223">
          <cell r="A223">
            <v>41012</v>
          </cell>
        </row>
        <row r="224">
          <cell r="A224">
            <v>41013</v>
          </cell>
        </row>
        <row r="225">
          <cell r="A225">
            <v>41014</v>
          </cell>
        </row>
        <row r="226">
          <cell r="A226">
            <v>41015</v>
          </cell>
        </row>
        <row r="227">
          <cell r="A227">
            <v>47001</v>
          </cell>
        </row>
        <row r="228">
          <cell r="A228">
            <v>47002</v>
          </cell>
        </row>
        <row r="229">
          <cell r="A229">
            <v>49001</v>
          </cell>
        </row>
        <row r="230">
          <cell r="A230">
            <v>49002</v>
          </cell>
        </row>
        <row r="231">
          <cell r="A231">
            <v>49003</v>
          </cell>
        </row>
        <row r="232">
          <cell r="A232">
            <v>49004</v>
          </cell>
        </row>
        <row r="233">
          <cell r="A233">
            <v>49005</v>
          </cell>
        </row>
        <row r="234">
          <cell r="A234">
            <v>49006</v>
          </cell>
        </row>
        <row r="235">
          <cell r="A235">
            <v>49007</v>
          </cell>
        </row>
        <row r="236">
          <cell r="A236">
            <v>50001</v>
          </cell>
        </row>
        <row r="237">
          <cell r="A237">
            <v>50002</v>
          </cell>
        </row>
        <row r="238">
          <cell r="A238">
            <v>50003</v>
          </cell>
        </row>
        <row r="239">
          <cell r="A239">
            <v>50004</v>
          </cell>
        </row>
        <row r="240">
          <cell r="A240">
            <v>50005</v>
          </cell>
        </row>
        <row r="241">
          <cell r="A241">
            <v>50006</v>
          </cell>
        </row>
        <row r="242">
          <cell r="A242">
            <v>50007</v>
          </cell>
        </row>
        <row r="243">
          <cell r="A243">
            <v>51001</v>
          </cell>
        </row>
        <row r="244">
          <cell r="A244">
            <v>51002</v>
          </cell>
        </row>
        <row r="245">
          <cell r="A245">
            <v>60001</v>
          </cell>
        </row>
        <row r="246">
          <cell r="A246">
            <v>60002</v>
          </cell>
        </row>
        <row r="247">
          <cell r="A247">
            <v>60003</v>
          </cell>
        </row>
        <row r="248">
          <cell r="A248">
            <v>60004</v>
          </cell>
        </row>
        <row r="249">
          <cell r="A249">
            <v>60005</v>
          </cell>
        </row>
        <row r="250">
          <cell r="A250">
            <v>60006</v>
          </cell>
        </row>
        <row r="251">
          <cell r="A251">
            <v>60007</v>
          </cell>
        </row>
        <row r="252">
          <cell r="A252">
            <v>60010</v>
          </cell>
        </row>
        <row r="253">
          <cell r="A253">
            <v>60011</v>
          </cell>
        </row>
        <row r="254">
          <cell r="A254">
            <v>61011</v>
          </cell>
        </row>
        <row r="255">
          <cell r="A255">
            <v>60012</v>
          </cell>
        </row>
        <row r="256">
          <cell r="A256">
            <v>60013</v>
          </cell>
        </row>
        <row r="257">
          <cell r="A257">
            <v>60014</v>
          </cell>
        </row>
        <row r="258">
          <cell r="A258">
            <v>60015</v>
          </cell>
        </row>
        <row r="259">
          <cell r="A259">
            <v>60016</v>
          </cell>
        </row>
        <row r="260">
          <cell r="A260">
            <v>60017</v>
          </cell>
        </row>
        <row r="261">
          <cell r="A261">
            <v>65525</v>
          </cell>
        </row>
        <row r="262">
          <cell r="A262">
            <v>65533</v>
          </cell>
        </row>
        <row r="263">
          <cell r="A263">
            <v>65534</v>
          </cell>
        </row>
        <row r="264">
          <cell r="A264">
            <v>65535</v>
          </cell>
        </row>
        <row r="265">
          <cell r="A265">
            <v>60021</v>
          </cell>
        </row>
        <row r="266">
          <cell r="A266">
            <v>60022</v>
          </cell>
        </row>
        <row r="267">
          <cell r="A267">
            <v>60023</v>
          </cell>
        </row>
        <row r="268">
          <cell r="A268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11017_1</v>
          </cell>
        </row>
        <row r="265">
          <cell r="A265" t="str">
            <v>11018_1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14001_1</v>
          </cell>
        </row>
        <row r="372">
          <cell r="A372" t="str">
            <v>14001_2</v>
          </cell>
        </row>
        <row r="373">
          <cell r="A373" t="str">
            <v>14001_3</v>
          </cell>
        </row>
        <row r="374">
          <cell r="A374" t="str">
            <v>14001_4</v>
          </cell>
        </row>
        <row r="375">
          <cell r="A375" t="str">
            <v>14001_5</v>
          </cell>
        </row>
        <row r="376">
          <cell r="A376" t="str">
            <v>14001_6</v>
          </cell>
        </row>
        <row r="377">
          <cell r="A377" t="str">
            <v>14001_7</v>
          </cell>
        </row>
        <row r="378">
          <cell r="A378" t="str">
            <v>14001_8</v>
          </cell>
        </row>
        <row r="379">
          <cell r="A379" t="str">
            <v>14002_1</v>
          </cell>
        </row>
        <row r="380">
          <cell r="A380" t="str">
            <v>14002_2</v>
          </cell>
        </row>
        <row r="381">
          <cell r="A381" t="str">
            <v>14003_1</v>
          </cell>
        </row>
        <row r="382">
          <cell r="A382" t="str">
            <v>14003_2</v>
          </cell>
        </row>
        <row r="383">
          <cell r="A383" t="str">
            <v>14003_3</v>
          </cell>
        </row>
        <row r="384">
          <cell r="A384" t="str">
            <v>14003_4</v>
          </cell>
        </row>
        <row r="385">
          <cell r="A385" t="str">
            <v>14004_1</v>
          </cell>
        </row>
        <row r="386">
          <cell r="A386" t="str">
            <v>14004_2</v>
          </cell>
        </row>
        <row r="387">
          <cell r="A387" t="str">
            <v>14004_3</v>
          </cell>
        </row>
        <row r="388">
          <cell r="A388" t="str">
            <v>14004_4</v>
          </cell>
        </row>
        <row r="389">
          <cell r="A389" t="str">
            <v>14005_1</v>
          </cell>
        </row>
        <row r="390">
          <cell r="A390" t="str">
            <v>14006_1</v>
          </cell>
        </row>
        <row r="391">
          <cell r="A391" t="str">
            <v>15027_1</v>
          </cell>
        </row>
        <row r="392">
          <cell r="A392" t="str">
            <v>15027_2</v>
          </cell>
        </row>
        <row r="393">
          <cell r="A393" t="str">
            <v>15027_3</v>
          </cell>
        </row>
        <row r="394">
          <cell r="A394" t="str">
            <v>15027_4</v>
          </cell>
        </row>
        <row r="395">
          <cell r="A395" t="str">
            <v>15028_1</v>
          </cell>
        </row>
        <row r="396">
          <cell r="A396" t="str">
            <v>15028_2</v>
          </cell>
        </row>
        <row r="397">
          <cell r="A397" t="str">
            <v>15028_3</v>
          </cell>
        </row>
        <row r="398">
          <cell r="A398" t="str">
            <v>15028_4</v>
          </cell>
        </row>
        <row r="399">
          <cell r="A399" t="str">
            <v>15029_1</v>
          </cell>
        </row>
        <row r="400">
          <cell r="A400" t="str">
            <v>15029_2</v>
          </cell>
        </row>
        <row r="401">
          <cell r="A401" t="str">
            <v>15029_3</v>
          </cell>
        </row>
        <row r="402">
          <cell r="A402" t="str">
            <v>15029_4</v>
          </cell>
        </row>
        <row r="403">
          <cell r="A403" t="str">
            <v>15030_1</v>
          </cell>
        </row>
        <row r="404">
          <cell r="A404" t="str">
            <v>15030_2</v>
          </cell>
        </row>
        <row r="405">
          <cell r="A405" t="str">
            <v>15030_3</v>
          </cell>
        </row>
        <row r="406">
          <cell r="A406" t="str">
            <v>15030_4</v>
          </cell>
        </row>
        <row r="407">
          <cell r="A407" t="str">
            <v>15031_1</v>
          </cell>
        </row>
        <row r="408">
          <cell r="A408" t="str">
            <v>15031_2</v>
          </cell>
        </row>
        <row r="409">
          <cell r="A409" t="str">
            <v>15031_3</v>
          </cell>
        </row>
        <row r="410">
          <cell r="A410" t="str">
            <v>15031_4</v>
          </cell>
        </row>
        <row r="411">
          <cell r="A411" t="str">
            <v>20001_1</v>
          </cell>
        </row>
        <row r="412">
          <cell r="A412" t="str">
            <v>20001_2</v>
          </cell>
        </row>
        <row r="413">
          <cell r="A413" t="str">
            <v>20001_3</v>
          </cell>
        </row>
        <row r="414">
          <cell r="A414" t="str">
            <v>20002_1</v>
          </cell>
        </row>
        <row r="415">
          <cell r="A415" t="str">
            <v>20002_2</v>
          </cell>
        </row>
        <row r="416">
          <cell r="A416" t="str">
            <v>20002_3</v>
          </cell>
        </row>
        <row r="417">
          <cell r="A417" t="str">
            <v>20003_1</v>
          </cell>
        </row>
        <row r="418">
          <cell r="A418" t="str">
            <v>20003_2</v>
          </cell>
        </row>
        <row r="419">
          <cell r="A419" t="str">
            <v>20003_3</v>
          </cell>
        </row>
        <row r="420">
          <cell r="A420" t="str">
            <v>20004_1</v>
          </cell>
        </row>
        <row r="421">
          <cell r="A421" t="str">
            <v>20004_2</v>
          </cell>
        </row>
        <row r="422">
          <cell r="A422" t="str">
            <v>20004_3</v>
          </cell>
        </row>
        <row r="423">
          <cell r="A423" t="str">
            <v>20005_1</v>
          </cell>
        </row>
        <row r="424">
          <cell r="A424" t="str">
            <v>20005_2</v>
          </cell>
        </row>
        <row r="425">
          <cell r="A425" t="str">
            <v>20005_3</v>
          </cell>
        </row>
        <row r="426">
          <cell r="A426" t="str">
            <v>20006_1</v>
          </cell>
        </row>
        <row r="427">
          <cell r="A427" t="str">
            <v>20006_2</v>
          </cell>
        </row>
        <row r="428">
          <cell r="A428" t="str">
            <v>20006_3</v>
          </cell>
        </row>
        <row r="429">
          <cell r="A429" t="str">
            <v>20007_1</v>
          </cell>
        </row>
        <row r="430">
          <cell r="A430" t="str">
            <v>20007_2</v>
          </cell>
        </row>
        <row r="431">
          <cell r="A431" t="str">
            <v>20007_3</v>
          </cell>
        </row>
        <row r="432">
          <cell r="A432" t="str">
            <v>20008_1</v>
          </cell>
        </row>
        <row r="433">
          <cell r="A433" t="str">
            <v>20008_2</v>
          </cell>
        </row>
        <row r="434">
          <cell r="A434" t="str">
            <v>20008_3</v>
          </cell>
        </row>
        <row r="435">
          <cell r="A435" t="str">
            <v>20009_1</v>
          </cell>
        </row>
        <row r="436">
          <cell r="A436" t="str">
            <v>20009_2</v>
          </cell>
        </row>
        <row r="437">
          <cell r="A437" t="str">
            <v>20009_3</v>
          </cell>
        </row>
        <row r="438">
          <cell r="A438" t="str">
            <v>20010_1</v>
          </cell>
        </row>
        <row r="439">
          <cell r="A439" t="str">
            <v>20010_2</v>
          </cell>
        </row>
        <row r="440">
          <cell r="A440" t="str">
            <v>20010_3</v>
          </cell>
        </row>
        <row r="441">
          <cell r="A441" t="str">
            <v>20011_1</v>
          </cell>
        </row>
        <row r="442">
          <cell r="A442" t="str">
            <v>20011_2</v>
          </cell>
        </row>
        <row r="443">
          <cell r="A443" t="str">
            <v>20011_3</v>
          </cell>
        </row>
        <row r="444">
          <cell r="A444" t="str">
            <v>20012_1</v>
          </cell>
        </row>
        <row r="445">
          <cell r="A445" t="str">
            <v>20012_2</v>
          </cell>
        </row>
        <row r="446">
          <cell r="A446" t="str">
            <v>20012_3</v>
          </cell>
        </row>
        <row r="447">
          <cell r="A447" t="str">
            <v>20013_1</v>
          </cell>
        </row>
        <row r="448">
          <cell r="A448" t="str">
            <v>20013_2</v>
          </cell>
        </row>
        <row r="449">
          <cell r="A449" t="str">
            <v>20013_3</v>
          </cell>
        </row>
        <row r="450">
          <cell r="A450" t="str">
            <v>20014_1</v>
          </cell>
        </row>
        <row r="451">
          <cell r="A451" t="str">
            <v>20014_2</v>
          </cell>
        </row>
        <row r="452">
          <cell r="A452" t="str">
            <v>20014_3</v>
          </cell>
        </row>
        <row r="453">
          <cell r="A453" t="str">
            <v>20015_1</v>
          </cell>
        </row>
        <row r="454">
          <cell r="A454" t="str">
            <v>20015_2</v>
          </cell>
        </row>
        <row r="455">
          <cell r="A455" t="str">
            <v>20015_3</v>
          </cell>
        </row>
        <row r="456">
          <cell r="A456" t="str">
            <v>20016_1</v>
          </cell>
        </row>
        <row r="457">
          <cell r="A457" t="str">
            <v>20016_2</v>
          </cell>
        </row>
        <row r="458">
          <cell r="A458" t="str">
            <v>20016_3</v>
          </cell>
        </row>
        <row r="459">
          <cell r="A459" t="str">
            <v>20017_1</v>
          </cell>
        </row>
        <row r="460">
          <cell r="A460" t="str">
            <v>20017_2</v>
          </cell>
        </row>
        <row r="461">
          <cell r="A461" t="str">
            <v>20017_3</v>
          </cell>
        </row>
        <row r="462">
          <cell r="A462" t="str">
            <v>20018_1</v>
          </cell>
        </row>
        <row r="463">
          <cell r="A463" t="str">
            <v>20018_2</v>
          </cell>
        </row>
        <row r="464">
          <cell r="A464" t="str">
            <v>20018_3</v>
          </cell>
        </row>
        <row r="465">
          <cell r="A465" t="str">
            <v>20019_1</v>
          </cell>
        </row>
        <row r="466">
          <cell r="A466" t="str">
            <v>20019_2</v>
          </cell>
        </row>
        <row r="467">
          <cell r="A467" t="str">
            <v>20019_3</v>
          </cell>
        </row>
        <row r="468">
          <cell r="A468" t="str">
            <v>20020_1</v>
          </cell>
        </row>
        <row r="469">
          <cell r="A469" t="str">
            <v>20020_2</v>
          </cell>
        </row>
        <row r="470">
          <cell r="A470" t="str">
            <v>20020_3</v>
          </cell>
        </row>
        <row r="471">
          <cell r="A471" t="str">
            <v>20021_1</v>
          </cell>
        </row>
        <row r="472">
          <cell r="A472" t="str">
            <v>20021_2</v>
          </cell>
        </row>
        <row r="473">
          <cell r="A473" t="str">
            <v>20021_3</v>
          </cell>
        </row>
        <row r="474">
          <cell r="A474" t="str">
            <v>30001_1</v>
          </cell>
        </row>
        <row r="475">
          <cell r="A475" t="str">
            <v>30001_2</v>
          </cell>
        </row>
        <row r="476">
          <cell r="A476" t="str">
            <v>30001_3</v>
          </cell>
        </row>
        <row r="477">
          <cell r="A477" t="str">
            <v>30002_1</v>
          </cell>
        </row>
        <row r="478">
          <cell r="A478" t="str">
            <v>30002_2</v>
          </cell>
        </row>
        <row r="479">
          <cell r="A479" t="str">
            <v>30002_3</v>
          </cell>
        </row>
        <row r="480">
          <cell r="A480" t="str">
            <v>30003_1</v>
          </cell>
        </row>
        <row r="481">
          <cell r="A481" t="str">
            <v>30003_2</v>
          </cell>
        </row>
        <row r="482">
          <cell r="A482" t="str">
            <v>30003_3</v>
          </cell>
        </row>
        <row r="483">
          <cell r="A483" t="str">
            <v>30004_1</v>
          </cell>
        </row>
        <row r="484">
          <cell r="A484" t="str">
            <v>30004_2</v>
          </cell>
        </row>
        <row r="485">
          <cell r="A485" t="str">
            <v>30004_3</v>
          </cell>
        </row>
        <row r="486">
          <cell r="A486" t="str">
            <v>30005_1</v>
          </cell>
        </row>
        <row r="487">
          <cell r="A487" t="str">
            <v>30005_2</v>
          </cell>
        </row>
        <row r="488">
          <cell r="A488" t="str">
            <v>30005_3</v>
          </cell>
        </row>
        <row r="489">
          <cell r="A489" t="str">
            <v>30006_1</v>
          </cell>
        </row>
        <row r="490">
          <cell r="A490" t="str">
            <v>30006_2</v>
          </cell>
        </row>
        <row r="491">
          <cell r="A491" t="str">
            <v>30006_3</v>
          </cell>
        </row>
        <row r="492">
          <cell r="A492" t="str">
            <v>30007_1</v>
          </cell>
        </row>
        <row r="493">
          <cell r="A493" t="str">
            <v>30007_2</v>
          </cell>
        </row>
        <row r="494">
          <cell r="A494" t="str">
            <v>30007_3</v>
          </cell>
        </row>
        <row r="495">
          <cell r="A495" t="str">
            <v>30008_1</v>
          </cell>
        </row>
        <row r="496">
          <cell r="A496" t="str">
            <v>30008_2</v>
          </cell>
        </row>
        <row r="497">
          <cell r="A497" t="str">
            <v>30008_3</v>
          </cell>
        </row>
        <row r="498">
          <cell r="A498" t="str">
            <v>30009_3</v>
          </cell>
        </row>
        <row r="499">
          <cell r="A499" t="str">
            <v>30009_1</v>
          </cell>
        </row>
        <row r="500">
          <cell r="A500" t="str">
            <v>30009_2</v>
          </cell>
        </row>
        <row r="501">
          <cell r="A501" t="str">
            <v>30010_1</v>
          </cell>
        </row>
        <row r="502">
          <cell r="A502" t="str">
            <v>30010_2</v>
          </cell>
        </row>
        <row r="503">
          <cell r="A503" t="str">
            <v>30010_3</v>
          </cell>
        </row>
        <row r="504">
          <cell r="A504" t="str">
            <v>30011_1</v>
          </cell>
        </row>
        <row r="505">
          <cell r="A505" t="str">
            <v>30011_2</v>
          </cell>
        </row>
        <row r="506">
          <cell r="A506" t="str">
            <v>30011_3</v>
          </cell>
        </row>
        <row r="507">
          <cell r="A507" t="str">
            <v>30012_1</v>
          </cell>
        </row>
        <row r="508">
          <cell r="A508" t="str">
            <v>30012_2</v>
          </cell>
        </row>
        <row r="509">
          <cell r="A509" t="str">
            <v>30012_3</v>
          </cell>
        </row>
        <row r="510">
          <cell r="A510" t="str">
            <v>30013_1</v>
          </cell>
        </row>
        <row r="511">
          <cell r="A511" t="str">
            <v>30013_2</v>
          </cell>
        </row>
        <row r="512">
          <cell r="A512" t="str">
            <v>30014_1</v>
          </cell>
        </row>
        <row r="513">
          <cell r="A513" t="str">
            <v>30014_2</v>
          </cell>
        </row>
        <row r="514">
          <cell r="A514" t="str">
            <v>30015_1</v>
          </cell>
        </row>
        <row r="515">
          <cell r="A515" t="str">
            <v>30015_2</v>
          </cell>
        </row>
        <row r="516">
          <cell r="A516" t="str">
            <v>30016_1</v>
          </cell>
        </row>
        <row r="517">
          <cell r="A517" t="str">
            <v>30016_2</v>
          </cell>
        </row>
        <row r="518">
          <cell r="A518" t="str">
            <v>30017_1</v>
          </cell>
        </row>
        <row r="519">
          <cell r="A519" t="str">
            <v>30017_2</v>
          </cell>
        </row>
        <row r="520">
          <cell r="A520" t="str">
            <v>30018_1</v>
          </cell>
        </row>
        <row r="521">
          <cell r="A521" t="str">
            <v>30018_2</v>
          </cell>
        </row>
        <row r="522">
          <cell r="A522" t="str">
            <v>30019_1</v>
          </cell>
        </row>
        <row r="523">
          <cell r="A523" t="str">
            <v>30019_2</v>
          </cell>
        </row>
        <row r="524">
          <cell r="A524" t="str">
            <v>30020_1</v>
          </cell>
        </row>
        <row r="525">
          <cell r="A525" t="str">
            <v>30020_2</v>
          </cell>
        </row>
        <row r="526">
          <cell r="A526" t="str">
            <v>30021_1</v>
          </cell>
        </row>
        <row r="527">
          <cell r="A527" t="str">
            <v>30021_2</v>
          </cell>
        </row>
        <row r="528">
          <cell r="A528" t="str">
            <v>30021_3</v>
          </cell>
        </row>
        <row r="529">
          <cell r="A529" t="str">
            <v>30022_1</v>
          </cell>
        </row>
        <row r="530">
          <cell r="A530" t="str">
            <v>30022_2</v>
          </cell>
        </row>
        <row r="531">
          <cell r="A531" t="str">
            <v>30023_1</v>
          </cell>
        </row>
        <row r="532">
          <cell r="A532" t="str">
            <v>30023_2</v>
          </cell>
        </row>
        <row r="533">
          <cell r="A533" t="str">
            <v>30023_3</v>
          </cell>
        </row>
        <row r="534">
          <cell r="A534" t="str">
            <v>30024_1</v>
          </cell>
        </row>
        <row r="535">
          <cell r="A535" t="str">
            <v>30024_2</v>
          </cell>
        </row>
        <row r="536">
          <cell r="A536" t="str">
            <v>30024_3</v>
          </cell>
        </row>
        <row r="537">
          <cell r="A537" t="str">
            <v>30025_1</v>
          </cell>
        </row>
        <row r="538">
          <cell r="A538" t="str">
            <v>30025_2</v>
          </cell>
        </row>
        <row r="539">
          <cell r="A539" t="str">
            <v>30025_3</v>
          </cell>
        </row>
        <row r="540">
          <cell r="A540" t="str">
            <v>30026_1</v>
          </cell>
        </row>
        <row r="541">
          <cell r="A541" t="str">
            <v>30026_2</v>
          </cell>
        </row>
        <row r="542">
          <cell r="A542" t="str">
            <v>30026_3</v>
          </cell>
        </row>
        <row r="543">
          <cell r="A543" t="str">
            <v>30027_1</v>
          </cell>
        </row>
        <row r="544">
          <cell r="A544" t="str">
            <v>30027_2</v>
          </cell>
        </row>
        <row r="545">
          <cell r="A545" t="str">
            <v>30027_3</v>
          </cell>
        </row>
        <row r="546">
          <cell r="A546" t="str">
            <v>30028_1</v>
          </cell>
        </row>
        <row r="547">
          <cell r="A547" t="str">
            <v>30028_2</v>
          </cell>
        </row>
        <row r="548">
          <cell r="A548" t="str">
            <v>30028_3</v>
          </cell>
        </row>
        <row r="549">
          <cell r="A549" t="str">
            <v>30029_1</v>
          </cell>
        </row>
        <row r="550">
          <cell r="A550" t="str">
            <v>30029_2</v>
          </cell>
        </row>
        <row r="551">
          <cell r="A551" t="str">
            <v>30029_3</v>
          </cell>
        </row>
        <row r="552">
          <cell r="A552" t="str">
            <v>30030_1</v>
          </cell>
        </row>
        <row r="553">
          <cell r="A553" t="str">
            <v>30030_2</v>
          </cell>
        </row>
        <row r="554">
          <cell r="A554" t="str">
            <v>30030_3</v>
          </cell>
        </row>
        <row r="555">
          <cell r="A555" t="str">
            <v>30031_1</v>
          </cell>
        </row>
        <row r="556">
          <cell r="A556" t="str">
            <v>30031_2</v>
          </cell>
        </row>
        <row r="557">
          <cell r="A557" t="str">
            <v>30031_3</v>
          </cell>
        </row>
        <row r="558">
          <cell r="A558" t="str">
            <v>30032_1</v>
          </cell>
        </row>
        <row r="559">
          <cell r="A559" t="str">
            <v>30032_2</v>
          </cell>
        </row>
        <row r="560">
          <cell r="A560" t="str">
            <v>30032_3</v>
          </cell>
        </row>
        <row r="561">
          <cell r="A561" t="str">
            <v>30033_1</v>
          </cell>
        </row>
        <row r="562">
          <cell r="A562" t="str">
            <v>30033_2</v>
          </cell>
        </row>
        <row r="563">
          <cell r="A563" t="str">
            <v>30033_3</v>
          </cell>
        </row>
        <row r="564">
          <cell r="A564" t="str">
            <v>30034_1</v>
          </cell>
        </row>
        <row r="565">
          <cell r="A565" t="str">
            <v>30034_2</v>
          </cell>
        </row>
        <row r="566">
          <cell r="A566" t="str">
            <v>30034_3</v>
          </cell>
        </row>
        <row r="567">
          <cell r="A567" t="str">
            <v>30035_1</v>
          </cell>
        </row>
        <row r="568">
          <cell r="A568" t="str">
            <v>30035_2</v>
          </cell>
        </row>
        <row r="569">
          <cell r="A569" t="str">
            <v>30035_3</v>
          </cell>
        </row>
        <row r="570">
          <cell r="A570" t="str">
            <v>30036_1</v>
          </cell>
        </row>
        <row r="571">
          <cell r="A571" t="str">
            <v>30036_2</v>
          </cell>
        </row>
        <row r="572">
          <cell r="A572" t="str">
            <v>30036_3</v>
          </cell>
        </row>
        <row r="573">
          <cell r="A573" t="str">
            <v>30037_1</v>
          </cell>
        </row>
        <row r="574">
          <cell r="A574" t="str">
            <v>30037_2</v>
          </cell>
        </row>
        <row r="575">
          <cell r="A575" t="str">
            <v>30037_3</v>
          </cell>
        </row>
        <row r="576">
          <cell r="A576" t="str">
            <v>30038_1</v>
          </cell>
        </row>
        <row r="577">
          <cell r="A577" t="str">
            <v>30038_2</v>
          </cell>
        </row>
        <row r="578">
          <cell r="A578" t="str">
            <v>30038_3</v>
          </cell>
        </row>
        <row r="579">
          <cell r="A579" t="str">
            <v>30039_1</v>
          </cell>
        </row>
        <row r="580">
          <cell r="A580" t="str">
            <v>30039_2</v>
          </cell>
        </row>
        <row r="581">
          <cell r="A581" t="str">
            <v>30039_3</v>
          </cell>
        </row>
        <row r="582">
          <cell r="A582" t="str">
            <v>30040_1</v>
          </cell>
        </row>
        <row r="583">
          <cell r="A583" t="str">
            <v>30040_2</v>
          </cell>
        </row>
        <row r="584">
          <cell r="A584" t="str">
            <v>30040_3</v>
          </cell>
        </row>
        <row r="585">
          <cell r="A585" t="str">
            <v>30041_1</v>
          </cell>
        </row>
        <row r="586">
          <cell r="A586" t="str">
            <v>30041_2</v>
          </cell>
        </row>
        <row r="587">
          <cell r="A587" t="str">
            <v>30041_3</v>
          </cell>
        </row>
        <row r="588">
          <cell r="A588" t="str">
            <v>30042_1</v>
          </cell>
        </row>
        <row r="589">
          <cell r="A589" t="str">
            <v>30042_2</v>
          </cell>
        </row>
        <row r="590">
          <cell r="A590" t="str">
            <v>30042_3</v>
          </cell>
        </row>
        <row r="591">
          <cell r="A591" t="str">
            <v>39001_1</v>
          </cell>
        </row>
        <row r="592">
          <cell r="A592" t="str">
            <v>39001_2</v>
          </cell>
        </row>
        <row r="593">
          <cell r="A593" t="str">
            <v>39001_3</v>
          </cell>
        </row>
        <row r="594">
          <cell r="A594" t="str">
            <v>39001_4</v>
          </cell>
        </row>
        <row r="595">
          <cell r="A595" t="str">
            <v>39001_5</v>
          </cell>
        </row>
        <row r="596">
          <cell r="A596" t="str">
            <v>39002_1</v>
          </cell>
        </row>
        <row r="597">
          <cell r="A597" t="str">
            <v>39002_2</v>
          </cell>
        </row>
        <row r="598">
          <cell r="A598" t="str">
            <v>39002_3</v>
          </cell>
        </row>
        <row r="599">
          <cell r="A599" t="str">
            <v>39002_4</v>
          </cell>
        </row>
        <row r="600">
          <cell r="A600" t="str">
            <v>39003_1</v>
          </cell>
        </row>
        <row r="601">
          <cell r="A601" t="str">
            <v>39003_2</v>
          </cell>
        </row>
        <row r="602">
          <cell r="A602" t="str">
            <v>39003_3</v>
          </cell>
        </row>
        <row r="603">
          <cell r="A603" t="str">
            <v>39003_4</v>
          </cell>
        </row>
        <row r="604">
          <cell r="A604" t="str">
            <v>39004_1</v>
          </cell>
        </row>
        <row r="605">
          <cell r="A605" t="str">
            <v>39004_2</v>
          </cell>
        </row>
        <row r="606">
          <cell r="A606" t="str">
            <v>39004_3</v>
          </cell>
        </row>
        <row r="607">
          <cell r="A607" t="str">
            <v>39004_4</v>
          </cell>
        </row>
        <row r="608">
          <cell r="A608" t="str">
            <v>39005_1</v>
          </cell>
        </row>
        <row r="609">
          <cell r="A609" t="str">
            <v>39005_2</v>
          </cell>
        </row>
        <row r="610">
          <cell r="A610" t="str">
            <v>39005_3</v>
          </cell>
        </row>
        <row r="611">
          <cell r="A611" t="str">
            <v>39005_4</v>
          </cell>
        </row>
        <row r="612">
          <cell r="A612" t="str">
            <v>39005_5</v>
          </cell>
        </row>
        <row r="613">
          <cell r="A613" t="str">
            <v>39006_1</v>
          </cell>
        </row>
        <row r="614">
          <cell r="A614" t="str">
            <v>39006_2</v>
          </cell>
        </row>
        <row r="615">
          <cell r="A615" t="str">
            <v>39006_3</v>
          </cell>
        </row>
        <row r="616">
          <cell r="A616" t="str">
            <v>39006_4</v>
          </cell>
        </row>
        <row r="617">
          <cell r="A617" t="str">
            <v>39007_1</v>
          </cell>
        </row>
        <row r="618">
          <cell r="A618" t="str">
            <v>39007_2</v>
          </cell>
        </row>
        <row r="619">
          <cell r="A619" t="str">
            <v>39007_3</v>
          </cell>
        </row>
        <row r="620">
          <cell r="A620" t="str">
            <v>39007_4</v>
          </cell>
        </row>
        <row r="621">
          <cell r="A621" t="str">
            <v>40001_1</v>
          </cell>
        </row>
        <row r="622">
          <cell r="A622" t="str">
            <v>40002_1</v>
          </cell>
        </row>
        <row r="623">
          <cell r="A623" t="str">
            <v>40002_2</v>
          </cell>
        </row>
        <row r="624">
          <cell r="A624" t="str">
            <v>40002_3</v>
          </cell>
        </row>
        <row r="625">
          <cell r="A625" t="str">
            <v>40003_1</v>
          </cell>
        </row>
        <row r="626">
          <cell r="A626" t="str">
            <v>40004_1</v>
          </cell>
        </row>
        <row r="627">
          <cell r="A627" t="str">
            <v>40005_1</v>
          </cell>
        </row>
        <row r="628">
          <cell r="A628" t="str">
            <v>40006_1</v>
          </cell>
        </row>
        <row r="629">
          <cell r="A629" t="str">
            <v>40007_1</v>
          </cell>
        </row>
        <row r="630">
          <cell r="A630" t="str">
            <v>40008_1</v>
          </cell>
        </row>
        <row r="631">
          <cell r="A631" t="str">
            <v>40009_1</v>
          </cell>
        </row>
        <row r="632">
          <cell r="A632" t="str">
            <v>40010_1</v>
          </cell>
        </row>
        <row r="633">
          <cell r="A633" t="str">
            <v>40011_1</v>
          </cell>
        </row>
        <row r="634">
          <cell r="A634" t="str">
            <v>40012_1</v>
          </cell>
        </row>
        <row r="635">
          <cell r="A635" t="str">
            <v>40013_1</v>
          </cell>
        </row>
        <row r="636">
          <cell r="A636" t="str">
            <v>40014_1</v>
          </cell>
        </row>
        <row r="637">
          <cell r="A637" t="str">
            <v>40015_1</v>
          </cell>
        </row>
        <row r="638">
          <cell r="A638" t="str">
            <v>40016_1</v>
          </cell>
        </row>
        <row r="639">
          <cell r="A639" t="str">
            <v>40016_2</v>
          </cell>
        </row>
        <row r="640">
          <cell r="A640" t="str">
            <v>40017_1</v>
          </cell>
        </row>
        <row r="641">
          <cell r="A641" t="str">
            <v>40017_2</v>
          </cell>
        </row>
        <row r="642">
          <cell r="A642" t="str">
            <v>40017_3</v>
          </cell>
        </row>
        <row r="643">
          <cell r="A643" t="str">
            <v>40018_1</v>
          </cell>
        </row>
        <row r="644">
          <cell r="A644" t="str">
            <v>40018_2</v>
          </cell>
        </row>
        <row r="645">
          <cell r="A645" t="str">
            <v>40018_3</v>
          </cell>
        </row>
        <row r="646">
          <cell r="A646" t="str">
            <v>40019_1</v>
          </cell>
        </row>
        <row r="647">
          <cell r="A647" t="str">
            <v>40019_2</v>
          </cell>
        </row>
        <row r="648">
          <cell r="A648" t="str">
            <v>40019_3</v>
          </cell>
        </row>
        <row r="649">
          <cell r="A649" t="str">
            <v>40021_1</v>
          </cell>
        </row>
        <row r="650">
          <cell r="A650" t="str">
            <v>40021_2</v>
          </cell>
        </row>
        <row r="651">
          <cell r="A651" t="str">
            <v>40022_1</v>
          </cell>
        </row>
        <row r="652">
          <cell r="A652" t="str">
            <v>40022_2</v>
          </cell>
        </row>
        <row r="653">
          <cell r="A653" t="str">
            <v>40023_1</v>
          </cell>
        </row>
        <row r="654">
          <cell r="A654" t="str">
            <v>40023_2</v>
          </cell>
        </row>
        <row r="655">
          <cell r="A655" t="str">
            <v>40024_1</v>
          </cell>
        </row>
        <row r="656">
          <cell r="A656" t="str">
            <v>40024_2</v>
          </cell>
        </row>
        <row r="657">
          <cell r="A657" t="str">
            <v>40025_1</v>
          </cell>
        </row>
        <row r="658">
          <cell r="A658" t="str">
            <v>40025_2</v>
          </cell>
        </row>
        <row r="659">
          <cell r="A659" t="str">
            <v>40026_1</v>
          </cell>
        </row>
        <row r="660">
          <cell r="A660" t="str">
            <v>40026_2</v>
          </cell>
        </row>
        <row r="661">
          <cell r="A661" t="str">
            <v>40027_1</v>
          </cell>
        </row>
        <row r="662">
          <cell r="A662" t="str">
            <v>40027_2</v>
          </cell>
        </row>
        <row r="663">
          <cell r="A663" t="str">
            <v>40028_1</v>
          </cell>
        </row>
        <row r="664">
          <cell r="A664" t="str">
            <v>40028_2</v>
          </cell>
        </row>
        <row r="665">
          <cell r="A665" t="str">
            <v>40029_1</v>
          </cell>
        </row>
        <row r="666">
          <cell r="A666" t="str">
            <v>40029_2</v>
          </cell>
        </row>
        <row r="667">
          <cell r="A667" t="str">
            <v>40030_1</v>
          </cell>
        </row>
        <row r="668">
          <cell r="A668" t="str">
            <v>40030_2</v>
          </cell>
        </row>
        <row r="669">
          <cell r="A669" t="str">
            <v>40031_1</v>
          </cell>
        </row>
        <row r="670">
          <cell r="A670" t="str">
            <v>40031_2</v>
          </cell>
        </row>
        <row r="671">
          <cell r="A671" t="str">
            <v>40032_1</v>
          </cell>
        </row>
        <row r="672">
          <cell r="A672" t="str">
            <v>40032_2</v>
          </cell>
        </row>
        <row r="673">
          <cell r="A673" t="str">
            <v>40033_1</v>
          </cell>
        </row>
        <row r="674">
          <cell r="A674" t="str">
            <v>40033_2</v>
          </cell>
        </row>
        <row r="675">
          <cell r="A675" t="str">
            <v>48001_1</v>
          </cell>
        </row>
        <row r="676">
          <cell r="A676" t="str">
            <v>48002_1</v>
          </cell>
        </row>
        <row r="677">
          <cell r="A677" t="str">
            <v>48002_2</v>
          </cell>
        </row>
        <row r="678">
          <cell r="A678" t="str">
            <v>48002_3</v>
          </cell>
        </row>
        <row r="679">
          <cell r="A679" t="str">
            <v>48003_1</v>
          </cell>
        </row>
        <row r="680">
          <cell r="A680" t="str">
            <v>48003_2</v>
          </cell>
        </row>
        <row r="681">
          <cell r="A681" t="str">
            <v>48003_3</v>
          </cell>
        </row>
        <row r="682">
          <cell r="A682" t="str">
            <v>48004_1</v>
          </cell>
        </row>
        <row r="683">
          <cell r="A683" t="str">
            <v>48004_2</v>
          </cell>
        </row>
        <row r="684">
          <cell r="A684" t="str">
            <v>48004_3</v>
          </cell>
        </row>
        <row r="685">
          <cell r="A685" t="str">
            <v>48005_1</v>
          </cell>
        </row>
        <row r="686">
          <cell r="A686" t="str">
            <v>48005_2</v>
          </cell>
        </row>
        <row r="687">
          <cell r="A687" t="str">
            <v>48006_1</v>
          </cell>
        </row>
        <row r="688">
          <cell r="A688" t="str">
            <v>48006_2</v>
          </cell>
        </row>
        <row r="689">
          <cell r="A689" t="str">
            <v>41001_1</v>
          </cell>
        </row>
        <row r="690">
          <cell r="A690" t="str">
            <v>41001_2</v>
          </cell>
        </row>
        <row r="691">
          <cell r="A691" t="str">
            <v>41001_3</v>
          </cell>
        </row>
        <row r="692">
          <cell r="A692" t="str">
            <v>41002_1</v>
          </cell>
        </row>
        <row r="693">
          <cell r="A693" t="str">
            <v>41002_2</v>
          </cell>
        </row>
        <row r="694">
          <cell r="A694" t="str">
            <v>41002_3</v>
          </cell>
        </row>
        <row r="695">
          <cell r="A695" t="str">
            <v>41003_1</v>
          </cell>
        </row>
        <row r="696">
          <cell r="A696" t="str">
            <v>41003_2</v>
          </cell>
        </row>
        <row r="697">
          <cell r="A697" t="str">
            <v>41003_3</v>
          </cell>
        </row>
        <row r="698">
          <cell r="A698" t="str">
            <v>41004_1</v>
          </cell>
        </row>
        <row r="699">
          <cell r="A699" t="str">
            <v>41004_2</v>
          </cell>
        </row>
        <row r="700">
          <cell r="A700" t="str">
            <v>41004_3</v>
          </cell>
        </row>
        <row r="701">
          <cell r="A701" t="str">
            <v>41005_1</v>
          </cell>
        </row>
        <row r="702">
          <cell r="A702" t="str">
            <v>41005_2</v>
          </cell>
        </row>
        <row r="703">
          <cell r="A703" t="str">
            <v>41005_3</v>
          </cell>
        </row>
        <row r="704">
          <cell r="A704" t="str">
            <v>41006_1</v>
          </cell>
        </row>
        <row r="705">
          <cell r="A705" t="str">
            <v>41006_2</v>
          </cell>
        </row>
        <row r="706">
          <cell r="A706" t="str">
            <v>41006_3</v>
          </cell>
        </row>
        <row r="707">
          <cell r="A707" t="str">
            <v>41007_1</v>
          </cell>
        </row>
        <row r="708">
          <cell r="A708" t="str">
            <v>41007_2</v>
          </cell>
        </row>
        <row r="709">
          <cell r="A709" t="str">
            <v>41007_3</v>
          </cell>
        </row>
        <row r="710">
          <cell r="A710" t="str">
            <v>41008_1</v>
          </cell>
        </row>
        <row r="711">
          <cell r="A711" t="str">
            <v>41008_2</v>
          </cell>
        </row>
        <row r="712">
          <cell r="A712" t="str">
            <v>41008_3</v>
          </cell>
        </row>
        <row r="713">
          <cell r="A713" t="str">
            <v>41009_1</v>
          </cell>
        </row>
        <row r="714">
          <cell r="A714" t="str">
            <v>41009_2</v>
          </cell>
        </row>
        <row r="715">
          <cell r="A715" t="str">
            <v>41009_3</v>
          </cell>
        </row>
        <row r="716">
          <cell r="A716" t="str">
            <v>41010_1</v>
          </cell>
        </row>
        <row r="717">
          <cell r="A717" t="str">
            <v>41010_2</v>
          </cell>
        </row>
        <row r="718">
          <cell r="A718" t="str">
            <v>41010_3</v>
          </cell>
        </row>
        <row r="719">
          <cell r="A719" t="str">
            <v>41011_1</v>
          </cell>
        </row>
        <row r="720">
          <cell r="A720" t="str">
            <v>41011_2</v>
          </cell>
        </row>
        <row r="721">
          <cell r="A721" t="str">
            <v>41012_1</v>
          </cell>
        </row>
        <row r="722">
          <cell r="A722" t="str">
            <v>41012_2</v>
          </cell>
        </row>
        <row r="723">
          <cell r="A723" t="str">
            <v>41013_1</v>
          </cell>
        </row>
        <row r="724">
          <cell r="A724" t="str">
            <v>41013_2</v>
          </cell>
        </row>
        <row r="725">
          <cell r="A725" t="str">
            <v>41014_1</v>
          </cell>
        </row>
        <row r="726">
          <cell r="A726" t="str">
            <v>41014_2</v>
          </cell>
        </row>
        <row r="727">
          <cell r="A727" t="str">
            <v>41015_1</v>
          </cell>
        </row>
        <row r="728">
          <cell r="A728" t="str">
            <v>41015_2</v>
          </cell>
        </row>
        <row r="729">
          <cell r="A729" t="str">
            <v>47001_1</v>
          </cell>
        </row>
        <row r="730">
          <cell r="A730" t="str">
            <v>47001_2</v>
          </cell>
        </row>
        <row r="731">
          <cell r="A731" t="str">
            <v>47002_1</v>
          </cell>
        </row>
        <row r="732">
          <cell r="A732" t="str">
            <v>47002_2</v>
          </cell>
        </row>
        <row r="733">
          <cell r="A733" t="str">
            <v>49001_1</v>
          </cell>
        </row>
        <row r="734">
          <cell r="A734" t="str">
            <v>49002_1</v>
          </cell>
        </row>
        <row r="735">
          <cell r="A735" t="str">
            <v>49002_2</v>
          </cell>
        </row>
        <row r="736">
          <cell r="A736" t="str">
            <v>49003_1</v>
          </cell>
        </row>
        <row r="737">
          <cell r="A737" t="str">
            <v>49003_2</v>
          </cell>
        </row>
        <row r="738">
          <cell r="A738" t="str">
            <v>49004_1</v>
          </cell>
        </row>
        <row r="739">
          <cell r="A739" t="str">
            <v>49004_2</v>
          </cell>
        </row>
        <row r="740">
          <cell r="A740" t="str">
            <v>49004_3</v>
          </cell>
        </row>
        <row r="741">
          <cell r="A741" t="str">
            <v>49005_1</v>
          </cell>
        </row>
        <row r="742">
          <cell r="A742" t="str">
            <v>49006_1</v>
          </cell>
        </row>
        <row r="743">
          <cell r="A743" t="str">
            <v>49006_2</v>
          </cell>
        </row>
        <row r="744">
          <cell r="A744" t="str">
            <v>49007_1</v>
          </cell>
        </row>
        <row r="745">
          <cell r="A745" t="str">
            <v>49007_2</v>
          </cell>
        </row>
        <row r="746">
          <cell r="A746" t="str">
            <v>49007_3</v>
          </cell>
        </row>
        <row r="747">
          <cell r="A747" t="str">
            <v>50001_1</v>
          </cell>
        </row>
        <row r="748">
          <cell r="A748" t="str">
            <v>50002_1</v>
          </cell>
        </row>
        <row r="749">
          <cell r="A749" t="str">
            <v>50003_1</v>
          </cell>
        </row>
        <row r="750">
          <cell r="A750" t="str">
            <v>50004_1</v>
          </cell>
        </row>
        <row r="751">
          <cell r="A751" t="str">
            <v>50005_1</v>
          </cell>
        </row>
        <row r="752">
          <cell r="A752" t="str">
            <v>50006_1</v>
          </cell>
        </row>
        <row r="753">
          <cell r="A753" t="str">
            <v>50007_1</v>
          </cell>
        </row>
        <row r="754">
          <cell r="A754" t="str">
            <v>51001_1</v>
          </cell>
        </row>
        <row r="755">
          <cell r="A755" t="str">
            <v>51002_1</v>
          </cell>
        </row>
        <row r="756">
          <cell r="A756" t="str">
            <v>60001_1</v>
          </cell>
        </row>
        <row r="757">
          <cell r="A757" t="str">
            <v>60002_1</v>
          </cell>
        </row>
        <row r="758">
          <cell r="A758" t="str">
            <v>60002_2</v>
          </cell>
        </row>
        <row r="759">
          <cell r="A759" t="str">
            <v>60003_1</v>
          </cell>
        </row>
        <row r="760">
          <cell r="A760" t="str">
            <v>60003_2</v>
          </cell>
        </row>
        <row r="761">
          <cell r="A761" t="str">
            <v>60003_3</v>
          </cell>
        </row>
        <row r="762">
          <cell r="A762" t="str">
            <v>60004_1</v>
          </cell>
        </row>
        <row r="763">
          <cell r="A763" t="str">
            <v>60005_1</v>
          </cell>
        </row>
        <row r="764">
          <cell r="A764" t="str">
            <v>60006_1</v>
          </cell>
        </row>
        <row r="765">
          <cell r="A765" t="str">
            <v>60006_2</v>
          </cell>
        </row>
        <row r="766">
          <cell r="A766" t="str">
            <v>60006_3</v>
          </cell>
        </row>
        <row r="767">
          <cell r="A767" t="str">
            <v>60007_1</v>
          </cell>
        </row>
        <row r="768">
          <cell r="A768" t="str">
            <v>60007_2</v>
          </cell>
        </row>
        <row r="769">
          <cell r="A769" t="str">
            <v>60007_3</v>
          </cell>
        </row>
        <row r="770">
          <cell r="A770" t="str">
            <v>60010_1</v>
          </cell>
        </row>
        <row r="771">
          <cell r="A771" t="str">
            <v>60011_1</v>
          </cell>
        </row>
        <row r="772">
          <cell r="A772" t="str">
            <v>60011_2</v>
          </cell>
        </row>
        <row r="773">
          <cell r="A773" t="str">
            <v>61011_1</v>
          </cell>
        </row>
        <row r="774">
          <cell r="A774" t="str">
            <v>60012_1</v>
          </cell>
        </row>
        <row r="775">
          <cell r="A775" t="str">
            <v>60013_1</v>
          </cell>
        </row>
        <row r="776">
          <cell r="A776" t="str">
            <v>60013_2</v>
          </cell>
        </row>
        <row r="777">
          <cell r="A777" t="str">
            <v>60013_3</v>
          </cell>
        </row>
        <row r="778">
          <cell r="A778" t="str">
            <v>60014_1</v>
          </cell>
        </row>
        <row r="779">
          <cell r="A779" t="str">
            <v>60015_1</v>
          </cell>
        </row>
        <row r="780">
          <cell r="A780" t="str">
            <v>60016_1</v>
          </cell>
        </row>
        <row r="781">
          <cell r="A781" t="str">
            <v>60017_1</v>
          </cell>
        </row>
        <row r="782">
          <cell r="A782" t="str">
            <v>65525_1</v>
          </cell>
        </row>
        <row r="783">
          <cell r="A783" t="str">
            <v>65533_1</v>
          </cell>
        </row>
        <row r="784">
          <cell r="A784" t="str">
            <v>65533_2</v>
          </cell>
        </row>
        <row r="785">
          <cell r="A785" t="str">
            <v>65534_1</v>
          </cell>
        </row>
        <row r="786">
          <cell r="A786" t="str">
            <v>65535_1</v>
          </cell>
        </row>
        <row r="787">
          <cell r="A787" t="str">
            <v>65535_2</v>
          </cell>
        </row>
        <row r="788">
          <cell r="A788" t="str">
            <v>65535_3</v>
          </cell>
        </row>
        <row r="789">
          <cell r="A789" t="str">
            <v>65535_4</v>
          </cell>
        </row>
        <row r="790">
          <cell r="A790" t="str">
            <v>65535_5</v>
          </cell>
        </row>
        <row r="791">
          <cell r="A791" t="str">
            <v>65535_6</v>
          </cell>
        </row>
        <row r="792">
          <cell r="A792" t="str">
            <v>65535_7</v>
          </cell>
        </row>
        <row r="793">
          <cell r="A793" t="str">
            <v>65535_8</v>
          </cell>
        </row>
        <row r="794">
          <cell r="A794" t="str">
            <v>65535_9</v>
          </cell>
        </row>
        <row r="795">
          <cell r="A795" t="str">
            <v>65535_10</v>
          </cell>
        </row>
        <row r="796">
          <cell r="A796" t="str">
            <v>60021_3</v>
          </cell>
        </row>
        <row r="797">
          <cell r="A797" t="str">
            <v>60022_3</v>
          </cell>
        </row>
        <row r="798">
          <cell r="A798" t="str">
            <v>60023_3</v>
          </cell>
        </row>
        <row r="799">
          <cell r="A799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6001</v>
          </cell>
        </row>
        <row r="1147">
          <cell r="A1147">
            <v>6002</v>
          </cell>
        </row>
        <row r="1148">
          <cell r="A1148">
            <v>6003</v>
          </cell>
        </row>
        <row r="1149">
          <cell r="A1149">
            <v>6004</v>
          </cell>
        </row>
        <row r="1150">
          <cell r="A1150">
            <v>6005</v>
          </cell>
        </row>
        <row r="1151">
          <cell r="A1151">
            <v>6006</v>
          </cell>
        </row>
        <row r="1152">
          <cell r="A1152">
            <v>6007</v>
          </cell>
        </row>
        <row r="1153">
          <cell r="A1153">
            <v>6008</v>
          </cell>
        </row>
        <row r="1154">
          <cell r="A1154">
            <v>6009</v>
          </cell>
        </row>
        <row r="1155">
          <cell r="A1155">
            <v>6010</v>
          </cell>
        </row>
        <row r="1156">
          <cell r="A1156">
            <v>6011</v>
          </cell>
        </row>
        <row r="1157">
          <cell r="A1157">
            <v>6012</v>
          </cell>
        </row>
        <row r="1158">
          <cell r="A1158">
            <v>6013</v>
          </cell>
        </row>
        <row r="1159">
          <cell r="A1159">
            <v>6014</v>
          </cell>
        </row>
        <row r="1160">
          <cell r="A1160">
            <v>6015</v>
          </cell>
        </row>
        <row r="1161">
          <cell r="A1161">
            <v>6016</v>
          </cell>
        </row>
        <row r="1162">
          <cell r="A1162">
            <v>6017</v>
          </cell>
        </row>
        <row r="1163">
          <cell r="A1163">
            <v>6018</v>
          </cell>
        </row>
        <row r="1164">
          <cell r="A1164">
            <v>6019</v>
          </cell>
        </row>
        <row r="1165">
          <cell r="A1165">
            <v>6020</v>
          </cell>
        </row>
        <row r="1166">
          <cell r="A1166">
            <v>8001</v>
          </cell>
        </row>
        <row r="1167">
          <cell r="A1167">
            <v>8002</v>
          </cell>
        </row>
        <row r="1168">
          <cell r="A1168">
            <v>8003</v>
          </cell>
        </row>
        <row r="1169">
          <cell r="A1169">
            <v>8004</v>
          </cell>
        </row>
        <row r="1170">
          <cell r="A1170">
            <v>8005</v>
          </cell>
        </row>
        <row r="1171">
          <cell r="A1171">
            <v>8006</v>
          </cell>
        </row>
        <row r="1172">
          <cell r="A1172">
            <v>8007</v>
          </cell>
        </row>
        <row r="1173">
          <cell r="A1173">
            <v>8008</v>
          </cell>
        </row>
        <row r="1174">
          <cell r="A1174">
            <v>8009</v>
          </cell>
        </row>
        <row r="1175">
          <cell r="A1175">
            <v>8010</v>
          </cell>
        </row>
        <row r="1176">
          <cell r="A1176">
            <v>8011</v>
          </cell>
        </row>
        <row r="1177">
          <cell r="A1177">
            <v>8012</v>
          </cell>
        </row>
        <row r="1178">
          <cell r="A1178">
            <v>8013</v>
          </cell>
        </row>
        <row r="1179">
          <cell r="A1179">
            <v>8014</v>
          </cell>
        </row>
        <row r="1180">
          <cell r="A1180">
            <v>8015</v>
          </cell>
        </row>
        <row r="1181">
          <cell r="A1181">
            <v>8016</v>
          </cell>
        </row>
        <row r="1182">
          <cell r="A1182">
            <v>8017</v>
          </cell>
        </row>
        <row r="1183">
          <cell r="A1183">
            <v>8018</v>
          </cell>
        </row>
        <row r="1184">
          <cell r="A1184">
            <v>8019</v>
          </cell>
        </row>
        <row r="1185">
          <cell r="A1185">
            <v>8020</v>
          </cell>
        </row>
        <row r="1186">
          <cell r="A1186">
            <v>8021</v>
          </cell>
        </row>
        <row r="1187">
          <cell r="A1187">
            <v>8022</v>
          </cell>
        </row>
        <row r="1188">
          <cell r="A1188">
            <v>8023</v>
          </cell>
        </row>
        <row r="1189">
          <cell r="A1189">
            <v>8024</v>
          </cell>
        </row>
        <row r="1190">
          <cell r="A1190">
            <v>8025</v>
          </cell>
        </row>
        <row r="1191">
          <cell r="A1191">
            <v>8026</v>
          </cell>
        </row>
        <row r="1192">
          <cell r="A1192">
            <v>8027</v>
          </cell>
        </row>
        <row r="1193">
          <cell r="A1193">
            <v>8028</v>
          </cell>
        </row>
        <row r="1194">
          <cell r="A1194">
            <v>8029</v>
          </cell>
        </row>
        <row r="1195">
          <cell r="A1195">
            <v>8030</v>
          </cell>
        </row>
        <row r="1196">
          <cell r="A1196">
            <v>8031</v>
          </cell>
        </row>
        <row r="1197">
          <cell r="A1197">
            <v>8032</v>
          </cell>
        </row>
        <row r="1198">
          <cell r="A1198">
            <v>8033</v>
          </cell>
        </row>
        <row r="1199">
          <cell r="A1199">
            <v>8034</v>
          </cell>
        </row>
        <row r="1200">
          <cell r="A1200">
            <v>8035</v>
          </cell>
        </row>
        <row r="1201">
          <cell r="A1201">
            <v>8036</v>
          </cell>
        </row>
        <row r="1202">
          <cell r="A1202">
            <v>8037</v>
          </cell>
        </row>
        <row r="1203">
          <cell r="A1203">
            <v>8038</v>
          </cell>
        </row>
        <row r="1204">
          <cell r="A1204">
            <v>8039</v>
          </cell>
        </row>
        <row r="1205">
          <cell r="A1205">
            <v>8040</v>
          </cell>
        </row>
        <row r="1206">
          <cell r="A1206">
            <v>8041</v>
          </cell>
        </row>
        <row r="1207">
          <cell r="A1207">
            <v>8042</v>
          </cell>
        </row>
        <row r="1208">
          <cell r="A1208">
            <v>8043</v>
          </cell>
        </row>
        <row r="1209">
          <cell r="A1209">
            <v>8044</v>
          </cell>
        </row>
        <row r="1210">
          <cell r="A1210">
            <v>8045</v>
          </cell>
        </row>
        <row r="1211">
          <cell r="A1211">
            <v>8046</v>
          </cell>
        </row>
        <row r="1212">
          <cell r="A1212">
            <v>8047</v>
          </cell>
        </row>
        <row r="1213">
          <cell r="A1213">
            <v>8048</v>
          </cell>
        </row>
        <row r="1214">
          <cell r="A1214">
            <v>8049</v>
          </cell>
        </row>
        <row r="1215">
          <cell r="A1215">
            <v>8050</v>
          </cell>
        </row>
        <row r="1216">
          <cell r="A1216">
            <v>8051</v>
          </cell>
        </row>
        <row r="1217">
          <cell r="A1217">
            <v>8052</v>
          </cell>
        </row>
        <row r="1218">
          <cell r="A1218">
            <v>8053</v>
          </cell>
        </row>
        <row r="1219">
          <cell r="A1219">
            <v>8054</v>
          </cell>
        </row>
        <row r="1220">
          <cell r="A1220">
            <v>8055</v>
          </cell>
        </row>
        <row r="1221">
          <cell r="A1221">
            <v>8056</v>
          </cell>
        </row>
        <row r="1222">
          <cell r="A1222">
            <v>8057</v>
          </cell>
        </row>
        <row r="1223">
          <cell r="A1223">
            <v>8058</v>
          </cell>
        </row>
        <row r="1224">
          <cell r="A1224">
            <v>8059</v>
          </cell>
        </row>
        <row r="1225">
          <cell r="A1225">
            <v>8060</v>
          </cell>
        </row>
        <row r="1226">
          <cell r="A1226">
            <v>8061</v>
          </cell>
        </row>
        <row r="1227">
          <cell r="A1227">
            <v>8062</v>
          </cell>
        </row>
        <row r="1228">
          <cell r="A1228">
            <v>8063</v>
          </cell>
        </row>
        <row r="1229">
          <cell r="A1229">
            <v>8064</v>
          </cell>
        </row>
        <row r="1230">
          <cell r="A1230">
            <v>8065</v>
          </cell>
        </row>
        <row r="1231">
          <cell r="A1231">
            <v>8066</v>
          </cell>
        </row>
        <row r="1232">
          <cell r="A1232">
            <v>8067</v>
          </cell>
        </row>
        <row r="1233">
          <cell r="A1233">
            <v>8068</v>
          </cell>
        </row>
        <row r="1234">
          <cell r="A1234">
            <v>8069</v>
          </cell>
        </row>
        <row r="1235">
          <cell r="A1235">
            <v>8070</v>
          </cell>
        </row>
        <row r="1236">
          <cell r="A1236">
            <v>8071</v>
          </cell>
        </row>
        <row r="1237">
          <cell r="A1237">
            <v>8072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1179</v>
          </cell>
        </row>
        <row r="1147">
          <cell r="A1147">
            <v>1185</v>
          </cell>
        </row>
        <row r="1148">
          <cell r="A1148">
            <v>1186</v>
          </cell>
        </row>
        <row r="1149">
          <cell r="A1149">
            <v>1187</v>
          </cell>
        </row>
        <row r="1150">
          <cell r="A1150">
            <v>6001</v>
          </cell>
        </row>
        <row r="1151">
          <cell r="A1151">
            <v>6002</v>
          </cell>
        </row>
        <row r="1152">
          <cell r="A1152">
            <v>6003</v>
          </cell>
        </row>
        <row r="1153">
          <cell r="A1153">
            <v>6004</v>
          </cell>
        </row>
        <row r="1154">
          <cell r="A1154">
            <v>6005</v>
          </cell>
        </row>
        <row r="1155">
          <cell r="A1155">
            <v>6006</v>
          </cell>
        </row>
        <row r="1156">
          <cell r="A1156">
            <v>6007</v>
          </cell>
        </row>
        <row r="1157">
          <cell r="A1157">
            <v>6008</v>
          </cell>
        </row>
        <row r="1158">
          <cell r="A1158">
            <v>6009</v>
          </cell>
        </row>
        <row r="1159">
          <cell r="A1159">
            <v>6010</v>
          </cell>
        </row>
        <row r="1160">
          <cell r="A1160">
            <v>6011</v>
          </cell>
        </row>
        <row r="1161">
          <cell r="A1161">
            <v>6012</v>
          </cell>
        </row>
        <row r="1162">
          <cell r="A1162">
            <v>6013</v>
          </cell>
        </row>
        <row r="1163">
          <cell r="A1163">
            <v>6014</v>
          </cell>
        </row>
        <row r="1164">
          <cell r="A1164">
            <v>6015</v>
          </cell>
        </row>
        <row r="1165">
          <cell r="A1165">
            <v>6016</v>
          </cell>
        </row>
        <row r="1166">
          <cell r="A1166">
            <v>6017</v>
          </cell>
        </row>
        <row r="1167">
          <cell r="A1167">
            <v>6018</v>
          </cell>
        </row>
        <row r="1168">
          <cell r="A1168">
            <v>6019</v>
          </cell>
        </row>
        <row r="1169">
          <cell r="A1169">
            <v>6020</v>
          </cell>
        </row>
        <row r="1170">
          <cell r="A1170">
            <v>8001</v>
          </cell>
        </row>
        <row r="1171">
          <cell r="A1171">
            <v>8002</v>
          </cell>
        </row>
        <row r="1172">
          <cell r="A1172">
            <v>8003</v>
          </cell>
        </row>
        <row r="1173">
          <cell r="A1173">
            <v>8004</v>
          </cell>
        </row>
        <row r="1174">
          <cell r="A1174">
            <v>8005</v>
          </cell>
        </row>
        <row r="1175">
          <cell r="A1175">
            <v>8006</v>
          </cell>
        </row>
        <row r="1176">
          <cell r="A1176">
            <v>8007</v>
          </cell>
        </row>
        <row r="1177">
          <cell r="A1177">
            <v>8008</v>
          </cell>
        </row>
        <row r="1178">
          <cell r="A1178">
            <v>8009</v>
          </cell>
        </row>
        <row r="1179">
          <cell r="A1179">
            <v>8010</v>
          </cell>
        </row>
        <row r="1180">
          <cell r="A1180">
            <v>8011</v>
          </cell>
        </row>
        <row r="1181">
          <cell r="A1181">
            <v>8012</v>
          </cell>
        </row>
        <row r="1182">
          <cell r="A1182">
            <v>8013</v>
          </cell>
        </row>
        <row r="1183">
          <cell r="A1183">
            <v>8014</v>
          </cell>
        </row>
        <row r="1184">
          <cell r="A1184">
            <v>8015</v>
          </cell>
        </row>
        <row r="1185">
          <cell r="A1185">
            <v>8016</v>
          </cell>
        </row>
        <row r="1186">
          <cell r="A1186">
            <v>8017</v>
          </cell>
        </row>
        <row r="1187">
          <cell r="A1187">
            <v>8018</v>
          </cell>
        </row>
        <row r="1188">
          <cell r="A1188">
            <v>8019</v>
          </cell>
        </row>
        <row r="1189">
          <cell r="A1189">
            <v>8020</v>
          </cell>
        </row>
        <row r="1190">
          <cell r="A1190">
            <v>8021</v>
          </cell>
        </row>
        <row r="1191">
          <cell r="A1191">
            <v>8022</v>
          </cell>
        </row>
        <row r="1192">
          <cell r="A1192">
            <v>8023</v>
          </cell>
        </row>
        <row r="1193">
          <cell r="A1193">
            <v>8024</v>
          </cell>
        </row>
        <row r="1194">
          <cell r="A1194">
            <v>8025</v>
          </cell>
        </row>
        <row r="1195">
          <cell r="A1195">
            <v>8026</v>
          </cell>
        </row>
        <row r="1196">
          <cell r="A1196">
            <v>8027</v>
          </cell>
        </row>
        <row r="1197">
          <cell r="A1197">
            <v>8028</v>
          </cell>
        </row>
        <row r="1198">
          <cell r="A1198">
            <v>8029</v>
          </cell>
        </row>
        <row r="1199">
          <cell r="A1199">
            <v>8030</v>
          </cell>
        </row>
        <row r="1200">
          <cell r="A1200">
            <v>8031</v>
          </cell>
        </row>
        <row r="1201">
          <cell r="A1201">
            <v>8032</v>
          </cell>
        </row>
        <row r="1202">
          <cell r="A1202">
            <v>8033</v>
          </cell>
        </row>
        <row r="1203">
          <cell r="A1203">
            <v>8034</v>
          </cell>
        </row>
        <row r="1204">
          <cell r="A1204">
            <v>8035</v>
          </cell>
        </row>
        <row r="1205">
          <cell r="A1205">
            <v>8036</v>
          </cell>
        </row>
        <row r="1206">
          <cell r="A1206">
            <v>8037</v>
          </cell>
        </row>
        <row r="1207">
          <cell r="A1207">
            <v>8038</v>
          </cell>
        </row>
        <row r="1208">
          <cell r="A1208">
            <v>8039</v>
          </cell>
        </row>
        <row r="1209">
          <cell r="A1209">
            <v>8040</v>
          </cell>
        </row>
        <row r="1210">
          <cell r="A1210">
            <v>8041</v>
          </cell>
        </row>
        <row r="1211">
          <cell r="A1211">
            <v>8042</v>
          </cell>
        </row>
        <row r="1212">
          <cell r="A1212">
            <v>8043</v>
          </cell>
        </row>
        <row r="1213">
          <cell r="A1213">
            <v>8044</v>
          </cell>
        </row>
        <row r="1214">
          <cell r="A1214">
            <v>8045</v>
          </cell>
        </row>
        <row r="1215">
          <cell r="A1215">
            <v>8046</v>
          </cell>
        </row>
        <row r="1216">
          <cell r="A1216">
            <v>8047</v>
          </cell>
        </row>
        <row r="1217">
          <cell r="A1217">
            <v>8048</v>
          </cell>
        </row>
        <row r="1218">
          <cell r="A1218">
            <v>8049</v>
          </cell>
        </row>
        <row r="1219">
          <cell r="A1219">
            <v>8050</v>
          </cell>
        </row>
        <row r="1220">
          <cell r="A1220">
            <v>8051</v>
          </cell>
        </row>
        <row r="1221">
          <cell r="A1221">
            <v>8052</v>
          </cell>
        </row>
        <row r="1222">
          <cell r="A1222">
            <v>8053</v>
          </cell>
        </row>
        <row r="1223">
          <cell r="A1223">
            <v>8054</v>
          </cell>
        </row>
        <row r="1224">
          <cell r="A1224">
            <v>8055</v>
          </cell>
        </row>
        <row r="1225">
          <cell r="A1225">
            <v>8056</v>
          </cell>
        </row>
        <row r="1226">
          <cell r="A1226">
            <v>8057</v>
          </cell>
        </row>
        <row r="1227">
          <cell r="A1227">
            <v>8058</v>
          </cell>
        </row>
        <row r="1228">
          <cell r="A1228">
            <v>8059</v>
          </cell>
        </row>
        <row r="1229">
          <cell r="A1229">
            <v>8060</v>
          </cell>
        </row>
        <row r="1230">
          <cell r="A1230">
            <v>8061</v>
          </cell>
        </row>
        <row r="1231">
          <cell r="A1231">
            <v>8062</v>
          </cell>
        </row>
        <row r="1232">
          <cell r="A1232">
            <v>8063</v>
          </cell>
        </row>
        <row r="1233">
          <cell r="A1233">
            <v>8064</v>
          </cell>
        </row>
        <row r="1234">
          <cell r="A1234">
            <v>8065</v>
          </cell>
        </row>
        <row r="1235">
          <cell r="A1235">
            <v>8066</v>
          </cell>
        </row>
        <row r="1236">
          <cell r="A1236">
            <v>8067</v>
          </cell>
        </row>
        <row r="1237">
          <cell r="A1237">
            <v>8068</v>
          </cell>
        </row>
        <row r="1238">
          <cell r="A1238">
            <v>8069</v>
          </cell>
        </row>
        <row r="1239">
          <cell r="A1239">
            <v>8070</v>
          </cell>
        </row>
        <row r="1240">
          <cell r="A1240">
            <v>8071</v>
          </cell>
        </row>
        <row r="1241">
          <cell r="A1241">
            <v>8072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5" sqref="A15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5" t="s">
        <v>131</v>
      </c>
      <c r="B1" s="50" t="s">
        <v>101</v>
      </c>
      <c r="C1" s="50" t="s">
        <v>102</v>
      </c>
      <c r="D1" s="50" t="s">
        <v>103</v>
      </c>
      <c r="E1" s="50" t="s">
        <v>104</v>
      </c>
      <c r="F1" s="50" t="s">
        <v>105</v>
      </c>
      <c r="G1" s="50" t="s">
        <v>106</v>
      </c>
      <c r="H1" s="50"/>
      <c r="I1" s="50"/>
      <c r="J1" s="50"/>
      <c r="K1" s="50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</row>
    <row r="2" spans="1:30" x14ac:dyDescent="0.15">
      <c r="A2" s="56" t="s">
        <v>322</v>
      </c>
      <c r="B2" s="52" t="s">
        <v>107</v>
      </c>
      <c r="C2" s="57">
        <v>40030</v>
      </c>
      <c r="D2" s="52" t="s">
        <v>108</v>
      </c>
      <c r="E2" s="51" t="str">
        <f>B2&amp;C2&amp;D2</f>
        <v>floors_40030.tmp</v>
      </c>
      <c r="F2" s="52" t="s">
        <v>109</v>
      </c>
      <c r="G2" s="53" t="s">
        <v>0</v>
      </c>
      <c r="H2" s="53" t="s">
        <v>1</v>
      </c>
      <c r="I2" s="53" t="s">
        <v>13</v>
      </c>
      <c r="J2" s="53" t="s">
        <v>14</v>
      </c>
      <c r="K2" s="53" t="s">
        <v>15</v>
      </c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</row>
    <row r="3" spans="1:30" x14ac:dyDescent="0.15">
      <c r="A3" s="56" t="s">
        <v>322</v>
      </c>
      <c r="B3" s="52" t="s">
        <v>110</v>
      </c>
      <c r="C3" s="57">
        <v>40030</v>
      </c>
      <c r="D3" s="52" t="s">
        <v>108</v>
      </c>
      <c r="E3" s="51" t="str">
        <f>B3&amp;C3&amp;D3</f>
        <v>enemy_habitats_40030.tmp</v>
      </c>
      <c r="F3" s="52" t="s">
        <v>111</v>
      </c>
      <c r="G3" s="53" t="s">
        <v>0</v>
      </c>
      <c r="H3" s="53" t="s">
        <v>1</v>
      </c>
      <c r="I3" s="53" t="s">
        <v>13</v>
      </c>
      <c r="J3" s="53" t="s">
        <v>2</v>
      </c>
      <c r="K3" s="53" t="s">
        <v>3</v>
      </c>
      <c r="L3" s="53" t="s">
        <v>47</v>
      </c>
      <c r="M3" s="53" t="s">
        <v>49</v>
      </c>
      <c r="N3" s="53" t="s">
        <v>51</v>
      </c>
      <c r="O3" s="53" t="s">
        <v>22</v>
      </c>
      <c r="P3" s="53" t="s">
        <v>5</v>
      </c>
      <c r="Q3" s="53" t="s">
        <v>6</v>
      </c>
      <c r="R3" s="53" t="s">
        <v>7</v>
      </c>
      <c r="S3" s="53" t="s">
        <v>8</v>
      </c>
      <c r="T3" s="53" t="s">
        <v>9</v>
      </c>
      <c r="U3" s="53" t="s">
        <v>10</v>
      </c>
      <c r="V3" s="53" t="s">
        <v>11</v>
      </c>
      <c r="W3" s="53" t="s">
        <v>12</v>
      </c>
      <c r="X3" s="53" t="s">
        <v>37</v>
      </c>
      <c r="Y3" s="53" t="s">
        <v>39</v>
      </c>
      <c r="Z3" s="53" t="s">
        <v>41</v>
      </c>
      <c r="AA3" s="53" t="s">
        <v>43</v>
      </c>
      <c r="AB3" s="53" t="s">
        <v>45</v>
      </c>
      <c r="AC3" s="53" t="s">
        <v>54</v>
      </c>
      <c r="AD3" s="53" t="s">
        <v>180</v>
      </c>
    </row>
    <row r="4" spans="1:30" x14ac:dyDescent="0.15">
      <c r="A4" s="56" t="s">
        <v>322</v>
      </c>
      <c r="B4" s="52" t="s">
        <v>112</v>
      </c>
      <c r="C4" s="57">
        <v>40030</v>
      </c>
      <c r="D4" s="52" t="s">
        <v>108</v>
      </c>
      <c r="E4" s="51" t="str">
        <f>B4&amp;C4&amp;D4</f>
        <v>enemy_habitat_S_40030.tmp</v>
      </c>
      <c r="F4" s="52" t="s">
        <v>113</v>
      </c>
      <c r="G4" s="53" t="s">
        <v>0</v>
      </c>
      <c r="H4" s="53" t="s">
        <v>1</v>
      </c>
      <c r="I4" s="53" t="s">
        <v>13</v>
      </c>
      <c r="J4" s="53" t="s">
        <v>54</v>
      </c>
      <c r="K4" s="53" t="s">
        <v>55</v>
      </c>
      <c r="L4" s="53" t="s">
        <v>56</v>
      </c>
      <c r="M4" s="53" t="s">
        <v>57</v>
      </c>
      <c r="N4" s="53" t="s">
        <v>58</v>
      </c>
      <c r="O4" s="53" t="s">
        <v>59</v>
      </c>
      <c r="P4" s="53" t="s">
        <v>48</v>
      </c>
      <c r="Q4" s="53" t="s">
        <v>50</v>
      </c>
      <c r="R4" s="53" t="s">
        <v>52</v>
      </c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</row>
    <row r="5" spans="1:30" x14ac:dyDescent="0.15">
      <c r="A5" s="56" t="s">
        <v>322</v>
      </c>
      <c r="B5" s="52" t="s">
        <v>114</v>
      </c>
      <c r="C5" s="57">
        <v>40030</v>
      </c>
      <c r="D5" s="52" t="s">
        <v>108</v>
      </c>
      <c r="E5" s="51" t="str">
        <f>B5&amp;C5&amp;D5</f>
        <v>enemy_skill_sets_40030.tmp</v>
      </c>
      <c r="F5" s="52" t="s">
        <v>115</v>
      </c>
      <c r="G5" s="54" t="s">
        <v>22</v>
      </c>
      <c r="H5" s="54" t="s">
        <v>100</v>
      </c>
      <c r="I5" s="54" t="s">
        <v>95</v>
      </c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</row>
    <row r="6" spans="1:30" x14ac:dyDescent="0.15">
      <c r="A6" s="56" t="s">
        <v>322</v>
      </c>
      <c r="B6" s="52" t="s">
        <v>116</v>
      </c>
      <c r="C6" s="57">
        <v>40030</v>
      </c>
      <c r="D6" s="52" t="s">
        <v>117</v>
      </c>
      <c r="E6" s="51" t="str">
        <f t="shared" ref="E6:E10" si="0">B6&amp;C6&amp;D6</f>
        <v>enemy_skills_tmp_40030.tmp</v>
      </c>
      <c r="F6" s="52" t="s">
        <v>91</v>
      </c>
      <c r="G6" s="53" t="s">
        <v>79</v>
      </c>
      <c r="H6" s="53" t="s">
        <v>80</v>
      </c>
      <c r="I6" s="53" t="s">
        <v>81</v>
      </c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</row>
    <row r="7" spans="1:30" x14ac:dyDescent="0.15">
      <c r="A7" s="56" t="s">
        <v>322</v>
      </c>
      <c r="B7" s="52" t="s">
        <v>118</v>
      </c>
      <c r="C7" s="57">
        <v>40030</v>
      </c>
      <c r="D7" s="52" t="s">
        <v>108</v>
      </c>
      <c r="E7" s="51" t="str">
        <f>B7&amp;C7&amp;D7</f>
        <v>enemy_skills_i18n_40030.tmp</v>
      </c>
      <c r="F7" s="52" t="s">
        <v>119</v>
      </c>
      <c r="G7" s="53" t="s">
        <v>79</v>
      </c>
      <c r="H7" s="53" t="s">
        <v>92</v>
      </c>
      <c r="I7" s="53" t="s">
        <v>93</v>
      </c>
      <c r="J7" s="53" t="s">
        <v>94</v>
      </c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</row>
    <row r="8" spans="1:30" x14ac:dyDescent="0.15">
      <c r="A8" s="56" t="s">
        <v>322</v>
      </c>
      <c r="B8" s="52" t="s">
        <v>120</v>
      </c>
      <c r="C8" s="57">
        <v>40030</v>
      </c>
      <c r="D8" s="52" t="s">
        <v>121</v>
      </c>
      <c r="E8" s="51" t="str">
        <f t="shared" si="0"/>
        <v>enemy_skill_triggers_40030.tmp</v>
      </c>
      <c r="F8" s="52" t="s">
        <v>122</v>
      </c>
      <c r="G8" s="53" t="s">
        <v>95</v>
      </c>
      <c r="H8" s="53" t="s">
        <v>96</v>
      </c>
      <c r="I8" s="53" t="s">
        <v>97</v>
      </c>
      <c r="J8" s="53" t="s">
        <v>98</v>
      </c>
      <c r="K8" s="53" t="s">
        <v>123</v>
      </c>
      <c r="L8" s="53" t="s">
        <v>99</v>
      </c>
      <c r="M8" s="53" t="s">
        <v>124</v>
      </c>
      <c r="N8" s="53" t="s">
        <v>125</v>
      </c>
      <c r="O8" s="53" t="s">
        <v>126</v>
      </c>
      <c r="P8" s="53" t="s">
        <v>67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</row>
    <row r="9" spans="1:30" x14ac:dyDescent="0.15">
      <c r="A9" s="56" t="s">
        <v>322</v>
      </c>
      <c r="B9" s="62" t="s">
        <v>179</v>
      </c>
      <c r="C9" s="57">
        <v>40030</v>
      </c>
      <c r="D9" s="62" t="s">
        <v>173</v>
      </c>
      <c r="E9" s="63" t="str">
        <f t="shared" si="0"/>
        <v>stage_bug_bonuses_40030.tmp</v>
      </c>
      <c r="F9" s="62" t="s">
        <v>174</v>
      </c>
      <c r="G9" s="59" t="s">
        <v>151</v>
      </c>
      <c r="H9" s="59" t="s">
        <v>175</v>
      </c>
      <c r="I9" s="59" t="s">
        <v>176</v>
      </c>
      <c r="J9" s="61" t="s">
        <v>177</v>
      </c>
      <c r="K9" s="59" t="s">
        <v>178</v>
      </c>
      <c r="L9" s="59" t="s">
        <v>157</v>
      </c>
      <c r="M9" s="59" t="s">
        <v>158</v>
      </c>
      <c r="N9" s="59" t="s">
        <v>159</v>
      </c>
      <c r="O9" s="59" t="s">
        <v>160</v>
      </c>
      <c r="P9" s="59" t="s">
        <v>161</v>
      </c>
      <c r="Q9" s="59" t="s">
        <v>162</v>
      </c>
      <c r="R9" s="59" t="s">
        <v>163</v>
      </c>
      <c r="S9" s="59" t="s">
        <v>164</v>
      </c>
      <c r="T9" s="59" t="s">
        <v>165</v>
      </c>
      <c r="U9" s="59" t="s">
        <v>166</v>
      </c>
      <c r="V9" s="59" t="s">
        <v>167</v>
      </c>
      <c r="W9" s="59" t="s">
        <v>168</v>
      </c>
      <c r="X9" s="52"/>
      <c r="Y9" s="52"/>
      <c r="Z9" s="52"/>
      <c r="AA9" s="52"/>
      <c r="AB9" s="52"/>
      <c r="AC9" s="52"/>
      <c r="AD9" s="52"/>
    </row>
    <row r="10" spans="1:30" s="69" customFormat="1" x14ac:dyDescent="0.15">
      <c r="A10" s="56" t="s">
        <v>322</v>
      </c>
      <c r="B10" s="62" t="s">
        <v>203</v>
      </c>
      <c r="C10" s="57">
        <v>40030</v>
      </c>
      <c r="D10" s="62" t="s">
        <v>182</v>
      </c>
      <c r="E10" s="63" t="str">
        <f t="shared" si="0"/>
        <v>stage_hints_data_c_40030.tmp</v>
      </c>
      <c r="F10" s="62" t="s">
        <v>211</v>
      </c>
      <c r="G10" s="67" t="s">
        <v>183</v>
      </c>
      <c r="H10" s="67" t="s">
        <v>175</v>
      </c>
      <c r="I10" s="68" t="s">
        <v>184</v>
      </c>
      <c r="J10" s="61" t="s">
        <v>185</v>
      </c>
      <c r="K10" s="61" t="s">
        <v>186</v>
      </c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</row>
    <row r="11" spans="1:30" s="69" customFormat="1" x14ac:dyDescent="0.15">
      <c r="A11" s="56" t="s">
        <v>322</v>
      </c>
      <c r="B11" s="62" t="s">
        <v>204</v>
      </c>
      <c r="C11" s="57">
        <v>40030</v>
      </c>
      <c r="D11" s="62" t="s">
        <v>173</v>
      </c>
      <c r="E11" s="63" t="str">
        <f t="shared" ref="E11:E13" si="1">B11&amp;C11&amp;D11</f>
        <v>stage_hints_data_f_40030.tmp</v>
      </c>
      <c r="F11" s="62" t="s">
        <v>212</v>
      </c>
      <c r="G11" s="67" t="s">
        <v>183</v>
      </c>
      <c r="H11" s="67" t="s">
        <v>175</v>
      </c>
      <c r="I11" s="68" t="s">
        <v>184</v>
      </c>
      <c r="J11" s="61" t="s">
        <v>185</v>
      </c>
      <c r="K11" s="61" t="s">
        <v>186</v>
      </c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</row>
    <row r="12" spans="1:30" s="69" customFormat="1" x14ac:dyDescent="0.15">
      <c r="A12" s="56" t="s">
        <v>322</v>
      </c>
      <c r="B12" s="62" t="s">
        <v>205</v>
      </c>
      <c r="C12" s="57">
        <v>40030</v>
      </c>
      <c r="D12" s="62" t="s">
        <v>173</v>
      </c>
      <c r="E12" s="63" t="str">
        <f t="shared" si="1"/>
        <v>stage_hints_i18n_40030.tmp</v>
      </c>
      <c r="F12" s="62" t="s">
        <v>213</v>
      </c>
      <c r="G12" s="68" t="s">
        <v>206</v>
      </c>
      <c r="H12" s="82" t="s">
        <v>207</v>
      </c>
      <c r="I12" s="67" t="s">
        <v>208</v>
      </c>
      <c r="J12" s="90" t="s">
        <v>209</v>
      </c>
      <c r="K12" s="61" t="s">
        <v>210</v>
      </c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</row>
    <row r="13" spans="1:30" s="69" customFormat="1" x14ac:dyDescent="0.15">
      <c r="A13" s="56" t="s">
        <v>322</v>
      </c>
      <c r="B13" s="62" t="s">
        <v>253</v>
      </c>
      <c r="C13" s="57">
        <v>40030</v>
      </c>
      <c r="D13" s="62" t="s">
        <v>234</v>
      </c>
      <c r="E13" s="63" t="str">
        <f t="shared" si="1"/>
        <v>stage_bonuses_40030.tmp</v>
      </c>
      <c r="F13" s="62" t="s">
        <v>233</v>
      </c>
      <c r="G13" s="67" t="s">
        <v>235</v>
      </c>
      <c r="H13" s="67" t="s">
        <v>236</v>
      </c>
      <c r="I13" s="67" t="s">
        <v>237</v>
      </c>
      <c r="J13" s="67" t="s">
        <v>238</v>
      </c>
      <c r="K13" s="67" t="s">
        <v>239</v>
      </c>
      <c r="L13" s="67" t="s">
        <v>240</v>
      </c>
      <c r="M13" s="67" t="s">
        <v>241</v>
      </c>
      <c r="N13" s="67" t="s">
        <v>242</v>
      </c>
      <c r="O13" s="67" t="s">
        <v>243</v>
      </c>
      <c r="P13" s="67" t="s">
        <v>244</v>
      </c>
      <c r="Q13" s="67" t="s">
        <v>245</v>
      </c>
      <c r="R13" s="67" t="s">
        <v>246</v>
      </c>
      <c r="S13" s="67" t="s">
        <v>247</v>
      </c>
      <c r="T13" s="67" t="s">
        <v>248</v>
      </c>
      <c r="U13" s="67" t="s">
        <v>249</v>
      </c>
      <c r="V13" s="67" t="s">
        <v>250</v>
      </c>
      <c r="W13" s="67" t="s">
        <v>251</v>
      </c>
      <c r="X13" s="67" t="s">
        <v>252</v>
      </c>
      <c r="Y13" s="89"/>
      <c r="Z13" s="89"/>
      <c r="AA13" s="89"/>
      <c r="AB13" s="89"/>
      <c r="AC13" s="89"/>
      <c r="AD13" s="8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R14" sqref="R1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40030_1-1</v>
      </c>
      <c r="B2" s="16" t="str">
        <f>IF(COUNTIF(enemy_habitats!$H:$H,A2),"OK","NG")</f>
        <v>OK</v>
      </c>
      <c r="C2" s="7">
        <v>40030</v>
      </c>
      <c r="D2" s="11" t="str">
        <f ca="1">VLOOKUP($C2,OFFSET([2]quests!$A$1,0,0,COUNTA([2]quests!$A:$A),MATCH(D$1,[2]quests!$1:$1,0)-MATCH($C$1,[2]quests!$1:$1,0)+1),MATCH(D$1,[2]quests!$1:$1,0)-MATCH($C$1,[2]quests!$1:$1,0)+1,FALSE)</f>
        <v>エリス襲来！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降臨30</v>
      </c>
      <c r="F2" s="21">
        <v>1</v>
      </c>
      <c r="G2" s="23" t="str">
        <f>C2&amp;"_"&amp;F2</f>
        <v>40030_1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【超絶級】エリス襲来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9" si="0">G3&amp;"-"&amp;I3</f>
        <v>40030_1-2</v>
      </c>
      <c r="B3" s="16" t="str">
        <f>IF(COUNTIF(enemy_habitats!$H:$H,A3),"OK","NG")</f>
        <v>OK</v>
      </c>
      <c r="C3" s="7">
        <v>40030</v>
      </c>
      <c r="D3" s="11" t="str">
        <f ca="1">VLOOKUP($C3,OFFSET([2]quests!$A$1,0,0,COUNTA([2]quests!$A:$A),MATCH(D$1,[2]quests!$1:$1,0)-MATCH($C$1,[2]quests!$1:$1,0)+1),MATCH(D$1,[2]quests!$1:$1,0)-MATCH($C$1,[2]quests!$1:$1,0)+1,FALSE)</f>
        <v>エリス襲来！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降臨30</v>
      </c>
      <c r="F3" s="21">
        <v>1</v>
      </c>
      <c r="G3" s="23" t="str">
        <f t="shared" ref="G3:G9" si="1">C3&amp;"_"&amp;F3</f>
        <v>40030_1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【超絶級】エリス襲来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40030_1-3</v>
      </c>
      <c r="B4" s="16" t="str">
        <f>IF(COUNTIF(enemy_habitats!$H:$H,A4),"OK","NG")</f>
        <v>OK</v>
      </c>
      <c r="C4" s="7">
        <v>40030</v>
      </c>
      <c r="D4" s="11" t="str">
        <f ca="1">VLOOKUP($C4,OFFSET([2]quests!$A$1,0,0,COUNTA([2]quests!$A:$A),MATCH(D$1,[2]quests!$1:$1,0)-MATCH($C$1,[2]quests!$1:$1,0)+1),MATCH(D$1,[2]quests!$1:$1,0)-MATCH($C$1,[2]quests!$1:$1,0)+1,FALSE)</f>
        <v>エリス襲来！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降臨30</v>
      </c>
      <c r="F4" s="21">
        <v>1</v>
      </c>
      <c r="G4" s="23" t="str">
        <f t="shared" si="1"/>
        <v>40030_1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【超絶級】エリス襲来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40030_1-4</v>
      </c>
      <c r="B5" s="16" t="str">
        <f>IF(COUNTIF(enemy_habitats!$H:$H,A5),"OK","NG")</f>
        <v>OK</v>
      </c>
      <c r="C5" s="7">
        <v>40030</v>
      </c>
      <c r="D5" s="11" t="str">
        <f ca="1">VLOOKUP($C5,OFFSET([2]quests!$A$1,0,0,COUNTA([2]quests!$A:$A),MATCH(D$1,[2]quests!$1:$1,0)-MATCH($C$1,[2]quests!$1:$1,0)+1),MATCH(D$1,[2]quests!$1:$1,0)-MATCH($C$1,[2]quests!$1:$1,0)+1,FALSE)</f>
        <v>エリス襲来！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降臨30</v>
      </c>
      <c r="F5" s="21">
        <v>1</v>
      </c>
      <c r="G5" s="23" t="str">
        <f t="shared" si="1"/>
        <v>40030_1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【超絶級】エリス襲来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40030_2-1</v>
      </c>
      <c r="B6" s="16" t="str">
        <f>IF(COUNTIF(enemy_habitats!$H:$H,A6),"OK","NG")</f>
        <v>OK</v>
      </c>
      <c r="C6" s="7">
        <v>40030</v>
      </c>
      <c r="D6" s="11" t="str">
        <f ca="1">VLOOKUP($C6,OFFSET([2]quests!$A$1,0,0,COUNTA([2]quests!$A:$A),MATCH(D$1,[2]quests!$1:$1,0)-MATCH($C$1,[2]quests!$1:$1,0)+1),MATCH(D$1,[2]quests!$1:$1,0)-MATCH($C$1,[2]quests!$1:$1,0)+1,FALSE)</f>
        <v>エリス襲来！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降臨30</v>
      </c>
      <c r="F6" s="21">
        <v>2</v>
      </c>
      <c r="G6" s="23" t="str">
        <f t="shared" si="1"/>
        <v>40030_2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【ウィザード級】エリス襲来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40030_2-2</v>
      </c>
      <c r="B7" s="16" t="str">
        <f>IF(COUNTIF(enemy_habitats!$H:$H,A7),"OK","NG")</f>
        <v>OK</v>
      </c>
      <c r="C7" s="7">
        <v>40030</v>
      </c>
      <c r="D7" s="11" t="str">
        <f ca="1">VLOOKUP($C7,OFFSET([2]quests!$A$1,0,0,COUNTA([2]quests!$A:$A),MATCH(D$1,[2]quests!$1:$1,0)-MATCH($C$1,[2]quests!$1:$1,0)+1),MATCH(D$1,[2]quests!$1:$1,0)-MATCH($C$1,[2]quests!$1:$1,0)+1,FALSE)</f>
        <v>エリス襲来！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降臨30</v>
      </c>
      <c r="F7" s="21">
        <v>2</v>
      </c>
      <c r="G7" s="23" t="str">
        <f t="shared" si="1"/>
        <v>40030_2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【ウィザード級】エリス襲来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40030_2-3</v>
      </c>
      <c r="B8" s="16" t="str">
        <f>IF(COUNTIF(enemy_habitats!$H:$H,A8),"OK","NG")</f>
        <v>OK</v>
      </c>
      <c r="C8" s="7">
        <v>40030</v>
      </c>
      <c r="D8" s="11" t="str">
        <f ca="1">VLOOKUP($C8,OFFSET([2]quests!$A$1,0,0,COUNTA([2]quests!$A:$A),MATCH(D$1,[2]quests!$1:$1,0)-MATCH($C$1,[2]quests!$1:$1,0)+1),MATCH(D$1,[2]quests!$1:$1,0)-MATCH($C$1,[2]quests!$1:$1,0)+1,FALSE)</f>
        <v>エリス襲来！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降臨30</v>
      </c>
      <c r="F8" s="21">
        <v>2</v>
      </c>
      <c r="G8" s="23" t="str">
        <f t="shared" si="1"/>
        <v>40030_2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【ウィザード級】エリス襲来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40030_2-4</v>
      </c>
      <c r="B9" s="16" t="str">
        <f>IF(COUNTIF(enemy_habitats!$H:$H,A9),"OK","NG")</f>
        <v>OK</v>
      </c>
      <c r="C9" s="7">
        <v>40030</v>
      </c>
      <c r="D9" s="11" t="str">
        <f ca="1">VLOOKUP($C9,OFFSET([2]quests!$A$1,0,0,COUNTA([2]quests!$A:$A),MATCH(D$1,[2]quests!$1:$1,0)-MATCH($C$1,[2]quests!$1:$1,0)+1),MATCH(D$1,[2]quests!$1:$1,0)-MATCH($C$1,[2]quests!$1:$1,0)+1,FALSE)</f>
        <v>エリス襲来！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降臨30</v>
      </c>
      <c r="F9" s="21">
        <v>2</v>
      </c>
      <c r="G9" s="23" t="str">
        <f t="shared" si="1"/>
        <v>40030_2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【ウィザード級】エリス襲来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1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AB11" sqref="AB11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22.1640625" style="3" bestFit="1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9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91" t="s">
        <v>254</v>
      </c>
      <c r="U1" s="26" t="s">
        <v>50</v>
      </c>
      <c r="V1" s="91" t="s">
        <v>255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181</v>
      </c>
    </row>
    <row r="2" spans="1:42" ht="21" customHeight="1" x14ac:dyDescent="0.15">
      <c r="A2" s="16" t="str">
        <f>B2&amp;"_"&amp;C2&amp;"-"&amp;G2&amp;"/"&amp;L2&amp;"&lt;lv"&amp;R2&amp;"&gt;s"&amp;AC2</f>
        <v>40030_1-1/510&lt;lv50&gt;s2</v>
      </c>
      <c r="B2" s="22">
        <v>40030</v>
      </c>
      <c r="C2" s="21">
        <v>1</v>
      </c>
      <c r="D2" s="2" t="str">
        <f>B2&amp;"_"&amp;C2</f>
        <v>40030_1</v>
      </c>
      <c r="E2" s="4" t="str">
        <f ca="1">VLOOKUP($B2,OFFSET([2]quests!$A$1,0,0,COUNTA([2]quests!$A:$A),MATCH(E$1,[2]quests!$1:$1,0)-MATCH($B$1,[2]quests!$1:$1,0)+1),MATCH(E$1,[2]quests!$1:$1,0)-MATCH($B$1,[2]quests!$1:$1,0)+1,FALSE)</f>
        <v>エリス襲来！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【超絶級】エリス襲来</v>
      </c>
      <c r="G2" s="21">
        <v>1</v>
      </c>
      <c r="H2" s="15" t="str">
        <f>B2&amp;"_"&amp;C2&amp;"-"&amp;G2</f>
        <v>40030_1-1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510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燃えさかる豪息 ヒュウガ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dragon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50</v>
      </c>
      <c r="S2" s="105">
        <v>1.6</v>
      </c>
      <c r="T2" s="9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123188.8</v>
      </c>
      <c r="U2" s="25">
        <v>0.7</v>
      </c>
      <c r="V2" s="9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5455.0999999999995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3">
        <v>40030008</v>
      </c>
      <c r="Z2" s="6">
        <v>1</v>
      </c>
      <c r="AA2" s="6">
        <v>100</v>
      </c>
      <c r="AB2" s="6">
        <v>1</v>
      </c>
      <c r="AC2" s="17">
        <v>2</v>
      </c>
      <c r="AD2" s="24">
        <v>41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ヒュウガ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Drop1N</v>
      </c>
      <c r="AH2" s="7">
        <v>1</v>
      </c>
      <c r="AI2" s="24">
        <f ca="1">AF2</f>
        <v>2</v>
      </c>
      <c r="AJ2" s="8">
        <v>20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4">
        <v>1</v>
      </c>
    </row>
    <row r="3" spans="1:42" ht="21" customHeight="1" x14ac:dyDescent="0.15">
      <c r="A3" s="16" t="str">
        <f t="shared" ref="A3:A11" si="0">B3&amp;"_"&amp;C3&amp;"-"&amp;G3&amp;"/"&amp;L3&amp;"&lt;lv"&amp;R3&amp;"&gt;s"&amp;AC3</f>
        <v>40030_1-2/10&lt;lv50&gt;s1</v>
      </c>
      <c r="B3" s="22">
        <v>40030</v>
      </c>
      <c r="C3" s="21">
        <v>1</v>
      </c>
      <c r="D3" s="2" t="str">
        <f t="shared" ref="D3:D11" si="1">B3&amp;"_"&amp;C3</f>
        <v>40030_1</v>
      </c>
      <c r="E3" s="4" t="str">
        <f ca="1">VLOOKUP($B3,OFFSET([2]quests!$A$1,0,0,COUNTA([2]quests!$A:$A),MATCH(E$1,[2]quests!$1:$1,0)-MATCH($B$1,[2]quests!$1:$1,0)+1),MATCH(E$1,[2]quests!$1:$1,0)-MATCH($B$1,[2]quests!$1:$1,0)+1,FALSE)</f>
        <v>エリス襲来！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【超絶級】エリス襲来</v>
      </c>
      <c r="G3" s="21">
        <v>2</v>
      </c>
      <c r="H3" s="15" t="str">
        <f t="shared" ref="H3:H6" si="2">B3&amp;"_"&amp;C3&amp;"-"&amp;G3</f>
        <v>40030_1-2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10</v>
      </c>
      <c r="M3" s="17" t="str">
        <f ca="1">VLOOKUP($L3,OFFSET([3]enemies!$A$1,0,0,COUNTA([3]enemies!$A:$A),MATCH(M$1,[3]enemies!$1:$1,0)-MATCH($L$1,[3]enemies!$1:$1,0)+1),MATCH(M$1,[3]enemies!$1:$1,0)-MATCH($L$1,[3]enemies!$1:$1,0)+1,FALSE)</f>
        <v>燃える悪戯魂 ブレット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50</v>
      </c>
      <c r="S3" s="105">
        <v>5</v>
      </c>
      <c r="T3" s="9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51500</v>
      </c>
      <c r="U3" s="25">
        <v>0.6</v>
      </c>
      <c r="V3" s="9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2766.6</v>
      </c>
      <c r="W3" s="5">
        <v>0</v>
      </c>
      <c r="X3" s="4" t="str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3" s="43">
        <v>0</v>
      </c>
      <c r="Z3" s="6">
        <v>0</v>
      </c>
      <c r="AA3" s="6">
        <v>100</v>
      </c>
      <c r="AB3" s="6">
        <v>0</v>
      </c>
      <c r="AC3" s="17">
        <v>1</v>
      </c>
      <c r="AD3" s="24">
        <v>9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ブレット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Drop1W</v>
      </c>
      <c r="AH3" s="7">
        <v>1</v>
      </c>
      <c r="AI3" s="24">
        <f t="shared" ref="AI3:AI11" ca="1" si="3">AF3</f>
        <v>1</v>
      </c>
      <c r="AJ3" s="8">
        <v>20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4">
        <v>1</v>
      </c>
    </row>
    <row r="4" spans="1:42" ht="21" customHeight="1" x14ac:dyDescent="0.15">
      <c r="A4" s="16" t="str">
        <f t="shared" si="0"/>
        <v>40030_1-2/151&lt;lv50&gt;s2</v>
      </c>
      <c r="B4" s="22">
        <v>40030</v>
      </c>
      <c r="C4" s="21">
        <v>1</v>
      </c>
      <c r="D4" s="2" t="str">
        <f t="shared" si="1"/>
        <v>40030_1</v>
      </c>
      <c r="E4" s="4" t="str">
        <f ca="1">VLOOKUP($B4,OFFSET([2]quests!$A$1,0,0,COUNTA([2]quests!$A:$A),MATCH(E$1,[2]quests!$1:$1,0)-MATCH($B$1,[2]quests!$1:$1,0)+1),MATCH(E$1,[2]quests!$1:$1,0)-MATCH($B$1,[2]quests!$1:$1,0)+1,FALSE)</f>
        <v>エリス襲来！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【超絶級】エリス襲来</v>
      </c>
      <c r="G4" s="21">
        <v>2</v>
      </c>
      <c r="H4" s="15" t="str">
        <f t="shared" si="2"/>
        <v>40030_1-2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151</v>
      </c>
      <c r="M4" s="17" t="str">
        <f ca="1">VLOOKUP($L4,OFFSET([3]enemies!$A$1,0,0,COUNTA([3]enemies!$A:$A),MATCH(M$1,[3]enemies!$1:$1,0)-MATCH($L$1,[3]enemies!$1:$1,0)+1),MATCH(M$1,[3]enemies!$1:$1,0)-MATCH($L$1,[3]enemies!$1:$1,0)+1,FALSE)</f>
        <v>毒煙の処刑人サキ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50</v>
      </c>
      <c r="S4" s="105">
        <v>3</v>
      </c>
      <c r="T4" s="9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169920</v>
      </c>
      <c r="U4" s="25">
        <v>0.8</v>
      </c>
      <c r="V4" s="9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3796.8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43">
        <v>40030010</v>
      </c>
      <c r="Z4" s="6">
        <v>1</v>
      </c>
      <c r="AA4" s="6">
        <v>100</v>
      </c>
      <c r="AB4" s="6">
        <v>1</v>
      </c>
      <c r="AC4" s="17">
        <v>2</v>
      </c>
      <c r="AD4" s="24">
        <f t="shared" ref="AD4:AD11" si="4">L4</f>
        <v>151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毒煙の処刑人サキ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4" s="7">
        <v>1</v>
      </c>
      <c r="AI4" s="24">
        <f t="shared" ca="1" si="3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4">
        <v>1</v>
      </c>
    </row>
    <row r="5" spans="1:42" ht="21" customHeight="1" x14ac:dyDescent="0.15">
      <c r="A5" s="16" t="str">
        <f t="shared" si="0"/>
        <v>40030_1-3/227&lt;lv50&gt;s3</v>
      </c>
      <c r="B5" s="22">
        <v>40030</v>
      </c>
      <c r="C5" s="21">
        <v>1</v>
      </c>
      <c r="D5" s="2" t="str">
        <f t="shared" si="1"/>
        <v>40030_1</v>
      </c>
      <c r="E5" s="4" t="str">
        <f ca="1">VLOOKUP($B5,OFFSET([2]quests!$A$1,0,0,COUNTA([2]quests!$A:$A),MATCH(E$1,[2]quests!$1:$1,0)-MATCH($B$1,[2]quests!$1:$1,0)+1),MATCH(E$1,[2]quests!$1:$1,0)-MATCH($B$1,[2]quests!$1:$1,0)+1,FALSE)</f>
        <v>エリス襲来！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【超絶級】エリス襲来</v>
      </c>
      <c r="G5" s="21">
        <v>3</v>
      </c>
      <c r="H5" s="15" t="str">
        <f t="shared" si="2"/>
        <v>40030_1-3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20">
        <v>227</v>
      </c>
      <c r="M5" s="17" t="str">
        <f ca="1">VLOOKUP($L5,OFFSET([3]enemies!$A$1,0,0,COUNTA([3]enemies!$A:$A),MATCH(M$1,[3]enemies!$1:$1,0)-MATCH($L$1,[3]enemies!$1:$1,0)+1),MATCH(M$1,[3]enemies!$1:$1,0)-MATCH($L$1,[3]enemies!$1:$1,0)+1,FALSE)</f>
        <v>滅弾 アレス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50</v>
      </c>
      <c r="S5" s="105">
        <v>3</v>
      </c>
      <c r="T5" s="9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192816</v>
      </c>
      <c r="U5" s="25">
        <v>1</v>
      </c>
      <c r="V5" s="9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7226</v>
      </c>
      <c r="W5" s="5">
        <v>0</v>
      </c>
      <c r="X5" s="4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5" s="43">
        <v>40030011</v>
      </c>
      <c r="Z5" s="6">
        <v>1</v>
      </c>
      <c r="AA5" s="6">
        <v>50</v>
      </c>
      <c r="AB5" s="6">
        <v>1</v>
      </c>
      <c r="AC5" s="17">
        <v>3</v>
      </c>
      <c r="AD5" s="24">
        <f t="shared" si="4"/>
        <v>227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滅弾 アレス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5" s="7">
        <v>1</v>
      </c>
      <c r="AI5" s="24">
        <f t="shared" ca="1" si="3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4">
        <v>1</v>
      </c>
    </row>
    <row r="6" spans="1:42" ht="21" customHeight="1" thickBot="1" x14ac:dyDescent="0.2">
      <c r="A6" s="112" t="str">
        <f t="shared" si="0"/>
        <v>40030_1-4/887&lt;lv50&gt;s2</v>
      </c>
      <c r="B6" s="22">
        <v>40030</v>
      </c>
      <c r="C6" s="113">
        <v>1</v>
      </c>
      <c r="D6" s="114" t="str">
        <f t="shared" si="1"/>
        <v>40030_1</v>
      </c>
      <c r="E6" s="115" t="str">
        <f ca="1">VLOOKUP($B6,OFFSET([2]quests!$A$1,0,0,COUNTA([2]quests!$A:$A),MATCH(E$1,[2]quests!$1:$1,0)-MATCH($B$1,[2]quests!$1:$1,0)+1),MATCH(E$1,[2]quests!$1:$1,0)-MATCH($B$1,[2]quests!$1:$1,0)+1,FALSE)</f>
        <v>エリス襲来！</v>
      </c>
      <c r="F6" s="115" t="str">
        <f ca="1">VLOOKUP($D6,OFFSET([2]stages!$A$1,0,0,COUNTA([2]stages!$A:$A),MATCH(F$1,[2]stages!$2:$2,0)-MATCH($D$1,[2]stages!$2:$2,0)+1),MATCH(F$1,[2]stages!$2:$2,0)-MATCH($D$1,[2]stages!$2:$2,0)+1,FALSE)</f>
        <v>【超絶級】エリス襲来</v>
      </c>
      <c r="G6" s="113">
        <v>4</v>
      </c>
      <c r="H6" s="114" t="str">
        <f t="shared" si="2"/>
        <v>40030_1-4</v>
      </c>
      <c r="I6" s="115">
        <f ca="1">VLOOKUP($H6,OFFSET(floors!$A$1,0,0,COUNTA(floors!$A:$A),MATCH(I$1,floors!$1:$1,0)-MATCH($H$1,floors!$1:$1,0)+1),MATCH(I$1,floors!$1:$1,0)-MATCH($H$1,floors!$1:$1,0)+1,FALSE)</f>
        <v>60</v>
      </c>
      <c r="J6" s="115">
        <f ca="1">VLOOKUP($H6,OFFSET(floors!$A$1,0,0,COUNTA(floors!$A:$A),MATCH(J$1,floors!$1:$1,0)-MATCH($H$1,floors!$1:$1,0)+1),MATCH(J$1,floors!$1:$1,0)-MATCH($H$1,floors!$1:$1,0)+1,FALSE)</f>
        <v>60</v>
      </c>
      <c r="K6" s="38">
        <v>3</v>
      </c>
      <c r="L6" s="117">
        <v>887</v>
      </c>
      <c r="M6" s="118" t="str">
        <f ca="1">VLOOKUP($L6,OFFSET([3]enemies!$A$1,0,0,COUNTA([3]enemies!$A:$A),MATCH(M$1,[3]enemies!$1:$1,0)-MATCH($L$1,[3]enemies!$1:$1,0)+1),MATCH(M$1,[3]enemies!$1:$1,0)-MATCH($L$1,[3]enemies!$1:$1,0)+1,FALSE)</f>
        <v>エリス</v>
      </c>
      <c r="N6" s="118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18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18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18">
        <f ca="1">VLOOKUP($L6,OFFSET([3]enemies!$A$1,0,0,COUNTA([3]enemies!$A:$A),MATCH(Q$1,[3]enemies!$1:$1,0)-MATCH($L$1,[3]enemies!$1:$1,0)+1),MATCH(Q$1,[3]enemies!$1:$1,0)-MATCH($L$1,[3]enemies!$1:$1,0)+1,FALSE)</f>
        <v>60</v>
      </c>
      <c r="R6" s="119">
        <v>50</v>
      </c>
      <c r="S6" s="105">
        <v>3</v>
      </c>
      <c r="T6" s="120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246891</v>
      </c>
      <c r="U6" s="25">
        <v>0.8</v>
      </c>
      <c r="V6" s="120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6042.4000000000005</v>
      </c>
      <c r="W6" s="119">
        <v>0</v>
      </c>
      <c r="X6" s="115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97">
        <v>40030013</v>
      </c>
      <c r="Z6" s="121">
        <v>1</v>
      </c>
      <c r="AA6" s="121">
        <v>50</v>
      </c>
      <c r="AB6" s="121">
        <v>1</v>
      </c>
      <c r="AC6" s="118">
        <v>2</v>
      </c>
      <c r="AD6" s="122">
        <f t="shared" si="4"/>
        <v>887</v>
      </c>
      <c r="AE6" s="115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エリス</v>
      </c>
      <c r="AF6" s="115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115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123">
        <v>1</v>
      </c>
      <c r="AI6" s="122">
        <f t="shared" ca="1" si="3"/>
        <v>5</v>
      </c>
      <c r="AJ6" s="124">
        <v>15</v>
      </c>
      <c r="AK6" s="123">
        <v>0</v>
      </c>
      <c r="AL6" s="123">
        <v>0</v>
      </c>
      <c r="AM6" s="123">
        <v>0</v>
      </c>
      <c r="AN6" s="123">
        <v>0</v>
      </c>
      <c r="AO6" s="123">
        <v>1</v>
      </c>
      <c r="AP6" s="125">
        <v>1</v>
      </c>
    </row>
    <row r="7" spans="1:42" ht="21" customHeight="1" x14ac:dyDescent="0.15">
      <c r="A7" s="16" t="str">
        <f t="shared" si="0"/>
        <v>40030_2-1/510&lt;lv60&gt;s2</v>
      </c>
      <c r="B7" s="22">
        <v>40030</v>
      </c>
      <c r="C7" s="100">
        <v>2</v>
      </c>
      <c r="D7" s="101" t="str">
        <f t="shared" si="1"/>
        <v>40030_2</v>
      </c>
      <c r="E7" s="4" t="str">
        <f ca="1">VLOOKUP($B7,OFFSET([2]quests!$A$1,0,0,COUNTA([2]quests!$A:$A),MATCH(E$1,[2]quests!$1:$1,0)-MATCH($B$1,[2]quests!$1:$1,0)+1),MATCH(E$1,[2]quests!$1:$1,0)-MATCH($B$1,[2]quests!$1:$1,0)+1,FALSE)</f>
        <v>エリス襲来！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【ウィザード級】エリス襲来</v>
      </c>
      <c r="G7" s="100">
        <v>1</v>
      </c>
      <c r="H7" s="101" t="str">
        <f>B7&amp;"_"&amp;C7&amp;"-"&amp;G7</f>
        <v>40030_2-1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102">
        <v>4</v>
      </c>
      <c r="L7" s="103">
        <v>510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燃えさかる豪息 ヒュウガ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dragon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104">
        <v>60</v>
      </c>
      <c r="S7" s="105">
        <v>2</v>
      </c>
      <c r="T7" s="106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183886</v>
      </c>
      <c r="U7" s="25">
        <v>1.1000000000000001</v>
      </c>
      <c r="V7" s="106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10236.6</v>
      </c>
      <c r="W7" s="104">
        <v>0</v>
      </c>
      <c r="X7" s="4" t="e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7" s="43">
        <v>40030000</v>
      </c>
      <c r="Z7" s="107">
        <v>1</v>
      </c>
      <c r="AA7" s="107">
        <v>100</v>
      </c>
      <c r="AB7" s="107">
        <v>1</v>
      </c>
      <c r="AC7" s="17">
        <v>2</v>
      </c>
      <c r="AD7" s="108">
        <v>41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ヒュウガ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Drop1N</v>
      </c>
      <c r="AH7" s="109">
        <v>1</v>
      </c>
      <c r="AI7" s="108">
        <f t="shared" ca="1" si="3"/>
        <v>2</v>
      </c>
      <c r="AJ7" s="110">
        <v>20</v>
      </c>
      <c r="AK7" s="109">
        <v>0</v>
      </c>
      <c r="AL7" s="109">
        <v>0</v>
      </c>
      <c r="AM7" s="109">
        <v>0</v>
      </c>
      <c r="AN7" s="109">
        <v>0</v>
      </c>
      <c r="AO7" s="109">
        <v>1</v>
      </c>
      <c r="AP7" s="111">
        <v>1</v>
      </c>
    </row>
    <row r="8" spans="1:42" ht="21" customHeight="1" x14ac:dyDescent="0.15">
      <c r="A8" s="16" t="str">
        <f t="shared" si="0"/>
        <v>40030_2-2/10&lt;lv60&gt;s1</v>
      </c>
      <c r="B8" s="22">
        <v>40030</v>
      </c>
      <c r="C8" s="21">
        <v>2</v>
      </c>
      <c r="D8" s="2" t="str">
        <f t="shared" si="1"/>
        <v>40030_2</v>
      </c>
      <c r="E8" s="4" t="str">
        <f ca="1">VLOOKUP($B8,OFFSET([2]quests!$A$1,0,0,COUNTA([2]quests!$A:$A),MATCH(E$1,[2]quests!$1:$1,0)-MATCH($B$1,[2]quests!$1:$1,0)+1),MATCH(E$1,[2]quests!$1:$1,0)-MATCH($B$1,[2]quests!$1:$1,0)+1,FALSE)</f>
        <v>エリス襲来！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【ウィザード級】エリス襲来</v>
      </c>
      <c r="G8" s="21">
        <v>2</v>
      </c>
      <c r="H8" s="15" t="str">
        <f t="shared" ref="H8:H11" si="5">B8&amp;"_"&amp;C8&amp;"-"&amp;G8</f>
        <v>40030_2-2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10</v>
      </c>
      <c r="M8" s="17" t="str">
        <f ca="1">VLOOKUP($L8,OFFSET([3]enemies!$A$1,0,0,COUNTA([3]enemies!$A:$A),MATCH(M$1,[3]enemies!$1:$1,0)-MATCH($L$1,[3]enemies!$1:$1,0)+1),MATCH(M$1,[3]enemies!$1:$1,0)-MATCH($L$1,[3]enemies!$1:$1,0)+1,FALSE)</f>
        <v>燃える悪戯魂 ブレット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60</v>
      </c>
      <c r="S8" s="105">
        <v>7.5</v>
      </c>
      <c r="T8" s="9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92250</v>
      </c>
      <c r="U8" s="25">
        <v>1</v>
      </c>
      <c r="V8" s="9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5506</v>
      </c>
      <c r="W8" s="5">
        <v>0</v>
      </c>
      <c r="X8" s="4" t="str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8" s="43">
        <v>0</v>
      </c>
      <c r="Z8" s="6">
        <v>0</v>
      </c>
      <c r="AA8" s="6">
        <v>100</v>
      </c>
      <c r="AB8" s="6">
        <v>0</v>
      </c>
      <c r="AC8" s="17">
        <v>1</v>
      </c>
      <c r="AD8" s="24">
        <v>9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ブレット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1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Drop1W</v>
      </c>
      <c r="AH8" s="7">
        <v>1</v>
      </c>
      <c r="AI8" s="24">
        <f t="shared" ca="1" si="3"/>
        <v>1</v>
      </c>
      <c r="AJ8" s="8">
        <v>20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4">
        <v>1</v>
      </c>
    </row>
    <row r="9" spans="1:42" ht="21" customHeight="1" x14ac:dyDescent="0.15">
      <c r="A9" s="16" t="str">
        <f t="shared" si="0"/>
        <v>40030_2-2/151&lt;lv60&gt;s2</v>
      </c>
      <c r="B9" s="22">
        <v>40030</v>
      </c>
      <c r="C9" s="21">
        <v>2</v>
      </c>
      <c r="D9" s="2" t="str">
        <f t="shared" si="1"/>
        <v>40030_2</v>
      </c>
      <c r="E9" s="4" t="str">
        <f ca="1">VLOOKUP($B9,OFFSET([2]quests!$A$1,0,0,COUNTA([2]quests!$A:$A),MATCH(E$1,[2]quests!$1:$1,0)-MATCH($B$1,[2]quests!$1:$1,0)+1),MATCH(E$1,[2]quests!$1:$1,0)-MATCH($B$1,[2]quests!$1:$1,0)+1,FALSE)</f>
        <v>エリス襲来！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【ウィザード級】エリス襲来</v>
      </c>
      <c r="G9" s="21">
        <v>2</v>
      </c>
      <c r="H9" s="15" t="str">
        <f t="shared" si="5"/>
        <v>40030_2-2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151</v>
      </c>
      <c r="M9" s="17" t="str">
        <f ca="1">VLOOKUP($L9,OFFSET([3]enemies!$A$1,0,0,COUNTA([3]enemies!$A:$A),MATCH(M$1,[3]enemies!$1:$1,0)-MATCH($L$1,[3]enemies!$1:$1,0)+1),MATCH(M$1,[3]enemies!$1:$1,0)-MATCH($L$1,[3]enemies!$1:$1,0)+1,FALSE)</f>
        <v>毒煙の処刑人サキ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PremiumW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60</v>
      </c>
      <c r="S9" s="105">
        <v>4</v>
      </c>
      <c r="T9" s="92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270552</v>
      </c>
      <c r="U9" s="25">
        <v>1.2</v>
      </c>
      <c r="V9" s="92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6800.4</v>
      </c>
      <c r="W9" s="5">
        <v>0</v>
      </c>
      <c r="X9" s="4" t="e">
        <f ca="1">VLOOKUP($Y9,OFFSET([5]enemy_skill_sets!$B$1,0,0,COUNTA([5]enemy_skill_sets!$B:$B),MATCH(M$1,[5]enemy_skill_sets!$1:$1,0)-MATCH($Y$1,[5]enemy_skill_sets!$1:$1,0)+2),MATCH(M$1,[5]enemy_skill_sets!$1:$1,0)-MATCH($Y$1,[5]enemy_skill_sets!$1:$1,0)+2,FALSE)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9" s="43">
        <v>40030002</v>
      </c>
      <c r="Z9" s="6">
        <v>1</v>
      </c>
      <c r="AA9" s="6">
        <v>100</v>
      </c>
      <c r="AB9" s="6">
        <v>1</v>
      </c>
      <c r="AC9" s="17">
        <v>2</v>
      </c>
      <c r="AD9" s="24">
        <f t="shared" si="4"/>
        <v>151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毒煙の処刑人サキ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9" s="7">
        <v>1</v>
      </c>
      <c r="AI9" s="24">
        <f t="shared" ca="1" si="3"/>
        <v>4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4">
        <v>1</v>
      </c>
    </row>
    <row r="10" spans="1:42" ht="21" customHeight="1" x14ac:dyDescent="0.15">
      <c r="A10" s="16" t="str">
        <f t="shared" si="0"/>
        <v>40030_2-3/227&lt;lv60&gt;s3</v>
      </c>
      <c r="B10" s="22">
        <v>40030</v>
      </c>
      <c r="C10" s="21">
        <v>2</v>
      </c>
      <c r="D10" s="2" t="str">
        <f t="shared" si="1"/>
        <v>40030_2</v>
      </c>
      <c r="E10" s="4" t="str">
        <f ca="1">VLOOKUP($B10,OFFSET([2]quests!$A$1,0,0,COUNTA([2]quests!$A:$A),MATCH(E$1,[2]quests!$1:$1,0)-MATCH($B$1,[2]quests!$1:$1,0)+1),MATCH(E$1,[2]quests!$1:$1,0)-MATCH($B$1,[2]quests!$1:$1,0)+1,FALSE)</f>
        <v>エリス襲来！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【ウィザード級】エリス襲来</v>
      </c>
      <c r="G10" s="21">
        <v>3</v>
      </c>
      <c r="H10" s="15" t="str">
        <f t="shared" si="5"/>
        <v>40030_2-3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5</v>
      </c>
      <c r="L10" s="20">
        <v>227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滅弾 アレス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god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60</v>
      </c>
      <c r="S10" s="105">
        <v>4</v>
      </c>
      <c r="T10" s="9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307008</v>
      </c>
      <c r="U10" s="25">
        <v>1.4</v>
      </c>
      <c r="V10" s="9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12080.599999999999</v>
      </c>
      <c r="W10" s="5">
        <v>0</v>
      </c>
      <c r="X10" s="4" t="e">
        <f ca="1">VLOOKUP($Y10,OFFSET([5]enemy_skill_sets!$B$1,0,0,COUNTA([5]enemy_skill_sets!$B:$B),MATCH(M$1,[5]enemy_skill_sets!$1:$1,0)-MATCH($Y$1,[5]enemy_skill_sets!$1:$1,0)+2),MATCH(M$1,[5]enemy_skill_sets!$1:$1,0)-MATCH($Y$1,[5]enemy_skill_sets!$1:$1,0)+2,FALSE)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0" s="43">
        <v>40030003</v>
      </c>
      <c r="Z10" s="6">
        <v>1</v>
      </c>
      <c r="AA10" s="6">
        <v>50</v>
      </c>
      <c r="AB10" s="6">
        <v>1</v>
      </c>
      <c r="AC10" s="17">
        <v>3</v>
      </c>
      <c r="AD10" s="24">
        <f t="shared" si="4"/>
        <v>227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滅弾 アレス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0" s="7">
        <v>1</v>
      </c>
      <c r="AI10" s="24">
        <f t="shared" ca="1" si="3"/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4">
        <v>1</v>
      </c>
    </row>
    <row r="11" spans="1:42" ht="21" customHeight="1" thickBot="1" x14ac:dyDescent="0.2">
      <c r="A11" s="16" t="str">
        <f t="shared" si="0"/>
        <v>40030_2-4/887&lt;lv60&gt;s2</v>
      </c>
      <c r="B11" s="22">
        <v>40030</v>
      </c>
      <c r="C11" s="21">
        <v>2</v>
      </c>
      <c r="D11" s="2" t="str">
        <f t="shared" si="1"/>
        <v>40030_2</v>
      </c>
      <c r="E11" s="4" t="str">
        <f ca="1">VLOOKUP($B11,OFFSET([2]quests!$A$1,0,0,COUNTA([2]quests!$A:$A),MATCH(E$1,[2]quests!$1:$1,0)-MATCH($B$1,[2]quests!$1:$1,0)+1),MATCH(E$1,[2]quests!$1:$1,0)-MATCH($B$1,[2]quests!$1:$1,0)+1,FALSE)</f>
        <v>エリス襲来！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【ウィザード級】エリス襲来</v>
      </c>
      <c r="G11" s="21">
        <v>4</v>
      </c>
      <c r="H11" s="15" t="str">
        <f t="shared" si="5"/>
        <v>40030_2-4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6</v>
      </c>
      <c r="L11" s="20">
        <v>887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エリス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60</v>
      </c>
      <c r="S11" s="105">
        <v>4</v>
      </c>
      <c r="T11" s="92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393108</v>
      </c>
      <c r="U11" s="25">
        <v>1.4</v>
      </c>
      <c r="V11" s="92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12628</v>
      </c>
      <c r="W11" s="5">
        <v>0</v>
      </c>
      <c r="X11" s="4" t="e">
        <f ca="1">VLOOKUP($Y11,OFFSET([5]enemy_skill_sets!$B$1,0,0,COUNTA([5]enemy_skill_sets!$B:$B),MATCH(M$1,[5]enemy_skill_sets!$1:$1,0)-MATCH($Y$1,[5]enemy_skill_sets!$1:$1,0)+2),MATCH(M$1,[5]enemy_skill_sets!$1:$1,0)-MATCH($Y$1,[5]enemy_skill_sets!$1:$1,0)+2,FALSE)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1" s="97">
        <v>40030005</v>
      </c>
      <c r="Z11" s="6">
        <v>1</v>
      </c>
      <c r="AA11" s="6">
        <v>50</v>
      </c>
      <c r="AB11" s="6">
        <v>1</v>
      </c>
      <c r="AC11" s="17">
        <v>2</v>
      </c>
      <c r="AD11" s="24">
        <f t="shared" si="4"/>
        <v>887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エリス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1" s="7">
        <v>1</v>
      </c>
      <c r="AI11" s="24">
        <f t="shared" ca="1" si="3"/>
        <v>5</v>
      </c>
      <c r="AJ11" s="8">
        <v>30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4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9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X16" sqref="X1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21.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91" t="s">
        <v>254</v>
      </c>
      <c r="V1" s="26" t="s">
        <v>50</v>
      </c>
      <c r="W1" s="91" t="s">
        <v>255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 t="shared" ref="A2:A9" si="0">B2&amp;"_"&amp;C2&amp;"-"&amp;G2&amp;"/"&amp;M2&amp;"&lt;lv"&amp;S2&amp;"&gt;sq"&amp;K2&amp;"st"&amp;L2</f>
        <v>40030_1-1/511&lt;lv50&gt;sq1st2</v>
      </c>
      <c r="B2" s="22">
        <v>40030</v>
      </c>
      <c r="C2" s="21">
        <v>1</v>
      </c>
      <c r="D2" s="2" t="str">
        <f t="shared" ref="D2:D9" si="1">B2&amp;"_"&amp;C2</f>
        <v>40030_1</v>
      </c>
      <c r="E2" s="4" t="str">
        <f ca="1">VLOOKUP($B2,OFFSET([2]quests!$A$1,0,0,COUNTA([2]quests!$A:$A),MATCH(E$1,[2]quests!$1:$1,0)-MATCH($B$1,[2]quests!$1:$1,0)+1),MATCH(E$1,[2]quests!$1:$1,0)-MATCH($B$1,[2]quests!$1:$1,0)+1,FALSE)</f>
        <v>エリス襲来！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【超絶級】エリス襲来</v>
      </c>
      <c r="G2" s="21">
        <v>1</v>
      </c>
      <c r="H2" s="15" t="str">
        <f t="shared" ref="H2:H9" si="2">B2&amp;"_"&amp;C2&amp;"-"&amp;G2</f>
        <v>40030_1-1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511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灼き尽くす紅息 ヒュウガ・レアル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50</v>
      </c>
      <c r="T2" s="25">
        <v>1.8</v>
      </c>
      <c r="U2" s="9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181229.4</v>
      </c>
      <c r="V2" s="25">
        <v>0.7</v>
      </c>
      <c r="W2" s="9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5874.4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3">
        <v>40030009</v>
      </c>
      <c r="AA2" s="65">
        <v>2</v>
      </c>
    </row>
    <row r="3" spans="1:27" ht="21" customHeight="1" x14ac:dyDescent="0.15">
      <c r="A3" s="16" t="str">
        <f t="shared" si="0"/>
        <v>40030_1-3/228&lt;lv50&gt;sq2st2</v>
      </c>
      <c r="B3" s="22">
        <v>40030</v>
      </c>
      <c r="C3" s="21">
        <v>1</v>
      </c>
      <c r="D3" s="2" t="str">
        <f t="shared" si="1"/>
        <v>40030_1</v>
      </c>
      <c r="E3" s="4" t="str">
        <f ca="1">VLOOKUP($B3,OFFSET([2]quests!$A$1,0,0,COUNTA([2]quests!$A:$A),MATCH(E$1,[2]quests!$1:$1,0)-MATCH($B$1,[2]quests!$1:$1,0)+1),MATCH(E$1,[2]quests!$1:$1,0)-MATCH($B$1,[2]quests!$1:$1,0)+1,FALSE)</f>
        <v>エリス襲来！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【超絶級】エリス襲来</v>
      </c>
      <c r="G3" s="21">
        <v>3</v>
      </c>
      <c r="H3" s="15" t="str">
        <f t="shared" si="2"/>
        <v>40030_1-3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228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殲滅の掃射砲 アレス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50</v>
      </c>
      <c r="T3" s="25">
        <v>3</v>
      </c>
      <c r="U3" s="9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252144</v>
      </c>
      <c r="V3" s="25">
        <v>0.9</v>
      </c>
      <c r="W3" s="9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7003.8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3">
        <v>40030012</v>
      </c>
      <c r="AA3" s="65">
        <v>2</v>
      </c>
    </row>
    <row r="4" spans="1:27" ht="21" customHeight="1" x14ac:dyDescent="0.15">
      <c r="A4" s="16" t="str">
        <f t="shared" ref="A4" si="3">B4&amp;"_"&amp;C4&amp;"-"&amp;G4&amp;"/"&amp;M4&amp;"&lt;lv"&amp;S4&amp;"&gt;sq"&amp;K4&amp;"st"&amp;L4</f>
        <v>40030_1-4/888&lt;lv50&gt;sq3st2</v>
      </c>
      <c r="B4" s="22">
        <v>40030</v>
      </c>
      <c r="C4" s="21">
        <v>1</v>
      </c>
      <c r="D4" s="2" t="str">
        <f t="shared" ref="D4" si="4">B4&amp;"_"&amp;C4</f>
        <v>40030_1</v>
      </c>
      <c r="E4" s="4" t="str">
        <f ca="1">VLOOKUP($B4,OFFSET([2]quests!$A$1,0,0,COUNTA([2]quests!$A:$A),MATCH(E$1,[2]quests!$1:$1,0)-MATCH($B$1,[2]quests!$1:$1,0)+1),MATCH(E$1,[2]quests!$1:$1,0)-MATCH($B$1,[2]quests!$1:$1,0)+1,FALSE)</f>
        <v>エリス襲来！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【超絶級】エリス襲来</v>
      </c>
      <c r="G4" s="21">
        <v>4</v>
      </c>
      <c r="H4" s="15" t="str">
        <f t="shared" ref="H4" si="5">B4&amp;"_"&amp;C4&amp;"-"&amp;G4</f>
        <v>40030_1-4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888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禍根の暴送者 エリス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50</v>
      </c>
      <c r="T4" s="25">
        <v>3.8</v>
      </c>
      <c r="U4" s="9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312728.59999999998</v>
      </c>
      <c r="V4" s="25">
        <v>0.7</v>
      </c>
      <c r="W4" s="9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5287.0999999999995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3">
        <v>40030014</v>
      </c>
      <c r="AA4" s="65">
        <v>1</v>
      </c>
    </row>
    <row r="5" spans="1:27" ht="21" customHeight="1" thickBot="1" x14ac:dyDescent="0.2">
      <c r="A5" s="112" t="str">
        <f t="shared" si="0"/>
        <v>40030_1-4/888&lt;lv50&gt;sq3st3</v>
      </c>
      <c r="B5" s="22">
        <v>40030</v>
      </c>
      <c r="C5" s="113">
        <v>1</v>
      </c>
      <c r="D5" s="114" t="str">
        <f t="shared" si="1"/>
        <v>40030_1</v>
      </c>
      <c r="E5" s="115" t="str">
        <f ca="1">VLOOKUP($B5,OFFSET([2]quests!$A$1,0,0,COUNTA([2]quests!$A:$A),MATCH(E$1,[2]quests!$1:$1,0)-MATCH($B$1,[2]quests!$1:$1,0)+1),MATCH(E$1,[2]quests!$1:$1,0)-MATCH($B$1,[2]quests!$1:$1,0)+1,FALSE)</f>
        <v>エリス襲来！</v>
      </c>
      <c r="F5" s="115" t="str">
        <f ca="1">VLOOKUP($D5,OFFSET([2]stages!$A$1,0,0,COUNTA([2]stages!$A:$A),MATCH(F$1,[2]stages!$2:$2,0)-MATCH($D$1,[2]stages!$2:$2,0)+1),MATCH(F$1,[2]stages!$2:$2,0)-MATCH($D$1,[2]stages!$2:$2,0)+1,FALSE)</f>
        <v>【超絶級】エリス襲来</v>
      </c>
      <c r="G5" s="113">
        <v>4</v>
      </c>
      <c r="H5" s="114" t="str">
        <f t="shared" si="2"/>
        <v>40030_1-4</v>
      </c>
      <c r="I5" s="115">
        <f ca="1">VLOOKUP($H5,OFFSET(floors!$A$1,0,0,COUNTA(floors!$A:$A),MATCH(I$1,floors!$1:$1,0)-MATCH($H$1,floors!$1:$1,0)+1),MATCH(I$1,floors!$1:$1,0)-MATCH($H$1,floors!$1:$1,0)+1,FALSE)</f>
        <v>60</v>
      </c>
      <c r="J5" s="115">
        <f ca="1">VLOOKUP($H5,OFFSET(floors!$A$1,0,0,COUNTA(floors!$A:$A),MATCH(J$1,floors!$1:$1,0)-MATCH($H$1,floors!$1:$1,0)+1),MATCH(J$1,floors!$1:$1,0)-MATCH($H$1,floors!$1:$1,0)+1,FALSE)</f>
        <v>60</v>
      </c>
      <c r="K5" s="116">
        <v>3</v>
      </c>
      <c r="L5" s="116">
        <v>3</v>
      </c>
      <c r="M5" s="117">
        <v>888</v>
      </c>
      <c r="N5" s="118" t="str">
        <f ca="1">VLOOKUP($M5,OFFSET([3]enemies!$A$1,0,0,COUNTA([3]enemies!$A:$A),MATCH(N$1,[3]enemies!$1:$1,0)-MATCH($M$1,[3]enemies!$1:$1,0)+1),MATCH(N$1,[3]enemies!$1:$1,0)-MATCH($M$1,[3]enemies!$1:$1,0)+1,FALSE)</f>
        <v>禍根の暴送者 エリス</v>
      </c>
      <c r="O5" s="118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18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18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18">
        <f ca="1">VLOOKUP($M5,OFFSET([3]enemies!$A$1,0,0,COUNTA([3]enemies!$A:$A),MATCH(R$1,[3]enemies!$1:$1,0)-MATCH($M$1,[3]enemies!$1:$1,0)+1),MATCH(R$1,[3]enemies!$1:$1,0)-MATCH($M$1,[3]enemies!$1:$1,0)+1,FALSE)</f>
        <v>60</v>
      </c>
      <c r="S5" s="119">
        <v>50</v>
      </c>
      <c r="T5" s="25">
        <v>4.5</v>
      </c>
      <c r="U5" s="120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370336.5</v>
      </c>
      <c r="V5" s="25">
        <v>0.8</v>
      </c>
      <c r="W5" s="120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6042.4000000000005</v>
      </c>
      <c r="X5" s="119">
        <v>0</v>
      </c>
      <c r="Y5" s="115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97">
        <v>40030015</v>
      </c>
      <c r="AA5" s="127">
        <v>1</v>
      </c>
    </row>
    <row r="6" spans="1:27" ht="21" customHeight="1" x14ac:dyDescent="0.15">
      <c r="A6" s="16" t="str">
        <f t="shared" si="0"/>
        <v>40030_2-1/511&lt;lv60&gt;sq4st2</v>
      </c>
      <c r="B6" s="22">
        <v>40030</v>
      </c>
      <c r="C6" s="100">
        <v>2</v>
      </c>
      <c r="D6" s="101" t="str">
        <f t="shared" si="1"/>
        <v>40030_2</v>
      </c>
      <c r="E6" s="4" t="str">
        <f ca="1">VLOOKUP($B6,OFFSET([2]quests!$A$1,0,0,COUNTA([2]quests!$A:$A),MATCH(E$1,[2]quests!$1:$1,0)-MATCH($B$1,[2]quests!$1:$1,0)+1),MATCH(E$1,[2]quests!$1:$1,0)-MATCH($B$1,[2]quests!$1:$1,0)+1,FALSE)</f>
        <v>エリス襲来！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【ウィザード級】エリス襲来</v>
      </c>
      <c r="G6" s="100">
        <v>1</v>
      </c>
      <c r="H6" s="101" t="str">
        <f t="shared" si="2"/>
        <v>40030_2-1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102">
        <v>4</v>
      </c>
      <c r="L6" s="102">
        <v>2</v>
      </c>
      <c r="M6" s="103">
        <v>511</v>
      </c>
      <c r="N6" s="17" t="str">
        <f ca="1">VLOOKUP($M6,OFFSET([3]enemies!$A$1,0,0,COUNTA([3]enemies!$A:$A),MATCH(N$1,[3]enemies!$1:$1,0)-MATCH($M$1,[3]enemies!$1:$1,0)+1),MATCH(N$1,[3]enemies!$1:$1,0)-MATCH($M$1,[3]enemies!$1:$1,0)+1,FALSE)</f>
        <v>灼き尽くす紅息 ヒュウガ・レアル</v>
      </c>
      <c r="O6" s="17" t="str">
        <f ca="1">VLOOKUP($M6,OFFSET([3]enemies!$A$1,0,0,COUNTA([3]enemies!$A:$A),MATCH(O$1,[3]enemies!$1:$1,0)-MATCH($M$1,[3]enemies!$1:$1,0)+1),MATCH(O$1,[3]enemies!$1:$1,0)-MATCH($M$1,[3]enemies!$1:$1,0)+1,FALSE)</f>
        <v>red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Drop2N</v>
      </c>
      <c r="Q6" s="17" t="str">
        <f ca="1">VLOOKUP($M6,OFFSET([3]enemies!$A$1,0,0,COUNTA([3]enemies!$A:$A),MATCH(Q$1,[3]enemies!$1:$1,0)-MATCH($M$1,[3]enemies!$1:$1,0)+1),MATCH(Q$1,[3]enemies!$1:$1,0)-MATCH($M$1,[3]enemies!$1:$1,0)+1,FALSE)</f>
        <v>dragon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104">
        <v>60</v>
      </c>
      <c r="T6" s="25">
        <v>2.4</v>
      </c>
      <c r="U6" s="106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288559.2</v>
      </c>
      <c r="V6" s="25">
        <v>1.1499999999999999</v>
      </c>
      <c r="W6" s="106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11525.3</v>
      </c>
      <c r="X6" s="104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94">
        <v>40030001</v>
      </c>
      <c r="AA6" s="126">
        <v>2</v>
      </c>
    </row>
    <row r="7" spans="1:27" ht="21" customHeight="1" x14ac:dyDescent="0.15">
      <c r="A7" s="16" t="str">
        <f t="shared" si="0"/>
        <v>40030_2-3/228&lt;lv60&gt;sq5st2</v>
      </c>
      <c r="B7" s="22">
        <v>40030</v>
      </c>
      <c r="C7" s="21">
        <v>2</v>
      </c>
      <c r="D7" s="2" t="str">
        <f t="shared" si="1"/>
        <v>40030_2</v>
      </c>
      <c r="E7" s="4" t="str">
        <f ca="1">VLOOKUP($B7,OFFSET([2]quests!$A$1,0,0,COUNTA([2]quests!$A:$A),MATCH(E$1,[2]quests!$1:$1,0)-MATCH($B$1,[2]quests!$1:$1,0)+1),MATCH(E$1,[2]quests!$1:$1,0)-MATCH($B$1,[2]quests!$1:$1,0)+1,FALSE)</f>
        <v>エリス襲来！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【ウィザード級】エリス襲来</v>
      </c>
      <c r="G7" s="21">
        <v>3</v>
      </c>
      <c r="H7" s="15" t="str">
        <f t="shared" si="2"/>
        <v>40030_2-3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5</v>
      </c>
      <c r="L7" s="38">
        <v>2</v>
      </c>
      <c r="M7" s="20">
        <v>228</v>
      </c>
      <c r="N7" s="17" t="str">
        <f ca="1">VLOOKUP($M7,OFFSET([3]enemies!$A$1,0,0,COUNTA([3]enemies!$A:$A),MATCH(N$1,[3]enemies!$1:$1,0)-MATCH($M$1,[3]enemies!$1:$1,0)+1),MATCH(N$1,[3]enemies!$1:$1,0)-MATCH($M$1,[3]enemies!$1:$1,0)+1,FALSE)</f>
        <v>殲滅の掃射砲 アレス</v>
      </c>
      <c r="O7" s="17" t="str">
        <f ca="1">VLOOKUP($M7,OFFSET([3]enemies!$A$1,0,0,COUNTA([3]enemies!$A:$A),MATCH(O$1,[3]enemies!$1:$1,0)-MATCH($M$1,[3]enemies!$1:$1,0)+1),MATCH(O$1,[3]enemies!$1:$1,0)-MATCH($M$1,[3]enemies!$1:$1,0)+1,FALSE)</f>
        <v>red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PremiumS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60</v>
      </c>
      <c r="T7" s="25">
        <v>4</v>
      </c>
      <c r="U7" s="92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401472</v>
      </c>
      <c r="V7" s="25">
        <v>1.4</v>
      </c>
      <c r="W7" s="92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13010.199999999999</v>
      </c>
      <c r="X7" s="5">
        <v>0</v>
      </c>
      <c r="Y7" s="4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43">
        <v>40030004</v>
      </c>
      <c r="AA7" s="65">
        <v>2</v>
      </c>
    </row>
    <row r="8" spans="1:27" ht="21" customHeight="1" x14ac:dyDescent="0.15">
      <c r="A8" s="16" t="str">
        <f t="shared" ref="A8" si="6">B8&amp;"_"&amp;C8&amp;"-"&amp;G8&amp;"/"&amp;M8&amp;"&lt;lv"&amp;S8&amp;"&gt;sq"&amp;K8&amp;"st"&amp;L8</f>
        <v>40030_2-4/888&lt;lv60&gt;sq6st2</v>
      </c>
      <c r="B8" s="22">
        <v>40030</v>
      </c>
      <c r="C8" s="21">
        <v>2</v>
      </c>
      <c r="D8" s="2" t="str">
        <f t="shared" ref="D8" si="7">B8&amp;"_"&amp;C8</f>
        <v>40030_2</v>
      </c>
      <c r="E8" s="4" t="str">
        <f ca="1">VLOOKUP($B8,OFFSET([2]quests!$A$1,0,0,COUNTA([2]quests!$A:$A),MATCH(E$1,[2]quests!$1:$1,0)-MATCH($B$1,[2]quests!$1:$1,0)+1),MATCH(E$1,[2]quests!$1:$1,0)-MATCH($B$1,[2]quests!$1:$1,0)+1,FALSE)</f>
        <v>エリス襲来！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【ウィザード級】エリス襲来</v>
      </c>
      <c r="G8" s="21">
        <v>4</v>
      </c>
      <c r="H8" s="15" t="str">
        <f t="shared" ref="H8" si="8">B8&amp;"_"&amp;C8&amp;"-"&amp;G8</f>
        <v>40030_2-4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6</v>
      </c>
      <c r="L8" s="38">
        <v>2</v>
      </c>
      <c r="M8" s="20">
        <v>888</v>
      </c>
      <c r="N8" s="17" t="str">
        <f ca="1">VLOOKUP($M8,OFFSET([3]enemies!$A$1,0,0,COUNTA([3]enemies!$A:$A),MATCH(N$1,[3]enemies!$1:$1,0)-MATCH($M$1,[3]enemies!$1:$1,0)+1),MATCH(N$1,[3]enemies!$1:$1,0)-MATCH($M$1,[3]enemies!$1:$1,0)+1,FALSE)</f>
        <v>禍根の暴送者 エリス</v>
      </c>
      <c r="O8" s="17" t="str">
        <f ca="1">VLOOKUP($M8,OFFSET([3]enemies!$A$1,0,0,COUNTA([3]enemies!$A:$A),MATCH(O$1,[3]enemies!$1:$1,0)-MATCH($M$1,[3]enemies!$1:$1,0)+1),MATCH(O$1,[3]enemies!$1:$1,0)-MATCH($M$1,[3]enemies!$1:$1,0)+1,FALSE)</f>
        <v>red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DropWizS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human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60</v>
      </c>
      <c r="T8" s="25">
        <v>5</v>
      </c>
      <c r="U8" s="92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491385</v>
      </c>
      <c r="V8" s="25">
        <v>0.9</v>
      </c>
      <c r="W8" s="92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8118</v>
      </c>
      <c r="X8" s="5">
        <v>0</v>
      </c>
      <c r="Y8" s="4" t="e">
        <f ca="1">VLOOKUP($Z8,OFFSET([5]enemy_skill_sets!$B$1,0,0,COUNTA([5]enemy_skill_sets!$B:$B),MATCH(N$1,[5]enemy_skill_sets!$1:$1,0)-MATCH($Z$1,[5]enemy_skill_sets!$1:$1,0)+2),MATCH(N$1,[5]enemy_skill_sets!$1:$1,0)-MATCH($Z$1,[5]enemy_skill_sets!$1:$1,0)+2,FALSE)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8" s="43">
        <v>40030006</v>
      </c>
      <c r="AA8" s="65">
        <v>1</v>
      </c>
    </row>
    <row r="9" spans="1:27" ht="21" customHeight="1" x14ac:dyDescent="0.15">
      <c r="A9" s="16" t="str">
        <f t="shared" si="0"/>
        <v>40030_2-4/888&lt;lv60&gt;sq6st3</v>
      </c>
      <c r="B9" s="22">
        <v>40030</v>
      </c>
      <c r="C9" s="21">
        <v>2</v>
      </c>
      <c r="D9" s="2" t="str">
        <f t="shared" si="1"/>
        <v>40030_2</v>
      </c>
      <c r="E9" s="4" t="str">
        <f ca="1">VLOOKUP($B9,OFFSET([2]quests!$A$1,0,0,COUNTA([2]quests!$A:$A),MATCH(E$1,[2]quests!$1:$1,0)-MATCH($B$1,[2]quests!$1:$1,0)+1),MATCH(E$1,[2]quests!$1:$1,0)-MATCH($B$1,[2]quests!$1:$1,0)+1,FALSE)</f>
        <v>エリス襲来！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【ウィザード級】エリス襲来</v>
      </c>
      <c r="G9" s="21">
        <v>4</v>
      </c>
      <c r="H9" s="15" t="str">
        <f t="shared" si="2"/>
        <v>40030_2-4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6</v>
      </c>
      <c r="L9" s="38">
        <v>3</v>
      </c>
      <c r="M9" s="20">
        <v>888</v>
      </c>
      <c r="N9" s="17" t="str">
        <f ca="1">VLOOKUP($M9,OFFSET([3]enemies!$A$1,0,0,COUNTA([3]enemies!$A:$A),MATCH(N$1,[3]enemies!$1:$1,0)-MATCH($M$1,[3]enemies!$1:$1,0)+1),MATCH(N$1,[3]enemies!$1:$1,0)-MATCH($M$1,[3]enemies!$1:$1,0)+1,FALSE)</f>
        <v>禍根の暴送者 エリス</v>
      </c>
      <c r="O9" s="17" t="str">
        <f ca="1">VLOOKUP($M9,OFFSET([3]enemies!$A$1,0,0,COUNTA([3]enemies!$A:$A),MATCH(O$1,[3]enemies!$1:$1,0)-MATCH($M$1,[3]enemies!$1:$1,0)+1),MATCH(O$1,[3]enemies!$1:$1,0)-MATCH($M$1,[3]enemies!$1:$1,0)+1,FALSE)</f>
        <v>red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human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60</v>
      </c>
      <c r="T9" s="25">
        <v>6</v>
      </c>
      <c r="U9" s="92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589662</v>
      </c>
      <c r="V9" s="25">
        <v>1.1000000000000001</v>
      </c>
      <c r="W9" s="92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9922</v>
      </c>
      <c r="X9" s="5">
        <v>0</v>
      </c>
      <c r="Y9" s="4" t="e">
        <f ca="1">VLOOKUP($Z9,OFFSET([5]enemy_skill_sets!$B$1,0,0,COUNTA([5]enemy_skill_sets!$B:$B),MATCH(N$1,[5]enemy_skill_sets!$1:$1,0)-MATCH($Z$1,[5]enemy_skill_sets!$1:$1,0)+2),MATCH(N$1,[5]enemy_skill_sets!$1:$1,0)-MATCH($Z$1,[5]enemy_skill_sets!$1:$1,0)+2,FALSE)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9" s="43">
        <v>40030007</v>
      </c>
      <c r="AA9" s="65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3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J1" sqref="J1"/>
    </sheetView>
  </sheetViews>
  <sheetFormatPr baseColWidth="12" defaultColWidth="12.83203125" defaultRowHeight="21" customHeight="1" outlineLevelCol="1" x14ac:dyDescent="0.15"/>
  <cols>
    <col min="1" max="1" width="11.33203125" style="129" bestFit="1" customWidth="1"/>
    <col min="2" max="2" width="9.5" style="131" bestFit="1" customWidth="1"/>
    <col min="3" max="3" width="9.6640625" style="131" customWidth="1"/>
    <col min="4" max="4" width="22.1640625" style="131" customWidth="1" outlineLevel="1"/>
    <col min="5" max="5" width="44.1640625" style="131" bestFit="1" customWidth="1" outlineLevel="1"/>
    <col min="6" max="6" width="10.83203125" style="131" bestFit="1" customWidth="1"/>
    <col min="7" max="7" width="8.33203125" style="131" bestFit="1" customWidth="1" outlineLevel="1"/>
    <col min="8" max="9" width="12.83203125" style="131" outlineLevel="1"/>
    <col min="10" max="10" width="17.6640625" style="131" bestFit="1" customWidth="1" outlineLevel="1"/>
    <col min="11" max="15" width="12.83203125" style="131" outlineLevel="1"/>
    <col min="16" max="16" width="8.33203125" style="130" bestFit="1" customWidth="1"/>
    <col min="17" max="17" width="9.6640625" style="130" customWidth="1"/>
    <col min="18" max="18" width="56.5" style="130" bestFit="1" customWidth="1"/>
    <col min="19" max="16384" width="12.83203125" style="130"/>
  </cols>
  <sheetData>
    <row r="1" spans="1:18" ht="21" customHeight="1" thickBot="1" x14ac:dyDescent="0.2">
      <c r="A1" s="132" t="s">
        <v>60</v>
      </c>
      <c r="B1" s="142" t="s">
        <v>61</v>
      </c>
      <c r="C1" s="142" t="s">
        <v>62</v>
      </c>
      <c r="D1" s="143" t="s">
        <v>63</v>
      </c>
      <c r="E1" s="143" t="s">
        <v>64</v>
      </c>
      <c r="F1" s="49" t="s">
        <v>65</v>
      </c>
      <c r="G1" s="40" t="s">
        <v>66</v>
      </c>
      <c r="H1" s="40" t="s">
        <v>68</v>
      </c>
      <c r="I1" s="40" t="s">
        <v>69</v>
      </c>
      <c r="J1" s="40" t="s">
        <v>70</v>
      </c>
      <c r="K1" s="40" t="s">
        <v>71</v>
      </c>
      <c r="L1" s="40" t="s">
        <v>72</v>
      </c>
      <c r="M1" s="40" t="s">
        <v>73</v>
      </c>
      <c r="N1" s="40" t="s">
        <v>74</v>
      </c>
      <c r="O1" s="40" t="s">
        <v>75</v>
      </c>
      <c r="P1" s="143" t="s">
        <v>76</v>
      </c>
      <c r="Q1" s="143" t="s">
        <v>77</v>
      </c>
      <c r="R1" s="143" t="s">
        <v>78</v>
      </c>
    </row>
    <row r="2" spans="1:18" ht="21" customHeight="1" x14ac:dyDescent="0.15">
      <c r="A2" s="133" t="str">
        <f t="shared" ref="A2:A32" si="0">B2&amp;"_"&amp;C2</f>
        <v>40030000_40030300</v>
      </c>
      <c r="B2" s="134">
        <v>40030000</v>
      </c>
      <c r="C2" s="134">
        <v>40030300</v>
      </c>
      <c r="D2" s="13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ここは通さぬッ…</v>
      </c>
      <c r="E2" s="135" t="str">
        <f ca="1">VLOOKUP($C2,OFFSET(enemy_skills!$A$1,0,0,COUNTA(enemy_skills!$A:$A),MATCH(E$1,enemy_skills!$1:$1,0)-MATCH("enemy_skill_id",enemy_skills!$1:$1,0)+1),MATCH(E$1,enemy_skills!$1:$1,0)-MATCH("enemy_skill_id",enemy_skills!$1:$1,0)+1,FALSE)</f>
        <v>1ターンウィルス＋単体攻撃</v>
      </c>
      <c r="F2" s="134">
        <v>40030600</v>
      </c>
      <c r="G2" s="13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13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13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" s="13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13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13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4</v>
      </c>
      <c r="M2" s="13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13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13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" s="134"/>
      <c r="Q2" s="134"/>
      <c r="R2" s="137" t="s">
        <v>264</v>
      </c>
    </row>
    <row r="3" spans="1:18" ht="21" customHeight="1" thickBot="1" x14ac:dyDescent="0.2">
      <c r="A3" s="140" t="str">
        <f t="shared" si="0"/>
        <v>40030000_40030301</v>
      </c>
      <c r="B3" s="97">
        <v>40030000</v>
      </c>
      <c r="C3" s="97">
        <v>40030301</v>
      </c>
      <c r="D3" s="98" t="str">
        <f ca="1">VLOOKUP($C3,OFFSET(enemy_skills!$A$1,0,0,COUNTA(enemy_skills!$A:$A),MATCH(D$1,enemy_skills!$1:$1,0)-MATCH("enemy_skill_id",enemy_skills!$1:$1,0)+1),MATCH(D$1,enemy_skills!$1:$1,0)-MATCH("enemy_skill_id",enemy_skills!$1:$1,0)+1,FALSE)</f>
        <v>燃えろッ！！燃え尽きろッ！！</v>
      </c>
      <c r="E3" s="98" t="str">
        <f ca="1">VLOOKUP($C3,OFFSET(enemy_skills!$A$1,0,0,COUNTA(enemy_skills!$A:$A),MATCH(E$1,enemy_skills!$1:$1,0)-MATCH("enemy_skill_id",enemy_skills!$1:$1,0)+1),MATCH(E$1,enemy_skills!$1:$1,0)-MATCH("enemy_skill_id",enemy_skills!$1:$1,0)+1,FALSE)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" s="97">
        <v>40030601</v>
      </c>
      <c r="G3" s="99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99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" s="99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" s="99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99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99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99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99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99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" s="97"/>
      <c r="Q3" s="97"/>
      <c r="R3" s="141" t="s">
        <v>265</v>
      </c>
    </row>
    <row r="4" spans="1:18" ht="21" customHeight="1" x14ac:dyDescent="0.15">
      <c r="A4" s="133" t="str">
        <f t="shared" si="0"/>
        <v>40030001_40030302</v>
      </c>
      <c r="B4" s="134">
        <v>40030001</v>
      </c>
      <c r="C4" s="134">
        <v>40030302</v>
      </c>
      <c r="D4" s="135" t="str">
        <f ca="1">VLOOKUP($C4,OFFSET(enemy_skills!$A$1,0,0,COUNTA(enemy_skills!$A:$A),MATCH(D$1,enemy_skills!$1:$1,0)-MATCH("enemy_skill_id",enemy_skills!$1:$1,0)+1),MATCH(D$1,enemy_skills!$1:$1,0)-MATCH("enemy_skill_id",enemy_skills!$1:$1,0)+1,FALSE)</f>
        <v>爆炎に沈むがいいッ！！</v>
      </c>
      <c r="E4" s="135" t="str">
        <f ca="1">VLOOKUP($C4,OFFSET(enemy_skills!$A$1,0,0,COUNTA(enemy_skills!$A:$A),MATCH(E$1,enemy_skills!$1:$1,0)-MATCH("enemy_skill_id",enemy_skills!$1:$1,0)+1),MATCH(E$1,enemy_skills!$1:$1,0)-MATCH("enemy_skill_id",enemy_skills!$1:$1,0)+1,FALSE)</f>
        <v>1ターンウィルス＋単体攻撃</v>
      </c>
      <c r="F4" s="134">
        <v>40030602</v>
      </c>
      <c r="G4" s="13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13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13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" s="13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13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136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4</v>
      </c>
      <c r="M4" s="136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13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13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" s="134"/>
      <c r="Q4" s="134"/>
      <c r="R4" s="137" t="s">
        <v>266</v>
      </c>
    </row>
    <row r="5" spans="1:18" ht="21" customHeight="1" x14ac:dyDescent="0.15">
      <c r="A5" s="138" t="str">
        <f t="shared" si="0"/>
        <v>40030001_40030303</v>
      </c>
      <c r="B5" s="43">
        <v>40030001</v>
      </c>
      <c r="C5" s="43">
        <v>40030303</v>
      </c>
      <c r="D5" s="42" t="str">
        <f ca="1">VLOOKUP($C5,OFFSET(enemy_skills!$A$1,0,0,COUNTA(enemy_skills!$A:$A),MATCH(D$1,enemy_skills!$1:$1,0)-MATCH("enemy_skill_id",enemy_skills!$1:$1,0)+1),MATCH(D$1,enemy_skills!$1:$1,0)-MATCH("enemy_skill_id",enemy_skills!$1:$1,0)+1,FALSE)</f>
        <v>燃えろッ！！燃え尽きろッ！！</v>
      </c>
      <c r="E5" s="42" t="str">
        <f ca="1">VLOOKUP($C5,OFFSET(enemy_skills!$A$1,0,0,COUNTA(enemy_skills!$A:$A),MATCH(E$1,enemy_skills!$1:$1,0)-MATCH("enemy_skill_id",enemy_skills!$1:$1,0)+1),MATCH(E$1,enemy_skills!$1:$1,0)-MATCH("enemy_skill_id",enemy_skills!$1:$1,0)+1,FALSE)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5" s="43">
        <v>40030603</v>
      </c>
      <c r="G5" s="44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4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" s="44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44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4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4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4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4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4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43"/>
      <c r="Q5" s="43"/>
      <c r="R5" s="139" t="s">
        <v>267</v>
      </c>
    </row>
    <row r="6" spans="1:18" ht="21" customHeight="1" thickBot="1" x14ac:dyDescent="0.2">
      <c r="A6" s="140" t="str">
        <f t="shared" si="0"/>
        <v>40030001_40030304</v>
      </c>
      <c r="B6" s="97">
        <v>40030001</v>
      </c>
      <c r="C6" s="97">
        <v>40030304</v>
      </c>
      <c r="D6" s="98" t="str">
        <f ca="1">VLOOKUP($C6,OFFSET(enemy_skills!$A$1,0,0,COUNTA(enemy_skills!$A:$A),MATCH(D$1,enemy_skills!$1:$1,0)-MATCH("enemy_skill_id",enemy_skills!$1:$1,0)+1),MATCH(D$1,enemy_skills!$1:$1,0)-MATCH("enemy_skill_id",enemy_skills!$1:$1,0)+1,FALSE)</f>
        <v>吹き飛べッ！！</v>
      </c>
      <c r="E6" s="98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" s="97">
        <v>40030604</v>
      </c>
      <c r="G6" s="99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99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" s="99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99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" s="99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99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99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99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99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97"/>
      <c r="Q6" s="97"/>
      <c r="R6" s="141" t="s">
        <v>268</v>
      </c>
    </row>
    <row r="7" spans="1:18" ht="21" customHeight="1" x14ac:dyDescent="0.15">
      <c r="A7" s="133" t="str">
        <f t="shared" si="0"/>
        <v>40030002_40030305</v>
      </c>
      <c r="B7" s="134">
        <v>40030002</v>
      </c>
      <c r="C7" s="134">
        <v>40030305</v>
      </c>
      <c r="D7" s="13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これは楽しみね</v>
      </c>
      <c r="E7" s="135" t="str">
        <f ca="1">VLOOKUP($C7,OFFSET(enemy_skills!$A$1,0,0,COUNTA(enemy_skills!$A:$A),MATCH(E$1,enemy_skills!$1:$1,0)-MATCH("enemy_skill_id",enemy_skills!$1:$1,0)+1),MATCH(E$1,enemy_skills!$1:$1,0)-MATCH("enemy_skill_id",enemy_skills!$1:$1,0)+1,FALSE)</f>
        <v>赤パネルを時限式ダメージパネルに変換</v>
      </c>
      <c r="F7" s="134">
        <v>40030605</v>
      </c>
      <c r="G7" s="13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13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13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13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13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13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13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13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13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134"/>
      <c r="Q7" s="134"/>
      <c r="R7" s="137" t="s">
        <v>269</v>
      </c>
    </row>
    <row r="8" spans="1:18" ht="21" customHeight="1" thickBot="1" x14ac:dyDescent="0.2">
      <c r="A8" s="140" t="str">
        <f t="shared" si="0"/>
        <v>40030002_40030306</v>
      </c>
      <c r="B8" s="97">
        <v>40030002</v>
      </c>
      <c r="C8" s="97">
        <v>40030306</v>
      </c>
      <c r="D8" s="98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うふふ、これでどうかしら</v>
      </c>
      <c r="E8" s="98" t="str">
        <f ca="1">VLOOKUP($C8,OFFSET(enemy_skills!$A$1,0,0,COUNTA(enemy_skills!$A:$A),MATCH(E$1,enemy_skills!$1:$1,0)-MATCH("enemy_skill_id",enemy_skills!$1:$1,0)+1),MATCH(E$1,enemy_skills!$1:$1,0)-MATCH("enemy_skill_id",enemy_skills!$1:$1,0)+1,FALSE)</f>
        <v>自爆攻撃＋解除するまでウィルス</v>
      </c>
      <c r="F8" s="97">
        <v>40030606</v>
      </c>
      <c r="G8" s="99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99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8" s="99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99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8" s="99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99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99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99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99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97"/>
      <c r="Q8" s="97"/>
      <c r="R8" s="141" t="s">
        <v>270</v>
      </c>
    </row>
    <row r="9" spans="1:18" ht="21" customHeight="1" x14ac:dyDescent="0.15">
      <c r="A9" s="165" t="str">
        <f t="shared" si="0"/>
        <v>40030003_40030307</v>
      </c>
      <c r="B9" s="94">
        <v>40030003</v>
      </c>
      <c r="C9" s="94">
        <v>40030307</v>
      </c>
      <c r="D9" s="95" t="str">
        <f ca="1">VLOOKUP($C9,OFFSET(enemy_skills!$A$1,0,0,COUNTA(enemy_skills!$A:$A),MATCH(D$1,enemy_skills!$1:$1,0)-MATCH("enemy_skill_id",enemy_skills!$1:$1,0)+1),MATCH(D$1,enemy_skills!$1:$1,0)-MATCH("enemy_skill_id",enemy_skills!$1:$1,0)+1,FALSE)</f>
        <v>全弾発射</v>
      </c>
      <c r="E9" s="95" t="str">
        <f ca="1">VLOOKUP($C9,OFFSET(enemy_skills!$A$1,0,0,COUNTA(enemy_skills!$A:$A),MATCH(E$1,enemy_skills!$1:$1,0)-MATCH("enemy_skill_id",enemy_skills!$1:$1,0)+1),MATCH(E$1,enemy_skills!$1:$1,0)-MATCH("enemy_skill_id",enemy_skills!$1:$1,0)+1,FALSE)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" s="94">
        <v>40030607</v>
      </c>
      <c r="G9" s="9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9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9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9" s="9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9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96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96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9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9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9" s="94"/>
      <c r="Q9" s="94"/>
      <c r="R9" s="166" t="s">
        <v>271</v>
      </c>
    </row>
    <row r="10" spans="1:18" ht="21" customHeight="1" thickBot="1" x14ac:dyDescent="0.2">
      <c r="A10" s="140" t="str">
        <f t="shared" si="0"/>
        <v>40030003_40030308</v>
      </c>
      <c r="B10" s="97">
        <v>40030003</v>
      </c>
      <c r="C10" s="97">
        <v>40030308</v>
      </c>
      <c r="D10" s="98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アポカリプスモード</v>
      </c>
      <c r="E10" s="98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3ターン行動頻度UP＆攻撃力UP</v>
      </c>
      <c r="F10" s="97">
        <v>40030608</v>
      </c>
      <c r="G10" s="99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99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0" s="99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0" s="99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99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99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99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99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99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0" s="97"/>
      <c r="Q10" s="97"/>
      <c r="R10" s="141" t="s">
        <v>272</v>
      </c>
    </row>
    <row r="11" spans="1:18" ht="21" customHeight="1" x14ac:dyDescent="0.15">
      <c r="A11" s="133" t="str">
        <f t="shared" si="0"/>
        <v>40030004_40030309</v>
      </c>
      <c r="B11" s="134">
        <v>40030004</v>
      </c>
      <c r="C11" s="134">
        <v>40030309</v>
      </c>
      <c r="D11" s="13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フルオートマシンキャノン</v>
      </c>
      <c r="E11" s="13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1" s="134">
        <v>40030609</v>
      </c>
      <c r="G11" s="13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13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13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1" s="13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13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136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13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13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13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1" s="134"/>
      <c r="Q11" s="134"/>
      <c r="R11" s="137" t="s">
        <v>273</v>
      </c>
    </row>
    <row r="12" spans="1:18" ht="21" customHeight="1" x14ac:dyDescent="0.15">
      <c r="A12" s="138" t="str">
        <f t="shared" si="0"/>
        <v>40030004_40030310</v>
      </c>
      <c r="B12" s="43">
        <v>40030004</v>
      </c>
      <c r="C12" s="43">
        <v>40030310</v>
      </c>
      <c r="D12" s="42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ハルマゲドンモード</v>
      </c>
      <c r="E12" s="42" t="str">
        <f ca="1">VLOOKUP($C12,OFFSET(enemy_skills!$A$1,0,0,COUNTA(enemy_skills!$A:$A),MATCH(E$1,enemy_skills!$1:$1,0)-MATCH("enemy_skill_id",enemy_skills!$1:$1,0)+1),MATCH(E$1,enemy_skills!$1:$1,0)-MATCH("enemy_skill_id",enemy_skills!$1:$1,0)+1,FALSE)</f>
        <v>行動頻度UP＋攻撃力UP</v>
      </c>
      <c r="F12" s="43">
        <v>40030610</v>
      </c>
      <c r="G12" s="44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4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2" s="44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4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" s="44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4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4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4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4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3"/>
      <c r="Q12" s="43"/>
      <c r="R12" s="139" t="s">
        <v>274</v>
      </c>
    </row>
    <row r="13" spans="1:18" ht="21" customHeight="1" x14ac:dyDescent="0.15">
      <c r="A13" s="138" t="str">
        <f t="shared" si="0"/>
        <v>40030004_40030311</v>
      </c>
      <c r="B13" s="43">
        <v>40030004</v>
      </c>
      <c r="C13" s="43">
        <v>40030311</v>
      </c>
      <c r="D13" s="42" t="str">
        <f ca="1">VLOOKUP($C13,OFFSET(enemy_skills!$A$1,0,0,COUNTA(enemy_skills!$A:$A),MATCH(D$1,enemy_skills!$1:$1,0)-MATCH("enemy_skill_id",enemy_skills!$1:$1,0)+1),MATCH(D$1,enemy_skills!$1:$1,0)-MATCH("enemy_skill_id",enemy_skills!$1:$1,0)+1,FALSE)</f>
        <v>２連射</v>
      </c>
      <c r="E13" s="42" t="str">
        <f ca="1">VLOOKUP($C13,OFFSET(enemy_skills!$A$1,0,0,COUNTA(enemy_skills!$A:$A),MATCH(E$1,enemy_skills!$1:$1,0)-MATCH("enemy_skill_id",enemy_skills!$1:$1,0)+1),MATCH(E$1,enemy_skills!$1:$1,0)-MATCH("enemy_skill_id",enemy_skills!$1:$1,0)+1,FALSE)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3" s="43">
        <v>40030611</v>
      </c>
      <c r="G13" s="44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4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3" s="44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3" s="44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" s="44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4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4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4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4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3" s="43"/>
      <c r="Q13" s="43"/>
      <c r="R13" s="139" t="s">
        <v>275</v>
      </c>
    </row>
    <row r="14" spans="1:18" ht="21" customHeight="1" thickBot="1" x14ac:dyDescent="0.2">
      <c r="A14" s="140" t="str">
        <f t="shared" si="0"/>
        <v>40030004_40030312</v>
      </c>
      <c r="B14" s="97">
        <v>40030004</v>
      </c>
      <c r="C14" s="97">
        <v>40030312</v>
      </c>
      <c r="D14" s="98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エリス…油断するなよ…</v>
      </c>
      <c r="E14" s="98" t="str">
        <f ca="1">VLOOKUP($C14,OFFSET(enemy_skills!$A$1,0,0,COUNTA(enemy_skills!$A:$A),MATCH(E$1,enemy_skills!$1:$1,0)-MATCH("enemy_skill_id",enemy_skills!$1:$1,0)+1),MATCH(E$1,enemy_skills!$1:$1,0)-MATCH("enemy_skill_id",enemy_skills!$1:$1,0)+1,FALSE)</f>
        <v>侮っていると足元を掬われるぞ…</v>
      </c>
      <c r="F14" s="97">
        <v>40030612</v>
      </c>
      <c r="G14" s="99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99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4" s="99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99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99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99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" s="99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99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4" s="99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97"/>
      <c r="Q14" s="97"/>
      <c r="R14" s="141" t="s">
        <v>276</v>
      </c>
    </row>
    <row r="15" spans="1:18" ht="21" customHeight="1" x14ac:dyDescent="0.15">
      <c r="A15" s="168" t="str">
        <f t="shared" si="0"/>
        <v>40030005_40030328</v>
      </c>
      <c r="B15" s="169">
        <v>40030005</v>
      </c>
      <c r="C15" s="169">
        <v>40030328</v>
      </c>
      <c r="D15" s="9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あああーっ！テティスぅー！！_x000D_ノコノコと現れたわね！！！</v>
      </c>
      <c r="E15" s="9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5" s="169">
        <v>40030628</v>
      </c>
      <c r="G15" s="9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9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" s="9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9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9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96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96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96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885</v>
      </c>
      <c r="O15" s="9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169"/>
      <c r="Q15" s="169"/>
      <c r="R15" s="172" t="s">
        <v>361</v>
      </c>
    </row>
    <row r="16" spans="1:18" ht="21" customHeight="1" x14ac:dyDescent="0.15">
      <c r="A16" s="165" t="str">
        <f t="shared" si="0"/>
        <v>40030005_40030313</v>
      </c>
      <c r="B16" s="94">
        <v>40030005</v>
      </c>
      <c r="C16" s="94">
        <v>40030313</v>
      </c>
      <c r="D16" s="9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アレス兄を撃破したというの？</v>
      </c>
      <c r="E16" s="9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6" s="94">
        <v>40030613</v>
      </c>
      <c r="G16" s="9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9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6" s="9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9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9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96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96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9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9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94"/>
      <c r="Q16" s="94"/>
      <c r="R16" s="166" t="s">
        <v>277</v>
      </c>
    </row>
    <row r="17" spans="1:18" ht="21" customHeight="1" x14ac:dyDescent="0.15">
      <c r="A17" s="138" t="str">
        <f t="shared" si="0"/>
        <v>40030005_40030314</v>
      </c>
      <c r="B17" s="43">
        <v>40030005</v>
      </c>
      <c r="C17" s="43">
        <v>40030314</v>
      </c>
      <c r="D17" s="42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アレス兄はまた色仕掛けでも_x000D_食らったのかしらね？</v>
      </c>
      <c r="E17" s="42" t="str">
        <f ca="1">VLOOKUP($C17,OFFSET(enemy_skills!$A$1,0,0,COUNTA(enemy_skills!$A:$A),MATCH(E$1,enemy_skills!$1:$1,0)-MATCH("enemy_skill_id",enemy_skills!$1:$1,0)+1),MATCH(E$1,enemy_skills!$1:$1,0)-MATCH("enemy_skill_id",enemy_skills!$1:$1,0)+1,FALSE)</f>
        <v>青パネルが一定確率で_x000D_赤の時限式ダメージパネルとしてドロップ</v>
      </c>
      <c r="F17" s="43">
        <v>40030614</v>
      </c>
      <c r="G17" s="44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4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7" s="44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4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4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4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4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4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4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3"/>
      <c r="Q17" s="43"/>
      <c r="R17" s="139" t="s">
        <v>278</v>
      </c>
    </row>
    <row r="18" spans="1:18" ht="21" customHeight="1" thickBot="1" x14ac:dyDescent="0.2">
      <c r="A18" s="140" t="str">
        <f t="shared" si="0"/>
        <v>40030005_40030315</v>
      </c>
      <c r="B18" s="97">
        <v>40030005</v>
      </c>
      <c r="C18" s="97">
        <v>40030315</v>
      </c>
      <c r="D18" s="98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うふふ、負荷をかけてあげる</v>
      </c>
      <c r="E18" s="98" t="str">
        <f ca="1">VLOOKUP($C18,OFFSET(enemy_skills!$A$1,0,0,COUNTA(enemy_skills!$A:$A),MATCH(E$1,enemy_skills!$1:$1,0)-MATCH("enemy_skill_id",enemy_skills!$1:$1,0)+1),MATCH(E$1,enemy_skills!$1:$1,0)-MATCH("enemy_skill_id",enemy_skills!$1:$1,0)+1,FALSE)</f>
        <v>1ターンウィルス_x000D_＋クリティカル！</v>
      </c>
      <c r="F18" s="97">
        <v>40030615</v>
      </c>
      <c r="G18" s="99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99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8" s="99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8" s="99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99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99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99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99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99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8" s="97"/>
      <c r="Q18" s="97"/>
      <c r="R18" s="141" t="s">
        <v>279</v>
      </c>
    </row>
    <row r="19" spans="1:18" ht="21" customHeight="1" x14ac:dyDescent="0.15">
      <c r="A19" s="168" t="str">
        <f t="shared" si="0"/>
        <v>40030006_40030329</v>
      </c>
      <c r="B19" s="169">
        <v>40030006</v>
      </c>
      <c r="C19" s="169">
        <v>40030329</v>
      </c>
      <c r="D19" s="170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テティス！アンタは！_x000D_皆に媚び過ぎなのよ！</v>
      </c>
      <c r="E19" s="170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状態異常無効＋攻撃力UP</v>
      </c>
      <c r="F19" s="169">
        <v>40030629</v>
      </c>
      <c r="G19" s="9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9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9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9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9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96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96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96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885</v>
      </c>
      <c r="O19" s="9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169"/>
      <c r="Q19" s="169"/>
      <c r="R19" s="172" t="s">
        <v>362</v>
      </c>
    </row>
    <row r="20" spans="1:18" ht="21" customHeight="1" x14ac:dyDescent="0.15">
      <c r="A20" s="168" t="str">
        <f t="shared" si="0"/>
        <v>40030006_40030316</v>
      </c>
      <c r="B20" s="169">
        <v>40030006</v>
      </c>
      <c r="C20" s="169">
        <v>40030316</v>
      </c>
      <c r="D20" s="170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た、確かに実力はあるようね_x000D_でもまだまだここからよ！！</v>
      </c>
      <c r="E20" s="170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状態異常無効＋攻撃力UP</v>
      </c>
      <c r="F20" s="169">
        <v>40030616</v>
      </c>
      <c r="G20" s="171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171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0" s="171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171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171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171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171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171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171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169"/>
      <c r="Q20" s="169"/>
      <c r="R20" s="172" t="s">
        <v>280</v>
      </c>
    </row>
    <row r="21" spans="1:18" ht="21" customHeight="1" x14ac:dyDescent="0.15">
      <c r="A21" s="138" t="str">
        <f t="shared" si="0"/>
        <v>40030006_40030317</v>
      </c>
      <c r="B21" s="43">
        <v>40030006</v>
      </c>
      <c r="C21" s="43">
        <v>40030317</v>
      </c>
      <c r="D21" s="42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時限起爆コード送信</v>
      </c>
      <c r="E21" s="42" t="str">
        <f ca="1">VLOOKUP($C21,OFFSET(enemy_skills!$A$1,0,0,COUNTA(enemy_skills!$A:$A),MATCH(E$1,enemy_skills!$1:$1,0)-MATCH("enemy_skill_id",enemy_skills!$1:$1,0)+1),MATCH(E$1,enemy_skills!$1:$1,0)-MATCH("enemy_skill_id",enemy_skills!$1:$1,0)+1,FALSE)</f>
        <v>青パネルが一定確率で_x000D_赤の時限式ダメージパネルとしてドロップ</v>
      </c>
      <c r="F21" s="43">
        <v>40030617</v>
      </c>
      <c r="G21" s="44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4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1" s="44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4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4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4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4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4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4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3"/>
      <c r="Q21" s="43"/>
      <c r="R21" s="139" t="s">
        <v>278</v>
      </c>
    </row>
    <row r="22" spans="1:18" ht="21" customHeight="1" thickBot="1" x14ac:dyDescent="0.2">
      <c r="A22" s="140" t="str">
        <f t="shared" si="0"/>
        <v>40030006_40030318</v>
      </c>
      <c r="B22" s="97">
        <v>40030006</v>
      </c>
      <c r="C22" s="97">
        <v>40030318</v>
      </c>
      <c r="D22" s="98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即効性の負荷爆弾よ！</v>
      </c>
      <c r="E22" s="98" t="str">
        <f ca="1">VLOOKUP($C22,OFFSET(enemy_skills!$A$1,0,0,COUNTA(enemy_skills!$A:$A),MATCH(E$1,enemy_skills!$1:$1,0)-MATCH("enemy_skill_id",enemy_skills!$1:$1,0)+1),MATCH(E$1,enemy_skills!$1:$1,0)-MATCH("enemy_skill_id",enemy_skills!$1:$1,0)+1,FALSE)</f>
        <v>1ターンウィルス_x000D_＋クリティカル！</v>
      </c>
      <c r="F22" s="97">
        <v>40030618</v>
      </c>
      <c r="G22" s="99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99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2" s="99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2" s="99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99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99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99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99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99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2" s="97"/>
      <c r="Q22" s="97"/>
      <c r="R22" s="141" t="s">
        <v>279</v>
      </c>
    </row>
    <row r="23" spans="1:18" ht="21" customHeight="1" x14ac:dyDescent="0.15">
      <c r="A23" s="168" t="str">
        <f t="shared" si="0"/>
        <v>40030007_40030330</v>
      </c>
      <c r="B23" s="169">
        <v>40030007</v>
      </c>
      <c r="C23" s="169">
        <v>40030330</v>
      </c>
      <c r="D23" s="9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なんで同じ仕事してるのに_x000D_アンタばっかり褒められるのよ！</v>
      </c>
      <c r="E23" s="9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状態異常無効＋攻撃力UP</v>
      </c>
      <c r="F23" s="169">
        <v>40030630</v>
      </c>
      <c r="G23" s="9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9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9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96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96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96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96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96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885</v>
      </c>
      <c r="O23" s="9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169"/>
      <c r="Q23" s="169"/>
      <c r="R23" s="172" t="s">
        <v>362</v>
      </c>
    </row>
    <row r="24" spans="1:18" ht="21" customHeight="1" x14ac:dyDescent="0.15">
      <c r="A24" s="165" t="str">
        <f t="shared" si="0"/>
        <v>40030007_40030319</v>
      </c>
      <c r="B24" s="94">
        <v>40030007</v>
      </c>
      <c r="C24" s="94">
        <v>40030319</v>
      </c>
      <c r="D24" s="9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あーもうっ！しつこいわね！</v>
      </c>
      <c r="E24" s="9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状態異常無効＋攻撃力UP</v>
      </c>
      <c r="F24" s="94">
        <v>40030619</v>
      </c>
      <c r="G24" s="9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96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4" s="9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96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9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96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96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9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9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94"/>
      <c r="Q24" s="94"/>
      <c r="R24" s="172" t="s">
        <v>280</v>
      </c>
    </row>
    <row r="25" spans="1:18" ht="21" customHeight="1" x14ac:dyDescent="0.15">
      <c r="A25" s="138" t="str">
        <f t="shared" si="0"/>
        <v>40030007_40030320</v>
      </c>
      <c r="B25" s="43">
        <v>40030007</v>
      </c>
      <c r="C25" s="43">
        <v>40030320</v>
      </c>
      <c r="D25" s="42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さ、逆恨みじゃないわよ！</v>
      </c>
      <c r="E25" s="42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青パネルが一定確率で_x000D_赤の時限式ダメージパネルとしてドロップ</v>
      </c>
      <c r="F25" s="43">
        <v>40030620</v>
      </c>
      <c r="G25" s="44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4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5" s="44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4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4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4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4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4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4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3"/>
      <c r="Q25" s="43"/>
      <c r="R25" s="139" t="s">
        <v>278</v>
      </c>
    </row>
    <row r="26" spans="1:18" ht="21" customHeight="1" x14ac:dyDescent="0.15">
      <c r="A26" s="138" t="str">
        <f t="shared" si="0"/>
        <v>40030007_40030321</v>
      </c>
      <c r="B26" s="43">
        <v>40030007</v>
      </c>
      <c r="C26" s="43">
        <v>40030321</v>
      </c>
      <c r="D26" s="42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もっと…！もっとよ！！</v>
      </c>
      <c r="E26" s="42" t="str">
        <f ca="1">VLOOKUP($C26,OFFSET(enemy_skills!$A$1,0,0,COUNTA(enemy_skills!$A:$A),MATCH(E$1,enemy_skills!$1:$1,0)-MATCH("enemy_skill_id",enemy_skills!$1:$1,0)+1),MATCH(E$1,enemy_skills!$1:$1,0)-MATCH("enemy_skill_id",enemy_skills!$1:$1,0)+1,FALSE)</f>
        <v>1ターンウィルス＋クリティカル！</v>
      </c>
      <c r="F26" s="43">
        <v>40030621</v>
      </c>
      <c r="G26" s="44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4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6" s="44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6" s="44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4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4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4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4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4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6" s="43"/>
      <c r="Q26" s="43"/>
      <c r="R26" s="139" t="s">
        <v>279</v>
      </c>
    </row>
    <row r="27" spans="1:18" ht="21" customHeight="1" x14ac:dyDescent="0.15">
      <c r="A27" s="138" t="str">
        <f t="shared" si="0"/>
        <v>40030007_40030322</v>
      </c>
      <c r="B27" s="43">
        <v>40030007</v>
      </c>
      <c r="C27" s="43">
        <v>40030322</v>
      </c>
      <c r="D27" s="42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うふふ…本気になっちゃった</v>
      </c>
      <c r="E27" s="42" t="str">
        <f ca="1">VLOOKUP($C27,OFFSET(enemy_skills!$A$1,0,0,COUNTA(enemy_skills!$A:$A),MATCH(E$1,enemy_skills!$1:$1,0)-MATCH("enemy_skill_id",enemy_skills!$1:$1,0)+1),MATCH(E$1,enemy_skills!$1:$1,0)-MATCH("enemy_skill_id",enemy_skills!$1:$1,0)+1,FALSE)</f>
        <v>攻撃力UP</v>
      </c>
      <c r="F27" s="43">
        <v>40030622</v>
      </c>
      <c r="G27" s="44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4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7" s="44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4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7" s="44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4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4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4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4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3"/>
      <c r="Q27" s="43"/>
      <c r="R27" s="139" t="s">
        <v>281</v>
      </c>
    </row>
    <row r="28" spans="1:18" ht="21" customHeight="1" x14ac:dyDescent="0.15">
      <c r="A28" s="165" t="str">
        <f t="shared" si="0"/>
        <v>40030007_40030323</v>
      </c>
      <c r="B28" s="43">
        <v>40030007</v>
      </c>
      <c r="C28" s="94">
        <v>40030323</v>
      </c>
      <c r="D28" s="9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どこまで耐えられるかしら？</v>
      </c>
      <c r="E28" s="9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ターン毎に強力になる攻撃！</v>
      </c>
      <c r="F28" s="94">
        <v>40030623</v>
      </c>
      <c r="G28" s="9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96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8" s="9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96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8" s="96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96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96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96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9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94"/>
      <c r="Q28" s="94"/>
      <c r="R28" s="166" t="s">
        <v>282</v>
      </c>
    </row>
    <row r="29" spans="1:18" ht="21" customHeight="1" x14ac:dyDescent="0.15">
      <c r="A29" s="138" t="str">
        <f t="shared" si="0"/>
        <v>40030007_40030324</v>
      </c>
      <c r="B29" s="43">
        <v>40030007</v>
      </c>
      <c r="C29" s="43">
        <v>40030324</v>
      </c>
      <c r="D29" s="42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それそれそれー！</v>
      </c>
      <c r="E29" s="42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ターン毎に強力になる攻撃！</v>
      </c>
      <c r="F29" s="43">
        <v>40030624</v>
      </c>
      <c r="G29" s="44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4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9" s="44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4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9" s="44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4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4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4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4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3"/>
      <c r="Q29" s="43"/>
      <c r="R29" s="166" t="s">
        <v>283</v>
      </c>
    </row>
    <row r="30" spans="1:18" ht="21" customHeight="1" x14ac:dyDescent="0.15">
      <c r="A30" s="138" t="str">
        <f t="shared" si="0"/>
        <v>40030007_40030325</v>
      </c>
      <c r="B30" s="43">
        <v>40030007</v>
      </c>
      <c r="C30" s="43">
        <v>40030325</v>
      </c>
      <c r="D30" s="42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もっと！もっとよ！！！</v>
      </c>
      <c r="E30" s="42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ターン毎に強力になる攻撃！</v>
      </c>
      <c r="F30" s="43">
        <v>40030625</v>
      </c>
      <c r="G30" s="44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4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0" s="44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4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0" s="44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4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4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4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4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3"/>
      <c r="Q30" s="43"/>
      <c r="R30" s="166" t="s">
        <v>284</v>
      </c>
    </row>
    <row r="31" spans="1:18" ht="21" customHeight="1" x14ac:dyDescent="0.15">
      <c r="A31" s="138" t="str">
        <f t="shared" si="0"/>
        <v>40030007_40030326</v>
      </c>
      <c r="B31" s="43">
        <v>40030007</v>
      </c>
      <c r="C31" s="43">
        <v>40030326</v>
      </c>
      <c r="D31" s="42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もういい加減に落ちて！</v>
      </c>
      <c r="E31" s="42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ターン毎に強力になる攻撃！</v>
      </c>
      <c r="F31" s="43">
        <v>40030626</v>
      </c>
      <c r="G31" s="44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4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1" s="44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4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1" s="44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4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4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4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4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3"/>
      <c r="Q31" s="43"/>
      <c r="R31" s="166" t="s">
        <v>285</v>
      </c>
    </row>
    <row r="32" spans="1:18" ht="21" customHeight="1" thickBot="1" x14ac:dyDescent="0.2">
      <c r="A32" s="212" t="str">
        <f t="shared" si="0"/>
        <v>40030007_40030327</v>
      </c>
      <c r="B32" s="213">
        <v>40030007</v>
      </c>
      <c r="C32" s="213">
        <v>40030327</v>
      </c>
      <c r="D32" s="214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アンタに割くリソースはカットよ！</v>
      </c>
      <c r="E32" s="214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ターン毎に強力になる攻撃！</v>
      </c>
      <c r="F32" s="213">
        <v>40030627</v>
      </c>
      <c r="G32" s="215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215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2" s="215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215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2" s="215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215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215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215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215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213"/>
      <c r="Q32" s="213"/>
      <c r="R32" s="211" t="s">
        <v>286</v>
      </c>
    </row>
    <row r="33" spans="1:18" ht="21" customHeight="1" x14ac:dyDescent="0.15">
      <c r="A33" s="165" t="str">
        <f t="shared" ref="A33:A63" si="1">B33&amp;"_"&amp;C33</f>
        <v>40030008_40030331</v>
      </c>
      <c r="B33" s="94">
        <v>40030008</v>
      </c>
      <c r="C33" s="94">
        <v>40030331</v>
      </c>
      <c r="D33" s="9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ここは通さぬッ…</v>
      </c>
      <c r="E33" s="9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1ターンウィルス＋単体攻撃</v>
      </c>
      <c r="F33" s="94">
        <v>40030600</v>
      </c>
      <c r="G33" s="96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96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3" s="96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3" s="96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96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96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4</v>
      </c>
      <c r="M33" s="96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96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96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3" s="94"/>
      <c r="Q33" s="94"/>
      <c r="R33" s="166" t="s">
        <v>264</v>
      </c>
    </row>
    <row r="34" spans="1:18" ht="21" customHeight="1" thickBot="1" x14ac:dyDescent="0.2">
      <c r="A34" s="140" t="str">
        <f t="shared" si="1"/>
        <v>40030008_40030332</v>
      </c>
      <c r="B34" s="97">
        <v>40030008</v>
      </c>
      <c r="C34" s="43">
        <v>40030332</v>
      </c>
      <c r="D34" s="98" t="str">
        <f ca="1">VLOOKUP($C34,OFFSET(enemy_skills!$A$1,0,0,COUNTA(enemy_skills!$A:$A),MATCH(D$1,enemy_skills!$1:$1,0)-MATCH("enemy_skill_id",enemy_skills!$1:$1,0)+1),MATCH(D$1,enemy_skills!$1:$1,0)-MATCH("enemy_skill_id",enemy_skills!$1:$1,0)+1,FALSE)</f>
        <v>燃えろッ！！燃え尽きろッ！！</v>
      </c>
      <c r="E34" s="98" t="str">
        <f ca="1">VLOOKUP($C34,OFFSET(enemy_skills!$A$1,0,0,COUNTA(enemy_skills!$A:$A),MATCH(E$1,enemy_skills!$1:$1,0)-MATCH("enemy_skill_id",enemy_skills!$1:$1,0)+1),MATCH(E$1,enemy_skills!$1:$1,0)-MATCH("enemy_skill_id",enemy_skills!$1:$1,0)+1,FALSE)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4" s="97">
        <v>40030601</v>
      </c>
      <c r="G34" s="99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99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4" s="99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4" s="99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99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99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99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99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99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4" s="97"/>
      <c r="Q34" s="97"/>
      <c r="R34" s="141" t="s">
        <v>265</v>
      </c>
    </row>
    <row r="35" spans="1:18" ht="21" customHeight="1" x14ac:dyDescent="0.15">
      <c r="A35" s="133" t="str">
        <f t="shared" si="1"/>
        <v>40030009_40030333</v>
      </c>
      <c r="B35" s="134">
        <v>40030009</v>
      </c>
      <c r="C35" s="43">
        <v>40030333</v>
      </c>
      <c r="D35" s="13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爆炎に沈むがいいッ！！</v>
      </c>
      <c r="E35" s="13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1ターンウィルス＋単体攻撃</v>
      </c>
      <c r="F35" s="134">
        <v>40030602</v>
      </c>
      <c r="G35" s="136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136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5" s="136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5" s="136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136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136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4</v>
      </c>
      <c r="M35" s="136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136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136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5" s="134"/>
      <c r="Q35" s="134"/>
      <c r="R35" s="137" t="s">
        <v>266</v>
      </c>
    </row>
    <row r="36" spans="1:18" ht="21" customHeight="1" x14ac:dyDescent="0.15">
      <c r="A36" s="138" t="str">
        <f t="shared" si="1"/>
        <v>40030009_40030334</v>
      </c>
      <c r="B36" s="43">
        <v>40030009</v>
      </c>
      <c r="C36" s="43">
        <v>40030334</v>
      </c>
      <c r="D36" s="42" t="str">
        <f ca="1">VLOOKUP($C36,OFFSET(enemy_skills!$A$1,0,0,COUNTA(enemy_skills!$A:$A),MATCH(D$1,enemy_skills!$1:$1,0)-MATCH("enemy_skill_id",enemy_skills!$1:$1,0)+1),MATCH(D$1,enemy_skills!$1:$1,0)-MATCH("enemy_skill_id",enemy_skills!$1:$1,0)+1,FALSE)</f>
        <v>燃えろッ！！燃え尽きろッ！！</v>
      </c>
      <c r="E36" s="42" t="str">
        <f ca="1">VLOOKUP($C36,OFFSET(enemy_skills!$A$1,0,0,COUNTA(enemy_skills!$A:$A),MATCH(E$1,enemy_skills!$1:$1,0)-MATCH("enemy_skill_id",enemy_skills!$1:$1,0)+1),MATCH(E$1,enemy_skills!$1:$1,0)-MATCH("enemy_skill_id",enemy_skills!$1:$1,0)+1,FALSE)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6" s="43">
        <v>40030603</v>
      </c>
      <c r="G36" s="44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4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6" s="44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6" s="44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4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4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4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4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4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6" s="43"/>
      <c r="Q36" s="43"/>
      <c r="R36" s="139" t="s">
        <v>267</v>
      </c>
    </row>
    <row r="37" spans="1:18" ht="21" customHeight="1" thickBot="1" x14ac:dyDescent="0.2">
      <c r="A37" s="140" t="str">
        <f t="shared" si="1"/>
        <v>40030009_40030335</v>
      </c>
      <c r="B37" s="97">
        <v>40030009</v>
      </c>
      <c r="C37" s="43">
        <v>40030335</v>
      </c>
      <c r="D37" s="98" t="str">
        <f ca="1">VLOOKUP($C37,OFFSET(enemy_skills!$A$1,0,0,COUNTA(enemy_skills!$A:$A),MATCH(D$1,enemy_skills!$1:$1,0)-MATCH("enemy_skill_id",enemy_skills!$1:$1,0)+1),MATCH(D$1,enemy_skills!$1:$1,0)-MATCH("enemy_skill_id",enemy_skills!$1:$1,0)+1,FALSE)</f>
        <v>吹き飛べッ！！</v>
      </c>
      <c r="E37" s="98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7" s="97">
        <v>40030604</v>
      </c>
      <c r="G37" s="99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99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7" s="99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99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7" s="99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99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99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99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99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97"/>
      <c r="Q37" s="97"/>
      <c r="R37" s="141" t="s">
        <v>268</v>
      </c>
    </row>
    <row r="38" spans="1:18" ht="21" customHeight="1" x14ac:dyDescent="0.15">
      <c r="A38" s="133" t="str">
        <f t="shared" si="1"/>
        <v>40030010_40030336</v>
      </c>
      <c r="B38" s="134">
        <v>40030010</v>
      </c>
      <c r="C38" s="43">
        <v>40030336</v>
      </c>
      <c r="D38" s="13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これは楽しみね</v>
      </c>
      <c r="E38" s="13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赤パネルを時限式ダメージパネルに変換</v>
      </c>
      <c r="F38" s="134">
        <v>40030605</v>
      </c>
      <c r="G38" s="136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136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8" s="136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136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136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136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136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136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136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134"/>
      <c r="Q38" s="134"/>
      <c r="R38" s="137" t="s">
        <v>269</v>
      </c>
    </row>
    <row r="39" spans="1:18" ht="21" customHeight="1" thickBot="1" x14ac:dyDescent="0.2">
      <c r="A39" s="140" t="str">
        <f t="shared" si="1"/>
        <v>40030010_40030337</v>
      </c>
      <c r="B39" s="97">
        <v>40030010</v>
      </c>
      <c r="C39" s="43">
        <v>40030337</v>
      </c>
      <c r="D39" s="98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うふふ、これでどうかしら</v>
      </c>
      <c r="E39" s="98" t="str">
        <f ca="1">VLOOKUP($C39,OFFSET(enemy_skills!$A$1,0,0,COUNTA(enemy_skills!$A:$A),MATCH(E$1,enemy_skills!$1:$1,0)-MATCH("enemy_skill_id",enemy_skills!$1:$1,0)+1),MATCH(E$1,enemy_skills!$1:$1,0)-MATCH("enemy_skill_id",enemy_skills!$1:$1,0)+1,FALSE)</f>
        <v>自爆攻撃＋解除するまでウィルス</v>
      </c>
      <c r="F39" s="97">
        <v>40030606</v>
      </c>
      <c r="G39" s="99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99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9" s="99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99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39" s="99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99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99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99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99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97"/>
      <c r="Q39" s="97"/>
      <c r="R39" s="141" t="s">
        <v>270</v>
      </c>
    </row>
    <row r="40" spans="1:18" ht="21" customHeight="1" x14ac:dyDescent="0.15">
      <c r="A40" s="165" t="str">
        <f t="shared" si="1"/>
        <v>40030011_40030338</v>
      </c>
      <c r="B40" s="94">
        <v>40030011</v>
      </c>
      <c r="C40" s="43">
        <v>40030338</v>
      </c>
      <c r="D40" s="9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全弾発射</v>
      </c>
      <c r="E40" s="9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0" s="94">
        <v>40030607</v>
      </c>
      <c r="G40" s="96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96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0" s="96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0" s="96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96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96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96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96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96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0" s="94"/>
      <c r="Q40" s="94"/>
      <c r="R40" s="166" t="s">
        <v>271</v>
      </c>
    </row>
    <row r="41" spans="1:18" ht="21" customHeight="1" thickBot="1" x14ac:dyDescent="0.2">
      <c r="A41" s="140" t="str">
        <f t="shared" si="1"/>
        <v>40030011_40030339</v>
      </c>
      <c r="B41" s="97">
        <v>40030011</v>
      </c>
      <c r="C41" s="43">
        <v>40030339</v>
      </c>
      <c r="D41" s="98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アポカリプスモード</v>
      </c>
      <c r="E41" s="98" t="str">
        <f ca="1">VLOOKUP($C41,OFFSET(enemy_skills!$A$1,0,0,COUNTA(enemy_skills!$A:$A),MATCH(E$1,enemy_skills!$1:$1,0)-MATCH("enemy_skill_id",enemy_skills!$1:$1,0)+1),MATCH(E$1,enemy_skills!$1:$1,0)-MATCH("enemy_skill_id",enemy_skills!$1:$1,0)+1,FALSE)</f>
        <v>3ターン行動頻度UP＆攻撃力UP</v>
      </c>
      <c r="F41" s="97">
        <v>40030608</v>
      </c>
      <c r="G41" s="99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99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1" s="99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1" s="99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99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99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99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99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99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1" s="97"/>
      <c r="Q41" s="97"/>
      <c r="R41" s="141" t="s">
        <v>272</v>
      </c>
    </row>
    <row r="42" spans="1:18" ht="21" customHeight="1" x14ac:dyDescent="0.15">
      <c r="A42" s="133" t="str">
        <f t="shared" si="1"/>
        <v>40030012_40030340</v>
      </c>
      <c r="B42" s="134">
        <v>40030012</v>
      </c>
      <c r="C42" s="43">
        <v>40030340</v>
      </c>
      <c r="D42" s="13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フルオートマシンキャノン</v>
      </c>
      <c r="E42" s="13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2" s="134">
        <v>40030609</v>
      </c>
      <c r="G42" s="136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136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2" s="136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2" s="136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136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136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136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136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136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2" s="134"/>
      <c r="Q42" s="134"/>
      <c r="R42" s="137" t="s">
        <v>273</v>
      </c>
    </row>
    <row r="43" spans="1:18" ht="21" customHeight="1" x14ac:dyDescent="0.15">
      <c r="A43" s="138" t="str">
        <f t="shared" si="1"/>
        <v>40030012_40030341</v>
      </c>
      <c r="B43" s="43">
        <v>40030012</v>
      </c>
      <c r="C43" s="43">
        <v>40030341</v>
      </c>
      <c r="D43" s="42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ハルマゲドンモード</v>
      </c>
      <c r="E43" s="42" t="str">
        <f ca="1">VLOOKUP($C43,OFFSET(enemy_skills!$A$1,0,0,COUNTA(enemy_skills!$A:$A),MATCH(E$1,enemy_skills!$1:$1,0)-MATCH("enemy_skill_id",enemy_skills!$1:$1,0)+1),MATCH(E$1,enemy_skills!$1:$1,0)-MATCH("enemy_skill_id",enemy_skills!$1:$1,0)+1,FALSE)</f>
        <v>行動頻度UP＋攻撃力UP</v>
      </c>
      <c r="F43" s="43">
        <v>40030610</v>
      </c>
      <c r="G43" s="44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4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3" s="44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4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3" s="44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4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4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4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4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3"/>
      <c r="Q43" s="43"/>
      <c r="R43" s="139" t="s">
        <v>274</v>
      </c>
    </row>
    <row r="44" spans="1:18" ht="21" customHeight="1" x14ac:dyDescent="0.15">
      <c r="A44" s="138" t="str">
        <f t="shared" si="1"/>
        <v>40030012_40030342</v>
      </c>
      <c r="B44" s="43">
        <v>40030012</v>
      </c>
      <c r="C44" s="43">
        <v>40030342</v>
      </c>
      <c r="D44" s="42" t="str">
        <f ca="1">VLOOKUP($C44,OFFSET(enemy_skills!$A$1,0,0,COUNTA(enemy_skills!$A:$A),MATCH(D$1,enemy_skills!$1:$1,0)-MATCH("enemy_skill_id",enemy_skills!$1:$1,0)+1),MATCH(D$1,enemy_skills!$1:$1,0)-MATCH("enemy_skill_id",enemy_skills!$1:$1,0)+1,FALSE)</f>
        <v>２連射</v>
      </c>
      <c r="E44" s="42" t="str">
        <f ca="1">VLOOKUP($C44,OFFSET(enemy_skills!$A$1,0,0,COUNTA(enemy_skills!$A:$A),MATCH(E$1,enemy_skills!$1:$1,0)-MATCH("enemy_skill_id",enemy_skills!$1:$1,0)+1),MATCH(E$1,enemy_skills!$1:$1,0)-MATCH("enemy_skill_id",enemy_skills!$1:$1,0)+1,FALSE)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44" s="43">
        <v>40030611</v>
      </c>
      <c r="G44" s="44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4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4" s="44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4" s="44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4" s="44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4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4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4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4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4" s="43"/>
      <c r="Q44" s="43"/>
      <c r="R44" s="139" t="s">
        <v>275</v>
      </c>
    </row>
    <row r="45" spans="1:18" ht="21" customHeight="1" thickBot="1" x14ac:dyDescent="0.2">
      <c r="A45" s="140" t="str">
        <f t="shared" si="1"/>
        <v>40030012_40030343</v>
      </c>
      <c r="B45" s="210">
        <v>40030012</v>
      </c>
      <c r="C45" s="43">
        <v>40030343</v>
      </c>
      <c r="D45" s="98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エリス…油断するなよ…</v>
      </c>
      <c r="E45" s="98" t="str">
        <f ca="1">VLOOKUP($C45,OFFSET(enemy_skills!$A$1,0,0,COUNTA(enemy_skills!$A:$A),MATCH(E$1,enemy_skills!$1:$1,0)-MATCH("enemy_skill_id",enemy_skills!$1:$1,0)+1),MATCH(E$1,enemy_skills!$1:$1,0)-MATCH("enemy_skill_id",enemy_skills!$1:$1,0)+1,FALSE)</f>
        <v>侮っていると足元を掬われるぞ…</v>
      </c>
      <c r="F45" s="97">
        <v>40030612</v>
      </c>
      <c r="G45" s="99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99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5" s="99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99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99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99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" s="99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99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5" s="99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97"/>
      <c r="Q45" s="97"/>
      <c r="R45" s="141" t="s">
        <v>276</v>
      </c>
    </row>
    <row r="46" spans="1:18" ht="21" customHeight="1" x14ac:dyDescent="0.15">
      <c r="A46" s="229" t="str">
        <f t="shared" si="1"/>
        <v>40030013_40030359</v>
      </c>
      <c r="B46" s="234">
        <v>40030013</v>
      </c>
      <c r="C46" s="232">
        <v>40030359</v>
      </c>
      <c r="D46" s="9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あああーっ！テティスぅー！！_x000D_ノコノコと現れたわね！！！</v>
      </c>
      <c r="E46" s="9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46" s="169">
        <v>40030628</v>
      </c>
      <c r="G46" s="96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96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6" s="96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96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96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96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96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96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885</v>
      </c>
      <c r="O46" s="96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169"/>
      <c r="Q46" s="169"/>
      <c r="R46" s="172" t="s">
        <v>361</v>
      </c>
    </row>
    <row r="47" spans="1:18" ht="21" customHeight="1" x14ac:dyDescent="0.15">
      <c r="A47" s="230" t="str">
        <f t="shared" si="1"/>
        <v>40030013_40030344</v>
      </c>
      <c r="B47" s="234">
        <v>40030013</v>
      </c>
      <c r="C47" s="232">
        <v>40030344</v>
      </c>
      <c r="D47" s="9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アレス兄を撃破したというの？</v>
      </c>
      <c r="E47" s="9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47" s="94">
        <v>40030613</v>
      </c>
      <c r="G47" s="96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96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7" s="96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96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96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96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96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96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96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94"/>
      <c r="Q47" s="94"/>
      <c r="R47" s="166" t="s">
        <v>277</v>
      </c>
    </row>
    <row r="48" spans="1:18" ht="21" customHeight="1" x14ac:dyDescent="0.15">
      <c r="A48" s="231" t="str">
        <f t="shared" si="1"/>
        <v>40030013_40030345</v>
      </c>
      <c r="B48" s="234">
        <v>40030013</v>
      </c>
      <c r="C48" s="232">
        <v>40030345</v>
      </c>
      <c r="D48" s="42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アレス兄はまた色仕掛けでも_x000D_食らったのかしらね？</v>
      </c>
      <c r="E48" s="42" t="str">
        <f ca="1">VLOOKUP($C48,OFFSET(enemy_skills!$A$1,0,0,COUNTA(enemy_skills!$A:$A),MATCH(E$1,enemy_skills!$1:$1,0)-MATCH("enemy_skill_id",enemy_skills!$1:$1,0)+1),MATCH(E$1,enemy_skills!$1:$1,0)-MATCH("enemy_skill_id",enemy_skills!$1:$1,0)+1,FALSE)</f>
        <v>青パネルが一定確率で_x000D_赤の時限式ダメージパネルとしてドロップ</v>
      </c>
      <c r="F48" s="43">
        <v>40030614</v>
      </c>
      <c r="G48" s="44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4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8" s="44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4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4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4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4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4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4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3"/>
      <c r="Q48" s="43"/>
      <c r="R48" s="139" t="s">
        <v>278</v>
      </c>
    </row>
    <row r="49" spans="1:18" ht="21" customHeight="1" thickBot="1" x14ac:dyDescent="0.2">
      <c r="A49" s="233" t="str">
        <f t="shared" si="1"/>
        <v>40030013_40030346</v>
      </c>
      <c r="B49" s="234">
        <v>40030013</v>
      </c>
      <c r="C49" s="232">
        <v>40030346</v>
      </c>
      <c r="D49" s="98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うふふ、負荷をかけてあげる</v>
      </c>
      <c r="E49" s="98" t="str">
        <f ca="1">VLOOKUP($C49,OFFSET(enemy_skills!$A$1,0,0,COUNTA(enemy_skills!$A:$A),MATCH(E$1,enemy_skills!$1:$1,0)-MATCH("enemy_skill_id",enemy_skills!$1:$1,0)+1),MATCH(E$1,enemy_skills!$1:$1,0)-MATCH("enemy_skill_id",enemy_skills!$1:$1,0)+1,FALSE)</f>
        <v>1ターンウィルス_x000D_＋クリティカル！</v>
      </c>
      <c r="F49" s="97">
        <v>40030615</v>
      </c>
      <c r="G49" s="99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99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9" s="99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9" s="99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99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99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99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99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99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9" s="97"/>
      <c r="Q49" s="97"/>
      <c r="R49" s="141" t="s">
        <v>279</v>
      </c>
    </row>
    <row r="50" spans="1:18" ht="21" customHeight="1" x14ac:dyDescent="0.15">
      <c r="A50" s="229" t="str">
        <f t="shared" si="1"/>
        <v>40030014_40030360</v>
      </c>
      <c r="B50" s="234">
        <v>40030014</v>
      </c>
      <c r="C50" s="232">
        <v>40030360</v>
      </c>
      <c r="D50" s="170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テティス！アンタは！_x000D_皆に媚び過ぎなのよ！</v>
      </c>
      <c r="E50" s="170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状態異常無効＋攻撃力UP</v>
      </c>
      <c r="F50" s="169">
        <v>40030629</v>
      </c>
      <c r="G50" s="96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96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0" s="96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96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96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96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96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96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885</v>
      </c>
      <c r="O50" s="96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169"/>
      <c r="Q50" s="169"/>
      <c r="R50" s="172" t="s">
        <v>362</v>
      </c>
    </row>
    <row r="51" spans="1:18" ht="21" customHeight="1" x14ac:dyDescent="0.15">
      <c r="A51" s="229" t="str">
        <f t="shared" si="1"/>
        <v>40030014_40030347</v>
      </c>
      <c r="B51" s="234">
        <v>40030014</v>
      </c>
      <c r="C51" s="232">
        <v>40030347</v>
      </c>
      <c r="D51" s="170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た、確かに実力はあるようね_x000D_でもまだまだここからよ！！</v>
      </c>
      <c r="E51" s="170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状態異常無効＋攻撃力UP</v>
      </c>
      <c r="F51" s="169">
        <v>40030616</v>
      </c>
      <c r="G51" s="171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171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1" s="171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171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171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171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171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171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171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169"/>
      <c r="Q51" s="169"/>
      <c r="R51" s="172" t="s">
        <v>280</v>
      </c>
    </row>
    <row r="52" spans="1:18" ht="21" customHeight="1" x14ac:dyDescent="0.15">
      <c r="A52" s="231" t="str">
        <f t="shared" si="1"/>
        <v>40030014_40030348</v>
      </c>
      <c r="B52" s="234">
        <v>40030014</v>
      </c>
      <c r="C52" s="232">
        <v>40030348</v>
      </c>
      <c r="D52" s="42" t="str">
        <f ca="1">VLOOKUP($C52,OFFSET(enemy_skills!$A$1,0,0,COUNTA(enemy_skills!$A:$A),MATCH(D$1,enemy_skills!$1:$1,0)-MATCH("enemy_skill_id",enemy_skills!$1:$1,0)+1),MATCH(D$1,enemy_skills!$1:$1,0)-MATCH("enemy_skill_id",enemy_skills!$1:$1,0)+1,FALSE)</f>
        <v>時限起爆コード送信</v>
      </c>
      <c r="E52" s="42" t="str">
        <f ca="1">VLOOKUP($C52,OFFSET(enemy_skills!$A$1,0,0,COUNTA(enemy_skills!$A:$A),MATCH(E$1,enemy_skills!$1:$1,0)-MATCH("enemy_skill_id",enemy_skills!$1:$1,0)+1),MATCH(E$1,enemy_skills!$1:$1,0)-MATCH("enemy_skill_id",enemy_skills!$1:$1,0)+1,FALSE)</f>
        <v>青パネルが一定確率で_x000D_赤の時限式ダメージパネルとしてドロップ</v>
      </c>
      <c r="F52" s="43">
        <v>40030617</v>
      </c>
      <c r="G52" s="44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4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2" s="44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4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4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4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4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4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4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3"/>
      <c r="Q52" s="43"/>
      <c r="R52" s="139" t="s">
        <v>278</v>
      </c>
    </row>
    <row r="53" spans="1:18" ht="21" customHeight="1" thickBot="1" x14ac:dyDescent="0.2">
      <c r="A53" s="233" t="str">
        <f t="shared" si="1"/>
        <v>40030014_40030349</v>
      </c>
      <c r="B53" s="234">
        <v>40030014</v>
      </c>
      <c r="C53" s="232">
        <v>40030349</v>
      </c>
      <c r="D53" s="98" t="str">
        <f ca="1">VLOOKUP($C53,OFFSET(enemy_skills!$A$1,0,0,COUNTA(enemy_skills!$A:$A),MATCH(D$1,enemy_skills!$1:$1,0)-MATCH("enemy_skill_id",enemy_skills!$1:$1,0)+1),MATCH(D$1,enemy_skills!$1:$1,0)-MATCH("enemy_skill_id",enemy_skills!$1:$1,0)+1,FALSE)</f>
        <v>即効性の負荷爆弾よ！</v>
      </c>
      <c r="E53" s="98" t="str">
        <f ca="1">VLOOKUP($C53,OFFSET(enemy_skills!$A$1,0,0,COUNTA(enemy_skills!$A:$A),MATCH(E$1,enemy_skills!$1:$1,0)-MATCH("enemy_skill_id",enemy_skills!$1:$1,0)+1),MATCH(E$1,enemy_skills!$1:$1,0)-MATCH("enemy_skill_id",enemy_skills!$1:$1,0)+1,FALSE)</f>
        <v>1ターンウィルス_x000D_＋クリティカル！</v>
      </c>
      <c r="F53" s="97">
        <v>40030618</v>
      </c>
      <c r="G53" s="99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99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3" s="99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53" s="99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99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99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99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99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99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53" s="97"/>
      <c r="Q53" s="97"/>
      <c r="R53" s="141" t="s">
        <v>279</v>
      </c>
    </row>
    <row r="54" spans="1:18" ht="21" customHeight="1" x14ac:dyDescent="0.15">
      <c r="A54" s="229" t="str">
        <f t="shared" si="1"/>
        <v>40030015_40030361</v>
      </c>
      <c r="B54" s="234">
        <v>40030015</v>
      </c>
      <c r="C54" s="232">
        <v>40030361</v>
      </c>
      <c r="D54" s="9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なんで同じ仕事してるのに_x000D_アンタばっかり褒められるのよ！</v>
      </c>
      <c r="E54" s="9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状態異常無効＋攻撃力UP</v>
      </c>
      <c r="F54" s="169">
        <v>40030630</v>
      </c>
      <c r="G54" s="96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96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4" s="96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96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96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96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96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96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885</v>
      </c>
      <c r="O54" s="96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169"/>
      <c r="Q54" s="169"/>
      <c r="R54" s="172" t="s">
        <v>362</v>
      </c>
    </row>
    <row r="55" spans="1:18" ht="21" customHeight="1" x14ac:dyDescent="0.15">
      <c r="A55" s="230" t="str">
        <f t="shared" si="1"/>
        <v>40030015_40030350</v>
      </c>
      <c r="B55" s="234">
        <v>40030015</v>
      </c>
      <c r="C55" s="232">
        <v>40030350</v>
      </c>
      <c r="D55" s="95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あーもうっ！しつこいわね！</v>
      </c>
      <c r="E55" s="95" t="str">
        <f ca="1">VLOOKUP($C55,OFFSET(enemy_skills!$A$1,0,0,COUNTA(enemy_skills!$A:$A),MATCH(E$1,enemy_skills!$1:$1,0)-MATCH("enemy_skill_id",enemy_skills!$1:$1,0)+1),MATCH(E$1,enemy_skills!$1:$1,0)-MATCH("enemy_skill_id",enemy_skills!$1:$1,0)+1,FALSE)</f>
        <v>状態異常無効＋攻撃力UP</v>
      </c>
      <c r="F55" s="94">
        <v>40030619</v>
      </c>
      <c r="G55" s="96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96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55" s="96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96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96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96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96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96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96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94"/>
      <c r="Q55" s="94"/>
      <c r="R55" s="172" t="s">
        <v>280</v>
      </c>
    </row>
    <row r="56" spans="1:18" ht="21" customHeight="1" x14ac:dyDescent="0.15">
      <c r="A56" s="231" t="str">
        <f t="shared" si="1"/>
        <v>40030015_40030351</v>
      </c>
      <c r="B56" s="234">
        <v>40030015</v>
      </c>
      <c r="C56" s="232">
        <v>40030351</v>
      </c>
      <c r="D56" s="42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さ、逆恨みじゃないわよ！</v>
      </c>
      <c r="E56" s="42" t="str">
        <f ca="1">VLOOKUP($C56,OFFSET(enemy_skills!$A$1,0,0,COUNTA(enemy_skills!$A:$A),MATCH(E$1,enemy_skills!$1:$1,0)-MATCH("enemy_skill_id",enemy_skills!$1:$1,0)+1),MATCH(E$1,enemy_skills!$1:$1,0)-MATCH("enemy_skill_id",enemy_skills!$1:$1,0)+1,FALSE)</f>
        <v>青パネルが一定確率で_x000D_赤の時限式ダメージパネルとしてドロップ</v>
      </c>
      <c r="F56" s="43">
        <v>40030620</v>
      </c>
      <c r="G56" s="44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4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6" s="44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4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4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4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4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4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4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3"/>
      <c r="Q56" s="43"/>
      <c r="R56" s="139" t="s">
        <v>278</v>
      </c>
    </row>
    <row r="57" spans="1:18" ht="21" customHeight="1" x14ac:dyDescent="0.15">
      <c r="A57" s="231" t="str">
        <f t="shared" si="1"/>
        <v>40030015_40030352</v>
      </c>
      <c r="B57" s="234">
        <v>40030015</v>
      </c>
      <c r="C57" s="232">
        <v>40030352</v>
      </c>
      <c r="D57" s="42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もっと…！もっとよ！！</v>
      </c>
      <c r="E57" s="42" t="str">
        <f ca="1">VLOOKUP($C57,OFFSET(enemy_skills!$A$1,0,0,COUNTA(enemy_skills!$A:$A),MATCH(E$1,enemy_skills!$1:$1,0)-MATCH("enemy_skill_id",enemy_skills!$1:$1,0)+1),MATCH(E$1,enemy_skills!$1:$1,0)-MATCH("enemy_skill_id",enemy_skills!$1:$1,0)+1,FALSE)</f>
        <v>1ターンウィルス＋クリティカル！</v>
      </c>
      <c r="F57" s="43">
        <v>40030621</v>
      </c>
      <c r="G57" s="44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4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7" s="44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57" s="44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4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4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4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4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4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57" s="43"/>
      <c r="Q57" s="43"/>
      <c r="R57" s="139" t="s">
        <v>279</v>
      </c>
    </row>
    <row r="58" spans="1:18" ht="21" customHeight="1" x14ac:dyDescent="0.15">
      <c r="A58" s="231" t="str">
        <f t="shared" si="1"/>
        <v>40030015_40030353</v>
      </c>
      <c r="B58" s="234">
        <v>40030015</v>
      </c>
      <c r="C58" s="232">
        <v>40030353</v>
      </c>
      <c r="D58" s="42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うふふ…本気になっちゃった</v>
      </c>
      <c r="E58" s="42" t="str">
        <f ca="1">VLOOKUP($C58,OFFSET(enemy_skills!$A$1,0,0,COUNTA(enemy_skills!$A:$A),MATCH(E$1,enemy_skills!$1:$1,0)-MATCH("enemy_skill_id",enemy_skills!$1:$1,0)+1),MATCH(E$1,enemy_skills!$1:$1,0)-MATCH("enemy_skill_id",enemy_skills!$1:$1,0)+1,FALSE)</f>
        <v>攻撃力UP</v>
      </c>
      <c r="F58" s="43">
        <v>40030622</v>
      </c>
      <c r="G58" s="44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4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8" s="44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4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8" s="44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4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4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4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4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3"/>
      <c r="Q58" s="43"/>
      <c r="R58" s="139" t="s">
        <v>281</v>
      </c>
    </row>
    <row r="59" spans="1:18" ht="21" customHeight="1" x14ac:dyDescent="0.15">
      <c r="A59" s="230" t="str">
        <f t="shared" si="1"/>
        <v>40030015_40030354</v>
      </c>
      <c r="B59" s="234">
        <v>40030015</v>
      </c>
      <c r="C59" s="232">
        <v>40030354</v>
      </c>
      <c r="D59" s="95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どこまで耐えられるかしら？</v>
      </c>
      <c r="E59" s="95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ターン毎に強力になる攻撃！</v>
      </c>
      <c r="F59" s="94">
        <v>40030623</v>
      </c>
      <c r="G59" s="96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96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9" s="96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96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9" s="96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96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96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96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96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94"/>
      <c r="Q59" s="94"/>
      <c r="R59" s="166" t="s">
        <v>282</v>
      </c>
    </row>
    <row r="60" spans="1:18" ht="21" customHeight="1" x14ac:dyDescent="0.15">
      <c r="A60" s="231" t="str">
        <f t="shared" si="1"/>
        <v>40030015_40030355</v>
      </c>
      <c r="B60" s="234">
        <v>40030015</v>
      </c>
      <c r="C60" s="232">
        <v>40030355</v>
      </c>
      <c r="D60" s="42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それそれそれー！</v>
      </c>
      <c r="E60" s="42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ターン毎に強力になる攻撃！</v>
      </c>
      <c r="F60" s="43">
        <v>40030624</v>
      </c>
      <c r="G60" s="44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4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60" s="44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4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60" s="44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4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4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4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4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3"/>
      <c r="Q60" s="43"/>
      <c r="R60" s="166" t="s">
        <v>283</v>
      </c>
    </row>
    <row r="61" spans="1:18" ht="21" customHeight="1" x14ac:dyDescent="0.15">
      <c r="A61" s="231" t="str">
        <f t="shared" si="1"/>
        <v>40030015_40030356</v>
      </c>
      <c r="B61" s="234">
        <v>40030015</v>
      </c>
      <c r="C61" s="232">
        <v>40030356</v>
      </c>
      <c r="D61" s="42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もっと！もっとよ！！！</v>
      </c>
      <c r="E61" s="42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ターン毎に強力になる攻撃！</v>
      </c>
      <c r="F61" s="43">
        <v>40030625</v>
      </c>
      <c r="G61" s="44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4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1" s="44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4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61" s="44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4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4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4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4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3"/>
      <c r="Q61" s="43"/>
      <c r="R61" s="166" t="s">
        <v>284</v>
      </c>
    </row>
    <row r="62" spans="1:18" ht="21" customHeight="1" x14ac:dyDescent="0.15">
      <c r="A62" s="231" t="str">
        <f t="shared" si="1"/>
        <v>40030015_40030357</v>
      </c>
      <c r="B62" s="234">
        <v>40030015</v>
      </c>
      <c r="C62" s="232">
        <v>40030357</v>
      </c>
      <c r="D62" s="42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もういい加減に落ちて！</v>
      </c>
      <c r="E62" s="42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ターン毎に強力になる攻撃！</v>
      </c>
      <c r="F62" s="43">
        <v>40030626</v>
      </c>
      <c r="G62" s="44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4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62" s="44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4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62" s="44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4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4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4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4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3"/>
      <c r="Q62" s="43"/>
      <c r="R62" s="166" t="s">
        <v>285</v>
      </c>
    </row>
    <row r="63" spans="1:18" ht="21" customHeight="1" x14ac:dyDescent="0.15">
      <c r="A63" s="231" t="str">
        <f t="shared" si="1"/>
        <v>40030015_40030358</v>
      </c>
      <c r="B63" s="234">
        <v>40030015</v>
      </c>
      <c r="C63" s="232">
        <v>40030358</v>
      </c>
      <c r="D63" s="42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アンタに割くリソースはカットよ！</v>
      </c>
      <c r="E63" s="42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ターン毎に強力になる攻撃！</v>
      </c>
      <c r="F63" s="43">
        <v>40030627</v>
      </c>
      <c r="G63" s="44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4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3" s="44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4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63" s="44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4" t="str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3" s="44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4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4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3"/>
      <c r="Q63" s="43"/>
      <c r="R63" s="166" t="s">
        <v>286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3"/>
  <sheetViews>
    <sheetView showGridLines="0" tabSelected="1" workbookViewId="0">
      <pane ySplit="1" topLeftCell="A2" activePane="bottomLeft" state="frozenSplit"/>
      <selection pane="bottomLeft" activeCell="B53" sqref="B53"/>
    </sheetView>
  </sheetViews>
  <sheetFormatPr baseColWidth="12" defaultColWidth="12.83203125" defaultRowHeight="14" outlineLevelCol="1" x14ac:dyDescent="0.15"/>
  <cols>
    <col min="1" max="1" width="16" style="45" bestFit="1" customWidth="1"/>
    <col min="2" max="2" width="86.5" style="45" customWidth="1"/>
    <col min="3" max="3" width="7.5" style="45" customWidth="1"/>
    <col min="4" max="4" width="4.33203125" style="45" customWidth="1"/>
    <col min="5" max="5" width="23.6640625" style="45" bestFit="1" customWidth="1"/>
    <col min="6" max="6" width="44.1640625" style="45" bestFit="1" customWidth="1"/>
    <col min="7" max="7" width="52" style="45" hidden="1" customWidth="1" outlineLevel="1"/>
    <col min="8" max="8" width="18.33203125" style="45" hidden="1" customWidth="1" outlineLevel="1"/>
    <col min="9" max="11" width="18.6640625" style="45" hidden="1" customWidth="1" outlineLevel="1"/>
    <col min="12" max="12" width="23.6640625" style="45" customWidth="1" collapsed="1"/>
    <col min="13" max="18" width="23.6640625" style="45" hidden="1" customWidth="1" outlineLevel="1"/>
    <col min="19" max="19" width="23.6640625" style="45" customWidth="1" collapsed="1"/>
    <col min="20" max="24" width="23.6640625" style="45" hidden="1" customWidth="1" outlineLevel="1"/>
    <col min="25" max="25" width="23.6640625" style="45" customWidth="1" collapsed="1"/>
    <col min="26" max="27" width="12.83203125" style="45"/>
    <col min="28" max="28" width="18.5" style="45" bestFit="1" customWidth="1"/>
    <col min="29" max="16384" width="12.83203125" style="45"/>
  </cols>
  <sheetData>
    <row r="1" spans="1:28" ht="15" thickBot="1" x14ac:dyDescent="0.2">
      <c r="A1" s="142" t="s">
        <v>79</v>
      </c>
      <c r="B1" s="142" t="s">
        <v>80</v>
      </c>
      <c r="C1" s="142" t="s">
        <v>81</v>
      </c>
      <c r="D1" s="142" t="s">
        <v>127</v>
      </c>
      <c r="E1" s="142" t="s">
        <v>82</v>
      </c>
      <c r="F1" s="142" t="s">
        <v>83</v>
      </c>
      <c r="G1" s="143" t="s">
        <v>133</v>
      </c>
      <c r="H1" s="143" t="s">
        <v>139</v>
      </c>
      <c r="I1" s="143" t="s">
        <v>141</v>
      </c>
      <c r="J1" s="143" t="s">
        <v>140</v>
      </c>
      <c r="K1" s="143" t="s">
        <v>142</v>
      </c>
      <c r="L1" s="143" t="s">
        <v>134</v>
      </c>
      <c r="M1" s="143" t="s">
        <v>132</v>
      </c>
      <c r="N1" s="143" t="s">
        <v>135</v>
      </c>
      <c r="O1" s="143" t="s">
        <v>143</v>
      </c>
      <c r="P1" s="143" t="s">
        <v>144</v>
      </c>
      <c r="Q1" s="143" t="s">
        <v>145</v>
      </c>
      <c r="R1" s="143" t="s">
        <v>146</v>
      </c>
      <c r="S1" s="143" t="s">
        <v>136</v>
      </c>
      <c r="T1" s="143" t="s">
        <v>137</v>
      </c>
      <c r="U1" s="143" t="s">
        <v>147</v>
      </c>
      <c r="V1" s="143" t="s">
        <v>148</v>
      </c>
      <c r="W1" s="143" t="s">
        <v>149</v>
      </c>
      <c r="X1" s="143" t="s">
        <v>150</v>
      </c>
      <c r="Y1" s="143" t="s">
        <v>138</v>
      </c>
      <c r="Z1" s="143" t="s">
        <v>76</v>
      </c>
      <c r="AA1" s="143" t="s">
        <v>77</v>
      </c>
      <c r="AB1" s="143" t="s">
        <v>78</v>
      </c>
    </row>
    <row r="2" spans="1:28" ht="42" x14ac:dyDescent="0.15">
      <c r="A2" s="173">
        <v>40030300</v>
      </c>
      <c r="B2" s="134" t="s">
        <v>400</v>
      </c>
      <c r="C2" s="174">
        <v>3</v>
      </c>
      <c r="D2" s="174" t="s">
        <v>128</v>
      </c>
      <c r="E2" s="175" t="s">
        <v>332</v>
      </c>
      <c r="F2" s="175" t="s">
        <v>293</v>
      </c>
      <c r="G2" s="176" t="str">
        <f>IFERROR(LEFT(B2,FIND("],",B2)),B2)</f>
        <v xml:space="preserve">[effect:damage_abnormal, target:unit_one, val:0.6, status:virus, turn:1, rate:1, val_abnormal:0.4, animation:enemy_virus]    </v>
      </c>
      <c r="H2" s="176">
        <f>FIND("effect:",G2)+7</f>
        <v>9</v>
      </c>
      <c r="I2" s="176">
        <f>IFERROR(FIND(",",G2),LEN(G2))</f>
        <v>24</v>
      </c>
      <c r="J2" s="176">
        <f>FIND("target:",G2)+7</f>
        <v>33</v>
      </c>
      <c r="K2" s="176">
        <f>FIND(",",G2,I2+1)</f>
        <v>41</v>
      </c>
      <c r="L2" s="176" t="str">
        <f>IFERROR(VLOOKUP(MID(G2,J2,K2-J2),[6]skilldef!$C:$D,2,FALSE),"-") &amp; " / " &amp; IFERROR(VLOOKUP(MID(G2,H2,I2-H2),[6]skilldef!$A:$B,2,FALSE),"-")</f>
        <v>味方単体に / -</v>
      </c>
      <c r="M2" s="176" t="str">
        <f>IFERROR(RIGHT(B2,LEN(B2)-FIND("],",B2)-1),"none")</f>
        <v>none</v>
      </c>
      <c r="N2" s="136" t="str">
        <f t="shared" ref="N2:N5" si="0">IFERROR(LEFT(M2,FIND("],",M2)+S14),M2)</f>
        <v>none</v>
      </c>
      <c r="O2" s="176" t="e">
        <f>FIND("effect:",N2)+7</f>
        <v>#VALUE!</v>
      </c>
      <c r="P2" s="176">
        <f>IFERROR(FIND(",",N2),LEN(N2))</f>
        <v>4</v>
      </c>
      <c r="Q2" s="176" t="e">
        <f>FIND("target:",N2)+7</f>
        <v>#VALUE!</v>
      </c>
      <c r="R2" s="176" t="e">
        <f>FIND(",",N2,P2+1)</f>
        <v>#VALUE!</v>
      </c>
      <c r="S2" s="176" t="str">
        <f>IFERROR(VLOOKUP(MID(N2,Q2,R2-Q2),[6]skilldef!$C:$D,2,FALSE),"-") &amp; " / " &amp; IFERROR(VLOOKUP(MID(N2,O2,P2-O2),[6]skilldef!$A:$B,2,FALSE),"-")</f>
        <v>- / -</v>
      </c>
      <c r="T2" s="136" t="str">
        <f>IFERROR(RIGHT(M2,LEN(M2)-FIND("],",M2)-1),"none")</f>
        <v>none</v>
      </c>
      <c r="U2" s="176" t="e">
        <f>FIND("effect:",T2)+7</f>
        <v>#VALUE!</v>
      </c>
      <c r="V2" s="176">
        <f>IFERROR(FIND(",",T2),LEN(T2))</f>
        <v>4</v>
      </c>
      <c r="W2" s="176" t="e">
        <f>FIND("target:",T2)+7</f>
        <v>#VALUE!</v>
      </c>
      <c r="X2" s="176" t="e">
        <f>FIND(",",T2,V2+1)</f>
        <v>#VALUE!</v>
      </c>
      <c r="Y2" s="176" t="str">
        <f>IFERROR(VLOOKUP(MID(T2,W2,X2-W2),[6]skilldef!$C:$D,2,FALSE),"-") &amp; " / " &amp; IFERROR(VLOOKUP(MID(T2,U2,V2-U2),[6]skilldef!$A:$B,2,FALSE),"-")</f>
        <v>- / -</v>
      </c>
      <c r="Z2" s="174" t="s">
        <v>256</v>
      </c>
      <c r="AA2" s="177">
        <v>42622</v>
      </c>
      <c r="AB2" s="137" t="s">
        <v>264</v>
      </c>
    </row>
    <row r="3" spans="1:28" ht="29" thickBot="1" x14ac:dyDescent="0.2">
      <c r="A3" s="178">
        <v>40030301</v>
      </c>
      <c r="B3" s="97" t="s">
        <v>294</v>
      </c>
      <c r="C3" s="179">
        <v>3</v>
      </c>
      <c r="D3" s="179" t="s">
        <v>128</v>
      </c>
      <c r="E3" s="128" t="s">
        <v>314</v>
      </c>
      <c r="F3" s="128" t="s">
        <v>370</v>
      </c>
      <c r="G3" s="180" t="str">
        <f t="shared" ref="G3:G29" si="1">IFERROR(LEFT(B3,FIND("],",B3)),B3)</f>
        <v xml:space="preserve">[effect:rush, count:2, val:0.6]    </v>
      </c>
      <c r="H3" s="180">
        <f t="shared" ref="H3:H29" si="2">FIND("effect:",G3)+7</f>
        <v>9</v>
      </c>
      <c r="I3" s="180">
        <f t="shared" ref="I3:I29" si="3">IFERROR(FIND(",",G3),LEN(G3))</f>
        <v>13</v>
      </c>
      <c r="J3" s="180" t="e">
        <f t="shared" ref="J3:J29" si="4">FIND("target:",G3)+7</f>
        <v>#VALUE!</v>
      </c>
      <c r="K3" s="180">
        <f t="shared" ref="K3:K29" si="5">FIND(",",G3,I3+1)</f>
        <v>22</v>
      </c>
      <c r="L3" s="180" t="str">
        <f>IFERROR(VLOOKUP(MID(G3,J3,K3-J3),[6]skilldef!$C:$D,2,FALSE),"-") &amp; " / " &amp; IFERROR(VLOOKUP(MID(G3,H3,I3-H3),[6]skilldef!$A:$B,2,FALSE),"-")</f>
        <v>- / 連続攻撃</v>
      </c>
      <c r="M3" s="180" t="str">
        <f t="shared" ref="M3:M29" si="6">IFERROR(RIGHT(B3,LEN(B3)-FIND("],",B3)-1),"none")</f>
        <v>none</v>
      </c>
      <c r="N3" s="99" t="str">
        <f t="shared" si="0"/>
        <v>none</v>
      </c>
      <c r="O3" s="180" t="e">
        <f t="shared" ref="O3:O29" si="7">FIND("effect:",N3)+7</f>
        <v>#VALUE!</v>
      </c>
      <c r="P3" s="180">
        <f t="shared" ref="P3:P29" si="8">IFERROR(FIND(",",N3),LEN(N3))</f>
        <v>4</v>
      </c>
      <c r="Q3" s="180" t="e">
        <f t="shared" ref="Q3:Q29" si="9">FIND("target:",N3)+7</f>
        <v>#VALUE!</v>
      </c>
      <c r="R3" s="180" t="e">
        <f t="shared" ref="R3:R29" si="10">FIND(",",N3,P3+1)</f>
        <v>#VALUE!</v>
      </c>
      <c r="S3" s="180" t="str">
        <f>IFERROR(VLOOKUP(MID(N3,Q3,R3-Q3),[6]skilldef!$C:$D,2,FALSE),"-") &amp; " / " &amp; IFERROR(VLOOKUP(MID(N3,O3,P3-O3),[6]skilldef!$A:$B,2,FALSE),"-")</f>
        <v>- / -</v>
      </c>
      <c r="T3" s="99" t="str">
        <f t="shared" ref="T3:T29" si="11">IFERROR(RIGHT(M3,LEN(M3)-FIND("],",M3)-1),"none")</f>
        <v>none</v>
      </c>
      <c r="U3" s="180" t="e">
        <f t="shared" ref="U3:U29" si="12">FIND("effect:",T3)+7</f>
        <v>#VALUE!</v>
      </c>
      <c r="V3" s="180">
        <f t="shared" ref="V3:V29" si="13">IFERROR(FIND(",",T3),LEN(T3))</f>
        <v>4</v>
      </c>
      <c r="W3" s="180" t="e">
        <f t="shared" ref="W3:W29" si="14">FIND("target:",T3)+7</f>
        <v>#VALUE!</v>
      </c>
      <c r="X3" s="180" t="e">
        <f t="shared" ref="X3:X29" si="15">FIND(",",T3,V3+1)</f>
        <v>#VALUE!</v>
      </c>
      <c r="Y3" s="180" t="str">
        <f>IFERROR(VLOOKUP(MID(T3,W3,X3-W3),[6]skilldef!$C:$D,2,FALSE),"-") &amp; " / " &amp; IFERROR(VLOOKUP(MID(T3,U3,V3-U3),[6]skilldef!$A:$B,2,FALSE),"-")</f>
        <v>- / -</v>
      </c>
      <c r="Z3" s="179" t="s">
        <v>256</v>
      </c>
      <c r="AA3" s="181">
        <v>42622</v>
      </c>
      <c r="AB3" s="141" t="s">
        <v>265</v>
      </c>
    </row>
    <row r="4" spans="1:28" ht="42" x14ac:dyDescent="0.15">
      <c r="A4" s="173">
        <v>40030302</v>
      </c>
      <c r="B4" s="134" t="s">
        <v>399</v>
      </c>
      <c r="C4" s="174">
        <v>3</v>
      </c>
      <c r="D4" s="174" t="s">
        <v>128</v>
      </c>
      <c r="E4" s="175" t="s">
        <v>326</v>
      </c>
      <c r="F4" s="175" t="s">
        <v>293</v>
      </c>
      <c r="G4" s="176" t="str">
        <f t="shared" si="1"/>
        <v xml:space="preserve">[effect:damage_abnormal, target:unit_one, val:0.6, status:virus, turn:1, rate:1, val_abnormal:0.45, animation:enemy_virus]    </v>
      </c>
      <c r="H4" s="176">
        <f t="shared" si="2"/>
        <v>9</v>
      </c>
      <c r="I4" s="176">
        <f t="shared" si="3"/>
        <v>24</v>
      </c>
      <c r="J4" s="176">
        <f t="shared" si="4"/>
        <v>33</v>
      </c>
      <c r="K4" s="176">
        <f t="shared" si="5"/>
        <v>41</v>
      </c>
      <c r="L4" s="176" t="str">
        <f>IFERROR(VLOOKUP(MID(G4,J4,K4-J4),[6]skilldef!$C:$D,2,FALSE),"-") &amp; " / " &amp; IFERROR(VLOOKUP(MID(G4,H4,I4-H4),[6]skilldef!$A:$B,2,FALSE),"-")</f>
        <v>味方単体に / -</v>
      </c>
      <c r="M4" s="176" t="str">
        <f t="shared" si="6"/>
        <v>none</v>
      </c>
      <c r="N4" s="136" t="str">
        <f t="shared" si="0"/>
        <v>none</v>
      </c>
      <c r="O4" s="176" t="e">
        <f t="shared" si="7"/>
        <v>#VALUE!</v>
      </c>
      <c r="P4" s="176">
        <f t="shared" si="8"/>
        <v>4</v>
      </c>
      <c r="Q4" s="176" t="e">
        <f t="shared" si="9"/>
        <v>#VALUE!</v>
      </c>
      <c r="R4" s="176" t="e">
        <f t="shared" si="10"/>
        <v>#VALUE!</v>
      </c>
      <c r="S4" s="176" t="str">
        <f>IFERROR(VLOOKUP(MID(N4,Q4,R4-Q4),[6]skilldef!$C:$D,2,FALSE),"-") &amp; " / " &amp; IFERROR(VLOOKUP(MID(N4,O4,P4-O4),[6]skilldef!$A:$B,2,FALSE),"-")</f>
        <v>- / -</v>
      </c>
      <c r="T4" s="136" t="str">
        <f t="shared" si="11"/>
        <v>none</v>
      </c>
      <c r="U4" s="176" t="e">
        <f t="shared" si="12"/>
        <v>#VALUE!</v>
      </c>
      <c r="V4" s="176">
        <f t="shared" si="13"/>
        <v>4</v>
      </c>
      <c r="W4" s="176" t="e">
        <f t="shared" si="14"/>
        <v>#VALUE!</v>
      </c>
      <c r="X4" s="176" t="e">
        <f t="shared" si="15"/>
        <v>#VALUE!</v>
      </c>
      <c r="Y4" s="176" t="str">
        <f>IFERROR(VLOOKUP(MID(T4,W4,X4-W4),[6]skilldef!$C:$D,2,FALSE),"-") &amp; " / " &amp; IFERROR(VLOOKUP(MID(T4,U4,V4-U4),[6]skilldef!$A:$B,2,FALSE),"-")</f>
        <v>- / -</v>
      </c>
      <c r="Z4" s="174" t="s">
        <v>256</v>
      </c>
      <c r="AA4" s="177">
        <v>42622</v>
      </c>
      <c r="AB4" s="137" t="s">
        <v>266</v>
      </c>
    </row>
    <row r="5" spans="1:28" ht="28" x14ac:dyDescent="0.15">
      <c r="A5" s="182">
        <v>40030303</v>
      </c>
      <c r="B5" s="43" t="s">
        <v>294</v>
      </c>
      <c r="C5" s="46">
        <v>3</v>
      </c>
      <c r="D5" s="46" t="s">
        <v>128</v>
      </c>
      <c r="E5" s="47" t="s">
        <v>315</v>
      </c>
      <c r="F5" s="47" t="s">
        <v>370</v>
      </c>
      <c r="G5" s="58" t="str">
        <f t="shared" si="1"/>
        <v xml:space="preserve">[effect:rush, count:2, val:0.6]    </v>
      </c>
      <c r="H5" s="58">
        <f t="shared" si="2"/>
        <v>9</v>
      </c>
      <c r="I5" s="58">
        <f t="shared" si="3"/>
        <v>13</v>
      </c>
      <c r="J5" s="58" t="e">
        <f t="shared" si="4"/>
        <v>#VALUE!</v>
      </c>
      <c r="K5" s="58">
        <f t="shared" si="5"/>
        <v>22</v>
      </c>
      <c r="L5" s="58" t="str">
        <f>IFERROR(VLOOKUP(MID(G5,J5,K5-J5),[6]skilldef!$C:$D,2,FALSE),"-") &amp; " / " &amp; IFERROR(VLOOKUP(MID(G5,H5,I5-H5),[6]skilldef!$A:$B,2,FALSE),"-")</f>
        <v>- / 連続攻撃</v>
      </c>
      <c r="M5" s="58" t="str">
        <f t="shared" si="6"/>
        <v>none</v>
      </c>
      <c r="N5" s="44" t="str">
        <f t="shared" si="0"/>
        <v>none</v>
      </c>
      <c r="O5" s="58" t="e">
        <f t="shared" si="7"/>
        <v>#VALUE!</v>
      </c>
      <c r="P5" s="58">
        <f t="shared" si="8"/>
        <v>4</v>
      </c>
      <c r="Q5" s="58" t="e">
        <f t="shared" si="9"/>
        <v>#VALUE!</v>
      </c>
      <c r="R5" s="58" t="e">
        <f t="shared" si="10"/>
        <v>#VALUE!</v>
      </c>
      <c r="S5" s="58" t="str">
        <f>IFERROR(VLOOKUP(MID(N5,Q5,R5-Q5),[6]skilldef!$C:$D,2,FALSE),"-") &amp; " / " &amp; IFERROR(VLOOKUP(MID(N5,O5,P5-O5),[6]skilldef!$A:$B,2,FALSE),"-")</f>
        <v>- / -</v>
      </c>
      <c r="T5" s="44" t="str">
        <f t="shared" si="11"/>
        <v>none</v>
      </c>
      <c r="U5" s="58" t="e">
        <f t="shared" si="12"/>
        <v>#VALUE!</v>
      </c>
      <c r="V5" s="58">
        <f t="shared" si="13"/>
        <v>4</v>
      </c>
      <c r="W5" s="58" t="e">
        <f t="shared" si="14"/>
        <v>#VALUE!</v>
      </c>
      <c r="X5" s="58" t="e">
        <f t="shared" si="15"/>
        <v>#VALUE!</v>
      </c>
      <c r="Y5" s="58" t="str">
        <f>IFERROR(VLOOKUP(MID(T5,W5,X5-W5),[6]skilldef!$C:$D,2,FALSE),"-") &amp; " / " &amp; IFERROR(VLOOKUP(MID(T5,U5,V5-U5),[6]skilldef!$A:$B,2,FALSE),"-")</f>
        <v>- / -</v>
      </c>
      <c r="Z5" s="46" t="s">
        <v>256</v>
      </c>
      <c r="AA5" s="48">
        <v>42622</v>
      </c>
      <c r="AB5" s="139" t="s">
        <v>267</v>
      </c>
    </row>
    <row r="6" spans="1:28" ht="29" thickBot="1" x14ac:dyDescent="0.2">
      <c r="A6" s="178">
        <v>40030304</v>
      </c>
      <c r="B6" s="97" t="s">
        <v>331</v>
      </c>
      <c r="C6" s="179">
        <v>3</v>
      </c>
      <c r="D6" s="179" t="s">
        <v>128</v>
      </c>
      <c r="E6" s="128" t="s">
        <v>313</v>
      </c>
      <c r="F6" s="128" t="s">
        <v>295</v>
      </c>
      <c r="G6" s="180" t="str">
        <f t="shared" si="1"/>
        <v xml:space="preserve">[effect:critical, val:1.95, animation:enemy_critical]    </v>
      </c>
      <c r="H6" s="180">
        <f t="shared" si="2"/>
        <v>9</v>
      </c>
      <c r="I6" s="180">
        <f t="shared" si="3"/>
        <v>17</v>
      </c>
      <c r="J6" s="180" t="e">
        <f t="shared" si="4"/>
        <v>#VALUE!</v>
      </c>
      <c r="K6" s="180">
        <f t="shared" si="5"/>
        <v>27</v>
      </c>
      <c r="L6" s="180" t="str">
        <f>IFERROR(VLOOKUP(MID(G6,J6,K6-J6),[6]skilldef!$C:$D,2,FALSE),"-") &amp; " / " &amp; IFERROR(VLOOKUP(MID(G6,H6,I6-H6),[6]skilldef!$A:$B,2,FALSE),"-")</f>
        <v>- / 大攻撃</v>
      </c>
      <c r="M6" s="180" t="str">
        <f t="shared" si="6"/>
        <v>none</v>
      </c>
      <c r="N6" s="99" t="str">
        <f t="shared" ref="N6:N13" si="16">IFERROR(LEFT(M6,FIND("],",M6)+S19),M6)</f>
        <v>none</v>
      </c>
      <c r="O6" s="180" t="e">
        <f t="shared" si="7"/>
        <v>#VALUE!</v>
      </c>
      <c r="P6" s="180">
        <f t="shared" si="8"/>
        <v>4</v>
      </c>
      <c r="Q6" s="180" t="e">
        <f t="shared" si="9"/>
        <v>#VALUE!</v>
      </c>
      <c r="R6" s="180" t="e">
        <f t="shared" si="10"/>
        <v>#VALUE!</v>
      </c>
      <c r="S6" s="180" t="str">
        <f>IFERROR(VLOOKUP(MID(N6,Q6,R6-Q6),[6]skilldef!$C:$D,2,FALSE),"-") &amp; " / " &amp; IFERROR(VLOOKUP(MID(N6,O6,P6-O6),[6]skilldef!$A:$B,2,FALSE),"-")</f>
        <v>- / -</v>
      </c>
      <c r="T6" s="99" t="str">
        <f t="shared" si="11"/>
        <v>none</v>
      </c>
      <c r="U6" s="180" t="e">
        <f t="shared" si="12"/>
        <v>#VALUE!</v>
      </c>
      <c r="V6" s="180">
        <f t="shared" si="13"/>
        <v>4</v>
      </c>
      <c r="W6" s="180" t="e">
        <f t="shared" si="14"/>
        <v>#VALUE!</v>
      </c>
      <c r="X6" s="180" t="e">
        <f t="shared" si="15"/>
        <v>#VALUE!</v>
      </c>
      <c r="Y6" s="180" t="str">
        <f>IFERROR(VLOOKUP(MID(T6,W6,X6-W6),[6]skilldef!$C:$D,2,FALSE),"-") &amp; " / " &amp; IFERROR(VLOOKUP(MID(T6,U6,V6-U6),[6]skilldef!$A:$B,2,FALSE),"-")</f>
        <v>- / -</v>
      </c>
      <c r="Z6" s="179" t="s">
        <v>256</v>
      </c>
      <c r="AA6" s="181">
        <v>42622</v>
      </c>
      <c r="AB6" s="141" t="s">
        <v>268</v>
      </c>
    </row>
    <row r="7" spans="1:28" ht="42" x14ac:dyDescent="0.15">
      <c r="A7" s="173">
        <v>40030305</v>
      </c>
      <c r="B7" s="134" t="s">
        <v>297</v>
      </c>
      <c r="C7" s="174">
        <v>3</v>
      </c>
      <c r="D7" s="174" t="s">
        <v>128</v>
      </c>
      <c r="E7" s="175" t="s">
        <v>316</v>
      </c>
      <c r="F7" s="175" t="s">
        <v>369</v>
      </c>
      <c r="G7" s="176" t="str">
        <f t="shared" si="1"/>
        <v xml:space="preserve">[effect:force_change_block, new_block:time_bomb, target:block_red, count:0, val:0.1, min_time_count:5, max_time_count:5, animation:change_block]    </v>
      </c>
      <c r="H7" s="176">
        <f t="shared" si="2"/>
        <v>9</v>
      </c>
      <c r="I7" s="176">
        <f t="shared" si="3"/>
        <v>27</v>
      </c>
      <c r="J7" s="176">
        <f t="shared" si="4"/>
        <v>57</v>
      </c>
      <c r="K7" s="176">
        <f t="shared" si="5"/>
        <v>48</v>
      </c>
      <c r="L7" s="176" t="str">
        <f>IFERROR(VLOOKUP(MID(G7,J7,K7-J7),[6]skilldef!$C:$D,2,FALSE),"-") &amp; " / " &amp; IFERROR(VLOOKUP(MID(G7,H7,I7-H7),[6]skilldef!$A:$B,2,FALSE),"-")</f>
        <v>- / -</v>
      </c>
      <c r="M7" s="176" t="str">
        <f t="shared" si="6"/>
        <v>none</v>
      </c>
      <c r="N7" s="136" t="str">
        <f t="shared" si="16"/>
        <v>none</v>
      </c>
      <c r="O7" s="176" t="e">
        <f t="shared" si="7"/>
        <v>#VALUE!</v>
      </c>
      <c r="P7" s="176">
        <f t="shared" si="8"/>
        <v>4</v>
      </c>
      <c r="Q7" s="176" t="e">
        <f t="shared" si="9"/>
        <v>#VALUE!</v>
      </c>
      <c r="R7" s="176" t="e">
        <f t="shared" si="10"/>
        <v>#VALUE!</v>
      </c>
      <c r="S7" s="176" t="str">
        <f>IFERROR(VLOOKUP(MID(N7,Q7,R7-Q7),[6]skilldef!$C:$D,2,FALSE),"-") &amp; " / " &amp; IFERROR(VLOOKUP(MID(N7,O7,P7-O7),[6]skilldef!$A:$B,2,FALSE),"-")</f>
        <v>- / -</v>
      </c>
      <c r="T7" s="136" t="str">
        <f t="shared" si="11"/>
        <v>none</v>
      </c>
      <c r="U7" s="176" t="e">
        <f t="shared" si="12"/>
        <v>#VALUE!</v>
      </c>
      <c r="V7" s="176">
        <f t="shared" si="13"/>
        <v>4</v>
      </c>
      <c r="W7" s="176" t="e">
        <f t="shared" si="14"/>
        <v>#VALUE!</v>
      </c>
      <c r="X7" s="176" t="e">
        <f t="shared" si="15"/>
        <v>#VALUE!</v>
      </c>
      <c r="Y7" s="176" t="str">
        <f>IFERROR(VLOOKUP(MID(T7,W7,X7-W7),[6]skilldef!$C:$D,2,FALSE),"-") &amp; " / " &amp; IFERROR(VLOOKUP(MID(T7,U7,V7-U7),[6]skilldef!$A:$B,2,FALSE),"-")</f>
        <v>- / -</v>
      </c>
      <c r="Z7" s="174" t="s">
        <v>256</v>
      </c>
      <c r="AA7" s="177">
        <v>42622</v>
      </c>
      <c r="AB7" s="137" t="s">
        <v>287</v>
      </c>
    </row>
    <row r="8" spans="1:28" ht="43" thickBot="1" x14ac:dyDescent="0.2">
      <c r="A8" s="178">
        <v>40030306</v>
      </c>
      <c r="B8" s="97" t="s">
        <v>385</v>
      </c>
      <c r="C8" s="179">
        <v>3</v>
      </c>
      <c r="D8" s="179" t="s">
        <v>128</v>
      </c>
      <c r="E8" s="128" t="s">
        <v>317</v>
      </c>
      <c r="F8" s="128" t="s">
        <v>296</v>
      </c>
      <c r="G8" s="180" t="str">
        <f t="shared" si="1"/>
        <v>[effect:kamikaze, val:1.3]</v>
      </c>
      <c r="H8" s="180">
        <f t="shared" si="2"/>
        <v>9</v>
      </c>
      <c r="I8" s="180">
        <f t="shared" si="3"/>
        <v>17</v>
      </c>
      <c r="J8" s="180" t="e">
        <f t="shared" si="4"/>
        <v>#VALUE!</v>
      </c>
      <c r="K8" s="180" t="e">
        <f t="shared" si="5"/>
        <v>#VALUE!</v>
      </c>
      <c r="L8" s="180" t="str">
        <f>IFERROR(VLOOKUP(MID(G8,J8,K8-J8),[6]skilldef!$C:$D,2,FALSE),"-") &amp; " / " &amp; IFERROR(VLOOKUP(MID(G8,H8,I8-H8),[6]skilldef!$A:$B,2,FALSE),"-")</f>
        <v>- / 自爆</v>
      </c>
      <c r="M8" s="180" t="str">
        <f t="shared" si="6"/>
        <v>[effect:virus, target:unit_all, turn:-1, rate:1, val:0.1, animation:enemy_virus]</v>
      </c>
      <c r="N8" s="99" t="str">
        <f t="shared" si="16"/>
        <v>[effect:virus, target:unit_all, turn:-1, rate:1, val:0.1, animation:enemy_virus]</v>
      </c>
      <c r="O8" s="180">
        <f t="shared" si="7"/>
        <v>9</v>
      </c>
      <c r="P8" s="180">
        <f t="shared" si="8"/>
        <v>14</v>
      </c>
      <c r="Q8" s="180">
        <f t="shared" si="9"/>
        <v>23</v>
      </c>
      <c r="R8" s="180">
        <f t="shared" si="10"/>
        <v>31</v>
      </c>
      <c r="S8" s="180" t="str">
        <f>IFERROR(VLOOKUP(MID(N8,Q8,R8-Q8),[6]skilldef!$C:$D,2,FALSE),"-") &amp; " / " &amp; IFERROR(VLOOKUP(MID(N8,O8,P8-O8),[6]skilldef!$A:$B,2,FALSE),"-")</f>
        <v>味方全体に / ウィルス</v>
      </c>
      <c r="T8" s="99" t="str">
        <f t="shared" si="11"/>
        <v>none</v>
      </c>
      <c r="U8" s="180" t="e">
        <f t="shared" si="12"/>
        <v>#VALUE!</v>
      </c>
      <c r="V8" s="180">
        <f t="shared" si="13"/>
        <v>4</v>
      </c>
      <c r="W8" s="180" t="e">
        <f t="shared" si="14"/>
        <v>#VALUE!</v>
      </c>
      <c r="X8" s="180" t="e">
        <f t="shared" si="15"/>
        <v>#VALUE!</v>
      </c>
      <c r="Y8" s="180" t="str">
        <f>IFERROR(VLOOKUP(MID(T8,W8,X8-W8),[6]skilldef!$C:$D,2,FALSE),"-") &amp; " / " &amp; IFERROR(VLOOKUP(MID(T8,U8,V8-U8),[6]skilldef!$A:$B,2,FALSE),"-")</f>
        <v>- / -</v>
      </c>
      <c r="Z8" s="179" t="s">
        <v>256</v>
      </c>
      <c r="AA8" s="181">
        <v>42622</v>
      </c>
      <c r="AB8" s="141" t="s">
        <v>270</v>
      </c>
    </row>
    <row r="9" spans="1:28" ht="28" x14ac:dyDescent="0.15">
      <c r="A9" s="173">
        <v>40030307</v>
      </c>
      <c r="B9" s="134" t="s">
        <v>340</v>
      </c>
      <c r="C9" s="174">
        <v>3</v>
      </c>
      <c r="D9" s="174" t="s">
        <v>128</v>
      </c>
      <c r="E9" s="175" t="s">
        <v>345</v>
      </c>
      <c r="F9" s="175" t="s">
        <v>298</v>
      </c>
      <c r="G9" s="176" t="str">
        <f t="shared" si="1"/>
        <v xml:space="preserve">[effect:spread, val:0.4]    </v>
      </c>
      <c r="H9" s="176">
        <f t="shared" si="2"/>
        <v>9</v>
      </c>
      <c r="I9" s="176">
        <f t="shared" si="3"/>
        <v>15</v>
      </c>
      <c r="J9" s="176" t="e">
        <f t="shared" si="4"/>
        <v>#VALUE!</v>
      </c>
      <c r="K9" s="176" t="e">
        <f t="shared" si="5"/>
        <v>#VALUE!</v>
      </c>
      <c r="L9" s="176" t="str">
        <f>IFERROR(VLOOKUP(MID(G9,J9,K9-J9),[6]skilldef!$C:$D,2,FALSE),"-") &amp; " / " &amp; IFERROR(VLOOKUP(MID(G9,H9,I9-H9),[6]skilldef!$A:$B,2,FALSE),"-")</f>
        <v>- / 全体攻撃</v>
      </c>
      <c r="M9" s="176" t="str">
        <f t="shared" si="6"/>
        <v>none</v>
      </c>
      <c r="N9" s="136" t="str">
        <f t="shared" si="16"/>
        <v>none</v>
      </c>
      <c r="O9" s="176" t="e">
        <f t="shared" si="7"/>
        <v>#VALUE!</v>
      </c>
      <c r="P9" s="176">
        <f t="shared" si="8"/>
        <v>4</v>
      </c>
      <c r="Q9" s="176" t="e">
        <f t="shared" si="9"/>
        <v>#VALUE!</v>
      </c>
      <c r="R9" s="176" t="e">
        <f t="shared" si="10"/>
        <v>#VALUE!</v>
      </c>
      <c r="S9" s="176" t="str">
        <f>IFERROR(VLOOKUP(MID(N9,Q9,R9-Q9),[6]skilldef!$C:$D,2,FALSE),"-") &amp; " / " &amp; IFERROR(VLOOKUP(MID(N9,O9,P9-O9),[6]skilldef!$A:$B,2,FALSE),"-")</f>
        <v>- / -</v>
      </c>
      <c r="T9" s="136" t="str">
        <f t="shared" si="11"/>
        <v>none</v>
      </c>
      <c r="U9" s="176" t="e">
        <f t="shared" si="12"/>
        <v>#VALUE!</v>
      </c>
      <c r="V9" s="176">
        <f t="shared" si="13"/>
        <v>4</v>
      </c>
      <c r="W9" s="176" t="e">
        <f t="shared" si="14"/>
        <v>#VALUE!</v>
      </c>
      <c r="X9" s="176" t="e">
        <f t="shared" si="15"/>
        <v>#VALUE!</v>
      </c>
      <c r="Y9" s="176" t="str">
        <f>IFERROR(VLOOKUP(MID(T9,W9,X9-W9),[6]skilldef!$C:$D,2,FALSE),"-") &amp; " / " &amp; IFERROR(VLOOKUP(MID(T9,U9,V9-U9),[6]skilldef!$A:$B,2,FALSE),"-")</f>
        <v>- / -</v>
      </c>
      <c r="Z9" s="174" t="s">
        <v>256</v>
      </c>
      <c r="AA9" s="177">
        <v>42622</v>
      </c>
      <c r="AB9" s="137" t="s">
        <v>271</v>
      </c>
    </row>
    <row r="10" spans="1:28" ht="71" thickBot="1" x14ac:dyDescent="0.2">
      <c r="A10" s="178">
        <v>40030308</v>
      </c>
      <c r="B10" s="97" t="s">
        <v>343</v>
      </c>
      <c r="C10" s="179">
        <v>3</v>
      </c>
      <c r="D10" s="179" t="s">
        <v>128</v>
      </c>
      <c r="E10" s="128" t="s">
        <v>320</v>
      </c>
      <c r="F10" s="128" t="s">
        <v>299</v>
      </c>
      <c r="G10" s="180" t="str">
        <f t="shared" si="1"/>
        <v>[effect:freq_turn, target:myself, turn:3, val:1, animation:enemy_freq_turn]</v>
      </c>
      <c r="H10" s="180">
        <f t="shared" si="2"/>
        <v>9</v>
      </c>
      <c r="I10" s="180">
        <f t="shared" si="3"/>
        <v>18</v>
      </c>
      <c r="J10" s="180">
        <f t="shared" si="4"/>
        <v>27</v>
      </c>
      <c r="K10" s="180">
        <f t="shared" si="5"/>
        <v>33</v>
      </c>
      <c r="L10" s="180" t="str">
        <f>IFERROR(VLOOKUP(MID(G10,J10,K10-J10),[6]skilldef!$C:$D,2,FALSE),"-") &amp; " / " &amp; IFERROR(VLOOKUP(MID(G10,H10,I10-H10),[6]skilldef!$A:$B,2,FALSE),"-")</f>
        <v>自分自身に / 攻撃頻度がUP</v>
      </c>
      <c r="M10" s="180" t="str">
        <f t="shared" si="6"/>
        <v xml:space="preserve">[effect:enhance_enemy, target:myself, turn:3, status:attack, val:0.4, calc:mul, animation:enemy_enhance_attack]    </v>
      </c>
      <c r="N10" s="99" t="str">
        <f t="shared" si="16"/>
        <v xml:space="preserve">[effect:enhance_enemy, target:myself, turn:3, status:attack, val:0.4, calc:mul, animation:enemy_enhance_attack]    </v>
      </c>
      <c r="O10" s="180">
        <f t="shared" si="7"/>
        <v>9</v>
      </c>
      <c r="P10" s="180">
        <f t="shared" si="8"/>
        <v>22</v>
      </c>
      <c r="Q10" s="180">
        <f t="shared" si="9"/>
        <v>31</v>
      </c>
      <c r="R10" s="180">
        <f t="shared" si="10"/>
        <v>37</v>
      </c>
      <c r="S10" s="180" t="str">
        <f>IFERROR(VLOOKUP(MID(N10,Q10,R10-Q10),[6]skilldef!$C:$D,2,FALSE),"-") &amp; " / " &amp; IFERROR(VLOOKUP(MID(N10,O10,P10-O10),[6]skilldef!$A:$B,2,FALSE),"-")</f>
        <v>自分自身に / ステータス強化</v>
      </c>
      <c r="T10" s="99" t="str">
        <f t="shared" si="11"/>
        <v>none</v>
      </c>
      <c r="U10" s="180" t="e">
        <f t="shared" si="12"/>
        <v>#VALUE!</v>
      </c>
      <c r="V10" s="180">
        <f t="shared" si="13"/>
        <v>4</v>
      </c>
      <c r="W10" s="180" t="e">
        <f t="shared" si="14"/>
        <v>#VALUE!</v>
      </c>
      <c r="X10" s="180" t="e">
        <f t="shared" si="15"/>
        <v>#VALUE!</v>
      </c>
      <c r="Y10" s="180" t="str">
        <f>IFERROR(VLOOKUP(MID(T10,W10,X10-W10),[6]skilldef!$C:$D,2,FALSE),"-") &amp; " / " &amp; IFERROR(VLOOKUP(MID(T10,U10,V10-U10),[6]skilldef!$A:$B,2,FALSE),"-")</f>
        <v>- / -</v>
      </c>
      <c r="Z10" s="179" t="s">
        <v>256</v>
      </c>
      <c r="AA10" s="181">
        <v>42622</v>
      </c>
      <c r="AB10" s="141" t="s">
        <v>272</v>
      </c>
    </row>
    <row r="11" spans="1:28" ht="28" x14ac:dyDescent="0.15">
      <c r="A11" s="173">
        <v>40030309</v>
      </c>
      <c r="B11" s="134" t="s">
        <v>339</v>
      </c>
      <c r="C11" s="174">
        <v>3</v>
      </c>
      <c r="D11" s="174" t="s">
        <v>128</v>
      </c>
      <c r="E11" s="175" t="s">
        <v>321</v>
      </c>
      <c r="F11" s="175" t="s">
        <v>298</v>
      </c>
      <c r="G11" s="176" t="str">
        <f t="shared" si="1"/>
        <v xml:space="preserve">[effect:spread, val:0.45]    </v>
      </c>
      <c r="H11" s="176">
        <f t="shared" si="2"/>
        <v>9</v>
      </c>
      <c r="I11" s="176">
        <f t="shared" si="3"/>
        <v>15</v>
      </c>
      <c r="J11" s="176" t="e">
        <f t="shared" si="4"/>
        <v>#VALUE!</v>
      </c>
      <c r="K11" s="176" t="e">
        <f t="shared" si="5"/>
        <v>#VALUE!</v>
      </c>
      <c r="L11" s="176" t="str">
        <f>IFERROR(VLOOKUP(MID(G11,J11,K11-J11),[6]skilldef!$C:$D,2,FALSE),"-") &amp; " / " &amp; IFERROR(VLOOKUP(MID(G11,H11,I11-H11),[6]skilldef!$A:$B,2,FALSE),"-")</f>
        <v>- / 全体攻撃</v>
      </c>
      <c r="M11" s="176" t="str">
        <f t="shared" si="6"/>
        <v>none</v>
      </c>
      <c r="N11" s="136" t="str">
        <f t="shared" si="16"/>
        <v>none</v>
      </c>
      <c r="O11" s="176" t="e">
        <f t="shared" si="7"/>
        <v>#VALUE!</v>
      </c>
      <c r="P11" s="176">
        <f t="shared" si="8"/>
        <v>4</v>
      </c>
      <c r="Q11" s="176" t="e">
        <f t="shared" si="9"/>
        <v>#VALUE!</v>
      </c>
      <c r="R11" s="176" t="e">
        <f t="shared" si="10"/>
        <v>#VALUE!</v>
      </c>
      <c r="S11" s="176" t="str">
        <f>IFERROR(VLOOKUP(MID(N11,Q11,R11-Q11),[6]skilldef!$C:$D,2,FALSE),"-") &amp; " / " &amp; IFERROR(VLOOKUP(MID(N11,O11,P11-O11),[6]skilldef!$A:$B,2,FALSE),"-")</f>
        <v>- / -</v>
      </c>
      <c r="T11" s="136" t="str">
        <f t="shared" si="11"/>
        <v>none</v>
      </c>
      <c r="U11" s="176" t="e">
        <f t="shared" si="12"/>
        <v>#VALUE!</v>
      </c>
      <c r="V11" s="176">
        <f t="shared" si="13"/>
        <v>4</v>
      </c>
      <c r="W11" s="176" t="e">
        <f t="shared" si="14"/>
        <v>#VALUE!</v>
      </c>
      <c r="X11" s="176" t="e">
        <f t="shared" si="15"/>
        <v>#VALUE!</v>
      </c>
      <c r="Y11" s="176" t="str">
        <f>IFERROR(VLOOKUP(MID(T11,W11,X11-W11),[6]skilldef!$C:$D,2,FALSE),"-") &amp; " / " &amp; IFERROR(VLOOKUP(MID(T11,U11,V11-U11),[6]skilldef!$A:$B,2,FALSE),"-")</f>
        <v>- / -</v>
      </c>
      <c r="Z11" s="174" t="s">
        <v>256</v>
      </c>
      <c r="AA11" s="177">
        <v>42622</v>
      </c>
      <c r="AB11" s="137" t="s">
        <v>273</v>
      </c>
    </row>
    <row r="12" spans="1:28" ht="70" x14ac:dyDescent="0.15">
      <c r="A12" s="182">
        <v>40030310</v>
      </c>
      <c r="B12" s="43" t="s">
        <v>384</v>
      </c>
      <c r="C12" s="46">
        <v>3</v>
      </c>
      <c r="D12" s="46" t="s">
        <v>128</v>
      </c>
      <c r="E12" s="47" t="s">
        <v>318</v>
      </c>
      <c r="F12" s="47" t="s">
        <v>371</v>
      </c>
      <c r="G12" s="58" t="str">
        <f t="shared" si="1"/>
        <v>[effect:fix_speed, target:myself, turn:1]</v>
      </c>
      <c r="H12" s="58">
        <f t="shared" si="2"/>
        <v>9</v>
      </c>
      <c r="I12" s="58">
        <f t="shared" si="3"/>
        <v>18</v>
      </c>
      <c r="J12" s="58">
        <f t="shared" si="4"/>
        <v>27</v>
      </c>
      <c r="K12" s="58">
        <f t="shared" si="5"/>
        <v>33</v>
      </c>
      <c r="L12" s="58" t="str">
        <f>IFERROR(VLOOKUP(MID(G12,J12,K12-J12),[6]skilldef!$C:$D,2,FALSE),"-") &amp; " / " &amp; IFERROR(VLOOKUP(MID(G12,H12,I12-H12),[6]skilldef!$A:$B,2,FALSE),"-")</f>
        <v>自分自身に / 行動値設定</v>
      </c>
      <c r="M12" s="58" t="str">
        <f t="shared" ref="M12:M13" si="17">IFERROR(RIGHT(B12,LEN(B12)-FIND("],",B12)-1),"none")</f>
        <v xml:space="preserve">[effect:enhance_enemy, target:myself, turn:-1, status:attack, val:0.4, calc:mul, animation:enemy_enhance_attack]  </v>
      </c>
      <c r="N12" s="44" t="str">
        <f t="shared" si="16"/>
        <v xml:space="preserve">[effect:enhance_enemy, target:myself, turn:-1, status:attack, val:0.4, calc:mul, animation:enemy_enhance_attack]  </v>
      </c>
      <c r="O12" s="58">
        <f t="shared" ref="O12:O13" si="18">FIND("effect:",N12)+7</f>
        <v>9</v>
      </c>
      <c r="P12" s="58">
        <f t="shared" ref="P12:P13" si="19">IFERROR(FIND(",",N12),LEN(N12))</f>
        <v>22</v>
      </c>
      <c r="Q12" s="58">
        <f t="shared" ref="Q12:Q13" si="20">FIND("target:",N12)+7</f>
        <v>31</v>
      </c>
      <c r="R12" s="58">
        <f t="shared" ref="R12:R13" si="21">FIND(",",N12,P12+1)</f>
        <v>37</v>
      </c>
      <c r="S12" s="58" t="str">
        <f>IFERROR(VLOOKUP(MID(N12,Q12,R12-Q12),[6]skilldef!$C:$D,2,FALSE),"-") &amp; " / " &amp; IFERROR(VLOOKUP(MID(N12,O12,P12-O12),[6]skilldef!$A:$B,2,FALSE),"-")</f>
        <v>自分自身に / ステータス強化</v>
      </c>
      <c r="T12" s="44" t="str">
        <f t="shared" ref="T12:T13" si="22">IFERROR(RIGHT(M12,LEN(M12)-FIND("],",M12)-1),"none")</f>
        <v>none</v>
      </c>
      <c r="U12" s="58" t="e">
        <f t="shared" ref="U12:U13" si="23">FIND("effect:",T12)+7</f>
        <v>#VALUE!</v>
      </c>
      <c r="V12" s="58">
        <f t="shared" ref="V12:V13" si="24">IFERROR(FIND(",",T12),LEN(T12))</f>
        <v>4</v>
      </c>
      <c r="W12" s="58" t="e">
        <f t="shared" ref="W12:W13" si="25">FIND("target:",T12)+7</f>
        <v>#VALUE!</v>
      </c>
      <c r="X12" s="58" t="e">
        <f t="shared" ref="X12:X13" si="26">FIND(",",T12,V12+1)</f>
        <v>#VALUE!</v>
      </c>
      <c r="Y12" s="58" t="str">
        <f>IFERROR(VLOOKUP(MID(T12,W12,X12-W12),[6]skilldef!$C:$D,2,FALSE),"-") &amp; " / " &amp; IFERROR(VLOOKUP(MID(T12,U12,V12-U12),[6]skilldef!$A:$B,2,FALSE),"-")</f>
        <v>- / -</v>
      </c>
      <c r="Z12" s="46" t="s">
        <v>256</v>
      </c>
      <c r="AA12" s="48">
        <v>42622</v>
      </c>
      <c r="AB12" s="139" t="s">
        <v>274</v>
      </c>
    </row>
    <row r="13" spans="1:28" ht="19" customHeight="1" x14ac:dyDescent="0.15">
      <c r="A13" s="182">
        <v>40030311</v>
      </c>
      <c r="B13" s="43" t="s">
        <v>341</v>
      </c>
      <c r="C13" s="46">
        <v>3</v>
      </c>
      <c r="D13" s="46" t="s">
        <v>128</v>
      </c>
      <c r="E13" s="47" t="s">
        <v>319</v>
      </c>
      <c r="F13" s="47" t="s">
        <v>370</v>
      </c>
      <c r="G13" s="58" t="str">
        <f t="shared" si="1"/>
        <v xml:space="preserve">[effect:rush, count:2, val:0.8] </v>
      </c>
      <c r="H13" s="58">
        <f t="shared" si="2"/>
        <v>9</v>
      </c>
      <c r="I13" s="58">
        <f t="shared" si="3"/>
        <v>13</v>
      </c>
      <c r="J13" s="58" t="e">
        <f t="shared" si="4"/>
        <v>#VALUE!</v>
      </c>
      <c r="K13" s="58">
        <f t="shared" si="5"/>
        <v>22</v>
      </c>
      <c r="L13" s="58" t="str">
        <f>IFERROR(VLOOKUP(MID(G13,J13,K13-J13),[6]skilldef!$C:$D,2,FALSE),"-") &amp; " / " &amp; IFERROR(VLOOKUP(MID(G13,H13,I13-H13),[6]skilldef!$A:$B,2,FALSE),"-")</f>
        <v>- / 連続攻撃</v>
      </c>
      <c r="M13" s="58" t="str">
        <f t="shared" si="17"/>
        <v>none</v>
      </c>
      <c r="N13" s="44" t="str">
        <f t="shared" si="16"/>
        <v>none</v>
      </c>
      <c r="O13" s="58" t="e">
        <f t="shared" si="18"/>
        <v>#VALUE!</v>
      </c>
      <c r="P13" s="58">
        <f t="shared" si="19"/>
        <v>4</v>
      </c>
      <c r="Q13" s="58" t="e">
        <f t="shared" si="20"/>
        <v>#VALUE!</v>
      </c>
      <c r="R13" s="58" t="e">
        <f t="shared" si="21"/>
        <v>#VALUE!</v>
      </c>
      <c r="S13" s="58" t="str">
        <f>IFERROR(VLOOKUP(MID(N13,Q13,R13-Q13),[6]skilldef!$C:$D,2,FALSE),"-") &amp; " / " &amp; IFERROR(VLOOKUP(MID(N13,O13,P13-O13),[6]skilldef!$A:$B,2,FALSE),"-")</f>
        <v>- / -</v>
      </c>
      <c r="T13" s="44" t="str">
        <f t="shared" si="22"/>
        <v>none</v>
      </c>
      <c r="U13" s="58" t="e">
        <f t="shared" si="23"/>
        <v>#VALUE!</v>
      </c>
      <c r="V13" s="58">
        <f t="shared" si="24"/>
        <v>4</v>
      </c>
      <c r="W13" s="58" t="e">
        <f t="shared" si="25"/>
        <v>#VALUE!</v>
      </c>
      <c r="X13" s="58" t="e">
        <f t="shared" si="26"/>
        <v>#VALUE!</v>
      </c>
      <c r="Y13" s="58" t="str">
        <f>IFERROR(VLOOKUP(MID(T13,W13,X13-W13),[6]skilldef!$C:$D,2,FALSE),"-") &amp; " / " &amp; IFERROR(VLOOKUP(MID(T13,U13,V13-U13),[6]skilldef!$A:$B,2,FALSE),"-")</f>
        <v>- / -</v>
      </c>
      <c r="Z13" s="46" t="s">
        <v>256</v>
      </c>
      <c r="AA13" s="48">
        <v>42622</v>
      </c>
      <c r="AB13" s="139" t="s">
        <v>275</v>
      </c>
    </row>
    <row r="14" spans="1:28" ht="29" thickBot="1" x14ac:dyDescent="0.2">
      <c r="A14" s="178">
        <v>40030312</v>
      </c>
      <c r="B14" s="97" t="s">
        <v>344</v>
      </c>
      <c r="C14" s="179">
        <v>3</v>
      </c>
      <c r="D14" s="179" t="s">
        <v>128</v>
      </c>
      <c r="E14" s="128" t="s">
        <v>346</v>
      </c>
      <c r="F14" s="128" t="s">
        <v>347</v>
      </c>
      <c r="G14" s="180" t="str">
        <f t="shared" si="1"/>
        <v>[effect:enemy_message, val1:4, val2:4]</v>
      </c>
      <c r="H14" s="180">
        <f t="shared" si="2"/>
        <v>9</v>
      </c>
      <c r="I14" s="180">
        <f t="shared" si="3"/>
        <v>22</v>
      </c>
      <c r="J14" s="180" t="e">
        <f t="shared" si="4"/>
        <v>#VALUE!</v>
      </c>
      <c r="K14" s="180">
        <f t="shared" si="5"/>
        <v>30</v>
      </c>
      <c r="L14" s="180" t="str">
        <f>IFERROR(VLOOKUP(MID(G14,J14,K14-J14),[6]skilldef!$C:$D,2,FALSE),"-") &amp; " / " &amp; IFERROR(VLOOKUP(MID(G14,H14,I14-H14),[6]skilldef!$A:$B,2,FALSE),"-")</f>
        <v>- / -</v>
      </c>
      <c r="M14" s="180" t="str">
        <f t="shared" si="6"/>
        <v>none</v>
      </c>
      <c r="N14" s="99" t="str">
        <f>IFERROR(LEFT(M14,FIND("],",M14)+S25),M14)</f>
        <v>none</v>
      </c>
      <c r="O14" s="180" t="e">
        <f t="shared" si="7"/>
        <v>#VALUE!</v>
      </c>
      <c r="P14" s="180">
        <f t="shared" si="8"/>
        <v>4</v>
      </c>
      <c r="Q14" s="180" t="e">
        <f t="shared" si="9"/>
        <v>#VALUE!</v>
      </c>
      <c r="R14" s="180" t="e">
        <f t="shared" si="10"/>
        <v>#VALUE!</v>
      </c>
      <c r="S14" s="180" t="str">
        <f>IFERROR(VLOOKUP(MID(N14,Q14,R14-Q14),[6]skilldef!$C:$D,2,FALSE),"-") &amp; " / " &amp; IFERROR(VLOOKUP(MID(N14,O14,P14-O14),[6]skilldef!$A:$B,2,FALSE),"-")</f>
        <v>- / -</v>
      </c>
      <c r="T14" s="99" t="str">
        <f t="shared" si="11"/>
        <v>none</v>
      </c>
      <c r="U14" s="180" t="e">
        <f t="shared" si="12"/>
        <v>#VALUE!</v>
      </c>
      <c r="V14" s="180">
        <f t="shared" si="13"/>
        <v>4</v>
      </c>
      <c r="W14" s="180" t="e">
        <f t="shared" si="14"/>
        <v>#VALUE!</v>
      </c>
      <c r="X14" s="180" t="e">
        <f t="shared" si="15"/>
        <v>#VALUE!</v>
      </c>
      <c r="Y14" s="180" t="str">
        <f>IFERROR(VLOOKUP(MID(T14,W14,X14-W14),[6]skilldef!$C:$D,2,FALSE),"-") &amp; " / " &amp; IFERROR(VLOOKUP(MID(T14,U14,V14-U14),[6]skilldef!$A:$B,2,FALSE),"-")</f>
        <v>- / -</v>
      </c>
      <c r="Z14" s="179" t="s">
        <v>256</v>
      </c>
      <c r="AA14" s="181">
        <v>42622</v>
      </c>
      <c r="AB14" s="141" t="s">
        <v>276</v>
      </c>
    </row>
    <row r="15" spans="1:28" ht="28" x14ac:dyDescent="0.15">
      <c r="A15" s="173">
        <v>40030313</v>
      </c>
      <c r="B15" s="134" t="s">
        <v>300</v>
      </c>
      <c r="C15" s="174">
        <v>3</v>
      </c>
      <c r="D15" s="174" t="s">
        <v>128</v>
      </c>
      <c r="E15" s="175" t="s">
        <v>310</v>
      </c>
      <c r="F15" s="175" t="s">
        <v>304</v>
      </c>
      <c r="G15" s="176" t="str">
        <f t="shared" si="1"/>
        <v xml:space="preserve">[effect:tolerance, target:myself, turn:-1, count:-1, tolerance_effect:all, animation:enemy_tolerance]    </v>
      </c>
      <c r="H15" s="176">
        <f t="shared" si="2"/>
        <v>9</v>
      </c>
      <c r="I15" s="176">
        <f t="shared" si="3"/>
        <v>18</v>
      </c>
      <c r="J15" s="176">
        <f t="shared" si="4"/>
        <v>27</v>
      </c>
      <c r="K15" s="176">
        <f t="shared" si="5"/>
        <v>33</v>
      </c>
      <c r="L15" s="176" t="str">
        <f>IFERROR(VLOOKUP(MID(G15,J15,K15-J15),[6]skilldef!$C:$D,2,FALSE),"-") &amp; " / " &amp; IFERROR(VLOOKUP(MID(G15,H15,I15-H15),[6]skilldef!$A:$B,2,FALSE),"-")</f>
        <v>自分自身に / 状態異常耐性</v>
      </c>
      <c r="M15" s="176" t="str">
        <f t="shared" si="6"/>
        <v>none</v>
      </c>
      <c r="N15" s="136" t="str">
        <f>IFERROR(LEFT(M15,FIND("],",M15)+S26),M15)</f>
        <v>none</v>
      </c>
      <c r="O15" s="176" t="e">
        <f t="shared" si="7"/>
        <v>#VALUE!</v>
      </c>
      <c r="P15" s="176">
        <f t="shared" si="8"/>
        <v>4</v>
      </c>
      <c r="Q15" s="176" t="e">
        <f t="shared" si="9"/>
        <v>#VALUE!</v>
      </c>
      <c r="R15" s="176" t="e">
        <f t="shared" si="10"/>
        <v>#VALUE!</v>
      </c>
      <c r="S15" s="176" t="str">
        <f>IFERROR(VLOOKUP(MID(N15,Q15,R15-Q15),[6]skilldef!$C:$D,2,FALSE),"-") &amp; " / " &amp; IFERROR(VLOOKUP(MID(N15,O15,P15-O15),[6]skilldef!$A:$B,2,FALSE),"-")</f>
        <v>- / -</v>
      </c>
      <c r="T15" s="136" t="str">
        <f t="shared" si="11"/>
        <v>none</v>
      </c>
      <c r="U15" s="176" t="e">
        <f t="shared" si="12"/>
        <v>#VALUE!</v>
      </c>
      <c r="V15" s="176">
        <f t="shared" si="13"/>
        <v>4</v>
      </c>
      <c r="W15" s="176" t="e">
        <f t="shared" si="14"/>
        <v>#VALUE!</v>
      </c>
      <c r="X15" s="176" t="e">
        <f t="shared" si="15"/>
        <v>#VALUE!</v>
      </c>
      <c r="Y15" s="176" t="str">
        <f>IFERROR(VLOOKUP(MID(T15,W15,X15-W15),[6]skilldef!$C:$D,2,FALSE),"-") &amp; " / " &amp; IFERROR(VLOOKUP(MID(T15,U15,V15-U15),[6]skilldef!$A:$B,2,FALSE),"-")</f>
        <v>- / -</v>
      </c>
      <c r="Z15" s="174" t="s">
        <v>256</v>
      </c>
      <c r="AA15" s="177">
        <v>42622</v>
      </c>
      <c r="AB15" s="137" t="s">
        <v>277</v>
      </c>
    </row>
    <row r="16" spans="1:28" ht="56" x14ac:dyDescent="0.15">
      <c r="A16" s="182">
        <v>40030314</v>
      </c>
      <c r="B16" s="43" t="s">
        <v>301</v>
      </c>
      <c r="C16" s="46">
        <v>3</v>
      </c>
      <c r="D16" s="46" t="s">
        <v>128</v>
      </c>
      <c r="E16" s="47" t="s">
        <v>367</v>
      </c>
      <c r="F16" s="47" t="s">
        <v>404</v>
      </c>
      <c r="G16" s="58" t="str">
        <f t="shared" si="1"/>
        <v xml:space="preserve">[effect:drop_block, block_type:time_bomb, block_color:block_red, color:block_blue, val:0.1, rate:0.7, turn:-1, min_time_count:3, max_time_count:5, animation:time_bomb_influence04]    </v>
      </c>
      <c r="H16" s="58">
        <f t="shared" si="2"/>
        <v>9</v>
      </c>
      <c r="I16" s="58">
        <f t="shared" si="3"/>
        <v>19</v>
      </c>
      <c r="J16" s="58" t="e">
        <f t="shared" si="4"/>
        <v>#VALUE!</v>
      </c>
      <c r="K16" s="58">
        <f t="shared" si="5"/>
        <v>41</v>
      </c>
      <c r="L16" s="58" t="str">
        <f>IFERROR(VLOOKUP(MID(G16,J16,K16-J16),[6]skilldef!$C:$D,2,FALSE),"-") &amp; " / " &amp; IFERROR(VLOOKUP(MID(G16,H16,I16-H16),[6]skilldef!$A:$B,2,FALSE),"-")</f>
        <v>- / 特定ブロックの割合ドロップ</v>
      </c>
      <c r="M16" s="58" t="str">
        <f t="shared" si="6"/>
        <v>none</v>
      </c>
      <c r="N16" s="44" t="str">
        <f>IFERROR(LEFT(M16,FIND("],",M16)+S27),M16)</f>
        <v>none</v>
      </c>
      <c r="O16" s="58" t="e">
        <f t="shared" si="7"/>
        <v>#VALUE!</v>
      </c>
      <c r="P16" s="58">
        <f t="shared" si="8"/>
        <v>4</v>
      </c>
      <c r="Q16" s="58" t="e">
        <f t="shared" si="9"/>
        <v>#VALUE!</v>
      </c>
      <c r="R16" s="58" t="e">
        <f t="shared" si="10"/>
        <v>#VALUE!</v>
      </c>
      <c r="S16" s="58" t="str">
        <f>IFERROR(VLOOKUP(MID(N16,Q16,R16-Q16),[6]skilldef!$C:$D,2,FALSE),"-") &amp; " / " &amp; IFERROR(VLOOKUP(MID(N16,O16,P16-O16),[6]skilldef!$A:$B,2,FALSE),"-")</f>
        <v>- / -</v>
      </c>
      <c r="T16" s="44" t="str">
        <f t="shared" si="11"/>
        <v>none</v>
      </c>
      <c r="U16" s="58" t="e">
        <f t="shared" si="12"/>
        <v>#VALUE!</v>
      </c>
      <c r="V16" s="58">
        <f t="shared" si="13"/>
        <v>4</v>
      </c>
      <c r="W16" s="58" t="e">
        <f t="shared" si="14"/>
        <v>#VALUE!</v>
      </c>
      <c r="X16" s="58" t="e">
        <f t="shared" si="15"/>
        <v>#VALUE!</v>
      </c>
      <c r="Y16" s="58" t="str">
        <f>IFERROR(VLOOKUP(MID(T16,W16,X16-W16),[6]skilldef!$C:$D,2,FALSE),"-") &amp; " / " &amp; IFERROR(VLOOKUP(MID(T16,U16,V16-U16),[6]skilldef!$A:$B,2,FALSE),"-")</f>
        <v>- / -</v>
      </c>
      <c r="Z16" s="46" t="s">
        <v>256</v>
      </c>
      <c r="AA16" s="48">
        <v>42622</v>
      </c>
      <c r="AB16" s="139" t="s">
        <v>278</v>
      </c>
    </row>
    <row r="17" spans="1:28" ht="43" thickBot="1" x14ac:dyDescent="0.2">
      <c r="A17" s="178">
        <v>40030315</v>
      </c>
      <c r="B17" s="97" t="s">
        <v>398</v>
      </c>
      <c r="C17" s="179">
        <v>3</v>
      </c>
      <c r="D17" s="179" t="s">
        <v>128</v>
      </c>
      <c r="E17" s="128" t="s">
        <v>348</v>
      </c>
      <c r="F17" s="128" t="s">
        <v>312</v>
      </c>
      <c r="G17" s="180" t="str">
        <f t="shared" si="1"/>
        <v xml:space="preserve">[effect:damage_abnormal, target:unit_one, val:1.1, status:virus, turn:1, rate:1, val_abnormal:0.45, animation:enemy_virus]    </v>
      </c>
      <c r="H17" s="180">
        <f t="shared" si="2"/>
        <v>9</v>
      </c>
      <c r="I17" s="180">
        <f t="shared" si="3"/>
        <v>24</v>
      </c>
      <c r="J17" s="180">
        <f t="shared" si="4"/>
        <v>33</v>
      </c>
      <c r="K17" s="180">
        <f t="shared" si="5"/>
        <v>41</v>
      </c>
      <c r="L17" s="180" t="str">
        <f>IFERROR(VLOOKUP(MID(G17,J17,K17-J17),[6]skilldef!$C:$D,2,FALSE),"-") &amp; " / " &amp; IFERROR(VLOOKUP(MID(G17,H17,I17-H17),[6]skilldef!$A:$B,2,FALSE),"-")</f>
        <v>味方単体に / -</v>
      </c>
      <c r="M17" s="180" t="str">
        <f t="shared" si="6"/>
        <v>none</v>
      </c>
      <c r="N17" s="99" t="str">
        <f>IFERROR(LEFT(M17,FIND("],",M17)+S28),M17)</f>
        <v>none</v>
      </c>
      <c r="O17" s="180" t="e">
        <f t="shared" si="7"/>
        <v>#VALUE!</v>
      </c>
      <c r="P17" s="180">
        <f t="shared" si="8"/>
        <v>4</v>
      </c>
      <c r="Q17" s="180" t="e">
        <f t="shared" si="9"/>
        <v>#VALUE!</v>
      </c>
      <c r="R17" s="180" t="e">
        <f t="shared" si="10"/>
        <v>#VALUE!</v>
      </c>
      <c r="S17" s="180" t="str">
        <f>IFERROR(VLOOKUP(MID(N17,Q17,R17-Q17),[6]skilldef!$C:$D,2,FALSE),"-") &amp; " / " &amp; IFERROR(VLOOKUP(MID(N17,O17,P17-O17),[6]skilldef!$A:$B,2,FALSE),"-")</f>
        <v>- / -</v>
      </c>
      <c r="T17" s="99" t="str">
        <f t="shared" si="11"/>
        <v>none</v>
      </c>
      <c r="U17" s="180" t="e">
        <f t="shared" si="12"/>
        <v>#VALUE!</v>
      </c>
      <c r="V17" s="180">
        <f t="shared" si="13"/>
        <v>4</v>
      </c>
      <c r="W17" s="180" t="e">
        <f t="shared" si="14"/>
        <v>#VALUE!</v>
      </c>
      <c r="X17" s="180" t="e">
        <f t="shared" si="15"/>
        <v>#VALUE!</v>
      </c>
      <c r="Y17" s="180" t="str">
        <f>IFERROR(VLOOKUP(MID(T17,W17,X17-W17),[6]skilldef!$C:$D,2,FALSE),"-") &amp; " / " &amp; IFERROR(VLOOKUP(MID(T17,U17,V17-U17),[6]skilldef!$A:$B,2,FALSE),"-")</f>
        <v>- / -</v>
      </c>
      <c r="Z17" s="179" t="s">
        <v>256</v>
      </c>
      <c r="AA17" s="181">
        <v>42622</v>
      </c>
      <c r="AB17" s="141" t="s">
        <v>279</v>
      </c>
    </row>
    <row r="18" spans="1:28" ht="70" x14ac:dyDescent="0.15">
      <c r="A18" s="173">
        <v>40030316</v>
      </c>
      <c r="B18" s="134" t="s">
        <v>333</v>
      </c>
      <c r="C18" s="174">
        <v>3</v>
      </c>
      <c r="D18" s="174" t="s">
        <v>128</v>
      </c>
      <c r="E18" s="175" t="s">
        <v>368</v>
      </c>
      <c r="F18" s="175" t="s">
        <v>305</v>
      </c>
      <c r="G18" s="176" t="str">
        <f t="shared" ref="G18" si="27">IFERROR(LEFT(B18,FIND("],",B18)),B18)</f>
        <v>[effect:tolerance, target:myself, turn:-1, count:-1, tolerance_effect:all, animation:enemy_tolerance]</v>
      </c>
      <c r="H18" s="176">
        <f t="shared" ref="H18" si="28">FIND("effect:",G18)+7</f>
        <v>9</v>
      </c>
      <c r="I18" s="176">
        <f t="shared" ref="I18" si="29">IFERROR(FIND(",",G18),LEN(G18))</f>
        <v>18</v>
      </c>
      <c r="J18" s="176">
        <f t="shared" ref="J18" si="30">FIND("target:",G18)+7</f>
        <v>27</v>
      </c>
      <c r="K18" s="176">
        <f t="shared" ref="K18" si="31">FIND(",",G18,I18+1)</f>
        <v>33</v>
      </c>
      <c r="L18" s="176" t="str">
        <f>IFERROR(VLOOKUP(MID(G18,J18,K18-J18),[6]skilldef!$C:$D,2,FALSE),"-") &amp; " / " &amp; IFERROR(VLOOKUP(MID(G18,H18,I18-H18),[6]skilldef!$A:$B,2,FALSE),"-")</f>
        <v>自分自身に / 状態異常耐性</v>
      </c>
      <c r="M18" s="176" t="str">
        <f t="shared" ref="M18" si="32">IFERROR(RIGHT(B18,LEN(B18)-FIND("],",B18)-1),"none")</f>
        <v xml:space="preserve">[effect:enhance_enemy, target:myself, turn:3, status:attack, val:0.1, calc:mul, animation:enemy_enhance_attack]    </v>
      </c>
      <c r="N18" s="136" t="str">
        <f>IFERROR(LEFT(M18,FIND("],",M18)+S29),M18)</f>
        <v xml:space="preserve">[effect:enhance_enemy, target:myself, turn:3, status:attack, val:0.1, calc:mul, animation:enemy_enhance_attack]    </v>
      </c>
      <c r="O18" s="176">
        <f t="shared" ref="O18" si="33">FIND("effect:",N18)+7</f>
        <v>9</v>
      </c>
      <c r="P18" s="176">
        <f t="shared" ref="P18" si="34">IFERROR(FIND(",",N18),LEN(N18))</f>
        <v>22</v>
      </c>
      <c r="Q18" s="176">
        <f t="shared" ref="Q18" si="35">FIND("target:",N18)+7</f>
        <v>31</v>
      </c>
      <c r="R18" s="176">
        <f t="shared" ref="R18" si="36">FIND(",",N18,P18+1)</f>
        <v>37</v>
      </c>
      <c r="S18" s="176" t="str">
        <f>IFERROR(VLOOKUP(MID(N18,Q18,R18-Q18),[6]skilldef!$C:$D,2,FALSE),"-") &amp; " / " &amp; IFERROR(VLOOKUP(MID(N18,O18,P18-O18),[6]skilldef!$A:$B,2,FALSE),"-")</f>
        <v>自分自身に / ステータス強化</v>
      </c>
      <c r="T18" s="136" t="str">
        <f t="shared" ref="T18" si="37">IFERROR(RIGHT(M18,LEN(M18)-FIND("],",M18)-1),"none")</f>
        <v>none</v>
      </c>
      <c r="U18" s="176" t="e">
        <f t="shared" ref="U18" si="38">FIND("effect:",T18)+7</f>
        <v>#VALUE!</v>
      </c>
      <c r="V18" s="176">
        <f t="shared" ref="V18" si="39">IFERROR(FIND(",",T18),LEN(T18))</f>
        <v>4</v>
      </c>
      <c r="W18" s="176" t="e">
        <f t="shared" ref="W18" si="40">FIND("target:",T18)+7</f>
        <v>#VALUE!</v>
      </c>
      <c r="X18" s="176" t="e">
        <f t="shared" ref="X18" si="41">FIND(",",T18,V18+1)</f>
        <v>#VALUE!</v>
      </c>
      <c r="Y18" s="176" t="str">
        <f>IFERROR(VLOOKUP(MID(T18,W18,X18-W18),[6]skilldef!$C:$D,2,FALSE),"-") &amp; " / " &amp; IFERROR(VLOOKUP(MID(T18,U18,V18-U18),[6]skilldef!$A:$B,2,FALSE),"-")</f>
        <v>- / -</v>
      </c>
      <c r="Z18" s="174" t="s">
        <v>256</v>
      </c>
      <c r="AA18" s="177">
        <v>42622</v>
      </c>
      <c r="AB18" s="183" t="s">
        <v>280</v>
      </c>
    </row>
    <row r="19" spans="1:28" ht="56" x14ac:dyDescent="0.15">
      <c r="A19" s="182">
        <v>40030317</v>
      </c>
      <c r="B19" s="43" t="s">
        <v>302</v>
      </c>
      <c r="C19" s="46">
        <v>3</v>
      </c>
      <c r="D19" s="46" t="s">
        <v>128</v>
      </c>
      <c r="E19" s="47" t="s">
        <v>349</v>
      </c>
      <c r="F19" s="47" t="s">
        <v>404</v>
      </c>
      <c r="G19" s="58" t="str">
        <f t="shared" si="1"/>
        <v xml:space="preserve">[effect:drop_block, block_type:time_bomb, block_color:block_red, color:block_blue, val:0.1, rate:0.7, turn:-1, min_time_count:3, max_time_count:5, animation:time_bomb_influence04]    </v>
      </c>
      <c r="H19" s="58">
        <f t="shared" si="2"/>
        <v>9</v>
      </c>
      <c r="I19" s="58">
        <f t="shared" si="3"/>
        <v>19</v>
      </c>
      <c r="J19" s="58" t="e">
        <f t="shared" si="4"/>
        <v>#VALUE!</v>
      </c>
      <c r="K19" s="58">
        <f t="shared" si="5"/>
        <v>41</v>
      </c>
      <c r="L19" s="58" t="str">
        <f>IFERROR(VLOOKUP(MID(G19,J19,K19-J19),[6]skilldef!$C:$D,2,FALSE),"-") &amp; " / " &amp; IFERROR(VLOOKUP(MID(G19,H19,I19-H19),[6]skilldef!$A:$B,2,FALSE),"-")</f>
        <v>- / 特定ブロックの割合ドロップ</v>
      </c>
      <c r="M19" s="58" t="str">
        <f t="shared" si="6"/>
        <v>none</v>
      </c>
      <c r="N19" s="44" t="str">
        <f t="shared" ref="N19" si="42">IFERROR(LEFT(M19,FIND("],",M19)+S29),M19)</f>
        <v>none</v>
      </c>
      <c r="O19" s="58" t="e">
        <f t="shared" si="7"/>
        <v>#VALUE!</v>
      </c>
      <c r="P19" s="58">
        <f t="shared" si="8"/>
        <v>4</v>
      </c>
      <c r="Q19" s="58" t="e">
        <f t="shared" si="9"/>
        <v>#VALUE!</v>
      </c>
      <c r="R19" s="58" t="e">
        <f t="shared" si="10"/>
        <v>#VALUE!</v>
      </c>
      <c r="S19" s="58" t="str">
        <f>IFERROR(VLOOKUP(MID(N19,Q19,R19-Q19),[6]skilldef!$C:$D,2,FALSE),"-") &amp; " / " &amp; IFERROR(VLOOKUP(MID(N19,O19,P19-O19),[6]skilldef!$A:$B,2,FALSE),"-")</f>
        <v>- / -</v>
      </c>
      <c r="T19" s="44" t="str">
        <f t="shared" si="11"/>
        <v>none</v>
      </c>
      <c r="U19" s="58" t="e">
        <f t="shared" si="12"/>
        <v>#VALUE!</v>
      </c>
      <c r="V19" s="58">
        <f t="shared" si="13"/>
        <v>4</v>
      </c>
      <c r="W19" s="58" t="e">
        <f t="shared" si="14"/>
        <v>#VALUE!</v>
      </c>
      <c r="X19" s="58" t="e">
        <f t="shared" si="15"/>
        <v>#VALUE!</v>
      </c>
      <c r="Y19" s="58" t="str">
        <f>IFERROR(VLOOKUP(MID(T19,W19,X19-W19),[6]skilldef!$C:$D,2,FALSE),"-") &amp; " / " &amp; IFERROR(VLOOKUP(MID(T19,U19,V19-U19),[6]skilldef!$A:$B,2,FALSE),"-")</f>
        <v>- / -</v>
      </c>
      <c r="Z19" s="46" t="s">
        <v>256</v>
      </c>
      <c r="AA19" s="48">
        <v>42622</v>
      </c>
      <c r="AB19" s="139" t="s">
        <v>278</v>
      </c>
    </row>
    <row r="20" spans="1:28" ht="43" thickBot="1" x14ac:dyDescent="0.2">
      <c r="A20" s="178">
        <v>40030318</v>
      </c>
      <c r="B20" s="97" t="s">
        <v>397</v>
      </c>
      <c r="C20" s="179">
        <v>3</v>
      </c>
      <c r="D20" s="179" t="s">
        <v>128</v>
      </c>
      <c r="E20" s="128" t="s">
        <v>350</v>
      </c>
      <c r="F20" s="128" t="s">
        <v>306</v>
      </c>
      <c r="G20" s="180" t="str">
        <f t="shared" si="1"/>
        <v xml:space="preserve">[effect:damage_abnormal, target:unit_one, val:1.2, status:virus, turn:1, rate:1, val_abnormal:0.5, animation:enemy_virus]    </v>
      </c>
      <c r="H20" s="180">
        <f t="shared" si="2"/>
        <v>9</v>
      </c>
      <c r="I20" s="180">
        <f t="shared" si="3"/>
        <v>24</v>
      </c>
      <c r="J20" s="180">
        <f t="shared" si="4"/>
        <v>33</v>
      </c>
      <c r="K20" s="180">
        <f t="shared" si="5"/>
        <v>41</v>
      </c>
      <c r="L20" s="180" t="str">
        <f>IFERROR(VLOOKUP(MID(G20,J20,K20-J20),[6]skilldef!$C:$D,2,FALSE),"-") &amp; " / " &amp; IFERROR(VLOOKUP(MID(G20,H20,I20-H20),[6]skilldef!$A:$B,2,FALSE),"-")</f>
        <v>味方単体に / -</v>
      </c>
      <c r="M20" s="180" t="str">
        <f t="shared" si="6"/>
        <v>none</v>
      </c>
      <c r="N20" s="99" t="str">
        <f>IFERROR(LEFT(M20,FIND("],",M20)+#REF!),M20)</f>
        <v>none</v>
      </c>
      <c r="O20" s="180" t="e">
        <f t="shared" si="7"/>
        <v>#VALUE!</v>
      </c>
      <c r="P20" s="180">
        <f t="shared" si="8"/>
        <v>4</v>
      </c>
      <c r="Q20" s="180" t="e">
        <f t="shared" si="9"/>
        <v>#VALUE!</v>
      </c>
      <c r="R20" s="180" t="e">
        <f t="shared" si="10"/>
        <v>#VALUE!</v>
      </c>
      <c r="S20" s="180" t="str">
        <f>IFERROR(VLOOKUP(MID(N20,Q20,R20-Q20),[6]skilldef!$C:$D,2,FALSE),"-") &amp; " / " &amp; IFERROR(VLOOKUP(MID(N20,O20,P20-O20),[6]skilldef!$A:$B,2,FALSE),"-")</f>
        <v>- / -</v>
      </c>
      <c r="T20" s="99" t="str">
        <f t="shared" si="11"/>
        <v>none</v>
      </c>
      <c r="U20" s="180" t="e">
        <f t="shared" si="12"/>
        <v>#VALUE!</v>
      </c>
      <c r="V20" s="180">
        <f t="shared" si="13"/>
        <v>4</v>
      </c>
      <c r="W20" s="180" t="e">
        <f t="shared" si="14"/>
        <v>#VALUE!</v>
      </c>
      <c r="X20" s="180" t="e">
        <f t="shared" si="15"/>
        <v>#VALUE!</v>
      </c>
      <c r="Y20" s="180" t="str">
        <f>IFERROR(VLOOKUP(MID(T20,W20,X20-W20),[6]skilldef!$C:$D,2,FALSE),"-") &amp; " / " &amp; IFERROR(VLOOKUP(MID(T20,U20,V20-U20),[6]skilldef!$A:$B,2,FALSE),"-")</f>
        <v>- / -</v>
      </c>
      <c r="Z20" s="179" t="s">
        <v>256</v>
      </c>
      <c r="AA20" s="181">
        <v>42622</v>
      </c>
      <c r="AB20" s="141" t="s">
        <v>279</v>
      </c>
    </row>
    <row r="21" spans="1:28" ht="70" x14ac:dyDescent="0.15">
      <c r="A21" s="173">
        <v>40030319</v>
      </c>
      <c r="B21" s="134" t="s">
        <v>387</v>
      </c>
      <c r="C21" s="174">
        <v>3</v>
      </c>
      <c r="D21" s="174" t="s">
        <v>128</v>
      </c>
      <c r="E21" s="175" t="s">
        <v>351</v>
      </c>
      <c r="F21" s="175" t="s">
        <v>305</v>
      </c>
      <c r="G21" s="176" t="str">
        <f t="shared" si="1"/>
        <v>[effect:tolerance, target:myself, turn:-1, count:-1, tolerance_effect:all, animation:enemy_tolerance]</v>
      </c>
      <c r="H21" s="176">
        <f t="shared" si="2"/>
        <v>9</v>
      </c>
      <c r="I21" s="176">
        <f t="shared" si="3"/>
        <v>18</v>
      </c>
      <c r="J21" s="176">
        <f t="shared" si="4"/>
        <v>27</v>
      </c>
      <c r="K21" s="176">
        <f t="shared" si="5"/>
        <v>33</v>
      </c>
      <c r="L21" s="176" t="str">
        <f>IFERROR(VLOOKUP(MID(G21,J21,K21-J21),[6]skilldef!$C:$D,2,FALSE),"-") &amp; " / " &amp; IFERROR(VLOOKUP(MID(G21,H21,I21-H21),[6]skilldef!$A:$B,2,FALSE),"-")</f>
        <v>自分自身に / 状態異常耐性</v>
      </c>
      <c r="M21" s="176" t="str">
        <f t="shared" si="6"/>
        <v xml:space="preserve">[effect:enhance_enemy, target:myself, turn:3, status:attack, val:0.15, calc:mul, animation:enemy_enhance_attack]    </v>
      </c>
      <c r="N21" s="136" t="str">
        <f>IFERROR(LEFT(M21,FIND("],",M21)+#REF!),M21)</f>
        <v xml:space="preserve">[effect:enhance_enemy, target:myself, turn:3, status:attack, val:0.15, calc:mul, animation:enemy_enhance_attack]    </v>
      </c>
      <c r="O21" s="176">
        <f t="shared" si="7"/>
        <v>9</v>
      </c>
      <c r="P21" s="176">
        <f t="shared" si="8"/>
        <v>22</v>
      </c>
      <c r="Q21" s="176">
        <f t="shared" si="9"/>
        <v>31</v>
      </c>
      <c r="R21" s="176">
        <f t="shared" si="10"/>
        <v>37</v>
      </c>
      <c r="S21" s="176" t="str">
        <f>IFERROR(VLOOKUP(MID(N21,Q21,R21-Q21),[6]skilldef!$C:$D,2,FALSE),"-") &amp; " / " &amp; IFERROR(VLOOKUP(MID(N21,O21,P21-O21),[6]skilldef!$A:$B,2,FALSE),"-")</f>
        <v>自分自身に / ステータス強化</v>
      </c>
      <c r="T21" s="136" t="str">
        <f t="shared" si="11"/>
        <v>none</v>
      </c>
      <c r="U21" s="176" t="e">
        <f t="shared" si="12"/>
        <v>#VALUE!</v>
      </c>
      <c r="V21" s="176">
        <f t="shared" si="13"/>
        <v>4</v>
      </c>
      <c r="W21" s="176" t="e">
        <f t="shared" si="14"/>
        <v>#VALUE!</v>
      </c>
      <c r="X21" s="176" t="e">
        <f t="shared" si="15"/>
        <v>#VALUE!</v>
      </c>
      <c r="Y21" s="176" t="str">
        <f>IFERROR(VLOOKUP(MID(T21,W21,X21-W21),[6]skilldef!$C:$D,2,FALSE),"-") &amp; " / " &amp; IFERROR(VLOOKUP(MID(T21,U21,V21-U21),[6]skilldef!$A:$B,2,FALSE),"-")</f>
        <v>- / -</v>
      </c>
      <c r="Z21" s="174" t="s">
        <v>256</v>
      </c>
      <c r="AA21" s="177">
        <v>42622</v>
      </c>
      <c r="AB21" s="183" t="s">
        <v>280</v>
      </c>
    </row>
    <row r="22" spans="1:28" ht="56" x14ac:dyDescent="0.15">
      <c r="A22" s="182">
        <v>40030320</v>
      </c>
      <c r="B22" s="43" t="s">
        <v>301</v>
      </c>
      <c r="C22" s="46">
        <v>3</v>
      </c>
      <c r="D22" s="46" t="s">
        <v>260</v>
      </c>
      <c r="E22" s="47" t="s">
        <v>355</v>
      </c>
      <c r="F22" s="47" t="s">
        <v>404</v>
      </c>
      <c r="G22" s="58" t="str">
        <f t="shared" si="1"/>
        <v xml:space="preserve">[effect:drop_block, block_type:time_bomb, block_color:block_red, color:block_blue, val:0.1, rate:0.7, turn:-1, min_time_count:3, max_time_count:5, animation:time_bomb_influence04]    </v>
      </c>
      <c r="H22" s="58">
        <f t="shared" si="2"/>
        <v>9</v>
      </c>
      <c r="I22" s="58">
        <f t="shared" si="3"/>
        <v>19</v>
      </c>
      <c r="J22" s="58" t="e">
        <f t="shared" si="4"/>
        <v>#VALUE!</v>
      </c>
      <c r="K22" s="58">
        <f t="shared" si="5"/>
        <v>41</v>
      </c>
      <c r="L22" s="58" t="str">
        <f>IFERROR(VLOOKUP(MID(G22,J22,K22-J22),[6]skilldef!$C:$D,2,FALSE),"-") &amp; " / " &amp; IFERROR(VLOOKUP(MID(G22,H22,I22-H22),[6]skilldef!$A:$B,2,FALSE),"-")</f>
        <v>- / 特定ブロックの割合ドロップ</v>
      </c>
      <c r="M22" s="58" t="str">
        <f t="shared" si="6"/>
        <v>none</v>
      </c>
      <c r="N22" s="44" t="str">
        <f>IFERROR(LEFT(M22,FIND("],",M22)+#REF!),M22)</f>
        <v>none</v>
      </c>
      <c r="O22" s="58" t="e">
        <f t="shared" si="7"/>
        <v>#VALUE!</v>
      </c>
      <c r="P22" s="58">
        <f t="shared" si="8"/>
        <v>4</v>
      </c>
      <c r="Q22" s="58" t="e">
        <f t="shared" si="9"/>
        <v>#VALUE!</v>
      </c>
      <c r="R22" s="58" t="e">
        <f t="shared" si="10"/>
        <v>#VALUE!</v>
      </c>
      <c r="S22" s="58" t="str">
        <f>IFERROR(VLOOKUP(MID(N22,Q22,R22-Q22),[6]skilldef!$C:$D,2,FALSE),"-") &amp; " / " &amp; IFERROR(VLOOKUP(MID(N22,O22,P22-O22),[6]skilldef!$A:$B,2,FALSE),"-")</f>
        <v>- / -</v>
      </c>
      <c r="T22" s="44" t="str">
        <f t="shared" si="11"/>
        <v>none</v>
      </c>
      <c r="U22" s="58" t="e">
        <f t="shared" si="12"/>
        <v>#VALUE!</v>
      </c>
      <c r="V22" s="58">
        <f t="shared" si="13"/>
        <v>4</v>
      </c>
      <c r="W22" s="58" t="e">
        <f t="shared" si="14"/>
        <v>#VALUE!</v>
      </c>
      <c r="X22" s="58" t="e">
        <f t="shared" si="15"/>
        <v>#VALUE!</v>
      </c>
      <c r="Y22" s="58" t="str">
        <f>IFERROR(VLOOKUP(MID(T22,W22,X22-W22),[6]skilldef!$C:$D,2,FALSE),"-") &amp; " / " &amp; IFERROR(VLOOKUP(MID(T22,U22,V22-U22),[6]skilldef!$A:$B,2,FALSE),"-")</f>
        <v>- / -</v>
      </c>
      <c r="Z22" s="46" t="s">
        <v>256</v>
      </c>
      <c r="AA22" s="48">
        <v>42622</v>
      </c>
      <c r="AB22" s="139" t="s">
        <v>278</v>
      </c>
    </row>
    <row r="23" spans="1:28" ht="42" x14ac:dyDescent="0.15">
      <c r="A23" s="182">
        <v>40030321</v>
      </c>
      <c r="B23" s="43" t="s">
        <v>396</v>
      </c>
      <c r="C23" s="46">
        <v>3</v>
      </c>
      <c r="D23" s="46" t="s">
        <v>128</v>
      </c>
      <c r="E23" s="47" t="s">
        <v>311</v>
      </c>
      <c r="F23" s="47" t="s">
        <v>307</v>
      </c>
      <c r="G23" s="58" t="str">
        <f t="shared" si="1"/>
        <v xml:space="preserve">[effect:damage_abnormal, target:unit_one, val:1.2, status:virus, turn:1, rate:1, val_abnormal:0.55, animation:enemy_virus]      </v>
      </c>
      <c r="H23" s="58">
        <f t="shared" si="2"/>
        <v>9</v>
      </c>
      <c r="I23" s="58">
        <f t="shared" si="3"/>
        <v>24</v>
      </c>
      <c r="J23" s="58">
        <f t="shared" si="4"/>
        <v>33</v>
      </c>
      <c r="K23" s="58">
        <f t="shared" si="5"/>
        <v>41</v>
      </c>
      <c r="L23" s="58" t="str">
        <f>IFERROR(VLOOKUP(MID(G23,J23,K23-J23),[6]skilldef!$C:$D,2,FALSE),"-") &amp; " / " &amp; IFERROR(VLOOKUP(MID(G23,H23,I23-H23),[6]skilldef!$A:$B,2,FALSE),"-")</f>
        <v>味方単体に / -</v>
      </c>
      <c r="M23" s="58" t="str">
        <f t="shared" si="6"/>
        <v>none</v>
      </c>
      <c r="N23" s="44" t="str">
        <f>IFERROR(LEFT(M23,FIND("],",M23)+#REF!),M23)</f>
        <v>none</v>
      </c>
      <c r="O23" s="58" t="e">
        <f t="shared" si="7"/>
        <v>#VALUE!</v>
      </c>
      <c r="P23" s="58">
        <f t="shared" si="8"/>
        <v>4</v>
      </c>
      <c r="Q23" s="58" t="e">
        <f t="shared" si="9"/>
        <v>#VALUE!</v>
      </c>
      <c r="R23" s="58" t="e">
        <f t="shared" si="10"/>
        <v>#VALUE!</v>
      </c>
      <c r="S23" s="58" t="str">
        <f>IFERROR(VLOOKUP(MID(N23,Q23,R23-Q23),[6]skilldef!$C:$D,2,FALSE),"-") &amp; " / " &amp; IFERROR(VLOOKUP(MID(N23,O23,P23-O23),[6]skilldef!$A:$B,2,FALSE),"-")</f>
        <v>- / -</v>
      </c>
      <c r="T23" s="44" t="str">
        <f t="shared" si="11"/>
        <v>none</v>
      </c>
      <c r="U23" s="58" t="e">
        <f t="shared" si="12"/>
        <v>#VALUE!</v>
      </c>
      <c r="V23" s="58">
        <f t="shared" si="13"/>
        <v>4</v>
      </c>
      <c r="W23" s="58" t="e">
        <f t="shared" si="14"/>
        <v>#VALUE!</v>
      </c>
      <c r="X23" s="58" t="e">
        <f t="shared" si="15"/>
        <v>#VALUE!</v>
      </c>
      <c r="Y23" s="58" t="str">
        <f>IFERROR(VLOOKUP(MID(T23,W23,X23-W23),[6]skilldef!$C:$D,2,FALSE),"-") &amp; " / " &amp; IFERROR(VLOOKUP(MID(T23,U23,V23-U23),[6]skilldef!$A:$B,2,FALSE),"-")</f>
        <v>- / -</v>
      </c>
      <c r="Z23" s="46" t="s">
        <v>256</v>
      </c>
      <c r="AA23" s="48">
        <v>42622</v>
      </c>
      <c r="AB23" s="139" t="s">
        <v>279</v>
      </c>
    </row>
    <row r="24" spans="1:28" ht="28" x14ac:dyDescent="0.15">
      <c r="A24" s="182">
        <v>40030322</v>
      </c>
      <c r="B24" s="43" t="s">
        <v>335</v>
      </c>
      <c r="C24" s="46">
        <v>3</v>
      </c>
      <c r="D24" s="46" t="s">
        <v>128</v>
      </c>
      <c r="E24" s="47" t="s">
        <v>352</v>
      </c>
      <c r="F24" s="47" t="s">
        <v>308</v>
      </c>
      <c r="G24" s="58" t="str">
        <f t="shared" si="1"/>
        <v xml:space="preserve">[effect:enhance_enemy, target:myself, turn:-1, status:attack, val:0.3, calc:mul, animation:enemy_enhance_attack]    </v>
      </c>
      <c r="H24" s="58">
        <f t="shared" si="2"/>
        <v>9</v>
      </c>
      <c r="I24" s="58">
        <f t="shared" si="3"/>
        <v>22</v>
      </c>
      <c r="J24" s="58">
        <f t="shared" si="4"/>
        <v>31</v>
      </c>
      <c r="K24" s="58">
        <f t="shared" si="5"/>
        <v>37</v>
      </c>
      <c r="L24" s="58" t="str">
        <f>IFERROR(VLOOKUP(MID(G24,J24,K24-J24),[6]skilldef!$C:$D,2,FALSE),"-") &amp; " / " &amp; IFERROR(VLOOKUP(MID(G24,H24,I24-H24),[6]skilldef!$A:$B,2,FALSE),"-")</f>
        <v>自分自身に / ステータス強化</v>
      </c>
      <c r="M24" s="58" t="str">
        <f t="shared" si="6"/>
        <v>none</v>
      </c>
      <c r="N24" s="44" t="str">
        <f>IFERROR(LEFT(M24,FIND("],",M24)+#REF!),M24)</f>
        <v>none</v>
      </c>
      <c r="O24" s="58" t="e">
        <f t="shared" si="7"/>
        <v>#VALUE!</v>
      </c>
      <c r="P24" s="58">
        <f t="shared" si="8"/>
        <v>4</v>
      </c>
      <c r="Q24" s="58" t="e">
        <f t="shared" si="9"/>
        <v>#VALUE!</v>
      </c>
      <c r="R24" s="58" t="e">
        <f t="shared" si="10"/>
        <v>#VALUE!</v>
      </c>
      <c r="S24" s="58" t="str">
        <f>IFERROR(VLOOKUP(MID(N24,Q24,R24-Q24),[6]skilldef!$C:$D,2,FALSE),"-") &amp; " / " &amp; IFERROR(VLOOKUP(MID(N24,O24,P24-O24),[6]skilldef!$A:$B,2,FALSE),"-")</f>
        <v>- / -</v>
      </c>
      <c r="T24" s="44" t="str">
        <f t="shared" si="11"/>
        <v>none</v>
      </c>
      <c r="U24" s="58" t="e">
        <f t="shared" si="12"/>
        <v>#VALUE!</v>
      </c>
      <c r="V24" s="58">
        <f t="shared" si="13"/>
        <v>4</v>
      </c>
      <c r="W24" s="58" t="e">
        <f t="shared" si="14"/>
        <v>#VALUE!</v>
      </c>
      <c r="X24" s="58" t="e">
        <f t="shared" si="15"/>
        <v>#VALUE!</v>
      </c>
      <c r="Y24" s="58" t="str">
        <f>IFERROR(VLOOKUP(MID(T24,W24,X24-W24),[6]skilldef!$C:$D,2,FALSE),"-") &amp; " / " &amp; IFERROR(VLOOKUP(MID(T24,U24,V24-U24),[6]skilldef!$A:$B,2,FALSE),"-")</f>
        <v>- / -</v>
      </c>
      <c r="Z24" s="46" t="s">
        <v>256</v>
      </c>
      <c r="AA24" s="48">
        <v>42622</v>
      </c>
      <c r="AB24" s="139" t="s">
        <v>281</v>
      </c>
    </row>
    <row r="25" spans="1:28" ht="28" x14ac:dyDescent="0.15">
      <c r="A25" s="182">
        <v>40030323</v>
      </c>
      <c r="B25" s="43" t="s">
        <v>303</v>
      </c>
      <c r="C25" s="46">
        <v>3</v>
      </c>
      <c r="D25" s="46" t="s">
        <v>128</v>
      </c>
      <c r="E25" s="47" t="s">
        <v>360</v>
      </c>
      <c r="F25" s="47" t="s">
        <v>309</v>
      </c>
      <c r="G25" s="58" t="str">
        <f t="shared" si="1"/>
        <v>[effect:spread, val:0.1]</v>
      </c>
      <c r="H25" s="58">
        <f t="shared" si="2"/>
        <v>9</v>
      </c>
      <c r="I25" s="58">
        <f t="shared" si="3"/>
        <v>15</v>
      </c>
      <c r="J25" s="58" t="e">
        <f t="shared" si="4"/>
        <v>#VALUE!</v>
      </c>
      <c r="K25" s="58" t="e">
        <f t="shared" si="5"/>
        <v>#VALUE!</v>
      </c>
      <c r="L25" s="58" t="str">
        <f>IFERROR(VLOOKUP(MID(G25,J25,K25-J25),[6]skilldef!$C:$D,2,FALSE),"-") &amp; " / " &amp; IFERROR(VLOOKUP(MID(G25,H25,I25-H25),[6]skilldef!$A:$B,2,FALSE),"-")</f>
        <v>- / 全体攻撃</v>
      </c>
      <c r="M25" s="58" t="str">
        <f t="shared" si="6"/>
        <v xml:space="preserve">[effect:rush, count:4, val:0.15] </v>
      </c>
      <c r="N25" s="44" t="str">
        <f>IFERROR(LEFT(M25,FIND("],",M25)+#REF!),M25)</f>
        <v xml:space="preserve">[effect:rush, count:4, val:0.15] </v>
      </c>
      <c r="O25" s="58">
        <f t="shared" si="7"/>
        <v>9</v>
      </c>
      <c r="P25" s="58">
        <f t="shared" si="8"/>
        <v>13</v>
      </c>
      <c r="Q25" s="58" t="e">
        <f t="shared" si="9"/>
        <v>#VALUE!</v>
      </c>
      <c r="R25" s="58">
        <f t="shared" si="10"/>
        <v>22</v>
      </c>
      <c r="S25" s="58" t="str">
        <f>IFERROR(VLOOKUP(MID(N25,Q25,R25-Q25),[6]skilldef!$C:$D,2,FALSE),"-") &amp; " / " &amp; IFERROR(VLOOKUP(MID(N25,O25,P25-O25),[6]skilldef!$A:$B,2,FALSE),"-")</f>
        <v>- / 連続攻撃</v>
      </c>
      <c r="T25" s="44" t="str">
        <f t="shared" si="11"/>
        <v>none</v>
      </c>
      <c r="U25" s="58" t="e">
        <f t="shared" si="12"/>
        <v>#VALUE!</v>
      </c>
      <c r="V25" s="58">
        <f t="shared" si="13"/>
        <v>4</v>
      </c>
      <c r="W25" s="58" t="e">
        <f t="shared" si="14"/>
        <v>#VALUE!</v>
      </c>
      <c r="X25" s="58" t="e">
        <f t="shared" si="15"/>
        <v>#VALUE!</v>
      </c>
      <c r="Y25" s="58" t="str">
        <f>IFERROR(VLOOKUP(MID(T25,W25,X25-W25),[6]skilldef!$C:$D,2,FALSE),"-") &amp; " / " &amp; IFERROR(VLOOKUP(MID(T25,U25,V25-U25),[6]skilldef!$A:$B,2,FALSE),"-")</f>
        <v>- / -</v>
      </c>
      <c r="Z25" s="46" t="s">
        <v>256</v>
      </c>
      <c r="AA25" s="48">
        <v>42622</v>
      </c>
      <c r="AB25" s="166" t="s">
        <v>282</v>
      </c>
    </row>
    <row r="26" spans="1:28" ht="28" x14ac:dyDescent="0.15">
      <c r="A26" s="182">
        <v>40030324</v>
      </c>
      <c r="B26" s="43" t="s">
        <v>336</v>
      </c>
      <c r="C26" s="46">
        <v>3</v>
      </c>
      <c r="D26" s="46" t="s">
        <v>128</v>
      </c>
      <c r="E26" s="47" t="s">
        <v>353</v>
      </c>
      <c r="F26" s="47" t="s">
        <v>309</v>
      </c>
      <c r="G26" s="58" t="str">
        <f t="shared" si="1"/>
        <v>[effect:spread, val:0.12]</v>
      </c>
      <c r="H26" s="58">
        <f t="shared" si="2"/>
        <v>9</v>
      </c>
      <c r="I26" s="58">
        <f t="shared" si="3"/>
        <v>15</v>
      </c>
      <c r="J26" s="58" t="e">
        <f t="shared" si="4"/>
        <v>#VALUE!</v>
      </c>
      <c r="K26" s="58" t="e">
        <f t="shared" si="5"/>
        <v>#VALUE!</v>
      </c>
      <c r="L26" s="58" t="str">
        <f>IFERROR(VLOOKUP(MID(G26,J26,K26-J26),[6]skilldef!$C:$D,2,FALSE),"-") &amp; " / " &amp; IFERROR(VLOOKUP(MID(G26,H26,I26-H26),[6]skilldef!$A:$B,2,FALSE),"-")</f>
        <v>- / 全体攻撃</v>
      </c>
      <c r="M26" s="58" t="str">
        <f t="shared" si="6"/>
        <v xml:space="preserve">[effect:rush, count:4, val:0.2] </v>
      </c>
      <c r="N26" s="44" t="str">
        <f>IFERROR(LEFT(M26,FIND("],",M26)+#REF!),M26)</f>
        <v xml:space="preserve">[effect:rush, count:4, val:0.2] </v>
      </c>
      <c r="O26" s="58">
        <f t="shared" si="7"/>
        <v>9</v>
      </c>
      <c r="P26" s="58">
        <f t="shared" si="8"/>
        <v>13</v>
      </c>
      <c r="Q26" s="58" t="e">
        <f t="shared" si="9"/>
        <v>#VALUE!</v>
      </c>
      <c r="R26" s="58">
        <f t="shared" si="10"/>
        <v>22</v>
      </c>
      <c r="S26" s="58" t="str">
        <f>IFERROR(VLOOKUP(MID(N26,Q26,R26-Q26),[6]skilldef!$C:$D,2,FALSE),"-") &amp; " / " &amp; IFERROR(VLOOKUP(MID(N26,O26,P26-O26),[6]skilldef!$A:$B,2,FALSE),"-")</f>
        <v>- / 連続攻撃</v>
      </c>
      <c r="T26" s="44" t="str">
        <f t="shared" si="11"/>
        <v>none</v>
      </c>
      <c r="U26" s="58" t="e">
        <f t="shared" si="12"/>
        <v>#VALUE!</v>
      </c>
      <c r="V26" s="58">
        <f t="shared" si="13"/>
        <v>4</v>
      </c>
      <c r="W26" s="58" t="e">
        <f t="shared" si="14"/>
        <v>#VALUE!</v>
      </c>
      <c r="X26" s="58" t="e">
        <f t="shared" si="15"/>
        <v>#VALUE!</v>
      </c>
      <c r="Y26" s="58" t="str">
        <f>IFERROR(VLOOKUP(MID(T26,W26,X26-W26),[6]skilldef!$C:$D,2,FALSE),"-") &amp; " / " &amp; IFERROR(VLOOKUP(MID(T26,U26,V26-U26),[6]skilldef!$A:$B,2,FALSE),"-")</f>
        <v>- / -</v>
      </c>
      <c r="Z26" s="46" t="s">
        <v>256</v>
      </c>
      <c r="AA26" s="48">
        <v>42622</v>
      </c>
      <c r="AB26" s="166" t="s">
        <v>283</v>
      </c>
    </row>
    <row r="27" spans="1:28" ht="28" x14ac:dyDescent="0.15">
      <c r="A27" s="182">
        <v>40030325</v>
      </c>
      <c r="B27" s="43" t="s">
        <v>337</v>
      </c>
      <c r="C27" s="46">
        <v>3</v>
      </c>
      <c r="D27" s="46" t="s">
        <v>128</v>
      </c>
      <c r="E27" s="47" t="s">
        <v>354</v>
      </c>
      <c r="F27" s="47" t="s">
        <v>309</v>
      </c>
      <c r="G27" s="58" t="str">
        <f t="shared" si="1"/>
        <v>[effect:spread, val:0.24]</v>
      </c>
      <c r="H27" s="58">
        <f t="shared" si="2"/>
        <v>9</v>
      </c>
      <c r="I27" s="58">
        <f t="shared" si="3"/>
        <v>15</v>
      </c>
      <c r="J27" s="58" t="e">
        <f t="shared" si="4"/>
        <v>#VALUE!</v>
      </c>
      <c r="K27" s="58" t="e">
        <f t="shared" si="5"/>
        <v>#VALUE!</v>
      </c>
      <c r="L27" s="58" t="str">
        <f>IFERROR(VLOOKUP(MID(G27,J27,K27-J27),[6]skilldef!$C:$D,2,FALSE),"-") &amp; " / " &amp; IFERROR(VLOOKUP(MID(G27,H27,I27-H27),[6]skilldef!$A:$B,2,FALSE),"-")</f>
        <v>- / 全体攻撃</v>
      </c>
      <c r="M27" s="58" t="str">
        <f t="shared" si="6"/>
        <v xml:space="preserve">[effect:rush, count:4, val:0.3] </v>
      </c>
      <c r="N27" s="44" t="str">
        <f>IFERROR(LEFT(M27,FIND("],",M27)+#REF!),M27)</f>
        <v xml:space="preserve">[effect:rush, count:4, val:0.3] </v>
      </c>
      <c r="O27" s="58">
        <f t="shared" si="7"/>
        <v>9</v>
      </c>
      <c r="P27" s="58">
        <f t="shared" si="8"/>
        <v>13</v>
      </c>
      <c r="Q27" s="58" t="e">
        <f t="shared" si="9"/>
        <v>#VALUE!</v>
      </c>
      <c r="R27" s="58">
        <f t="shared" si="10"/>
        <v>22</v>
      </c>
      <c r="S27" s="58" t="str">
        <f>IFERROR(VLOOKUP(MID(N27,Q27,R27-Q27),[6]skilldef!$C:$D,2,FALSE),"-") &amp; " / " &amp; IFERROR(VLOOKUP(MID(N27,O27,P27-O27),[6]skilldef!$A:$B,2,FALSE),"-")</f>
        <v>- / 連続攻撃</v>
      </c>
      <c r="T27" s="44" t="str">
        <f t="shared" si="11"/>
        <v>none</v>
      </c>
      <c r="U27" s="58" t="e">
        <f t="shared" si="12"/>
        <v>#VALUE!</v>
      </c>
      <c r="V27" s="58">
        <f t="shared" si="13"/>
        <v>4</v>
      </c>
      <c r="W27" s="58" t="e">
        <f t="shared" si="14"/>
        <v>#VALUE!</v>
      </c>
      <c r="X27" s="58" t="e">
        <f t="shared" si="15"/>
        <v>#VALUE!</v>
      </c>
      <c r="Y27" s="58" t="str">
        <f>IFERROR(VLOOKUP(MID(T27,W27,X27-W27),[6]skilldef!$C:$D,2,FALSE),"-") &amp; " / " &amp; IFERROR(VLOOKUP(MID(T27,U27,V27-U27),[6]skilldef!$A:$B,2,FALSE),"-")</f>
        <v>- / -</v>
      </c>
      <c r="Z27" s="46" t="s">
        <v>256</v>
      </c>
      <c r="AA27" s="48">
        <v>42622</v>
      </c>
      <c r="AB27" s="166" t="s">
        <v>284</v>
      </c>
    </row>
    <row r="28" spans="1:28" ht="28" x14ac:dyDescent="0.15">
      <c r="A28" s="182">
        <v>40030326</v>
      </c>
      <c r="B28" s="43" t="s">
        <v>338</v>
      </c>
      <c r="C28" s="46">
        <v>3</v>
      </c>
      <c r="D28" s="46" t="s">
        <v>128</v>
      </c>
      <c r="E28" s="47" t="s">
        <v>359</v>
      </c>
      <c r="F28" s="47" t="s">
        <v>309</v>
      </c>
      <c r="G28" s="58" t="str">
        <f t="shared" si="1"/>
        <v>[effect:spread, val:0.3]</v>
      </c>
      <c r="H28" s="58">
        <f t="shared" si="2"/>
        <v>9</v>
      </c>
      <c r="I28" s="58">
        <f t="shared" si="3"/>
        <v>15</v>
      </c>
      <c r="J28" s="58" t="e">
        <f t="shared" si="4"/>
        <v>#VALUE!</v>
      </c>
      <c r="K28" s="58" t="e">
        <f t="shared" si="5"/>
        <v>#VALUE!</v>
      </c>
      <c r="L28" s="58" t="str">
        <f>IFERROR(VLOOKUP(MID(G28,J28,K28-J28),[6]skilldef!$C:$D,2,FALSE),"-") &amp; " / " &amp; IFERROR(VLOOKUP(MID(G28,H28,I28-H28),[6]skilldef!$A:$B,2,FALSE),"-")</f>
        <v>- / 全体攻撃</v>
      </c>
      <c r="M28" s="58" t="str">
        <f t="shared" si="6"/>
        <v xml:space="preserve">[effect:rush, count:4, val:0.4] </v>
      </c>
      <c r="N28" s="44" t="str">
        <f>IFERROR(LEFT(M28,FIND("],",M28)+#REF!),M28)</f>
        <v xml:space="preserve">[effect:rush, count:4, val:0.4] </v>
      </c>
      <c r="O28" s="58">
        <f t="shared" si="7"/>
        <v>9</v>
      </c>
      <c r="P28" s="58">
        <f t="shared" si="8"/>
        <v>13</v>
      </c>
      <c r="Q28" s="58" t="e">
        <f t="shared" si="9"/>
        <v>#VALUE!</v>
      </c>
      <c r="R28" s="58">
        <f t="shared" si="10"/>
        <v>22</v>
      </c>
      <c r="S28" s="58" t="str">
        <f>IFERROR(VLOOKUP(MID(N28,Q28,R28-Q28),[6]skilldef!$C:$D,2,FALSE),"-") &amp; " / " &amp; IFERROR(VLOOKUP(MID(N28,O28,P28-O28),[6]skilldef!$A:$B,2,FALSE),"-")</f>
        <v>- / 連続攻撃</v>
      </c>
      <c r="T28" s="44" t="str">
        <f t="shared" si="11"/>
        <v>none</v>
      </c>
      <c r="U28" s="58" t="e">
        <f t="shared" si="12"/>
        <v>#VALUE!</v>
      </c>
      <c r="V28" s="58">
        <f t="shared" si="13"/>
        <v>4</v>
      </c>
      <c r="W28" s="58" t="e">
        <f t="shared" si="14"/>
        <v>#VALUE!</v>
      </c>
      <c r="X28" s="58" t="e">
        <f t="shared" si="15"/>
        <v>#VALUE!</v>
      </c>
      <c r="Y28" s="58" t="str">
        <f>IFERROR(VLOOKUP(MID(T28,W28,X28-W28),[6]skilldef!$C:$D,2,FALSE),"-") &amp; " / " &amp; IFERROR(VLOOKUP(MID(T28,U28,V28-U28),[6]skilldef!$A:$B,2,FALSE),"-")</f>
        <v>- / -</v>
      </c>
      <c r="Z28" s="46" t="s">
        <v>256</v>
      </c>
      <c r="AA28" s="48">
        <v>42622</v>
      </c>
      <c r="AB28" s="166" t="s">
        <v>285</v>
      </c>
    </row>
    <row r="29" spans="1:28" ht="85" thickBot="1" x14ac:dyDescent="0.2">
      <c r="A29" s="178">
        <v>40030327</v>
      </c>
      <c r="B29" s="43" t="s">
        <v>388</v>
      </c>
      <c r="C29" s="179">
        <v>3</v>
      </c>
      <c r="D29" s="179" t="s">
        <v>128</v>
      </c>
      <c r="E29" s="128" t="s">
        <v>358</v>
      </c>
      <c r="F29" s="47" t="s">
        <v>309</v>
      </c>
      <c r="G29" s="180" t="str">
        <f t="shared" si="1"/>
        <v>[effect:spread, val:0.4]</v>
      </c>
      <c r="H29" s="180">
        <f t="shared" si="2"/>
        <v>9</v>
      </c>
      <c r="I29" s="180">
        <f t="shared" si="3"/>
        <v>15</v>
      </c>
      <c r="J29" s="180" t="e">
        <f t="shared" si="4"/>
        <v>#VALUE!</v>
      </c>
      <c r="K29" s="180" t="e">
        <f t="shared" si="5"/>
        <v>#VALUE!</v>
      </c>
      <c r="L29" s="180" t="str">
        <f>IFERROR(VLOOKUP(MID(G29,J29,K29-J29),[6]skilldef!$C:$D,2,FALSE),"-") &amp; " / " &amp; IFERROR(VLOOKUP(MID(G29,H29,I29-H29),[6]skilldef!$A:$B,2,FALSE),"-")</f>
        <v>- / 全体攻撃</v>
      </c>
      <c r="M29" s="180" t="str">
        <f t="shared" si="6"/>
        <v xml:space="preserve">[effect:rush, count:4, val:0.5],[effect:enhance_enemy, target:myself, turn:3, status:attack, val:0.15, calc:mul, animation:enemy_enhance_attack] </v>
      </c>
      <c r="N29" s="99" t="str">
        <f>IFERROR(LEFT(M29,FIND("],",M29)+#REF!),M29)</f>
        <v xml:space="preserve">[effect:rush, count:4, val:0.5],[effect:enhance_enemy, target:myself, turn:3, status:attack, val:0.15, calc:mul, animation:enemy_enhance_attack] </v>
      </c>
      <c r="O29" s="180">
        <f t="shared" si="7"/>
        <v>9</v>
      </c>
      <c r="P29" s="180">
        <f t="shared" si="8"/>
        <v>13</v>
      </c>
      <c r="Q29" s="180">
        <f t="shared" si="9"/>
        <v>63</v>
      </c>
      <c r="R29" s="180">
        <f t="shared" si="10"/>
        <v>22</v>
      </c>
      <c r="S29" s="180" t="str">
        <f>IFERROR(VLOOKUP(MID(N29,Q29,R29-Q29),[6]skilldef!$C:$D,2,FALSE),"-") &amp; " / " &amp; IFERROR(VLOOKUP(MID(N29,O29,P29-O29),[6]skilldef!$A:$B,2,FALSE),"-")</f>
        <v>- / 連続攻撃</v>
      </c>
      <c r="T29" s="99" t="str">
        <f t="shared" si="11"/>
        <v xml:space="preserve">[effect:enhance_enemy, target:myself, turn:3, status:attack, val:0.15, calc:mul, animation:enemy_enhance_attack] </v>
      </c>
      <c r="U29" s="180">
        <f t="shared" si="12"/>
        <v>9</v>
      </c>
      <c r="V29" s="180">
        <f t="shared" si="13"/>
        <v>22</v>
      </c>
      <c r="W29" s="180">
        <f t="shared" si="14"/>
        <v>31</v>
      </c>
      <c r="X29" s="180">
        <f t="shared" si="15"/>
        <v>37</v>
      </c>
      <c r="Y29" s="180" t="str">
        <f>IFERROR(VLOOKUP(MID(T29,W29,X29-W29),[6]skilldef!$C:$D,2,FALSE),"-") &amp; " / " &amp; IFERROR(VLOOKUP(MID(T29,U29,V29-U29),[6]skilldef!$A:$B,2,FALSE),"-")</f>
        <v>自分自身に / ステータス強化</v>
      </c>
      <c r="Z29" s="179" t="s">
        <v>256</v>
      </c>
      <c r="AA29" s="181">
        <v>42622</v>
      </c>
      <c r="AB29" s="167" t="s">
        <v>286</v>
      </c>
    </row>
    <row r="30" spans="1:28" ht="29" thickBot="1" x14ac:dyDescent="0.2">
      <c r="A30" s="173">
        <v>40030328</v>
      </c>
      <c r="B30" s="134" t="s">
        <v>402</v>
      </c>
      <c r="C30" s="174">
        <v>3</v>
      </c>
      <c r="D30" s="174" t="s">
        <v>128</v>
      </c>
      <c r="E30" s="175" t="s">
        <v>366</v>
      </c>
      <c r="F30" s="175" t="s">
        <v>304</v>
      </c>
      <c r="G30" s="176" t="str">
        <f t="shared" ref="G30:G32" si="43">IFERROR(LEFT(B30,FIND("],",B30)),B30)</f>
        <v>[effect:tolerance, target:myself, turn:-1, count:-1, tolerance_effect:all, animation:enemy_tolerance]</v>
      </c>
      <c r="H30" s="176">
        <f t="shared" ref="H30:H32" si="44">FIND("effect:",G30)+7</f>
        <v>9</v>
      </c>
      <c r="I30" s="176">
        <f t="shared" ref="I30:I32" si="45">IFERROR(FIND(",",G30),LEN(G30))</f>
        <v>18</v>
      </c>
      <c r="J30" s="176">
        <f t="shared" ref="J30:J32" si="46">FIND("target:",G30)+7</f>
        <v>27</v>
      </c>
      <c r="K30" s="176">
        <f t="shared" ref="K30:K32" si="47">FIND(",",G30,I30+1)</f>
        <v>33</v>
      </c>
      <c r="L30" s="176" t="str">
        <f>IFERROR(VLOOKUP(MID(G30,J30,K30-J30),[6]skilldef!$C:$D,2,FALSE),"-") &amp; " / " &amp; IFERROR(VLOOKUP(MID(G30,H30,I30-H30),[6]skilldef!$A:$B,2,FALSE),"-")</f>
        <v>自分自身に / 状態異常耐性</v>
      </c>
      <c r="M30" s="176" t="str">
        <f t="shared" ref="M30:M32" si="48">IFERROR(RIGHT(B30,LEN(B30)-FIND("],",B30)-1),"none")</f>
        <v xml:space="preserve">[effect:enemy_message, val1:2.4, val2:1.8]    </v>
      </c>
      <c r="N30" s="136" t="str">
        <f>IFERROR(LEFT(M30,FIND("],",M30)+S41),M30)</f>
        <v xml:space="preserve">[effect:enemy_message, val1:2.4, val2:1.8]    </v>
      </c>
      <c r="O30" s="176">
        <f t="shared" ref="O30:O32" si="49">FIND("effect:",N30)+7</f>
        <v>9</v>
      </c>
      <c r="P30" s="176">
        <f t="shared" ref="P30:P32" si="50">IFERROR(FIND(",",N30),LEN(N30))</f>
        <v>22</v>
      </c>
      <c r="Q30" s="176" t="e">
        <f t="shared" ref="Q30:Q32" si="51">FIND("target:",N30)+7</f>
        <v>#VALUE!</v>
      </c>
      <c r="R30" s="176">
        <f t="shared" ref="R30:R32" si="52">FIND(",",N30,P30+1)</f>
        <v>32</v>
      </c>
      <c r="S30" s="176" t="str">
        <f>IFERROR(VLOOKUP(MID(N30,Q30,R30-Q30),[6]skilldef!$C:$D,2,FALSE),"-") &amp; " / " &amp; IFERROR(VLOOKUP(MID(N30,O30,P30-O30),[6]skilldef!$A:$B,2,FALSE),"-")</f>
        <v>- / -</v>
      </c>
      <c r="T30" s="136" t="str">
        <f t="shared" ref="T30:T32" si="53">IFERROR(RIGHT(M30,LEN(M30)-FIND("],",M30)-1),"none")</f>
        <v>none</v>
      </c>
      <c r="U30" s="176" t="e">
        <f t="shared" ref="U30:U32" si="54">FIND("effect:",T30)+7</f>
        <v>#VALUE!</v>
      </c>
      <c r="V30" s="176">
        <f t="shared" ref="V30:V32" si="55">IFERROR(FIND(",",T30),LEN(T30))</f>
        <v>4</v>
      </c>
      <c r="W30" s="176" t="e">
        <f t="shared" ref="W30:W32" si="56">FIND("target:",T30)+7</f>
        <v>#VALUE!</v>
      </c>
      <c r="X30" s="176" t="e">
        <f t="shared" ref="X30:X32" si="57">FIND(",",T30,V30+1)</f>
        <v>#VALUE!</v>
      </c>
      <c r="Y30" s="176" t="str">
        <f>IFERROR(VLOOKUP(MID(T30,W30,X30-W30),[6]skilldef!$C:$D,2,FALSE),"-") &amp; " / " &amp; IFERROR(VLOOKUP(MID(T30,U30,V30-U30),[6]skilldef!$A:$B,2,FALSE),"-")</f>
        <v>- / -</v>
      </c>
      <c r="Z30" s="174" t="s">
        <v>256</v>
      </c>
      <c r="AA30" s="177">
        <v>42629</v>
      </c>
      <c r="AB30" s="137" t="s">
        <v>356</v>
      </c>
    </row>
    <row r="31" spans="1:28" ht="71" thickBot="1" x14ac:dyDescent="0.2">
      <c r="A31" s="173">
        <v>40030329</v>
      </c>
      <c r="B31" s="134" t="s">
        <v>333</v>
      </c>
      <c r="C31" s="174">
        <v>3</v>
      </c>
      <c r="D31" s="174" t="s">
        <v>128</v>
      </c>
      <c r="E31" s="175" t="s">
        <v>365</v>
      </c>
      <c r="F31" s="175" t="s">
        <v>305</v>
      </c>
      <c r="G31" s="176" t="str">
        <f t="shared" si="43"/>
        <v>[effect:tolerance, target:myself, turn:-1, count:-1, tolerance_effect:all, animation:enemy_tolerance]</v>
      </c>
      <c r="H31" s="176">
        <f t="shared" si="44"/>
        <v>9</v>
      </c>
      <c r="I31" s="176">
        <f t="shared" si="45"/>
        <v>18</v>
      </c>
      <c r="J31" s="176">
        <f t="shared" si="46"/>
        <v>27</v>
      </c>
      <c r="K31" s="176">
        <f t="shared" si="47"/>
        <v>33</v>
      </c>
      <c r="L31" s="176" t="str">
        <f>IFERROR(VLOOKUP(MID(G31,J31,K31-J31),[6]skilldef!$C:$D,2,FALSE),"-") &amp; " / " &amp; IFERROR(VLOOKUP(MID(G31,H31,I31-H31),[6]skilldef!$A:$B,2,FALSE),"-")</f>
        <v>自分自身に / 状態異常耐性</v>
      </c>
      <c r="M31" s="176" t="str">
        <f t="shared" si="48"/>
        <v xml:space="preserve">[effect:enhance_enemy, target:myself, turn:3, status:attack, val:0.1, calc:mul, animation:enemy_enhance_attack]    </v>
      </c>
      <c r="N31" s="136" t="str">
        <f>IFERROR(LEFT(M31,FIND("],",M31)+S42),M31)</f>
        <v xml:space="preserve">[effect:enhance_enemy, target:myself, turn:3, status:attack, val:0.1, calc:mul, animation:enemy_enhance_attack]    </v>
      </c>
      <c r="O31" s="176">
        <f t="shared" si="49"/>
        <v>9</v>
      </c>
      <c r="P31" s="176">
        <f t="shared" si="50"/>
        <v>22</v>
      </c>
      <c r="Q31" s="176">
        <f t="shared" si="51"/>
        <v>31</v>
      </c>
      <c r="R31" s="176">
        <f t="shared" si="52"/>
        <v>37</v>
      </c>
      <c r="S31" s="176" t="str">
        <f>IFERROR(VLOOKUP(MID(N31,Q31,R31-Q31),[6]skilldef!$C:$D,2,FALSE),"-") &amp; " / " &amp; IFERROR(VLOOKUP(MID(N31,O31,P31-O31),[6]skilldef!$A:$B,2,FALSE),"-")</f>
        <v>自分自身に / ステータス強化</v>
      </c>
      <c r="T31" s="136" t="str">
        <f t="shared" si="53"/>
        <v>none</v>
      </c>
      <c r="U31" s="176" t="e">
        <f t="shared" si="54"/>
        <v>#VALUE!</v>
      </c>
      <c r="V31" s="176">
        <f t="shared" si="55"/>
        <v>4</v>
      </c>
      <c r="W31" s="176" t="e">
        <f t="shared" si="56"/>
        <v>#VALUE!</v>
      </c>
      <c r="X31" s="176" t="e">
        <f t="shared" si="57"/>
        <v>#VALUE!</v>
      </c>
      <c r="Y31" s="176" t="str">
        <f>IFERROR(VLOOKUP(MID(T31,W31,X31-W31),[6]skilldef!$C:$D,2,FALSE),"-") &amp; " / " &amp; IFERROR(VLOOKUP(MID(T31,U31,V31-U31),[6]skilldef!$A:$B,2,FALSE),"-")</f>
        <v>- / -</v>
      </c>
      <c r="Z31" s="174" t="s">
        <v>256</v>
      </c>
      <c r="AA31" s="177">
        <v>42629</v>
      </c>
      <c r="AB31" s="137" t="s">
        <v>356</v>
      </c>
    </row>
    <row r="32" spans="1:28" ht="85" thickBot="1" x14ac:dyDescent="0.2">
      <c r="A32" s="221">
        <v>40030330</v>
      </c>
      <c r="B32" s="222" t="s">
        <v>394</v>
      </c>
      <c r="C32" s="223">
        <v>3</v>
      </c>
      <c r="D32" s="223" t="s">
        <v>128</v>
      </c>
      <c r="E32" s="224" t="s">
        <v>357</v>
      </c>
      <c r="F32" s="224" t="s">
        <v>305</v>
      </c>
      <c r="G32" s="225" t="str">
        <f t="shared" si="43"/>
        <v>[effect:tolerance, target:myself, turn:-1, count:-1, tolerance_effect:all, animation:enemy_tolerance]</v>
      </c>
      <c r="H32" s="225">
        <f t="shared" si="44"/>
        <v>9</v>
      </c>
      <c r="I32" s="225">
        <f t="shared" si="45"/>
        <v>18</v>
      </c>
      <c r="J32" s="225">
        <f t="shared" si="46"/>
        <v>27</v>
      </c>
      <c r="K32" s="225">
        <f t="shared" si="47"/>
        <v>33</v>
      </c>
      <c r="L32" s="225" t="str">
        <f>IFERROR(VLOOKUP(MID(G32,J32,K32-J32),[6]skilldef!$C:$D,2,FALSE),"-") &amp; " / " &amp; IFERROR(VLOOKUP(MID(G32,H32,I32-H32),[6]skilldef!$A:$B,2,FALSE),"-")</f>
        <v>自分自身に / 状態異常耐性</v>
      </c>
      <c r="M32" s="225" t="str">
        <f t="shared" si="48"/>
        <v xml:space="preserve">[effect:enhance_enemy, target:myself, turn:3, status:attack, val:0.15, calc:mul, animation:enemy_enhance_attack],[effect:enemy_message, val1:2.4, val2:1.8]        </v>
      </c>
      <c r="N32" s="226" t="str">
        <f>IFERROR(LEFT(M32,FIND("],",M32)+#REF!),M32)</f>
        <v xml:space="preserve">[effect:enhance_enemy, target:myself, turn:3, status:attack, val:0.15, calc:mul, animation:enemy_enhance_attack],[effect:enemy_message, val1:2.4, val2:1.8]        </v>
      </c>
      <c r="O32" s="225">
        <f t="shared" si="49"/>
        <v>9</v>
      </c>
      <c r="P32" s="225">
        <f t="shared" si="50"/>
        <v>22</v>
      </c>
      <c r="Q32" s="225">
        <f t="shared" si="51"/>
        <v>31</v>
      </c>
      <c r="R32" s="225">
        <f t="shared" si="52"/>
        <v>37</v>
      </c>
      <c r="S32" s="225" t="str">
        <f>IFERROR(VLOOKUP(MID(N32,Q32,R32-Q32),[6]skilldef!$C:$D,2,FALSE),"-") &amp; " / " &amp; IFERROR(VLOOKUP(MID(N32,O32,P32-O32),[6]skilldef!$A:$B,2,FALSE),"-")</f>
        <v>自分自身に / ステータス強化</v>
      </c>
      <c r="T32" s="226" t="str">
        <f t="shared" si="53"/>
        <v xml:space="preserve">[effect:enemy_message, val1:2.4, val2:1.8]        </v>
      </c>
      <c r="U32" s="225">
        <f t="shared" si="54"/>
        <v>9</v>
      </c>
      <c r="V32" s="225">
        <f t="shared" si="55"/>
        <v>22</v>
      </c>
      <c r="W32" s="225" t="e">
        <f t="shared" si="56"/>
        <v>#VALUE!</v>
      </c>
      <c r="X32" s="225">
        <f t="shared" si="57"/>
        <v>32</v>
      </c>
      <c r="Y32" s="225" t="str">
        <f>IFERROR(VLOOKUP(MID(T32,W32,X32-W32),[6]skilldef!$C:$D,2,FALSE),"-") &amp; " / " &amp; IFERROR(VLOOKUP(MID(T32,U32,V32-U32),[6]skilldef!$A:$B,2,FALSE),"-")</f>
        <v>- / -</v>
      </c>
      <c r="Z32" s="223" t="s">
        <v>256</v>
      </c>
      <c r="AA32" s="227">
        <v>42629</v>
      </c>
      <c r="AB32" s="228" t="s">
        <v>356</v>
      </c>
    </row>
    <row r="33" spans="1:28" ht="43" thickBot="1" x14ac:dyDescent="0.2">
      <c r="A33" s="216">
        <v>40030331</v>
      </c>
      <c r="B33" s="94" t="s">
        <v>395</v>
      </c>
      <c r="C33" s="174">
        <v>3</v>
      </c>
      <c r="D33" s="217" t="s">
        <v>128</v>
      </c>
      <c r="E33" s="218" t="s">
        <v>332</v>
      </c>
      <c r="F33" s="218" t="s">
        <v>293</v>
      </c>
      <c r="G33" s="219" t="str">
        <f>IFERROR(LEFT(B33,FIND("],",B33)),B33)</f>
        <v xml:space="preserve">[effect:damage_abnormal, target:unit_one, val:0.6, status:virus, turn:1, rate:1, val_abnormal:0.3, animation:enemy_virus]    </v>
      </c>
      <c r="H33" s="219">
        <f>FIND("effect:",G33)+7</f>
        <v>9</v>
      </c>
      <c r="I33" s="219">
        <f>IFERROR(FIND(",",G33),LEN(G33))</f>
        <v>24</v>
      </c>
      <c r="J33" s="219">
        <f>FIND("target:",G33)+7</f>
        <v>33</v>
      </c>
      <c r="K33" s="219">
        <f>FIND(",",G33,I33+1)</f>
        <v>41</v>
      </c>
      <c r="L33" s="219" t="str">
        <f>IFERROR(VLOOKUP(MID(G33,J33,K33-J33),[6]skilldef!$C:$D,2,FALSE),"-") &amp; " / " &amp; IFERROR(VLOOKUP(MID(G33,H33,I33-H33),[6]skilldef!$A:$B,2,FALSE),"-")</f>
        <v>味方単体に / -</v>
      </c>
      <c r="M33" s="219" t="str">
        <f>IFERROR(RIGHT(B33,LEN(B33)-FIND("],",B33)-1),"none")</f>
        <v>none</v>
      </c>
      <c r="N33" s="96" t="str">
        <f t="shared" ref="N33:N36" si="58">IFERROR(LEFT(M33,FIND("],",M33)+S45),M33)</f>
        <v>none</v>
      </c>
      <c r="O33" s="219" t="e">
        <f>FIND("effect:",N33)+7</f>
        <v>#VALUE!</v>
      </c>
      <c r="P33" s="219">
        <f>IFERROR(FIND(",",N33),LEN(N33))</f>
        <v>4</v>
      </c>
      <c r="Q33" s="219" t="e">
        <f>FIND("target:",N33)+7</f>
        <v>#VALUE!</v>
      </c>
      <c r="R33" s="219" t="e">
        <f>FIND(",",N33,P33+1)</f>
        <v>#VALUE!</v>
      </c>
      <c r="S33" s="219" t="str">
        <f>IFERROR(VLOOKUP(MID(N33,Q33,R33-Q33),[6]skilldef!$C:$D,2,FALSE),"-") &amp; " / " &amp; IFERROR(VLOOKUP(MID(N33,O33,P33-O33),[6]skilldef!$A:$B,2,FALSE),"-")</f>
        <v>- / -</v>
      </c>
      <c r="T33" s="96" t="str">
        <f>IFERROR(RIGHT(M33,LEN(M33)-FIND("],",M33)-1),"none")</f>
        <v>none</v>
      </c>
      <c r="U33" s="219" t="e">
        <f>FIND("effect:",T33)+7</f>
        <v>#VALUE!</v>
      </c>
      <c r="V33" s="219">
        <f>IFERROR(FIND(",",T33),LEN(T33))</f>
        <v>4</v>
      </c>
      <c r="W33" s="219" t="e">
        <f>FIND("target:",T33)+7</f>
        <v>#VALUE!</v>
      </c>
      <c r="X33" s="219" t="e">
        <f>FIND(",",T33,V33+1)</f>
        <v>#VALUE!</v>
      </c>
      <c r="Y33" s="219" t="str">
        <f>IFERROR(VLOOKUP(MID(T33,W33,X33-W33),[6]skilldef!$C:$D,2,FALSE),"-") &amp; " / " &amp; IFERROR(VLOOKUP(MID(T33,U33,V33-U33),[6]skilldef!$A:$B,2,FALSE),"-")</f>
        <v>- / -</v>
      </c>
      <c r="Z33" s="217" t="s">
        <v>256</v>
      </c>
      <c r="AA33" s="220">
        <v>42622</v>
      </c>
      <c r="AB33" s="166" t="s">
        <v>264</v>
      </c>
    </row>
    <row r="34" spans="1:28" ht="29" thickBot="1" x14ac:dyDescent="0.2">
      <c r="A34" s="173">
        <v>40030332</v>
      </c>
      <c r="B34" s="97" t="s">
        <v>294</v>
      </c>
      <c r="C34" s="179">
        <v>3</v>
      </c>
      <c r="D34" s="179" t="s">
        <v>128</v>
      </c>
      <c r="E34" s="128" t="s">
        <v>314</v>
      </c>
      <c r="F34" s="128" t="s">
        <v>370</v>
      </c>
      <c r="G34" s="180" t="str">
        <f t="shared" ref="G34:G63" si="59">IFERROR(LEFT(B34,FIND("],",B34)),B34)</f>
        <v xml:space="preserve">[effect:rush, count:2, val:0.6]    </v>
      </c>
      <c r="H34" s="180">
        <f t="shared" ref="H34:H63" si="60">FIND("effect:",G34)+7</f>
        <v>9</v>
      </c>
      <c r="I34" s="180">
        <f t="shared" ref="I34:I63" si="61">IFERROR(FIND(",",G34),LEN(G34))</f>
        <v>13</v>
      </c>
      <c r="J34" s="180" t="e">
        <f t="shared" ref="J34:J63" si="62">FIND("target:",G34)+7</f>
        <v>#VALUE!</v>
      </c>
      <c r="K34" s="180">
        <f t="shared" ref="K34:K63" si="63">FIND(",",G34,I34+1)</f>
        <v>22</v>
      </c>
      <c r="L34" s="180" t="str">
        <f>IFERROR(VLOOKUP(MID(G34,J34,K34-J34),[6]skilldef!$C:$D,2,FALSE),"-") &amp; " / " &amp; IFERROR(VLOOKUP(MID(G34,H34,I34-H34),[6]skilldef!$A:$B,2,FALSE),"-")</f>
        <v>- / 連続攻撃</v>
      </c>
      <c r="M34" s="180" t="str">
        <f t="shared" ref="M34:M63" si="64">IFERROR(RIGHT(B34,LEN(B34)-FIND("],",B34)-1),"none")</f>
        <v>none</v>
      </c>
      <c r="N34" s="99" t="str">
        <f t="shared" si="58"/>
        <v>none</v>
      </c>
      <c r="O34" s="180" t="e">
        <f t="shared" ref="O34:O63" si="65">FIND("effect:",N34)+7</f>
        <v>#VALUE!</v>
      </c>
      <c r="P34" s="180">
        <f t="shared" ref="P34:P63" si="66">IFERROR(FIND(",",N34),LEN(N34))</f>
        <v>4</v>
      </c>
      <c r="Q34" s="180" t="e">
        <f t="shared" ref="Q34:Q63" si="67">FIND("target:",N34)+7</f>
        <v>#VALUE!</v>
      </c>
      <c r="R34" s="180" t="e">
        <f t="shared" ref="R34:R63" si="68">FIND(",",N34,P34+1)</f>
        <v>#VALUE!</v>
      </c>
      <c r="S34" s="180" t="str">
        <f>IFERROR(VLOOKUP(MID(N34,Q34,R34-Q34),[6]skilldef!$C:$D,2,FALSE),"-") &amp; " / " &amp; IFERROR(VLOOKUP(MID(N34,O34,P34-O34),[6]skilldef!$A:$B,2,FALSE),"-")</f>
        <v>- / -</v>
      </c>
      <c r="T34" s="99" t="str">
        <f t="shared" ref="T34:T63" si="69">IFERROR(RIGHT(M34,LEN(M34)-FIND("],",M34)-1),"none")</f>
        <v>none</v>
      </c>
      <c r="U34" s="180" t="e">
        <f t="shared" ref="U34:U63" si="70">FIND("effect:",T34)+7</f>
        <v>#VALUE!</v>
      </c>
      <c r="V34" s="180">
        <f t="shared" ref="V34:V63" si="71">IFERROR(FIND(",",T34),LEN(T34))</f>
        <v>4</v>
      </c>
      <c r="W34" s="180" t="e">
        <f t="shared" ref="W34:W63" si="72">FIND("target:",T34)+7</f>
        <v>#VALUE!</v>
      </c>
      <c r="X34" s="180" t="e">
        <f t="shared" ref="X34:X63" si="73">FIND(",",T34,V34+1)</f>
        <v>#VALUE!</v>
      </c>
      <c r="Y34" s="180" t="str">
        <f>IFERROR(VLOOKUP(MID(T34,W34,X34-W34),[6]skilldef!$C:$D,2,FALSE),"-") &amp; " / " &amp; IFERROR(VLOOKUP(MID(T34,U34,V34-U34),[6]skilldef!$A:$B,2,FALSE),"-")</f>
        <v>- / -</v>
      </c>
      <c r="Z34" s="179" t="s">
        <v>256</v>
      </c>
      <c r="AA34" s="181">
        <v>42622</v>
      </c>
      <c r="AB34" s="141" t="s">
        <v>265</v>
      </c>
    </row>
    <row r="35" spans="1:28" ht="43" thickBot="1" x14ac:dyDescent="0.2">
      <c r="A35" s="173">
        <v>40030333</v>
      </c>
      <c r="B35" s="134" t="s">
        <v>393</v>
      </c>
      <c r="C35" s="174">
        <v>3</v>
      </c>
      <c r="D35" s="174" t="s">
        <v>128</v>
      </c>
      <c r="E35" s="175" t="s">
        <v>326</v>
      </c>
      <c r="F35" s="175" t="s">
        <v>293</v>
      </c>
      <c r="G35" s="176" t="str">
        <f t="shared" si="59"/>
        <v xml:space="preserve">[effect:damage_abnormal, target:unit_one, val:0.6, status:virus, turn:1, rate:1, val_abnormal:0.45, animation:enemy_virus]    </v>
      </c>
      <c r="H35" s="176">
        <f t="shared" si="60"/>
        <v>9</v>
      </c>
      <c r="I35" s="176">
        <f t="shared" si="61"/>
        <v>24</v>
      </c>
      <c r="J35" s="176">
        <f t="shared" si="62"/>
        <v>33</v>
      </c>
      <c r="K35" s="176">
        <f t="shared" si="63"/>
        <v>41</v>
      </c>
      <c r="L35" s="176" t="str">
        <f>IFERROR(VLOOKUP(MID(G35,J35,K35-J35),[6]skilldef!$C:$D,2,FALSE),"-") &amp; " / " &amp; IFERROR(VLOOKUP(MID(G35,H35,I35-H35),[6]skilldef!$A:$B,2,FALSE),"-")</f>
        <v>味方単体に / -</v>
      </c>
      <c r="M35" s="176" t="str">
        <f t="shared" si="64"/>
        <v>none</v>
      </c>
      <c r="N35" s="136" t="str">
        <f t="shared" si="58"/>
        <v>none</v>
      </c>
      <c r="O35" s="176" t="e">
        <f t="shared" si="65"/>
        <v>#VALUE!</v>
      </c>
      <c r="P35" s="176">
        <f t="shared" si="66"/>
        <v>4</v>
      </c>
      <c r="Q35" s="176" t="e">
        <f t="shared" si="67"/>
        <v>#VALUE!</v>
      </c>
      <c r="R35" s="176" t="e">
        <f t="shared" si="68"/>
        <v>#VALUE!</v>
      </c>
      <c r="S35" s="176" t="str">
        <f>IFERROR(VLOOKUP(MID(N35,Q35,R35-Q35),[6]skilldef!$C:$D,2,FALSE),"-") &amp; " / " &amp; IFERROR(VLOOKUP(MID(N35,O35,P35-O35),[6]skilldef!$A:$B,2,FALSE),"-")</f>
        <v>- / -</v>
      </c>
      <c r="T35" s="136" t="str">
        <f t="shared" si="69"/>
        <v>none</v>
      </c>
      <c r="U35" s="176" t="e">
        <f t="shared" si="70"/>
        <v>#VALUE!</v>
      </c>
      <c r="V35" s="176">
        <f t="shared" si="71"/>
        <v>4</v>
      </c>
      <c r="W35" s="176" t="e">
        <f t="shared" si="72"/>
        <v>#VALUE!</v>
      </c>
      <c r="X35" s="176" t="e">
        <f t="shared" si="73"/>
        <v>#VALUE!</v>
      </c>
      <c r="Y35" s="176" t="str">
        <f>IFERROR(VLOOKUP(MID(T35,W35,X35-W35),[6]skilldef!$C:$D,2,FALSE),"-") &amp; " / " &amp; IFERROR(VLOOKUP(MID(T35,U35,V35-U35),[6]skilldef!$A:$B,2,FALSE),"-")</f>
        <v>- / -</v>
      </c>
      <c r="Z35" s="174" t="s">
        <v>256</v>
      </c>
      <c r="AA35" s="177">
        <v>42622</v>
      </c>
      <c r="AB35" s="137" t="s">
        <v>266</v>
      </c>
    </row>
    <row r="36" spans="1:28" ht="29" thickBot="1" x14ac:dyDescent="0.2">
      <c r="A36" s="173">
        <v>40030334</v>
      </c>
      <c r="B36" s="43" t="s">
        <v>294</v>
      </c>
      <c r="C36" s="46">
        <v>3</v>
      </c>
      <c r="D36" s="46" t="s">
        <v>128</v>
      </c>
      <c r="E36" s="47" t="s">
        <v>315</v>
      </c>
      <c r="F36" s="47" t="s">
        <v>370</v>
      </c>
      <c r="G36" s="58" t="str">
        <f t="shared" si="59"/>
        <v xml:space="preserve">[effect:rush, count:2, val:0.6]    </v>
      </c>
      <c r="H36" s="58">
        <f t="shared" si="60"/>
        <v>9</v>
      </c>
      <c r="I36" s="58">
        <f t="shared" si="61"/>
        <v>13</v>
      </c>
      <c r="J36" s="58" t="e">
        <f t="shared" si="62"/>
        <v>#VALUE!</v>
      </c>
      <c r="K36" s="58">
        <f t="shared" si="63"/>
        <v>22</v>
      </c>
      <c r="L36" s="58" t="str">
        <f>IFERROR(VLOOKUP(MID(G36,J36,K36-J36),[6]skilldef!$C:$D,2,FALSE),"-") &amp; " / " &amp; IFERROR(VLOOKUP(MID(G36,H36,I36-H36),[6]skilldef!$A:$B,2,FALSE),"-")</f>
        <v>- / 連続攻撃</v>
      </c>
      <c r="M36" s="58" t="str">
        <f t="shared" si="64"/>
        <v>none</v>
      </c>
      <c r="N36" s="44" t="str">
        <f t="shared" si="58"/>
        <v>none</v>
      </c>
      <c r="O36" s="58" t="e">
        <f t="shared" si="65"/>
        <v>#VALUE!</v>
      </c>
      <c r="P36" s="58">
        <f t="shared" si="66"/>
        <v>4</v>
      </c>
      <c r="Q36" s="58" t="e">
        <f t="shared" si="67"/>
        <v>#VALUE!</v>
      </c>
      <c r="R36" s="58" t="e">
        <f t="shared" si="68"/>
        <v>#VALUE!</v>
      </c>
      <c r="S36" s="58" t="str">
        <f>IFERROR(VLOOKUP(MID(N36,Q36,R36-Q36),[6]skilldef!$C:$D,2,FALSE),"-") &amp; " / " &amp; IFERROR(VLOOKUP(MID(N36,O36,P36-O36),[6]skilldef!$A:$B,2,FALSE),"-")</f>
        <v>- / -</v>
      </c>
      <c r="T36" s="44" t="str">
        <f t="shared" si="69"/>
        <v>none</v>
      </c>
      <c r="U36" s="58" t="e">
        <f t="shared" si="70"/>
        <v>#VALUE!</v>
      </c>
      <c r="V36" s="58">
        <f t="shared" si="71"/>
        <v>4</v>
      </c>
      <c r="W36" s="58" t="e">
        <f t="shared" si="72"/>
        <v>#VALUE!</v>
      </c>
      <c r="X36" s="58" t="e">
        <f t="shared" si="73"/>
        <v>#VALUE!</v>
      </c>
      <c r="Y36" s="58" t="str">
        <f>IFERROR(VLOOKUP(MID(T36,W36,X36-W36),[6]skilldef!$C:$D,2,FALSE),"-") &amp; " / " &amp; IFERROR(VLOOKUP(MID(T36,U36,V36-U36),[6]skilldef!$A:$B,2,FALSE),"-")</f>
        <v>- / -</v>
      </c>
      <c r="Z36" s="46" t="s">
        <v>256</v>
      </c>
      <c r="AA36" s="48">
        <v>42622</v>
      </c>
      <c r="AB36" s="139" t="s">
        <v>267</v>
      </c>
    </row>
    <row r="37" spans="1:28" ht="29" thickBot="1" x14ac:dyDescent="0.2">
      <c r="A37" s="173">
        <v>40030335</v>
      </c>
      <c r="B37" s="97" t="s">
        <v>382</v>
      </c>
      <c r="C37" s="179">
        <v>3</v>
      </c>
      <c r="D37" s="179" t="s">
        <v>128</v>
      </c>
      <c r="E37" s="128" t="s">
        <v>313</v>
      </c>
      <c r="F37" s="128" t="s">
        <v>295</v>
      </c>
      <c r="G37" s="180" t="str">
        <f t="shared" si="59"/>
        <v xml:space="preserve">[effect:critical, val:1.75, animation:enemy_critical]    </v>
      </c>
      <c r="H37" s="180">
        <f t="shared" si="60"/>
        <v>9</v>
      </c>
      <c r="I37" s="180">
        <f t="shared" si="61"/>
        <v>17</v>
      </c>
      <c r="J37" s="180" t="e">
        <f t="shared" si="62"/>
        <v>#VALUE!</v>
      </c>
      <c r="K37" s="180">
        <f t="shared" si="63"/>
        <v>27</v>
      </c>
      <c r="L37" s="180" t="str">
        <f>IFERROR(VLOOKUP(MID(G37,J37,K37-J37),[6]skilldef!$C:$D,2,FALSE),"-") &amp; " / " &amp; IFERROR(VLOOKUP(MID(G37,H37,I37-H37),[6]skilldef!$A:$B,2,FALSE),"-")</f>
        <v>- / 大攻撃</v>
      </c>
      <c r="M37" s="180" t="str">
        <f t="shared" si="64"/>
        <v>none</v>
      </c>
      <c r="N37" s="99" t="str">
        <f t="shared" ref="N37:N44" si="74">IFERROR(LEFT(M37,FIND("],",M37)+S50),M37)</f>
        <v>none</v>
      </c>
      <c r="O37" s="180" t="e">
        <f t="shared" si="65"/>
        <v>#VALUE!</v>
      </c>
      <c r="P37" s="180">
        <f t="shared" si="66"/>
        <v>4</v>
      </c>
      <c r="Q37" s="180" t="e">
        <f t="shared" si="67"/>
        <v>#VALUE!</v>
      </c>
      <c r="R37" s="180" t="e">
        <f t="shared" si="68"/>
        <v>#VALUE!</v>
      </c>
      <c r="S37" s="180" t="str">
        <f>IFERROR(VLOOKUP(MID(N37,Q37,R37-Q37),[6]skilldef!$C:$D,2,FALSE),"-") &amp; " / " &amp; IFERROR(VLOOKUP(MID(N37,O37,P37-O37),[6]skilldef!$A:$B,2,FALSE),"-")</f>
        <v>- / -</v>
      </c>
      <c r="T37" s="99" t="str">
        <f t="shared" si="69"/>
        <v>none</v>
      </c>
      <c r="U37" s="180" t="e">
        <f t="shared" si="70"/>
        <v>#VALUE!</v>
      </c>
      <c r="V37" s="180">
        <f t="shared" si="71"/>
        <v>4</v>
      </c>
      <c r="W37" s="180" t="e">
        <f t="shared" si="72"/>
        <v>#VALUE!</v>
      </c>
      <c r="X37" s="180" t="e">
        <f t="shared" si="73"/>
        <v>#VALUE!</v>
      </c>
      <c r="Y37" s="180" t="str">
        <f>IFERROR(VLOOKUP(MID(T37,W37,X37-W37),[6]skilldef!$C:$D,2,FALSE),"-") &amp; " / " &amp; IFERROR(VLOOKUP(MID(T37,U37,V37-U37),[6]skilldef!$A:$B,2,FALSE),"-")</f>
        <v>- / -</v>
      </c>
      <c r="Z37" s="179" t="s">
        <v>256</v>
      </c>
      <c r="AA37" s="181">
        <v>42622</v>
      </c>
      <c r="AB37" s="141" t="s">
        <v>268</v>
      </c>
    </row>
    <row r="38" spans="1:28" ht="43" thickBot="1" x14ac:dyDescent="0.2">
      <c r="A38" s="173">
        <v>40030336</v>
      </c>
      <c r="B38" s="134" t="s">
        <v>297</v>
      </c>
      <c r="C38" s="174">
        <v>3</v>
      </c>
      <c r="D38" s="174" t="s">
        <v>128</v>
      </c>
      <c r="E38" s="175" t="s">
        <v>316</v>
      </c>
      <c r="F38" s="175" t="s">
        <v>369</v>
      </c>
      <c r="G38" s="176" t="str">
        <f t="shared" si="59"/>
        <v xml:space="preserve">[effect:force_change_block, new_block:time_bomb, target:block_red, count:0, val:0.1, min_time_count:5, max_time_count:5, animation:change_block]    </v>
      </c>
      <c r="H38" s="176">
        <f t="shared" si="60"/>
        <v>9</v>
      </c>
      <c r="I38" s="176">
        <f t="shared" si="61"/>
        <v>27</v>
      </c>
      <c r="J38" s="176">
        <f t="shared" si="62"/>
        <v>57</v>
      </c>
      <c r="K38" s="176">
        <f t="shared" si="63"/>
        <v>48</v>
      </c>
      <c r="L38" s="176" t="str">
        <f>IFERROR(VLOOKUP(MID(G38,J38,K38-J38),[6]skilldef!$C:$D,2,FALSE),"-") &amp; " / " &amp; IFERROR(VLOOKUP(MID(G38,H38,I38-H38),[6]skilldef!$A:$B,2,FALSE),"-")</f>
        <v>- / -</v>
      </c>
      <c r="M38" s="176" t="str">
        <f t="shared" si="64"/>
        <v>none</v>
      </c>
      <c r="N38" s="136" t="str">
        <f t="shared" si="74"/>
        <v>none</v>
      </c>
      <c r="O38" s="176" t="e">
        <f t="shared" si="65"/>
        <v>#VALUE!</v>
      </c>
      <c r="P38" s="176">
        <f t="shared" si="66"/>
        <v>4</v>
      </c>
      <c r="Q38" s="176" t="e">
        <f t="shared" si="67"/>
        <v>#VALUE!</v>
      </c>
      <c r="R38" s="176" t="e">
        <f t="shared" si="68"/>
        <v>#VALUE!</v>
      </c>
      <c r="S38" s="176" t="str">
        <f>IFERROR(VLOOKUP(MID(N38,Q38,R38-Q38),[6]skilldef!$C:$D,2,FALSE),"-") &amp; " / " &amp; IFERROR(VLOOKUP(MID(N38,O38,P38-O38),[6]skilldef!$A:$B,2,FALSE),"-")</f>
        <v>- / -</v>
      </c>
      <c r="T38" s="136" t="str">
        <f t="shared" si="69"/>
        <v>none</v>
      </c>
      <c r="U38" s="176" t="e">
        <f t="shared" si="70"/>
        <v>#VALUE!</v>
      </c>
      <c r="V38" s="176">
        <f t="shared" si="71"/>
        <v>4</v>
      </c>
      <c r="W38" s="176" t="e">
        <f t="shared" si="72"/>
        <v>#VALUE!</v>
      </c>
      <c r="X38" s="176" t="e">
        <f t="shared" si="73"/>
        <v>#VALUE!</v>
      </c>
      <c r="Y38" s="176" t="str">
        <f>IFERROR(VLOOKUP(MID(T38,W38,X38-W38),[6]skilldef!$C:$D,2,FALSE),"-") &amp; " / " &amp; IFERROR(VLOOKUP(MID(T38,U38,V38-U38),[6]skilldef!$A:$B,2,FALSE),"-")</f>
        <v>- / -</v>
      </c>
      <c r="Z38" s="174" t="s">
        <v>256</v>
      </c>
      <c r="AA38" s="177">
        <v>42622</v>
      </c>
      <c r="AB38" s="137" t="s">
        <v>287</v>
      </c>
    </row>
    <row r="39" spans="1:28" ht="43" thickBot="1" x14ac:dyDescent="0.2">
      <c r="A39" s="173">
        <v>40030337</v>
      </c>
      <c r="B39" s="97" t="s">
        <v>383</v>
      </c>
      <c r="C39" s="179">
        <v>3</v>
      </c>
      <c r="D39" s="179" t="s">
        <v>128</v>
      </c>
      <c r="E39" s="128" t="s">
        <v>317</v>
      </c>
      <c r="F39" s="128" t="s">
        <v>296</v>
      </c>
      <c r="G39" s="180" t="str">
        <f t="shared" si="59"/>
        <v>[effect:kamikaze, val:1.2]</v>
      </c>
      <c r="H39" s="180">
        <f t="shared" si="60"/>
        <v>9</v>
      </c>
      <c r="I39" s="180">
        <f t="shared" si="61"/>
        <v>17</v>
      </c>
      <c r="J39" s="180" t="e">
        <f t="shared" si="62"/>
        <v>#VALUE!</v>
      </c>
      <c r="K39" s="180" t="e">
        <f t="shared" si="63"/>
        <v>#VALUE!</v>
      </c>
      <c r="L39" s="180" t="str">
        <f>IFERROR(VLOOKUP(MID(G39,J39,K39-J39),[6]skilldef!$C:$D,2,FALSE),"-") &amp; " / " &amp; IFERROR(VLOOKUP(MID(G39,H39,I39-H39),[6]skilldef!$A:$B,2,FALSE),"-")</f>
        <v>- / 自爆</v>
      </c>
      <c r="M39" s="180" t="str">
        <f t="shared" si="64"/>
        <v>[effect:virus, target:unit_all, turn:-1, rate:1, val:0.1, animation:enemy_virus]</v>
      </c>
      <c r="N39" s="99" t="str">
        <f t="shared" si="74"/>
        <v>[effect:virus, target:unit_all, turn:-1, rate:1, val:0.1, animation:enemy_virus]</v>
      </c>
      <c r="O39" s="180">
        <f t="shared" si="65"/>
        <v>9</v>
      </c>
      <c r="P39" s="180">
        <f t="shared" si="66"/>
        <v>14</v>
      </c>
      <c r="Q39" s="180">
        <f t="shared" si="67"/>
        <v>23</v>
      </c>
      <c r="R39" s="180">
        <f t="shared" si="68"/>
        <v>31</v>
      </c>
      <c r="S39" s="180" t="str">
        <f>IFERROR(VLOOKUP(MID(N39,Q39,R39-Q39),[6]skilldef!$C:$D,2,FALSE),"-") &amp; " / " &amp; IFERROR(VLOOKUP(MID(N39,O39,P39-O39),[6]skilldef!$A:$B,2,FALSE),"-")</f>
        <v>味方全体に / ウィルス</v>
      </c>
      <c r="T39" s="99" t="str">
        <f t="shared" si="69"/>
        <v>none</v>
      </c>
      <c r="U39" s="180" t="e">
        <f t="shared" si="70"/>
        <v>#VALUE!</v>
      </c>
      <c r="V39" s="180">
        <f t="shared" si="71"/>
        <v>4</v>
      </c>
      <c r="W39" s="180" t="e">
        <f t="shared" si="72"/>
        <v>#VALUE!</v>
      </c>
      <c r="X39" s="180" t="e">
        <f t="shared" si="73"/>
        <v>#VALUE!</v>
      </c>
      <c r="Y39" s="180" t="str">
        <f>IFERROR(VLOOKUP(MID(T39,W39,X39-W39),[6]skilldef!$C:$D,2,FALSE),"-") &amp; " / " &amp; IFERROR(VLOOKUP(MID(T39,U39,V39-U39),[6]skilldef!$A:$B,2,FALSE),"-")</f>
        <v>- / -</v>
      </c>
      <c r="Z39" s="179" t="s">
        <v>256</v>
      </c>
      <c r="AA39" s="181">
        <v>42622</v>
      </c>
      <c r="AB39" s="141" t="s">
        <v>270</v>
      </c>
    </row>
    <row r="40" spans="1:28" ht="29" thickBot="1" x14ac:dyDescent="0.2">
      <c r="A40" s="173">
        <v>40030338</v>
      </c>
      <c r="B40" s="134" t="s">
        <v>340</v>
      </c>
      <c r="C40" s="174">
        <v>3</v>
      </c>
      <c r="D40" s="174" t="s">
        <v>128</v>
      </c>
      <c r="E40" s="175" t="s">
        <v>345</v>
      </c>
      <c r="F40" s="175" t="s">
        <v>298</v>
      </c>
      <c r="G40" s="176" t="str">
        <f t="shared" si="59"/>
        <v xml:space="preserve">[effect:spread, val:0.4]    </v>
      </c>
      <c r="H40" s="176">
        <f t="shared" si="60"/>
        <v>9</v>
      </c>
      <c r="I40" s="176">
        <f t="shared" si="61"/>
        <v>15</v>
      </c>
      <c r="J40" s="176" t="e">
        <f t="shared" si="62"/>
        <v>#VALUE!</v>
      </c>
      <c r="K40" s="176" t="e">
        <f t="shared" si="63"/>
        <v>#VALUE!</v>
      </c>
      <c r="L40" s="176" t="str">
        <f>IFERROR(VLOOKUP(MID(G40,J40,K40-J40),[6]skilldef!$C:$D,2,FALSE),"-") &amp; " / " &amp; IFERROR(VLOOKUP(MID(G40,H40,I40-H40),[6]skilldef!$A:$B,2,FALSE),"-")</f>
        <v>- / 全体攻撃</v>
      </c>
      <c r="M40" s="176" t="str">
        <f t="shared" si="64"/>
        <v>none</v>
      </c>
      <c r="N40" s="136" t="str">
        <f t="shared" si="74"/>
        <v>none</v>
      </c>
      <c r="O40" s="176" t="e">
        <f t="shared" si="65"/>
        <v>#VALUE!</v>
      </c>
      <c r="P40" s="176">
        <f t="shared" si="66"/>
        <v>4</v>
      </c>
      <c r="Q40" s="176" t="e">
        <f t="shared" si="67"/>
        <v>#VALUE!</v>
      </c>
      <c r="R40" s="176" t="e">
        <f t="shared" si="68"/>
        <v>#VALUE!</v>
      </c>
      <c r="S40" s="176" t="str">
        <f>IFERROR(VLOOKUP(MID(N40,Q40,R40-Q40),[6]skilldef!$C:$D,2,FALSE),"-") &amp; " / " &amp; IFERROR(VLOOKUP(MID(N40,O40,P40-O40),[6]skilldef!$A:$B,2,FALSE),"-")</f>
        <v>- / -</v>
      </c>
      <c r="T40" s="136" t="str">
        <f t="shared" si="69"/>
        <v>none</v>
      </c>
      <c r="U40" s="176" t="e">
        <f t="shared" si="70"/>
        <v>#VALUE!</v>
      </c>
      <c r="V40" s="176">
        <f t="shared" si="71"/>
        <v>4</v>
      </c>
      <c r="W40" s="176" t="e">
        <f t="shared" si="72"/>
        <v>#VALUE!</v>
      </c>
      <c r="X40" s="176" t="e">
        <f t="shared" si="73"/>
        <v>#VALUE!</v>
      </c>
      <c r="Y40" s="176" t="str">
        <f>IFERROR(VLOOKUP(MID(T40,W40,X40-W40),[6]skilldef!$C:$D,2,FALSE),"-") &amp; " / " &amp; IFERROR(VLOOKUP(MID(T40,U40,V40-U40),[6]skilldef!$A:$B,2,FALSE),"-")</f>
        <v>- / -</v>
      </c>
      <c r="Z40" s="174" t="s">
        <v>256</v>
      </c>
      <c r="AA40" s="177">
        <v>42622</v>
      </c>
      <c r="AB40" s="137" t="s">
        <v>271</v>
      </c>
    </row>
    <row r="41" spans="1:28" ht="71" thickBot="1" x14ac:dyDescent="0.2">
      <c r="A41" s="173">
        <v>40030339</v>
      </c>
      <c r="B41" s="97" t="s">
        <v>343</v>
      </c>
      <c r="C41" s="179">
        <v>3</v>
      </c>
      <c r="D41" s="179" t="s">
        <v>128</v>
      </c>
      <c r="E41" s="128" t="s">
        <v>320</v>
      </c>
      <c r="F41" s="128" t="s">
        <v>299</v>
      </c>
      <c r="G41" s="180" t="str">
        <f t="shared" si="59"/>
        <v>[effect:freq_turn, target:myself, turn:3, val:1, animation:enemy_freq_turn]</v>
      </c>
      <c r="H41" s="180">
        <f t="shared" si="60"/>
        <v>9</v>
      </c>
      <c r="I41" s="180">
        <f t="shared" si="61"/>
        <v>18</v>
      </c>
      <c r="J41" s="180">
        <f t="shared" si="62"/>
        <v>27</v>
      </c>
      <c r="K41" s="180">
        <f t="shared" si="63"/>
        <v>33</v>
      </c>
      <c r="L41" s="180" t="str">
        <f>IFERROR(VLOOKUP(MID(G41,J41,K41-J41),[6]skilldef!$C:$D,2,FALSE),"-") &amp; " / " &amp; IFERROR(VLOOKUP(MID(G41,H41,I41-H41),[6]skilldef!$A:$B,2,FALSE),"-")</f>
        <v>自分自身に / 攻撃頻度がUP</v>
      </c>
      <c r="M41" s="180" t="str">
        <f t="shared" si="64"/>
        <v xml:space="preserve">[effect:enhance_enemy, target:myself, turn:3, status:attack, val:0.4, calc:mul, animation:enemy_enhance_attack]    </v>
      </c>
      <c r="N41" s="99" t="str">
        <f t="shared" si="74"/>
        <v xml:space="preserve">[effect:enhance_enemy, target:myself, turn:3, status:attack, val:0.4, calc:mul, animation:enemy_enhance_attack]    </v>
      </c>
      <c r="O41" s="180">
        <f t="shared" si="65"/>
        <v>9</v>
      </c>
      <c r="P41" s="180">
        <f t="shared" si="66"/>
        <v>22</v>
      </c>
      <c r="Q41" s="180">
        <f t="shared" si="67"/>
        <v>31</v>
      </c>
      <c r="R41" s="180">
        <f t="shared" si="68"/>
        <v>37</v>
      </c>
      <c r="S41" s="180" t="str">
        <f>IFERROR(VLOOKUP(MID(N41,Q41,R41-Q41),[6]skilldef!$C:$D,2,FALSE),"-") &amp; " / " &amp; IFERROR(VLOOKUP(MID(N41,O41,P41-O41),[6]skilldef!$A:$B,2,FALSE),"-")</f>
        <v>自分自身に / ステータス強化</v>
      </c>
      <c r="T41" s="99" t="str">
        <f t="shared" si="69"/>
        <v>none</v>
      </c>
      <c r="U41" s="180" t="e">
        <f t="shared" si="70"/>
        <v>#VALUE!</v>
      </c>
      <c r="V41" s="180">
        <f t="shared" si="71"/>
        <v>4</v>
      </c>
      <c r="W41" s="180" t="e">
        <f t="shared" si="72"/>
        <v>#VALUE!</v>
      </c>
      <c r="X41" s="180" t="e">
        <f t="shared" si="73"/>
        <v>#VALUE!</v>
      </c>
      <c r="Y41" s="180" t="str">
        <f>IFERROR(VLOOKUP(MID(T41,W41,X41-W41),[6]skilldef!$C:$D,2,FALSE),"-") &amp; " / " &amp; IFERROR(VLOOKUP(MID(T41,U41,V41-U41),[6]skilldef!$A:$B,2,FALSE),"-")</f>
        <v>- / -</v>
      </c>
      <c r="Z41" s="179" t="s">
        <v>256</v>
      </c>
      <c r="AA41" s="181">
        <v>42622</v>
      </c>
      <c r="AB41" s="141" t="s">
        <v>272</v>
      </c>
    </row>
    <row r="42" spans="1:28" ht="29" thickBot="1" x14ac:dyDescent="0.2">
      <c r="A42" s="173">
        <v>40030340</v>
      </c>
      <c r="B42" s="134" t="s">
        <v>381</v>
      </c>
      <c r="C42" s="174">
        <v>3</v>
      </c>
      <c r="D42" s="174" t="s">
        <v>128</v>
      </c>
      <c r="E42" s="175" t="s">
        <v>321</v>
      </c>
      <c r="F42" s="175" t="s">
        <v>298</v>
      </c>
      <c r="G42" s="176" t="str">
        <f t="shared" si="59"/>
        <v xml:space="preserve">[effect:spread, val:0.4]    </v>
      </c>
      <c r="H42" s="176">
        <f t="shared" si="60"/>
        <v>9</v>
      </c>
      <c r="I42" s="176">
        <f t="shared" si="61"/>
        <v>15</v>
      </c>
      <c r="J42" s="176" t="e">
        <f t="shared" si="62"/>
        <v>#VALUE!</v>
      </c>
      <c r="K42" s="176" t="e">
        <f t="shared" si="63"/>
        <v>#VALUE!</v>
      </c>
      <c r="L42" s="176" t="str">
        <f>IFERROR(VLOOKUP(MID(G42,J42,K42-J42),[6]skilldef!$C:$D,2,FALSE),"-") &amp; " / " &amp; IFERROR(VLOOKUP(MID(G42,H42,I42-H42),[6]skilldef!$A:$B,2,FALSE),"-")</f>
        <v>- / 全体攻撃</v>
      </c>
      <c r="M42" s="176" t="str">
        <f t="shared" si="64"/>
        <v>none</v>
      </c>
      <c r="N42" s="136" t="str">
        <f t="shared" si="74"/>
        <v>none</v>
      </c>
      <c r="O42" s="176" t="e">
        <f t="shared" si="65"/>
        <v>#VALUE!</v>
      </c>
      <c r="P42" s="176">
        <f t="shared" si="66"/>
        <v>4</v>
      </c>
      <c r="Q42" s="176" t="e">
        <f t="shared" si="67"/>
        <v>#VALUE!</v>
      </c>
      <c r="R42" s="176" t="e">
        <f t="shared" si="68"/>
        <v>#VALUE!</v>
      </c>
      <c r="S42" s="176" t="str">
        <f>IFERROR(VLOOKUP(MID(N42,Q42,R42-Q42),[6]skilldef!$C:$D,2,FALSE),"-") &amp; " / " &amp; IFERROR(VLOOKUP(MID(N42,O42,P42-O42),[6]skilldef!$A:$B,2,FALSE),"-")</f>
        <v>- / -</v>
      </c>
      <c r="T42" s="136" t="str">
        <f t="shared" si="69"/>
        <v>none</v>
      </c>
      <c r="U42" s="176" t="e">
        <f t="shared" si="70"/>
        <v>#VALUE!</v>
      </c>
      <c r="V42" s="176">
        <f t="shared" si="71"/>
        <v>4</v>
      </c>
      <c r="W42" s="176" t="e">
        <f t="shared" si="72"/>
        <v>#VALUE!</v>
      </c>
      <c r="X42" s="176" t="e">
        <f t="shared" si="73"/>
        <v>#VALUE!</v>
      </c>
      <c r="Y42" s="176" t="str">
        <f>IFERROR(VLOOKUP(MID(T42,W42,X42-W42),[6]skilldef!$C:$D,2,FALSE),"-") &amp; " / " &amp; IFERROR(VLOOKUP(MID(T42,U42,V42-U42),[6]skilldef!$A:$B,2,FALSE),"-")</f>
        <v>- / -</v>
      </c>
      <c r="Z42" s="174" t="s">
        <v>256</v>
      </c>
      <c r="AA42" s="177">
        <v>42622</v>
      </c>
      <c r="AB42" s="137" t="s">
        <v>273</v>
      </c>
    </row>
    <row r="43" spans="1:28" ht="71" thickBot="1" x14ac:dyDescent="0.2">
      <c r="A43" s="173">
        <v>40030341</v>
      </c>
      <c r="B43" s="43" t="s">
        <v>380</v>
      </c>
      <c r="C43" s="46">
        <v>3</v>
      </c>
      <c r="D43" s="46" t="s">
        <v>128</v>
      </c>
      <c r="E43" s="47" t="s">
        <v>318</v>
      </c>
      <c r="F43" s="47" t="s">
        <v>371</v>
      </c>
      <c r="G43" s="58" t="str">
        <f t="shared" si="59"/>
        <v>[effect:fix_speed, target:myself, turn:1]</v>
      </c>
      <c r="H43" s="58">
        <f t="shared" si="60"/>
        <v>9</v>
      </c>
      <c r="I43" s="58">
        <f t="shared" si="61"/>
        <v>18</v>
      </c>
      <c r="J43" s="58">
        <f t="shared" si="62"/>
        <v>27</v>
      </c>
      <c r="K43" s="58">
        <f t="shared" si="63"/>
        <v>33</v>
      </c>
      <c r="L43" s="58" t="str">
        <f>IFERROR(VLOOKUP(MID(G43,J43,K43-J43),[6]skilldef!$C:$D,2,FALSE),"-") &amp; " / " &amp; IFERROR(VLOOKUP(MID(G43,H43,I43-H43),[6]skilldef!$A:$B,2,FALSE),"-")</f>
        <v>自分自身に / 行動値設定</v>
      </c>
      <c r="M43" s="58" t="str">
        <f t="shared" si="64"/>
        <v xml:space="preserve">[effect:enhance_enemy, target:myself, turn:-1, status:attack, val:0.35, calc:mul, animation:enemy_enhance_attack]  </v>
      </c>
      <c r="N43" s="44" t="str">
        <f t="shared" si="74"/>
        <v xml:space="preserve">[effect:enhance_enemy, target:myself, turn:-1, status:attack, val:0.35, calc:mul, animation:enemy_enhance_attack]  </v>
      </c>
      <c r="O43" s="58">
        <f t="shared" si="65"/>
        <v>9</v>
      </c>
      <c r="P43" s="58">
        <f t="shared" si="66"/>
        <v>22</v>
      </c>
      <c r="Q43" s="58">
        <f t="shared" si="67"/>
        <v>31</v>
      </c>
      <c r="R43" s="58">
        <f t="shared" si="68"/>
        <v>37</v>
      </c>
      <c r="S43" s="58" t="str">
        <f>IFERROR(VLOOKUP(MID(N43,Q43,R43-Q43),[6]skilldef!$C:$D,2,FALSE),"-") &amp; " / " &amp; IFERROR(VLOOKUP(MID(N43,O43,P43-O43),[6]skilldef!$A:$B,2,FALSE),"-")</f>
        <v>自分自身に / ステータス強化</v>
      </c>
      <c r="T43" s="44" t="str">
        <f t="shared" si="69"/>
        <v>none</v>
      </c>
      <c r="U43" s="58" t="e">
        <f t="shared" si="70"/>
        <v>#VALUE!</v>
      </c>
      <c r="V43" s="58">
        <f t="shared" si="71"/>
        <v>4</v>
      </c>
      <c r="W43" s="58" t="e">
        <f t="shared" si="72"/>
        <v>#VALUE!</v>
      </c>
      <c r="X43" s="58" t="e">
        <f t="shared" si="73"/>
        <v>#VALUE!</v>
      </c>
      <c r="Y43" s="58" t="str">
        <f>IFERROR(VLOOKUP(MID(T43,W43,X43-W43),[6]skilldef!$C:$D,2,FALSE),"-") &amp; " / " &amp; IFERROR(VLOOKUP(MID(T43,U43,V43-U43),[6]skilldef!$A:$B,2,FALSE),"-")</f>
        <v>- / -</v>
      </c>
      <c r="Z43" s="46" t="s">
        <v>256</v>
      </c>
      <c r="AA43" s="48">
        <v>42622</v>
      </c>
      <c r="AB43" s="139" t="s">
        <v>274</v>
      </c>
    </row>
    <row r="44" spans="1:28" ht="19" customHeight="1" thickBot="1" x14ac:dyDescent="0.2">
      <c r="A44" s="173">
        <v>40030342</v>
      </c>
      <c r="B44" s="43" t="s">
        <v>379</v>
      </c>
      <c r="C44" s="46">
        <v>3</v>
      </c>
      <c r="D44" s="46" t="s">
        <v>128</v>
      </c>
      <c r="E44" s="47" t="s">
        <v>319</v>
      </c>
      <c r="F44" s="47" t="s">
        <v>370</v>
      </c>
      <c r="G44" s="58" t="str">
        <f t="shared" si="59"/>
        <v xml:space="preserve">[effect:rush, count:2, val:0.7] </v>
      </c>
      <c r="H44" s="58">
        <f t="shared" si="60"/>
        <v>9</v>
      </c>
      <c r="I44" s="58">
        <f t="shared" si="61"/>
        <v>13</v>
      </c>
      <c r="J44" s="58" t="e">
        <f t="shared" si="62"/>
        <v>#VALUE!</v>
      </c>
      <c r="K44" s="58">
        <f t="shared" si="63"/>
        <v>22</v>
      </c>
      <c r="L44" s="58" t="str">
        <f>IFERROR(VLOOKUP(MID(G44,J44,K44-J44),[6]skilldef!$C:$D,2,FALSE),"-") &amp; " / " &amp; IFERROR(VLOOKUP(MID(G44,H44,I44-H44),[6]skilldef!$A:$B,2,FALSE),"-")</f>
        <v>- / 連続攻撃</v>
      </c>
      <c r="M44" s="58" t="str">
        <f t="shared" si="64"/>
        <v>none</v>
      </c>
      <c r="N44" s="44" t="str">
        <f t="shared" si="74"/>
        <v>none</v>
      </c>
      <c r="O44" s="58" t="e">
        <f t="shared" si="65"/>
        <v>#VALUE!</v>
      </c>
      <c r="P44" s="58">
        <f t="shared" si="66"/>
        <v>4</v>
      </c>
      <c r="Q44" s="58" t="e">
        <f t="shared" si="67"/>
        <v>#VALUE!</v>
      </c>
      <c r="R44" s="58" t="e">
        <f t="shared" si="68"/>
        <v>#VALUE!</v>
      </c>
      <c r="S44" s="58" t="str">
        <f>IFERROR(VLOOKUP(MID(N44,Q44,R44-Q44),[6]skilldef!$C:$D,2,FALSE),"-") &amp; " / " &amp; IFERROR(VLOOKUP(MID(N44,O44,P44-O44),[6]skilldef!$A:$B,2,FALSE),"-")</f>
        <v>- / -</v>
      </c>
      <c r="T44" s="44" t="str">
        <f t="shared" si="69"/>
        <v>none</v>
      </c>
      <c r="U44" s="58" t="e">
        <f t="shared" si="70"/>
        <v>#VALUE!</v>
      </c>
      <c r="V44" s="58">
        <f t="shared" si="71"/>
        <v>4</v>
      </c>
      <c r="W44" s="58" t="e">
        <f t="shared" si="72"/>
        <v>#VALUE!</v>
      </c>
      <c r="X44" s="58" t="e">
        <f t="shared" si="73"/>
        <v>#VALUE!</v>
      </c>
      <c r="Y44" s="58" t="str">
        <f>IFERROR(VLOOKUP(MID(T44,W44,X44-W44),[6]skilldef!$C:$D,2,FALSE),"-") &amp; " / " &amp; IFERROR(VLOOKUP(MID(T44,U44,V44-U44),[6]skilldef!$A:$B,2,FALSE),"-")</f>
        <v>- / -</v>
      </c>
      <c r="Z44" s="46" t="s">
        <v>256</v>
      </c>
      <c r="AA44" s="48">
        <v>42622</v>
      </c>
      <c r="AB44" s="139" t="s">
        <v>275</v>
      </c>
    </row>
    <row r="45" spans="1:28" ht="29" thickBot="1" x14ac:dyDescent="0.2">
      <c r="A45" s="173">
        <v>40030343</v>
      </c>
      <c r="B45" s="97" t="s">
        <v>378</v>
      </c>
      <c r="C45" s="179">
        <v>3</v>
      </c>
      <c r="D45" s="179" t="s">
        <v>128</v>
      </c>
      <c r="E45" s="128" t="s">
        <v>346</v>
      </c>
      <c r="F45" s="128" t="s">
        <v>347</v>
      </c>
      <c r="G45" s="180" t="str">
        <f t="shared" si="59"/>
        <v>[effect:enemy_message, val1:3, val2:4]</v>
      </c>
      <c r="H45" s="180">
        <f t="shared" si="60"/>
        <v>9</v>
      </c>
      <c r="I45" s="180">
        <f t="shared" si="61"/>
        <v>22</v>
      </c>
      <c r="J45" s="180" t="e">
        <f t="shared" si="62"/>
        <v>#VALUE!</v>
      </c>
      <c r="K45" s="180">
        <f t="shared" si="63"/>
        <v>30</v>
      </c>
      <c r="L45" s="180" t="str">
        <f>IFERROR(VLOOKUP(MID(G45,J45,K45-J45),[6]skilldef!$C:$D,2,FALSE),"-") &amp; " / " &amp; IFERROR(VLOOKUP(MID(G45,H45,I45-H45),[6]skilldef!$A:$B,2,FALSE),"-")</f>
        <v>- / -</v>
      </c>
      <c r="M45" s="180" t="str">
        <f t="shared" si="64"/>
        <v>none</v>
      </c>
      <c r="N45" s="99" t="str">
        <f>IFERROR(LEFT(M45,FIND("],",M45)+S56),M45)</f>
        <v>none</v>
      </c>
      <c r="O45" s="180" t="e">
        <f t="shared" si="65"/>
        <v>#VALUE!</v>
      </c>
      <c r="P45" s="180">
        <f t="shared" si="66"/>
        <v>4</v>
      </c>
      <c r="Q45" s="180" t="e">
        <f t="shared" si="67"/>
        <v>#VALUE!</v>
      </c>
      <c r="R45" s="180" t="e">
        <f t="shared" si="68"/>
        <v>#VALUE!</v>
      </c>
      <c r="S45" s="180" t="str">
        <f>IFERROR(VLOOKUP(MID(N45,Q45,R45-Q45),[6]skilldef!$C:$D,2,FALSE),"-") &amp; " / " &amp; IFERROR(VLOOKUP(MID(N45,O45,P45-O45),[6]skilldef!$A:$B,2,FALSE),"-")</f>
        <v>- / -</v>
      </c>
      <c r="T45" s="99" t="str">
        <f t="shared" si="69"/>
        <v>none</v>
      </c>
      <c r="U45" s="180" t="e">
        <f t="shared" si="70"/>
        <v>#VALUE!</v>
      </c>
      <c r="V45" s="180">
        <f t="shared" si="71"/>
        <v>4</v>
      </c>
      <c r="W45" s="180" t="e">
        <f t="shared" si="72"/>
        <v>#VALUE!</v>
      </c>
      <c r="X45" s="180" t="e">
        <f t="shared" si="73"/>
        <v>#VALUE!</v>
      </c>
      <c r="Y45" s="180" t="str">
        <f>IFERROR(VLOOKUP(MID(T45,W45,X45-W45),[6]skilldef!$C:$D,2,FALSE),"-") &amp; " / " &amp; IFERROR(VLOOKUP(MID(T45,U45,V45-U45),[6]skilldef!$A:$B,2,FALSE),"-")</f>
        <v>- / -</v>
      </c>
      <c r="Z45" s="179" t="s">
        <v>256</v>
      </c>
      <c r="AA45" s="181">
        <v>42622</v>
      </c>
      <c r="AB45" s="141" t="s">
        <v>276</v>
      </c>
    </row>
    <row r="46" spans="1:28" ht="29" thickBot="1" x14ac:dyDescent="0.2">
      <c r="A46" s="173">
        <v>40030344</v>
      </c>
      <c r="B46" s="134" t="s">
        <v>300</v>
      </c>
      <c r="C46" s="174">
        <v>3</v>
      </c>
      <c r="D46" s="174" t="s">
        <v>128</v>
      </c>
      <c r="E46" s="175" t="s">
        <v>310</v>
      </c>
      <c r="F46" s="175" t="s">
        <v>304</v>
      </c>
      <c r="G46" s="176" t="str">
        <f t="shared" si="59"/>
        <v xml:space="preserve">[effect:tolerance, target:myself, turn:-1, count:-1, tolerance_effect:all, animation:enemy_tolerance]    </v>
      </c>
      <c r="H46" s="176">
        <f t="shared" si="60"/>
        <v>9</v>
      </c>
      <c r="I46" s="176">
        <f t="shared" si="61"/>
        <v>18</v>
      </c>
      <c r="J46" s="176">
        <f t="shared" si="62"/>
        <v>27</v>
      </c>
      <c r="K46" s="176">
        <f t="shared" si="63"/>
        <v>33</v>
      </c>
      <c r="L46" s="176" t="str">
        <f>IFERROR(VLOOKUP(MID(G46,J46,K46-J46),[6]skilldef!$C:$D,2,FALSE),"-") &amp; " / " &amp; IFERROR(VLOOKUP(MID(G46,H46,I46-H46),[6]skilldef!$A:$B,2,FALSE),"-")</f>
        <v>自分自身に / 状態異常耐性</v>
      </c>
      <c r="M46" s="176" t="str">
        <f t="shared" si="64"/>
        <v>none</v>
      </c>
      <c r="N46" s="136" t="str">
        <f>IFERROR(LEFT(M46,FIND("],",M46)+S57),M46)</f>
        <v>none</v>
      </c>
      <c r="O46" s="176" t="e">
        <f t="shared" si="65"/>
        <v>#VALUE!</v>
      </c>
      <c r="P46" s="176">
        <f t="shared" si="66"/>
        <v>4</v>
      </c>
      <c r="Q46" s="176" t="e">
        <f t="shared" si="67"/>
        <v>#VALUE!</v>
      </c>
      <c r="R46" s="176" t="e">
        <f t="shared" si="68"/>
        <v>#VALUE!</v>
      </c>
      <c r="S46" s="176" t="str">
        <f>IFERROR(VLOOKUP(MID(N46,Q46,R46-Q46),[6]skilldef!$C:$D,2,FALSE),"-") &amp; " / " &amp; IFERROR(VLOOKUP(MID(N46,O46,P46-O46),[6]skilldef!$A:$B,2,FALSE),"-")</f>
        <v>- / -</v>
      </c>
      <c r="T46" s="136" t="str">
        <f t="shared" si="69"/>
        <v>none</v>
      </c>
      <c r="U46" s="176" t="e">
        <f t="shared" si="70"/>
        <v>#VALUE!</v>
      </c>
      <c r="V46" s="176">
        <f t="shared" si="71"/>
        <v>4</v>
      </c>
      <c r="W46" s="176" t="e">
        <f t="shared" si="72"/>
        <v>#VALUE!</v>
      </c>
      <c r="X46" s="176" t="e">
        <f t="shared" si="73"/>
        <v>#VALUE!</v>
      </c>
      <c r="Y46" s="176" t="str">
        <f>IFERROR(VLOOKUP(MID(T46,W46,X46-W46),[6]skilldef!$C:$D,2,FALSE),"-") &amp; " / " &amp; IFERROR(VLOOKUP(MID(T46,U46,V46-U46),[6]skilldef!$A:$B,2,FALSE),"-")</f>
        <v>- / -</v>
      </c>
      <c r="Z46" s="174" t="s">
        <v>256</v>
      </c>
      <c r="AA46" s="177">
        <v>42622</v>
      </c>
      <c r="AB46" s="137" t="s">
        <v>277</v>
      </c>
    </row>
    <row r="47" spans="1:28" ht="57" thickBot="1" x14ac:dyDescent="0.2">
      <c r="A47" s="173">
        <v>40030345</v>
      </c>
      <c r="B47" s="43" t="s">
        <v>377</v>
      </c>
      <c r="C47" s="46">
        <v>3</v>
      </c>
      <c r="D47" s="46" t="s">
        <v>128</v>
      </c>
      <c r="E47" s="47" t="s">
        <v>367</v>
      </c>
      <c r="F47" s="47" t="s">
        <v>403</v>
      </c>
      <c r="G47" s="58" t="str">
        <f t="shared" si="59"/>
        <v xml:space="preserve">[effect:drop_block, block_type:time_bomb, block_color:block_red, color:block_blue, val:0.1, rate:0.5, turn:-1, min_time_count:3, max_time_count:5, animation:time_bomb_influence04]    </v>
      </c>
      <c r="H47" s="58">
        <f t="shared" si="60"/>
        <v>9</v>
      </c>
      <c r="I47" s="58">
        <f t="shared" si="61"/>
        <v>19</v>
      </c>
      <c r="J47" s="58" t="e">
        <f t="shared" si="62"/>
        <v>#VALUE!</v>
      </c>
      <c r="K47" s="58">
        <f t="shared" si="63"/>
        <v>41</v>
      </c>
      <c r="L47" s="58" t="str">
        <f>IFERROR(VLOOKUP(MID(G47,J47,K47-J47),[6]skilldef!$C:$D,2,FALSE),"-") &amp; " / " &amp; IFERROR(VLOOKUP(MID(G47,H47,I47-H47),[6]skilldef!$A:$B,2,FALSE),"-")</f>
        <v>- / 特定ブロックの割合ドロップ</v>
      </c>
      <c r="M47" s="58" t="str">
        <f t="shared" si="64"/>
        <v>none</v>
      </c>
      <c r="N47" s="44" t="str">
        <f>IFERROR(LEFT(M47,FIND("],",M47)+S58),M47)</f>
        <v>none</v>
      </c>
      <c r="O47" s="58" t="e">
        <f t="shared" si="65"/>
        <v>#VALUE!</v>
      </c>
      <c r="P47" s="58">
        <f t="shared" si="66"/>
        <v>4</v>
      </c>
      <c r="Q47" s="58" t="e">
        <f t="shared" si="67"/>
        <v>#VALUE!</v>
      </c>
      <c r="R47" s="58" t="e">
        <f t="shared" si="68"/>
        <v>#VALUE!</v>
      </c>
      <c r="S47" s="58" t="str">
        <f>IFERROR(VLOOKUP(MID(N47,Q47,R47-Q47),[6]skilldef!$C:$D,2,FALSE),"-") &amp; " / " &amp; IFERROR(VLOOKUP(MID(N47,O47,P47-O47),[6]skilldef!$A:$B,2,FALSE),"-")</f>
        <v>- / -</v>
      </c>
      <c r="T47" s="44" t="str">
        <f t="shared" si="69"/>
        <v>none</v>
      </c>
      <c r="U47" s="58" t="e">
        <f t="shared" si="70"/>
        <v>#VALUE!</v>
      </c>
      <c r="V47" s="58">
        <f t="shared" si="71"/>
        <v>4</v>
      </c>
      <c r="W47" s="58" t="e">
        <f t="shared" si="72"/>
        <v>#VALUE!</v>
      </c>
      <c r="X47" s="58" t="e">
        <f t="shared" si="73"/>
        <v>#VALUE!</v>
      </c>
      <c r="Y47" s="58" t="str">
        <f>IFERROR(VLOOKUP(MID(T47,W47,X47-W47),[6]skilldef!$C:$D,2,FALSE),"-") &amp; " / " &amp; IFERROR(VLOOKUP(MID(T47,U47,V47-U47),[6]skilldef!$A:$B,2,FALSE),"-")</f>
        <v>- / -</v>
      </c>
      <c r="Z47" s="46" t="s">
        <v>256</v>
      </c>
      <c r="AA47" s="48">
        <v>42622</v>
      </c>
      <c r="AB47" s="139" t="s">
        <v>278</v>
      </c>
    </row>
    <row r="48" spans="1:28" ht="43" thickBot="1" x14ac:dyDescent="0.2">
      <c r="A48" s="173">
        <v>40030346</v>
      </c>
      <c r="B48" s="97" t="s">
        <v>392</v>
      </c>
      <c r="C48" s="179">
        <v>3</v>
      </c>
      <c r="D48" s="179" t="s">
        <v>128</v>
      </c>
      <c r="E48" s="128" t="s">
        <v>348</v>
      </c>
      <c r="F48" s="128" t="s">
        <v>306</v>
      </c>
      <c r="G48" s="180" t="str">
        <f t="shared" si="59"/>
        <v xml:space="preserve">[effect:damage_abnormal, target:unit_one, val:1.1, status:virus, turn:1, rate:1, val_abnormal:0.35, animation:enemy_virus]    </v>
      </c>
      <c r="H48" s="180">
        <f t="shared" si="60"/>
        <v>9</v>
      </c>
      <c r="I48" s="180">
        <f t="shared" si="61"/>
        <v>24</v>
      </c>
      <c r="J48" s="180">
        <f t="shared" si="62"/>
        <v>33</v>
      </c>
      <c r="K48" s="180">
        <f t="shared" si="63"/>
        <v>41</v>
      </c>
      <c r="L48" s="180" t="str">
        <f>IFERROR(VLOOKUP(MID(G48,J48,K48-J48),[6]skilldef!$C:$D,2,FALSE),"-") &amp; " / " &amp; IFERROR(VLOOKUP(MID(G48,H48,I48-H48),[6]skilldef!$A:$B,2,FALSE),"-")</f>
        <v>味方単体に / -</v>
      </c>
      <c r="M48" s="180" t="str">
        <f t="shared" si="64"/>
        <v>none</v>
      </c>
      <c r="N48" s="99" t="str">
        <f>IFERROR(LEFT(M48,FIND("],",M48)+S59),M48)</f>
        <v>none</v>
      </c>
      <c r="O48" s="180" t="e">
        <f t="shared" si="65"/>
        <v>#VALUE!</v>
      </c>
      <c r="P48" s="180">
        <f t="shared" si="66"/>
        <v>4</v>
      </c>
      <c r="Q48" s="180" t="e">
        <f t="shared" si="67"/>
        <v>#VALUE!</v>
      </c>
      <c r="R48" s="180" t="e">
        <f t="shared" si="68"/>
        <v>#VALUE!</v>
      </c>
      <c r="S48" s="180" t="str">
        <f>IFERROR(VLOOKUP(MID(N48,Q48,R48-Q48),[6]skilldef!$C:$D,2,FALSE),"-") &amp; " / " &amp; IFERROR(VLOOKUP(MID(N48,O48,P48-O48),[6]skilldef!$A:$B,2,FALSE),"-")</f>
        <v>- / -</v>
      </c>
      <c r="T48" s="99" t="str">
        <f t="shared" si="69"/>
        <v>none</v>
      </c>
      <c r="U48" s="180" t="e">
        <f t="shared" si="70"/>
        <v>#VALUE!</v>
      </c>
      <c r="V48" s="180">
        <f t="shared" si="71"/>
        <v>4</v>
      </c>
      <c r="W48" s="180" t="e">
        <f t="shared" si="72"/>
        <v>#VALUE!</v>
      </c>
      <c r="X48" s="180" t="e">
        <f t="shared" si="73"/>
        <v>#VALUE!</v>
      </c>
      <c r="Y48" s="180" t="str">
        <f>IFERROR(VLOOKUP(MID(T48,W48,X48-W48),[6]skilldef!$C:$D,2,FALSE),"-") &amp; " / " &amp; IFERROR(VLOOKUP(MID(T48,U48,V48-U48),[6]skilldef!$A:$B,2,FALSE),"-")</f>
        <v>- / -</v>
      </c>
      <c r="Z48" s="179" t="s">
        <v>256</v>
      </c>
      <c r="AA48" s="181">
        <v>42622</v>
      </c>
      <c r="AB48" s="141" t="s">
        <v>279</v>
      </c>
    </row>
    <row r="49" spans="1:28" ht="71" thickBot="1" x14ac:dyDescent="0.2">
      <c r="A49" s="173">
        <v>40030347</v>
      </c>
      <c r="B49" s="134" t="s">
        <v>373</v>
      </c>
      <c r="C49" s="174">
        <v>3</v>
      </c>
      <c r="D49" s="174" t="s">
        <v>128</v>
      </c>
      <c r="E49" s="175" t="s">
        <v>368</v>
      </c>
      <c r="F49" s="175" t="s">
        <v>305</v>
      </c>
      <c r="G49" s="176" t="str">
        <f t="shared" si="59"/>
        <v>[effect:tolerance, target:myself, turn:-1, count:-1, tolerance_effect:all, animation:enemy_tolerance]</v>
      </c>
      <c r="H49" s="176">
        <f t="shared" si="60"/>
        <v>9</v>
      </c>
      <c r="I49" s="176">
        <f t="shared" si="61"/>
        <v>18</v>
      </c>
      <c r="J49" s="176">
        <f t="shared" si="62"/>
        <v>27</v>
      </c>
      <c r="K49" s="176">
        <f t="shared" si="63"/>
        <v>33</v>
      </c>
      <c r="L49" s="176" t="str">
        <f>IFERROR(VLOOKUP(MID(G49,J49,K49-J49),[6]skilldef!$C:$D,2,FALSE),"-") &amp; " / " &amp; IFERROR(VLOOKUP(MID(G49,H49,I49-H49),[6]skilldef!$A:$B,2,FALSE),"-")</f>
        <v>自分自身に / 状態異常耐性</v>
      </c>
      <c r="M49" s="176" t="str">
        <f t="shared" si="64"/>
        <v xml:space="preserve">[effect:enhance_enemy, target:myself, turn:3, status:attack, val:0.1, calc:mul, animation:enemy_enhance_attack]    </v>
      </c>
      <c r="N49" s="136" t="str">
        <f>IFERROR(LEFT(M49,FIND("],",M49)+S60),M49)</f>
        <v xml:space="preserve">[effect:enhance_enemy, target:myself, turn:3, status:attack, val:0.1, calc:mul, animation:enemy_enhance_attack]    </v>
      </c>
      <c r="O49" s="176">
        <f t="shared" si="65"/>
        <v>9</v>
      </c>
      <c r="P49" s="176">
        <f t="shared" si="66"/>
        <v>22</v>
      </c>
      <c r="Q49" s="176">
        <f t="shared" si="67"/>
        <v>31</v>
      </c>
      <c r="R49" s="176">
        <f t="shared" si="68"/>
        <v>37</v>
      </c>
      <c r="S49" s="176" t="str">
        <f>IFERROR(VLOOKUP(MID(N49,Q49,R49-Q49),[6]skilldef!$C:$D,2,FALSE),"-") &amp; " / " &amp; IFERROR(VLOOKUP(MID(N49,O49,P49-O49),[6]skilldef!$A:$B,2,FALSE),"-")</f>
        <v>自分自身に / ステータス強化</v>
      </c>
      <c r="T49" s="136" t="str">
        <f t="shared" si="69"/>
        <v>none</v>
      </c>
      <c r="U49" s="176" t="e">
        <f t="shared" si="70"/>
        <v>#VALUE!</v>
      </c>
      <c r="V49" s="176">
        <f t="shared" si="71"/>
        <v>4</v>
      </c>
      <c r="W49" s="176" t="e">
        <f t="shared" si="72"/>
        <v>#VALUE!</v>
      </c>
      <c r="X49" s="176" t="e">
        <f t="shared" si="73"/>
        <v>#VALUE!</v>
      </c>
      <c r="Y49" s="176" t="str">
        <f>IFERROR(VLOOKUP(MID(T49,W49,X49-W49),[6]skilldef!$C:$D,2,FALSE),"-") &amp; " / " &amp; IFERROR(VLOOKUP(MID(T49,U49,V49-U49),[6]skilldef!$A:$B,2,FALSE),"-")</f>
        <v>- / -</v>
      </c>
      <c r="Z49" s="174" t="s">
        <v>256</v>
      </c>
      <c r="AA49" s="177">
        <v>42622</v>
      </c>
      <c r="AB49" s="183" t="s">
        <v>280</v>
      </c>
    </row>
    <row r="50" spans="1:28" ht="57" thickBot="1" x14ac:dyDescent="0.2">
      <c r="A50" s="173">
        <v>40030348</v>
      </c>
      <c r="B50" s="43" t="s">
        <v>372</v>
      </c>
      <c r="C50" s="46">
        <v>3</v>
      </c>
      <c r="D50" s="46" t="s">
        <v>128</v>
      </c>
      <c r="E50" s="47" t="s">
        <v>349</v>
      </c>
      <c r="F50" s="47" t="s">
        <v>403</v>
      </c>
      <c r="G50" s="58" t="str">
        <f t="shared" si="59"/>
        <v xml:space="preserve">[effect:drop_block, block_type:time_bomb, block_color:block_red, color:block_blue, val:0.1, rate:0.5, turn:-1, min_time_count:3, max_time_count:5, animation:time_bomb_influence04]    </v>
      </c>
      <c r="H50" s="58">
        <f t="shared" si="60"/>
        <v>9</v>
      </c>
      <c r="I50" s="58">
        <f t="shared" si="61"/>
        <v>19</v>
      </c>
      <c r="J50" s="58" t="e">
        <f t="shared" si="62"/>
        <v>#VALUE!</v>
      </c>
      <c r="K50" s="58">
        <f t="shared" si="63"/>
        <v>41</v>
      </c>
      <c r="L50" s="58" t="str">
        <f>IFERROR(VLOOKUP(MID(G50,J50,K50-J50),[6]skilldef!$C:$D,2,FALSE),"-") &amp; " / " &amp; IFERROR(VLOOKUP(MID(G50,H50,I50-H50),[6]skilldef!$A:$B,2,FALSE),"-")</f>
        <v>- / 特定ブロックの割合ドロップ</v>
      </c>
      <c r="M50" s="58" t="str">
        <f t="shared" si="64"/>
        <v>none</v>
      </c>
      <c r="N50" s="44" t="str">
        <f t="shared" ref="N50" si="75">IFERROR(LEFT(M50,FIND("],",M50)+S60),M50)</f>
        <v>none</v>
      </c>
      <c r="O50" s="58" t="e">
        <f t="shared" si="65"/>
        <v>#VALUE!</v>
      </c>
      <c r="P50" s="58">
        <f t="shared" si="66"/>
        <v>4</v>
      </c>
      <c r="Q50" s="58" t="e">
        <f t="shared" si="67"/>
        <v>#VALUE!</v>
      </c>
      <c r="R50" s="58" t="e">
        <f t="shared" si="68"/>
        <v>#VALUE!</v>
      </c>
      <c r="S50" s="58" t="str">
        <f>IFERROR(VLOOKUP(MID(N50,Q50,R50-Q50),[6]skilldef!$C:$D,2,FALSE),"-") &amp; " / " &amp; IFERROR(VLOOKUP(MID(N50,O50,P50-O50),[6]skilldef!$A:$B,2,FALSE),"-")</f>
        <v>- / -</v>
      </c>
      <c r="T50" s="44" t="str">
        <f t="shared" si="69"/>
        <v>none</v>
      </c>
      <c r="U50" s="58" t="e">
        <f t="shared" si="70"/>
        <v>#VALUE!</v>
      </c>
      <c r="V50" s="58">
        <f t="shared" si="71"/>
        <v>4</v>
      </c>
      <c r="W50" s="58" t="e">
        <f t="shared" si="72"/>
        <v>#VALUE!</v>
      </c>
      <c r="X50" s="58" t="e">
        <f t="shared" si="73"/>
        <v>#VALUE!</v>
      </c>
      <c r="Y50" s="58" t="str">
        <f>IFERROR(VLOOKUP(MID(T50,W50,X50-W50),[6]skilldef!$C:$D,2,FALSE),"-") &amp; " / " &amp; IFERROR(VLOOKUP(MID(T50,U50,V50-U50),[6]skilldef!$A:$B,2,FALSE),"-")</f>
        <v>- / -</v>
      </c>
      <c r="Z50" s="46" t="s">
        <v>256</v>
      </c>
      <c r="AA50" s="48">
        <v>42622</v>
      </c>
      <c r="AB50" s="139" t="s">
        <v>278</v>
      </c>
    </row>
    <row r="51" spans="1:28" ht="43" thickBot="1" x14ac:dyDescent="0.2">
      <c r="A51" s="173">
        <v>40030349</v>
      </c>
      <c r="B51" s="97" t="s">
        <v>391</v>
      </c>
      <c r="C51" s="179">
        <v>3</v>
      </c>
      <c r="D51" s="179" t="s">
        <v>128</v>
      </c>
      <c r="E51" s="128" t="s">
        <v>350</v>
      </c>
      <c r="F51" s="128" t="s">
        <v>306</v>
      </c>
      <c r="G51" s="180" t="str">
        <f t="shared" si="59"/>
        <v xml:space="preserve">[effect:damage_abnormal, target:unit_one, val:1.2, status:virus, turn:1, rate:1, val_abnormal:0.4, animation:enemy_virus]    </v>
      </c>
      <c r="H51" s="180">
        <f t="shared" si="60"/>
        <v>9</v>
      </c>
      <c r="I51" s="180">
        <f t="shared" si="61"/>
        <v>24</v>
      </c>
      <c r="J51" s="180">
        <f t="shared" si="62"/>
        <v>33</v>
      </c>
      <c r="K51" s="180">
        <f t="shared" si="63"/>
        <v>41</v>
      </c>
      <c r="L51" s="180" t="str">
        <f>IFERROR(VLOOKUP(MID(G51,J51,K51-J51),[6]skilldef!$C:$D,2,FALSE),"-") &amp; " / " &amp; IFERROR(VLOOKUP(MID(G51,H51,I51-H51),[6]skilldef!$A:$B,2,FALSE),"-")</f>
        <v>味方単体に / -</v>
      </c>
      <c r="M51" s="180" t="str">
        <f t="shared" si="64"/>
        <v>none</v>
      </c>
      <c r="N51" s="99" t="str">
        <f>IFERROR(LEFT(M51,FIND("],",M51)+#REF!),M51)</f>
        <v>none</v>
      </c>
      <c r="O51" s="180" t="e">
        <f t="shared" si="65"/>
        <v>#VALUE!</v>
      </c>
      <c r="P51" s="180">
        <f t="shared" si="66"/>
        <v>4</v>
      </c>
      <c r="Q51" s="180" t="e">
        <f t="shared" si="67"/>
        <v>#VALUE!</v>
      </c>
      <c r="R51" s="180" t="e">
        <f t="shared" si="68"/>
        <v>#VALUE!</v>
      </c>
      <c r="S51" s="180" t="str">
        <f>IFERROR(VLOOKUP(MID(N51,Q51,R51-Q51),[6]skilldef!$C:$D,2,FALSE),"-") &amp; " / " &amp; IFERROR(VLOOKUP(MID(N51,O51,P51-O51),[6]skilldef!$A:$B,2,FALSE),"-")</f>
        <v>- / -</v>
      </c>
      <c r="T51" s="99" t="str">
        <f t="shared" si="69"/>
        <v>none</v>
      </c>
      <c r="U51" s="180" t="e">
        <f t="shared" si="70"/>
        <v>#VALUE!</v>
      </c>
      <c r="V51" s="180">
        <f t="shared" si="71"/>
        <v>4</v>
      </c>
      <c r="W51" s="180" t="e">
        <f t="shared" si="72"/>
        <v>#VALUE!</v>
      </c>
      <c r="X51" s="180" t="e">
        <f t="shared" si="73"/>
        <v>#VALUE!</v>
      </c>
      <c r="Y51" s="180" t="str">
        <f>IFERROR(VLOOKUP(MID(T51,W51,X51-W51),[6]skilldef!$C:$D,2,FALSE),"-") &amp; " / " &amp; IFERROR(VLOOKUP(MID(T51,U51,V51-U51),[6]skilldef!$A:$B,2,FALSE),"-")</f>
        <v>- / -</v>
      </c>
      <c r="Z51" s="179" t="s">
        <v>256</v>
      </c>
      <c r="AA51" s="181">
        <v>42622</v>
      </c>
      <c r="AB51" s="141" t="s">
        <v>279</v>
      </c>
    </row>
    <row r="52" spans="1:28" ht="71" thickBot="1" x14ac:dyDescent="0.2">
      <c r="A52" s="173">
        <v>40030350</v>
      </c>
      <c r="B52" s="134" t="s">
        <v>373</v>
      </c>
      <c r="C52" s="174">
        <v>3</v>
      </c>
      <c r="D52" s="174" t="s">
        <v>128</v>
      </c>
      <c r="E52" s="175" t="s">
        <v>351</v>
      </c>
      <c r="F52" s="175" t="s">
        <v>305</v>
      </c>
      <c r="G52" s="176" t="str">
        <f t="shared" si="59"/>
        <v>[effect:tolerance, target:myself, turn:-1, count:-1, tolerance_effect:all, animation:enemy_tolerance]</v>
      </c>
      <c r="H52" s="176">
        <f t="shared" si="60"/>
        <v>9</v>
      </c>
      <c r="I52" s="176">
        <f t="shared" si="61"/>
        <v>18</v>
      </c>
      <c r="J52" s="176">
        <f t="shared" si="62"/>
        <v>27</v>
      </c>
      <c r="K52" s="176">
        <f t="shared" si="63"/>
        <v>33</v>
      </c>
      <c r="L52" s="176" t="str">
        <f>IFERROR(VLOOKUP(MID(G52,J52,K52-J52),[6]skilldef!$C:$D,2,FALSE),"-") &amp; " / " &amp; IFERROR(VLOOKUP(MID(G52,H52,I52-H52),[6]skilldef!$A:$B,2,FALSE),"-")</f>
        <v>自分自身に / 状態異常耐性</v>
      </c>
      <c r="M52" s="176" t="str">
        <f t="shared" si="64"/>
        <v xml:space="preserve">[effect:enhance_enemy, target:myself, turn:3, status:attack, val:0.1, calc:mul, animation:enemy_enhance_attack]    </v>
      </c>
      <c r="N52" s="136" t="str">
        <f>IFERROR(LEFT(M52,FIND("],",M52)+#REF!),M52)</f>
        <v xml:space="preserve">[effect:enhance_enemy, target:myself, turn:3, status:attack, val:0.1, calc:mul, animation:enemy_enhance_attack]    </v>
      </c>
      <c r="O52" s="176">
        <f t="shared" si="65"/>
        <v>9</v>
      </c>
      <c r="P52" s="176">
        <f t="shared" si="66"/>
        <v>22</v>
      </c>
      <c r="Q52" s="176">
        <f t="shared" si="67"/>
        <v>31</v>
      </c>
      <c r="R52" s="176">
        <f t="shared" si="68"/>
        <v>37</v>
      </c>
      <c r="S52" s="176" t="str">
        <f>IFERROR(VLOOKUP(MID(N52,Q52,R52-Q52),[6]skilldef!$C:$D,2,FALSE),"-") &amp; " / " &amp; IFERROR(VLOOKUP(MID(N52,O52,P52-O52),[6]skilldef!$A:$B,2,FALSE),"-")</f>
        <v>自分自身に / ステータス強化</v>
      </c>
      <c r="T52" s="136" t="str">
        <f t="shared" si="69"/>
        <v>none</v>
      </c>
      <c r="U52" s="176" t="e">
        <f t="shared" si="70"/>
        <v>#VALUE!</v>
      </c>
      <c r="V52" s="176">
        <f t="shared" si="71"/>
        <v>4</v>
      </c>
      <c r="W52" s="176" t="e">
        <f t="shared" si="72"/>
        <v>#VALUE!</v>
      </c>
      <c r="X52" s="176" t="e">
        <f t="shared" si="73"/>
        <v>#VALUE!</v>
      </c>
      <c r="Y52" s="176" t="str">
        <f>IFERROR(VLOOKUP(MID(T52,W52,X52-W52),[6]skilldef!$C:$D,2,FALSE),"-") &amp; " / " &amp; IFERROR(VLOOKUP(MID(T52,U52,V52-U52),[6]skilldef!$A:$B,2,FALSE),"-")</f>
        <v>- / -</v>
      </c>
      <c r="Z52" s="174" t="s">
        <v>256</v>
      </c>
      <c r="AA52" s="177">
        <v>42622</v>
      </c>
      <c r="AB52" s="183" t="s">
        <v>280</v>
      </c>
    </row>
    <row r="53" spans="1:28" ht="57" thickBot="1" x14ac:dyDescent="0.2">
      <c r="A53" s="173">
        <v>40030351</v>
      </c>
      <c r="B53" s="43" t="s">
        <v>372</v>
      </c>
      <c r="C53" s="46">
        <v>3</v>
      </c>
      <c r="D53" s="46" t="s">
        <v>128</v>
      </c>
      <c r="E53" s="47" t="s">
        <v>355</v>
      </c>
      <c r="F53" s="47" t="s">
        <v>404</v>
      </c>
      <c r="G53" s="58" t="str">
        <f t="shared" si="59"/>
        <v xml:space="preserve">[effect:drop_block, block_type:time_bomb, block_color:block_red, color:block_blue, val:0.1, rate:0.5, turn:-1, min_time_count:3, max_time_count:5, animation:time_bomb_influence04]    </v>
      </c>
      <c r="H53" s="58">
        <f t="shared" si="60"/>
        <v>9</v>
      </c>
      <c r="I53" s="58">
        <f t="shared" si="61"/>
        <v>19</v>
      </c>
      <c r="J53" s="58" t="e">
        <f t="shared" si="62"/>
        <v>#VALUE!</v>
      </c>
      <c r="K53" s="58">
        <f t="shared" si="63"/>
        <v>41</v>
      </c>
      <c r="L53" s="58" t="str">
        <f>IFERROR(VLOOKUP(MID(G53,J53,K53-J53),[6]skilldef!$C:$D,2,FALSE),"-") &amp; " / " &amp; IFERROR(VLOOKUP(MID(G53,H53,I53-H53),[6]skilldef!$A:$B,2,FALSE),"-")</f>
        <v>- / 特定ブロックの割合ドロップ</v>
      </c>
      <c r="M53" s="58" t="str">
        <f t="shared" si="64"/>
        <v>none</v>
      </c>
      <c r="N53" s="44" t="str">
        <f>IFERROR(LEFT(M53,FIND("],",M53)+#REF!),M53)</f>
        <v>none</v>
      </c>
      <c r="O53" s="58" t="e">
        <f t="shared" si="65"/>
        <v>#VALUE!</v>
      </c>
      <c r="P53" s="58">
        <f t="shared" si="66"/>
        <v>4</v>
      </c>
      <c r="Q53" s="58" t="e">
        <f t="shared" si="67"/>
        <v>#VALUE!</v>
      </c>
      <c r="R53" s="58" t="e">
        <f t="shared" si="68"/>
        <v>#VALUE!</v>
      </c>
      <c r="S53" s="58" t="str">
        <f>IFERROR(VLOOKUP(MID(N53,Q53,R53-Q53),[6]skilldef!$C:$D,2,FALSE),"-") &amp; " / " &amp; IFERROR(VLOOKUP(MID(N53,O53,P53-O53),[6]skilldef!$A:$B,2,FALSE),"-")</f>
        <v>- / -</v>
      </c>
      <c r="T53" s="44" t="str">
        <f t="shared" si="69"/>
        <v>none</v>
      </c>
      <c r="U53" s="58" t="e">
        <f t="shared" si="70"/>
        <v>#VALUE!</v>
      </c>
      <c r="V53" s="58">
        <f t="shared" si="71"/>
        <v>4</v>
      </c>
      <c r="W53" s="58" t="e">
        <f t="shared" si="72"/>
        <v>#VALUE!</v>
      </c>
      <c r="X53" s="58" t="e">
        <f t="shared" si="73"/>
        <v>#VALUE!</v>
      </c>
      <c r="Y53" s="58" t="str">
        <f>IFERROR(VLOOKUP(MID(T53,W53,X53-W53),[6]skilldef!$C:$D,2,FALSE),"-") &amp; " / " &amp; IFERROR(VLOOKUP(MID(T53,U53,V53-U53),[6]skilldef!$A:$B,2,FALSE),"-")</f>
        <v>- / -</v>
      </c>
      <c r="Z53" s="46" t="s">
        <v>256</v>
      </c>
      <c r="AA53" s="48">
        <v>42622</v>
      </c>
      <c r="AB53" s="139" t="s">
        <v>278</v>
      </c>
    </row>
    <row r="54" spans="1:28" ht="43" thickBot="1" x14ac:dyDescent="0.2">
      <c r="A54" s="173">
        <v>40030352</v>
      </c>
      <c r="B54" s="43" t="s">
        <v>390</v>
      </c>
      <c r="C54" s="46">
        <v>3</v>
      </c>
      <c r="D54" s="46" t="s">
        <v>128</v>
      </c>
      <c r="E54" s="47" t="s">
        <v>311</v>
      </c>
      <c r="F54" s="47" t="s">
        <v>307</v>
      </c>
      <c r="G54" s="58" t="str">
        <f t="shared" si="59"/>
        <v xml:space="preserve">[effect:damage_abnormal, target:unit_one, val:1.2, status:virus, turn:1, rate:1, val_abnormal:0.45, animation:enemy_virus]    </v>
      </c>
      <c r="H54" s="58">
        <f t="shared" si="60"/>
        <v>9</v>
      </c>
      <c r="I54" s="58">
        <f t="shared" si="61"/>
        <v>24</v>
      </c>
      <c r="J54" s="58">
        <f t="shared" si="62"/>
        <v>33</v>
      </c>
      <c r="K54" s="58">
        <f t="shared" si="63"/>
        <v>41</v>
      </c>
      <c r="L54" s="58" t="str">
        <f>IFERROR(VLOOKUP(MID(G54,J54,K54-J54),[6]skilldef!$C:$D,2,FALSE),"-") &amp; " / " &amp; IFERROR(VLOOKUP(MID(G54,H54,I54-H54),[6]skilldef!$A:$B,2,FALSE),"-")</f>
        <v>味方単体に / -</v>
      </c>
      <c r="M54" s="58" t="str">
        <f t="shared" si="64"/>
        <v>none</v>
      </c>
      <c r="N54" s="44" t="str">
        <f>IFERROR(LEFT(M54,FIND("],",M54)+#REF!),M54)</f>
        <v>none</v>
      </c>
      <c r="O54" s="58" t="e">
        <f t="shared" si="65"/>
        <v>#VALUE!</v>
      </c>
      <c r="P54" s="58">
        <f t="shared" si="66"/>
        <v>4</v>
      </c>
      <c r="Q54" s="58" t="e">
        <f t="shared" si="67"/>
        <v>#VALUE!</v>
      </c>
      <c r="R54" s="58" t="e">
        <f t="shared" si="68"/>
        <v>#VALUE!</v>
      </c>
      <c r="S54" s="58" t="str">
        <f>IFERROR(VLOOKUP(MID(N54,Q54,R54-Q54),[6]skilldef!$C:$D,2,FALSE),"-") &amp; " / " &amp; IFERROR(VLOOKUP(MID(N54,O54,P54-O54),[6]skilldef!$A:$B,2,FALSE),"-")</f>
        <v>- / -</v>
      </c>
      <c r="T54" s="44" t="str">
        <f t="shared" si="69"/>
        <v>none</v>
      </c>
      <c r="U54" s="58" t="e">
        <f t="shared" si="70"/>
        <v>#VALUE!</v>
      </c>
      <c r="V54" s="58">
        <f t="shared" si="71"/>
        <v>4</v>
      </c>
      <c r="W54" s="58" t="e">
        <f t="shared" si="72"/>
        <v>#VALUE!</v>
      </c>
      <c r="X54" s="58" t="e">
        <f t="shared" si="73"/>
        <v>#VALUE!</v>
      </c>
      <c r="Y54" s="58" t="str">
        <f>IFERROR(VLOOKUP(MID(T54,W54,X54-W54),[6]skilldef!$C:$D,2,FALSE),"-") &amp; " / " &amp; IFERROR(VLOOKUP(MID(T54,U54,V54-U54),[6]skilldef!$A:$B,2,FALSE),"-")</f>
        <v>- / -</v>
      </c>
      <c r="Z54" s="46" t="s">
        <v>256</v>
      </c>
      <c r="AA54" s="48">
        <v>42622</v>
      </c>
      <c r="AB54" s="139" t="s">
        <v>279</v>
      </c>
    </row>
    <row r="55" spans="1:28" ht="29" thickBot="1" x14ac:dyDescent="0.2">
      <c r="A55" s="173">
        <v>40030353</v>
      </c>
      <c r="B55" s="43" t="s">
        <v>374</v>
      </c>
      <c r="C55" s="46">
        <v>3</v>
      </c>
      <c r="D55" s="46" t="s">
        <v>128</v>
      </c>
      <c r="E55" s="47" t="s">
        <v>352</v>
      </c>
      <c r="F55" s="47" t="s">
        <v>308</v>
      </c>
      <c r="G55" s="58" t="str">
        <f t="shared" si="59"/>
        <v xml:space="preserve">[effect:enhance_enemy, target:myself, turn:-1, status:attack, val:0.2, calc:mul, animation:enemy_enhance_attack]    </v>
      </c>
      <c r="H55" s="58">
        <f t="shared" si="60"/>
        <v>9</v>
      </c>
      <c r="I55" s="58">
        <f t="shared" si="61"/>
        <v>22</v>
      </c>
      <c r="J55" s="58">
        <f t="shared" si="62"/>
        <v>31</v>
      </c>
      <c r="K55" s="58">
        <f t="shared" si="63"/>
        <v>37</v>
      </c>
      <c r="L55" s="58" t="str">
        <f>IFERROR(VLOOKUP(MID(G55,J55,K55-J55),[6]skilldef!$C:$D,2,FALSE),"-") &amp; " / " &amp; IFERROR(VLOOKUP(MID(G55,H55,I55-H55),[6]skilldef!$A:$B,2,FALSE),"-")</f>
        <v>自分自身に / ステータス強化</v>
      </c>
      <c r="M55" s="58" t="str">
        <f t="shared" si="64"/>
        <v>none</v>
      </c>
      <c r="N55" s="44" t="str">
        <f>IFERROR(LEFT(M55,FIND("],",M55)+#REF!),M55)</f>
        <v>none</v>
      </c>
      <c r="O55" s="58" t="e">
        <f t="shared" si="65"/>
        <v>#VALUE!</v>
      </c>
      <c r="P55" s="58">
        <f t="shared" si="66"/>
        <v>4</v>
      </c>
      <c r="Q55" s="58" t="e">
        <f t="shared" si="67"/>
        <v>#VALUE!</v>
      </c>
      <c r="R55" s="58" t="e">
        <f t="shared" si="68"/>
        <v>#VALUE!</v>
      </c>
      <c r="S55" s="58" t="str">
        <f>IFERROR(VLOOKUP(MID(N55,Q55,R55-Q55),[6]skilldef!$C:$D,2,FALSE),"-") &amp; " / " &amp; IFERROR(VLOOKUP(MID(N55,O55,P55-O55),[6]skilldef!$A:$B,2,FALSE),"-")</f>
        <v>- / -</v>
      </c>
      <c r="T55" s="44" t="str">
        <f t="shared" si="69"/>
        <v>none</v>
      </c>
      <c r="U55" s="58" t="e">
        <f t="shared" si="70"/>
        <v>#VALUE!</v>
      </c>
      <c r="V55" s="58">
        <f t="shared" si="71"/>
        <v>4</v>
      </c>
      <c r="W55" s="58" t="e">
        <f t="shared" si="72"/>
        <v>#VALUE!</v>
      </c>
      <c r="X55" s="58" t="e">
        <f t="shared" si="73"/>
        <v>#VALUE!</v>
      </c>
      <c r="Y55" s="58" t="str">
        <f>IFERROR(VLOOKUP(MID(T55,W55,X55-W55),[6]skilldef!$C:$D,2,FALSE),"-") &amp; " / " &amp; IFERROR(VLOOKUP(MID(T55,U55,V55-U55),[6]skilldef!$A:$B,2,FALSE),"-")</f>
        <v>- / -</v>
      </c>
      <c r="Z55" s="46" t="s">
        <v>256</v>
      </c>
      <c r="AA55" s="48">
        <v>42622</v>
      </c>
      <c r="AB55" s="139" t="s">
        <v>281</v>
      </c>
    </row>
    <row r="56" spans="1:28" ht="29" thickBot="1" x14ac:dyDescent="0.2">
      <c r="A56" s="173">
        <v>40030354</v>
      </c>
      <c r="B56" s="43" t="s">
        <v>303</v>
      </c>
      <c r="C56" s="46">
        <v>3</v>
      </c>
      <c r="D56" s="46" t="s">
        <v>128</v>
      </c>
      <c r="E56" s="47" t="s">
        <v>360</v>
      </c>
      <c r="F56" s="47" t="s">
        <v>309</v>
      </c>
      <c r="G56" s="58" t="str">
        <f t="shared" si="59"/>
        <v>[effect:spread, val:0.1]</v>
      </c>
      <c r="H56" s="58">
        <f t="shared" si="60"/>
        <v>9</v>
      </c>
      <c r="I56" s="58">
        <f t="shared" si="61"/>
        <v>15</v>
      </c>
      <c r="J56" s="58" t="e">
        <f t="shared" si="62"/>
        <v>#VALUE!</v>
      </c>
      <c r="K56" s="58" t="e">
        <f t="shared" si="63"/>
        <v>#VALUE!</v>
      </c>
      <c r="L56" s="58" t="str">
        <f>IFERROR(VLOOKUP(MID(G56,J56,K56-J56),[6]skilldef!$C:$D,2,FALSE),"-") &amp; " / " &amp; IFERROR(VLOOKUP(MID(G56,H56,I56-H56),[6]skilldef!$A:$B,2,FALSE),"-")</f>
        <v>- / 全体攻撃</v>
      </c>
      <c r="M56" s="58" t="str">
        <f t="shared" si="64"/>
        <v xml:space="preserve">[effect:rush, count:4, val:0.15] </v>
      </c>
      <c r="N56" s="44" t="str">
        <f>IFERROR(LEFT(M56,FIND("],",M56)+#REF!),M56)</f>
        <v xml:space="preserve">[effect:rush, count:4, val:0.15] </v>
      </c>
      <c r="O56" s="58">
        <f t="shared" si="65"/>
        <v>9</v>
      </c>
      <c r="P56" s="58">
        <f t="shared" si="66"/>
        <v>13</v>
      </c>
      <c r="Q56" s="58" t="e">
        <f t="shared" si="67"/>
        <v>#VALUE!</v>
      </c>
      <c r="R56" s="58">
        <f t="shared" si="68"/>
        <v>22</v>
      </c>
      <c r="S56" s="58" t="str">
        <f>IFERROR(VLOOKUP(MID(N56,Q56,R56-Q56),[6]skilldef!$C:$D,2,FALSE),"-") &amp; " / " &amp; IFERROR(VLOOKUP(MID(N56,O56,P56-O56),[6]skilldef!$A:$B,2,FALSE),"-")</f>
        <v>- / 連続攻撃</v>
      </c>
      <c r="T56" s="44" t="str">
        <f t="shared" si="69"/>
        <v>none</v>
      </c>
      <c r="U56" s="58" t="e">
        <f t="shared" si="70"/>
        <v>#VALUE!</v>
      </c>
      <c r="V56" s="58">
        <f t="shared" si="71"/>
        <v>4</v>
      </c>
      <c r="W56" s="58" t="e">
        <f t="shared" si="72"/>
        <v>#VALUE!</v>
      </c>
      <c r="X56" s="58" t="e">
        <f t="shared" si="73"/>
        <v>#VALUE!</v>
      </c>
      <c r="Y56" s="58" t="str">
        <f>IFERROR(VLOOKUP(MID(T56,W56,X56-W56),[6]skilldef!$C:$D,2,FALSE),"-") &amp; " / " &amp; IFERROR(VLOOKUP(MID(T56,U56,V56-U56),[6]skilldef!$A:$B,2,FALSE),"-")</f>
        <v>- / -</v>
      </c>
      <c r="Z56" s="46" t="s">
        <v>256</v>
      </c>
      <c r="AA56" s="48">
        <v>42622</v>
      </c>
      <c r="AB56" s="166" t="s">
        <v>282</v>
      </c>
    </row>
    <row r="57" spans="1:28" ht="29" thickBot="1" x14ac:dyDescent="0.2">
      <c r="A57" s="173">
        <v>40030355</v>
      </c>
      <c r="B57" s="43" t="s">
        <v>336</v>
      </c>
      <c r="C57" s="46">
        <v>3</v>
      </c>
      <c r="D57" s="46" t="s">
        <v>128</v>
      </c>
      <c r="E57" s="47" t="s">
        <v>353</v>
      </c>
      <c r="F57" s="47" t="s">
        <v>309</v>
      </c>
      <c r="G57" s="58" t="str">
        <f t="shared" si="59"/>
        <v>[effect:spread, val:0.12]</v>
      </c>
      <c r="H57" s="58">
        <f t="shared" si="60"/>
        <v>9</v>
      </c>
      <c r="I57" s="58">
        <f t="shared" si="61"/>
        <v>15</v>
      </c>
      <c r="J57" s="58" t="e">
        <f t="shared" si="62"/>
        <v>#VALUE!</v>
      </c>
      <c r="K57" s="58" t="e">
        <f t="shared" si="63"/>
        <v>#VALUE!</v>
      </c>
      <c r="L57" s="58" t="str">
        <f>IFERROR(VLOOKUP(MID(G57,J57,K57-J57),[6]skilldef!$C:$D,2,FALSE),"-") &amp; " / " &amp; IFERROR(VLOOKUP(MID(G57,H57,I57-H57),[6]skilldef!$A:$B,2,FALSE),"-")</f>
        <v>- / 全体攻撃</v>
      </c>
      <c r="M57" s="58" t="str">
        <f t="shared" si="64"/>
        <v xml:space="preserve">[effect:rush, count:4, val:0.2] </v>
      </c>
      <c r="N57" s="44" t="str">
        <f>IFERROR(LEFT(M57,FIND("],",M57)+#REF!),M57)</f>
        <v xml:space="preserve">[effect:rush, count:4, val:0.2] </v>
      </c>
      <c r="O57" s="58">
        <f t="shared" si="65"/>
        <v>9</v>
      </c>
      <c r="P57" s="58">
        <f t="shared" si="66"/>
        <v>13</v>
      </c>
      <c r="Q57" s="58" t="e">
        <f t="shared" si="67"/>
        <v>#VALUE!</v>
      </c>
      <c r="R57" s="58">
        <f t="shared" si="68"/>
        <v>22</v>
      </c>
      <c r="S57" s="58" t="str">
        <f>IFERROR(VLOOKUP(MID(N57,Q57,R57-Q57),[6]skilldef!$C:$D,2,FALSE),"-") &amp; " / " &amp; IFERROR(VLOOKUP(MID(N57,O57,P57-O57),[6]skilldef!$A:$B,2,FALSE),"-")</f>
        <v>- / 連続攻撃</v>
      </c>
      <c r="T57" s="44" t="str">
        <f t="shared" si="69"/>
        <v>none</v>
      </c>
      <c r="U57" s="58" t="e">
        <f t="shared" si="70"/>
        <v>#VALUE!</v>
      </c>
      <c r="V57" s="58">
        <f t="shared" si="71"/>
        <v>4</v>
      </c>
      <c r="W57" s="58" t="e">
        <f t="shared" si="72"/>
        <v>#VALUE!</v>
      </c>
      <c r="X57" s="58" t="e">
        <f t="shared" si="73"/>
        <v>#VALUE!</v>
      </c>
      <c r="Y57" s="58" t="str">
        <f>IFERROR(VLOOKUP(MID(T57,W57,X57-W57),[6]skilldef!$C:$D,2,FALSE),"-") &amp; " / " &amp; IFERROR(VLOOKUP(MID(T57,U57,V57-U57),[6]skilldef!$A:$B,2,FALSE),"-")</f>
        <v>- / -</v>
      </c>
      <c r="Z57" s="46" t="s">
        <v>256</v>
      </c>
      <c r="AA57" s="48">
        <v>42622</v>
      </c>
      <c r="AB57" s="166" t="s">
        <v>283</v>
      </c>
    </row>
    <row r="58" spans="1:28" ht="29" thickBot="1" x14ac:dyDescent="0.2">
      <c r="A58" s="173">
        <v>40030356</v>
      </c>
      <c r="B58" s="43" t="s">
        <v>375</v>
      </c>
      <c r="C58" s="46">
        <v>3</v>
      </c>
      <c r="D58" s="46" t="s">
        <v>128</v>
      </c>
      <c r="E58" s="47" t="s">
        <v>354</v>
      </c>
      <c r="F58" s="47" t="s">
        <v>309</v>
      </c>
      <c r="G58" s="58" t="str">
        <f t="shared" si="59"/>
        <v>[effect:spread, val:0.2]</v>
      </c>
      <c r="H58" s="58">
        <f t="shared" si="60"/>
        <v>9</v>
      </c>
      <c r="I58" s="58">
        <f t="shared" si="61"/>
        <v>15</v>
      </c>
      <c r="J58" s="58" t="e">
        <f t="shared" si="62"/>
        <v>#VALUE!</v>
      </c>
      <c r="K58" s="58" t="e">
        <f t="shared" si="63"/>
        <v>#VALUE!</v>
      </c>
      <c r="L58" s="58" t="str">
        <f>IFERROR(VLOOKUP(MID(G58,J58,K58-J58),[6]skilldef!$C:$D,2,FALSE),"-") &amp; " / " &amp; IFERROR(VLOOKUP(MID(G58,H58,I58-H58),[6]skilldef!$A:$B,2,FALSE),"-")</f>
        <v>- / 全体攻撃</v>
      </c>
      <c r="M58" s="58" t="str">
        <f t="shared" si="64"/>
        <v xml:space="preserve">[effect:rush, count:4, val:0.25] </v>
      </c>
      <c r="N58" s="44" t="str">
        <f>IFERROR(LEFT(M58,FIND("],",M58)+#REF!),M58)</f>
        <v xml:space="preserve">[effect:rush, count:4, val:0.25] </v>
      </c>
      <c r="O58" s="58">
        <f t="shared" si="65"/>
        <v>9</v>
      </c>
      <c r="P58" s="58">
        <f t="shared" si="66"/>
        <v>13</v>
      </c>
      <c r="Q58" s="58" t="e">
        <f t="shared" si="67"/>
        <v>#VALUE!</v>
      </c>
      <c r="R58" s="58">
        <f t="shared" si="68"/>
        <v>22</v>
      </c>
      <c r="S58" s="58" t="str">
        <f>IFERROR(VLOOKUP(MID(N58,Q58,R58-Q58),[6]skilldef!$C:$D,2,FALSE),"-") &amp; " / " &amp; IFERROR(VLOOKUP(MID(N58,O58,P58-O58),[6]skilldef!$A:$B,2,FALSE),"-")</f>
        <v>- / 連続攻撃</v>
      </c>
      <c r="T58" s="44" t="str">
        <f t="shared" si="69"/>
        <v>none</v>
      </c>
      <c r="U58" s="58" t="e">
        <f t="shared" si="70"/>
        <v>#VALUE!</v>
      </c>
      <c r="V58" s="58">
        <f t="shared" si="71"/>
        <v>4</v>
      </c>
      <c r="W58" s="58" t="e">
        <f t="shared" si="72"/>
        <v>#VALUE!</v>
      </c>
      <c r="X58" s="58" t="e">
        <f t="shared" si="73"/>
        <v>#VALUE!</v>
      </c>
      <c r="Y58" s="58" t="str">
        <f>IFERROR(VLOOKUP(MID(T58,W58,X58-W58),[6]skilldef!$C:$D,2,FALSE),"-") &amp; " / " &amp; IFERROR(VLOOKUP(MID(T58,U58,V58-U58),[6]skilldef!$A:$B,2,FALSE),"-")</f>
        <v>- / -</v>
      </c>
      <c r="Z58" s="46" t="s">
        <v>256</v>
      </c>
      <c r="AA58" s="48">
        <v>42622</v>
      </c>
      <c r="AB58" s="166" t="s">
        <v>284</v>
      </c>
    </row>
    <row r="59" spans="1:28" ht="29" thickBot="1" x14ac:dyDescent="0.2">
      <c r="A59" s="173">
        <v>40030357</v>
      </c>
      <c r="B59" s="43" t="s">
        <v>376</v>
      </c>
      <c r="C59" s="46">
        <v>3</v>
      </c>
      <c r="D59" s="46" t="s">
        <v>128</v>
      </c>
      <c r="E59" s="47" t="s">
        <v>359</v>
      </c>
      <c r="F59" s="47" t="s">
        <v>309</v>
      </c>
      <c r="G59" s="58" t="str">
        <f t="shared" si="59"/>
        <v>[effect:spread, val:0.27]</v>
      </c>
      <c r="H59" s="58">
        <f t="shared" si="60"/>
        <v>9</v>
      </c>
      <c r="I59" s="58">
        <f t="shared" si="61"/>
        <v>15</v>
      </c>
      <c r="J59" s="58" t="e">
        <f t="shared" si="62"/>
        <v>#VALUE!</v>
      </c>
      <c r="K59" s="58" t="e">
        <f t="shared" si="63"/>
        <v>#VALUE!</v>
      </c>
      <c r="L59" s="58" t="str">
        <f>IFERROR(VLOOKUP(MID(G59,J59,K59-J59),[6]skilldef!$C:$D,2,FALSE),"-") &amp; " / " &amp; IFERROR(VLOOKUP(MID(G59,H59,I59-H59),[6]skilldef!$A:$B,2,FALSE),"-")</f>
        <v>- / 全体攻撃</v>
      </c>
      <c r="M59" s="58" t="str">
        <f t="shared" si="64"/>
        <v xml:space="preserve">[effect:rush, count:4, val:0.35] </v>
      </c>
      <c r="N59" s="44" t="str">
        <f>IFERROR(LEFT(M59,FIND("],",M59)+#REF!),M59)</f>
        <v xml:space="preserve">[effect:rush, count:4, val:0.35] </v>
      </c>
      <c r="O59" s="58">
        <f t="shared" si="65"/>
        <v>9</v>
      </c>
      <c r="P59" s="58">
        <f t="shared" si="66"/>
        <v>13</v>
      </c>
      <c r="Q59" s="58" t="e">
        <f t="shared" si="67"/>
        <v>#VALUE!</v>
      </c>
      <c r="R59" s="58">
        <f t="shared" si="68"/>
        <v>22</v>
      </c>
      <c r="S59" s="58" t="str">
        <f>IFERROR(VLOOKUP(MID(N59,Q59,R59-Q59),[6]skilldef!$C:$D,2,FALSE),"-") &amp; " / " &amp; IFERROR(VLOOKUP(MID(N59,O59,P59-O59),[6]skilldef!$A:$B,2,FALSE),"-")</f>
        <v>- / 連続攻撃</v>
      </c>
      <c r="T59" s="44" t="str">
        <f t="shared" si="69"/>
        <v>none</v>
      </c>
      <c r="U59" s="58" t="e">
        <f t="shared" si="70"/>
        <v>#VALUE!</v>
      </c>
      <c r="V59" s="58">
        <f t="shared" si="71"/>
        <v>4</v>
      </c>
      <c r="W59" s="58" t="e">
        <f t="shared" si="72"/>
        <v>#VALUE!</v>
      </c>
      <c r="X59" s="58" t="e">
        <f t="shared" si="73"/>
        <v>#VALUE!</v>
      </c>
      <c r="Y59" s="58" t="str">
        <f>IFERROR(VLOOKUP(MID(T59,W59,X59-W59),[6]skilldef!$C:$D,2,FALSE),"-") &amp; " / " &amp; IFERROR(VLOOKUP(MID(T59,U59,V59-U59),[6]skilldef!$A:$B,2,FALSE),"-")</f>
        <v>- / -</v>
      </c>
      <c r="Z59" s="46" t="s">
        <v>256</v>
      </c>
      <c r="AA59" s="48">
        <v>42622</v>
      </c>
      <c r="AB59" s="166" t="s">
        <v>285</v>
      </c>
    </row>
    <row r="60" spans="1:28" ht="85" thickBot="1" x14ac:dyDescent="0.2">
      <c r="A60" s="173">
        <v>40030358</v>
      </c>
      <c r="B60" s="43" t="s">
        <v>389</v>
      </c>
      <c r="C60" s="179">
        <v>3</v>
      </c>
      <c r="D60" s="179" t="s">
        <v>128</v>
      </c>
      <c r="E60" s="128" t="s">
        <v>358</v>
      </c>
      <c r="F60" s="47" t="s">
        <v>309</v>
      </c>
      <c r="G60" s="180" t="str">
        <f t="shared" si="59"/>
        <v>[effect:spread, val:0.4]</v>
      </c>
      <c r="H60" s="180">
        <f t="shared" si="60"/>
        <v>9</v>
      </c>
      <c r="I60" s="180">
        <f t="shared" si="61"/>
        <v>15</v>
      </c>
      <c r="J60" s="180" t="e">
        <f t="shared" si="62"/>
        <v>#VALUE!</v>
      </c>
      <c r="K60" s="180" t="e">
        <f t="shared" si="63"/>
        <v>#VALUE!</v>
      </c>
      <c r="L60" s="180" t="str">
        <f>IFERROR(VLOOKUP(MID(G60,J60,K60-J60),[6]skilldef!$C:$D,2,FALSE),"-") &amp; " / " &amp; IFERROR(VLOOKUP(MID(G60,H60,I60-H60),[6]skilldef!$A:$B,2,FALSE),"-")</f>
        <v>- / 全体攻撃</v>
      </c>
      <c r="M60" s="180" t="str">
        <f t="shared" si="64"/>
        <v xml:space="preserve">[effect:rush, count:4, val:0.5],[effect:enhance_enemy, target:myself, turn:3, status:attack, val:0.15, calc:mul, animation:enemy_enhance_attack] </v>
      </c>
      <c r="N60" s="99" t="str">
        <f>IFERROR(LEFT(M60,FIND("],",M60)+#REF!),M60)</f>
        <v xml:space="preserve">[effect:rush, count:4, val:0.5],[effect:enhance_enemy, target:myself, turn:3, status:attack, val:0.15, calc:mul, animation:enemy_enhance_attack] </v>
      </c>
      <c r="O60" s="180">
        <f t="shared" si="65"/>
        <v>9</v>
      </c>
      <c r="P60" s="180">
        <f t="shared" si="66"/>
        <v>13</v>
      </c>
      <c r="Q60" s="180">
        <f t="shared" si="67"/>
        <v>63</v>
      </c>
      <c r="R60" s="180">
        <f t="shared" si="68"/>
        <v>22</v>
      </c>
      <c r="S60" s="180" t="str">
        <f>IFERROR(VLOOKUP(MID(N60,Q60,R60-Q60),[6]skilldef!$C:$D,2,FALSE),"-") &amp; " / " &amp; IFERROR(VLOOKUP(MID(N60,O60,P60-O60),[6]skilldef!$A:$B,2,FALSE),"-")</f>
        <v>- / 連続攻撃</v>
      </c>
      <c r="T60" s="99" t="str">
        <f t="shared" si="69"/>
        <v xml:space="preserve">[effect:enhance_enemy, target:myself, turn:3, status:attack, val:0.15, calc:mul, animation:enemy_enhance_attack] </v>
      </c>
      <c r="U60" s="180">
        <f t="shared" si="70"/>
        <v>9</v>
      </c>
      <c r="V60" s="180">
        <f t="shared" si="71"/>
        <v>22</v>
      </c>
      <c r="W60" s="180">
        <f t="shared" si="72"/>
        <v>31</v>
      </c>
      <c r="X60" s="180">
        <f t="shared" si="73"/>
        <v>37</v>
      </c>
      <c r="Y60" s="180" t="str">
        <f>IFERROR(VLOOKUP(MID(T60,W60,X60-W60),[6]skilldef!$C:$D,2,FALSE),"-") &amp; " / " &amp; IFERROR(VLOOKUP(MID(T60,U60,V60-U60),[6]skilldef!$A:$B,2,FALSE),"-")</f>
        <v>自分自身に / ステータス強化</v>
      </c>
      <c r="Z60" s="179" t="s">
        <v>256</v>
      </c>
      <c r="AA60" s="181">
        <v>42622</v>
      </c>
      <c r="AB60" s="167" t="s">
        <v>286</v>
      </c>
    </row>
    <row r="61" spans="1:28" ht="29" thickBot="1" x14ac:dyDescent="0.2">
      <c r="A61" s="173">
        <v>40030359</v>
      </c>
      <c r="B61" s="134" t="s">
        <v>401</v>
      </c>
      <c r="C61" s="174">
        <v>3</v>
      </c>
      <c r="D61" s="174" t="s">
        <v>128</v>
      </c>
      <c r="E61" s="175" t="s">
        <v>366</v>
      </c>
      <c r="F61" s="175" t="s">
        <v>304</v>
      </c>
      <c r="G61" s="176" t="str">
        <f t="shared" si="59"/>
        <v>[effect:tolerance, target:myself, turn:-1, count:-1, tolerance_effect:all, animation:enemy_tolerance]</v>
      </c>
      <c r="H61" s="176">
        <f t="shared" si="60"/>
        <v>9</v>
      </c>
      <c r="I61" s="176">
        <f t="shared" si="61"/>
        <v>18</v>
      </c>
      <c r="J61" s="176">
        <f t="shared" si="62"/>
        <v>27</v>
      </c>
      <c r="K61" s="176">
        <f t="shared" si="63"/>
        <v>33</v>
      </c>
      <c r="L61" s="176" t="str">
        <f>IFERROR(VLOOKUP(MID(G61,J61,K61-J61),[6]skilldef!$C:$D,2,FALSE),"-") &amp; " / " &amp; IFERROR(VLOOKUP(MID(G61,H61,I61-H61),[6]skilldef!$A:$B,2,FALSE),"-")</f>
        <v>自分自身に / 状態異常耐性</v>
      </c>
      <c r="M61" s="176" t="str">
        <f t="shared" si="64"/>
        <v xml:space="preserve">[effect:enemy_message, val1:2.4, val2:1.8]    </v>
      </c>
      <c r="N61" s="136" t="str">
        <f>IFERROR(LEFT(M61,FIND("],",M61)+S72),M61)</f>
        <v xml:space="preserve">[effect:enemy_message, val1:2.4, val2:1.8]    </v>
      </c>
      <c r="O61" s="176">
        <f t="shared" si="65"/>
        <v>9</v>
      </c>
      <c r="P61" s="176">
        <f t="shared" si="66"/>
        <v>22</v>
      </c>
      <c r="Q61" s="176" t="e">
        <f t="shared" si="67"/>
        <v>#VALUE!</v>
      </c>
      <c r="R61" s="176">
        <f t="shared" si="68"/>
        <v>32</v>
      </c>
      <c r="S61" s="176" t="str">
        <f>IFERROR(VLOOKUP(MID(N61,Q61,R61-Q61),[6]skilldef!$C:$D,2,FALSE),"-") &amp; " / " &amp; IFERROR(VLOOKUP(MID(N61,O61,P61-O61),[6]skilldef!$A:$B,2,FALSE),"-")</f>
        <v>- / -</v>
      </c>
      <c r="T61" s="136" t="str">
        <f t="shared" si="69"/>
        <v>none</v>
      </c>
      <c r="U61" s="176" t="e">
        <f t="shared" si="70"/>
        <v>#VALUE!</v>
      </c>
      <c r="V61" s="176">
        <f t="shared" si="71"/>
        <v>4</v>
      </c>
      <c r="W61" s="176" t="e">
        <f t="shared" si="72"/>
        <v>#VALUE!</v>
      </c>
      <c r="X61" s="176" t="e">
        <f t="shared" si="73"/>
        <v>#VALUE!</v>
      </c>
      <c r="Y61" s="176" t="str">
        <f>IFERROR(VLOOKUP(MID(T61,W61,X61-W61),[6]skilldef!$C:$D,2,FALSE),"-") &amp; " / " &amp; IFERROR(VLOOKUP(MID(T61,U61,V61-U61),[6]skilldef!$A:$B,2,FALSE),"-")</f>
        <v>- / -</v>
      </c>
      <c r="Z61" s="174" t="s">
        <v>256</v>
      </c>
      <c r="AA61" s="177">
        <v>42629</v>
      </c>
      <c r="AB61" s="137" t="s">
        <v>356</v>
      </c>
    </row>
    <row r="62" spans="1:28" ht="71" thickBot="1" x14ac:dyDescent="0.2">
      <c r="A62" s="173">
        <v>40030360</v>
      </c>
      <c r="B62" s="134" t="s">
        <v>333</v>
      </c>
      <c r="C62" s="174">
        <v>3</v>
      </c>
      <c r="D62" s="174" t="s">
        <v>128</v>
      </c>
      <c r="E62" s="175" t="s">
        <v>365</v>
      </c>
      <c r="F62" s="175" t="s">
        <v>305</v>
      </c>
      <c r="G62" s="176" t="str">
        <f t="shared" si="59"/>
        <v>[effect:tolerance, target:myself, turn:-1, count:-1, tolerance_effect:all, animation:enemy_tolerance]</v>
      </c>
      <c r="H62" s="176">
        <f t="shared" si="60"/>
        <v>9</v>
      </c>
      <c r="I62" s="176">
        <f t="shared" si="61"/>
        <v>18</v>
      </c>
      <c r="J62" s="176">
        <f t="shared" si="62"/>
        <v>27</v>
      </c>
      <c r="K62" s="176">
        <f t="shared" si="63"/>
        <v>33</v>
      </c>
      <c r="L62" s="176" t="str">
        <f>IFERROR(VLOOKUP(MID(G62,J62,K62-J62),[6]skilldef!$C:$D,2,FALSE),"-") &amp; " / " &amp; IFERROR(VLOOKUP(MID(G62,H62,I62-H62),[6]skilldef!$A:$B,2,FALSE),"-")</f>
        <v>自分自身に / 状態異常耐性</v>
      </c>
      <c r="M62" s="176" t="str">
        <f t="shared" si="64"/>
        <v xml:space="preserve">[effect:enhance_enemy, target:myself, turn:3, status:attack, val:0.1, calc:mul, animation:enemy_enhance_attack]    </v>
      </c>
      <c r="N62" s="136" t="str">
        <f>IFERROR(LEFT(M62,FIND("],",M62)+S73),M62)</f>
        <v xml:space="preserve">[effect:enhance_enemy, target:myself, turn:3, status:attack, val:0.1, calc:mul, animation:enemy_enhance_attack]    </v>
      </c>
      <c r="O62" s="176">
        <f t="shared" si="65"/>
        <v>9</v>
      </c>
      <c r="P62" s="176">
        <f t="shared" si="66"/>
        <v>22</v>
      </c>
      <c r="Q62" s="176">
        <f t="shared" si="67"/>
        <v>31</v>
      </c>
      <c r="R62" s="176">
        <f t="shared" si="68"/>
        <v>37</v>
      </c>
      <c r="S62" s="176" t="str">
        <f>IFERROR(VLOOKUP(MID(N62,Q62,R62-Q62),[6]skilldef!$C:$D,2,FALSE),"-") &amp; " / " &amp; IFERROR(VLOOKUP(MID(N62,O62,P62-O62),[6]skilldef!$A:$B,2,FALSE),"-")</f>
        <v>自分自身に / ステータス強化</v>
      </c>
      <c r="T62" s="136" t="str">
        <f t="shared" si="69"/>
        <v>none</v>
      </c>
      <c r="U62" s="176" t="e">
        <f t="shared" si="70"/>
        <v>#VALUE!</v>
      </c>
      <c r="V62" s="176">
        <f t="shared" si="71"/>
        <v>4</v>
      </c>
      <c r="W62" s="176" t="e">
        <f t="shared" si="72"/>
        <v>#VALUE!</v>
      </c>
      <c r="X62" s="176" t="e">
        <f t="shared" si="73"/>
        <v>#VALUE!</v>
      </c>
      <c r="Y62" s="176" t="str">
        <f>IFERROR(VLOOKUP(MID(T62,W62,X62-W62),[6]skilldef!$C:$D,2,FALSE),"-") &amp; " / " &amp; IFERROR(VLOOKUP(MID(T62,U62,V62-U62),[6]skilldef!$A:$B,2,FALSE),"-")</f>
        <v>- / -</v>
      </c>
      <c r="Z62" s="174" t="s">
        <v>256</v>
      </c>
      <c r="AA62" s="177">
        <v>42629</v>
      </c>
      <c r="AB62" s="137" t="s">
        <v>356</v>
      </c>
    </row>
    <row r="63" spans="1:28" ht="71" thickBot="1" x14ac:dyDescent="0.2">
      <c r="A63" s="173">
        <v>40030361</v>
      </c>
      <c r="B63" s="134" t="s">
        <v>334</v>
      </c>
      <c r="C63" s="223">
        <v>3</v>
      </c>
      <c r="D63" s="174" t="s">
        <v>128</v>
      </c>
      <c r="E63" s="175" t="s">
        <v>357</v>
      </c>
      <c r="F63" s="175" t="s">
        <v>305</v>
      </c>
      <c r="G63" s="176" t="str">
        <f t="shared" si="59"/>
        <v>[effect:tolerance, target:myself, turn:-1, count:-1, tolerance_effect:all, animation:enemy_tolerance]</v>
      </c>
      <c r="H63" s="176">
        <f t="shared" si="60"/>
        <v>9</v>
      </c>
      <c r="I63" s="176">
        <f t="shared" si="61"/>
        <v>18</v>
      </c>
      <c r="J63" s="176">
        <f t="shared" si="62"/>
        <v>27</v>
      </c>
      <c r="K63" s="176">
        <f t="shared" si="63"/>
        <v>33</v>
      </c>
      <c r="L63" s="176" t="str">
        <f>IFERROR(VLOOKUP(MID(G63,J63,K63-J63),[6]skilldef!$C:$D,2,FALSE),"-") &amp; " / " &amp; IFERROR(VLOOKUP(MID(G63,H63,I63-H63),[6]skilldef!$A:$B,2,FALSE),"-")</f>
        <v>自分自身に / 状態異常耐性</v>
      </c>
      <c r="M63" s="176" t="str">
        <f t="shared" si="64"/>
        <v xml:space="preserve">[effect:enhance_enemy, target:myself, turn:3, status:attack, val:0.15, calc:mul, animation:enemy_enhance_attack]    </v>
      </c>
      <c r="N63" s="136" t="str">
        <f>IFERROR(LEFT(M63,FIND("],",M63)+#REF!),M63)</f>
        <v xml:space="preserve">[effect:enhance_enemy, target:myself, turn:3, status:attack, val:0.15, calc:mul, animation:enemy_enhance_attack]    </v>
      </c>
      <c r="O63" s="176">
        <f t="shared" si="65"/>
        <v>9</v>
      </c>
      <c r="P63" s="176">
        <f t="shared" si="66"/>
        <v>22</v>
      </c>
      <c r="Q63" s="176">
        <f t="shared" si="67"/>
        <v>31</v>
      </c>
      <c r="R63" s="176">
        <f t="shared" si="68"/>
        <v>37</v>
      </c>
      <c r="S63" s="176" t="str">
        <f>IFERROR(VLOOKUP(MID(N63,Q63,R63-Q63),[6]skilldef!$C:$D,2,FALSE),"-") &amp; " / " &amp; IFERROR(VLOOKUP(MID(N63,O63,P63-O63),[6]skilldef!$A:$B,2,FALSE),"-")</f>
        <v>自分自身に / ステータス強化</v>
      </c>
      <c r="T63" s="136" t="str">
        <f t="shared" si="69"/>
        <v>none</v>
      </c>
      <c r="U63" s="176" t="e">
        <f t="shared" si="70"/>
        <v>#VALUE!</v>
      </c>
      <c r="V63" s="176">
        <f t="shared" si="71"/>
        <v>4</v>
      </c>
      <c r="W63" s="176" t="e">
        <f t="shared" si="72"/>
        <v>#VALUE!</v>
      </c>
      <c r="X63" s="176" t="e">
        <f t="shared" si="73"/>
        <v>#VALUE!</v>
      </c>
      <c r="Y63" s="176" t="str">
        <f>IFERROR(VLOOKUP(MID(T63,W63,X63-W63),[6]skilldef!$C:$D,2,FALSE),"-") &amp; " / " &amp; IFERROR(VLOOKUP(MID(T63,U63,V63-U63),[6]skilldef!$A:$B,2,FALSE),"-")</f>
        <v>- / -</v>
      </c>
      <c r="Z63" s="174" t="s">
        <v>256</v>
      </c>
      <c r="AA63" s="177">
        <v>42629</v>
      </c>
      <c r="AB63" s="137" t="s">
        <v>356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2"/>
  <sheetViews>
    <sheetView showGridLines="0" workbookViewId="0">
      <pane ySplit="1" topLeftCell="A2" activePane="bottomLeft" state="frozenSplit"/>
      <selection pane="bottomLeft" activeCell="E32" sqref="E32"/>
    </sheetView>
  </sheetViews>
  <sheetFormatPr baseColWidth="12" defaultColWidth="12.83203125" defaultRowHeight="21" customHeight="1" x14ac:dyDescent="0.15"/>
  <cols>
    <col min="1" max="1" width="16.1640625" style="45" bestFit="1" customWidth="1"/>
    <col min="2" max="2" width="13.33203125" style="45" bestFit="1" customWidth="1"/>
    <col min="3" max="3" width="11.83203125" style="45" bestFit="1" customWidth="1"/>
    <col min="4" max="4" width="14.6640625" style="45" bestFit="1" customWidth="1"/>
    <col min="5" max="5" width="15.6640625" style="45" bestFit="1" customWidth="1"/>
    <col min="6" max="6" width="17" style="45" bestFit="1" customWidth="1"/>
    <col min="7" max="7" width="15.6640625" style="45" bestFit="1" customWidth="1"/>
    <col min="8" max="9" width="14.6640625" style="45" customWidth="1"/>
    <col min="10" max="10" width="14.6640625" style="45" bestFit="1" customWidth="1"/>
    <col min="11" max="11" width="22.83203125" style="39" bestFit="1" customWidth="1"/>
    <col min="12" max="16384" width="12.83203125" style="41"/>
  </cols>
  <sheetData>
    <row r="1" spans="1:11" ht="21" customHeight="1" thickBot="1" x14ac:dyDescent="0.2">
      <c r="A1" s="49" t="s">
        <v>84</v>
      </c>
      <c r="B1" s="49" t="s">
        <v>85</v>
      </c>
      <c r="C1" s="49" t="s">
        <v>86</v>
      </c>
      <c r="D1" s="49" t="s">
        <v>87</v>
      </c>
      <c r="E1" s="49" t="s">
        <v>70</v>
      </c>
      <c r="F1" s="49" t="s">
        <v>71</v>
      </c>
      <c r="G1" s="49" t="s">
        <v>72</v>
      </c>
      <c r="H1" s="49" t="s">
        <v>73</v>
      </c>
      <c r="I1" s="49" t="s">
        <v>74</v>
      </c>
      <c r="J1" s="49" t="s">
        <v>75</v>
      </c>
      <c r="K1" s="185" t="s">
        <v>88</v>
      </c>
    </row>
    <row r="2" spans="1:11" ht="21" customHeight="1" x14ac:dyDescent="0.15">
      <c r="A2" s="173">
        <v>40030600</v>
      </c>
      <c r="B2" s="134">
        <v>0</v>
      </c>
      <c r="C2" s="134">
        <v>100</v>
      </c>
      <c r="D2" s="134">
        <v>30</v>
      </c>
      <c r="E2" s="134" t="s">
        <v>257</v>
      </c>
      <c r="F2" s="134" t="s">
        <v>90</v>
      </c>
      <c r="G2" s="134">
        <v>4</v>
      </c>
      <c r="H2" s="134" t="s">
        <v>90</v>
      </c>
      <c r="I2" s="134" t="s">
        <v>90</v>
      </c>
      <c r="J2" s="136">
        <f t="shared" ref="J2" si="0">D2</f>
        <v>30</v>
      </c>
      <c r="K2" s="186"/>
    </row>
    <row r="3" spans="1:11" ht="21" customHeight="1" thickBot="1" x14ac:dyDescent="0.2">
      <c r="A3" s="178">
        <v>40030601</v>
      </c>
      <c r="B3" s="97">
        <v>0</v>
      </c>
      <c r="C3" s="97">
        <v>90</v>
      </c>
      <c r="D3" s="97">
        <v>50</v>
      </c>
      <c r="E3" s="97" t="s">
        <v>89</v>
      </c>
      <c r="F3" s="97" t="s">
        <v>89</v>
      </c>
      <c r="G3" s="97" t="s">
        <v>89</v>
      </c>
      <c r="H3" s="97" t="s">
        <v>89</v>
      </c>
      <c r="I3" s="97" t="s">
        <v>89</v>
      </c>
      <c r="J3" s="99">
        <f t="shared" ref="J3:J29" si="1">D3</f>
        <v>50</v>
      </c>
      <c r="K3" s="187"/>
    </row>
    <row r="4" spans="1:11" ht="21" customHeight="1" x14ac:dyDescent="0.15">
      <c r="A4" s="173">
        <v>40030602</v>
      </c>
      <c r="B4" s="134">
        <v>0</v>
      </c>
      <c r="C4" s="134">
        <v>100</v>
      </c>
      <c r="D4" s="134">
        <v>30</v>
      </c>
      <c r="E4" s="134" t="s">
        <v>89</v>
      </c>
      <c r="F4" s="134" t="s">
        <v>89</v>
      </c>
      <c r="G4" s="134">
        <v>4</v>
      </c>
      <c r="H4" s="134" t="s">
        <v>89</v>
      </c>
      <c r="I4" s="134" t="s">
        <v>89</v>
      </c>
      <c r="J4" s="136">
        <f t="shared" si="1"/>
        <v>30</v>
      </c>
      <c r="K4" s="186"/>
    </row>
    <row r="5" spans="1:11" ht="21" customHeight="1" x14ac:dyDescent="0.15">
      <c r="A5" s="182">
        <v>40030603</v>
      </c>
      <c r="B5" s="43">
        <v>0</v>
      </c>
      <c r="C5" s="43">
        <v>90</v>
      </c>
      <c r="D5" s="43">
        <v>50</v>
      </c>
      <c r="E5" s="43" t="s">
        <v>89</v>
      </c>
      <c r="F5" s="43" t="s">
        <v>89</v>
      </c>
      <c r="G5" s="43" t="s">
        <v>261</v>
      </c>
      <c r="H5" s="43" t="s">
        <v>89</v>
      </c>
      <c r="I5" s="43" t="s">
        <v>89</v>
      </c>
      <c r="J5" s="44">
        <f t="shared" si="1"/>
        <v>50</v>
      </c>
      <c r="K5" s="184"/>
    </row>
    <row r="6" spans="1:11" ht="21" customHeight="1" thickBot="1" x14ac:dyDescent="0.2">
      <c r="A6" s="178">
        <v>40030604</v>
      </c>
      <c r="B6" s="97">
        <v>0</v>
      </c>
      <c r="C6" s="97">
        <v>80</v>
      </c>
      <c r="D6" s="97">
        <v>100</v>
      </c>
      <c r="E6" s="97">
        <v>50</v>
      </c>
      <c r="F6" s="97" t="s">
        <v>89</v>
      </c>
      <c r="G6" s="97">
        <v>1</v>
      </c>
      <c r="H6" s="97" t="s">
        <v>89</v>
      </c>
      <c r="I6" s="97" t="s">
        <v>89</v>
      </c>
      <c r="J6" s="99">
        <f t="shared" si="1"/>
        <v>100</v>
      </c>
      <c r="K6" s="187"/>
    </row>
    <row r="7" spans="1:11" ht="21" customHeight="1" x14ac:dyDescent="0.15">
      <c r="A7" s="173">
        <v>40030605</v>
      </c>
      <c r="B7" s="134">
        <v>1</v>
      </c>
      <c r="C7" s="134">
        <v>100</v>
      </c>
      <c r="D7" s="134">
        <v>100</v>
      </c>
      <c r="E7" s="134" t="s">
        <v>89</v>
      </c>
      <c r="F7" s="134" t="s">
        <v>89</v>
      </c>
      <c r="G7" s="134">
        <v>1</v>
      </c>
      <c r="H7" s="134" t="s">
        <v>89</v>
      </c>
      <c r="I7" s="134" t="s">
        <v>89</v>
      </c>
      <c r="J7" s="136">
        <f t="shared" si="1"/>
        <v>100</v>
      </c>
      <c r="K7" s="186"/>
    </row>
    <row r="8" spans="1:11" ht="21" customHeight="1" thickBot="1" x14ac:dyDescent="0.2">
      <c r="A8" s="178">
        <v>40030606</v>
      </c>
      <c r="B8" s="97">
        <v>0</v>
      </c>
      <c r="C8" s="97">
        <v>90</v>
      </c>
      <c r="D8" s="97">
        <v>100</v>
      </c>
      <c r="E8" s="97">
        <v>25</v>
      </c>
      <c r="F8" s="97" t="s">
        <v>89</v>
      </c>
      <c r="G8" s="97">
        <v>1</v>
      </c>
      <c r="H8" s="97" t="s">
        <v>89</v>
      </c>
      <c r="I8" s="97" t="s">
        <v>89</v>
      </c>
      <c r="J8" s="99">
        <f t="shared" si="1"/>
        <v>100</v>
      </c>
      <c r="K8" s="187"/>
    </row>
    <row r="9" spans="1:11" ht="21" customHeight="1" x14ac:dyDescent="0.15">
      <c r="A9" s="173">
        <v>40030607</v>
      </c>
      <c r="B9" s="134">
        <v>0</v>
      </c>
      <c r="C9" s="134">
        <v>100</v>
      </c>
      <c r="D9" s="134">
        <v>30</v>
      </c>
      <c r="E9" s="134" t="s">
        <v>288</v>
      </c>
      <c r="F9" s="134" t="s">
        <v>89</v>
      </c>
      <c r="G9" s="134">
        <v>1</v>
      </c>
      <c r="H9" s="134" t="s">
        <v>89</v>
      </c>
      <c r="I9" s="134" t="s">
        <v>89</v>
      </c>
      <c r="J9" s="136">
        <f t="shared" si="1"/>
        <v>30</v>
      </c>
      <c r="K9" s="186"/>
    </row>
    <row r="10" spans="1:11" ht="21" customHeight="1" thickBot="1" x14ac:dyDescent="0.2">
      <c r="A10" s="178">
        <v>40030608</v>
      </c>
      <c r="B10" s="97">
        <v>0</v>
      </c>
      <c r="C10" s="97">
        <v>90</v>
      </c>
      <c r="D10" s="97">
        <v>30</v>
      </c>
      <c r="E10" s="97" t="s">
        <v>89</v>
      </c>
      <c r="F10" s="97" t="s">
        <v>89</v>
      </c>
      <c r="G10" s="97">
        <v>1</v>
      </c>
      <c r="H10" s="97" t="s">
        <v>89</v>
      </c>
      <c r="I10" s="97" t="s">
        <v>89</v>
      </c>
      <c r="J10" s="99">
        <f t="shared" si="1"/>
        <v>30</v>
      </c>
      <c r="K10" s="187"/>
    </row>
    <row r="11" spans="1:11" ht="21" customHeight="1" x14ac:dyDescent="0.15">
      <c r="A11" s="173">
        <v>40030609</v>
      </c>
      <c r="B11" s="134">
        <v>0</v>
      </c>
      <c r="C11" s="134">
        <v>100</v>
      </c>
      <c r="D11" s="134">
        <v>30</v>
      </c>
      <c r="E11" s="134" t="s">
        <v>89</v>
      </c>
      <c r="F11" s="134" t="s">
        <v>89</v>
      </c>
      <c r="G11" s="134" t="s">
        <v>289</v>
      </c>
      <c r="H11" s="134" t="s">
        <v>89</v>
      </c>
      <c r="I11" s="134" t="s">
        <v>89</v>
      </c>
      <c r="J11" s="136">
        <f t="shared" si="1"/>
        <v>30</v>
      </c>
      <c r="K11" s="186"/>
    </row>
    <row r="12" spans="1:11" ht="21" customHeight="1" x14ac:dyDescent="0.15">
      <c r="A12" s="182">
        <v>40030610</v>
      </c>
      <c r="B12" s="43">
        <v>0</v>
      </c>
      <c r="C12" s="43">
        <v>90</v>
      </c>
      <c r="D12" s="43">
        <v>100</v>
      </c>
      <c r="E12" s="43">
        <v>50</v>
      </c>
      <c r="F12" s="43" t="s">
        <v>89</v>
      </c>
      <c r="G12" s="43">
        <v>1</v>
      </c>
      <c r="H12" s="43" t="s">
        <v>89</v>
      </c>
      <c r="I12" s="43" t="s">
        <v>89</v>
      </c>
      <c r="J12" s="44">
        <f t="shared" si="1"/>
        <v>100</v>
      </c>
      <c r="K12" s="184"/>
    </row>
    <row r="13" spans="1:11" ht="21" customHeight="1" x14ac:dyDescent="0.15">
      <c r="A13" s="182">
        <v>40030611</v>
      </c>
      <c r="B13" s="43">
        <v>0</v>
      </c>
      <c r="C13" s="43">
        <v>80</v>
      </c>
      <c r="D13" s="43">
        <v>50</v>
      </c>
      <c r="E13" s="43">
        <v>50</v>
      </c>
      <c r="F13" s="43" t="s">
        <v>89</v>
      </c>
      <c r="G13" s="43" t="s">
        <v>89</v>
      </c>
      <c r="H13" s="43" t="s">
        <v>89</v>
      </c>
      <c r="I13" s="43" t="s">
        <v>89</v>
      </c>
      <c r="J13" s="44">
        <f t="shared" si="1"/>
        <v>50</v>
      </c>
      <c r="K13" s="184"/>
    </row>
    <row r="14" spans="1:11" ht="21" customHeight="1" thickBot="1" x14ac:dyDescent="0.2">
      <c r="A14" s="178">
        <v>40030612</v>
      </c>
      <c r="B14" s="97">
        <v>0</v>
      </c>
      <c r="C14" s="97">
        <v>70</v>
      </c>
      <c r="D14" s="97">
        <v>100</v>
      </c>
      <c r="E14" s="97" t="s">
        <v>89</v>
      </c>
      <c r="F14" s="97" t="s">
        <v>89</v>
      </c>
      <c r="G14" s="97">
        <v>0</v>
      </c>
      <c r="H14" s="97" t="s">
        <v>89</v>
      </c>
      <c r="I14" s="97">
        <v>0</v>
      </c>
      <c r="J14" s="99">
        <f t="shared" si="1"/>
        <v>100</v>
      </c>
      <c r="K14" s="187"/>
    </row>
    <row r="15" spans="1:11" ht="21" customHeight="1" x14ac:dyDescent="0.15">
      <c r="A15" s="173">
        <v>40030613</v>
      </c>
      <c r="B15" s="134">
        <v>1</v>
      </c>
      <c r="C15" s="134">
        <v>99</v>
      </c>
      <c r="D15" s="134">
        <v>100</v>
      </c>
      <c r="E15" s="134" t="s">
        <v>89</v>
      </c>
      <c r="F15" s="134" t="s">
        <v>89</v>
      </c>
      <c r="G15" s="134">
        <v>1</v>
      </c>
      <c r="H15" s="134" t="s">
        <v>89</v>
      </c>
      <c r="I15" s="134" t="s">
        <v>89</v>
      </c>
      <c r="J15" s="136">
        <f t="shared" si="1"/>
        <v>100</v>
      </c>
      <c r="K15" s="186"/>
    </row>
    <row r="16" spans="1:11" ht="21" customHeight="1" x14ac:dyDescent="0.15">
      <c r="A16" s="182">
        <v>40030614</v>
      </c>
      <c r="B16" s="43">
        <v>0</v>
      </c>
      <c r="C16" s="43">
        <v>90</v>
      </c>
      <c r="D16" s="43">
        <v>100</v>
      </c>
      <c r="E16" s="43" t="s">
        <v>89</v>
      </c>
      <c r="F16" s="43" t="s">
        <v>89</v>
      </c>
      <c r="G16" s="43">
        <v>1</v>
      </c>
      <c r="H16" s="43" t="s">
        <v>89</v>
      </c>
      <c r="I16" s="43" t="s">
        <v>89</v>
      </c>
      <c r="J16" s="44">
        <f t="shared" si="1"/>
        <v>100</v>
      </c>
      <c r="K16" s="184"/>
    </row>
    <row r="17" spans="1:11" ht="21" customHeight="1" thickBot="1" x14ac:dyDescent="0.2">
      <c r="A17" s="178">
        <v>40030615</v>
      </c>
      <c r="B17" s="97">
        <v>0</v>
      </c>
      <c r="C17" s="97">
        <v>80</v>
      </c>
      <c r="D17" s="97">
        <v>40</v>
      </c>
      <c r="E17" s="97" t="s">
        <v>89</v>
      </c>
      <c r="F17" s="97" t="s">
        <v>89</v>
      </c>
      <c r="G17" s="97" t="s">
        <v>290</v>
      </c>
      <c r="H17" s="97" t="s">
        <v>89</v>
      </c>
      <c r="I17" s="97" t="s">
        <v>89</v>
      </c>
      <c r="J17" s="99">
        <f t="shared" si="1"/>
        <v>40</v>
      </c>
      <c r="K17" s="187"/>
    </row>
    <row r="18" spans="1:11" ht="21" customHeight="1" x14ac:dyDescent="0.15">
      <c r="A18" s="173">
        <v>40030616</v>
      </c>
      <c r="B18" s="134">
        <v>1</v>
      </c>
      <c r="C18" s="134">
        <v>99</v>
      </c>
      <c r="D18" s="134">
        <v>100</v>
      </c>
      <c r="E18" s="134" t="s">
        <v>289</v>
      </c>
      <c r="F18" s="134" t="s">
        <v>89</v>
      </c>
      <c r="G18" s="134">
        <v>1</v>
      </c>
      <c r="H18" s="134" t="s">
        <v>89</v>
      </c>
      <c r="I18" s="134" t="s">
        <v>89</v>
      </c>
      <c r="J18" s="136">
        <f t="shared" si="1"/>
        <v>100</v>
      </c>
      <c r="K18" s="186"/>
    </row>
    <row r="19" spans="1:11" ht="21" customHeight="1" x14ac:dyDescent="0.15">
      <c r="A19" s="182">
        <v>40030617</v>
      </c>
      <c r="B19" s="43">
        <v>0</v>
      </c>
      <c r="C19" s="43">
        <v>90</v>
      </c>
      <c r="D19" s="43">
        <v>100</v>
      </c>
      <c r="E19" s="43" t="s">
        <v>89</v>
      </c>
      <c r="F19" s="43" t="s">
        <v>89</v>
      </c>
      <c r="G19" s="43">
        <v>1</v>
      </c>
      <c r="H19" s="43" t="s">
        <v>89</v>
      </c>
      <c r="I19" s="43" t="s">
        <v>89</v>
      </c>
      <c r="J19" s="44">
        <f t="shared" si="1"/>
        <v>100</v>
      </c>
      <c r="K19" s="184"/>
    </row>
    <row r="20" spans="1:11" ht="21" customHeight="1" thickBot="1" x14ac:dyDescent="0.2">
      <c r="A20" s="178">
        <v>40030618</v>
      </c>
      <c r="B20" s="97">
        <v>0</v>
      </c>
      <c r="C20" s="97">
        <v>80</v>
      </c>
      <c r="D20" s="97">
        <v>40</v>
      </c>
      <c r="E20" s="97" t="s">
        <v>89</v>
      </c>
      <c r="F20" s="97" t="s">
        <v>89</v>
      </c>
      <c r="G20" s="97" t="s">
        <v>262</v>
      </c>
      <c r="H20" s="97" t="s">
        <v>89</v>
      </c>
      <c r="I20" s="97" t="s">
        <v>89</v>
      </c>
      <c r="J20" s="99">
        <f t="shared" si="1"/>
        <v>40</v>
      </c>
      <c r="K20" s="187"/>
    </row>
    <row r="21" spans="1:11" ht="21" customHeight="1" x14ac:dyDescent="0.15">
      <c r="A21" s="173">
        <v>40030619</v>
      </c>
      <c r="B21" s="134">
        <v>1</v>
      </c>
      <c r="C21" s="134">
        <v>99</v>
      </c>
      <c r="D21" s="134">
        <v>100</v>
      </c>
      <c r="E21" s="134" t="s">
        <v>89</v>
      </c>
      <c r="F21" s="134" t="s">
        <v>89</v>
      </c>
      <c r="G21" s="134">
        <v>1</v>
      </c>
      <c r="H21" s="134" t="s">
        <v>89</v>
      </c>
      <c r="I21" s="134" t="s">
        <v>89</v>
      </c>
      <c r="J21" s="136">
        <f t="shared" si="1"/>
        <v>100</v>
      </c>
      <c r="K21" s="186"/>
    </row>
    <row r="22" spans="1:11" ht="21" customHeight="1" x14ac:dyDescent="0.15">
      <c r="A22" s="182">
        <v>40030620</v>
      </c>
      <c r="B22" s="43">
        <v>0</v>
      </c>
      <c r="C22" s="43">
        <v>90</v>
      </c>
      <c r="D22" s="43">
        <v>100</v>
      </c>
      <c r="E22" s="43" t="s">
        <v>89</v>
      </c>
      <c r="F22" s="43" t="s">
        <v>89</v>
      </c>
      <c r="G22" s="43">
        <v>1</v>
      </c>
      <c r="H22" s="43" t="s">
        <v>89</v>
      </c>
      <c r="I22" s="43" t="s">
        <v>89</v>
      </c>
      <c r="J22" s="44">
        <f t="shared" si="1"/>
        <v>100</v>
      </c>
      <c r="K22" s="184"/>
    </row>
    <row r="23" spans="1:11" ht="21" customHeight="1" x14ac:dyDescent="0.15">
      <c r="A23" s="182">
        <v>40030621</v>
      </c>
      <c r="B23" s="43">
        <v>0</v>
      </c>
      <c r="C23" s="43">
        <v>20</v>
      </c>
      <c r="D23" s="43">
        <v>40</v>
      </c>
      <c r="E23" s="43" t="s">
        <v>89</v>
      </c>
      <c r="F23" s="43" t="s">
        <v>89</v>
      </c>
      <c r="G23" s="43">
        <v>1</v>
      </c>
      <c r="H23" s="43" t="s">
        <v>291</v>
      </c>
      <c r="I23" s="43" t="s">
        <v>89</v>
      </c>
      <c r="J23" s="44">
        <f t="shared" si="1"/>
        <v>40</v>
      </c>
      <c r="K23" s="184"/>
    </row>
    <row r="24" spans="1:11" ht="21" customHeight="1" x14ac:dyDescent="0.15">
      <c r="A24" s="182">
        <v>40030622</v>
      </c>
      <c r="B24" s="43">
        <v>0</v>
      </c>
      <c r="C24" s="43">
        <v>80</v>
      </c>
      <c r="D24" s="43">
        <v>100</v>
      </c>
      <c r="E24" s="43">
        <v>50</v>
      </c>
      <c r="F24" s="43" t="s">
        <v>89</v>
      </c>
      <c r="G24" s="43">
        <v>1</v>
      </c>
      <c r="H24" s="43" t="s">
        <v>89</v>
      </c>
      <c r="I24" s="43" t="s">
        <v>89</v>
      </c>
      <c r="J24" s="44">
        <f t="shared" si="1"/>
        <v>100</v>
      </c>
      <c r="K24" s="184"/>
    </row>
    <row r="25" spans="1:11" ht="21" customHeight="1" x14ac:dyDescent="0.15">
      <c r="A25" s="182">
        <v>40030623</v>
      </c>
      <c r="B25" s="43">
        <v>0</v>
      </c>
      <c r="C25" s="43">
        <v>70</v>
      </c>
      <c r="D25" s="43">
        <v>100</v>
      </c>
      <c r="E25" s="43">
        <v>30</v>
      </c>
      <c r="F25" s="43" t="s">
        <v>89</v>
      </c>
      <c r="G25" s="43">
        <v>1</v>
      </c>
      <c r="H25" s="43" t="s">
        <v>89</v>
      </c>
      <c r="I25" s="43" t="s">
        <v>89</v>
      </c>
      <c r="J25" s="44">
        <f t="shared" si="1"/>
        <v>100</v>
      </c>
      <c r="K25" s="184"/>
    </row>
    <row r="26" spans="1:11" ht="21" customHeight="1" x14ac:dyDescent="0.15">
      <c r="A26" s="182">
        <v>40030624</v>
      </c>
      <c r="B26" s="43">
        <v>0</v>
      </c>
      <c r="C26" s="43">
        <v>60</v>
      </c>
      <c r="D26" s="43">
        <v>100</v>
      </c>
      <c r="E26" s="43">
        <v>30</v>
      </c>
      <c r="F26" s="43" t="s">
        <v>89</v>
      </c>
      <c r="G26" s="43">
        <v>1</v>
      </c>
      <c r="H26" s="43" t="s">
        <v>89</v>
      </c>
      <c r="I26" s="43" t="s">
        <v>89</v>
      </c>
      <c r="J26" s="44">
        <f t="shared" si="1"/>
        <v>100</v>
      </c>
      <c r="K26" s="184"/>
    </row>
    <row r="27" spans="1:11" ht="21" customHeight="1" x14ac:dyDescent="0.15">
      <c r="A27" s="182">
        <v>40030625</v>
      </c>
      <c r="B27" s="43">
        <v>0</v>
      </c>
      <c r="C27" s="43">
        <v>50</v>
      </c>
      <c r="D27" s="43">
        <v>100</v>
      </c>
      <c r="E27" s="43">
        <v>30</v>
      </c>
      <c r="F27" s="43" t="s">
        <v>89</v>
      </c>
      <c r="G27" s="43">
        <v>1</v>
      </c>
      <c r="H27" s="43" t="s">
        <v>288</v>
      </c>
      <c r="I27" s="43" t="s">
        <v>89</v>
      </c>
      <c r="J27" s="44">
        <f t="shared" si="1"/>
        <v>100</v>
      </c>
      <c r="K27" s="184"/>
    </row>
    <row r="28" spans="1:11" ht="21" customHeight="1" x14ac:dyDescent="0.15">
      <c r="A28" s="182">
        <v>40030626</v>
      </c>
      <c r="B28" s="43">
        <v>0</v>
      </c>
      <c r="C28" s="43">
        <v>40</v>
      </c>
      <c r="D28" s="43">
        <v>100</v>
      </c>
      <c r="E28" s="43">
        <v>30</v>
      </c>
      <c r="F28" s="43" t="s">
        <v>89</v>
      </c>
      <c r="G28" s="43">
        <v>1</v>
      </c>
      <c r="H28" s="43" t="s">
        <v>89</v>
      </c>
      <c r="I28" s="43" t="s">
        <v>89</v>
      </c>
      <c r="J28" s="44">
        <f t="shared" si="1"/>
        <v>100</v>
      </c>
      <c r="K28" s="184"/>
    </row>
    <row r="29" spans="1:11" ht="21" customHeight="1" thickBot="1" x14ac:dyDescent="0.2">
      <c r="A29" s="178">
        <v>40030627</v>
      </c>
      <c r="B29" s="97">
        <v>0</v>
      </c>
      <c r="C29" s="97">
        <v>30</v>
      </c>
      <c r="D29" s="97">
        <v>100</v>
      </c>
      <c r="E29" s="97">
        <v>30</v>
      </c>
      <c r="F29" s="97" t="s">
        <v>89</v>
      </c>
      <c r="G29" s="97" t="s">
        <v>89</v>
      </c>
      <c r="H29" s="97" t="s">
        <v>89</v>
      </c>
      <c r="I29" s="97" t="s">
        <v>89</v>
      </c>
      <c r="J29" s="99">
        <f t="shared" si="1"/>
        <v>100</v>
      </c>
      <c r="K29" s="187"/>
    </row>
    <row r="30" spans="1:11" ht="21" customHeight="1" thickBot="1" x14ac:dyDescent="0.2">
      <c r="A30" s="178">
        <v>40030628</v>
      </c>
      <c r="B30" s="134">
        <v>1</v>
      </c>
      <c r="C30" s="134">
        <v>100</v>
      </c>
      <c r="D30" s="134">
        <v>100</v>
      </c>
      <c r="E30" s="134" t="s">
        <v>53</v>
      </c>
      <c r="F30" s="134" t="s">
        <v>53</v>
      </c>
      <c r="G30" s="134">
        <v>1</v>
      </c>
      <c r="H30" s="134" t="s">
        <v>53</v>
      </c>
      <c r="I30" s="134">
        <v>885</v>
      </c>
      <c r="J30" s="136">
        <f t="shared" ref="J30:J32" si="2">D30</f>
        <v>100</v>
      </c>
      <c r="K30" s="186"/>
    </row>
    <row r="31" spans="1:11" ht="21" customHeight="1" thickBot="1" x14ac:dyDescent="0.2">
      <c r="A31" s="178">
        <v>40030629</v>
      </c>
      <c r="B31" s="134">
        <v>1</v>
      </c>
      <c r="C31" s="134">
        <v>100</v>
      </c>
      <c r="D31" s="134">
        <v>100</v>
      </c>
      <c r="E31" s="134" t="s">
        <v>53</v>
      </c>
      <c r="F31" s="134" t="s">
        <v>53</v>
      </c>
      <c r="G31" s="134">
        <v>1</v>
      </c>
      <c r="H31" s="134" t="s">
        <v>53</v>
      </c>
      <c r="I31" s="134">
        <v>885</v>
      </c>
      <c r="J31" s="136">
        <f t="shared" si="2"/>
        <v>100</v>
      </c>
      <c r="K31" s="186"/>
    </row>
    <row r="32" spans="1:11" ht="21" customHeight="1" thickBot="1" x14ac:dyDescent="0.2">
      <c r="A32" s="178">
        <v>40030630</v>
      </c>
      <c r="B32" s="134">
        <v>1</v>
      </c>
      <c r="C32" s="134">
        <v>100</v>
      </c>
      <c r="D32" s="134">
        <v>100</v>
      </c>
      <c r="E32" s="134" t="s">
        <v>53</v>
      </c>
      <c r="F32" s="134" t="s">
        <v>53</v>
      </c>
      <c r="G32" s="134">
        <v>1</v>
      </c>
      <c r="H32" s="134" t="s">
        <v>53</v>
      </c>
      <c r="I32" s="134">
        <v>885</v>
      </c>
      <c r="J32" s="136">
        <f t="shared" si="2"/>
        <v>100</v>
      </c>
      <c r="K32" s="186"/>
    </row>
  </sheetData>
  <autoFilter ref="A1:G1"/>
  <phoneticPr fontId="5"/>
  <conditionalFormatting sqref="K1:K29 K33:K1048576">
    <cfRule type="duplicateValues" dxfId="3" priority="6"/>
  </conditionalFormatting>
  <conditionalFormatting sqref="K30">
    <cfRule type="duplicateValues" dxfId="2" priority="3"/>
  </conditionalFormatting>
  <conditionalFormatting sqref="K31">
    <cfRule type="duplicateValues" dxfId="1" priority="2"/>
  </conditionalFormatting>
  <conditionalFormatting sqref="K32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S18"/>
  <sheetViews>
    <sheetView topLeftCell="D1" workbookViewId="0">
      <selection activeCell="P26" sqref="P26"/>
    </sheetView>
  </sheetViews>
  <sheetFormatPr baseColWidth="12" defaultRowHeight="15" x14ac:dyDescent="0.15"/>
  <cols>
    <col min="17" max="18" width="19" bestFit="1" customWidth="1"/>
  </cols>
  <sheetData>
    <row r="1" spans="1:19" ht="16" thickBot="1" x14ac:dyDescent="0.2">
      <c r="A1" s="153" t="s">
        <v>151</v>
      </c>
      <c r="B1" s="153" t="s">
        <v>152</v>
      </c>
      <c r="C1" s="60" t="s">
        <v>153</v>
      </c>
      <c r="D1" s="154" t="s">
        <v>154</v>
      </c>
      <c r="E1" s="155" t="s">
        <v>155</v>
      </c>
      <c r="F1" s="153" t="s">
        <v>156</v>
      </c>
      <c r="G1" s="153" t="s">
        <v>157</v>
      </c>
      <c r="H1" s="153" t="s">
        <v>158</v>
      </c>
      <c r="I1" s="153" t="s">
        <v>159</v>
      </c>
      <c r="J1" s="153" t="s">
        <v>160</v>
      </c>
      <c r="K1" s="153" t="s">
        <v>161</v>
      </c>
      <c r="L1" s="153" t="s">
        <v>162</v>
      </c>
      <c r="M1" s="153" t="s">
        <v>163</v>
      </c>
      <c r="N1" s="153" t="s">
        <v>164</v>
      </c>
      <c r="O1" s="153" t="s">
        <v>165</v>
      </c>
      <c r="P1" s="153" t="s">
        <v>166</v>
      </c>
      <c r="Q1" s="153" t="s">
        <v>167</v>
      </c>
      <c r="R1" s="153" t="s">
        <v>168</v>
      </c>
      <c r="S1" s="159" t="s">
        <v>263</v>
      </c>
    </row>
    <row r="2" spans="1:19" x14ac:dyDescent="0.15">
      <c r="A2" s="144">
        <f>floors!C$2</f>
        <v>40030</v>
      </c>
      <c r="B2" s="145">
        <v>1</v>
      </c>
      <c r="C2" s="146" t="str">
        <f>A2&amp; "_"&amp;B2</f>
        <v>40030_1</v>
      </c>
      <c r="D2" s="147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45">
        <v>1</v>
      </c>
      <c r="F2" s="145" t="s">
        <v>169</v>
      </c>
      <c r="G2" s="145">
        <v>40000</v>
      </c>
      <c r="H2" s="145" t="s">
        <v>170</v>
      </c>
      <c r="I2" s="145">
        <v>1</v>
      </c>
      <c r="J2" s="145">
        <v>1</v>
      </c>
      <c r="K2" s="145">
        <v>0</v>
      </c>
      <c r="L2" s="145">
        <v>0</v>
      </c>
      <c r="M2" s="145">
        <v>0</v>
      </c>
      <c r="N2" s="145">
        <v>0</v>
      </c>
      <c r="O2" s="145">
        <v>1</v>
      </c>
      <c r="P2" s="145">
        <v>150</v>
      </c>
      <c r="Q2" s="145" t="s">
        <v>171</v>
      </c>
      <c r="R2" s="156" t="s">
        <v>172</v>
      </c>
      <c r="S2" s="160">
        <f>P2/SUM(P$2:P$11)*100</f>
        <v>15</v>
      </c>
    </row>
    <row r="3" spans="1:19" x14ac:dyDescent="0.15">
      <c r="A3" s="148">
        <f>floors!C$2</f>
        <v>40030</v>
      </c>
      <c r="B3" s="52">
        <v>1</v>
      </c>
      <c r="C3" s="66" t="str">
        <f t="shared" ref="C3:C18" si="0">A3&amp; "_"&amp;B3</f>
        <v>40030_1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2">
        <v>2</v>
      </c>
      <c r="F3" s="52" t="s">
        <v>258</v>
      </c>
      <c r="G3" s="52">
        <v>30</v>
      </c>
      <c r="H3" s="52" t="s">
        <v>89</v>
      </c>
      <c r="I3" s="52">
        <v>1</v>
      </c>
      <c r="J3" s="52">
        <v>1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P3" s="52">
        <v>150</v>
      </c>
      <c r="Q3" s="52" t="s">
        <v>171</v>
      </c>
      <c r="R3" s="157" t="s">
        <v>172</v>
      </c>
      <c r="S3" s="161">
        <f t="shared" ref="S3:S11" si="1">P3/SUM(P$2:P$11)*100</f>
        <v>15</v>
      </c>
    </row>
    <row r="4" spans="1:19" x14ac:dyDescent="0.15">
      <c r="A4" s="148">
        <f>floors!C$2</f>
        <v>40030</v>
      </c>
      <c r="B4" s="52">
        <v>1</v>
      </c>
      <c r="C4" s="66" t="str">
        <f t="shared" si="0"/>
        <v>40030_1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2">
        <v>3</v>
      </c>
      <c r="F4" s="52" t="s">
        <v>259</v>
      </c>
      <c r="G4" s="52">
        <v>333</v>
      </c>
      <c r="H4" s="52">
        <v>1</v>
      </c>
      <c r="I4" s="52">
        <v>1</v>
      </c>
      <c r="J4" s="52">
        <v>1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P4" s="52">
        <v>28</v>
      </c>
      <c r="Q4" s="52" t="s">
        <v>171</v>
      </c>
      <c r="R4" s="157" t="s">
        <v>172</v>
      </c>
      <c r="S4" s="161">
        <f t="shared" si="1"/>
        <v>2.8000000000000003</v>
      </c>
    </row>
    <row r="5" spans="1:19" x14ac:dyDescent="0.15">
      <c r="A5" s="148">
        <f>floors!C$2</f>
        <v>40030</v>
      </c>
      <c r="B5" s="52">
        <v>1</v>
      </c>
      <c r="C5" s="66" t="str">
        <f t="shared" si="0"/>
        <v>40030_1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2">
        <v>4</v>
      </c>
      <c r="F5" s="52" t="s">
        <v>259</v>
      </c>
      <c r="G5" s="52">
        <v>334</v>
      </c>
      <c r="H5" s="52">
        <v>1</v>
      </c>
      <c r="I5" s="52">
        <v>1</v>
      </c>
      <c r="J5" s="52">
        <v>1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P5" s="52">
        <v>112</v>
      </c>
      <c r="Q5" s="52" t="s">
        <v>171</v>
      </c>
      <c r="R5" s="157" t="s">
        <v>172</v>
      </c>
      <c r="S5" s="161">
        <f t="shared" si="1"/>
        <v>11.200000000000001</v>
      </c>
    </row>
    <row r="6" spans="1:19" x14ac:dyDescent="0.15">
      <c r="A6" s="148">
        <f>floors!C$2</f>
        <v>40030</v>
      </c>
      <c r="B6" s="52">
        <v>1</v>
      </c>
      <c r="C6" s="66" t="str">
        <f t="shared" si="0"/>
        <v>40030_1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2">
        <v>5</v>
      </c>
      <c r="F6" s="52" t="s">
        <v>259</v>
      </c>
      <c r="G6" s="52">
        <v>121</v>
      </c>
      <c r="H6" s="52">
        <v>1</v>
      </c>
      <c r="I6" s="52">
        <v>1</v>
      </c>
      <c r="J6" s="52">
        <v>1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P6" s="52">
        <v>100</v>
      </c>
      <c r="Q6" s="52" t="s">
        <v>171</v>
      </c>
      <c r="R6" s="157" t="s">
        <v>172</v>
      </c>
      <c r="S6" s="161">
        <f t="shared" si="1"/>
        <v>10</v>
      </c>
    </row>
    <row r="7" spans="1:19" x14ac:dyDescent="0.15">
      <c r="A7" s="148">
        <f>floors!C$2</f>
        <v>40030</v>
      </c>
      <c r="B7" s="52">
        <v>1</v>
      </c>
      <c r="C7" s="66" t="str">
        <f t="shared" si="0"/>
        <v>40030_1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2">
        <v>6</v>
      </c>
      <c r="F7" s="52" t="s">
        <v>259</v>
      </c>
      <c r="G7" s="52">
        <v>122</v>
      </c>
      <c r="H7" s="52">
        <v>1</v>
      </c>
      <c r="I7" s="52">
        <v>1</v>
      </c>
      <c r="J7" s="52">
        <v>1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P7" s="52">
        <v>100</v>
      </c>
      <c r="Q7" s="52" t="s">
        <v>171</v>
      </c>
      <c r="R7" s="157" t="s">
        <v>172</v>
      </c>
      <c r="S7" s="161">
        <f t="shared" si="1"/>
        <v>10</v>
      </c>
    </row>
    <row r="8" spans="1:19" x14ac:dyDescent="0.15">
      <c r="A8" s="148">
        <f>floors!C$2</f>
        <v>40030</v>
      </c>
      <c r="B8" s="52">
        <v>1</v>
      </c>
      <c r="C8" s="66" t="str">
        <f t="shared" si="0"/>
        <v>40030_1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2">
        <v>7</v>
      </c>
      <c r="F8" s="52" t="s">
        <v>259</v>
      </c>
      <c r="G8" s="52">
        <v>123</v>
      </c>
      <c r="H8" s="52">
        <v>1</v>
      </c>
      <c r="I8" s="52">
        <v>1</v>
      </c>
      <c r="J8" s="52">
        <v>1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P8" s="52">
        <v>100</v>
      </c>
      <c r="Q8" s="52" t="s">
        <v>171</v>
      </c>
      <c r="R8" s="157" t="s">
        <v>172</v>
      </c>
      <c r="S8" s="161">
        <f t="shared" si="1"/>
        <v>10</v>
      </c>
    </row>
    <row r="9" spans="1:19" x14ac:dyDescent="0.15">
      <c r="A9" s="148">
        <f>floors!C$2</f>
        <v>40030</v>
      </c>
      <c r="B9" s="52">
        <v>1</v>
      </c>
      <c r="C9" s="66" t="str">
        <f t="shared" si="0"/>
        <v>40030_1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2">
        <v>8</v>
      </c>
      <c r="F9" s="52" t="s">
        <v>259</v>
      </c>
      <c r="G9" s="52">
        <v>125</v>
      </c>
      <c r="H9" s="52">
        <v>1</v>
      </c>
      <c r="I9" s="52">
        <v>1</v>
      </c>
      <c r="J9" s="52">
        <v>1</v>
      </c>
      <c r="K9" s="52">
        <v>0</v>
      </c>
      <c r="L9" s="52">
        <v>0</v>
      </c>
      <c r="M9" s="52">
        <v>0</v>
      </c>
      <c r="N9" s="52">
        <v>0</v>
      </c>
      <c r="O9" s="52">
        <v>1</v>
      </c>
      <c r="P9" s="52">
        <v>10</v>
      </c>
      <c r="Q9" s="52" t="s">
        <v>171</v>
      </c>
      <c r="R9" s="157" t="s">
        <v>172</v>
      </c>
      <c r="S9" s="161">
        <f t="shared" si="1"/>
        <v>1</v>
      </c>
    </row>
    <row r="10" spans="1:19" x14ac:dyDescent="0.15">
      <c r="A10" s="148">
        <f>floors!C$2</f>
        <v>40030</v>
      </c>
      <c r="B10" s="52">
        <v>1</v>
      </c>
      <c r="C10" s="66" t="str">
        <f t="shared" si="0"/>
        <v>40030_1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2">
        <v>9</v>
      </c>
      <c r="F10" s="52" t="s">
        <v>259</v>
      </c>
      <c r="G10" s="52">
        <v>348</v>
      </c>
      <c r="H10" s="52">
        <v>1</v>
      </c>
      <c r="I10" s="52">
        <v>1</v>
      </c>
      <c r="J10" s="52">
        <v>1</v>
      </c>
      <c r="K10" s="52">
        <v>0</v>
      </c>
      <c r="L10" s="52">
        <v>0</v>
      </c>
      <c r="M10" s="52">
        <v>0</v>
      </c>
      <c r="N10" s="52">
        <v>0</v>
      </c>
      <c r="O10" s="52">
        <v>1</v>
      </c>
      <c r="P10" s="52">
        <v>150</v>
      </c>
      <c r="Q10" s="52" t="s">
        <v>171</v>
      </c>
      <c r="R10" s="157" t="s">
        <v>172</v>
      </c>
      <c r="S10" s="161">
        <f t="shared" si="1"/>
        <v>15</v>
      </c>
    </row>
    <row r="11" spans="1:19" ht="16" thickBot="1" x14ac:dyDescent="0.2">
      <c r="A11" s="149">
        <f>floors!C$2</f>
        <v>40030</v>
      </c>
      <c r="B11" s="150">
        <v>1</v>
      </c>
      <c r="C11" s="151" t="str">
        <f t="shared" si="0"/>
        <v>40030_1</v>
      </c>
      <c r="D11" s="152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50">
        <v>10</v>
      </c>
      <c r="F11" s="150" t="s">
        <v>259</v>
      </c>
      <c r="G11" s="150">
        <v>887</v>
      </c>
      <c r="H11" s="150">
        <v>1</v>
      </c>
      <c r="I11" s="150">
        <v>1</v>
      </c>
      <c r="J11" s="150">
        <v>1</v>
      </c>
      <c r="K11" s="150">
        <v>0</v>
      </c>
      <c r="L11" s="150">
        <v>0</v>
      </c>
      <c r="M11" s="150">
        <v>0</v>
      </c>
      <c r="N11" s="150">
        <v>0</v>
      </c>
      <c r="O11" s="150">
        <v>1</v>
      </c>
      <c r="P11" s="150">
        <v>100</v>
      </c>
      <c r="Q11" s="150" t="s">
        <v>171</v>
      </c>
      <c r="R11" s="158" t="s">
        <v>172</v>
      </c>
      <c r="S11" s="164">
        <f t="shared" si="1"/>
        <v>10</v>
      </c>
    </row>
    <row r="12" spans="1:19" x14ac:dyDescent="0.15">
      <c r="A12" s="144">
        <f>floors!C$2</f>
        <v>40030</v>
      </c>
      <c r="B12" s="145">
        <v>2</v>
      </c>
      <c r="C12" s="146" t="str">
        <f t="shared" si="0"/>
        <v>40030_2</v>
      </c>
      <c r="D12" s="147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45">
        <v>11</v>
      </c>
      <c r="F12" s="145" t="s">
        <v>259</v>
      </c>
      <c r="G12" s="145">
        <v>334</v>
      </c>
      <c r="H12" s="145">
        <v>1</v>
      </c>
      <c r="I12" s="145">
        <v>1</v>
      </c>
      <c r="J12" s="145">
        <v>1</v>
      </c>
      <c r="K12" s="145">
        <v>0</v>
      </c>
      <c r="L12" s="145">
        <v>0</v>
      </c>
      <c r="M12" s="145">
        <v>0</v>
      </c>
      <c r="N12" s="145">
        <v>0</v>
      </c>
      <c r="O12" s="145">
        <v>1</v>
      </c>
      <c r="P12" s="145">
        <v>50</v>
      </c>
      <c r="Q12" s="145" t="s">
        <v>171</v>
      </c>
      <c r="R12" s="156" t="s">
        <v>172</v>
      </c>
      <c r="S12" s="160">
        <f>P12/SUM(P$12:P$18)*100</f>
        <v>5</v>
      </c>
    </row>
    <row r="13" spans="1:19" x14ac:dyDescent="0.15">
      <c r="A13" s="148">
        <f>floors!C$2</f>
        <v>40030</v>
      </c>
      <c r="B13" s="52">
        <v>2</v>
      </c>
      <c r="C13" s="66" t="str">
        <f t="shared" si="0"/>
        <v>40030_2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2">
        <v>12</v>
      </c>
      <c r="F13" s="52" t="s">
        <v>259</v>
      </c>
      <c r="G13" s="52">
        <v>607</v>
      </c>
      <c r="H13" s="52">
        <v>1</v>
      </c>
      <c r="I13" s="52">
        <v>1</v>
      </c>
      <c r="J13" s="52">
        <v>1</v>
      </c>
      <c r="K13" s="52">
        <v>0</v>
      </c>
      <c r="L13" s="52">
        <v>0</v>
      </c>
      <c r="M13" s="52">
        <v>0</v>
      </c>
      <c r="N13" s="52">
        <v>0</v>
      </c>
      <c r="O13" s="52">
        <v>1</v>
      </c>
      <c r="P13" s="52">
        <v>100</v>
      </c>
      <c r="Q13" s="52" t="s">
        <v>171</v>
      </c>
      <c r="R13" s="157" t="s">
        <v>172</v>
      </c>
      <c r="S13" s="161">
        <f t="shared" ref="S13:S18" si="2">P13/SUM(P$12:P$18)*100</f>
        <v>10</v>
      </c>
    </row>
    <row r="14" spans="1:19" x14ac:dyDescent="0.15">
      <c r="A14" s="148">
        <f>floors!C$2</f>
        <v>40030</v>
      </c>
      <c r="B14" s="52">
        <v>2</v>
      </c>
      <c r="C14" s="66" t="str">
        <f t="shared" si="0"/>
        <v>40030_2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2">
        <v>13</v>
      </c>
      <c r="F14" s="52" t="s">
        <v>259</v>
      </c>
      <c r="G14" s="52">
        <v>608</v>
      </c>
      <c r="H14" s="52">
        <v>1</v>
      </c>
      <c r="I14" s="52">
        <v>1</v>
      </c>
      <c r="J14" s="52">
        <v>1</v>
      </c>
      <c r="K14" s="52">
        <v>0</v>
      </c>
      <c r="L14" s="52">
        <v>0</v>
      </c>
      <c r="M14" s="52">
        <v>0</v>
      </c>
      <c r="N14" s="52">
        <v>0</v>
      </c>
      <c r="O14" s="52">
        <v>1</v>
      </c>
      <c r="P14" s="52">
        <v>100</v>
      </c>
      <c r="Q14" s="52" t="s">
        <v>171</v>
      </c>
      <c r="R14" s="157" t="s">
        <v>172</v>
      </c>
      <c r="S14" s="161">
        <f t="shared" si="2"/>
        <v>10</v>
      </c>
    </row>
    <row r="15" spans="1:19" x14ac:dyDescent="0.15">
      <c r="A15" s="148">
        <f>floors!C$2</f>
        <v>40030</v>
      </c>
      <c r="B15" s="52">
        <v>2</v>
      </c>
      <c r="C15" s="66" t="str">
        <f t="shared" si="0"/>
        <v>40030_2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2">
        <v>14</v>
      </c>
      <c r="F15" s="52" t="s">
        <v>259</v>
      </c>
      <c r="G15" s="52">
        <v>609</v>
      </c>
      <c r="H15" s="52">
        <v>1</v>
      </c>
      <c r="I15" s="52">
        <v>1</v>
      </c>
      <c r="J15" s="52">
        <v>1</v>
      </c>
      <c r="K15" s="52">
        <v>0</v>
      </c>
      <c r="L15" s="52">
        <v>0</v>
      </c>
      <c r="M15" s="52">
        <v>0</v>
      </c>
      <c r="N15" s="52">
        <v>0</v>
      </c>
      <c r="O15" s="52">
        <v>1</v>
      </c>
      <c r="P15" s="52">
        <v>100</v>
      </c>
      <c r="Q15" s="52" t="s">
        <v>171</v>
      </c>
      <c r="R15" s="157" t="s">
        <v>172</v>
      </c>
      <c r="S15" s="161">
        <f t="shared" si="2"/>
        <v>10</v>
      </c>
    </row>
    <row r="16" spans="1:19" x14ac:dyDescent="0.15">
      <c r="A16" s="148">
        <f>floors!C$2</f>
        <v>40030</v>
      </c>
      <c r="B16" s="52">
        <v>2</v>
      </c>
      <c r="C16" s="66" t="str">
        <f t="shared" si="0"/>
        <v>40030_2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2">
        <v>15</v>
      </c>
      <c r="F16" s="52" t="s">
        <v>259</v>
      </c>
      <c r="G16" s="52">
        <v>125</v>
      </c>
      <c r="H16" s="52">
        <v>1</v>
      </c>
      <c r="I16" s="52">
        <v>1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1</v>
      </c>
      <c r="P16" s="52">
        <v>30</v>
      </c>
      <c r="Q16" s="52" t="s">
        <v>171</v>
      </c>
      <c r="R16" s="157" t="s">
        <v>172</v>
      </c>
      <c r="S16" s="161">
        <f t="shared" si="2"/>
        <v>3</v>
      </c>
    </row>
    <row r="17" spans="1:19" x14ac:dyDescent="0.15">
      <c r="A17" s="148">
        <f>floors!C$2</f>
        <v>40030</v>
      </c>
      <c r="B17" s="52">
        <v>2</v>
      </c>
      <c r="C17" s="66" t="str">
        <f t="shared" si="0"/>
        <v>40030_2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2">
        <v>16</v>
      </c>
      <c r="F17" s="52" t="s">
        <v>259</v>
      </c>
      <c r="G17" s="52">
        <v>887</v>
      </c>
      <c r="H17" s="52">
        <v>1</v>
      </c>
      <c r="I17" s="52">
        <v>1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1</v>
      </c>
      <c r="P17" s="52">
        <v>500</v>
      </c>
      <c r="Q17" s="52" t="s">
        <v>171</v>
      </c>
      <c r="R17" s="157" t="s">
        <v>172</v>
      </c>
      <c r="S17" s="163">
        <f t="shared" si="2"/>
        <v>50</v>
      </c>
    </row>
    <row r="18" spans="1:19" ht="16" thickBot="1" x14ac:dyDescent="0.2">
      <c r="A18" s="149">
        <f>floors!C$2</f>
        <v>40030</v>
      </c>
      <c r="B18" s="150">
        <v>2</v>
      </c>
      <c r="C18" s="151" t="str">
        <f t="shared" si="0"/>
        <v>40030_2</v>
      </c>
      <c r="D18" s="152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50">
        <v>17</v>
      </c>
      <c r="F18" s="150" t="s">
        <v>259</v>
      </c>
      <c r="G18" s="150">
        <v>348</v>
      </c>
      <c r="H18" s="150">
        <v>1</v>
      </c>
      <c r="I18" s="150">
        <v>1</v>
      </c>
      <c r="J18" s="150">
        <v>1</v>
      </c>
      <c r="K18" s="150">
        <v>0</v>
      </c>
      <c r="L18" s="150">
        <v>0</v>
      </c>
      <c r="M18" s="150">
        <v>0</v>
      </c>
      <c r="N18" s="150">
        <v>0</v>
      </c>
      <c r="O18" s="150">
        <v>1</v>
      </c>
      <c r="P18" s="150">
        <v>120</v>
      </c>
      <c r="Q18" s="150" t="s">
        <v>171</v>
      </c>
      <c r="R18" s="158" t="s">
        <v>172</v>
      </c>
      <c r="S18" s="162">
        <f t="shared" si="2"/>
        <v>12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H12" sqref="H12"/>
    </sheetView>
  </sheetViews>
  <sheetFormatPr baseColWidth="12" defaultColWidth="13" defaultRowHeight="15" outlineLevelCol="1" x14ac:dyDescent="0.15"/>
  <cols>
    <col min="1" max="1" width="13" style="7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0" t="s">
        <v>189</v>
      </c>
      <c r="B1" s="67" t="s">
        <v>190</v>
      </c>
      <c r="C1" s="71" t="s">
        <v>191</v>
      </c>
      <c r="D1" s="71" t="s">
        <v>33</v>
      </c>
      <c r="E1" s="67" t="s">
        <v>192</v>
      </c>
      <c r="F1" s="71" t="s">
        <v>193</v>
      </c>
      <c r="G1" s="71" t="s">
        <v>33</v>
      </c>
      <c r="H1" s="67" t="s">
        <v>194</v>
      </c>
      <c r="I1" s="80" t="s">
        <v>196</v>
      </c>
      <c r="J1" s="73" t="s">
        <v>127</v>
      </c>
      <c r="K1" s="72" t="s">
        <v>188</v>
      </c>
      <c r="L1" s="81" t="s">
        <v>187</v>
      </c>
      <c r="M1" s="74" t="s">
        <v>197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5"/>
  <sheetViews>
    <sheetView showGridLines="0" workbookViewId="0">
      <pane ySplit="1" topLeftCell="A3" activePane="bottomLeft" state="frozen"/>
      <selection pane="bottomLeft" activeCell="L11" sqref="L11"/>
    </sheetView>
  </sheetViews>
  <sheetFormatPr baseColWidth="12" defaultColWidth="13" defaultRowHeight="20" outlineLevelCol="1" x14ac:dyDescent="0.35"/>
  <cols>
    <col min="1" max="1" width="13" style="209"/>
    <col min="2" max="2" width="13" style="197" collapsed="1"/>
    <col min="3" max="3" width="17" style="197" hidden="1" customWidth="1" outlineLevel="1"/>
    <col min="4" max="4" width="18.83203125" style="197" hidden="1" customWidth="1" outlineLevel="1"/>
    <col min="5" max="5" width="13" style="197" collapsed="1"/>
    <col min="6" max="6" width="22.5" style="197" hidden="1" customWidth="1" outlineLevel="1"/>
    <col min="7" max="7" width="22" style="197" hidden="1" customWidth="1" outlineLevel="1"/>
    <col min="8" max="9" width="22" style="197" customWidth="1"/>
    <col min="10" max="12" width="11.1640625" style="197" customWidth="1"/>
    <col min="13" max="13" width="42.6640625" style="197" customWidth="1"/>
    <col min="14" max="16384" width="13" style="197"/>
  </cols>
  <sheetData>
    <row r="1" spans="1:15" x14ac:dyDescent="0.35">
      <c r="A1" s="188" t="s">
        <v>189</v>
      </c>
      <c r="B1" s="189" t="s">
        <v>151</v>
      </c>
      <c r="C1" s="190" t="s">
        <v>191</v>
      </c>
      <c r="D1" s="190" t="s">
        <v>33</v>
      </c>
      <c r="E1" s="189" t="s">
        <v>192</v>
      </c>
      <c r="F1" s="190" t="s">
        <v>18</v>
      </c>
      <c r="G1" s="190" t="s">
        <v>33</v>
      </c>
      <c r="H1" s="189" t="s">
        <v>194</v>
      </c>
      <c r="I1" s="191" t="s">
        <v>195</v>
      </c>
      <c r="J1" s="192" t="s">
        <v>196</v>
      </c>
      <c r="K1" s="193" t="s">
        <v>127</v>
      </c>
      <c r="L1" s="194" t="s">
        <v>188</v>
      </c>
      <c r="M1" s="195" t="s">
        <v>187</v>
      </c>
      <c r="N1" s="196" t="s">
        <v>197</v>
      </c>
      <c r="O1" s="197" t="s">
        <v>292</v>
      </c>
    </row>
    <row r="2" spans="1:15" ht="52" x14ac:dyDescent="0.35">
      <c r="A2" s="198" t="s">
        <v>198</v>
      </c>
      <c r="B2" s="199">
        <f>floors!$C$2</f>
        <v>40030</v>
      </c>
      <c r="C2" s="200" t="str">
        <f ca="1">VLOOKUP($B2,OFFSET([2]quests!$A$1,0,0,COUNTA([2]quests!$A:$A),MATCH(C$1,[2]quests!$1:$1,0)-MATCH($B$1,[2]quests!$1:$1,0)+1),MATCH(C$1,[2]quests!$1:$1,0)-MATCH($B$1,[2]quests!$1:$1,0)+1,FALSE)</f>
        <v>エリス襲来！</v>
      </c>
      <c r="D2" s="200" t="str">
        <f ca="1">VLOOKUP($B2,OFFSET([2]quests!$A$1,0,0,COUNTA([2]quests!$A:$A),MATCH(D$1,[2]quests!$1:$1,0)-MATCH($B$1,[2]quests!$1:$1,0)+1),MATCH(D$1,[2]quests!$1:$1,0)-MATCH($B$1,[2]quests!$1:$1,0)+1,FALSE)</f>
        <v>降臨30</v>
      </c>
      <c r="E2" s="201">
        <v>1</v>
      </c>
      <c r="F2" s="200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【超絶級】エリス襲来</v>
      </c>
      <c r="G2" s="200" t="str">
        <f ca="1">VLOOKUP($B2&amp;"_"&amp;$E2,OFFSET([2]stages!$A$1,0,0,COUNTA([2]stages!$A:$A),MATCH(G$1,[2]stages!$2:$2,0)-MATCH("temp_stage",[2]stages!$2:$2,0)+1),MATCH(G$1,[2]stages!$2:$2,0)-MATCH("temp_stage",[2]stages!$2:$2,0)+1,FALSE)</f>
        <v>降臨30</v>
      </c>
      <c r="H2" s="202">
        <v>1</v>
      </c>
      <c r="I2" s="203">
        <f>ROW()-1</f>
        <v>1</v>
      </c>
      <c r="J2" s="204" t="str">
        <f>B2&amp;TEXT(I2,"00")</f>
        <v>4003001</v>
      </c>
      <c r="K2" s="201" t="s">
        <v>199</v>
      </c>
      <c r="L2" s="201" t="s">
        <v>200</v>
      </c>
      <c r="M2" s="205" t="s">
        <v>327</v>
      </c>
      <c r="N2" s="206" t="s">
        <v>201</v>
      </c>
      <c r="O2" s="197">
        <f>LEN(M2)</f>
        <v>49</v>
      </c>
    </row>
    <row r="3" spans="1:15" ht="69" x14ac:dyDescent="0.35">
      <c r="A3" s="198" t="s">
        <v>198</v>
      </c>
      <c r="B3" s="199">
        <f>floors!$C$2</f>
        <v>40030</v>
      </c>
      <c r="C3" s="200" t="str">
        <f ca="1">VLOOKUP($B3,OFFSET([2]quests!$A$1,0,0,COUNTA([2]quests!$A:$A),MATCH(C$1,[2]quests!$1:$1,0)-MATCH($B$1,[2]quests!$1:$1,0)+1),MATCH(C$1,[2]quests!$1:$1,0)-MATCH($B$1,[2]quests!$1:$1,0)+1,FALSE)</f>
        <v>エリス襲来！</v>
      </c>
      <c r="D3" s="200" t="str">
        <f ca="1">VLOOKUP($B3,OFFSET([2]quests!$A$1,0,0,COUNTA([2]quests!$A:$A),MATCH(D$1,[2]quests!$1:$1,0)-MATCH($B$1,[2]quests!$1:$1,0)+1),MATCH(D$1,[2]quests!$1:$1,0)-MATCH($B$1,[2]quests!$1:$1,0)+1,FALSE)</f>
        <v>降臨30</v>
      </c>
      <c r="E3" s="201">
        <v>1</v>
      </c>
      <c r="F3" s="200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【超絶級】エリス襲来</v>
      </c>
      <c r="G3" s="200" t="str">
        <f ca="1">VLOOKUP($B3&amp;"_"&amp;$E3,OFFSET([2]stages!$A$1,0,0,COUNTA([2]stages!$A:$A),MATCH(G$1,[2]stages!$2:$2,0)-MATCH("temp_stage",[2]stages!$2:$2,0)+1),MATCH(G$1,[2]stages!$2:$2,0)-MATCH("temp_stage",[2]stages!$2:$2,0)+1,FALSE)</f>
        <v>降臨30</v>
      </c>
      <c r="H3" s="202">
        <v>2</v>
      </c>
      <c r="I3" s="203">
        <f t="shared" ref="I3:I15" si="0">ROW()-1</f>
        <v>2</v>
      </c>
      <c r="J3" s="204" t="str">
        <f t="shared" ref="J3" si="1">B3&amp;TEXT(I3,"00")</f>
        <v>4003002</v>
      </c>
      <c r="K3" s="201" t="s">
        <v>199</v>
      </c>
      <c r="L3" s="201" t="s">
        <v>200</v>
      </c>
      <c r="M3" s="205" t="s">
        <v>329</v>
      </c>
      <c r="N3" s="206" t="s">
        <v>201</v>
      </c>
      <c r="O3" s="197">
        <f t="shared" ref="O3" si="2">LEN(M3)</f>
        <v>58</v>
      </c>
    </row>
    <row r="4" spans="1:15" ht="52" x14ac:dyDescent="0.35">
      <c r="A4" s="198" t="s">
        <v>198</v>
      </c>
      <c r="B4" s="199">
        <f>floors!$C$2</f>
        <v>40030</v>
      </c>
      <c r="C4" s="200" t="str">
        <f ca="1">VLOOKUP($B4,OFFSET([2]quests!$A$1,0,0,COUNTA([2]quests!$A:$A),MATCH(C$1,[2]quests!$1:$1,0)-MATCH($B$1,[2]quests!$1:$1,0)+1),MATCH(C$1,[2]quests!$1:$1,0)-MATCH($B$1,[2]quests!$1:$1,0)+1,FALSE)</f>
        <v>エリス襲来！</v>
      </c>
      <c r="D4" s="200" t="str">
        <f ca="1">VLOOKUP($B4,OFFSET([2]quests!$A$1,0,0,COUNTA([2]quests!$A:$A),MATCH(D$1,[2]quests!$1:$1,0)-MATCH($B$1,[2]quests!$1:$1,0)+1),MATCH(D$1,[2]quests!$1:$1,0)-MATCH($B$1,[2]quests!$1:$1,0)+1,FALSE)</f>
        <v>降臨30</v>
      </c>
      <c r="E4" s="201">
        <v>1</v>
      </c>
      <c r="F4" s="200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【超絶級】エリス襲来</v>
      </c>
      <c r="G4" s="200" t="str">
        <f ca="1">VLOOKUP($B4&amp;"_"&amp;$E4,OFFSET([2]stages!$A$1,0,0,COUNTA([2]stages!$A:$A),MATCH(G$1,[2]stages!$2:$2,0)-MATCH("temp_stage",[2]stages!$2:$2,0)+1),MATCH(G$1,[2]stages!$2:$2,0)-MATCH("temp_stage",[2]stages!$2:$2,0)+1,FALSE)</f>
        <v>降臨30</v>
      </c>
      <c r="H4" s="202">
        <v>3</v>
      </c>
      <c r="I4" s="203">
        <f t="shared" si="0"/>
        <v>3</v>
      </c>
      <c r="J4" s="204" t="str">
        <f t="shared" ref="J4:J9" si="3">B4&amp;TEXT(I4,"00")</f>
        <v>4003003</v>
      </c>
      <c r="K4" s="201" t="s">
        <v>199</v>
      </c>
      <c r="L4" s="201" t="s">
        <v>200</v>
      </c>
      <c r="M4" s="205" t="s">
        <v>328</v>
      </c>
      <c r="N4" s="206" t="s">
        <v>201</v>
      </c>
      <c r="O4" s="197">
        <f t="shared" ref="O4:O9" si="4">LEN(M4)</f>
        <v>41</v>
      </c>
    </row>
    <row r="5" spans="1:15" ht="52" x14ac:dyDescent="0.35">
      <c r="A5" s="198" t="s">
        <v>198</v>
      </c>
      <c r="B5" s="199">
        <f>floors!$C$2</f>
        <v>40030</v>
      </c>
      <c r="C5" s="200" t="str">
        <f ca="1">VLOOKUP($B5,OFFSET([2]quests!$A$1,0,0,COUNTA([2]quests!$A:$A),MATCH(C$1,[2]quests!$1:$1,0)-MATCH($B$1,[2]quests!$1:$1,0)+1),MATCH(C$1,[2]quests!$1:$1,0)-MATCH($B$1,[2]quests!$1:$1,0)+1,FALSE)</f>
        <v>エリス襲来！</v>
      </c>
      <c r="D5" s="200" t="str">
        <f ca="1">VLOOKUP($B5,OFFSET([2]quests!$A$1,0,0,COUNTA([2]quests!$A:$A),MATCH(D$1,[2]quests!$1:$1,0)-MATCH($B$1,[2]quests!$1:$1,0)+1),MATCH(D$1,[2]quests!$1:$1,0)-MATCH($B$1,[2]quests!$1:$1,0)+1,FALSE)</f>
        <v>降臨30</v>
      </c>
      <c r="E5" s="201">
        <v>1</v>
      </c>
      <c r="F5" s="200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【超絶級】エリス襲来</v>
      </c>
      <c r="G5" s="200" t="str">
        <f ca="1">VLOOKUP($B5&amp;"_"&amp;$E5,OFFSET([2]stages!$A$1,0,0,COUNTA([2]stages!$A:$A),MATCH(G$1,[2]stages!$2:$2,0)-MATCH("temp_stage",[2]stages!$2:$2,0)+1),MATCH(G$1,[2]stages!$2:$2,0)-MATCH("temp_stage",[2]stages!$2:$2,0)+1,FALSE)</f>
        <v>降臨30</v>
      </c>
      <c r="H5" s="202">
        <v>4</v>
      </c>
      <c r="I5" s="203">
        <f t="shared" si="0"/>
        <v>4</v>
      </c>
      <c r="J5" s="204" t="str">
        <f t="shared" si="3"/>
        <v>4003004</v>
      </c>
      <c r="K5" s="201" t="s">
        <v>199</v>
      </c>
      <c r="L5" s="201" t="s">
        <v>200</v>
      </c>
      <c r="M5" s="205" t="s">
        <v>342</v>
      </c>
      <c r="N5" s="206" t="s">
        <v>201</v>
      </c>
      <c r="O5" s="197">
        <f t="shared" si="4"/>
        <v>53</v>
      </c>
    </row>
    <row r="6" spans="1:15" ht="52" x14ac:dyDescent="0.35">
      <c r="A6" s="198" t="s">
        <v>198</v>
      </c>
      <c r="B6" s="199">
        <f>floors!$C$2</f>
        <v>40030</v>
      </c>
      <c r="C6" s="200" t="str">
        <f ca="1">VLOOKUP($B6,OFFSET([2]quests!$A$1,0,0,COUNTA([2]quests!$A:$A),MATCH(C$1,[2]quests!$1:$1,0)-MATCH($B$1,[2]quests!$1:$1,0)+1),MATCH(C$1,[2]quests!$1:$1,0)-MATCH($B$1,[2]quests!$1:$1,0)+1,FALSE)</f>
        <v>エリス襲来！</v>
      </c>
      <c r="D6" s="200" t="str">
        <f ca="1">VLOOKUP($B6,OFFSET([2]quests!$A$1,0,0,COUNTA([2]quests!$A:$A),MATCH(D$1,[2]quests!$1:$1,0)-MATCH($B$1,[2]quests!$1:$1,0)+1),MATCH(D$1,[2]quests!$1:$1,0)-MATCH($B$1,[2]quests!$1:$1,0)+1,FALSE)</f>
        <v>降臨30</v>
      </c>
      <c r="E6" s="201">
        <v>2</v>
      </c>
      <c r="F6" s="200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【ウィザード級】エリス襲来</v>
      </c>
      <c r="G6" s="200" t="str">
        <f ca="1">VLOOKUP($B6&amp;"_"&amp;$E6,OFFSET([2]stages!$A$1,0,0,COUNTA([2]stages!$A:$A),MATCH(G$1,[2]stages!$2:$2,0)-MATCH("temp_stage",[2]stages!$2:$2,0)+1),MATCH(G$1,[2]stages!$2:$2,0)-MATCH("temp_stage",[2]stages!$2:$2,0)+1,FALSE)</f>
        <v>降臨30</v>
      </c>
      <c r="H6" s="202">
        <v>1</v>
      </c>
      <c r="I6" s="203">
        <f t="shared" si="0"/>
        <v>5</v>
      </c>
      <c r="J6" s="204" t="str">
        <f t="shared" si="3"/>
        <v>4003005</v>
      </c>
      <c r="K6" s="201" t="s">
        <v>199</v>
      </c>
      <c r="L6" s="201" t="s">
        <v>200</v>
      </c>
      <c r="M6" s="205" t="s">
        <v>327</v>
      </c>
      <c r="N6" s="206" t="s">
        <v>201</v>
      </c>
      <c r="O6" s="197">
        <f t="shared" si="4"/>
        <v>49</v>
      </c>
    </row>
    <row r="7" spans="1:15" ht="69" x14ac:dyDescent="0.35">
      <c r="A7" s="198" t="s">
        <v>198</v>
      </c>
      <c r="B7" s="199">
        <f>floors!$C$2</f>
        <v>40030</v>
      </c>
      <c r="C7" s="200" t="str">
        <f ca="1">VLOOKUP($B7,OFFSET([2]quests!$A$1,0,0,COUNTA([2]quests!$A:$A),MATCH(C$1,[2]quests!$1:$1,0)-MATCH($B$1,[2]quests!$1:$1,0)+1),MATCH(C$1,[2]quests!$1:$1,0)-MATCH($B$1,[2]quests!$1:$1,0)+1,FALSE)</f>
        <v>エリス襲来！</v>
      </c>
      <c r="D7" s="200" t="str">
        <f ca="1">VLOOKUP($B7,OFFSET([2]quests!$A$1,0,0,COUNTA([2]quests!$A:$A),MATCH(D$1,[2]quests!$1:$1,0)-MATCH($B$1,[2]quests!$1:$1,0)+1),MATCH(D$1,[2]quests!$1:$1,0)-MATCH($B$1,[2]quests!$1:$1,0)+1,FALSE)</f>
        <v>降臨30</v>
      </c>
      <c r="E7" s="201">
        <v>2</v>
      </c>
      <c r="F7" s="200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【ウィザード級】エリス襲来</v>
      </c>
      <c r="G7" s="200" t="str">
        <f ca="1">VLOOKUP($B7&amp;"_"&amp;$E7,OFFSET([2]stages!$A$1,0,0,COUNTA([2]stages!$A:$A),MATCH(G$1,[2]stages!$2:$2,0)-MATCH("temp_stage",[2]stages!$2:$2,0)+1),MATCH(G$1,[2]stages!$2:$2,0)-MATCH("temp_stage",[2]stages!$2:$2,0)+1,FALSE)</f>
        <v>降臨30</v>
      </c>
      <c r="H7" s="202">
        <v>2</v>
      </c>
      <c r="I7" s="203">
        <f t="shared" si="0"/>
        <v>6</v>
      </c>
      <c r="J7" s="204" t="str">
        <f t="shared" si="3"/>
        <v>4003006</v>
      </c>
      <c r="K7" s="201" t="s">
        <v>199</v>
      </c>
      <c r="L7" s="201" t="s">
        <v>200</v>
      </c>
      <c r="M7" s="205" t="s">
        <v>329</v>
      </c>
      <c r="N7" s="206" t="s">
        <v>201</v>
      </c>
      <c r="O7" s="197">
        <f t="shared" si="4"/>
        <v>58</v>
      </c>
    </row>
    <row r="8" spans="1:15" ht="52" x14ac:dyDescent="0.35">
      <c r="A8" s="198" t="s">
        <v>198</v>
      </c>
      <c r="B8" s="199">
        <f>floors!$C$2</f>
        <v>40030</v>
      </c>
      <c r="C8" s="200" t="str">
        <f ca="1">VLOOKUP($B8,OFFSET([2]quests!$A$1,0,0,COUNTA([2]quests!$A:$A),MATCH(C$1,[2]quests!$1:$1,0)-MATCH($B$1,[2]quests!$1:$1,0)+1),MATCH(C$1,[2]quests!$1:$1,0)-MATCH($B$1,[2]quests!$1:$1,0)+1,FALSE)</f>
        <v>エリス襲来！</v>
      </c>
      <c r="D8" s="200" t="str">
        <f ca="1">VLOOKUP($B8,OFFSET([2]quests!$A$1,0,0,COUNTA([2]quests!$A:$A),MATCH(D$1,[2]quests!$1:$1,0)-MATCH($B$1,[2]quests!$1:$1,0)+1),MATCH(D$1,[2]quests!$1:$1,0)-MATCH($B$1,[2]quests!$1:$1,0)+1,FALSE)</f>
        <v>降臨30</v>
      </c>
      <c r="E8" s="201">
        <v>2</v>
      </c>
      <c r="F8" s="200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【ウィザード級】エリス襲来</v>
      </c>
      <c r="G8" s="200" t="str">
        <f ca="1">VLOOKUP($B8&amp;"_"&amp;$E8,OFFSET([2]stages!$A$1,0,0,COUNTA([2]stages!$A:$A),MATCH(G$1,[2]stages!$2:$2,0)-MATCH("temp_stage",[2]stages!$2:$2,0)+1),MATCH(G$1,[2]stages!$2:$2,0)-MATCH("temp_stage",[2]stages!$2:$2,0)+1,FALSE)</f>
        <v>降臨30</v>
      </c>
      <c r="H8" s="202">
        <v>3</v>
      </c>
      <c r="I8" s="203">
        <f t="shared" si="0"/>
        <v>7</v>
      </c>
      <c r="J8" s="204" t="str">
        <f t="shared" si="3"/>
        <v>4003007</v>
      </c>
      <c r="K8" s="201" t="s">
        <v>199</v>
      </c>
      <c r="L8" s="201" t="s">
        <v>200</v>
      </c>
      <c r="M8" s="205" t="s">
        <v>328</v>
      </c>
      <c r="N8" s="206" t="s">
        <v>201</v>
      </c>
      <c r="O8" s="197">
        <f t="shared" si="4"/>
        <v>41</v>
      </c>
    </row>
    <row r="9" spans="1:15" ht="52" x14ac:dyDescent="0.35">
      <c r="A9" s="198" t="s">
        <v>198</v>
      </c>
      <c r="B9" s="199">
        <f>floors!$C$2</f>
        <v>40030</v>
      </c>
      <c r="C9" s="200" t="str">
        <f ca="1">VLOOKUP($B9,OFFSET([2]quests!$A$1,0,0,COUNTA([2]quests!$A:$A),MATCH(C$1,[2]quests!$1:$1,0)-MATCH($B$1,[2]quests!$1:$1,0)+1),MATCH(C$1,[2]quests!$1:$1,0)-MATCH($B$1,[2]quests!$1:$1,0)+1,FALSE)</f>
        <v>エリス襲来！</v>
      </c>
      <c r="D9" s="200" t="str">
        <f ca="1">VLOOKUP($B9,OFFSET([2]quests!$A$1,0,0,COUNTA([2]quests!$A:$A),MATCH(D$1,[2]quests!$1:$1,0)-MATCH($B$1,[2]quests!$1:$1,0)+1),MATCH(D$1,[2]quests!$1:$1,0)-MATCH($B$1,[2]quests!$1:$1,0)+1,FALSE)</f>
        <v>降臨30</v>
      </c>
      <c r="E9" s="201">
        <v>2</v>
      </c>
      <c r="F9" s="200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【ウィザード級】エリス襲来</v>
      </c>
      <c r="G9" s="200" t="str">
        <f ca="1">VLOOKUP($B9&amp;"_"&amp;$E9,OFFSET([2]stages!$A$1,0,0,COUNTA([2]stages!$A:$A),MATCH(G$1,[2]stages!$2:$2,0)-MATCH("temp_stage",[2]stages!$2:$2,0)+1),MATCH(G$1,[2]stages!$2:$2,0)-MATCH("temp_stage",[2]stages!$2:$2,0)+1,FALSE)</f>
        <v>降臨30</v>
      </c>
      <c r="H9" s="202">
        <v>4</v>
      </c>
      <c r="I9" s="203">
        <f t="shared" si="0"/>
        <v>8</v>
      </c>
      <c r="J9" s="204" t="str">
        <f t="shared" si="3"/>
        <v>4003008</v>
      </c>
      <c r="K9" s="201" t="s">
        <v>199</v>
      </c>
      <c r="L9" s="201" t="s">
        <v>200</v>
      </c>
      <c r="M9" s="205" t="s">
        <v>342</v>
      </c>
      <c r="N9" s="206" t="s">
        <v>201</v>
      </c>
      <c r="O9" s="197">
        <f t="shared" si="4"/>
        <v>53</v>
      </c>
    </row>
    <row r="10" spans="1:15" ht="35" x14ac:dyDescent="0.35">
      <c r="A10" s="198" t="s">
        <v>202</v>
      </c>
      <c r="B10" s="199">
        <f>floors!$C$2</f>
        <v>40030</v>
      </c>
      <c r="E10" s="207">
        <v>1</v>
      </c>
      <c r="H10" s="208">
        <v>0</v>
      </c>
      <c r="I10" s="203">
        <f t="shared" si="0"/>
        <v>9</v>
      </c>
      <c r="J10" s="204" t="str">
        <f t="shared" ref="J10" si="5">B10&amp;TEXT(I10,"00")</f>
        <v>4003009</v>
      </c>
      <c r="K10" s="201" t="s">
        <v>199</v>
      </c>
      <c r="L10" s="201" t="s">
        <v>323</v>
      </c>
      <c r="M10" s="205" t="s">
        <v>325</v>
      </c>
      <c r="N10" s="206" t="s">
        <v>201</v>
      </c>
      <c r="O10" s="197">
        <f t="shared" ref="O10" si="6">LEN(M10)</f>
        <v>40</v>
      </c>
    </row>
    <row r="11" spans="1:15" ht="69" x14ac:dyDescent="0.35">
      <c r="A11" s="198" t="s">
        <v>202</v>
      </c>
      <c r="B11" s="199">
        <f>floors!$C$2</f>
        <v>40030</v>
      </c>
      <c r="E11" s="207">
        <v>1</v>
      </c>
      <c r="H11" s="208">
        <v>0</v>
      </c>
      <c r="I11" s="203">
        <f t="shared" si="0"/>
        <v>10</v>
      </c>
      <c r="J11" s="204" t="str">
        <f t="shared" ref="J11:J13" si="7">B11&amp;TEXT(I11,"00")</f>
        <v>4003010</v>
      </c>
      <c r="K11" s="201" t="s">
        <v>199</v>
      </c>
      <c r="L11" s="201" t="s">
        <v>363</v>
      </c>
      <c r="M11" s="205" t="s">
        <v>364</v>
      </c>
      <c r="N11" s="206" t="s">
        <v>201</v>
      </c>
      <c r="O11" s="197">
        <f t="shared" ref="O11:O13" si="8">LEN(M11)</f>
        <v>61</v>
      </c>
    </row>
    <row r="12" spans="1:15" ht="69" x14ac:dyDescent="0.35">
      <c r="A12" s="198" t="s">
        <v>202</v>
      </c>
      <c r="B12" s="199">
        <f>floors!$C$2</f>
        <v>40030</v>
      </c>
      <c r="E12" s="207">
        <v>1</v>
      </c>
      <c r="H12" s="208">
        <v>0</v>
      </c>
      <c r="I12" s="203">
        <f t="shared" si="0"/>
        <v>11</v>
      </c>
      <c r="J12" s="204" t="str">
        <f t="shared" si="7"/>
        <v>4003011</v>
      </c>
      <c r="K12" s="201" t="s">
        <v>199</v>
      </c>
      <c r="L12" s="201" t="s">
        <v>324</v>
      </c>
      <c r="M12" s="205" t="s">
        <v>330</v>
      </c>
      <c r="N12" s="206" t="s">
        <v>201</v>
      </c>
      <c r="O12" s="197">
        <f t="shared" si="8"/>
        <v>58</v>
      </c>
    </row>
    <row r="13" spans="1:15" ht="35" x14ac:dyDescent="0.35">
      <c r="A13" s="198" t="s">
        <v>202</v>
      </c>
      <c r="B13" s="199">
        <f>floors!$C$2</f>
        <v>40030</v>
      </c>
      <c r="E13" s="207">
        <v>2</v>
      </c>
      <c r="H13" s="208">
        <v>0</v>
      </c>
      <c r="I13" s="203">
        <f t="shared" si="0"/>
        <v>12</v>
      </c>
      <c r="J13" s="204" t="str">
        <f t="shared" si="7"/>
        <v>4003012</v>
      </c>
      <c r="K13" s="201" t="s">
        <v>199</v>
      </c>
      <c r="L13" s="201" t="s">
        <v>324</v>
      </c>
      <c r="M13" s="205" t="s">
        <v>325</v>
      </c>
      <c r="N13" s="206" t="s">
        <v>201</v>
      </c>
      <c r="O13" s="197">
        <f t="shared" si="8"/>
        <v>40</v>
      </c>
    </row>
    <row r="14" spans="1:15" ht="69" x14ac:dyDescent="0.35">
      <c r="A14" s="198" t="s">
        <v>202</v>
      </c>
      <c r="B14" s="199">
        <f>floors!$C$2</f>
        <v>40030</v>
      </c>
      <c r="E14" s="207">
        <v>2</v>
      </c>
      <c r="H14" s="208">
        <v>0</v>
      </c>
      <c r="I14" s="203">
        <f t="shared" si="0"/>
        <v>13</v>
      </c>
      <c r="J14" s="204" t="str">
        <f t="shared" ref="J14:J15" si="9">B14&amp;TEXT(I14,"00")</f>
        <v>4003013</v>
      </c>
      <c r="K14" s="201" t="s">
        <v>199</v>
      </c>
      <c r="L14" s="201" t="s">
        <v>363</v>
      </c>
      <c r="M14" s="205" t="s">
        <v>364</v>
      </c>
      <c r="N14" s="206" t="s">
        <v>201</v>
      </c>
      <c r="O14" s="197">
        <f t="shared" ref="O14:O15" si="10">LEN(M14)</f>
        <v>61</v>
      </c>
    </row>
    <row r="15" spans="1:15" ht="69" x14ac:dyDescent="0.35">
      <c r="A15" s="198" t="s">
        <v>202</v>
      </c>
      <c r="B15" s="199">
        <f>floors!$C$2</f>
        <v>40030</v>
      </c>
      <c r="E15" s="207">
        <v>2</v>
      </c>
      <c r="H15" s="208">
        <v>0</v>
      </c>
      <c r="I15" s="203">
        <f t="shared" si="0"/>
        <v>14</v>
      </c>
      <c r="J15" s="204" t="str">
        <f t="shared" si="9"/>
        <v>4003014</v>
      </c>
      <c r="K15" s="201" t="s">
        <v>199</v>
      </c>
      <c r="L15" s="201" t="s">
        <v>324</v>
      </c>
      <c r="M15" s="205" t="s">
        <v>330</v>
      </c>
      <c r="N15" s="206" t="s">
        <v>201</v>
      </c>
      <c r="O15" s="197">
        <f t="shared" si="10"/>
        <v>58</v>
      </c>
    </row>
  </sheetData>
  <phoneticPr fontId="5"/>
  <dataValidations count="1">
    <dataValidation type="list" allowBlank="1" showInputMessage="1" showErrorMessage="1" sqref="A2:A1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O30" sqref="O30:O31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83" t="s">
        <v>214</v>
      </c>
      <c r="B1" s="84" t="s">
        <v>215</v>
      </c>
      <c r="C1" s="71" t="s">
        <v>216</v>
      </c>
      <c r="D1" s="71" t="s">
        <v>33</v>
      </c>
      <c r="E1" s="84" t="s">
        <v>217</v>
      </c>
      <c r="F1" s="71" t="s">
        <v>218</v>
      </c>
      <c r="G1" s="71" t="s">
        <v>33</v>
      </c>
      <c r="H1" s="84" t="s">
        <v>219</v>
      </c>
      <c r="I1" s="84" t="s">
        <v>220</v>
      </c>
      <c r="J1" s="84" t="s">
        <v>221</v>
      </c>
      <c r="K1" s="67" t="s">
        <v>222</v>
      </c>
      <c r="L1" s="67" t="s">
        <v>223</v>
      </c>
      <c r="M1" s="67" t="s">
        <v>157</v>
      </c>
      <c r="N1" s="71" t="s">
        <v>16</v>
      </c>
      <c r="O1" s="67" t="s">
        <v>224</v>
      </c>
      <c r="P1" s="67" t="s">
        <v>57</v>
      </c>
      <c r="Q1" s="67" t="s">
        <v>225</v>
      </c>
      <c r="R1" s="67" t="s">
        <v>38</v>
      </c>
      <c r="S1" s="67" t="s">
        <v>40</v>
      </c>
      <c r="T1" s="67" t="s">
        <v>42</v>
      </c>
      <c r="U1" s="67" t="s">
        <v>44</v>
      </c>
      <c r="V1" s="67" t="s">
        <v>46</v>
      </c>
      <c r="W1" s="67" t="s">
        <v>226</v>
      </c>
      <c r="X1" s="67" t="s">
        <v>227</v>
      </c>
    </row>
    <row r="2" spans="1:24" x14ac:dyDescent="0.15">
      <c r="A2" s="85" t="str">
        <f>B2&amp;"_"&amp;E2&amp;"_"&amp;H2&amp;"_"&amp;I2&amp;"_"&amp;J2</f>
        <v>40030_2_everyone_no_continue_1</v>
      </c>
      <c r="B2" s="75">
        <v>40030</v>
      </c>
      <c r="C2" s="76" t="str">
        <f ca="1">VLOOKUP($B2,OFFSET([2]quests!$A$1,0,0,COUNTA([2]quests!$A:$A),MATCH(C$1,[2]quests!$1:$1,0)-MATCH($B$1,[2]quests!$1:$1,0)+1),MATCH(C$1,[2]quests!$1:$1,0)-MATCH($B$1,[2]quests!$1:$1,0)+1,FALSE)</f>
        <v>エリス襲来！</v>
      </c>
      <c r="D2" s="76" t="str">
        <f ca="1">VLOOKUP($B2,OFFSET([2]quests!$A$1,0,0,COUNTA([2]quests!$A:$A),MATCH(D$1,[2]quests!$1:$1,0)-MATCH($B$1,[2]quests!$1:$1,0)+1),MATCH(D$1,[2]quests!$1:$1,0)-MATCH($B$1,[2]quests!$1:$1,0)+1,FALSE)</f>
        <v>降臨30</v>
      </c>
      <c r="E2" s="77">
        <v>2</v>
      </c>
      <c r="F2" s="76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【ウィザード級】エリス襲来</v>
      </c>
      <c r="G2" s="76" t="str">
        <f ca="1">VLOOKUP($B2&amp;"_"&amp;$E2,OFFSET([2]stages!$A$1,0,0,COUNTA([2]stages!$A:$A),MATCH(G$1,[2]stages!$2:$2,0)-MATCH("temp_stage",[2]stages!$2:$2,0)+1),MATCH(G$1,[2]stages!$2:$2,0)-MATCH("temp_stage",[2]stages!$2:$2,0)+1,FALSE)</f>
        <v>降臨30</v>
      </c>
      <c r="H2" s="78" t="s">
        <v>228</v>
      </c>
      <c r="I2" s="77" t="s">
        <v>232</v>
      </c>
      <c r="J2" s="77">
        <v>1</v>
      </c>
      <c r="K2" s="77">
        <v>1000</v>
      </c>
      <c r="L2" s="77" t="s">
        <v>229</v>
      </c>
      <c r="M2" s="77">
        <v>887</v>
      </c>
      <c r="N2" s="8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エリス</v>
      </c>
      <c r="O2" s="77">
        <v>1</v>
      </c>
      <c r="P2" s="77">
        <v>1</v>
      </c>
      <c r="Q2" s="77">
        <v>1</v>
      </c>
      <c r="R2" s="77">
        <v>0</v>
      </c>
      <c r="S2" s="77">
        <v>0</v>
      </c>
      <c r="T2" s="77">
        <v>0</v>
      </c>
      <c r="U2" s="77">
        <v>0</v>
      </c>
      <c r="V2" s="77">
        <v>1</v>
      </c>
      <c r="W2" s="87" t="s">
        <v>230</v>
      </c>
      <c r="X2" s="88" t="s">
        <v>231</v>
      </c>
    </row>
    <row r="3" spans="1:24" x14ac:dyDescent="0.15">
      <c r="A3" s="85" t="str">
        <f>B3&amp;"_"&amp;E3&amp;"_"&amp;H3&amp;"_"&amp;I3&amp;"_"&amp;J3</f>
        <v>40030_2_everyone_full_member_1</v>
      </c>
      <c r="B3" s="75">
        <v>40030</v>
      </c>
      <c r="C3" s="76" t="str">
        <f ca="1">VLOOKUP($B3,OFFSET([2]quests!$A$1,0,0,COUNTA([2]quests!$A:$A),MATCH(C$1,[2]quests!$1:$1,0)-MATCH($B$1,[2]quests!$1:$1,0)+1),MATCH(C$1,[2]quests!$1:$1,0)-MATCH($B$1,[2]quests!$1:$1,0)+1,FALSE)</f>
        <v>エリス襲来！</v>
      </c>
      <c r="D3" s="76" t="str">
        <f ca="1">VLOOKUP($B3,OFFSET([2]quests!$A$1,0,0,COUNTA([2]quests!$A:$A),MATCH(D$1,[2]quests!$1:$1,0)-MATCH($B$1,[2]quests!$1:$1,0)+1),MATCH(D$1,[2]quests!$1:$1,0)-MATCH($B$1,[2]quests!$1:$1,0)+1,FALSE)</f>
        <v>降臨30</v>
      </c>
      <c r="E3" s="77">
        <v>2</v>
      </c>
      <c r="F3" s="76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【ウィザード級】エリス襲来</v>
      </c>
      <c r="G3" s="76" t="str">
        <f ca="1">VLOOKUP($B3&amp;"_"&amp;$E3,OFFSET([2]stages!$A$1,0,0,COUNTA([2]stages!$A:$A),MATCH(G$1,[2]stages!$2:$2,0)-MATCH("temp_stage",[2]stages!$2:$2,0)+1),MATCH(G$1,[2]stages!$2:$2,0)-MATCH("temp_stage",[2]stages!$2:$2,0)+1,FALSE)</f>
        <v>降臨30</v>
      </c>
      <c r="H3" s="78" t="s">
        <v>228</v>
      </c>
      <c r="I3" s="77" t="s">
        <v>386</v>
      </c>
      <c r="J3" s="77">
        <v>1</v>
      </c>
      <c r="K3" s="77">
        <v>1000</v>
      </c>
      <c r="L3" s="77" t="s">
        <v>229</v>
      </c>
      <c r="M3" s="77">
        <v>887</v>
      </c>
      <c r="N3" s="8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エリス</v>
      </c>
      <c r="O3" s="77">
        <v>1</v>
      </c>
      <c r="P3" s="77">
        <v>1</v>
      </c>
      <c r="Q3" s="77">
        <v>1</v>
      </c>
      <c r="R3" s="77">
        <v>0</v>
      </c>
      <c r="S3" s="77">
        <v>0</v>
      </c>
      <c r="T3" s="77">
        <v>0</v>
      </c>
      <c r="U3" s="77">
        <v>0</v>
      </c>
      <c r="V3" s="77">
        <v>1</v>
      </c>
      <c r="W3" s="87" t="s">
        <v>230</v>
      </c>
      <c r="X3" s="88" t="s">
        <v>231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2016-09-26T07:15:00Z</dcterms:modified>
</cp:coreProperties>
</file>